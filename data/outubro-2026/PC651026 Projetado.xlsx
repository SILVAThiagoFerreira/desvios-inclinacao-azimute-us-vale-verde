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francisco.dantas\Downloads\Projetos de Perfuração\"/>
    </mc:Choice>
  </mc:AlternateContent>
  <xr:revisionPtr revIDLastSave="0" documentId="13_ncr:1_{FCC139E5-A55D-4EEF-9ED6-EE3DE385693D}" xr6:coauthVersionLast="47" xr6:coauthVersionMax="47" xr10:uidLastSave="{00000000-0000-0000-0000-000000000000}"/>
  <bookViews>
    <workbookView xWindow="-120" yWindow="-120" windowWidth="29040" windowHeight="17520" activeTab="2" xr2:uid="{99E07268-2741-4D1F-B526-CE762CF8513A}"/>
  </bookViews>
  <sheets>
    <sheet name="PROJETO PERFURAÇÃO" sheetId="1" r:id="rId1"/>
    <sheet name="LEV R&amp;D" sheetId="3" r:id="rId2"/>
    <sheet name="MEDIÇÃO" sheetId="2" r:id="rId3"/>
  </sheets>
  <definedNames>
    <definedName name="_xlnm._FilterDatabase" localSheetId="0" hidden="1">'PROJETO PERFURAÇÃO'!$A$1:$BD$1820</definedName>
    <definedName name="_xlnm.Print_Area" localSheetId="2">MEDIÇÃO!$A$1:$W$1395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3" i="2" l="1"/>
  <c r="C1373" i="2"/>
  <c r="B1373" i="2"/>
  <c r="D1372" i="2"/>
  <c r="E1372" i="2" s="1"/>
  <c r="C1372" i="2"/>
  <c r="B1372" i="2"/>
  <c r="D1371" i="2"/>
  <c r="E1371" i="2" s="1"/>
  <c r="C1371" i="2"/>
  <c r="B1371" i="2"/>
  <c r="D1370" i="2"/>
  <c r="F1370" i="2" s="1"/>
  <c r="C1370" i="2"/>
  <c r="B1370" i="2"/>
  <c r="D1369" i="2"/>
  <c r="F1369" i="2" s="1"/>
  <c r="C1369" i="2"/>
  <c r="B1369" i="2"/>
  <c r="B1365" i="2"/>
  <c r="D1341" i="2"/>
  <c r="C1341" i="2"/>
  <c r="D1340" i="2"/>
  <c r="E1340" i="2" s="1"/>
  <c r="C1340" i="2"/>
  <c r="B1340" i="2"/>
  <c r="D1339" i="2"/>
  <c r="E1339" i="2" s="1"/>
  <c r="C1339" i="2"/>
  <c r="B1339" i="2"/>
  <c r="D1338" i="2"/>
  <c r="F1338" i="2" s="1"/>
  <c r="C1338" i="2"/>
  <c r="B1338" i="2"/>
  <c r="B1334" i="2"/>
  <c r="D1310" i="2"/>
  <c r="C1310" i="2"/>
  <c r="B1310" i="2"/>
  <c r="D1309" i="2"/>
  <c r="E1309" i="2" s="1"/>
  <c r="C1309" i="2"/>
  <c r="B1309" i="2"/>
  <c r="D1308" i="2"/>
  <c r="F1308" i="2" s="1"/>
  <c r="C1308" i="2"/>
  <c r="B1308" i="2"/>
  <c r="F1307" i="2"/>
  <c r="D1307" i="2"/>
  <c r="E1307" i="2" s="1"/>
  <c r="C1307" i="2"/>
  <c r="B1307" i="2"/>
  <c r="B1303" i="2"/>
  <c r="D1276" i="2"/>
  <c r="F1276" i="2" s="1"/>
  <c r="C1276" i="2"/>
  <c r="B1272" i="2"/>
  <c r="D1245" i="2"/>
  <c r="F1245" i="2" s="1"/>
  <c r="B1241" i="2"/>
  <c r="D1215" i="2"/>
  <c r="C1215" i="2"/>
  <c r="B1215" i="2"/>
  <c r="D1214" i="2"/>
  <c r="F1214" i="2" s="1"/>
  <c r="C1214" i="2"/>
  <c r="B1214" i="2"/>
  <c r="B1210" i="2"/>
  <c r="D1183" i="2"/>
  <c r="D1184" i="2" s="1"/>
  <c r="C1183" i="2"/>
  <c r="B1183" i="2"/>
  <c r="B1179" i="2"/>
  <c r="D1153" i="2"/>
  <c r="F1153" i="2" s="1"/>
  <c r="D1152" i="2"/>
  <c r="B1152" i="2" s="1"/>
  <c r="C1152" i="2"/>
  <c r="B1148" i="2"/>
  <c r="D1121" i="2"/>
  <c r="C1121" i="2"/>
  <c r="B1117" i="2"/>
  <c r="D1091" i="2"/>
  <c r="D1090" i="2"/>
  <c r="F1090" i="2" s="1"/>
  <c r="C1090" i="2"/>
  <c r="B1086" i="2"/>
  <c r="D1060" i="2"/>
  <c r="F1060" i="2" s="1"/>
  <c r="D1059" i="2"/>
  <c r="F1059" i="2" s="1"/>
  <c r="C1059" i="2"/>
  <c r="B1055" i="2"/>
  <c r="E1028" i="2"/>
  <c r="D1028" i="2"/>
  <c r="C1028" i="2"/>
  <c r="B1028" i="2"/>
  <c r="B1024" i="2"/>
  <c r="D1000" i="2"/>
  <c r="C1000" i="2"/>
  <c r="E999" i="2"/>
  <c r="D999" i="2"/>
  <c r="F999" i="2" s="1"/>
  <c r="C999" i="2"/>
  <c r="B999" i="2"/>
  <c r="D998" i="2"/>
  <c r="F998" i="2" s="1"/>
  <c r="C998" i="2"/>
  <c r="B998" i="2"/>
  <c r="F997" i="2"/>
  <c r="E997" i="2"/>
  <c r="D997" i="2"/>
  <c r="C997" i="2" s="1"/>
  <c r="B997" i="2"/>
  <c r="B993" i="2"/>
  <c r="D967" i="2"/>
  <c r="D966" i="2"/>
  <c r="B966" i="2" s="1"/>
  <c r="C966" i="2"/>
  <c r="B962" i="2"/>
  <c r="D937" i="2"/>
  <c r="D936" i="2"/>
  <c r="E936" i="2" s="1"/>
  <c r="C936" i="2"/>
  <c r="D935" i="2"/>
  <c r="F935" i="2" s="1"/>
  <c r="C935" i="2"/>
  <c r="B935" i="2"/>
  <c r="B931" i="2"/>
  <c r="E906" i="2"/>
  <c r="D906" i="2"/>
  <c r="C906" i="2"/>
  <c r="B906" i="2"/>
  <c r="D905" i="2"/>
  <c r="C905" i="2"/>
  <c r="B905" i="2"/>
  <c r="D904" i="2"/>
  <c r="F904" i="2" s="1"/>
  <c r="C904" i="2"/>
  <c r="B904" i="2"/>
  <c r="B900" i="2"/>
  <c r="D873" i="2"/>
  <c r="D874" i="2" s="1"/>
  <c r="C873" i="2"/>
  <c r="B873" i="2"/>
  <c r="B869" i="2"/>
  <c r="D842" i="2"/>
  <c r="C842" i="2"/>
  <c r="B838" i="2"/>
  <c r="R811" i="2"/>
  <c r="T811" i="2" s="1"/>
  <c r="K811" i="2"/>
  <c r="K812" i="2" s="1"/>
  <c r="R780" i="2"/>
  <c r="R781" i="2" s="1"/>
  <c r="K780" i="2"/>
  <c r="M780" i="2" s="1"/>
  <c r="R749" i="2"/>
  <c r="R750" i="2" s="1"/>
  <c r="K749" i="2"/>
  <c r="K750" i="2" s="1"/>
  <c r="K718" i="2"/>
  <c r="K719" i="2" s="1"/>
  <c r="R687" i="2"/>
  <c r="R688" i="2" s="1"/>
  <c r="K687" i="2"/>
  <c r="K688" i="2" s="1"/>
  <c r="K656" i="2"/>
  <c r="K657" i="2" s="1"/>
  <c r="R625" i="2"/>
  <c r="T625" i="2" s="1"/>
  <c r="K625" i="2"/>
  <c r="M625" i="2" s="1"/>
  <c r="D625" i="2"/>
  <c r="F625" i="2" s="1"/>
  <c r="R594" i="2"/>
  <c r="T594" i="2" s="1"/>
  <c r="K594" i="2"/>
  <c r="K595" i="2" s="1"/>
  <c r="D594" i="2"/>
  <c r="F594" i="2" s="1"/>
  <c r="D563" i="2"/>
  <c r="D564" i="2" s="1"/>
  <c r="R532" i="2"/>
  <c r="R533" i="2" s="1"/>
  <c r="K532" i="2"/>
  <c r="K533" i="2" s="1"/>
  <c r="K534" i="2" s="1"/>
  <c r="K535" i="2" s="1"/>
  <c r="K536" i="2" s="1"/>
  <c r="K537" i="2" s="1"/>
  <c r="K538" i="2" s="1"/>
  <c r="K539" i="2" s="1"/>
  <c r="K540" i="2" s="1"/>
  <c r="K541" i="2" s="1"/>
  <c r="K542" i="2" s="1"/>
  <c r="K543" i="2" s="1"/>
  <c r="K544" i="2" s="1"/>
  <c r="K545" i="2" s="1"/>
  <c r="K546" i="2" s="1"/>
  <c r="K547" i="2" s="1"/>
  <c r="K548" i="2" s="1"/>
  <c r="K549" i="2" s="1"/>
  <c r="K550" i="2" s="1"/>
  <c r="K551" i="2" s="1"/>
  <c r="K552" i="2" s="1"/>
  <c r="K553" i="2" s="1"/>
  <c r="K554" i="2" s="1"/>
  <c r="M811" i="2"/>
  <c r="T780" i="2"/>
  <c r="M749" i="2"/>
  <c r="T749" i="2"/>
  <c r="M718" i="2"/>
  <c r="T687" i="2"/>
  <c r="M594" i="2"/>
  <c r="F554" i="2"/>
  <c r="F553" i="2"/>
  <c r="F552" i="2"/>
  <c r="F551" i="2"/>
  <c r="F550" i="2"/>
  <c r="F549" i="2"/>
  <c r="F548" i="2"/>
  <c r="F547" i="2"/>
  <c r="F546" i="2"/>
  <c r="F545" i="2"/>
  <c r="F544" i="2"/>
  <c r="F543" i="2"/>
  <c r="F542" i="2"/>
  <c r="F541" i="2"/>
  <c r="F540" i="2"/>
  <c r="F539" i="2"/>
  <c r="F538" i="2"/>
  <c r="F537" i="2"/>
  <c r="F536" i="2"/>
  <c r="F535" i="2"/>
  <c r="F534" i="2"/>
  <c r="F533" i="2"/>
  <c r="F532" i="2"/>
  <c r="F523" i="2"/>
  <c r="F522" i="2"/>
  <c r="F521" i="2"/>
  <c r="F520" i="2"/>
  <c r="F519" i="2"/>
  <c r="F518" i="2"/>
  <c r="F517" i="2"/>
  <c r="F516" i="2"/>
  <c r="F515" i="2"/>
  <c r="F514" i="2"/>
  <c r="F513" i="2"/>
  <c r="F512" i="2"/>
  <c r="F511" i="2"/>
  <c r="F510" i="2"/>
  <c r="F509" i="2"/>
  <c r="F508" i="2"/>
  <c r="F507" i="2"/>
  <c r="F506" i="2"/>
  <c r="F505" i="2"/>
  <c r="F504" i="2"/>
  <c r="F503" i="2"/>
  <c r="F502" i="2"/>
  <c r="F501" i="2"/>
  <c r="M523" i="2"/>
  <c r="M522" i="2"/>
  <c r="M521" i="2"/>
  <c r="M520" i="2"/>
  <c r="M519" i="2"/>
  <c r="M518" i="2"/>
  <c r="M517" i="2"/>
  <c r="M516" i="2"/>
  <c r="M515" i="2"/>
  <c r="M514" i="2"/>
  <c r="M513" i="2"/>
  <c r="M512" i="2"/>
  <c r="M511" i="2"/>
  <c r="M510" i="2"/>
  <c r="M509" i="2"/>
  <c r="M508" i="2"/>
  <c r="M507" i="2"/>
  <c r="M506" i="2"/>
  <c r="M505" i="2"/>
  <c r="M504" i="2"/>
  <c r="M503" i="2"/>
  <c r="M502" i="2"/>
  <c r="M501" i="2"/>
  <c r="T523" i="2"/>
  <c r="T522" i="2"/>
  <c r="T521" i="2"/>
  <c r="T520" i="2"/>
  <c r="T519" i="2"/>
  <c r="T518" i="2"/>
  <c r="T517" i="2"/>
  <c r="T516" i="2"/>
  <c r="T515" i="2"/>
  <c r="T514" i="2"/>
  <c r="T513" i="2"/>
  <c r="T512" i="2"/>
  <c r="T511" i="2"/>
  <c r="T510" i="2"/>
  <c r="T509" i="2"/>
  <c r="T508" i="2"/>
  <c r="T507" i="2"/>
  <c r="T506" i="2"/>
  <c r="T505" i="2"/>
  <c r="T504" i="2"/>
  <c r="T503" i="2"/>
  <c r="T502" i="2"/>
  <c r="T501" i="2"/>
  <c r="T492" i="2"/>
  <c r="T491" i="2"/>
  <c r="T490" i="2"/>
  <c r="T489" i="2"/>
  <c r="T488" i="2"/>
  <c r="T487" i="2"/>
  <c r="T486" i="2"/>
  <c r="T485" i="2"/>
  <c r="T484" i="2"/>
  <c r="T483" i="2"/>
  <c r="T482" i="2"/>
  <c r="T481" i="2"/>
  <c r="T480" i="2"/>
  <c r="T479" i="2"/>
  <c r="T478" i="2"/>
  <c r="T477" i="2"/>
  <c r="T476" i="2"/>
  <c r="T475" i="2"/>
  <c r="T474" i="2"/>
  <c r="T473" i="2"/>
  <c r="T472" i="2"/>
  <c r="T471" i="2"/>
  <c r="T470" i="2"/>
  <c r="M492" i="2"/>
  <c r="M491" i="2"/>
  <c r="M490" i="2"/>
  <c r="M489" i="2"/>
  <c r="M488" i="2"/>
  <c r="M487" i="2"/>
  <c r="M486" i="2"/>
  <c r="M485" i="2"/>
  <c r="M484" i="2"/>
  <c r="M483" i="2"/>
  <c r="M482" i="2"/>
  <c r="M481" i="2"/>
  <c r="M480" i="2"/>
  <c r="M479" i="2"/>
  <c r="M478" i="2"/>
  <c r="M477" i="2"/>
  <c r="M476" i="2"/>
  <c r="M475" i="2"/>
  <c r="M474" i="2"/>
  <c r="M473" i="2"/>
  <c r="M472" i="2"/>
  <c r="M471" i="2"/>
  <c r="M470" i="2"/>
  <c r="F492" i="2"/>
  <c r="F491" i="2"/>
  <c r="F490" i="2"/>
  <c r="F489" i="2"/>
  <c r="F488" i="2"/>
  <c r="F487" i="2"/>
  <c r="F486" i="2"/>
  <c r="F485" i="2"/>
  <c r="F484" i="2"/>
  <c r="F483" i="2"/>
  <c r="F482" i="2"/>
  <c r="F481" i="2"/>
  <c r="F480" i="2"/>
  <c r="F479" i="2"/>
  <c r="F478" i="2"/>
  <c r="F477" i="2"/>
  <c r="F476" i="2"/>
  <c r="F475" i="2"/>
  <c r="F474" i="2"/>
  <c r="F473" i="2"/>
  <c r="F472" i="2"/>
  <c r="F471" i="2"/>
  <c r="F470" i="2"/>
  <c r="F461" i="2"/>
  <c r="F460" i="2"/>
  <c r="F459" i="2"/>
  <c r="F458" i="2"/>
  <c r="F457" i="2"/>
  <c r="F456" i="2"/>
  <c r="F455" i="2"/>
  <c r="F454" i="2"/>
  <c r="F453" i="2"/>
  <c r="F452" i="2"/>
  <c r="F451" i="2"/>
  <c r="F450" i="2"/>
  <c r="F449" i="2"/>
  <c r="F448" i="2"/>
  <c r="F447" i="2"/>
  <c r="F446" i="2"/>
  <c r="F445" i="2"/>
  <c r="F444" i="2"/>
  <c r="F443" i="2"/>
  <c r="F442" i="2"/>
  <c r="F441" i="2"/>
  <c r="F440" i="2"/>
  <c r="F439" i="2"/>
  <c r="M461" i="2"/>
  <c r="M460" i="2"/>
  <c r="M459" i="2"/>
  <c r="M458" i="2"/>
  <c r="M457" i="2"/>
  <c r="M456" i="2"/>
  <c r="M455" i="2"/>
  <c r="M454" i="2"/>
  <c r="M453" i="2"/>
  <c r="M452" i="2"/>
  <c r="M451" i="2"/>
  <c r="M450" i="2"/>
  <c r="M449" i="2"/>
  <c r="M448" i="2"/>
  <c r="M447" i="2"/>
  <c r="M446" i="2"/>
  <c r="M445" i="2"/>
  <c r="M444" i="2"/>
  <c r="M443" i="2"/>
  <c r="M442" i="2"/>
  <c r="M441" i="2"/>
  <c r="M440" i="2"/>
  <c r="M439" i="2"/>
  <c r="T461" i="2"/>
  <c r="T460" i="2"/>
  <c r="T459" i="2"/>
  <c r="T458" i="2"/>
  <c r="T457" i="2"/>
  <c r="T456" i="2"/>
  <c r="T455" i="2"/>
  <c r="T454" i="2"/>
  <c r="T453" i="2"/>
  <c r="T452" i="2"/>
  <c r="T451" i="2"/>
  <c r="T450" i="2"/>
  <c r="T449" i="2"/>
  <c r="T448" i="2"/>
  <c r="T447" i="2"/>
  <c r="T446" i="2"/>
  <c r="T445" i="2"/>
  <c r="T444" i="2"/>
  <c r="T443" i="2"/>
  <c r="T442" i="2"/>
  <c r="T441" i="2"/>
  <c r="T440" i="2"/>
  <c r="T439" i="2"/>
  <c r="T430" i="2"/>
  <c r="T429" i="2"/>
  <c r="T428" i="2"/>
  <c r="T427" i="2"/>
  <c r="T426" i="2"/>
  <c r="T425" i="2"/>
  <c r="T424" i="2"/>
  <c r="T423" i="2"/>
  <c r="T422" i="2"/>
  <c r="T421" i="2"/>
  <c r="T420" i="2"/>
  <c r="T419" i="2"/>
  <c r="T418" i="2"/>
  <c r="T417" i="2"/>
  <c r="T416" i="2"/>
  <c r="T415" i="2"/>
  <c r="T414" i="2"/>
  <c r="T413" i="2"/>
  <c r="T412" i="2"/>
  <c r="T411" i="2"/>
  <c r="T410" i="2"/>
  <c r="T409" i="2"/>
  <c r="T408" i="2"/>
  <c r="M430" i="2"/>
  <c r="M429" i="2"/>
  <c r="M428" i="2"/>
  <c r="M427" i="2"/>
  <c r="M426" i="2"/>
  <c r="M425" i="2"/>
  <c r="M424" i="2"/>
  <c r="M423" i="2"/>
  <c r="M422" i="2"/>
  <c r="M421" i="2"/>
  <c r="M420" i="2"/>
  <c r="M419" i="2"/>
  <c r="M418" i="2"/>
  <c r="M417" i="2"/>
  <c r="M416" i="2"/>
  <c r="M415" i="2"/>
  <c r="M414" i="2"/>
  <c r="M413" i="2"/>
  <c r="M412" i="2"/>
  <c r="M411" i="2"/>
  <c r="M410" i="2"/>
  <c r="M409" i="2"/>
  <c r="M408" i="2"/>
  <c r="F430" i="2"/>
  <c r="F429" i="2"/>
  <c r="F428" i="2"/>
  <c r="F427" i="2"/>
  <c r="F426" i="2"/>
  <c r="F425" i="2"/>
  <c r="F424" i="2"/>
  <c r="F423" i="2"/>
  <c r="F422" i="2"/>
  <c r="F421" i="2"/>
  <c r="F420" i="2"/>
  <c r="F419" i="2"/>
  <c r="F418" i="2"/>
  <c r="F417" i="2"/>
  <c r="F416" i="2"/>
  <c r="F415" i="2"/>
  <c r="F414" i="2"/>
  <c r="F413" i="2"/>
  <c r="F412" i="2"/>
  <c r="F411" i="2"/>
  <c r="F410" i="2"/>
  <c r="F409" i="2"/>
  <c r="F408" i="2"/>
  <c r="E5" i="2"/>
  <c r="B5" i="2"/>
  <c r="F5" i="2"/>
  <c r="C5" i="2"/>
  <c r="B807" i="2"/>
  <c r="B776" i="2"/>
  <c r="B745" i="2"/>
  <c r="B714" i="2"/>
  <c r="B683" i="2"/>
  <c r="B652" i="2"/>
  <c r="B621" i="2"/>
  <c r="B590" i="2"/>
  <c r="B559" i="2"/>
  <c r="B528" i="2"/>
  <c r="B497" i="2"/>
  <c r="B466" i="2"/>
  <c r="B435" i="2"/>
  <c r="B404" i="2"/>
  <c r="B373" i="2"/>
  <c r="B342" i="2"/>
  <c r="B311" i="2"/>
  <c r="B280" i="2"/>
  <c r="B249" i="2"/>
  <c r="B218" i="2"/>
  <c r="B187" i="2"/>
  <c r="B156" i="2"/>
  <c r="B125" i="2"/>
  <c r="B94" i="2"/>
  <c r="B63" i="2"/>
  <c r="B32" i="2"/>
  <c r="B1" i="2"/>
  <c r="F1373" i="2" l="1"/>
  <c r="E1373" i="2"/>
  <c r="D1374" i="2"/>
  <c r="F1372" i="2"/>
  <c r="E1370" i="2"/>
  <c r="F1371" i="2"/>
  <c r="E1369" i="2"/>
  <c r="F1341" i="2"/>
  <c r="E1341" i="2"/>
  <c r="D1342" i="2"/>
  <c r="B1341" i="2"/>
  <c r="F1340" i="2"/>
  <c r="F1339" i="2"/>
  <c r="E1338" i="2"/>
  <c r="D1311" i="2"/>
  <c r="F1310" i="2"/>
  <c r="E1310" i="2"/>
  <c r="F1309" i="2"/>
  <c r="E1308" i="2"/>
  <c r="E1276" i="2"/>
  <c r="D1277" i="2"/>
  <c r="B1276" i="2"/>
  <c r="B1245" i="2"/>
  <c r="C1245" i="2"/>
  <c r="D1246" i="2"/>
  <c r="E1245" i="2"/>
  <c r="F1215" i="2"/>
  <c r="E1215" i="2"/>
  <c r="D1216" i="2"/>
  <c r="E1214" i="2"/>
  <c r="E1184" i="2"/>
  <c r="C1184" i="2"/>
  <c r="F1184" i="2"/>
  <c r="B1184" i="2"/>
  <c r="D1185" i="2"/>
  <c r="F1183" i="2"/>
  <c r="E1183" i="2"/>
  <c r="E1153" i="2"/>
  <c r="D1154" i="2"/>
  <c r="C1153" i="2"/>
  <c r="B1153" i="2"/>
  <c r="E1152" i="2"/>
  <c r="F1152" i="2"/>
  <c r="F1121" i="2"/>
  <c r="E1121" i="2"/>
  <c r="B1121" i="2"/>
  <c r="D1122" i="2"/>
  <c r="F1091" i="2"/>
  <c r="E1091" i="2"/>
  <c r="D1092" i="2"/>
  <c r="C1091" i="2"/>
  <c r="B1091" i="2"/>
  <c r="B1090" i="2"/>
  <c r="E1090" i="2"/>
  <c r="B1060" i="2"/>
  <c r="B1059" i="2"/>
  <c r="C1060" i="2"/>
  <c r="D1061" i="2"/>
  <c r="E1059" i="2"/>
  <c r="E1060" i="2"/>
  <c r="F1028" i="2"/>
  <c r="D1029" i="2"/>
  <c r="B1000" i="2"/>
  <c r="D1001" i="2"/>
  <c r="E1000" i="2"/>
  <c r="F1000" i="2"/>
  <c r="E998" i="2"/>
  <c r="D968" i="2"/>
  <c r="C967" i="2"/>
  <c r="B967" i="2"/>
  <c r="F967" i="2"/>
  <c r="F966" i="2"/>
  <c r="E966" i="2"/>
  <c r="E967" i="2"/>
  <c r="E937" i="2"/>
  <c r="F937" i="2"/>
  <c r="D938" i="2"/>
  <c r="C937" i="2"/>
  <c r="B937" i="2"/>
  <c r="B936" i="2"/>
  <c r="F936" i="2"/>
  <c r="E935" i="2"/>
  <c r="F906" i="2"/>
  <c r="D907" i="2"/>
  <c r="F905" i="2"/>
  <c r="E905" i="2"/>
  <c r="E904" i="2"/>
  <c r="D875" i="2"/>
  <c r="F874" i="2"/>
  <c r="E874" i="2"/>
  <c r="C874" i="2"/>
  <c r="B874" i="2"/>
  <c r="E873" i="2"/>
  <c r="F873" i="2"/>
  <c r="E842" i="2"/>
  <c r="F842" i="2"/>
  <c r="B842" i="2"/>
  <c r="D843" i="2"/>
  <c r="R812" i="2"/>
  <c r="K813" i="2"/>
  <c r="M812" i="2"/>
  <c r="R782" i="2"/>
  <c r="T781" i="2"/>
  <c r="K781" i="2"/>
  <c r="R751" i="2"/>
  <c r="T750" i="2"/>
  <c r="K751" i="2"/>
  <c r="M750" i="2"/>
  <c r="K720" i="2"/>
  <c r="M719" i="2"/>
  <c r="R689" i="2"/>
  <c r="T688" i="2"/>
  <c r="K689" i="2"/>
  <c r="M688" i="2"/>
  <c r="M687" i="2"/>
  <c r="M657" i="2"/>
  <c r="K658" i="2"/>
  <c r="M656" i="2"/>
  <c r="R626" i="2"/>
  <c r="K626" i="2"/>
  <c r="D626" i="2"/>
  <c r="R595" i="2"/>
  <c r="K596" i="2"/>
  <c r="M595" i="2"/>
  <c r="D595" i="2"/>
  <c r="D565" i="2"/>
  <c r="F564" i="2"/>
  <c r="F563" i="2"/>
  <c r="R534" i="2"/>
  <c r="T533" i="2"/>
  <c r="T532" i="2"/>
  <c r="M532" i="2"/>
  <c r="D6" i="2"/>
  <c r="F1374" i="2" l="1"/>
  <c r="C1374" i="2"/>
  <c r="B1374" i="2"/>
  <c r="E1374" i="2"/>
  <c r="D1375" i="2"/>
  <c r="F1342" i="2"/>
  <c r="D1343" i="2"/>
  <c r="E1342" i="2"/>
  <c r="C1342" i="2"/>
  <c r="B1342" i="2"/>
  <c r="F1311" i="2"/>
  <c r="E1311" i="2"/>
  <c r="C1311" i="2"/>
  <c r="B1311" i="2"/>
  <c r="D1312" i="2"/>
  <c r="F1277" i="2"/>
  <c r="E1277" i="2"/>
  <c r="C1277" i="2"/>
  <c r="B1277" i="2"/>
  <c r="D1278" i="2"/>
  <c r="E1246" i="2"/>
  <c r="F1246" i="2"/>
  <c r="D1247" i="2"/>
  <c r="C1246" i="2"/>
  <c r="B1246" i="2"/>
  <c r="F1216" i="2"/>
  <c r="E1216" i="2"/>
  <c r="B1216" i="2"/>
  <c r="C1216" i="2"/>
  <c r="D1217" i="2"/>
  <c r="F1185" i="2"/>
  <c r="E1185" i="2"/>
  <c r="C1185" i="2"/>
  <c r="B1185" i="2"/>
  <c r="D1186" i="2"/>
  <c r="D1155" i="2"/>
  <c r="C1154" i="2"/>
  <c r="B1154" i="2"/>
  <c r="F1154" i="2"/>
  <c r="E1154" i="2"/>
  <c r="F1122" i="2"/>
  <c r="D1123" i="2"/>
  <c r="C1122" i="2"/>
  <c r="B1122" i="2"/>
  <c r="E1122" i="2"/>
  <c r="F1092" i="2"/>
  <c r="D1093" i="2"/>
  <c r="C1092" i="2"/>
  <c r="B1092" i="2"/>
  <c r="E1092" i="2"/>
  <c r="F1061" i="2"/>
  <c r="E1061" i="2"/>
  <c r="B1061" i="2"/>
  <c r="D1062" i="2"/>
  <c r="C1061" i="2"/>
  <c r="E1029" i="2"/>
  <c r="B1029" i="2"/>
  <c r="C1029" i="2"/>
  <c r="D1030" i="2"/>
  <c r="F1029" i="2"/>
  <c r="F1001" i="2"/>
  <c r="E1001" i="2"/>
  <c r="C1001" i="2"/>
  <c r="B1001" i="2"/>
  <c r="D1002" i="2"/>
  <c r="D969" i="2"/>
  <c r="C968" i="2"/>
  <c r="F968" i="2"/>
  <c r="E968" i="2"/>
  <c r="B968" i="2"/>
  <c r="F938" i="2"/>
  <c r="D939" i="2"/>
  <c r="C938" i="2"/>
  <c r="E938" i="2"/>
  <c r="B938" i="2"/>
  <c r="F907" i="2"/>
  <c r="E907" i="2"/>
  <c r="C907" i="2"/>
  <c r="B907" i="2"/>
  <c r="D908" i="2"/>
  <c r="B875" i="2"/>
  <c r="D876" i="2"/>
  <c r="F875" i="2"/>
  <c r="E875" i="2"/>
  <c r="C875" i="2"/>
  <c r="F843" i="2"/>
  <c r="D844" i="2"/>
  <c r="C843" i="2"/>
  <c r="B843" i="2"/>
  <c r="E843" i="2"/>
  <c r="R813" i="2"/>
  <c r="T812" i="2"/>
  <c r="K814" i="2"/>
  <c r="M813" i="2"/>
  <c r="R783" i="2"/>
  <c r="T782" i="2"/>
  <c r="M781" i="2"/>
  <c r="K782" i="2"/>
  <c r="R752" i="2"/>
  <c r="T751" i="2"/>
  <c r="K752" i="2"/>
  <c r="M751" i="2"/>
  <c r="M720" i="2"/>
  <c r="K721" i="2"/>
  <c r="R690" i="2"/>
  <c r="T689" i="2"/>
  <c r="K690" i="2"/>
  <c r="M689" i="2"/>
  <c r="K659" i="2"/>
  <c r="M658" i="2"/>
  <c r="T626" i="2"/>
  <c r="R627" i="2"/>
  <c r="K627" i="2"/>
  <c r="M626" i="2"/>
  <c r="F626" i="2"/>
  <c r="D627" i="2"/>
  <c r="R596" i="2"/>
  <c r="T595" i="2"/>
  <c r="K597" i="2"/>
  <c r="M596" i="2"/>
  <c r="F595" i="2"/>
  <c r="D596" i="2"/>
  <c r="F565" i="2"/>
  <c r="D566" i="2"/>
  <c r="R535" i="2"/>
  <c r="T534" i="2"/>
  <c r="M533" i="2"/>
  <c r="E6" i="2"/>
  <c r="B6" i="2"/>
  <c r="F6" i="2"/>
  <c r="C6" i="2"/>
  <c r="D7" i="2"/>
  <c r="C1375" i="2" l="1"/>
  <c r="D1376" i="2"/>
  <c r="F1375" i="2"/>
  <c r="E1375" i="2"/>
  <c r="B1375" i="2"/>
  <c r="F1343" i="2"/>
  <c r="E1343" i="2"/>
  <c r="C1343" i="2"/>
  <c r="B1343" i="2"/>
  <c r="D1344" i="2"/>
  <c r="F1312" i="2"/>
  <c r="E1312" i="2"/>
  <c r="C1312" i="2"/>
  <c r="B1312" i="2"/>
  <c r="D1313" i="2"/>
  <c r="D1279" i="2"/>
  <c r="E1278" i="2"/>
  <c r="F1278" i="2"/>
  <c r="C1278" i="2"/>
  <c r="B1278" i="2"/>
  <c r="F1247" i="2"/>
  <c r="E1247" i="2"/>
  <c r="D1248" i="2"/>
  <c r="C1247" i="2"/>
  <c r="B1247" i="2"/>
  <c r="D1218" i="2"/>
  <c r="B1217" i="2"/>
  <c r="F1217" i="2"/>
  <c r="E1217" i="2"/>
  <c r="C1217" i="2"/>
  <c r="D1187" i="2"/>
  <c r="C1186" i="2"/>
  <c r="F1186" i="2"/>
  <c r="E1186" i="2"/>
  <c r="B1186" i="2"/>
  <c r="E1155" i="2"/>
  <c r="D1156" i="2"/>
  <c r="C1155" i="2"/>
  <c r="B1155" i="2"/>
  <c r="F1155" i="2"/>
  <c r="D1124" i="2"/>
  <c r="C1123" i="2"/>
  <c r="F1123" i="2"/>
  <c r="B1123" i="2"/>
  <c r="E1123" i="2"/>
  <c r="E1093" i="2"/>
  <c r="D1094" i="2"/>
  <c r="C1093" i="2"/>
  <c r="B1093" i="2"/>
  <c r="F1093" i="2"/>
  <c r="C1062" i="2"/>
  <c r="B1062" i="2"/>
  <c r="F1062" i="2"/>
  <c r="E1062" i="2"/>
  <c r="D1063" i="2"/>
  <c r="E1030" i="2"/>
  <c r="F1030" i="2"/>
  <c r="D1031" i="2"/>
  <c r="B1030" i="2"/>
  <c r="C1030" i="2"/>
  <c r="E1002" i="2"/>
  <c r="F1002" i="2"/>
  <c r="C1002" i="2"/>
  <c r="B1002" i="2"/>
  <c r="D1003" i="2"/>
  <c r="E969" i="2"/>
  <c r="B969" i="2"/>
  <c r="D970" i="2"/>
  <c r="F969" i="2"/>
  <c r="C969" i="2"/>
  <c r="E939" i="2"/>
  <c r="F939" i="2"/>
  <c r="B939" i="2"/>
  <c r="C939" i="2"/>
  <c r="D940" i="2"/>
  <c r="D909" i="2"/>
  <c r="F908" i="2"/>
  <c r="E908" i="2"/>
  <c r="C908" i="2"/>
  <c r="B908" i="2"/>
  <c r="D877" i="2"/>
  <c r="F876" i="2"/>
  <c r="E876" i="2"/>
  <c r="C876" i="2"/>
  <c r="B876" i="2"/>
  <c r="D845" i="2"/>
  <c r="C844" i="2"/>
  <c r="B844" i="2"/>
  <c r="F844" i="2"/>
  <c r="E844" i="2"/>
  <c r="R814" i="2"/>
  <c r="T813" i="2"/>
  <c r="K815" i="2"/>
  <c r="M814" i="2"/>
  <c r="R784" i="2"/>
  <c r="T783" i="2"/>
  <c r="M782" i="2"/>
  <c r="K783" i="2"/>
  <c r="T752" i="2"/>
  <c r="R753" i="2"/>
  <c r="K753" i="2"/>
  <c r="M752" i="2"/>
  <c r="M721" i="2"/>
  <c r="K722" i="2"/>
  <c r="R691" i="2"/>
  <c r="T690" i="2"/>
  <c r="K691" i="2"/>
  <c r="M690" i="2"/>
  <c r="M659" i="2"/>
  <c r="K660" i="2"/>
  <c r="T627" i="2"/>
  <c r="R628" i="2"/>
  <c r="M627" i="2"/>
  <c r="K628" i="2"/>
  <c r="D628" i="2"/>
  <c r="F627" i="2"/>
  <c r="R597" i="2"/>
  <c r="T596" i="2"/>
  <c r="K598" i="2"/>
  <c r="M597" i="2"/>
  <c r="D597" i="2"/>
  <c r="F596" i="2"/>
  <c r="D567" i="2"/>
  <c r="F566" i="2"/>
  <c r="R536" i="2"/>
  <c r="T535" i="2"/>
  <c r="M534" i="2"/>
  <c r="E7" i="2"/>
  <c r="B7" i="2"/>
  <c r="F7" i="2"/>
  <c r="C7" i="2"/>
  <c r="D8" i="2"/>
  <c r="D1377" i="2" l="1"/>
  <c r="F1376" i="2"/>
  <c r="C1376" i="2"/>
  <c r="E1376" i="2"/>
  <c r="B1376" i="2"/>
  <c r="D1345" i="2"/>
  <c r="B1344" i="2"/>
  <c r="F1344" i="2"/>
  <c r="E1344" i="2"/>
  <c r="C1344" i="2"/>
  <c r="D1314" i="2"/>
  <c r="E1313" i="2"/>
  <c r="F1313" i="2"/>
  <c r="C1313" i="2"/>
  <c r="B1313" i="2"/>
  <c r="E1279" i="2"/>
  <c r="C1279" i="2"/>
  <c r="B1279" i="2"/>
  <c r="D1280" i="2"/>
  <c r="F1279" i="2"/>
  <c r="D1249" i="2"/>
  <c r="C1248" i="2"/>
  <c r="B1248" i="2"/>
  <c r="F1248" i="2"/>
  <c r="E1248" i="2"/>
  <c r="E1218" i="2"/>
  <c r="B1218" i="2"/>
  <c r="F1218" i="2"/>
  <c r="C1218" i="2"/>
  <c r="D1219" i="2"/>
  <c r="C1187" i="2"/>
  <c r="B1187" i="2"/>
  <c r="E1187" i="2"/>
  <c r="D1188" i="2"/>
  <c r="F1187" i="2"/>
  <c r="F1156" i="2"/>
  <c r="E1156" i="2"/>
  <c r="D1157" i="2"/>
  <c r="C1156" i="2"/>
  <c r="B1156" i="2"/>
  <c r="E1124" i="2"/>
  <c r="F1124" i="2"/>
  <c r="C1124" i="2"/>
  <c r="B1124" i="2"/>
  <c r="D1125" i="2"/>
  <c r="F1094" i="2"/>
  <c r="E1094" i="2"/>
  <c r="D1095" i="2"/>
  <c r="C1094" i="2"/>
  <c r="B1094" i="2"/>
  <c r="B1063" i="2"/>
  <c r="C1063" i="2"/>
  <c r="F1063" i="2"/>
  <c r="E1063" i="2"/>
  <c r="D1064" i="2"/>
  <c r="D1032" i="2"/>
  <c r="C1031" i="2"/>
  <c r="F1031" i="2"/>
  <c r="E1031" i="2"/>
  <c r="B1031" i="2"/>
  <c r="D1004" i="2"/>
  <c r="F1003" i="2"/>
  <c r="E1003" i="2"/>
  <c r="C1003" i="2"/>
  <c r="B1003" i="2"/>
  <c r="F970" i="2"/>
  <c r="E970" i="2"/>
  <c r="B970" i="2"/>
  <c r="D971" i="2"/>
  <c r="C970" i="2"/>
  <c r="F940" i="2"/>
  <c r="E940" i="2"/>
  <c r="D941" i="2"/>
  <c r="C940" i="2"/>
  <c r="B940" i="2"/>
  <c r="F909" i="2"/>
  <c r="E909" i="2"/>
  <c r="C909" i="2"/>
  <c r="B909" i="2"/>
  <c r="D910" i="2"/>
  <c r="B877" i="2"/>
  <c r="C877" i="2"/>
  <c r="D878" i="2"/>
  <c r="E877" i="2"/>
  <c r="F877" i="2"/>
  <c r="E845" i="2"/>
  <c r="F845" i="2"/>
  <c r="C845" i="2"/>
  <c r="B845" i="2"/>
  <c r="D846" i="2"/>
  <c r="T814" i="2"/>
  <c r="R815" i="2"/>
  <c r="K816" i="2"/>
  <c r="M815" i="2"/>
  <c r="R785" i="2"/>
  <c r="T784" i="2"/>
  <c r="M783" i="2"/>
  <c r="K784" i="2"/>
  <c r="R754" i="2"/>
  <c r="T753" i="2"/>
  <c r="K754" i="2"/>
  <c r="M753" i="2"/>
  <c r="K723" i="2"/>
  <c r="M722" i="2"/>
  <c r="R692" i="2"/>
  <c r="T691" i="2"/>
  <c r="K692" i="2"/>
  <c r="M691" i="2"/>
  <c r="M660" i="2"/>
  <c r="K661" i="2"/>
  <c r="T628" i="2"/>
  <c r="R629" i="2"/>
  <c r="K629" i="2"/>
  <c r="M628" i="2"/>
  <c r="D629" i="2"/>
  <c r="F628" i="2"/>
  <c r="R598" i="2"/>
  <c r="T597" i="2"/>
  <c r="K599" i="2"/>
  <c r="M598" i="2"/>
  <c r="D598" i="2"/>
  <c r="F597" i="2"/>
  <c r="D568" i="2"/>
  <c r="F567" i="2"/>
  <c r="R537" i="2"/>
  <c r="T536" i="2"/>
  <c r="M535" i="2"/>
  <c r="E8" i="2"/>
  <c r="B8" i="2"/>
  <c r="F8" i="2"/>
  <c r="C8" i="2"/>
  <c r="D9" i="2"/>
  <c r="B1377" i="2" l="1"/>
  <c r="E1377" i="2"/>
  <c r="C1377" i="2"/>
  <c r="D1378" i="2"/>
  <c r="F1377" i="2"/>
  <c r="D1346" i="2"/>
  <c r="F1345" i="2"/>
  <c r="E1345" i="2"/>
  <c r="C1345" i="2"/>
  <c r="B1345" i="2"/>
  <c r="E1314" i="2"/>
  <c r="C1314" i="2"/>
  <c r="B1314" i="2"/>
  <c r="D1315" i="2"/>
  <c r="F1314" i="2"/>
  <c r="C1280" i="2"/>
  <c r="F1280" i="2"/>
  <c r="E1280" i="2"/>
  <c r="B1280" i="2"/>
  <c r="D1281" i="2"/>
  <c r="C1249" i="2"/>
  <c r="D1250" i="2"/>
  <c r="B1249" i="2"/>
  <c r="F1249" i="2"/>
  <c r="E1249" i="2"/>
  <c r="D1220" i="2"/>
  <c r="B1219" i="2"/>
  <c r="F1219" i="2"/>
  <c r="E1219" i="2"/>
  <c r="C1219" i="2"/>
  <c r="F1188" i="2"/>
  <c r="E1188" i="2"/>
  <c r="C1188" i="2"/>
  <c r="D1189" i="2"/>
  <c r="B1188" i="2"/>
  <c r="F1157" i="2"/>
  <c r="E1157" i="2"/>
  <c r="B1157" i="2"/>
  <c r="D1158" i="2"/>
  <c r="C1157" i="2"/>
  <c r="F1125" i="2"/>
  <c r="E1125" i="2"/>
  <c r="B1125" i="2"/>
  <c r="D1126" i="2"/>
  <c r="C1125" i="2"/>
  <c r="F1095" i="2"/>
  <c r="E1095" i="2"/>
  <c r="C1095" i="2"/>
  <c r="B1095" i="2"/>
  <c r="D1096" i="2"/>
  <c r="D1065" i="2"/>
  <c r="E1064" i="2"/>
  <c r="C1064" i="2"/>
  <c r="B1064" i="2"/>
  <c r="F1064" i="2"/>
  <c r="E1032" i="2"/>
  <c r="C1032" i="2"/>
  <c r="B1032" i="2"/>
  <c r="F1032" i="2"/>
  <c r="D1033" i="2"/>
  <c r="E1004" i="2"/>
  <c r="C1004" i="2"/>
  <c r="B1004" i="2"/>
  <c r="D1005" i="2"/>
  <c r="F1004" i="2"/>
  <c r="F971" i="2"/>
  <c r="B971" i="2"/>
  <c r="E971" i="2"/>
  <c r="C971" i="2"/>
  <c r="D972" i="2"/>
  <c r="F941" i="2"/>
  <c r="D942" i="2"/>
  <c r="E941" i="2"/>
  <c r="C941" i="2"/>
  <c r="B941" i="2"/>
  <c r="D911" i="2"/>
  <c r="B910" i="2"/>
  <c r="C910" i="2"/>
  <c r="F910" i="2"/>
  <c r="E910" i="2"/>
  <c r="E878" i="2"/>
  <c r="C878" i="2"/>
  <c r="D879" i="2"/>
  <c r="F878" i="2"/>
  <c r="B878" i="2"/>
  <c r="F846" i="2"/>
  <c r="E846" i="2"/>
  <c r="D847" i="2"/>
  <c r="B846" i="2"/>
  <c r="C846" i="2"/>
  <c r="R816" i="2"/>
  <c r="T815" i="2"/>
  <c r="K817" i="2"/>
  <c r="M816" i="2"/>
  <c r="R786" i="2"/>
  <c r="T785" i="2"/>
  <c r="K785" i="2"/>
  <c r="M784" i="2"/>
  <c r="R755" i="2"/>
  <c r="T754" i="2"/>
  <c r="K755" i="2"/>
  <c r="M754" i="2"/>
  <c r="K724" i="2"/>
  <c r="M723" i="2"/>
  <c r="R693" i="2"/>
  <c r="T692" i="2"/>
  <c r="K693" i="2"/>
  <c r="M692" i="2"/>
  <c r="K662" i="2"/>
  <c r="M661" i="2"/>
  <c r="R630" i="2"/>
  <c r="T629" i="2"/>
  <c r="K630" i="2"/>
  <c r="M629" i="2"/>
  <c r="D630" i="2"/>
  <c r="F629" i="2"/>
  <c r="R599" i="2"/>
  <c r="T598" i="2"/>
  <c r="K600" i="2"/>
  <c r="M599" i="2"/>
  <c r="D599" i="2"/>
  <c r="F598" i="2"/>
  <c r="D569" i="2"/>
  <c r="F568" i="2"/>
  <c r="R538" i="2"/>
  <c r="T537" i="2"/>
  <c r="M536" i="2"/>
  <c r="E9" i="2"/>
  <c r="B9" i="2"/>
  <c r="F9" i="2"/>
  <c r="C9" i="2"/>
  <c r="D10" i="2"/>
  <c r="D1379" i="2" l="1"/>
  <c r="C1378" i="2"/>
  <c r="B1378" i="2"/>
  <c r="F1378" i="2"/>
  <c r="E1378" i="2"/>
  <c r="B1346" i="2"/>
  <c r="C1346" i="2"/>
  <c r="F1346" i="2"/>
  <c r="E1346" i="2"/>
  <c r="D1347" i="2"/>
  <c r="B1315" i="2"/>
  <c r="D1316" i="2"/>
  <c r="F1315" i="2"/>
  <c r="E1315" i="2"/>
  <c r="C1315" i="2"/>
  <c r="D1282" i="2"/>
  <c r="F1281" i="2"/>
  <c r="E1281" i="2"/>
  <c r="C1281" i="2"/>
  <c r="B1281" i="2"/>
  <c r="C1250" i="2"/>
  <c r="D1251" i="2"/>
  <c r="E1250" i="2"/>
  <c r="B1250" i="2"/>
  <c r="F1250" i="2"/>
  <c r="E1220" i="2"/>
  <c r="B1220" i="2"/>
  <c r="F1220" i="2"/>
  <c r="C1220" i="2"/>
  <c r="D1221" i="2"/>
  <c r="D1190" i="2"/>
  <c r="E1189" i="2"/>
  <c r="C1189" i="2"/>
  <c r="F1189" i="2"/>
  <c r="B1189" i="2"/>
  <c r="F1158" i="2"/>
  <c r="E1158" i="2"/>
  <c r="D1159" i="2"/>
  <c r="C1158" i="2"/>
  <c r="B1158" i="2"/>
  <c r="F1126" i="2"/>
  <c r="D1127" i="2"/>
  <c r="E1126" i="2"/>
  <c r="C1126" i="2"/>
  <c r="B1126" i="2"/>
  <c r="F1096" i="2"/>
  <c r="E1096" i="2"/>
  <c r="D1097" i="2"/>
  <c r="C1096" i="2"/>
  <c r="B1096" i="2"/>
  <c r="F1065" i="2"/>
  <c r="E1065" i="2"/>
  <c r="B1065" i="2"/>
  <c r="D1066" i="2"/>
  <c r="C1065" i="2"/>
  <c r="D1034" i="2"/>
  <c r="F1033" i="2"/>
  <c r="C1033" i="2"/>
  <c r="B1033" i="2"/>
  <c r="E1033" i="2"/>
  <c r="B1005" i="2"/>
  <c r="F1005" i="2"/>
  <c r="E1005" i="2"/>
  <c r="C1005" i="2"/>
  <c r="D1006" i="2"/>
  <c r="F972" i="2"/>
  <c r="B972" i="2"/>
  <c r="D973" i="2"/>
  <c r="E972" i="2"/>
  <c r="C972" i="2"/>
  <c r="F942" i="2"/>
  <c r="E942" i="2"/>
  <c r="C942" i="2"/>
  <c r="B942" i="2"/>
  <c r="D943" i="2"/>
  <c r="F911" i="2"/>
  <c r="E911" i="2"/>
  <c r="C911" i="2"/>
  <c r="B911" i="2"/>
  <c r="D912" i="2"/>
  <c r="F879" i="2"/>
  <c r="E879" i="2"/>
  <c r="B879" i="2"/>
  <c r="D880" i="2"/>
  <c r="C879" i="2"/>
  <c r="F847" i="2"/>
  <c r="E847" i="2"/>
  <c r="C847" i="2"/>
  <c r="B847" i="2"/>
  <c r="D848" i="2"/>
  <c r="R817" i="2"/>
  <c r="T816" i="2"/>
  <c r="M817" i="2"/>
  <c r="K818" i="2"/>
  <c r="T786" i="2"/>
  <c r="R787" i="2"/>
  <c r="K786" i="2"/>
  <c r="M785" i="2"/>
  <c r="R756" i="2"/>
  <c r="T755" i="2"/>
  <c r="K756" i="2"/>
  <c r="M755" i="2"/>
  <c r="M724" i="2"/>
  <c r="K725" i="2"/>
  <c r="T693" i="2"/>
  <c r="R694" i="2"/>
  <c r="K694" i="2"/>
  <c r="M693" i="2"/>
  <c r="M662" i="2"/>
  <c r="K663" i="2"/>
  <c r="R631" i="2"/>
  <c r="T630" i="2"/>
  <c r="K631" i="2"/>
  <c r="M630" i="2"/>
  <c r="D631" i="2"/>
  <c r="F630" i="2"/>
  <c r="R600" i="2"/>
  <c r="T599" i="2"/>
  <c r="M600" i="2"/>
  <c r="K601" i="2"/>
  <c r="D600" i="2"/>
  <c r="F599" i="2"/>
  <c r="F569" i="2"/>
  <c r="D570" i="2"/>
  <c r="R539" i="2"/>
  <c r="T538" i="2"/>
  <c r="M537" i="2"/>
  <c r="E10" i="2"/>
  <c r="F10" i="2"/>
  <c r="B10" i="2"/>
  <c r="C10" i="2"/>
  <c r="D11" i="2"/>
  <c r="D1380" i="2" l="1"/>
  <c r="C1379" i="2"/>
  <c r="B1379" i="2"/>
  <c r="F1379" i="2"/>
  <c r="E1379" i="2"/>
  <c r="D1348" i="2"/>
  <c r="C1347" i="2"/>
  <c r="B1347" i="2"/>
  <c r="F1347" i="2"/>
  <c r="E1347" i="2"/>
  <c r="D1317" i="2"/>
  <c r="C1316" i="2"/>
  <c r="B1316" i="2"/>
  <c r="F1316" i="2"/>
  <c r="E1316" i="2"/>
  <c r="F1282" i="2"/>
  <c r="E1282" i="2"/>
  <c r="C1282" i="2"/>
  <c r="B1282" i="2"/>
  <c r="D1283" i="2"/>
  <c r="D1252" i="2"/>
  <c r="B1251" i="2"/>
  <c r="F1251" i="2"/>
  <c r="E1251" i="2"/>
  <c r="C1251" i="2"/>
  <c r="D1222" i="2"/>
  <c r="B1221" i="2"/>
  <c r="F1221" i="2"/>
  <c r="E1221" i="2"/>
  <c r="C1221" i="2"/>
  <c r="F1190" i="2"/>
  <c r="E1190" i="2"/>
  <c r="C1190" i="2"/>
  <c r="B1190" i="2"/>
  <c r="D1191" i="2"/>
  <c r="F1159" i="2"/>
  <c r="E1159" i="2"/>
  <c r="C1159" i="2"/>
  <c r="D1160" i="2"/>
  <c r="B1159" i="2"/>
  <c r="C1127" i="2"/>
  <c r="B1127" i="2"/>
  <c r="D1128" i="2"/>
  <c r="F1127" i="2"/>
  <c r="E1127" i="2"/>
  <c r="F1097" i="2"/>
  <c r="D1098" i="2"/>
  <c r="E1097" i="2"/>
  <c r="B1097" i="2"/>
  <c r="C1097" i="2"/>
  <c r="F1066" i="2"/>
  <c r="D1067" i="2"/>
  <c r="C1066" i="2"/>
  <c r="B1066" i="2"/>
  <c r="E1066" i="2"/>
  <c r="C1034" i="2"/>
  <c r="D1035" i="2"/>
  <c r="B1034" i="2"/>
  <c r="F1034" i="2"/>
  <c r="E1034" i="2"/>
  <c r="D1007" i="2"/>
  <c r="C1006" i="2"/>
  <c r="B1006" i="2"/>
  <c r="F1006" i="2"/>
  <c r="E1006" i="2"/>
  <c r="F973" i="2"/>
  <c r="E973" i="2"/>
  <c r="C973" i="2"/>
  <c r="B973" i="2"/>
  <c r="D974" i="2"/>
  <c r="B943" i="2"/>
  <c r="E943" i="2"/>
  <c r="C943" i="2"/>
  <c r="D944" i="2"/>
  <c r="F943" i="2"/>
  <c r="B912" i="2"/>
  <c r="D913" i="2"/>
  <c r="F912" i="2"/>
  <c r="E912" i="2"/>
  <c r="C912" i="2"/>
  <c r="F880" i="2"/>
  <c r="E880" i="2"/>
  <c r="C880" i="2"/>
  <c r="B880" i="2"/>
  <c r="D881" i="2"/>
  <c r="D849" i="2"/>
  <c r="F848" i="2"/>
  <c r="B848" i="2"/>
  <c r="E848" i="2"/>
  <c r="C848" i="2"/>
  <c r="T817" i="2"/>
  <c r="R818" i="2"/>
  <c r="M818" i="2"/>
  <c r="K819" i="2"/>
  <c r="T787" i="2"/>
  <c r="R788" i="2"/>
  <c r="M786" i="2"/>
  <c r="K787" i="2"/>
  <c r="T756" i="2"/>
  <c r="R757" i="2"/>
  <c r="M756" i="2"/>
  <c r="K757" i="2"/>
  <c r="M725" i="2"/>
  <c r="K726" i="2"/>
  <c r="R695" i="2"/>
  <c r="T694" i="2"/>
  <c r="K695" i="2"/>
  <c r="M694" i="2"/>
  <c r="M663" i="2"/>
  <c r="K664" i="2"/>
  <c r="T631" i="2"/>
  <c r="R632" i="2"/>
  <c r="M631" i="2"/>
  <c r="K632" i="2"/>
  <c r="F631" i="2"/>
  <c r="D632" i="2"/>
  <c r="R601" i="2"/>
  <c r="T600" i="2"/>
  <c r="K602" i="2"/>
  <c r="M601" i="2"/>
  <c r="F600" i="2"/>
  <c r="D601" i="2"/>
  <c r="F570" i="2"/>
  <c r="D571" i="2"/>
  <c r="T539" i="2"/>
  <c r="R540" i="2"/>
  <c r="M538" i="2"/>
  <c r="E11" i="2"/>
  <c r="F11" i="2"/>
  <c r="B11" i="2"/>
  <c r="C11" i="2"/>
  <c r="D12" i="2"/>
  <c r="E1380" i="2" l="1"/>
  <c r="B1380" i="2"/>
  <c r="D1381" i="2"/>
  <c r="C1380" i="2"/>
  <c r="F1380" i="2"/>
  <c r="D1349" i="2"/>
  <c r="C1348" i="2"/>
  <c r="B1348" i="2"/>
  <c r="F1348" i="2"/>
  <c r="E1348" i="2"/>
  <c r="D1318" i="2"/>
  <c r="C1317" i="2"/>
  <c r="B1317" i="2"/>
  <c r="F1317" i="2"/>
  <c r="E1317" i="2"/>
  <c r="F1283" i="2"/>
  <c r="E1283" i="2"/>
  <c r="C1283" i="2"/>
  <c r="B1283" i="2"/>
  <c r="D1284" i="2"/>
  <c r="E1252" i="2"/>
  <c r="D1253" i="2"/>
  <c r="B1252" i="2"/>
  <c r="F1252" i="2"/>
  <c r="C1252" i="2"/>
  <c r="B1222" i="2"/>
  <c r="E1222" i="2"/>
  <c r="F1222" i="2"/>
  <c r="C1222" i="2"/>
  <c r="D1223" i="2"/>
  <c r="B1191" i="2"/>
  <c r="E1191" i="2"/>
  <c r="F1191" i="2"/>
  <c r="C1191" i="2"/>
  <c r="D1192" i="2"/>
  <c r="D1161" i="2"/>
  <c r="F1160" i="2"/>
  <c r="E1160" i="2"/>
  <c r="C1160" i="2"/>
  <c r="B1160" i="2"/>
  <c r="D1129" i="2"/>
  <c r="F1128" i="2"/>
  <c r="E1128" i="2"/>
  <c r="C1128" i="2"/>
  <c r="B1128" i="2"/>
  <c r="B1098" i="2"/>
  <c r="E1098" i="2"/>
  <c r="C1098" i="2"/>
  <c r="D1099" i="2"/>
  <c r="F1098" i="2"/>
  <c r="B1067" i="2"/>
  <c r="F1067" i="2"/>
  <c r="E1067" i="2"/>
  <c r="C1067" i="2"/>
  <c r="D1068" i="2"/>
  <c r="F1035" i="2"/>
  <c r="E1035" i="2"/>
  <c r="C1035" i="2"/>
  <c r="B1035" i="2"/>
  <c r="D1036" i="2"/>
  <c r="D1008" i="2"/>
  <c r="C1007" i="2"/>
  <c r="B1007" i="2"/>
  <c r="F1007" i="2"/>
  <c r="E1007" i="2"/>
  <c r="B974" i="2"/>
  <c r="C974" i="2"/>
  <c r="D975" i="2"/>
  <c r="F974" i="2"/>
  <c r="E974" i="2"/>
  <c r="D945" i="2"/>
  <c r="C944" i="2"/>
  <c r="B944" i="2"/>
  <c r="F944" i="2"/>
  <c r="E944" i="2"/>
  <c r="D914" i="2"/>
  <c r="C913" i="2"/>
  <c r="B913" i="2"/>
  <c r="F913" i="2"/>
  <c r="E913" i="2"/>
  <c r="B881" i="2"/>
  <c r="F881" i="2"/>
  <c r="E881" i="2"/>
  <c r="C881" i="2"/>
  <c r="D882" i="2"/>
  <c r="F849" i="2"/>
  <c r="E849" i="2"/>
  <c r="C849" i="2"/>
  <c r="B849" i="2"/>
  <c r="D850" i="2"/>
  <c r="R819" i="2"/>
  <c r="T818" i="2"/>
  <c r="M819" i="2"/>
  <c r="K820" i="2"/>
  <c r="T788" i="2"/>
  <c r="R789" i="2"/>
  <c r="M787" i="2"/>
  <c r="K788" i="2"/>
  <c r="T757" i="2"/>
  <c r="R758" i="2"/>
  <c r="M757" i="2"/>
  <c r="K758" i="2"/>
  <c r="M726" i="2"/>
  <c r="K727" i="2"/>
  <c r="R696" i="2"/>
  <c r="T695" i="2"/>
  <c r="K696" i="2"/>
  <c r="M695" i="2"/>
  <c r="M664" i="2"/>
  <c r="K665" i="2"/>
  <c r="T632" i="2"/>
  <c r="R633" i="2"/>
  <c r="M632" i="2"/>
  <c r="K633" i="2"/>
  <c r="F632" i="2"/>
  <c r="D633" i="2"/>
  <c r="R602" i="2"/>
  <c r="T601" i="2"/>
  <c r="M602" i="2"/>
  <c r="K603" i="2"/>
  <c r="F601" i="2"/>
  <c r="D602" i="2"/>
  <c r="F571" i="2"/>
  <c r="D572" i="2"/>
  <c r="T540" i="2"/>
  <c r="R541" i="2"/>
  <c r="M539" i="2"/>
  <c r="B12" i="2"/>
  <c r="E12" i="2"/>
  <c r="F12" i="2"/>
  <c r="C12" i="2"/>
  <c r="D13" i="2"/>
  <c r="F1381" i="2" l="1"/>
  <c r="D1382" i="2"/>
  <c r="C1381" i="2"/>
  <c r="B1381" i="2"/>
  <c r="E1381" i="2"/>
  <c r="E1349" i="2"/>
  <c r="D1350" i="2"/>
  <c r="C1349" i="2"/>
  <c r="B1349" i="2"/>
  <c r="F1349" i="2"/>
  <c r="E1318" i="2"/>
  <c r="D1319" i="2"/>
  <c r="C1318" i="2"/>
  <c r="B1318" i="2"/>
  <c r="F1318" i="2"/>
  <c r="B1284" i="2"/>
  <c r="C1284" i="2"/>
  <c r="D1285" i="2"/>
  <c r="F1284" i="2"/>
  <c r="E1284" i="2"/>
  <c r="B1253" i="2"/>
  <c r="E1253" i="2"/>
  <c r="D1254" i="2"/>
  <c r="F1253" i="2"/>
  <c r="C1253" i="2"/>
  <c r="D1224" i="2"/>
  <c r="C1223" i="2"/>
  <c r="B1223" i="2"/>
  <c r="F1223" i="2"/>
  <c r="E1223" i="2"/>
  <c r="D1193" i="2"/>
  <c r="C1192" i="2"/>
  <c r="B1192" i="2"/>
  <c r="E1192" i="2"/>
  <c r="F1192" i="2"/>
  <c r="D1162" i="2"/>
  <c r="F1161" i="2"/>
  <c r="E1161" i="2"/>
  <c r="C1161" i="2"/>
  <c r="B1161" i="2"/>
  <c r="B1129" i="2"/>
  <c r="F1129" i="2"/>
  <c r="E1129" i="2"/>
  <c r="C1129" i="2"/>
  <c r="D1130" i="2"/>
  <c r="D1100" i="2"/>
  <c r="C1099" i="2"/>
  <c r="B1099" i="2"/>
  <c r="F1099" i="2"/>
  <c r="E1099" i="2"/>
  <c r="D1069" i="2"/>
  <c r="C1068" i="2"/>
  <c r="B1068" i="2"/>
  <c r="E1068" i="2"/>
  <c r="F1068" i="2"/>
  <c r="B1036" i="2"/>
  <c r="D1037" i="2"/>
  <c r="E1036" i="2"/>
  <c r="C1036" i="2"/>
  <c r="F1036" i="2"/>
  <c r="E1008" i="2"/>
  <c r="D1009" i="2"/>
  <c r="C1008" i="2"/>
  <c r="B1008" i="2"/>
  <c r="F1008" i="2"/>
  <c r="D976" i="2"/>
  <c r="C975" i="2"/>
  <c r="B975" i="2"/>
  <c r="E975" i="2"/>
  <c r="F975" i="2"/>
  <c r="D946" i="2"/>
  <c r="C945" i="2"/>
  <c r="B945" i="2"/>
  <c r="F945" i="2"/>
  <c r="E945" i="2"/>
  <c r="D915" i="2"/>
  <c r="C914" i="2"/>
  <c r="B914" i="2"/>
  <c r="F914" i="2"/>
  <c r="E914" i="2"/>
  <c r="D883" i="2"/>
  <c r="C882" i="2"/>
  <c r="B882" i="2"/>
  <c r="F882" i="2"/>
  <c r="E882" i="2"/>
  <c r="B850" i="2"/>
  <c r="D851" i="2"/>
  <c r="F850" i="2"/>
  <c r="E850" i="2"/>
  <c r="C850" i="2"/>
  <c r="T819" i="2"/>
  <c r="R820" i="2"/>
  <c r="M820" i="2"/>
  <c r="K821" i="2"/>
  <c r="T789" i="2"/>
  <c r="R790" i="2"/>
  <c r="M788" i="2"/>
  <c r="K789" i="2"/>
  <c r="T758" i="2"/>
  <c r="R759" i="2"/>
  <c r="M758" i="2"/>
  <c r="K759" i="2"/>
  <c r="M727" i="2"/>
  <c r="K728" i="2"/>
  <c r="R697" i="2"/>
  <c r="T696" i="2"/>
  <c r="K697" i="2"/>
  <c r="M696" i="2"/>
  <c r="K666" i="2"/>
  <c r="M665" i="2"/>
  <c r="T633" i="2"/>
  <c r="R634" i="2"/>
  <c r="K634" i="2"/>
  <c r="M633" i="2"/>
  <c r="F633" i="2"/>
  <c r="D634" i="2"/>
  <c r="R603" i="2"/>
  <c r="T602" i="2"/>
  <c r="M603" i="2"/>
  <c r="K604" i="2"/>
  <c r="D603" i="2"/>
  <c r="F602" i="2"/>
  <c r="F572" i="2"/>
  <c r="D573" i="2"/>
  <c r="T541" i="2"/>
  <c r="R542" i="2"/>
  <c r="M540" i="2"/>
  <c r="E13" i="2"/>
  <c r="F13" i="2"/>
  <c r="C13" i="2"/>
  <c r="B13" i="2"/>
  <c r="D14" i="2"/>
  <c r="C1382" i="2" l="1"/>
  <c r="B1382" i="2"/>
  <c r="F1382" i="2"/>
  <c r="E1382" i="2"/>
  <c r="D1383" i="2"/>
  <c r="F1350" i="2"/>
  <c r="C1350" i="2"/>
  <c r="E1350" i="2"/>
  <c r="D1351" i="2"/>
  <c r="B1350" i="2"/>
  <c r="F1319" i="2"/>
  <c r="E1319" i="2"/>
  <c r="D1320" i="2"/>
  <c r="C1319" i="2"/>
  <c r="B1319" i="2"/>
  <c r="D1286" i="2"/>
  <c r="C1285" i="2"/>
  <c r="B1285" i="2"/>
  <c r="F1285" i="2"/>
  <c r="E1285" i="2"/>
  <c r="D1255" i="2"/>
  <c r="C1254" i="2"/>
  <c r="E1254" i="2"/>
  <c r="B1254" i="2"/>
  <c r="F1254" i="2"/>
  <c r="D1225" i="2"/>
  <c r="C1224" i="2"/>
  <c r="B1224" i="2"/>
  <c r="E1224" i="2"/>
  <c r="F1224" i="2"/>
  <c r="C1193" i="2"/>
  <c r="B1193" i="2"/>
  <c r="D1194" i="2"/>
  <c r="F1193" i="2"/>
  <c r="E1193" i="2"/>
  <c r="C1162" i="2"/>
  <c r="B1162" i="2"/>
  <c r="F1162" i="2"/>
  <c r="E1162" i="2"/>
  <c r="D1163" i="2"/>
  <c r="D1131" i="2"/>
  <c r="C1130" i="2"/>
  <c r="B1130" i="2"/>
  <c r="F1130" i="2"/>
  <c r="E1130" i="2"/>
  <c r="B1100" i="2"/>
  <c r="D1101" i="2"/>
  <c r="C1100" i="2"/>
  <c r="F1100" i="2"/>
  <c r="E1100" i="2"/>
  <c r="D1070" i="2"/>
  <c r="C1069" i="2"/>
  <c r="B1069" i="2"/>
  <c r="F1069" i="2"/>
  <c r="E1069" i="2"/>
  <c r="D1038" i="2"/>
  <c r="C1037" i="2"/>
  <c r="B1037" i="2"/>
  <c r="E1037" i="2"/>
  <c r="F1037" i="2"/>
  <c r="F1009" i="2"/>
  <c r="E1009" i="2"/>
  <c r="D1010" i="2"/>
  <c r="C1009" i="2"/>
  <c r="B1009" i="2"/>
  <c r="D977" i="2"/>
  <c r="C976" i="2"/>
  <c r="B976" i="2"/>
  <c r="F976" i="2"/>
  <c r="E976" i="2"/>
  <c r="E946" i="2"/>
  <c r="B946" i="2"/>
  <c r="D947" i="2"/>
  <c r="C946" i="2"/>
  <c r="F946" i="2"/>
  <c r="E915" i="2"/>
  <c r="D916" i="2"/>
  <c r="C915" i="2"/>
  <c r="B915" i="2"/>
  <c r="F915" i="2"/>
  <c r="D884" i="2"/>
  <c r="C883" i="2"/>
  <c r="B883" i="2"/>
  <c r="F883" i="2"/>
  <c r="E883" i="2"/>
  <c r="D852" i="2"/>
  <c r="C851" i="2"/>
  <c r="B851" i="2"/>
  <c r="F851" i="2"/>
  <c r="E851" i="2"/>
  <c r="T820" i="2"/>
  <c r="R821" i="2"/>
  <c r="M821" i="2"/>
  <c r="K822" i="2"/>
  <c r="T790" i="2"/>
  <c r="R791" i="2"/>
  <c r="M789" i="2"/>
  <c r="K790" i="2"/>
  <c r="T759" i="2"/>
  <c r="R760" i="2"/>
  <c r="M759" i="2"/>
  <c r="K760" i="2"/>
  <c r="K729" i="2"/>
  <c r="M728" i="2"/>
  <c r="R698" i="2"/>
  <c r="T697" i="2"/>
  <c r="K698" i="2"/>
  <c r="M697" i="2"/>
  <c r="M666" i="2"/>
  <c r="K667" i="2"/>
  <c r="T634" i="2"/>
  <c r="R635" i="2"/>
  <c r="M634" i="2"/>
  <c r="K635" i="2"/>
  <c r="F634" i="2"/>
  <c r="D635" i="2"/>
  <c r="R604" i="2"/>
  <c r="T603" i="2"/>
  <c r="M604" i="2"/>
  <c r="K605" i="2"/>
  <c r="F603" i="2"/>
  <c r="D604" i="2"/>
  <c r="F573" i="2"/>
  <c r="D574" i="2"/>
  <c r="T542" i="2"/>
  <c r="R543" i="2"/>
  <c r="M541" i="2"/>
  <c r="F14" i="2"/>
  <c r="B14" i="2"/>
  <c r="E14" i="2"/>
  <c r="C14" i="2"/>
  <c r="D15" i="2"/>
  <c r="E1383" i="2" l="1"/>
  <c r="D1384" i="2"/>
  <c r="F1383" i="2"/>
  <c r="C1383" i="2"/>
  <c r="B1383" i="2"/>
  <c r="D1352" i="2"/>
  <c r="C1351" i="2"/>
  <c r="F1351" i="2"/>
  <c r="B1351" i="2"/>
  <c r="E1351" i="2"/>
  <c r="F1320" i="2"/>
  <c r="E1320" i="2"/>
  <c r="D1321" i="2"/>
  <c r="C1320" i="2"/>
  <c r="B1320" i="2"/>
  <c r="D1287" i="2"/>
  <c r="C1286" i="2"/>
  <c r="B1286" i="2"/>
  <c r="F1286" i="2"/>
  <c r="E1286" i="2"/>
  <c r="E1255" i="2"/>
  <c r="D1256" i="2"/>
  <c r="C1255" i="2"/>
  <c r="B1255" i="2"/>
  <c r="F1255" i="2"/>
  <c r="E1225" i="2"/>
  <c r="B1225" i="2"/>
  <c r="D1226" i="2"/>
  <c r="C1225" i="2"/>
  <c r="F1225" i="2"/>
  <c r="E1194" i="2"/>
  <c r="D1195" i="2"/>
  <c r="C1194" i="2"/>
  <c r="B1194" i="2"/>
  <c r="F1194" i="2"/>
  <c r="D1164" i="2"/>
  <c r="F1163" i="2"/>
  <c r="E1163" i="2"/>
  <c r="C1163" i="2"/>
  <c r="B1163" i="2"/>
  <c r="B1131" i="2"/>
  <c r="D1132" i="2"/>
  <c r="C1131" i="2"/>
  <c r="F1131" i="2"/>
  <c r="E1131" i="2"/>
  <c r="E1101" i="2"/>
  <c r="B1101" i="2"/>
  <c r="D1102" i="2"/>
  <c r="C1101" i="2"/>
  <c r="F1101" i="2"/>
  <c r="E1070" i="2"/>
  <c r="C1070" i="2"/>
  <c r="B1070" i="2"/>
  <c r="D1071" i="2"/>
  <c r="F1070" i="2"/>
  <c r="B1038" i="2"/>
  <c r="D1039" i="2"/>
  <c r="C1038" i="2"/>
  <c r="F1038" i="2"/>
  <c r="E1038" i="2"/>
  <c r="F1010" i="2"/>
  <c r="E1010" i="2"/>
  <c r="D1011" i="2"/>
  <c r="C1010" i="2"/>
  <c r="B1010" i="2"/>
  <c r="E977" i="2"/>
  <c r="D978" i="2"/>
  <c r="C977" i="2"/>
  <c r="B977" i="2"/>
  <c r="F977" i="2"/>
  <c r="F947" i="2"/>
  <c r="E947" i="2"/>
  <c r="B947" i="2"/>
  <c r="C947" i="2"/>
  <c r="D948" i="2"/>
  <c r="F916" i="2"/>
  <c r="E916" i="2"/>
  <c r="C916" i="2"/>
  <c r="D917" i="2"/>
  <c r="B916" i="2"/>
  <c r="E884" i="2"/>
  <c r="C884" i="2"/>
  <c r="D885" i="2"/>
  <c r="B884" i="2"/>
  <c r="F884" i="2"/>
  <c r="D853" i="2"/>
  <c r="B852" i="2"/>
  <c r="C852" i="2"/>
  <c r="F852" i="2"/>
  <c r="E852" i="2"/>
  <c r="T821" i="2"/>
  <c r="R822" i="2"/>
  <c r="M822" i="2"/>
  <c r="K823" i="2"/>
  <c r="T791" i="2"/>
  <c r="R792" i="2"/>
  <c r="M790" i="2"/>
  <c r="K791" i="2"/>
  <c r="T760" i="2"/>
  <c r="R761" i="2"/>
  <c r="M760" i="2"/>
  <c r="K761" i="2"/>
  <c r="K730" i="2"/>
  <c r="M729" i="2"/>
  <c r="R699" i="2"/>
  <c r="T698" i="2"/>
  <c r="K699" i="2"/>
  <c r="M698" i="2"/>
  <c r="M667" i="2"/>
  <c r="K668" i="2"/>
  <c r="T635" i="2"/>
  <c r="R636" i="2"/>
  <c r="K636" i="2"/>
  <c r="M635" i="2"/>
  <c r="F635" i="2"/>
  <c r="D636" i="2"/>
  <c r="T604" i="2"/>
  <c r="R605" i="2"/>
  <c r="M605" i="2"/>
  <c r="K606" i="2"/>
  <c r="F604" i="2"/>
  <c r="D605" i="2"/>
  <c r="F574" i="2"/>
  <c r="D575" i="2"/>
  <c r="T543" i="2"/>
  <c r="R544" i="2"/>
  <c r="M542" i="2"/>
  <c r="B15" i="2"/>
  <c r="E15" i="2"/>
  <c r="C15" i="2"/>
  <c r="F15" i="2"/>
  <c r="D16" i="2"/>
  <c r="F1384" i="2" l="1"/>
  <c r="C1384" i="2"/>
  <c r="B1384" i="2"/>
  <c r="E1384" i="2"/>
  <c r="D1385" i="2"/>
  <c r="E1352" i="2"/>
  <c r="C1352" i="2"/>
  <c r="D1353" i="2"/>
  <c r="B1352" i="2"/>
  <c r="F1352" i="2"/>
  <c r="F1321" i="2"/>
  <c r="E1321" i="2"/>
  <c r="B1321" i="2"/>
  <c r="C1321" i="2"/>
  <c r="D1322" i="2"/>
  <c r="E1287" i="2"/>
  <c r="D1288" i="2"/>
  <c r="C1287" i="2"/>
  <c r="B1287" i="2"/>
  <c r="F1287" i="2"/>
  <c r="E1256" i="2"/>
  <c r="D1257" i="2"/>
  <c r="C1256" i="2"/>
  <c r="B1256" i="2"/>
  <c r="F1256" i="2"/>
  <c r="F1226" i="2"/>
  <c r="B1226" i="2"/>
  <c r="E1226" i="2"/>
  <c r="D1227" i="2"/>
  <c r="C1226" i="2"/>
  <c r="F1195" i="2"/>
  <c r="D1196" i="2"/>
  <c r="C1195" i="2"/>
  <c r="B1195" i="2"/>
  <c r="E1195" i="2"/>
  <c r="E1164" i="2"/>
  <c r="C1164" i="2"/>
  <c r="B1164" i="2"/>
  <c r="D1165" i="2"/>
  <c r="F1164" i="2"/>
  <c r="E1132" i="2"/>
  <c r="D1133" i="2"/>
  <c r="C1132" i="2"/>
  <c r="B1132" i="2"/>
  <c r="F1132" i="2"/>
  <c r="F1102" i="2"/>
  <c r="B1102" i="2"/>
  <c r="E1102" i="2"/>
  <c r="D1103" i="2"/>
  <c r="C1102" i="2"/>
  <c r="F1071" i="2"/>
  <c r="D1072" i="2"/>
  <c r="E1071" i="2"/>
  <c r="C1071" i="2"/>
  <c r="B1071" i="2"/>
  <c r="E1039" i="2"/>
  <c r="D1040" i="2"/>
  <c r="C1039" i="2"/>
  <c r="B1039" i="2"/>
  <c r="F1039" i="2"/>
  <c r="F1011" i="2"/>
  <c r="E1011" i="2"/>
  <c r="B1011" i="2"/>
  <c r="C1011" i="2"/>
  <c r="D1012" i="2"/>
  <c r="F978" i="2"/>
  <c r="E978" i="2"/>
  <c r="D979" i="2"/>
  <c r="C978" i="2"/>
  <c r="B978" i="2"/>
  <c r="F948" i="2"/>
  <c r="E948" i="2"/>
  <c r="D949" i="2"/>
  <c r="C948" i="2"/>
  <c r="B948" i="2"/>
  <c r="E917" i="2"/>
  <c r="B917" i="2"/>
  <c r="F917" i="2"/>
  <c r="D918" i="2"/>
  <c r="C917" i="2"/>
  <c r="F885" i="2"/>
  <c r="C885" i="2"/>
  <c r="E885" i="2"/>
  <c r="D886" i="2"/>
  <c r="B885" i="2"/>
  <c r="E853" i="2"/>
  <c r="D854" i="2"/>
  <c r="C853" i="2"/>
  <c r="B853" i="2"/>
  <c r="F853" i="2"/>
  <c r="T822" i="2"/>
  <c r="R823" i="2"/>
  <c r="M823" i="2"/>
  <c r="K824" i="2"/>
  <c r="T792" i="2"/>
  <c r="R793" i="2"/>
  <c r="M791" i="2"/>
  <c r="K792" i="2"/>
  <c r="T761" i="2"/>
  <c r="R762" i="2"/>
  <c r="K762" i="2"/>
  <c r="M761" i="2"/>
  <c r="K731" i="2"/>
  <c r="M730" i="2"/>
  <c r="T699" i="2"/>
  <c r="R700" i="2"/>
  <c r="K700" i="2"/>
  <c r="M699" i="2"/>
  <c r="M668" i="2"/>
  <c r="K669" i="2"/>
  <c r="T636" i="2"/>
  <c r="R637" i="2"/>
  <c r="M636" i="2"/>
  <c r="K637" i="2"/>
  <c r="F636" i="2"/>
  <c r="D637" i="2"/>
  <c r="R606" i="2"/>
  <c r="T605" i="2"/>
  <c r="K607" i="2"/>
  <c r="M606" i="2"/>
  <c r="F605" i="2"/>
  <c r="D606" i="2"/>
  <c r="D576" i="2"/>
  <c r="F575" i="2"/>
  <c r="R545" i="2"/>
  <c r="T544" i="2"/>
  <c r="M543" i="2"/>
  <c r="B16" i="2"/>
  <c r="E16" i="2"/>
  <c r="C16" i="2"/>
  <c r="F16" i="2"/>
  <c r="D17" i="2"/>
  <c r="F1385" i="2" l="1"/>
  <c r="D1386" i="2"/>
  <c r="B1385" i="2"/>
  <c r="E1385" i="2"/>
  <c r="C1385" i="2"/>
  <c r="D1354" i="2"/>
  <c r="F1353" i="2"/>
  <c r="E1353" i="2"/>
  <c r="C1353" i="2"/>
  <c r="B1353" i="2"/>
  <c r="F1322" i="2"/>
  <c r="E1322" i="2"/>
  <c r="C1322" i="2"/>
  <c r="D1323" i="2"/>
  <c r="B1322" i="2"/>
  <c r="F1288" i="2"/>
  <c r="E1288" i="2"/>
  <c r="D1289" i="2"/>
  <c r="C1288" i="2"/>
  <c r="B1288" i="2"/>
  <c r="F1257" i="2"/>
  <c r="B1257" i="2"/>
  <c r="E1257" i="2"/>
  <c r="D1258" i="2"/>
  <c r="C1257" i="2"/>
  <c r="B1227" i="2"/>
  <c r="F1227" i="2"/>
  <c r="E1227" i="2"/>
  <c r="D1228" i="2"/>
  <c r="C1227" i="2"/>
  <c r="E1196" i="2"/>
  <c r="D1197" i="2"/>
  <c r="C1196" i="2"/>
  <c r="F1196" i="2"/>
  <c r="B1196" i="2"/>
  <c r="C1165" i="2"/>
  <c r="B1165" i="2"/>
  <c r="F1165" i="2"/>
  <c r="E1165" i="2"/>
  <c r="D1166" i="2"/>
  <c r="F1133" i="2"/>
  <c r="D1134" i="2"/>
  <c r="C1133" i="2"/>
  <c r="E1133" i="2"/>
  <c r="B1133" i="2"/>
  <c r="E1103" i="2"/>
  <c r="D1104" i="2"/>
  <c r="F1103" i="2"/>
  <c r="C1103" i="2"/>
  <c r="B1103" i="2"/>
  <c r="C1072" i="2"/>
  <c r="B1072" i="2"/>
  <c r="F1072" i="2"/>
  <c r="E1072" i="2"/>
  <c r="D1073" i="2"/>
  <c r="F1040" i="2"/>
  <c r="E1040" i="2"/>
  <c r="D1041" i="2"/>
  <c r="C1040" i="2"/>
  <c r="B1040" i="2"/>
  <c r="F1012" i="2"/>
  <c r="E1012" i="2"/>
  <c r="B1012" i="2"/>
  <c r="C1012" i="2"/>
  <c r="D1013" i="2"/>
  <c r="F979" i="2"/>
  <c r="E979" i="2"/>
  <c r="D980" i="2"/>
  <c r="B979" i="2"/>
  <c r="C979" i="2"/>
  <c r="F949" i="2"/>
  <c r="D950" i="2"/>
  <c r="C949" i="2"/>
  <c r="B949" i="2"/>
  <c r="E949" i="2"/>
  <c r="F918" i="2"/>
  <c r="E918" i="2"/>
  <c r="D919" i="2"/>
  <c r="C918" i="2"/>
  <c r="B918" i="2"/>
  <c r="F886" i="2"/>
  <c r="E886" i="2"/>
  <c r="D887" i="2"/>
  <c r="C886" i="2"/>
  <c r="B886" i="2"/>
  <c r="F854" i="2"/>
  <c r="D855" i="2"/>
  <c r="E854" i="2"/>
  <c r="C854" i="2"/>
  <c r="B854" i="2"/>
  <c r="R824" i="2"/>
  <c r="T823" i="2"/>
  <c r="M824" i="2"/>
  <c r="K825" i="2"/>
  <c r="T793" i="2"/>
  <c r="R794" i="2"/>
  <c r="M792" i="2"/>
  <c r="K793" i="2"/>
  <c r="R763" i="2"/>
  <c r="T762" i="2"/>
  <c r="M762" i="2"/>
  <c r="K763" i="2"/>
  <c r="K732" i="2"/>
  <c r="M731" i="2"/>
  <c r="R701" i="2"/>
  <c r="T700" i="2"/>
  <c r="K701" i="2"/>
  <c r="M700" i="2"/>
  <c r="K670" i="2"/>
  <c r="M669" i="2"/>
  <c r="T637" i="2"/>
  <c r="R638" i="2"/>
  <c r="M637" i="2"/>
  <c r="K638" i="2"/>
  <c r="F637" i="2"/>
  <c r="D638" i="2"/>
  <c r="R607" i="2"/>
  <c r="T606" i="2"/>
  <c r="M607" i="2"/>
  <c r="K608" i="2"/>
  <c r="F606" i="2"/>
  <c r="D607" i="2"/>
  <c r="D577" i="2"/>
  <c r="F576" i="2"/>
  <c r="T545" i="2"/>
  <c r="R546" i="2"/>
  <c r="M544" i="2"/>
  <c r="E17" i="2"/>
  <c r="F17" i="2"/>
  <c r="B17" i="2"/>
  <c r="C17" i="2"/>
  <c r="D18" i="2"/>
  <c r="F1386" i="2" l="1"/>
  <c r="D1387" i="2"/>
  <c r="C1386" i="2"/>
  <c r="B1386" i="2"/>
  <c r="E1386" i="2"/>
  <c r="F1354" i="2"/>
  <c r="B1354" i="2"/>
  <c r="D1355" i="2"/>
  <c r="C1354" i="2"/>
  <c r="E1354" i="2"/>
  <c r="F1323" i="2"/>
  <c r="E1323" i="2"/>
  <c r="B1323" i="2"/>
  <c r="C1323" i="2"/>
  <c r="D1324" i="2"/>
  <c r="D1290" i="2"/>
  <c r="F1289" i="2"/>
  <c r="E1289" i="2"/>
  <c r="C1289" i="2"/>
  <c r="B1289" i="2"/>
  <c r="F1258" i="2"/>
  <c r="C1258" i="2"/>
  <c r="B1258" i="2"/>
  <c r="E1258" i="2"/>
  <c r="D1259" i="2"/>
  <c r="E1228" i="2"/>
  <c r="D1229" i="2"/>
  <c r="F1228" i="2"/>
  <c r="C1228" i="2"/>
  <c r="B1228" i="2"/>
  <c r="F1197" i="2"/>
  <c r="E1197" i="2"/>
  <c r="D1198" i="2"/>
  <c r="C1197" i="2"/>
  <c r="B1197" i="2"/>
  <c r="F1166" i="2"/>
  <c r="D1167" i="2"/>
  <c r="E1166" i="2"/>
  <c r="C1166" i="2"/>
  <c r="B1166" i="2"/>
  <c r="E1134" i="2"/>
  <c r="D1135" i="2"/>
  <c r="C1134" i="2"/>
  <c r="F1134" i="2"/>
  <c r="B1134" i="2"/>
  <c r="E1104" i="2"/>
  <c r="C1104" i="2"/>
  <c r="F1104" i="2"/>
  <c r="D1105" i="2"/>
  <c r="B1104" i="2"/>
  <c r="F1073" i="2"/>
  <c r="D1074" i="2"/>
  <c r="C1073" i="2"/>
  <c r="E1073" i="2"/>
  <c r="B1073" i="2"/>
  <c r="F1041" i="2"/>
  <c r="E1041" i="2"/>
  <c r="D1042" i="2"/>
  <c r="C1041" i="2"/>
  <c r="B1041" i="2"/>
  <c r="E1013" i="2"/>
  <c r="D1014" i="2"/>
  <c r="F1013" i="2"/>
  <c r="C1013" i="2"/>
  <c r="B1013" i="2"/>
  <c r="F980" i="2"/>
  <c r="E980" i="2"/>
  <c r="C980" i="2"/>
  <c r="B980" i="2"/>
  <c r="D981" i="2"/>
  <c r="B950" i="2"/>
  <c r="E950" i="2"/>
  <c r="D951" i="2"/>
  <c r="C950" i="2"/>
  <c r="F950" i="2"/>
  <c r="E919" i="2"/>
  <c r="F919" i="2"/>
  <c r="D920" i="2"/>
  <c r="C919" i="2"/>
  <c r="B919" i="2"/>
  <c r="F887" i="2"/>
  <c r="E887" i="2"/>
  <c r="C887" i="2"/>
  <c r="B887" i="2"/>
  <c r="D888" i="2"/>
  <c r="F855" i="2"/>
  <c r="E855" i="2"/>
  <c r="C855" i="2"/>
  <c r="D856" i="2"/>
  <c r="B855" i="2"/>
  <c r="T824" i="2"/>
  <c r="R825" i="2"/>
  <c r="M825" i="2"/>
  <c r="K826" i="2"/>
  <c r="R795" i="2"/>
  <c r="T794" i="2"/>
  <c r="M793" i="2"/>
  <c r="K794" i="2"/>
  <c r="R764" i="2"/>
  <c r="T763" i="2"/>
  <c r="M763" i="2"/>
  <c r="K764" i="2"/>
  <c r="K733" i="2"/>
  <c r="M732" i="2"/>
  <c r="R702" i="2"/>
  <c r="T701" i="2"/>
  <c r="K702" i="2"/>
  <c r="M701" i="2"/>
  <c r="K671" i="2"/>
  <c r="M670" i="2"/>
  <c r="T638" i="2"/>
  <c r="R639" i="2"/>
  <c r="M638" i="2"/>
  <c r="K639" i="2"/>
  <c r="F638" i="2"/>
  <c r="D639" i="2"/>
  <c r="T607" i="2"/>
  <c r="R608" i="2"/>
  <c r="K609" i="2"/>
  <c r="M608" i="2"/>
  <c r="F607" i="2"/>
  <c r="D608" i="2"/>
  <c r="D578" i="2"/>
  <c r="F577" i="2"/>
  <c r="R547" i="2"/>
  <c r="T546" i="2"/>
  <c r="M545" i="2"/>
  <c r="E18" i="2"/>
  <c r="B18" i="2"/>
  <c r="F18" i="2"/>
  <c r="C18" i="2"/>
  <c r="D19" i="2"/>
  <c r="F1387" i="2" l="1"/>
  <c r="E1387" i="2"/>
  <c r="D1388" i="2"/>
  <c r="C1387" i="2"/>
  <c r="B1387" i="2"/>
  <c r="F1355" i="2"/>
  <c r="E1355" i="2"/>
  <c r="D1356" i="2"/>
  <c r="C1355" i="2"/>
  <c r="B1355" i="2"/>
  <c r="C1324" i="2"/>
  <c r="B1324" i="2"/>
  <c r="D1325" i="2"/>
  <c r="F1324" i="2"/>
  <c r="E1324" i="2"/>
  <c r="F1290" i="2"/>
  <c r="E1290" i="2"/>
  <c r="D1291" i="2"/>
  <c r="C1290" i="2"/>
  <c r="B1290" i="2"/>
  <c r="C1259" i="2"/>
  <c r="E1259" i="2"/>
  <c r="F1259" i="2"/>
  <c r="D1260" i="2"/>
  <c r="B1259" i="2"/>
  <c r="F1229" i="2"/>
  <c r="E1229" i="2"/>
  <c r="D1230" i="2"/>
  <c r="C1229" i="2"/>
  <c r="B1229" i="2"/>
  <c r="F1198" i="2"/>
  <c r="E1198" i="2"/>
  <c r="C1198" i="2"/>
  <c r="B1198" i="2"/>
  <c r="D1199" i="2"/>
  <c r="C1167" i="2"/>
  <c r="B1167" i="2"/>
  <c r="D1168" i="2"/>
  <c r="F1167" i="2"/>
  <c r="E1167" i="2"/>
  <c r="F1135" i="2"/>
  <c r="D1136" i="2"/>
  <c r="C1135" i="2"/>
  <c r="E1135" i="2"/>
  <c r="B1135" i="2"/>
  <c r="C1105" i="2"/>
  <c r="F1105" i="2"/>
  <c r="E1105" i="2"/>
  <c r="D1106" i="2"/>
  <c r="B1105" i="2"/>
  <c r="F1074" i="2"/>
  <c r="C1074" i="2"/>
  <c r="B1074" i="2"/>
  <c r="E1074" i="2"/>
  <c r="D1075" i="2"/>
  <c r="E1042" i="2"/>
  <c r="F1042" i="2"/>
  <c r="D1043" i="2"/>
  <c r="C1042" i="2"/>
  <c r="B1042" i="2"/>
  <c r="C1014" i="2"/>
  <c r="B1014" i="2"/>
  <c r="D1015" i="2"/>
  <c r="F1014" i="2"/>
  <c r="E1014" i="2"/>
  <c r="F981" i="2"/>
  <c r="B981" i="2"/>
  <c r="D982" i="2"/>
  <c r="E981" i="2"/>
  <c r="C981" i="2"/>
  <c r="F951" i="2"/>
  <c r="E951" i="2"/>
  <c r="C951" i="2"/>
  <c r="B951" i="2"/>
  <c r="D952" i="2"/>
  <c r="F920" i="2"/>
  <c r="E920" i="2"/>
  <c r="B920" i="2"/>
  <c r="C920" i="2"/>
  <c r="D921" i="2"/>
  <c r="F888" i="2"/>
  <c r="E888" i="2"/>
  <c r="B888" i="2"/>
  <c r="D889" i="2"/>
  <c r="C888" i="2"/>
  <c r="F856" i="2"/>
  <c r="C856" i="2"/>
  <c r="E856" i="2"/>
  <c r="D857" i="2"/>
  <c r="B856" i="2"/>
  <c r="R826" i="2"/>
  <c r="T825" i="2"/>
  <c r="M826" i="2"/>
  <c r="K827" i="2"/>
  <c r="R796" i="2"/>
  <c r="T795" i="2"/>
  <c r="K795" i="2"/>
  <c r="M794" i="2"/>
  <c r="R765" i="2"/>
  <c r="T764" i="2"/>
  <c r="M764" i="2"/>
  <c r="K765" i="2"/>
  <c r="K734" i="2"/>
  <c r="M733" i="2"/>
  <c r="R703" i="2"/>
  <c r="T702" i="2"/>
  <c r="K703" i="2"/>
  <c r="M702" i="2"/>
  <c r="K672" i="2"/>
  <c r="M671" i="2"/>
  <c r="T639" i="2"/>
  <c r="R640" i="2"/>
  <c r="K640" i="2"/>
  <c r="M639" i="2"/>
  <c r="F639" i="2"/>
  <c r="D640" i="2"/>
  <c r="R609" i="2"/>
  <c r="T608" i="2"/>
  <c r="K610" i="2"/>
  <c r="M609" i="2"/>
  <c r="F608" i="2"/>
  <c r="D609" i="2"/>
  <c r="D579" i="2"/>
  <c r="F578" i="2"/>
  <c r="R548" i="2"/>
  <c r="T547" i="2"/>
  <c r="M546" i="2"/>
  <c r="E19" i="2"/>
  <c r="B19" i="2"/>
  <c r="F19" i="2"/>
  <c r="C19" i="2"/>
  <c r="D20" i="2"/>
  <c r="F1388" i="2" l="1"/>
  <c r="E1388" i="2"/>
  <c r="C1388" i="2"/>
  <c r="B1388" i="2"/>
  <c r="D1389" i="2"/>
  <c r="F1356" i="2"/>
  <c r="E1356" i="2"/>
  <c r="D1357" i="2"/>
  <c r="C1356" i="2"/>
  <c r="B1356" i="2"/>
  <c r="F1325" i="2"/>
  <c r="E1325" i="2"/>
  <c r="C1325" i="2"/>
  <c r="B1325" i="2"/>
  <c r="D1326" i="2"/>
  <c r="F1291" i="2"/>
  <c r="E1291" i="2"/>
  <c r="C1291" i="2"/>
  <c r="B1291" i="2"/>
  <c r="D1292" i="2"/>
  <c r="F1260" i="2"/>
  <c r="E1260" i="2"/>
  <c r="D1261" i="2"/>
  <c r="C1260" i="2"/>
  <c r="B1260" i="2"/>
  <c r="F1230" i="2"/>
  <c r="E1230" i="2"/>
  <c r="D1231" i="2"/>
  <c r="C1230" i="2"/>
  <c r="B1230" i="2"/>
  <c r="F1199" i="2"/>
  <c r="E1199" i="2"/>
  <c r="C1199" i="2"/>
  <c r="B1199" i="2"/>
  <c r="D1200" i="2"/>
  <c r="B1168" i="2"/>
  <c r="F1168" i="2"/>
  <c r="E1168" i="2"/>
  <c r="C1168" i="2"/>
  <c r="D1169" i="2"/>
  <c r="F1136" i="2"/>
  <c r="E1136" i="2"/>
  <c r="D1137" i="2"/>
  <c r="C1136" i="2"/>
  <c r="B1136" i="2"/>
  <c r="F1106" i="2"/>
  <c r="E1106" i="2"/>
  <c r="C1106" i="2"/>
  <c r="D1107" i="2"/>
  <c r="B1106" i="2"/>
  <c r="F1075" i="2"/>
  <c r="E1075" i="2"/>
  <c r="D1076" i="2"/>
  <c r="C1075" i="2"/>
  <c r="B1075" i="2"/>
  <c r="F1043" i="2"/>
  <c r="E1043" i="2"/>
  <c r="C1043" i="2"/>
  <c r="B1043" i="2"/>
  <c r="D1044" i="2"/>
  <c r="F1015" i="2"/>
  <c r="E1015" i="2"/>
  <c r="C1015" i="2"/>
  <c r="B1015" i="2"/>
  <c r="D1016" i="2"/>
  <c r="B982" i="2"/>
  <c r="F982" i="2"/>
  <c r="C982" i="2"/>
  <c r="D983" i="2"/>
  <c r="E982" i="2"/>
  <c r="F952" i="2"/>
  <c r="E952" i="2"/>
  <c r="D953" i="2"/>
  <c r="C952" i="2"/>
  <c r="B952" i="2"/>
  <c r="F921" i="2"/>
  <c r="E921" i="2"/>
  <c r="D922" i="2"/>
  <c r="C921" i="2"/>
  <c r="B921" i="2"/>
  <c r="F889" i="2"/>
  <c r="E889" i="2"/>
  <c r="B889" i="2"/>
  <c r="D890" i="2"/>
  <c r="C889" i="2"/>
  <c r="F857" i="2"/>
  <c r="E857" i="2"/>
  <c r="D858" i="2"/>
  <c r="C857" i="2"/>
  <c r="B857" i="2"/>
  <c r="T826" i="2"/>
  <c r="R827" i="2"/>
  <c r="K828" i="2"/>
  <c r="M827" i="2"/>
  <c r="R797" i="2"/>
  <c r="T796" i="2"/>
  <c r="K796" i="2"/>
  <c r="M795" i="2"/>
  <c r="R766" i="2"/>
  <c r="T765" i="2"/>
  <c r="K766" i="2"/>
  <c r="M765" i="2"/>
  <c r="K735" i="2"/>
  <c r="M734" i="2"/>
  <c r="R704" i="2"/>
  <c r="T703" i="2"/>
  <c r="K704" i="2"/>
  <c r="M703" i="2"/>
  <c r="M672" i="2"/>
  <c r="K673" i="2"/>
  <c r="T640" i="2"/>
  <c r="R641" i="2"/>
  <c r="M640" i="2"/>
  <c r="K641" i="2"/>
  <c r="F640" i="2"/>
  <c r="D641" i="2"/>
  <c r="R610" i="2"/>
  <c r="T609" i="2"/>
  <c r="K611" i="2"/>
  <c r="M610" i="2"/>
  <c r="F609" i="2"/>
  <c r="D610" i="2"/>
  <c r="D580" i="2"/>
  <c r="F579" i="2"/>
  <c r="R549" i="2"/>
  <c r="T548" i="2"/>
  <c r="M547" i="2"/>
  <c r="B20" i="2"/>
  <c r="E20" i="2"/>
  <c r="F20" i="2"/>
  <c r="C20" i="2"/>
  <c r="D21" i="2"/>
  <c r="E1389" i="2" l="1"/>
  <c r="F1389" i="2"/>
  <c r="C1389" i="2"/>
  <c r="D1390" i="2"/>
  <c r="B1389" i="2"/>
  <c r="E1357" i="2"/>
  <c r="F1357" i="2"/>
  <c r="B1357" i="2"/>
  <c r="C1357" i="2"/>
  <c r="D1358" i="2"/>
  <c r="B1326" i="2"/>
  <c r="E1326" i="2"/>
  <c r="F1326" i="2"/>
  <c r="C1326" i="2"/>
  <c r="D1327" i="2"/>
  <c r="F1292" i="2"/>
  <c r="E1292" i="2"/>
  <c r="B1292" i="2"/>
  <c r="D1293" i="2"/>
  <c r="C1292" i="2"/>
  <c r="F1261" i="2"/>
  <c r="E1261" i="2"/>
  <c r="D1262" i="2"/>
  <c r="C1261" i="2"/>
  <c r="B1261" i="2"/>
  <c r="F1231" i="2"/>
  <c r="E1231" i="2"/>
  <c r="D1232" i="2"/>
  <c r="C1231" i="2"/>
  <c r="B1231" i="2"/>
  <c r="D1201" i="2"/>
  <c r="F1200" i="2"/>
  <c r="B1200" i="2"/>
  <c r="E1200" i="2"/>
  <c r="C1200" i="2"/>
  <c r="D1170" i="2"/>
  <c r="C1169" i="2"/>
  <c r="B1169" i="2"/>
  <c r="F1169" i="2"/>
  <c r="E1169" i="2"/>
  <c r="F1137" i="2"/>
  <c r="E1137" i="2"/>
  <c r="B1137" i="2"/>
  <c r="C1137" i="2"/>
  <c r="D1138" i="2"/>
  <c r="F1107" i="2"/>
  <c r="E1107" i="2"/>
  <c r="D1108" i="2"/>
  <c r="C1107" i="2"/>
  <c r="B1107" i="2"/>
  <c r="F1076" i="2"/>
  <c r="E1076" i="2"/>
  <c r="D1077" i="2"/>
  <c r="C1076" i="2"/>
  <c r="B1076" i="2"/>
  <c r="F1044" i="2"/>
  <c r="E1044" i="2"/>
  <c r="D1045" i="2"/>
  <c r="B1044" i="2"/>
  <c r="C1044" i="2"/>
  <c r="F1016" i="2"/>
  <c r="E1016" i="2"/>
  <c r="C1016" i="2"/>
  <c r="B1016" i="2"/>
  <c r="D1017" i="2"/>
  <c r="D984" i="2"/>
  <c r="C983" i="2"/>
  <c r="B983" i="2"/>
  <c r="F983" i="2"/>
  <c r="E983" i="2"/>
  <c r="F953" i="2"/>
  <c r="E953" i="2"/>
  <c r="D954" i="2"/>
  <c r="C953" i="2"/>
  <c r="B953" i="2"/>
  <c r="F922" i="2"/>
  <c r="E922" i="2"/>
  <c r="B922" i="2"/>
  <c r="C922" i="2"/>
  <c r="D923" i="2"/>
  <c r="F890" i="2"/>
  <c r="E890" i="2"/>
  <c r="C890" i="2"/>
  <c r="B890" i="2"/>
  <c r="D891" i="2"/>
  <c r="F858" i="2"/>
  <c r="E858" i="2"/>
  <c r="B858" i="2"/>
  <c r="C858" i="2"/>
  <c r="D859" i="2"/>
  <c r="T827" i="2"/>
  <c r="R828" i="2"/>
  <c r="K829" i="2"/>
  <c r="M828" i="2"/>
  <c r="R798" i="2"/>
  <c r="T797" i="2"/>
  <c r="M796" i="2"/>
  <c r="K797" i="2"/>
  <c r="R767" i="2"/>
  <c r="T766" i="2"/>
  <c r="K767" i="2"/>
  <c r="M766" i="2"/>
  <c r="K736" i="2"/>
  <c r="M735" i="2"/>
  <c r="R705" i="2"/>
  <c r="T704" i="2"/>
  <c r="K705" i="2"/>
  <c r="M704" i="2"/>
  <c r="K674" i="2"/>
  <c r="M673" i="2"/>
  <c r="T641" i="2"/>
  <c r="R642" i="2"/>
  <c r="M641" i="2"/>
  <c r="K642" i="2"/>
  <c r="F641" i="2"/>
  <c r="D642" i="2"/>
  <c r="R611" i="2"/>
  <c r="T610" i="2"/>
  <c r="K612" i="2"/>
  <c r="M611" i="2"/>
  <c r="D611" i="2"/>
  <c r="F610" i="2"/>
  <c r="D581" i="2"/>
  <c r="F580" i="2"/>
  <c r="R550" i="2"/>
  <c r="T549" i="2"/>
  <c r="M548" i="2"/>
  <c r="C21" i="2"/>
  <c r="B21" i="2"/>
  <c r="E21" i="2"/>
  <c r="F21" i="2"/>
  <c r="D22" i="2"/>
  <c r="F1390" i="2" l="1"/>
  <c r="D1391" i="2"/>
  <c r="C1390" i="2"/>
  <c r="E1390" i="2"/>
  <c r="B1390" i="2"/>
  <c r="F1358" i="2"/>
  <c r="C1358" i="2"/>
  <c r="B1358" i="2"/>
  <c r="E1358" i="2"/>
  <c r="D1359" i="2"/>
  <c r="B1327" i="2"/>
  <c r="D1328" i="2"/>
  <c r="F1327" i="2"/>
  <c r="E1327" i="2"/>
  <c r="C1327" i="2"/>
  <c r="F1293" i="2"/>
  <c r="E1293" i="2"/>
  <c r="C1293" i="2"/>
  <c r="B1293" i="2"/>
  <c r="D1294" i="2"/>
  <c r="E1262" i="2"/>
  <c r="F1262" i="2"/>
  <c r="D1263" i="2"/>
  <c r="C1262" i="2"/>
  <c r="B1262" i="2"/>
  <c r="F1232" i="2"/>
  <c r="E1232" i="2"/>
  <c r="B1232" i="2"/>
  <c r="C1232" i="2"/>
  <c r="D1233" i="2"/>
  <c r="C1201" i="2"/>
  <c r="B1201" i="2"/>
  <c r="E1201" i="2"/>
  <c r="D1202" i="2"/>
  <c r="F1201" i="2"/>
  <c r="D1171" i="2"/>
  <c r="C1170" i="2"/>
  <c r="B1170" i="2"/>
  <c r="F1170" i="2"/>
  <c r="E1170" i="2"/>
  <c r="F1138" i="2"/>
  <c r="D1139" i="2"/>
  <c r="C1138" i="2"/>
  <c r="B1138" i="2"/>
  <c r="E1138" i="2"/>
  <c r="F1108" i="2"/>
  <c r="E1108" i="2"/>
  <c r="D1109" i="2"/>
  <c r="C1108" i="2"/>
  <c r="B1108" i="2"/>
  <c r="F1077" i="2"/>
  <c r="E1077" i="2"/>
  <c r="B1077" i="2"/>
  <c r="D1078" i="2"/>
  <c r="C1077" i="2"/>
  <c r="F1045" i="2"/>
  <c r="E1045" i="2"/>
  <c r="C1045" i="2"/>
  <c r="B1045" i="2"/>
  <c r="D1046" i="2"/>
  <c r="B1017" i="2"/>
  <c r="D1018" i="2"/>
  <c r="F1017" i="2"/>
  <c r="E1017" i="2"/>
  <c r="C1017" i="2"/>
  <c r="D985" i="2"/>
  <c r="C984" i="2"/>
  <c r="B984" i="2"/>
  <c r="F984" i="2"/>
  <c r="E984" i="2"/>
  <c r="F954" i="2"/>
  <c r="E954" i="2"/>
  <c r="D955" i="2"/>
  <c r="C954" i="2"/>
  <c r="B954" i="2"/>
  <c r="D924" i="2"/>
  <c r="F923" i="2"/>
  <c r="E923" i="2"/>
  <c r="C923" i="2"/>
  <c r="B923" i="2"/>
  <c r="C891" i="2"/>
  <c r="D892" i="2"/>
  <c r="B891" i="2"/>
  <c r="F891" i="2"/>
  <c r="E891" i="2"/>
  <c r="F859" i="2"/>
  <c r="D860" i="2"/>
  <c r="C859" i="2"/>
  <c r="B859" i="2"/>
  <c r="E859" i="2"/>
  <c r="R829" i="2"/>
  <c r="T828" i="2"/>
  <c r="K830" i="2"/>
  <c r="M829" i="2"/>
  <c r="R799" i="2"/>
  <c r="T798" i="2"/>
  <c r="K798" i="2"/>
  <c r="M797" i="2"/>
  <c r="T767" i="2"/>
  <c r="R768" i="2"/>
  <c r="K768" i="2"/>
  <c r="M767" i="2"/>
  <c r="K737" i="2"/>
  <c r="M736" i="2"/>
  <c r="R706" i="2"/>
  <c r="T705" i="2"/>
  <c r="K706" i="2"/>
  <c r="M705" i="2"/>
  <c r="M674" i="2"/>
  <c r="K675" i="2"/>
  <c r="T642" i="2"/>
  <c r="R643" i="2"/>
  <c r="M642" i="2"/>
  <c r="K643" i="2"/>
  <c r="F642" i="2"/>
  <c r="D643" i="2"/>
  <c r="R612" i="2"/>
  <c r="T611" i="2"/>
  <c r="K613" i="2"/>
  <c r="M612" i="2"/>
  <c r="F611" i="2"/>
  <c r="D612" i="2"/>
  <c r="D582" i="2"/>
  <c r="F581" i="2"/>
  <c r="R551" i="2"/>
  <c r="T550" i="2"/>
  <c r="M549" i="2"/>
  <c r="B22" i="2"/>
  <c r="E22" i="2"/>
  <c r="F22" i="2"/>
  <c r="C22" i="2"/>
  <c r="D23" i="2"/>
  <c r="F1391" i="2" l="1"/>
  <c r="K1369" i="2"/>
  <c r="E1391" i="2"/>
  <c r="C1391" i="2"/>
  <c r="B1391" i="2"/>
  <c r="D1360" i="2"/>
  <c r="F1359" i="2"/>
  <c r="E1359" i="2"/>
  <c r="C1359" i="2"/>
  <c r="B1359" i="2"/>
  <c r="F1328" i="2"/>
  <c r="E1328" i="2"/>
  <c r="C1328" i="2"/>
  <c r="B1328" i="2"/>
  <c r="D1329" i="2"/>
  <c r="D1295" i="2"/>
  <c r="C1294" i="2"/>
  <c r="F1294" i="2"/>
  <c r="E1294" i="2"/>
  <c r="B1294" i="2"/>
  <c r="F1263" i="2"/>
  <c r="E1263" i="2"/>
  <c r="D1264" i="2"/>
  <c r="C1263" i="2"/>
  <c r="B1263" i="2"/>
  <c r="F1233" i="2"/>
  <c r="D1234" i="2"/>
  <c r="B1233" i="2"/>
  <c r="C1233" i="2"/>
  <c r="E1233" i="2"/>
  <c r="D1203" i="2"/>
  <c r="F1202" i="2"/>
  <c r="E1202" i="2"/>
  <c r="C1202" i="2"/>
  <c r="B1202" i="2"/>
  <c r="E1171" i="2"/>
  <c r="D1172" i="2"/>
  <c r="C1171" i="2"/>
  <c r="B1171" i="2"/>
  <c r="F1171" i="2"/>
  <c r="F1139" i="2"/>
  <c r="D1140" i="2"/>
  <c r="C1139" i="2"/>
  <c r="E1139" i="2"/>
  <c r="B1139" i="2"/>
  <c r="F1109" i="2"/>
  <c r="E1109" i="2"/>
  <c r="D1110" i="2"/>
  <c r="C1109" i="2"/>
  <c r="B1109" i="2"/>
  <c r="F1078" i="2"/>
  <c r="C1078" i="2"/>
  <c r="B1078" i="2"/>
  <c r="E1078" i="2"/>
  <c r="D1079" i="2"/>
  <c r="D1047" i="2"/>
  <c r="F1046" i="2"/>
  <c r="E1046" i="2"/>
  <c r="C1046" i="2"/>
  <c r="B1046" i="2"/>
  <c r="E1018" i="2"/>
  <c r="F1018" i="2"/>
  <c r="C1018" i="2"/>
  <c r="B1018" i="2"/>
  <c r="D1019" i="2"/>
  <c r="E985" i="2"/>
  <c r="D986" i="2"/>
  <c r="F985" i="2"/>
  <c r="C985" i="2"/>
  <c r="B985" i="2"/>
  <c r="F955" i="2"/>
  <c r="E955" i="2"/>
  <c r="D956" i="2"/>
  <c r="C955" i="2"/>
  <c r="B955" i="2"/>
  <c r="F924" i="2"/>
  <c r="E924" i="2"/>
  <c r="B924" i="2"/>
  <c r="C924" i="2"/>
  <c r="D925" i="2"/>
  <c r="C892" i="2"/>
  <c r="B892" i="2"/>
  <c r="D893" i="2"/>
  <c r="F892" i="2"/>
  <c r="E892" i="2"/>
  <c r="D861" i="2"/>
  <c r="C860" i="2"/>
  <c r="F860" i="2"/>
  <c r="E860" i="2"/>
  <c r="B860" i="2"/>
  <c r="R830" i="2"/>
  <c r="T829" i="2"/>
  <c r="K831" i="2"/>
  <c r="M830" i="2"/>
  <c r="R800" i="2"/>
  <c r="T799" i="2"/>
  <c r="K799" i="2"/>
  <c r="M798" i="2"/>
  <c r="R769" i="2"/>
  <c r="T768" i="2"/>
  <c r="K769" i="2"/>
  <c r="M768" i="2"/>
  <c r="M737" i="2"/>
  <c r="K738" i="2"/>
  <c r="R707" i="2"/>
  <c r="T706" i="2"/>
  <c r="K707" i="2"/>
  <c r="M706" i="2"/>
  <c r="M675" i="2"/>
  <c r="K676" i="2"/>
  <c r="T643" i="2"/>
  <c r="R644" i="2"/>
  <c r="M643" i="2"/>
  <c r="K644" i="2"/>
  <c r="D644" i="2"/>
  <c r="F643" i="2"/>
  <c r="T612" i="2"/>
  <c r="R613" i="2"/>
  <c r="K614" i="2"/>
  <c r="M613" i="2"/>
  <c r="D613" i="2"/>
  <c r="F612" i="2"/>
  <c r="D583" i="2"/>
  <c r="F582" i="2"/>
  <c r="R552" i="2"/>
  <c r="T551" i="2"/>
  <c r="M550" i="2"/>
  <c r="F23" i="2"/>
  <c r="E23" i="2"/>
  <c r="B23" i="2"/>
  <c r="C23" i="2"/>
  <c r="D24" i="2"/>
  <c r="L1369" i="2" l="1"/>
  <c r="K1370" i="2"/>
  <c r="J1369" i="2"/>
  <c r="I1369" i="2"/>
  <c r="M1369" i="2"/>
  <c r="K1338" i="2"/>
  <c r="F1360" i="2"/>
  <c r="E1360" i="2"/>
  <c r="C1360" i="2"/>
  <c r="B1360" i="2"/>
  <c r="K1307" i="2"/>
  <c r="F1329" i="2"/>
  <c r="C1329" i="2"/>
  <c r="B1329" i="2"/>
  <c r="E1329" i="2"/>
  <c r="F1295" i="2"/>
  <c r="D1296" i="2"/>
  <c r="E1295" i="2"/>
  <c r="C1295" i="2"/>
  <c r="B1295" i="2"/>
  <c r="D1265" i="2"/>
  <c r="C1264" i="2"/>
  <c r="B1264" i="2"/>
  <c r="F1264" i="2"/>
  <c r="E1264" i="2"/>
  <c r="C1234" i="2"/>
  <c r="F1234" i="2"/>
  <c r="D1235" i="2"/>
  <c r="E1234" i="2"/>
  <c r="B1234" i="2"/>
  <c r="D1204" i="2"/>
  <c r="C1203" i="2"/>
  <c r="F1203" i="2"/>
  <c r="E1203" i="2"/>
  <c r="B1203" i="2"/>
  <c r="F1172" i="2"/>
  <c r="E1172" i="2"/>
  <c r="D1173" i="2"/>
  <c r="C1172" i="2"/>
  <c r="B1172" i="2"/>
  <c r="E1140" i="2"/>
  <c r="B1140" i="2"/>
  <c r="D1141" i="2"/>
  <c r="F1140" i="2"/>
  <c r="C1140" i="2"/>
  <c r="F1110" i="2"/>
  <c r="E1110" i="2"/>
  <c r="D1111" i="2"/>
  <c r="C1110" i="2"/>
  <c r="B1110" i="2"/>
  <c r="D1080" i="2"/>
  <c r="F1079" i="2"/>
  <c r="E1079" i="2"/>
  <c r="C1079" i="2"/>
  <c r="B1079" i="2"/>
  <c r="E1047" i="2"/>
  <c r="B1047" i="2"/>
  <c r="C1047" i="2"/>
  <c r="D1048" i="2"/>
  <c r="F1047" i="2"/>
  <c r="K997" i="2"/>
  <c r="E1019" i="2"/>
  <c r="F1019" i="2"/>
  <c r="C1019" i="2"/>
  <c r="B1019" i="2"/>
  <c r="F986" i="2"/>
  <c r="E986" i="2"/>
  <c r="C986" i="2"/>
  <c r="D987" i="2"/>
  <c r="B986" i="2"/>
  <c r="F956" i="2"/>
  <c r="E956" i="2"/>
  <c r="D957" i="2"/>
  <c r="B956" i="2"/>
  <c r="C956" i="2"/>
  <c r="D926" i="2"/>
  <c r="F925" i="2"/>
  <c r="B925" i="2"/>
  <c r="E925" i="2"/>
  <c r="C925" i="2"/>
  <c r="C893" i="2"/>
  <c r="D894" i="2"/>
  <c r="F893" i="2"/>
  <c r="E893" i="2"/>
  <c r="B893" i="2"/>
  <c r="E861" i="2"/>
  <c r="D862" i="2"/>
  <c r="C861" i="2"/>
  <c r="B861" i="2"/>
  <c r="F861" i="2"/>
  <c r="R831" i="2"/>
  <c r="T830" i="2"/>
  <c r="K832" i="2"/>
  <c r="M831" i="2"/>
  <c r="R801" i="2"/>
  <c r="T800" i="2"/>
  <c r="M799" i="2"/>
  <c r="K800" i="2"/>
  <c r="R770" i="2"/>
  <c r="T769" i="2"/>
  <c r="K770" i="2"/>
  <c r="M769" i="2"/>
  <c r="K739" i="2"/>
  <c r="M738" i="2"/>
  <c r="R708" i="2"/>
  <c r="T707" i="2"/>
  <c r="K708" i="2"/>
  <c r="M707" i="2"/>
  <c r="K677" i="2"/>
  <c r="M676" i="2"/>
  <c r="T644" i="2"/>
  <c r="R645" i="2"/>
  <c r="M644" i="2"/>
  <c r="K645" i="2"/>
  <c r="D645" i="2"/>
  <c r="F644" i="2"/>
  <c r="R614" i="2"/>
  <c r="T613" i="2"/>
  <c r="K615" i="2"/>
  <c r="M614" i="2"/>
  <c r="D614" i="2"/>
  <c r="F613" i="2"/>
  <c r="F583" i="2"/>
  <c r="D584" i="2"/>
  <c r="R553" i="2"/>
  <c r="T552" i="2"/>
  <c r="M551" i="2"/>
  <c r="E24" i="2"/>
  <c r="F24" i="2"/>
  <c r="B24" i="2"/>
  <c r="C24" i="2"/>
  <c r="D25" i="2"/>
  <c r="M1370" i="2" l="1"/>
  <c r="J1370" i="2"/>
  <c r="L1370" i="2"/>
  <c r="K1371" i="2"/>
  <c r="I1370" i="2"/>
  <c r="L1338" i="2"/>
  <c r="I1338" i="2"/>
  <c r="K1339" i="2"/>
  <c r="J1338" i="2"/>
  <c r="M1338" i="2"/>
  <c r="L1307" i="2"/>
  <c r="K1308" i="2"/>
  <c r="J1307" i="2"/>
  <c r="I1307" i="2"/>
  <c r="M1307" i="2"/>
  <c r="D1297" i="2"/>
  <c r="F1296" i="2"/>
  <c r="E1296" i="2"/>
  <c r="C1296" i="2"/>
  <c r="B1296" i="2"/>
  <c r="C1265" i="2"/>
  <c r="B1265" i="2"/>
  <c r="D1266" i="2"/>
  <c r="F1265" i="2"/>
  <c r="E1265" i="2"/>
  <c r="D1236" i="2"/>
  <c r="E1235" i="2"/>
  <c r="C1235" i="2"/>
  <c r="B1235" i="2"/>
  <c r="F1235" i="2"/>
  <c r="E1204" i="2"/>
  <c r="C1204" i="2"/>
  <c r="B1204" i="2"/>
  <c r="F1204" i="2"/>
  <c r="D1205" i="2"/>
  <c r="F1173" i="2"/>
  <c r="E1173" i="2"/>
  <c r="D1174" i="2"/>
  <c r="C1173" i="2"/>
  <c r="B1173" i="2"/>
  <c r="F1141" i="2"/>
  <c r="E1141" i="2"/>
  <c r="D1142" i="2"/>
  <c r="C1141" i="2"/>
  <c r="B1141" i="2"/>
  <c r="F1111" i="2"/>
  <c r="E1111" i="2"/>
  <c r="D1112" i="2"/>
  <c r="C1111" i="2"/>
  <c r="B1111" i="2"/>
  <c r="C1080" i="2"/>
  <c r="E1080" i="2"/>
  <c r="D1081" i="2"/>
  <c r="B1080" i="2"/>
  <c r="F1080" i="2"/>
  <c r="F1048" i="2"/>
  <c r="E1048" i="2"/>
  <c r="D1049" i="2"/>
  <c r="C1048" i="2"/>
  <c r="B1048" i="2"/>
  <c r="L997" i="2"/>
  <c r="K998" i="2"/>
  <c r="J997" i="2"/>
  <c r="M997" i="2"/>
  <c r="I997" i="2"/>
  <c r="F987" i="2"/>
  <c r="C987" i="2"/>
  <c r="E987" i="2"/>
  <c r="B987" i="2"/>
  <c r="D988" i="2"/>
  <c r="K935" i="2"/>
  <c r="F957" i="2"/>
  <c r="E957" i="2"/>
  <c r="B957" i="2"/>
  <c r="C957" i="2"/>
  <c r="K904" i="2"/>
  <c r="F926" i="2"/>
  <c r="E926" i="2"/>
  <c r="B926" i="2"/>
  <c r="C926" i="2"/>
  <c r="E894" i="2"/>
  <c r="D895" i="2"/>
  <c r="C894" i="2"/>
  <c r="B894" i="2"/>
  <c r="F894" i="2"/>
  <c r="F862" i="2"/>
  <c r="E862" i="2"/>
  <c r="C862" i="2"/>
  <c r="D863" i="2"/>
  <c r="B862" i="2"/>
  <c r="T831" i="2"/>
  <c r="R832" i="2"/>
  <c r="K833" i="2"/>
  <c r="M833" i="2" s="1"/>
  <c r="M832" i="2"/>
  <c r="R802" i="2"/>
  <c r="T801" i="2"/>
  <c r="K801" i="2"/>
  <c r="M800" i="2"/>
  <c r="R771" i="2"/>
  <c r="T770" i="2"/>
  <c r="K771" i="2"/>
  <c r="M771" i="2" s="1"/>
  <c r="M770" i="2"/>
  <c r="K740" i="2"/>
  <c r="M739" i="2"/>
  <c r="R709" i="2"/>
  <c r="T708" i="2"/>
  <c r="K709" i="2"/>
  <c r="M709" i="2" s="1"/>
  <c r="M708" i="2"/>
  <c r="K678" i="2"/>
  <c r="M677" i="2"/>
  <c r="R646" i="2"/>
  <c r="T645" i="2"/>
  <c r="M645" i="2"/>
  <c r="K646" i="2"/>
  <c r="D646" i="2"/>
  <c r="F645" i="2"/>
  <c r="R615" i="2"/>
  <c r="T614" i="2"/>
  <c r="K616" i="2"/>
  <c r="M616" i="2" s="1"/>
  <c r="M615" i="2"/>
  <c r="F614" i="2"/>
  <c r="D615" i="2"/>
  <c r="D585" i="2"/>
  <c r="F584" i="2"/>
  <c r="R554" i="2"/>
  <c r="T554" i="2" s="1"/>
  <c r="T553" i="2"/>
  <c r="M552" i="2"/>
  <c r="E25" i="2"/>
  <c r="B25" i="2"/>
  <c r="F25" i="2"/>
  <c r="C25" i="2"/>
  <c r="D26" i="2"/>
  <c r="J1371" i="2" l="1"/>
  <c r="M1371" i="2"/>
  <c r="K1372" i="2"/>
  <c r="L1371" i="2"/>
  <c r="I1371" i="2"/>
  <c r="M1339" i="2"/>
  <c r="K1340" i="2"/>
  <c r="L1339" i="2"/>
  <c r="J1339" i="2"/>
  <c r="I1339" i="2"/>
  <c r="M1308" i="2"/>
  <c r="L1308" i="2"/>
  <c r="I1308" i="2"/>
  <c r="J1308" i="2"/>
  <c r="K1309" i="2"/>
  <c r="B1297" i="2"/>
  <c r="E1297" i="2"/>
  <c r="C1297" i="2"/>
  <c r="D1298" i="2"/>
  <c r="F1297" i="2"/>
  <c r="E1266" i="2"/>
  <c r="C1266" i="2"/>
  <c r="D1267" i="2"/>
  <c r="B1266" i="2"/>
  <c r="F1266" i="2"/>
  <c r="K1214" i="2"/>
  <c r="E1236" i="2"/>
  <c r="F1236" i="2"/>
  <c r="C1236" i="2"/>
  <c r="B1236" i="2"/>
  <c r="K1183" i="2"/>
  <c r="E1205" i="2"/>
  <c r="F1205" i="2"/>
  <c r="C1205" i="2"/>
  <c r="B1205" i="2"/>
  <c r="F1174" i="2"/>
  <c r="E1174" i="2"/>
  <c r="C1174" i="2"/>
  <c r="B1174" i="2"/>
  <c r="K1152" i="2"/>
  <c r="F1142" i="2"/>
  <c r="E1142" i="2"/>
  <c r="C1142" i="2"/>
  <c r="B1142" i="2"/>
  <c r="D1143" i="2"/>
  <c r="K1090" i="2"/>
  <c r="F1112" i="2"/>
  <c r="E1112" i="2"/>
  <c r="C1112" i="2"/>
  <c r="B1112" i="2"/>
  <c r="K1059" i="2"/>
  <c r="F1081" i="2"/>
  <c r="C1081" i="2"/>
  <c r="B1081" i="2"/>
  <c r="E1081" i="2"/>
  <c r="C1049" i="2"/>
  <c r="D1050" i="2"/>
  <c r="B1049" i="2"/>
  <c r="F1049" i="2"/>
  <c r="E1049" i="2"/>
  <c r="M998" i="2"/>
  <c r="L998" i="2"/>
  <c r="K999" i="2"/>
  <c r="J998" i="2"/>
  <c r="I998" i="2"/>
  <c r="K966" i="2"/>
  <c r="F988" i="2"/>
  <c r="E988" i="2"/>
  <c r="B988" i="2"/>
  <c r="C988" i="2"/>
  <c r="L935" i="2"/>
  <c r="I935" i="2"/>
  <c r="K936" i="2"/>
  <c r="J935" i="2"/>
  <c r="M935" i="2"/>
  <c r="L904" i="2"/>
  <c r="I904" i="2"/>
  <c r="K905" i="2"/>
  <c r="J904" i="2"/>
  <c r="M904" i="2"/>
  <c r="K873" i="2"/>
  <c r="F895" i="2"/>
  <c r="E895" i="2"/>
  <c r="C895" i="2"/>
  <c r="B895" i="2"/>
  <c r="F863" i="2"/>
  <c r="D864" i="2"/>
  <c r="C863" i="2"/>
  <c r="E863" i="2"/>
  <c r="B863" i="2"/>
  <c r="R833" i="2"/>
  <c r="T833" i="2" s="1"/>
  <c r="T832" i="2"/>
  <c r="D811" i="2"/>
  <c r="T802" i="2"/>
  <c r="K802" i="2"/>
  <c r="M802" i="2" s="1"/>
  <c r="M801" i="2"/>
  <c r="T771" i="2"/>
  <c r="D780" i="2"/>
  <c r="R718" i="2"/>
  <c r="M740" i="2"/>
  <c r="T709" i="2"/>
  <c r="D718" i="2"/>
  <c r="R656" i="2"/>
  <c r="M678" i="2"/>
  <c r="R647" i="2"/>
  <c r="T646" i="2"/>
  <c r="K647" i="2"/>
  <c r="M647" i="2" s="1"/>
  <c r="M646" i="2"/>
  <c r="D647" i="2"/>
  <c r="F647" i="2" s="1"/>
  <c r="F646" i="2"/>
  <c r="R616" i="2"/>
  <c r="T616" i="2" s="1"/>
  <c r="T615" i="2"/>
  <c r="D616" i="2"/>
  <c r="F616" i="2" s="1"/>
  <c r="F615" i="2"/>
  <c r="F585" i="2"/>
  <c r="K563" i="2"/>
  <c r="M554" i="2"/>
  <c r="M553" i="2"/>
  <c r="E26" i="2"/>
  <c r="B26" i="2"/>
  <c r="F26" i="2"/>
  <c r="C26" i="2"/>
  <c r="D27" i="2"/>
  <c r="K1373" i="2" l="1"/>
  <c r="I1372" i="2"/>
  <c r="L1372" i="2"/>
  <c r="J1372" i="2"/>
  <c r="M1372" i="2"/>
  <c r="L1340" i="2"/>
  <c r="I1340" i="2"/>
  <c r="M1340" i="2"/>
  <c r="K1341" i="2"/>
  <c r="J1340" i="2"/>
  <c r="M1309" i="2"/>
  <c r="L1309" i="2"/>
  <c r="J1309" i="2"/>
  <c r="I1309" i="2"/>
  <c r="K1310" i="2"/>
  <c r="K1276" i="2"/>
  <c r="F1298" i="2"/>
  <c r="E1298" i="2"/>
  <c r="C1298" i="2"/>
  <c r="B1298" i="2"/>
  <c r="F1267" i="2"/>
  <c r="B1267" i="2"/>
  <c r="K1245" i="2"/>
  <c r="C1267" i="2"/>
  <c r="E1267" i="2"/>
  <c r="L1214" i="2"/>
  <c r="I1214" i="2"/>
  <c r="K1215" i="2"/>
  <c r="J1214" i="2"/>
  <c r="M1214" i="2"/>
  <c r="L1183" i="2"/>
  <c r="J1183" i="2"/>
  <c r="I1183" i="2"/>
  <c r="K1184" i="2"/>
  <c r="M1183" i="2"/>
  <c r="K1153" i="2"/>
  <c r="M1152" i="2"/>
  <c r="L1152" i="2"/>
  <c r="J1152" i="2"/>
  <c r="I1152" i="2"/>
  <c r="K1121" i="2"/>
  <c r="F1143" i="2"/>
  <c r="E1143" i="2"/>
  <c r="C1143" i="2"/>
  <c r="B1143" i="2"/>
  <c r="L1090" i="2"/>
  <c r="J1090" i="2"/>
  <c r="K1091" i="2"/>
  <c r="I1090" i="2"/>
  <c r="M1090" i="2"/>
  <c r="L1059" i="2"/>
  <c r="I1059" i="2"/>
  <c r="K1060" i="2"/>
  <c r="J1059" i="2"/>
  <c r="M1059" i="2"/>
  <c r="K1028" i="2"/>
  <c r="F1050" i="2"/>
  <c r="E1050" i="2"/>
  <c r="C1050" i="2"/>
  <c r="B1050" i="2"/>
  <c r="L999" i="2"/>
  <c r="M999" i="2"/>
  <c r="J999" i="2"/>
  <c r="I999" i="2"/>
  <c r="K1000" i="2"/>
  <c r="L966" i="2"/>
  <c r="K967" i="2"/>
  <c r="J966" i="2"/>
  <c r="M966" i="2"/>
  <c r="I966" i="2"/>
  <c r="M936" i="2"/>
  <c r="J936" i="2"/>
  <c r="L936" i="2"/>
  <c r="K937" i="2"/>
  <c r="I936" i="2"/>
  <c r="M905" i="2"/>
  <c r="L905" i="2"/>
  <c r="K906" i="2"/>
  <c r="J905" i="2"/>
  <c r="I905" i="2"/>
  <c r="L873" i="2"/>
  <c r="K874" i="2"/>
  <c r="J873" i="2"/>
  <c r="I873" i="2"/>
  <c r="M873" i="2"/>
  <c r="K842" i="2"/>
  <c r="F864" i="2"/>
  <c r="E864" i="2"/>
  <c r="C864" i="2"/>
  <c r="B864" i="2"/>
  <c r="D812" i="2"/>
  <c r="F811" i="2"/>
  <c r="D781" i="2"/>
  <c r="F780" i="2"/>
  <c r="R719" i="2"/>
  <c r="T718" i="2"/>
  <c r="D719" i="2"/>
  <c r="F718" i="2"/>
  <c r="T656" i="2"/>
  <c r="R657" i="2"/>
  <c r="D656" i="2"/>
  <c r="T647" i="2"/>
  <c r="K564" i="2"/>
  <c r="M563" i="2"/>
  <c r="K5" i="2"/>
  <c r="E27" i="2"/>
  <c r="B27" i="2"/>
  <c r="C27" i="2"/>
  <c r="F27" i="2"/>
  <c r="K6" i="2"/>
  <c r="M1373" i="2" l="1"/>
  <c r="L1373" i="2"/>
  <c r="I1373" i="2"/>
  <c r="K1374" i="2"/>
  <c r="J1373" i="2"/>
  <c r="L1341" i="2"/>
  <c r="J1341" i="2"/>
  <c r="I1341" i="2"/>
  <c r="M1341" i="2"/>
  <c r="K1342" i="2"/>
  <c r="M1310" i="2"/>
  <c r="L1310" i="2"/>
  <c r="J1310" i="2"/>
  <c r="I1310" i="2"/>
  <c r="K1311" i="2"/>
  <c r="L1276" i="2"/>
  <c r="K1277" i="2"/>
  <c r="I1276" i="2"/>
  <c r="J1276" i="2"/>
  <c r="M1276" i="2"/>
  <c r="L1245" i="2"/>
  <c r="M1245" i="2"/>
  <c r="K1246" i="2"/>
  <c r="J1245" i="2"/>
  <c r="I1245" i="2"/>
  <c r="M1215" i="2"/>
  <c r="L1215" i="2"/>
  <c r="K1216" i="2"/>
  <c r="J1215" i="2"/>
  <c r="I1215" i="2"/>
  <c r="M1184" i="2"/>
  <c r="L1184" i="2"/>
  <c r="K1185" i="2"/>
  <c r="J1184" i="2"/>
  <c r="I1184" i="2"/>
  <c r="M1153" i="2"/>
  <c r="L1153" i="2"/>
  <c r="K1154" i="2"/>
  <c r="J1153" i="2"/>
  <c r="I1153" i="2"/>
  <c r="L1121" i="2"/>
  <c r="K1122" i="2"/>
  <c r="J1121" i="2"/>
  <c r="I1121" i="2"/>
  <c r="M1121" i="2"/>
  <c r="M1091" i="2"/>
  <c r="J1091" i="2"/>
  <c r="L1091" i="2"/>
  <c r="K1092" i="2"/>
  <c r="I1091" i="2"/>
  <c r="M1060" i="2"/>
  <c r="K1061" i="2"/>
  <c r="I1060" i="2"/>
  <c r="L1060" i="2"/>
  <c r="J1060" i="2"/>
  <c r="L1028" i="2"/>
  <c r="I1028" i="2"/>
  <c r="K1029" i="2"/>
  <c r="J1028" i="2"/>
  <c r="M1028" i="2"/>
  <c r="M1000" i="2"/>
  <c r="L1000" i="2"/>
  <c r="I1000" i="2"/>
  <c r="K1001" i="2"/>
  <c r="J1000" i="2"/>
  <c r="M967" i="2"/>
  <c r="L967" i="2"/>
  <c r="K968" i="2"/>
  <c r="J967" i="2"/>
  <c r="I967" i="2"/>
  <c r="K938" i="2"/>
  <c r="M937" i="2"/>
  <c r="J937" i="2"/>
  <c r="L937" i="2"/>
  <c r="I937" i="2"/>
  <c r="M906" i="2"/>
  <c r="L906" i="2"/>
  <c r="K907" i="2"/>
  <c r="J906" i="2"/>
  <c r="I906" i="2"/>
  <c r="M874" i="2"/>
  <c r="L874" i="2"/>
  <c r="K875" i="2"/>
  <c r="J874" i="2"/>
  <c r="I874" i="2"/>
  <c r="L842" i="2"/>
  <c r="K843" i="2"/>
  <c r="J842" i="2"/>
  <c r="I842" i="2"/>
  <c r="M842" i="2"/>
  <c r="F812" i="2"/>
  <c r="D813" i="2"/>
  <c r="F781" i="2"/>
  <c r="D782" i="2"/>
  <c r="R720" i="2"/>
  <c r="T719" i="2"/>
  <c r="F719" i="2"/>
  <c r="D720" i="2"/>
  <c r="T657" i="2"/>
  <c r="R658" i="2"/>
  <c r="D657" i="2"/>
  <c r="F656" i="2"/>
  <c r="K565" i="2"/>
  <c r="M564" i="2"/>
  <c r="M6" i="2"/>
  <c r="L6" i="2"/>
  <c r="I6" i="2"/>
  <c r="J6" i="2"/>
  <c r="I5" i="2"/>
  <c r="L5" i="2"/>
  <c r="M5" i="2"/>
  <c r="J5" i="2"/>
  <c r="K7" i="2"/>
  <c r="K1375" i="2" l="1"/>
  <c r="I1374" i="2"/>
  <c r="M1374" i="2"/>
  <c r="L1374" i="2"/>
  <c r="J1374" i="2"/>
  <c r="M1342" i="2"/>
  <c r="L1342" i="2"/>
  <c r="K1343" i="2"/>
  <c r="J1342" i="2"/>
  <c r="I1342" i="2"/>
  <c r="M1311" i="2"/>
  <c r="K1312" i="2"/>
  <c r="L1311" i="2"/>
  <c r="I1311" i="2"/>
  <c r="J1311" i="2"/>
  <c r="M1277" i="2"/>
  <c r="I1277" i="2"/>
  <c r="L1277" i="2"/>
  <c r="K1278" i="2"/>
  <c r="J1277" i="2"/>
  <c r="M1246" i="2"/>
  <c r="J1246" i="2"/>
  <c r="I1246" i="2"/>
  <c r="L1246" i="2"/>
  <c r="K1247" i="2"/>
  <c r="I1216" i="2"/>
  <c r="M1216" i="2"/>
  <c r="L1216" i="2"/>
  <c r="K1217" i="2"/>
  <c r="J1216" i="2"/>
  <c r="L1185" i="2"/>
  <c r="M1185" i="2"/>
  <c r="J1185" i="2"/>
  <c r="I1185" i="2"/>
  <c r="K1186" i="2"/>
  <c r="I1154" i="2"/>
  <c r="K1155" i="2"/>
  <c r="M1154" i="2"/>
  <c r="L1154" i="2"/>
  <c r="J1154" i="2"/>
  <c r="M1122" i="2"/>
  <c r="K1123" i="2"/>
  <c r="I1122" i="2"/>
  <c r="L1122" i="2"/>
  <c r="J1122" i="2"/>
  <c r="J1092" i="2"/>
  <c r="M1092" i="2"/>
  <c r="L1092" i="2"/>
  <c r="K1093" i="2"/>
  <c r="I1092" i="2"/>
  <c r="K1062" i="2"/>
  <c r="I1061" i="2"/>
  <c r="M1061" i="2"/>
  <c r="L1061" i="2"/>
  <c r="J1061" i="2"/>
  <c r="M1029" i="2"/>
  <c r="L1029" i="2"/>
  <c r="K1030" i="2"/>
  <c r="J1029" i="2"/>
  <c r="I1029" i="2"/>
  <c r="M1001" i="2"/>
  <c r="I1001" i="2"/>
  <c r="K1002" i="2"/>
  <c r="L1001" i="2"/>
  <c r="J1001" i="2"/>
  <c r="M968" i="2"/>
  <c r="L968" i="2"/>
  <c r="I968" i="2"/>
  <c r="K969" i="2"/>
  <c r="J968" i="2"/>
  <c r="K939" i="2"/>
  <c r="I938" i="2"/>
  <c r="M938" i="2"/>
  <c r="J938" i="2"/>
  <c r="L938" i="2"/>
  <c r="I907" i="2"/>
  <c r="M907" i="2"/>
  <c r="L907" i="2"/>
  <c r="K908" i="2"/>
  <c r="J907" i="2"/>
  <c r="M875" i="2"/>
  <c r="K876" i="2"/>
  <c r="L875" i="2"/>
  <c r="J875" i="2"/>
  <c r="I875" i="2"/>
  <c r="M843" i="2"/>
  <c r="K844" i="2"/>
  <c r="I843" i="2"/>
  <c r="L843" i="2"/>
  <c r="J843" i="2"/>
  <c r="F813" i="2"/>
  <c r="D814" i="2"/>
  <c r="D783" i="2"/>
  <c r="F782" i="2"/>
  <c r="T720" i="2"/>
  <c r="R721" i="2"/>
  <c r="F720" i="2"/>
  <c r="D721" i="2"/>
  <c r="T658" i="2"/>
  <c r="R659" i="2"/>
  <c r="D658" i="2"/>
  <c r="F657" i="2"/>
  <c r="M565" i="2"/>
  <c r="K566" i="2"/>
  <c r="L7" i="2"/>
  <c r="M7" i="2"/>
  <c r="I7" i="2"/>
  <c r="J7" i="2"/>
  <c r="K8" i="2"/>
  <c r="L1375" i="2" l="1"/>
  <c r="K1376" i="2"/>
  <c r="J1375" i="2"/>
  <c r="I1375" i="2"/>
  <c r="M1375" i="2"/>
  <c r="L1343" i="2"/>
  <c r="K1344" i="2"/>
  <c r="M1343" i="2"/>
  <c r="J1343" i="2"/>
  <c r="I1343" i="2"/>
  <c r="M1312" i="2"/>
  <c r="L1312" i="2"/>
  <c r="J1312" i="2"/>
  <c r="I1312" i="2"/>
  <c r="K1313" i="2"/>
  <c r="K1279" i="2"/>
  <c r="M1278" i="2"/>
  <c r="L1278" i="2"/>
  <c r="J1278" i="2"/>
  <c r="I1278" i="2"/>
  <c r="M1247" i="2"/>
  <c r="K1248" i="2"/>
  <c r="I1247" i="2"/>
  <c r="L1247" i="2"/>
  <c r="J1247" i="2"/>
  <c r="M1217" i="2"/>
  <c r="L1217" i="2"/>
  <c r="K1218" i="2"/>
  <c r="J1217" i="2"/>
  <c r="I1217" i="2"/>
  <c r="M1186" i="2"/>
  <c r="L1186" i="2"/>
  <c r="J1186" i="2"/>
  <c r="K1187" i="2"/>
  <c r="I1186" i="2"/>
  <c r="K1156" i="2"/>
  <c r="M1155" i="2"/>
  <c r="L1155" i="2"/>
  <c r="J1155" i="2"/>
  <c r="I1155" i="2"/>
  <c r="K1124" i="2"/>
  <c r="M1123" i="2"/>
  <c r="L1123" i="2"/>
  <c r="J1123" i="2"/>
  <c r="I1123" i="2"/>
  <c r="J1093" i="2"/>
  <c r="M1093" i="2"/>
  <c r="L1093" i="2"/>
  <c r="K1094" i="2"/>
  <c r="I1093" i="2"/>
  <c r="M1062" i="2"/>
  <c r="K1063" i="2"/>
  <c r="J1062" i="2"/>
  <c r="L1062" i="2"/>
  <c r="I1062" i="2"/>
  <c r="L1030" i="2"/>
  <c r="K1031" i="2"/>
  <c r="M1030" i="2"/>
  <c r="J1030" i="2"/>
  <c r="I1030" i="2"/>
  <c r="L1002" i="2"/>
  <c r="M1002" i="2"/>
  <c r="J1002" i="2"/>
  <c r="I1002" i="2"/>
  <c r="K1003" i="2"/>
  <c r="M969" i="2"/>
  <c r="L969" i="2"/>
  <c r="I969" i="2"/>
  <c r="K970" i="2"/>
  <c r="J969" i="2"/>
  <c r="I939" i="2"/>
  <c r="M939" i="2"/>
  <c r="L939" i="2"/>
  <c r="J939" i="2"/>
  <c r="K940" i="2"/>
  <c r="M908" i="2"/>
  <c r="L908" i="2"/>
  <c r="K909" i="2"/>
  <c r="J908" i="2"/>
  <c r="I908" i="2"/>
  <c r="M876" i="2"/>
  <c r="L876" i="2"/>
  <c r="J876" i="2"/>
  <c r="K877" i="2"/>
  <c r="I876" i="2"/>
  <c r="M844" i="2"/>
  <c r="L844" i="2"/>
  <c r="K845" i="2"/>
  <c r="I844" i="2"/>
  <c r="J844" i="2"/>
  <c r="D815" i="2"/>
  <c r="F814" i="2"/>
  <c r="F783" i="2"/>
  <c r="D784" i="2"/>
  <c r="R722" i="2"/>
  <c r="T721" i="2"/>
  <c r="F721" i="2"/>
  <c r="D722" i="2"/>
  <c r="T659" i="2"/>
  <c r="R660" i="2"/>
  <c r="D659" i="2"/>
  <c r="F658" i="2"/>
  <c r="M566" i="2"/>
  <c r="K567" i="2"/>
  <c r="L8" i="2"/>
  <c r="M8" i="2"/>
  <c r="I8" i="2"/>
  <c r="J8" i="2"/>
  <c r="K9" i="2"/>
  <c r="J1376" i="2" l="1"/>
  <c r="L1376" i="2"/>
  <c r="M1376" i="2"/>
  <c r="K1377" i="2"/>
  <c r="I1376" i="2"/>
  <c r="M1344" i="2"/>
  <c r="L1344" i="2"/>
  <c r="J1344" i="2"/>
  <c r="K1345" i="2"/>
  <c r="I1344" i="2"/>
  <c r="M1313" i="2"/>
  <c r="L1313" i="2"/>
  <c r="J1313" i="2"/>
  <c r="I1313" i="2"/>
  <c r="K1314" i="2"/>
  <c r="M1279" i="2"/>
  <c r="L1279" i="2"/>
  <c r="K1280" i="2"/>
  <c r="J1279" i="2"/>
  <c r="I1279" i="2"/>
  <c r="J1248" i="2"/>
  <c r="M1248" i="2"/>
  <c r="L1248" i="2"/>
  <c r="K1249" i="2"/>
  <c r="I1248" i="2"/>
  <c r="L1218" i="2"/>
  <c r="J1218" i="2"/>
  <c r="M1218" i="2"/>
  <c r="K1219" i="2"/>
  <c r="I1218" i="2"/>
  <c r="M1187" i="2"/>
  <c r="L1187" i="2"/>
  <c r="K1188" i="2"/>
  <c r="J1187" i="2"/>
  <c r="I1187" i="2"/>
  <c r="L1156" i="2"/>
  <c r="J1156" i="2"/>
  <c r="K1157" i="2"/>
  <c r="M1156" i="2"/>
  <c r="I1156" i="2"/>
  <c r="M1124" i="2"/>
  <c r="J1124" i="2"/>
  <c r="L1124" i="2"/>
  <c r="K1125" i="2"/>
  <c r="I1124" i="2"/>
  <c r="M1094" i="2"/>
  <c r="L1094" i="2"/>
  <c r="J1094" i="2"/>
  <c r="K1095" i="2"/>
  <c r="I1094" i="2"/>
  <c r="M1063" i="2"/>
  <c r="L1063" i="2"/>
  <c r="K1064" i="2"/>
  <c r="J1063" i="2"/>
  <c r="I1063" i="2"/>
  <c r="M1031" i="2"/>
  <c r="L1031" i="2"/>
  <c r="K1032" i="2"/>
  <c r="J1031" i="2"/>
  <c r="I1031" i="2"/>
  <c r="M1003" i="2"/>
  <c r="L1003" i="2"/>
  <c r="I1003" i="2"/>
  <c r="K1004" i="2"/>
  <c r="J1003" i="2"/>
  <c r="M970" i="2"/>
  <c r="J970" i="2"/>
  <c r="I970" i="2"/>
  <c r="K971" i="2"/>
  <c r="L970" i="2"/>
  <c r="M940" i="2"/>
  <c r="L940" i="2"/>
  <c r="K941" i="2"/>
  <c r="I940" i="2"/>
  <c r="J940" i="2"/>
  <c r="M909" i="2"/>
  <c r="L909" i="2"/>
  <c r="I909" i="2"/>
  <c r="K910" i="2"/>
  <c r="J909" i="2"/>
  <c r="M877" i="2"/>
  <c r="L877" i="2"/>
  <c r="J877" i="2"/>
  <c r="K878" i="2"/>
  <c r="I877" i="2"/>
  <c r="M845" i="2"/>
  <c r="L845" i="2"/>
  <c r="K846" i="2"/>
  <c r="J845" i="2"/>
  <c r="I845" i="2"/>
  <c r="D816" i="2"/>
  <c r="F815" i="2"/>
  <c r="F784" i="2"/>
  <c r="D785" i="2"/>
  <c r="R723" i="2"/>
  <c r="T722" i="2"/>
  <c r="F722" i="2"/>
  <c r="D723" i="2"/>
  <c r="T660" i="2"/>
  <c r="R661" i="2"/>
  <c r="F659" i="2"/>
  <c r="D660" i="2"/>
  <c r="M567" i="2"/>
  <c r="K568" i="2"/>
  <c r="L9" i="2"/>
  <c r="M9" i="2"/>
  <c r="J9" i="2"/>
  <c r="I9" i="2"/>
  <c r="K10" i="2"/>
  <c r="L1377" i="2" l="1"/>
  <c r="M1377" i="2"/>
  <c r="K1378" i="2"/>
  <c r="I1377" i="2"/>
  <c r="J1377" i="2"/>
  <c r="M1345" i="2"/>
  <c r="L1345" i="2"/>
  <c r="J1345" i="2"/>
  <c r="I1345" i="2"/>
  <c r="K1346" i="2"/>
  <c r="K1315" i="2"/>
  <c r="M1314" i="2"/>
  <c r="L1314" i="2"/>
  <c r="J1314" i="2"/>
  <c r="I1314" i="2"/>
  <c r="M1280" i="2"/>
  <c r="L1280" i="2"/>
  <c r="J1280" i="2"/>
  <c r="I1280" i="2"/>
  <c r="K1281" i="2"/>
  <c r="M1249" i="2"/>
  <c r="K1250" i="2"/>
  <c r="J1249" i="2"/>
  <c r="L1249" i="2"/>
  <c r="I1249" i="2"/>
  <c r="M1219" i="2"/>
  <c r="L1219" i="2"/>
  <c r="K1220" i="2"/>
  <c r="J1219" i="2"/>
  <c r="I1219" i="2"/>
  <c r="M1188" i="2"/>
  <c r="L1188" i="2"/>
  <c r="J1188" i="2"/>
  <c r="I1188" i="2"/>
  <c r="K1189" i="2"/>
  <c r="I1157" i="2"/>
  <c r="K1158" i="2"/>
  <c r="M1157" i="2"/>
  <c r="L1157" i="2"/>
  <c r="J1157" i="2"/>
  <c r="M1125" i="2"/>
  <c r="L1125" i="2"/>
  <c r="K1126" i="2"/>
  <c r="J1125" i="2"/>
  <c r="I1125" i="2"/>
  <c r="L1095" i="2"/>
  <c r="M1095" i="2"/>
  <c r="K1096" i="2"/>
  <c r="I1095" i="2"/>
  <c r="J1095" i="2"/>
  <c r="M1064" i="2"/>
  <c r="K1065" i="2"/>
  <c r="J1064" i="2"/>
  <c r="L1064" i="2"/>
  <c r="I1064" i="2"/>
  <c r="M1032" i="2"/>
  <c r="L1032" i="2"/>
  <c r="I1032" i="2"/>
  <c r="K1033" i="2"/>
  <c r="J1032" i="2"/>
  <c r="K1005" i="2"/>
  <c r="M1004" i="2"/>
  <c r="L1004" i="2"/>
  <c r="J1004" i="2"/>
  <c r="I1004" i="2"/>
  <c r="I971" i="2"/>
  <c r="M971" i="2"/>
  <c r="K972" i="2"/>
  <c r="L971" i="2"/>
  <c r="J971" i="2"/>
  <c r="L941" i="2"/>
  <c r="M941" i="2"/>
  <c r="I941" i="2"/>
  <c r="J941" i="2"/>
  <c r="K942" i="2"/>
  <c r="M910" i="2"/>
  <c r="L910" i="2"/>
  <c r="J910" i="2"/>
  <c r="I910" i="2"/>
  <c r="K911" i="2"/>
  <c r="M878" i="2"/>
  <c r="L878" i="2"/>
  <c r="J878" i="2"/>
  <c r="I878" i="2"/>
  <c r="K879" i="2"/>
  <c r="M846" i="2"/>
  <c r="L846" i="2"/>
  <c r="K847" i="2"/>
  <c r="J846" i="2"/>
  <c r="I846" i="2"/>
  <c r="D817" i="2"/>
  <c r="F816" i="2"/>
  <c r="D786" i="2"/>
  <c r="F785" i="2"/>
  <c r="T723" i="2"/>
  <c r="R724" i="2"/>
  <c r="D724" i="2"/>
  <c r="F723" i="2"/>
  <c r="R662" i="2"/>
  <c r="T661" i="2"/>
  <c r="D661" i="2"/>
  <c r="F660" i="2"/>
  <c r="K569" i="2"/>
  <c r="M568" i="2"/>
  <c r="L10" i="2"/>
  <c r="M10" i="2"/>
  <c r="J10" i="2"/>
  <c r="I10" i="2"/>
  <c r="K11" i="2"/>
  <c r="M1378" i="2" l="1"/>
  <c r="L1378" i="2"/>
  <c r="K1379" i="2"/>
  <c r="I1378" i="2"/>
  <c r="J1378" i="2"/>
  <c r="M1346" i="2"/>
  <c r="L1346" i="2"/>
  <c r="K1347" i="2"/>
  <c r="J1346" i="2"/>
  <c r="I1346" i="2"/>
  <c r="L1315" i="2"/>
  <c r="J1315" i="2"/>
  <c r="I1315" i="2"/>
  <c r="K1316" i="2"/>
  <c r="M1315" i="2"/>
  <c r="M1281" i="2"/>
  <c r="L1281" i="2"/>
  <c r="J1281" i="2"/>
  <c r="I1281" i="2"/>
  <c r="K1282" i="2"/>
  <c r="M1250" i="2"/>
  <c r="L1250" i="2"/>
  <c r="K1251" i="2"/>
  <c r="J1250" i="2"/>
  <c r="I1250" i="2"/>
  <c r="M1220" i="2"/>
  <c r="L1220" i="2"/>
  <c r="K1221" i="2"/>
  <c r="J1220" i="2"/>
  <c r="I1220" i="2"/>
  <c r="M1189" i="2"/>
  <c r="L1189" i="2"/>
  <c r="K1190" i="2"/>
  <c r="J1189" i="2"/>
  <c r="I1189" i="2"/>
  <c r="K1159" i="2"/>
  <c r="J1158" i="2"/>
  <c r="I1158" i="2"/>
  <c r="M1158" i="2"/>
  <c r="L1158" i="2"/>
  <c r="M1126" i="2"/>
  <c r="L1126" i="2"/>
  <c r="I1126" i="2"/>
  <c r="J1126" i="2"/>
  <c r="K1127" i="2"/>
  <c r="M1096" i="2"/>
  <c r="L1096" i="2"/>
  <c r="K1097" i="2"/>
  <c r="J1096" i="2"/>
  <c r="I1096" i="2"/>
  <c r="M1065" i="2"/>
  <c r="L1065" i="2"/>
  <c r="K1066" i="2"/>
  <c r="J1065" i="2"/>
  <c r="I1065" i="2"/>
  <c r="M1033" i="2"/>
  <c r="L1033" i="2"/>
  <c r="J1033" i="2"/>
  <c r="I1033" i="2"/>
  <c r="K1034" i="2"/>
  <c r="L1005" i="2"/>
  <c r="J1005" i="2"/>
  <c r="I1005" i="2"/>
  <c r="K1006" i="2"/>
  <c r="M1005" i="2"/>
  <c r="K973" i="2"/>
  <c r="J972" i="2"/>
  <c r="I972" i="2"/>
  <c r="L972" i="2"/>
  <c r="M972" i="2"/>
  <c r="M942" i="2"/>
  <c r="L942" i="2"/>
  <c r="K943" i="2"/>
  <c r="J942" i="2"/>
  <c r="I942" i="2"/>
  <c r="M911" i="2"/>
  <c r="I911" i="2"/>
  <c r="K912" i="2"/>
  <c r="L911" i="2"/>
  <c r="J911" i="2"/>
  <c r="M879" i="2"/>
  <c r="L879" i="2"/>
  <c r="J879" i="2"/>
  <c r="I879" i="2"/>
  <c r="K880" i="2"/>
  <c r="L847" i="2"/>
  <c r="M847" i="2"/>
  <c r="I847" i="2"/>
  <c r="J847" i="2"/>
  <c r="K848" i="2"/>
  <c r="F817" i="2"/>
  <c r="D818" i="2"/>
  <c r="F786" i="2"/>
  <c r="D787" i="2"/>
  <c r="T724" i="2"/>
  <c r="R725" i="2"/>
  <c r="D725" i="2"/>
  <c r="F724" i="2"/>
  <c r="T662" i="2"/>
  <c r="R663" i="2"/>
  <c r="F661" i="2"/>
  <c r="D662" i="2"/>
  <c r="K570" i="2"/>
  <c r="M569" i="2"/>
  <c r="L11" i="2"/>
  <c r="M11" i="2"/>
  <c r="J11" i="2"/>
  <c r="I11" i="2"/>
  <c r="K12" i="2"/>
  <c r="M1379" i="2" l="1"/>
  <c r="L1379" i="2"/>
  <c r="I1379" i="2"/>
  <c r="J1379" i="2"/>
  <c r="K1380" i="2"/>
  <c r="M1347" i="2"/>
  <c r="L1347" i="2"/>
  <c r="I1347" i="2"/>
  <c r="J1347" i="2"/>
  <c r="K1348" i="2"/>
  <c r="M1316" i="2"/>
  <c r="L1316" i="2"/>
  <c r="I1316" i="2"/>
  <c r="J1316" i="2"/>
  <c r="K1317" i="2"/>
  <c r="K1283" i="2"/>
  <c r="I1282" i="2"/>
  <c r="M1282" i="2"/>
  <c r="L1282" i="2"/>
  <c r="J1282" i="2"/>
  <c r="L1251" i="2"/>
  <c r="M1251" i="2"/>
  <c r="K1252" i="2"/>
  <c r="J1251" i="2"/>
  <c r="I1251" i="2"/>
  <c r="M1221" i="2"/>
  <c r="L1221" i="2"/>
  <c r="K1222" i="2"/>
  <c r="J1221" i="2"/>
  <c r="I1221" i="2"/>
  <c r="M1190" i="2"/>
  <c r="J1190" i="2"/>
  <c r="I1190" i="2"/>
  <c r="K1191" i="2"/>
  <c r="L1190" i="2"/>
  <c r="K1160" i="2"/>
  <c r="J1159" i="2"/>
  <c r="I1159" i="2"/>
  <c r="M1159" i="2"/>
  <c r="L1159" i="2"/>
  <c r="M1127" i="2"/>
  <c r="K1128" i="2"/>
  <c r="J1127" i="2"/>
  <c r="I1127" i="2"/>
  <c r="L1127" i="2"/>
  <c r="M1097" i="2"/>
  <c r="L1097" i="2"/>
  <c r="K1098" i="2"/>
  <c r="J1097" i="2"/>
  <c r="I1097" i="2"/>
  <c r="M1066" i="2"/>
  <c r="L1066" i="2"/>
  <c r="I1066" i="2"/>
  <c r="K1067" i="2"/>
  <c r="J1066" i="2"/>
  <c r="K1035" i="2"/>
  <c r="L1034" i="2"/>
  <c r="J1034" i="2"/>
  <c r="I1034" i="2"/>
  <c r="M1034" i="2"/>
  <c r="M1006" i="2"/>
  <c r="L1006" i="2"/>
  <c r="J1006" i="2"/>
  <c r="K1007" i="2"/>
  <c r="I1006" i="2"/>
  <c r="K974" i="2"/>
  <c r="J973" i="2"/>
  <c r="I973" i="2"/>
  <c r="M973" i="2"/>
  <c r="L973" i="2"/>
  <c r="M943" i="2"/>
  <c r="L943" i="2"/>
  <c r="K944" i="2"/>
  <c r="J943" i="2"/>
  <c r="I943" i="2"/>
  <c r="M912" i="2"/>
  <c r="J912" i="2"/>
  <c r="L912" i="2"/>
  <c r="K913" i="2"/>
  <c r="I912" i="2"/>
  <c r="M880" i="2"/>
  <c r="J880" i="2"/>
  <c r="K881" i="2"/>
  <c r="L880" i="2"/>
  <c r="I880" i="2"/>
  <c r="M848" i="2"/>
  <c r="K849" i="2"/>
  <c r="J848" i="2"/>
  <c r="I848" i="2"/>
  <c r="L848" i="2"/>
  <c r="F818" i="2"/>
  <c r="D819" i="2"/>
  <c r="D788" i="2"/>
  <c r="F787" i="2"/>
  <c r="T725" i="2"/>
  <c r="R726" i="2"/>
  <c r="F725" i="2"/>
  <c r="D726" i="2"/>
  <c r="T663" i="2"/>
  <c r="R664" i="2"/>
  <c r="D663" i="2"/>
  <c r="F662" i="2"/>
  <c r="M570" i="2"/>
  <c r="K571" i="2"/>
  <c r="I12" i="2"/>
  <c r="M12" i="2"/>
  <c r="L12" i="2"/>
  <c r="J12" i="2"/>
  <c r="K13" i="2"/>
  <c r="L1380" i="2" l="1"/>
  <c r="J1380" i="2"/>
  <c r="I1380" i="2"/>
  <c r="K1381" i="2"/>
  <c r="M1380" i="2"/>
  <c r="J1348" i="2"/>
  <c r="I1348" i="2"/>
  <c r="L1348" i="2"/>
  <c r="K1349" i="2"/>
  <c r="M1348" i="2"/>
  <c r="K1318" i="2"/>
  <c r="M1317" i="2"/>
  <c r="L1317" i="2"/>
  <c r="I1317" i="2"/>
  <c r="J1317" i="2"/>
  <c r="L1283" i="2"/>
  <c r="I1283" i="2"/>
  <c r="M1283" i="2"/>
  <c r="J1283" i="2"/>
  <c r="K1284" i="2"/>
  <c r="I1252" i="2"/>
  <c r="M1252" i="2"/>
  <c r="L1252" i="2"/>
  <c r="K1253" i="2"/>
  <c r="J1252" i="2"/>
  <c r="K1223" i="2"/>
  <c r="L1222" i="2"/>
  <c r="J1222" i="2"/>
  <c r="I1222" i="2"/>
  <c r="M1222" i="2"/>
  <c r="M1191" i="2"/>
  <c r="L1191" i="2"/>
  <c r="J1191" i="2"/>
  <c r="I1191" i="2"/>
  <c r="K1192" i="2"/>
  <c r="L1160" i="2"/>
  <c r="K1161" i="2"/>
  <c r="J1160" i="2"/>
  <c r="I1160" i="2"/>
  <c r="M1160" i="2"/>
  <c r="K1129" i="2"/>
  <c r="J1128" i="2"/>
  <c r="M1128" i="2"/>
  <c r="L1128" i="2"/>
  <c r="I1128" i="2"/>
  <c r="M1098" i="2"/>
  <c r="L1098" i="2"/>
  <c r="K1099" i="2"/>
  <c r="J1098" i="2"/>
  <c r="I1098" i="2"/>
  <c r="M1067" i="2"/>
  <c r="K1068" i="2"/>
  <c r="J1067" i="2"/>
  <c r="I1067" i="2"/>
  <c r="L1067" i="2"/>
  <c r="J1035" i="2"/>
  <c r="I1035" i="2"/>
  <c r="K1036" i="2"/>
  <c r="M1035" i="2"/>
  <c r="L1035" i="2"/>
  <c r="K1008" i="2"/>
  <c r="M1007" i="2"/>
  <c r="L1007" i="2"/>
  <c r="J1007" i="2"/>
  <c r="I1007" i="2"/>
  <c r="L974" i="2"/>
  <c r="I974" i="2"/>
  <c r="K975" i="2"/>
  <c r="J974" i="2"/>
  <c r="M974" i="2"/>
  <c r="M944" i="2"/>
  <c r="L944" i="2"/>
  <c r="K945" i="2"/>
  <c r="J944" i="2"/>
  <c r="I944" i="2"/>
  <c r="I913" i="2"/>
  <c r="K914" i="2"/>
  <c r="L913" i="2"/>
  <c r="M913" i="2"/>
  <c r="J913" i="2"/>
  <c r="L881" i="2"/>
  <c r="J881" i="2"/>
  <c r="K882" i="2"/>
  <c r="M881" i="2"/>
  <c r="I881" i="2"/>
  <c r="K850" i="2"/>
  <c r="J849" i="2"/>
  <c r="M849" i="2"/>
  <c r="L849" i="2"/>
  <c r="I849" i="2"/>
  <c r="D820" i="2"/>
  <c r="F819" i="2"/>
  <c r="F788" i="2"/>
  <c r="D789" i="2"/>
  <c r="T726" i="2"/>
  <c r="R727" i="2"/>
  <c r="F726" i="2"/>
  <c r="D727" i="2"/>
  <c r="R665" i="2"/>
  <c r="T664" i="2"/>
  <c r="D664" i="2"/>
  <c r="F663" i="2"/>
  <c r="K572" i="2"/>
  <c r="M571" i="2"/>
  <c r="L13" i="2"/>
  <c r="I13" i="2"/>
  <c r="M13" i="2"/>
  <c r="J13" i="2"/>
  <c r="K14" i="2"/>
  <c r="L1381" i="2" l="1"/>
  <c r="I1381" i="2"/>
  <c r="K1382" i="2"/>
  <c r="M1381" i="2"/>
  <c r="J1381" i="2"/>
  <c r="K1350" i="2"/>
  <c r="M1349" i="2"/>
  <c r="L1349" i="2"/>
  <c r="J1349" i="2"/>
  <c r="I1349" i="2"/>
  <c r="I1318" i="2"/>
  <c r="J1318" i="2"/>
  <c r="K1319" i="2"/>
  <c r="L1318" i="2"/>
  <c r="M1318" i="2"/>
  <c r="K1285" i="2"/>
  <c r="M1284" i="2"/>
  <c r="L1284" i="2"/>
  <c r="J1284" i="2"/>
  <c r="I1284" i="2"/>
  <c r="J1253" i="2"/>
  <c r="I1253" i="2"/>
  <c r="K1254" i="2"/>
  <c r="M1253" i="2"/>
  <c r="L1253" i="2"/>
  <c r="L1223" i="2"/>
  <c r="K1224" i="2"/>
  <c r="M1223" i="2"/>
  <c r="J1223" i="2"/>
  <c r="I1223" i="2"/>
  <c r="K1193" i="2"/>
  <c r="M1192" i="2"/>
  <c r="J1192" i="2"/>
  <c r="I1192" i="2"/>
  <c r="L1192" i="2"/>
  <c r="M1161" i="2"/>
  <c r="L1161" i="2"/>
  <c r="K1162" i="2"/>
  <c r="J1161" i="2"/>
  <c r="I1161" i="2"/>
  <c r="L1129" i="2"/>
  <c r="K1130" i="2"/>
  <c r="J1129" i="2"/>
  <c r="I1129" i="2"/>
  <c r="M1129" i="2"/>
  <c r="M1099" i="2"/>
  <c r="L1099" i="2"/>
  <c r="K1100" i="2"/>
  <c r="J1099" i="2"/>
  <c r="I1099" i="2"/>
  <c r="J1068" i="2"/>
  <c r="I1068" i="2"/>
  <c r="M1068" i="2"/>
  <c r="L1068" i="2"/>
  <c r="K1069" i="2"/>
  <c r="M1036" i="2"/>
  <c r="L1036" i="2"/>
  <c r="J1036" i="2"/>
  <c r="I1036" i="2"/>
  <c r="K1037" i="2"/>
  <c r="J1008" i="2"/>
  <c r="I1008" i="2"/>
  <c r="K1009" i="2"/>
  <c r="M1008" i="2"/>
  <c r="L1008" i="2"/>
  <c r="M975" i="2"/>
  <c r="L975" i="2"/>
  <c r="I975" i="2"/>
  <c r="K976" i="2"/>
  <c r="J975" i="2"/>
  <c r="M945" i="2"/>
  <c r="L945" i="2"/>
  <c r="J945" i="2"/>
  <c r="I945" i="2"/>
  <c r="K946" i="2"/>
  <c r="M914" i="2"/>
  <c r="J914" i="2"/>
  <c r="L914" i="2"/>
  <c r="K915" i="2"/>
  <c r="I914" i="2"/>
  <c r="L882" i="2"/>
  <c r="J882" i="2"/>
  <c r="I882" i="2"/>
  <c r="M882" i="2"/>
  <c r="K883" i="2"/>
  <c r="L850" i="2"/>
  <c r="K851" i="2"/>
  <c r="J850" i="2"/>
  <c r="I850" i="2"/>
  <c r="M850" i="2"/>
  <c r="F820" i="2"/>
  <c r="D821" i="2"/>
  <c r="D790" i="2"/>
  <c r="F789" i="2"/>
  <c r="R728" i="2"/>
  <c r="T727" i="2"/>
  <c r="F727" i="2"/>
  <c r="D728" i="2"/>
  <c r="T665" i="2"/>
  <c r="R666" i="2"/>
  <c r="D665" i="2"/>
  <c r="F664" i="2"/>
  <c r="M572" i="2"/>
  <c r="K573" i="2"/>
  <c r="L14" i="2"/>
  <c r="I14" i="2"/>
  <c r="J14" i="2"/>
  <c r="M14" i="2"/>
  <c r="K15" i="2"/>
  <c r="I1382" i="2" l="1"/>
  <c r="M1382" i="2"/>
  <c r="L1382" i="2"/>
  <c r="J1382" i="2"/>
  <c r="K1383" i="2"/>
  <c r="M1350" i="2"/>
  <c r="L1350" i="2"/>
  <c r="J1350" i="2"/>
  <c r="I1350" i="2"/>
  <c r="K1351" i="2"/>
  <c r="M1319" i="2"/>
  <c r="L1319" i="2"/>
  <c r="J1319" i="2"/>
  <c r="K1320" i="2"/>
  <c r="I1319" i="2"/>
  <c r="J1285" i="2"/>
  <c r="I1285" i="2"/>
  <c r="K1286" i="2"/>
  <c r="M1285" i="2"/>
  <c r="L1285" i="2"/>
  <c r="K1255" i="2"/>
  <c r="I1254" i="2"/>
  <c r="J1254" i="2"/>
  <c r="M1254" i="2"/>
  <c r="L1254" i="2"/>
  <c r="J1224" i="2"/>
  <c r="I1224" i="2"/>
  <c r="L1224" i="2"/>
  <c r="K1225" i="2"/>
  <c r="M1224" i="2"/>
  <c r="J1193" i="2"/>
  <c r="I1193" i="2"/>
  <c r="L1193" i="2"/>
  <c r="K1194" i="2"/>
  <c r="M1193" i="2"/>
  <c r="M1162" i="2"/>
  <c r="L1162" i="2"/>
  <c r="K1163" i="2"/>
  <c r="J1162" i="2"/>
  <c r="I1162" i="2"/>
  <c r="M1130" i="2"/>
  <c r="L1130" i="2"/>
  <c r="J1130" i="2"/>
  <c r="K1131" i="2"/>
  <c r="I1130" i="2"/>
  <c r="M1100" i="2"/>
  <c r="L1100" i="2"/>
  <c r="K1101" i="2"/>
  <c r="J1100" i="2"/>
  <c r="I1100" i="2"/>
  <c r="K1070" i="2"/>
  <c r="J1069" i="2"/>
  <c r="I1069" i="2"/>
  <c r="M1069" i="2"/>
  <c r="L1069" i="2"/>
  <c r="K1038" i="2"/>
  <c r="M1037" i="2"/>
  <c r="L1037" i="2"/>
  <c r="J1037" i="2"/>
  <c r="I1037" i="2"/>
  <c r="M1009" i="2"/>
  <c r="L1009" i="2"/>
  <c r="I1009" i="2"/>
  <c r="J1009" i="2"/>
  <c r="K1010" i="2"/>
  <c r="M976" i="2"/>
  <c r="K977" i="2"/>
  <c r="L976" i="2"/>
  <c r="J976" i="2"/>
  <c r="I976" i="2"/>
  <c r="M946" i="2"/>
  <c r="K947" i="2"/>
  <c r="I946" i="2"/>
  <c r="J946" i="2"/>
  <c r="L946" i="2"/>
  <c r="I915" i="2"/>
  <c r="K916" i="2"/>
  <c r="M915" i="2"/>
  <c r="L915" i="2"/>
  <c r="J915" i="2"/>
  <c r="J883" i="2"/>
  <c r="K884" i="2"/>
  <c r="I883" i="2"/>
  <c r="M883" i="2"/>
  <c r="L883" i="2"/>
  <c r="M851" i="2"/>
  <c r="L851" i="2"/>
  <c r="J851" i="2"/>
  <c r="I851" i="2"/>
  <c r="K852" i="2"/>
  <c r="F821" i="2"/>
  <c r="D822" i="2"/>
  <c r="D791" i="2"/>
  <c r="F790" i="2"/>
  <c r="R729" i="2"/>
  <c r="T728" i="2"/>
  <c r="F728" i="2"/>
  <c r="D729" i="2"/>
  <c r="T666" i="2"/>
  <c r="R667" i="2"/>
  <c r="F665" i="2"/>
  <c r="D666" i="2"/>
  <c r="K574" i="2"/>
  <c r="M573" i="2"/>
  <c r="L15" i="2"/>
  <c r="I15" i="2"/>
  <c r="M15" i="2"/>
  <c r="J15" i="2"/>
  <c r="K16" i="2"/>
  <c r="K1384" i="2" l="1"/>
  <c r="J1383" i="2"/>
  <c r="I1383" i="2"/>
  <c r="M1383" i="2"/>
  <c r="L1383" i="2"/>
  <c r="I1351" i="2"/>
  <c r="K1352" i="2"/>
  <c r="J1351" i="2"/>
  <c r="M1351" i="2"/>
  <c r="L1351" i="2"/>
  <c r="I1320" i="2"/>
  <c r="M1320" i="2"/>
  <c r="L1320" i="2"/>
  <c r="J1320" i="2"/>
  <c r="K1321" i="2"/>
  <c r="M1286" i="2"/>
  <c r="L1286" i="2"/>
  <c r="J1286" i="2"/>
  <c r="I1286" i="2"/>
  <c r="K1287" i="2"/>
  <c r="L1255" i="2"/>
  <c r="K1256" i="2"/>
  <c r="I1255" i="2"/>
  <c r="J1255" i="2"/>
  <c r="M1255" i="2"/>
  <c r="L1225" i="2"/>
  <c r="M1225" i="2"/>
  <c r="K1226" i="2"/>
  <c r="J1225" i="2"/>
  <c r="I1225" i="2"/>
  <c r="M1194" i="2"/>
  <c r="I1194" i="2"/>
  <c r="K1195" i="2"/>
  <c r="L1194" i="2"/>
  <c r="J1194" i="2"/>
  <c r="M1163" i="2"/>
  <c r="L1163" i="2"/>
  <c r="J1163" i="2"/>
  <c r="I1163" i="2"/>
  <c r="K1164" i="2"/>
  <c r="M1131" i="2"/>
  <c r="J1131" i="2"/>
  <c r="I1131" i="2"/>
  <c r="K1132" i="2"/>
  <c r="L1131" i="2"/>
  <c r="M1101" i="2"/>
  <c r="L1101" i="2"/>
  <c r="I1101" i="2"/>
  <c r="K1102" i="2"/>
  <c r="J1101" i="2"/>
  <c r="M1070" i="2"/>
  <c r="L1070" i="2"/>
  <c r="K1071" i="2"/>
  <c r="J1070" i="2"/>
  <c r="I1070" i="2"/>
  <c r="L1038" i="2"/>
  <c r="J1038" i="2"/>
  <c r="I1038" i="2"/>
  <c r="M1038" i="2"/>
  <c r="K1039" i="2"/>
  <c r="I1010" i="2"/>
  <c r="L1010" i="2"/>
  <c r="M1010" i="2"/>
  <c r="K1011" i="2"/>
  <c r="J1010" i="2"/>
  <c r="M977" i="2"/>
  <c r="K978" i="2"/>
  <c r="L977" i="2"/>
  <c r="J977" i="2"/>
  <c r="I977" i="2"/>
  <c r="K948" i="2"/>
  <c r="M947" i="2"/>
  <c r="L947" i="2"/>
  <c r="J947" i="2"/>
  <c r="I947" i="2"/>
  <c r="M916" i="2"/>
  <c r="J916" i="2"/>
  <c r="L916" i="2"/>
  <c r="I916" i="2"/>
  <c r="K917" i="2"/>
  <c r="M884" i="2"/>
  <c r="L884" i="2"/>
  <c r="J884" i="2"/>
  <c r="I884" i="2"/>
  <c r="K885" i="2"/>
  <c r="M852" i="2"/>
  <c r="K853" i="2"/>
  <c r="I852" i="2"/>
  <c r="L852" i="2"/>
  <c r="J852" i="2"/>
  <c r="D823" i="2"/>
  <c r="F822" i="2"/>
  <c r="F791" i="2"/>
  <c r="D792" i="2"/>
  <c r="T729" i="2"/>
  <c r="R730" i="2"/>
  <c r="F729" i="2"/>
  <c r="D730" i="2"/>
  <c r="T667" i="2"/>
  <c r="R668" i="2"/>
  <c r="F666" i="2"/>
  <c r="D667" i="2"/>
  <c r="M574" i="2"/>
  <c r="K575" i="2"/>
  <c r="L16" i="2"/>
  <c r="I16" i="2"/>
  <c r="M16" i="2"/>
  <c r="J16" i="2"/>
  <c r="K17" i="2"/>
  <c r="K1385" i="2" l="1"/>
  <c r="J1384" i="2"/>
  <c r="I1384" i="2"/>
  <c r="M1384" i="2"/>
  <c r="L1384" i="2"/>
  <c r="K1353" i="2"/>
  <c r="J1352" i="2"/>
  <c r="I1352" i="2"/>
  <c r="M1352" i="2"/>
  <c r="L1352" i="2"/>
  <c r="K1322" i="2"/>
  <c r="J1321" i="2"/>
  <c r="I1321" i="2"/>
  <c r="M1321" i="2"/>
  <c r="L1321" i="2"/>
  <c r="K1288" i="2"/>
  <c r="M1287" i="2"/>
  <c r="L1287" i="2"/>
  <c r="J1287" i="2"/>
  <c r="I1287" i="2"/>
  <c r="J1256" i="2"/>
  <c r="M1256" i="2"/>
  <c r="L1256" i="2"/>
  <c r="K1257" i="2"/>
  <c r="I1256" i="2"/>
  <c r="I1226" i="2"/>
  <c r="M1226" i="2"/>
  <c r="L1226" i="2"/>
  <c r="J1226" i="2"/>
  <c r="K1227" i="2"/>
  <c r="K1196" i="2"/>
  <c r="J1195" i="2"/>
  <c r="I1195" i="2"/>
  <c r="M1195" i="2"/>
  <c r="L1195" i="2"/>
  <c r="M1164" i="2"/>
  <c r="K1165" i="2"/>
  <c r="L1164" i="2"/>
  <c r="J1164" i="2"/>
  <c r="I1164" i="2"/>
  <c r="K1133" i="2"/>
  <c r="M1132" i="2"/>
  <c r="L1132" i="2"/>
  <c r="J1132" i="2"/>
  <c r="I1132" i="2"/>
  <c r="M1102" i="2"/>
  <c r="K1103" i="2"/>
  <c r="L1102" i="2"/>
  <c r="J1102" i="2"/>
  <c r="I1102" i="2"/>
  <c r="M1071" i="2"/>
  <c r="J1071" i="2"/>
  <c r="K1072" i="2"/>
  <c r="I1071" i="2"/>
  <c r="L1071" i="2"/>
  <c r="K1040" i="2"/>
  <c r="M1039" i="2"/>
  <c r="J1039" i="2"/>
  <c r="I1039" i="2"/>
  <c r="L1039" i="2"/>
  <c r="K1012" i="2"/>
  <c r="J1011" i="2"/>
  <c r="I1011" i="2"/>
  <c r="L1011" i="2"/>
  <c r="M1011" i="2"/>
  <c r="L978" i="2"/>
  <c r="J978" i="2"/>
  <c r="I978" i="2"/>
  <c r="K979" i="2"/>
  <c r="M978" i="2"/>
  <c r="I948" i="2"/>
  <c r="K949" i="2"/>
  <c r="M948" i="2"/>
  <c r="L948" i="2"/>
  <c r="J948" i="2"/>
  <c r="I917" i="2"/>
  <c r="K918" i="2"/>
  <c r="L917" i="2"/>
  <c r="M917" i="2"/>
  <c r="J917" i="2"/>
  <c r="M885" i="2"/>
  <c r="L885" i="2"/>
  <c r="K886" i="2"/>
  <c r="J885" i="2"/>
  <c r="I885" i="2"/>
  <c r="M853" i="2"/>
  <c r="L853" i="2"/>
  <c r="J853" i="2"/>
  <c r="I853" i="2"/>
  <c r="K854" i="2"/>
  <c r="D824" i="2"/>
  <c r="F823" i="2"/>
  <c r="D793" i="2"/>
  <c r="F792" i="2"/>
  <c r="R731" i="2"/>
  <c r="T730" i="2"/>
  <c r="F730" i="2"/>
  <c r="D731" i="2"/>
  <c r="T668" i="2"/>
  <c r="R669" i="2"/>
  <c r="F667" i="2"/>
  <c r="D668" i="2"/>
  <c r="M575" i="2"/>
  <c r="K576" i="2"/>
  <c r="L17" i="2"/>
  <c r="I17" i="2"/>
  <c r="M17" i="2"/>
  <c r="J17" i="2"/>
  <c r="K18" i="2"/>
  <c r="L1385" i="2" l="1"/>
  <c r="I1385" i="2"/>
  <c r="K1386" i="2"/>
  <c r="J1385" i="2"/>
  <c r="M1385" i="2"/>
  <c r="K1354" i="2"/>
  <c r="J1353" i="2"/>
  <c r="I1353" i="2"/>
  <c r="L1353" i="2"/>
  <c r="M1353" i="2"/>
  <c r="K1323" i="2"/>
  <c r="J1322" i="2"/>
  <c r="I1322" i="2"/>
  <c r="M1322" i="2"/>
  <c r="L1322" i="2"/>
  <c r="M1288" i="2"/>
  <c r="L1288" i="2"/>
  <c r="J1288" i="2"/>
  <c r="I1288" i="2"/>
  <c r="K1289" i="2"/>
  <c r="M1257" i="2"/>
  <c r="I1257" i="2"/>
  <c r="K1258" i="2"/>
  <c r="L1257" i="2"/>
  <c r="J1257" i="2"/>
  <c r="I1227" i="2"/>
  <c r="K1228" i="2"/>
  <c r="M1227" i="2"/>
  <c r="L1227" i="2"/>
  <c r="J1227" i="2"/>
  <c r="I1196" i="2"/>
  <c r="L1196" i="2"/>
  <c r="J1196" i="2"/>
  <c r="K1197" i="2"/>
  <c r="M1196" i="2"/>
  <c r="L1165" i="2"/>
  <c r="J1165" i="2"/>
  <c r="I1165" i="2"/>
  <c r="M1165" i="2"/>
  <c r="K1166" i="2"/>
  <c r="L1133" i="2"/>
  <c r="J1133" i="2"/>
  <c r="I1133" i="2"/>
  <c r="M1133" i="2"/>
  <c r="K1134" i="2"/>
  <c r="I1103" i="2"/>
  <c r="M1103" i="2"/>
  <c r="J1103" i="2"/>
  <c r="L1103" i="2"/>
  <c r="K1104" i="2"/>
  <c r="I1072" i="2"/>
  <c r="L1072" i="2"/>
  <c r="J1072" i="2"/>
  <c r="M1072" i="2"/>
  <c r="K1073" i="2"/>
  <c r="L1040" i="2"/>
  <c r="J1040" i="2"/>
  <c r="I1040" i="2"/>
  <c r="K1041" i="2"/>
  <c r="M1040" i="2"/>
  <c r="K1013" i="2"/>
  <c r="J1012" i="2"/>
  <c r="I1012" i="2"/>
  <c r="M1012" i="2"/>
  <c r="L1012" i="2"/>
  <c r="I979" i="2"/>
  <c r="J979" i="2"/>
  <c r="K980" i="2"/>
  <c r="M979" i="2"/>
  <c r="L979" i="2"/>
  <c r="K950" i="2"/>
  <c r="J949" i="2"/>
  <c r="I949" i="2"/>
  <c r="M949" i="2"/>
  <c r="L949" i="2"/>
  <c r="K919" i="2"/>
  <c r="J918" i="2"/>
  <c r="I918" i="2"/>
  <c r="M918" i="2"/>
  <c r="L918" i="2"/>
  <c r="I886" i="2"/>
  <c r="L886" i="2"/>
  <c r="J886" i="2"/>
  <c r="M886" i="2"/>
  <c r="K887" i="2"/>
  <c r="K855" i="2"/>
  <c r="M854" i="2"/>
  <c r="L854" i="2"/>
  <c r="J854" i="2"/>
  <c r="I854" i="2"/>
  <c r="D825" i="2"/>
  <c r="F824" i="2"/>
  <c r="D794" i="2"/>
  <c r="F793" i="2"/>
  <c r="R732" i="2"/>
  <c r="T731" i="2"/>
  <c r="F731" i="2"/>
  <c r="D732" i="2"/>
  <c r="T669" i="2"/>
  <c r="R670" i="2"/>
  <c r="F668" i="2"/>
  <c r="D669" i="2"/>
  <c r="M576" i="2"/>
  <c r="K577" i="2"/>
  <c r="L18" i="2"/>
  <c r="I18" i="2"/>
  <c r="M18" i="2"/>
  <c r="J18" i="2"/>
  <c r="K19" i="2"/>
  <c r="M1386" i="2" l="1"/>
  <c r="K1387" i="2"/>
  <c r="J1386" i="2"/>
  <c r="L1386" i="2"/>
  <c r="I1386" i="2"/>
  <c r="L1354" i="2"/>
  <c r="I1354" i="2"/>
  <c r="K1355" i="2"/>
  <c r="J1354" i="2"/>
  <c r="M1354" i="2"/>
  <c r="L1323" i="2"/>
  <c r="K1324" i="2"/>
  <c r="J1323" i="2"/>
  <c r="I1323" i="2"/>
  <c r="M1323" i="2"/>
  <c r="I1289" i="2"/>
  <c r="K1290" i="2"/>
  <c r="M1289" i="2"/>
  <c r="L1289" i="2"/>
  <c r="J1289" i="2"/>
  <c r="I1258" i="2"/>
  <c r="M1258" i="2"/>
  <c r="L1258" i="2"/>
  <c r="K1259" i="2"/>
  <c r="J1258" i="2"/>
  <c r="K1229" i="2"/>
  <c r="J1228" i="2"/>
  <c r="I1228" i="2"/>
  <c r="M1228" i="2"/>
  <c r="L1228" i="2"/>
  <c r="K1198" i="2"/>
  <c r="J1197" i="2"/>
  <c r="I1197" i="2"/>
  <c r="M1197" i="2"/>
  <c r="L1197" i="2"/>
  <c r="J1166" i="2"/>
  <c r="I1166" i="2"/>
  <c r="M1166" i="2"/>
  <c r="L1166" i="2"/>
  <c r="K1167" i="2"/>
  <c r="I1134" i="2"/>
  <c r="K1135" i="2"/>
  <c r="M1134" i="2"/>
  <c r="L1134" i="2"/>
  <c r="J1134" i="2"/>
  <c r="K1105" i="2"/>
  <c r="J1104" i="2"/>
  <c r="I1104" i="2"/>
  <c r="L1104" i="2"/>
  <c r="M1104" i="2"/>
  <c r="K1074" i="2"/>
  <c r="J1073" i="2"/>
  <c r="I1073" i="2"/>
  <c r="L1073" i="2"/>
  <c r="M1073" i="2"/>
  <c r="I1041" i="2"/>
  <c r="M1041" i="2"/>
  <c r="L1041" i="2"/>
  <c r="K1042" i="2"/>
  <c r="J1041" i="2"/>
  <c r="L1013" i="2"/>
  <c r="K1014" i="2"/>
  <c r="J1013" i="2"/>
  <c r="I1013" i="2"/>
  <c r="M1013" i="2"/>
  <c r="K981" i="2"/>
  <c r="J980" i="2"/>
  <c r="I980" i="2"/>
  <c r="M980" i="2"/>
  <c r="L980" i="2"/>
  <c r="K951" i="2"/>
  <c r="J950" i="2"/>
  <c r="I950" i="2"/>
  <c r="M950" i="2"/>
  <c r="L950" i="2"/>
  <c r="K920" i="2"/>
  <c r="J919" i="2"/>
  <c r="I919" i="2"/>
  <c r="M919" i="2"/>
  <c r="L919" i="2"/>
  <c r="K888" i="2"/>
  <c r="J887" i="2"/>
  <c r="I887" i="2"/>
  <c r="M887" i="2"/>
  <c r="L887" i="2"/>
  <c r="I855" i="2"/>
  <c r="M855" i="2"/>
  <c r="L855" i="2"/>
  <c r="K856" i="2"/>
  <c r="J855" i="2"/>
  <c r="F825" i="2"/>
  <c r="D826" i="2"/>
  <c r="D795" i="2"/>
  <c r="F794" i="2"/>
  <c r="R733" i="2"/>
  <c r="T732" i="2"/>
  <c r="F732" i="2"/>
  <c r="D733" i="2"/>
  <c r="R671" i="2"/>
  <c r="T670" i="2"/>
  <c r="D670" i="2"/>
  <c r="F669" i="2"/>
  <c r="K578" i="2"/>
  <c r="M577" i="2"/>
  <c r="L19" i="2"/>
  <c r="I19" i="2"/>
  <c r="J19" i="2"/>
  <c r="M19" i="2"/>
  <c r="K20" i="2"/>
  <c r="M1387" i="2" l="1"/>
  <c r="K1388" i="2"/>
  <c r="J1387" i="2"/>
  <c r="I1387" i="2"/>
  <c r="L1387" i="2"/>
  <c r="M1355" i="2"/>
  <c r="L1355" i="2"/>
  <c r="K1356" i="2"/>
  <c r="J1355" i="2"/>
  <c r="I1355" i="2"/>
  <c r="M1324" i="2"/>
  <c r="L1324" i="2"/>
  <c r="K1325" i="2"/>
  <c r="J1324" i="2"/>
  <c r="I1324" i="2"/>
  <c r="K1291" i="2"/>
  <c r="J1290" i="2"/>
  <c r="I1290" i="2"/>
  <c r="L1290" i="2"/>
  <c r="M1290" i="2"/>
  <c r="K1260" i="2"/>
  <c r="J1259" i="2"/>
  <c r="I1259" i="2"/>
  <c r="L1259" i="2"/>
  <c r="M1259" i="2"/>
  <c r="K1230" i="2"/>
  <c r="J1229" i="2"/>
  <c r="I1229" i="2"/>
  <c r="M1229" i="2"/>
  <c r="L1229" i="2"/>
  <c r="I1198" i="2"/>
  <c r="K1199" i="2"/>
  <c r="J1198" i="2"/>
  <c r="M1198" i="2"/>
  <c r="L1198" i="2"/>
  <c r="M1167" i="2"/>
  <c r="K1168" i="2"/>
  <c r="L1167" i="2"/>
  <c r="J1167" i="2"/>
  <c r="I1167" i="2"/>
  <c r="K1136" i="2"/>
  <c r="J1135" i="2"/>
  <c r="I1135" i="2"/>
  <c r="M1135" i="2"/>
  <c r="L1135" i="2"/>
  <c r="K1106" i="2"/>
  <c r="J1105" i="2"/>
  <c r="I1105" i="2"/>
  <c r="M1105" i="2"/>
  <c r="L1105" i="2"/>
  <c r="K1075" i="2"/>
  <c r="J1074" i="2"/>
  <c r="I1074" i="2"/>
  <c r="L1074" i="2"/>
  <c r="M1074" i="2"/>
  <c r="K1043" i="2"/>
  <c r="J1042" i="2"/>
  <c r="I1042" i="2"/>
  <c r="M1042" i="2"/>
  <c r="L1042" i="2"/>
  <c r="M1014" i="2"/>
  <c r="L1014" i="2"/>
  <c r="K1015" i="2"/>
  <c r="J1014" i="2"/>
  <c r="I1014" i="2"/>
  <c r="K982" i="2"/>
  <c r="J981" i="2"/>
  <c r="I981" i="2"/>
  <c r="M981" i="2"/>
  <c r="L981" i="2"/>
  <c r="L951" i="2"/>
  <c r="K952" i="2"/>
  <c r="J951" i="2"/>
  <c r="I951" i="2"/>
  <c r="M951" i="2"/>
  <c r="L920" i="2"/>
  <c r="K921" i="2"/>
  <c r="J920" i="2"/>
  <c r="I920" i="2"/>
  <c r="M920" i="2"/>
  <c r="J888" i="2"/>
  <c r="I888" i="2"/>
  <c r="K889" i="2"/>
  <c r="M888" i="2"/>
  <c r="L888" i="2"/>
  <c r="K857" i="2"/>
  <c r="J856" i="2"/>
  <c r="I856" i="2"/>
  <c r="M856" i="2"/>
  <c r="L856" i="2"/>
  <c r="F826" i="2"/>
  <c r="D827" i="2"/>
  <c r="D796" i="2"/>
  <c r="F795" i="2"/>
  <c r="R734" i="2"/>
  <c r="T733" i="2"/>
  <c r="F733" i="2"/>
  <c r="D734" i="2"/>
  <c r="T671" i="2"/>
  <c r="R672" i="2"/>
  <c r="D671" i="2"/>
  <c r="F670" i="2"/>
  <c r="K579" i="2"/>
  <c r="M578" i="2"/>
  <c r="I20" i="2"/>
  <c r="L20" i="2"/>
  <c r="J20" i="2"/>
  <c r="M20" i="2"/>
  <c r="K21" i="2"/>
  <c r="L1388" i="2" l="1"/>
  <c r="M1388" i="2"/>
  <c r="K1389" i="2"/>
  <c r="J1388" i="2"/>
  <c r="I1388" i="2"/>
  <c r="K1357" i="2"/>
  <c r="J1356" i="2"/>
  <c r="I1356" i="2"/>
  <c r="M1356" i="2"/>
  <c r="L1356" i="2"/>
  <c r="M1325" i="2"/>
  <c r="L1325" i="2"/>
  <c r="J1325" i="2"/>
  <c r="I1325" i="2"/>
  <c r="K1326" i="2"/>
  <c r="K1292" i="2"/>
  <c r="J1291" i="2"/>
  <c r="I1291" i="2"/>
  <c r="M1291" i="2"/>
  <c r="L1291" i="2"/>
  <c r="L1260" i="2"/>
  <c r="K1261" i="2"/>
  <c r="J1260" i="2"/>
  <c r="I1260" i="2"/>
  <c r="M1260" i="2"/>
  <c r="L1230" i="2"/>
  <c r="K1231" i="2"/>
  <c r="J1230" i="2"/>
  <c r="I1230" i="2"/>
  <c r="M1230" i="2"/>
  <c r="L1199" i="2"/>
  <c r="K1200" i="2"/>
  <c r="J1199" i="2"/>
  <c r="I1199" i="2"/>
  <c r="M1199" i="2"/>
  <c r="J1168" i="2"/>
  <c r="I1168" i="2"/>
  <c r="K1169" i="2"/>
  <c r="M1168" i="2"/>
  <c r="L1168" i="2"/>
  <c r="K1137" i="2"/>
  <c r="J1136" i="2"/>
  <c r="I1136" i="2"/>
  <c r="M1136" i="2"/>
  <c r="L1136" i="2"/>
  <c r="L1106" i="2"/>
  <c r="J1106" i="2"/>
  <c r="I1106" i="2"/>
  <c r="K1107" i="2"/>
  <c r="M1106" i="2"/>
  <c r="L1075" i="2"/>
  <c r="K1076" i="2"/>
  <c r="I1075" i="2"/>
  <c r="J1075" i="2"/>
  <c r="M1075" i="2"/>
  <c r="K1044" i="2"/>
  <c r="J1043" i="2"/>
  <c r="I1043" i="2"/>
  <c r="M1043" i="2"/>
  <c r="L1043" i="2"/>
  <c r="M1015" i="2"/>
  <c r="L1015" i="2"/>
  <c r="J1015" i="2"/>
  <c r="I1015" i="2"/>
  <c r="K1016" i="2"/>
  <c r="L982" i="2"/>
  <c r="K983" i="2"/>
  <c r="J982" i="2"/>
  <c r="I982" i="2"/>
  <c r="M982" i="2"/>
  <c r="M952" i="2"/>
  <c r="L952" i="2"/>
  <c r="I952" i="2"/>
  <c r="K953" i="2"/>
  <c r="J952" i="2"/>
  <c r="M921" i="2"/>
  <c r="L921" i="2"/>
  <c r="J921" i="2"/>
  <c r="K922" i="2"/>
  <c r="I921" i="2"/>
  <c r="L889" i="2"/>
  <c r="K890" i="2"/>
  <c r="J889" i="2"/>
  <c r="I889" i="2"/>
  <c r="M889" i="2"/>
  <c r="K858" i="2"/>
  <c r="J857" i="2"/>
  <c r="I857" i="2"/>
  <c r="M857" i="2"/>
  <c r="L857" i="2"/>
  <c r="D828" i="2"/>
  <c r="F827" i="2"/>
  <c r="F796" i="2"/>
  <c r="D797" i="2"/>
  <c r="R735" i="2"/>
  <c r="T734" i="2"/>
  <c r="F734" i="2"/>
  <c r="D735" i="2"/>
  <c r="T672" i="2"/>
  <c r="R673" i="2"/>
  <c r="D672" i="2"/>
  <c r="F671" i="2"/>
  <c r="M579" i="2"/>
  <c r="K580" i="2"/>
  <c r="I21" i="2"/>
  <c r="L21" i="2"/>
  <c r="M21" i="2"/>
  <c r="J21" i="2"/>
  <c r="K22" i="2"/>
  <c r="L1389" i="2" l="1"/>
  <c r="M1389" i="2"/>
  <c r="J1389" i="2"/>
  <c r="I1389" i="2"/>
  <c r="K1390" i="2"/>
  <c r="L1357" i="2"/>
  <c r="I1357" i="2"/>
  <c r="J1357" i="2"/>
  <c r="M1357" i="2"/>
  <c r="K1358" i="2"/>
  <c r="M1326" i="2"/>
  <c r="L1326" i="2"/>
  <c r="K1327" i="2"/>
  <c r="J1326" i="2"/>
  <c r="I1326" i="2"/>
  <c r="L1292" i="2"/>
  <c r="K1293" i="2"/>
  <c r="J1292" i="2"/>
  <c r="I1292" i="2"/>
  <c r="M1292" i="2"/>
  <c r="L1261" i="2"/>
  <c r="M1261" i="2"/>
  <c r="K1262" i="2"/>
  <c r="J1261" i="2"/>
  <c r="I1261" i="2"/>
  <c r="M1231" i="2"/>
  <c r="L1231" i="2"/>
  <c r="K1232" i="2"/>
  <c r="J1231" i="2"/>
  <c r="I1231" i="2"/>
  <c r="M1200" i="2"/>
  <c r="K1201" i="2"/>
  <c r="J1200" i="2"/>
  <c r="I1200" i="2"/>
  <c r="L1200" i="2"/>
  <c r="I1169" i="2"/>
  <c r="M1169" i="2"/>
  <c r="L1169" i="2"/>
  <c r="K1170" i="2"/>
  <c r="J1169" i="2"/>
  <c r="L1137" i="2"/>
  <c r="J1137" i="2"/>
  <c r="K1138" i="2"/>
  <c r="I1137" i="2"/>
  <c r="M1137" i="2"/>
  <c r="M1107" i="2"/>
  <c r="L1107" i="2"/>
  <c r="K1108" i="2"/>
  <c r="J1107" i="2"/>
  <c r="I1107" i="2"/>
  <c r="M1076" i="2"/>
  <c r="K1077" i="2"/>
  <c r="J1076" i="2"/>
  <c r="I1076" i="2"/>
  <c r="L1076" i="2"/>
  <c r="L1044" i="2"/>
  <c r="K1045" i="2"/>
  <c r="J1044" i="2"/>
  <c r="I1044" i="2"/>
  <c r="M1044" i="2"/>
  <c r="M1016" i="2"/>
  <c r="L1016" i="2"/>
  <c r="J1016" i="2"/>
  <c r="I1016" i="2"/>
  <c r="K1017" i="2"/>
  <c r="M983" i="2"/>
  <c r="L983" i="2"/>
  <c r="K984" i="2"/>
  <c r="J983" i="2"/>
  <c r="I983" i="2"/>
  <c r="M953" i="2"/>
  <c r="L953" i="2"/>
  <c r="K954" i="2"/>
  <c r="J953" i="2"/>
  <c r="I953" i="2"/>
  <c r="M922" i="2"/>
  <c r="L922" i="2"/>
  <c r="K923" i="2"/>
  <c r="J922" i="2"/>
  <c r="I922" i="2"/>
  <c r="M890" i="2"/>
  <c r="K891" i="2"/>
  <c r="J890" i="2"/>
  <c r="I890" i="2"/>
  <c r="L890" i="2"/>
  <c r="L858" i="2"/>
  <c r="K859" i="2"/>
  <c r="J858" i="2"/>
  <c r="I858" i="2"/>
  <c r="M858" i="2"/>
  <c r="D829" i="2"/>
  <c r="F828" i="2"/>
  <c r="D798" i="2"/>
  <c r="F797" i="2"/>
  <c r="R736" i="2"/>
  <c r="T735" i="2"/>
  <c r="F735" i="2"/>
  <c r="D736" i="2"/>
  <c r="T673" i="2"/>
  <c r="R674" i="2"/>
  <c r="D673" i="2"/>
  <c r="F672" i="2"/>
  <c r="K581" i="2"/>
  <c r="M580" i="2"/>
  <c r="L22" i="2"/>
  <c r="M22" i="2"/>
  <c r="I22" i="2"/>
  <c r="J22" i="2"/>
  <c r="K23" i="2"/>
  <c r="J1390" i="2" l="1"/>
  <c r="I1390" i="2"/>
  <c r="M1390" i="2"/>
  <c r="L1390" i="2"/>
  <c r="K1391" i="2"/>
  <c r="M1358" i="2"/>
  <c r="I1358" i="2"/>
  <c r="K1359" i="2"/>
  <c r="L1358" i="2"/>
  <c r="J1358" i="2"/>
  <c r="M1327" i="2"/>
  <c r="L1327" i="2"/>
  <c r="J1327" i="2"/>
  <c r="I1327" i="2"/>
  <c r="K1328" i="2"/>
  <c r="M1293" i="2"/>
  <c r="L1293" i="2"/>
  <c r="K1294" i="2"/>
  <c r="J1293" i="2"/>
  <c r="I1293" i="2"/>
  <c r="M1262" i="2"/>
  <c r="L1262" i="2"/>
  <c r="I1262" i="2"/>
  <c r="K1263" i="2"/>
  <c r="J1262" i="2"/>
  <c r="M1232" i="2"/>
  <c r="L1232" i="2"/>
  <c r="K1233" i="2"/>
  <c r="J1232" i="2"/>
  <c r="I1232" i="2"/>
  <c r="L1201" i="2"/>
  <c r="K1202" i="2"/>
  <c r="J1201" i="2"/>
  <c r="M1201" i="2"/>
  <c r="I1201" i="2"/>
  <c r="M1170" i="2"/>
  <c r="L1170" i="2"/>
  <c r="K1171" i="2"/>
  <c r="J1170" i="2"/>
  <c r="I1170" i="2"/>
  <c r="M1138" i="2"/>
  <c r="J1138" i="2"/>
  <c r="I1138" i="2"/>
  <c r="L1138" i="2"/>
  <c r="K1139" i="2"/>
  <c r="K1109" i="2"/>
  <c r="J1108" i="2"/>
  <c r="I1108" i="2"/>
  <c r="M1108" i="2"/>
  <c r="L1108" i="2"/>
  <c r="K1078" i="2"/>
  <c r="J1077" i="2"/>
  <c r="I1077" i="2"/>
  <c r="M1077" i="2"/>
  <c r="L1077" i="2"/>
  <c r="M1045" i="2"/>
  <c r="L1045" i="2"/>
  <c r="K1046" i="2"/>
  <c r="J1045" i="2"/>
  <c r="I1045" i="2"/>
  <c r="M1017" i="2"/>
  <c r="J1017" i="2"/>
  <c r="I1017" i="2"/>
  <c r="K1018" i="2"/>
  <c r="L1017" i="2"/>
  <c r="M984" i="2"/>
  <c r="L984" i="2"/>
  <c r="I984" i="2"/>
  <c r="J984" i="2"/>
  <c r="K985" i="2"/>
  <c r="J954" i="2"/>
  <c r="I954" i="2"/>
  <c r="M954" i="2"/>
  <c r="L954" i="2"/>
  <c r="K955" i="2"/>
  <c r="M923" i="2"/>
  <c r="L923" i="2"/>
  <c r="K924" i="2"/>
  <c r="J923" i="2"/>
  <c r="I923" i="2"/>
  <c r="M891" i="2"/>
  <c r="L891" i="2"/>
  <c r="K892" i="2"/>
  <c r="J891" i="2"/>
  <c r="I891" i="2"/>
  <c r="M859" i="2"/>
  <c r="K860" i="2"/>
  <c r="J859" i="2"/>
  <c r="L859" i="2"/>
  <c r="I859" i="2"/>
  <c r="D830" i="2"/>
  <c r="F829" i="2"/>
  <c r="D799" i="2"/>
  <c r="F798" i="2"/>
  <c r="R737" i="2"/>
  <c r="T736" i="2"/>
  <c r="F736" i="2"/>
  <c r="D737" i="2"/>
  <c r="T674" i="2"/>
  <c r="R675" i="2"/>
  <c r="D674" i="2"/>
  <c r="F673" i="2"/>
  <c r="K582" i="2"/>
  <c r="M581" i="2"/>
  <c r="L23" i="2"/>
  <c r="M23" i="2"/>
  <c r="I23" i="2"/>
  <c r="J23" i="2"/>
  <c r="K24" i="2"/>
  <c r="M1391" i="2" l="1"/>
  <c r="L1391" i="2"/>
  <c r="J1391" i="2"/>
  <c r="I1391" i="2"/>
  <c r="R1369" i="2"/>
  <c r="I1359" i="2"/>
  <c r="M1359" i="2"/>
  <c r="L1359" i="2"/>
  <c r="K1360" i="2"/>
  <c r="J1359" i="2"/>
  <c r="I1328" i="2"/>
  <c r="K1329" i="2"/>
  <c r="M1328" i="2"/>
  <c r="L1328" i="2"/>
  <c r="J1328" i="2"/>
  <c r="M1294" i="2"/>
  <c r="L1294" i="2"/>
  <c r="K1295" i="2"/>
  <c r="J1294" i="2"/>
  <c r="I1294" i="2"/>
  <c r="J1263" i="2"/>
  <c r="M1263" i="2"/>
  <c r="K1264" i="2"/>
  <c r="I1263" i="2"/>
  <c r="L1263" i="2"/>
  <c r="K1234" i="2"/>
  <c r="M1233" i="2"/>
  <c r="L1233" i="2"/>
  <c r="J1233" i="2"/>
  <c r="I1233" i="2"/>
  <c r="M1202" i="2"/>
  <c r="L1202" i="2"/>
  <c r="J1202" i="2"/>
  <c r="I1202" i="2"/>
  <c r="K1203" i="2"/>
  <c r="J1171" i="2"/>
  <c r="I1171" i="2"/>
  <c r="K1172" i="2"/>
  <c r="M1171" i="2"/>
  <c r="L1171" i="2"/>
  <c r="L1139" i="2"/>
  <c r="K1140" i="2"/>
  <c r="J1139" i="2"/>
  <c r="I1139" i="2"/>
  <c r="M1139" i="2"/>
  <c r="L1109" i="2"/>
  <c r="I1109" i="2"/>
  <c r="M1109" i="2"/>
  <c r="J1109" i="2"/>
  <c r="K1110" i="2"/>
  <c r="L1078" i="2"/>
  <c r="K1079" i="2"/>
  <c r="M1078" i="2"/>
  <c r="J1078" i="2"/>
  <c r="I1078" i="2"/>
  <c r="M1046" i="2"/>
  <c r="L1046" i="2"/>
  <c r="K1047" i="2"/>
  <c r="J1046" i="2"/>
  <c r="I1046" i="2"/>
  <c r="I1018" i="2"/>
  <c r="K1019" i="2"/>
  <c r="M1018" i="2"/>
  <c r="L1018" i="2"/>
  <c r="J1018" i="2"/>
  <c r="M985" i="2"/>
  <c r="L985" i="2"/>
  <c r="I985" i="2"/>
  <c r="K986" i="2"/>
  <c r="J985" i="2"/>
  <c r="L955" i="2"/>
  <c r="J955" i="2"/>
  <c r="I955" i="2"/>
  <c r="M955" i="2"/>
  <c r="K956" i="2"/>
  <c r="K925" i="2"/>
  <c r="M924" i="2"/>
  <c r="L924" i="2"/>
  <c r="J924" i="2"/>
  <c r="I924" i="2"/>
  <c r="M892" i="2"/>
  <c r="L892" i="2"/>
  <c r="J892" i="2"/>
  <c r="I892" i="2"/>
  <c r="K893" i="2"/>
  <c r="M860" i="2"/>
  <c r="L860" i="2"/>
  <c r="K861" i="2"/>
  <c r="J860" i="2"/>
  <c r="I860" i="2"/>
  <c r="D831" i="2"/>
  <c r="F830" i="2"/>
  <c r="D800" i="2"/>
  <c r="F799" i="2"/>
  <c r="R738" i="2"/>
  <c r="T737" i="2"/>
  <c r="F737" i="2"/>
  <c r="D738" i="2"/>
  <c r="T675" i="2"/>
  <c r="R676" i="2"/>
  <c r="F674" i="2"/>
  <c r="D675" i="2"/>
  <c r="K583" i="2"/>
  <c r="M582" i="2"/>
  <c r="M24" i="2"/>
  <c r="I24" i="2"/>
  <c r="J24" i="2"/>
  <c r="L24" i="2"/>
  <c r="K25" i="2"/>
  <c r="Q1369" i="2" l="1"/>
  <c r="P1369" i="2"/>
  <c r="T1369" i="2"/>
  <c r="S1369" i="2"/>
  <c r="R1370" i="2"/>
  <c r="M1360" i="2"/>
  <c r="L1360" i="2"/>
  <c r="J1360" i="2"/>
  <c r="I1360" i="2"/>
  <c r="R1338" i="2"/>
  <c r="L1329" i="2"/>
  <c r="M1329" i="2"/>
  <c r="J1329" i="2"/>
  <c r="I1329" i="2"/>
  <c r="R1307" i="2"/>
  <c r="M1295" i="2"/>
  <c r="L1295" i="2"/>
  <c r="K1296" i="2"/>
  <c r="J1295" i="2"/>
  <c r="I1295" i="2"/>
  <c r="M1264" i="2"/>
  <c r="K1265" i="2"/>
  <c r="L1264" i="2"/>
  <c r="J1264" i="2"/>
  <c r="I1264" i="2"/>
  <c r="I1234" i="2"/>
  <c r="M1234" i="2"/>
  <c r="L1234" i="2"/>
  <c r="J1234" i="2"/>
  <c r="K1235" i="2"/>
  <c r="M1203" i="2"/>
  <c r="L1203" i="2"/>
  <c r="J1203" i="2"/>
  <c r="K1204" i="2"/>
  <c r="I1203" i="2"/>
  <c r="K1173" i="2"/>
  <c r="M1172" i="2"/>
  <c r="L1172" i="2"/>
  <c r="J1172" i="2"/>
  <c r="I1172" i="2"/>
  <c r="M1140" i="2"/>
  <c r="L1140" i="2"/>
  <c r="K1141" i="2"/>
  <c r="J1140" i="2"/>
  <c r="I1140" i="2"/>
  <c r="L1110" i="2"/>
  <c r="J1110" i="2"/>
  <c r="I1110" i="2"/>
  <c r="M1110" i="2"/>
  <c r="K1111" i="2"/>
  <c r="M1079" i="2"/>
  <c r="L1079" i="2"/>
  <c r="K1080" i="2"/>
  <c r="I1079" i="2"/>
  <c r="J1079" i="2"/>
  <c r="M1047" i="2"/>
  <c r="L1047" i="2"/>
  <c r="K1048" i="2"/>
  <c r="J1047" i="2"/>
  <c r="I1047" i="2"/>
  <c r="M1019" i="2"/>
  <c r="L1019" i="2"/>
  <c r="J1019" i="2"/>
  <c r="I1019" i="2"/>
  <c r="R997" i="2"/>
  <c r="M986" i="2"/>
  <c r="I986" i="2"/>
  <c r="L986" i="2"/>
  <c r="J986" i="2"/>
  <c r="K987" i="2"/>
  <c r="J956" i="2"/>
  <c r="M956" i="2"/>
  <c r="L956" i="2"/>
  <c r="K957" i="2"/>
  <c r="I956" i="2"/>
  <c r="M925" i="2"/>
  <c r="L925" i="2"/>
  <c r="K926" i="2"/>
  <c r="J925" i="2"/>
  <c r="I925" i="2"/>
  <c r="M893" i="2"/>
  <c r="L893" i="2"/>
  <c r="J893" i="2"/>
  <c r="I893" i="2"/>
  <c r="K894" i="2"/>
  <c r="M861" i="2"/>
  <c r="J861" i="2"/>
  <c r="L861" i="2"/>
  <c r="K862" i="2"/>
  <c r="I861" i="2"/>
  <c r="D832" i="2"/>
  <c r="F831" i="2"/>
  <c r="D801" i="2"/>
  <c r="F800" i="2"/>
  <c r="T738" i="2"/>
  <c r="R739" i="2"/>
  <c r="D739" i="2"/>
  <c r="F738" i="2"/>
  <c r="T676" i="2"/>
  <c r="R677" i="2"/>
  <c r="D676" i="2"/>
  <c r="F675" i="2"/>
  <c r="K584" i="2"/>
  <c r="M583" i="2"/>
  <c r="I25" i="2"/>
  <c r="J25" i="2"/>
  <c r="L25" i="2"/>
  <c r="M25" i="2"/>
  <c r="K26" i="2"/>
  <c r="R1371" i="2" l="1"/>
  <c r="S1370" i="2"/>
  <c r="T1370" i="2"/>
  <c r="Q1370" i="2"/>
  <c r="P1370" i="2"/>
  <c r="T1338" i="2"/>
  <c r="S1338" i="2"/>
  <c r="Q1338" i="2"/>
  <c r="P1338" i="2"/>
  <c r="R1339" i="2"/>
  <c r="Q1307" i="2"/>
  <c r="T1307" i="2"/>
  <c r="S1307" i="2"/>
  <c r="R1308" i="2"/>
  <c r="P1307" i="2"/>
  <c r="M1296" i="2"/>
  <c r="L1296" i="2"/>
  <c r="J1296" i="2"/>
  <c r="I1296" i="2"/>
  <c r="K1297" i="2"/>
  <c r="L1265" i="2"/>
  <c r="K1266" i="2"/>
  <c r="J1265" i="2"/>
  <c r="M1265" i="2"/>
  <c r="I1265" i="2"/>
  <c r="M1235" i="2"/>
  <c r="L1235" i="2"/>
  <c r="K1236" i="2"/>
  <c r="J1235" i="2"/>
  <c r="I1235" i="2"/>
  <c r="M1204" i="2"/>
  <c r="K1205" i="2"/>
  <c r="I1204" i="2"/>
  <c r="L1204" i="2"/>
  <c r="J1204" i="2"/>
  <c r="I1173" i="2"/>
  <c r="M1173" i="2"/>
  <c r="L1173" i="2"/>
  <c r="K1174" i="2"/>
  <c r="J1173" i="2"/>
  <c r="M1141" i="2"/>
  <c r="L1141" i="2"/>
  <c r="J1141" i="2"/>
  <c r="I1141" i="2"/>
  <c r="K1142" i="2"/>
  <c r="M1111" i="2"/>
  <c r="L1111" i="2"/>
  <c r="K1112" i="2"/>
  <c r="J1111" i="2"/>
  <c r="I1111" i="2"/>
  <c r="K1081" i="2"/>
  <c r="J1080" i="2"/>
  <c r="M1080" i="2"/>
  <c r="L1080" i="2"/>
  <c r="I1080" i="2"/>
  <c r="M1048" i="2"/>
  <c r="L1048" i="2"/>
  <c r="J1048" i="2"/>
  <c r="I1048" i="2"/>
  <c r="K1049" i="2"/>
  <c r="T997" i="2"/>
  <c r="P997" i="2"/>
  <c r="R998" i="2"/>
  <c r="S997" i="2"/>
  <c r="Q997" i="2"/>
  <c r="I987" i="2"/>
  <c r="M987" i="2"/>
  <c r="L987" i="2"/>
  <c r="J987" i="2"/>
  <c r="K988" i="2"/>
  <c r="M957" i="2"/>
  <c r="L957" i="2"/>
  <c r="J957" i="2"/>
  <c r="I957" i="2"/>
  <c r="R935" i="2"/>
  <c r="M926" i="2"/>
  <c r="L926" i="2"/>
  <c r="J926" i="2"/>
  <c r="I926" i="2"/>
  <c r="R904" i="2"/>
  <c r="M894" i="2"/>
  <c r="K895" i="2"/>
  <c r="L894" i="2"/>
  <c r="J894" i="2"/>
  <c r="I894" i="2"/>
  <c r="M862" i="2"/>
  <c r="L862" i="2"/>
  <c r="J862" i="2"/>
  <c r="I862" i="2"/>
  <c r="K863" i="2"/>
  <c r="D833" i="2"/>
  <c r="F833" i="2" s="1"/>
  <c r="F832" i="2"/>
  <c r="D802" i="2"/>
  <c r="F802" i="2" s="1"/>
  <c r="F801" i="2"/>
  <c r="R740" i="2"/>
  <c r="T739" i="2"/>
  <c r="D740" i="2"/>
  <c r="F740" i="2" s="1"/>
  <c r="F739" i="2"/>
  <c r="R678" i="2"/>
  <c r="T677" i="2"/>
  <c r="D677" i="2"/>
  <c r="F676" i="2"/>
  <c r="K585" i="2"/>
  <c r="M584" i="2"/>
  <c r="I26" i="2"/>
  <c r="L26" i="2"/>
  <c r="J26" i="2"/>
  <c r="M26" i="2"/>
  <c r="K27" i="2"/>
  <c r="P1371" i="2" l="1"/>
  <c r="Q1371" i="2"/>
  <c r="R1372" i="2"/>
  <c r="T1371" i="2"/>
  <c r="S1371" i="2"/>
  <c r="R1340" i="2"/>
  <c r="T1339" i="2"/>
  <c r="S1339" i="2"/>
  <c r="Q1339" i="2"/>
  <c r="P1339" i="2"/>
  <c r="P1308" i="2"/>
  <c r="R1309" i="2"/>
  <c r="Q1308" i="2"/>
  <c r="T1308" i="2"/>
  <c r="S1308" i="2"/>
  <c r="M1297" i="2"/>
  <c r="K1298" i="2"/>
  <c r="L1297" i="2"/>
  <c r="J1297" i="2"/>
  <c r="I1297" i="2"/>
  <c r="L1266" i="2"/>
  <c r="M1266" i="2"/>
  <c r="K1267" i="2"/>
  <c r="J1266" i="2"/>
  <c r="I1266" i="2"/>
  <c r="L1236" i="2"/>
  <c r="M1236" i="2"/>
  <c r="J1236" i="2"/>
  <c r="I1236" i="2"/>
  <c r="R1214" i="2"/>
  <c r="M1205" i="2"/>
  <c r="L1205" i="2"/>
  <c r="I1205" i="2"/>
  <c r="R1183" i="2"/>
  <c r="J1205" i="2"/>
  <c r="J1174" i="2"/>
  <c r="I1174" i="2"/>
  <c r="M1174" i="2"/>
  <c r="L1174" i="2"/>
  <c r="R1152" i="2"/>
  <c r="L1142" i="2"/>
  <c r="M1142" i="2"/>
  <c r="I1142" i="2"/>
  <c r="J1142" i="2"/>
  <c r="K1143" i="2"/>
  <c r="M1112" i="2"/>
  <c r="L1112" i="2"/>
  <c r="J1112" i="2"/>
  <c r="I1112" i="2"/>
  <c r="R1090" i="2"/>
  <c r="M1081" i="2"/>
  <c r="L1081" i="2"/>
  <c r="R1059" i="2"/>
  <c r="J1081" i="2"/>
  <c r="I1081" i="2"/>
  <c r="M1049" i="2"/>
  <c r="L1049" i="2"/>
  <c r="K1050" i="2"/>
  <c r="J1049" i="2"/>
  <c r="I1049" i="2"/>
  <c r="P998" i="2"/>
  <c r="R999" i="2"/>
  <c r="T998" i="2"/>
  <c r="S998" i="2"/>
  <c r="Q998" i="2"/>
  <c r="J988" i="2"/>
  <c r="I988" i="2"/>
  <c r="R966" i="2"/>
  <c r="M988" i="2"/>
  <c r="L988" i="2"/>
  <c r="T935" i="2"/>
  <c r="S935" i="2"/>
  <c r="Q935" i="2"/>
  <c r="P935" i="2"/>
  <c r="R936" i="2"/>
  <c r="R905" i="2"/>
  <c r="T904" i="2"/>
  <c r="S904" i="2"/>
  <c r="Q904" i="2"/>
  <c r="P904" i="2"/>
  <c r="M895" i="2"/>
  <c r="J895" i="2"/>
  <c r="R873" i="2"/>
  <c r="L895" i="2"/>
  <c r="I895" i="2"/>
  <c r="M863" i="2"/>
  <c r="L863" i="2"/>
  <c r="I863" i="2"/>
  <c r="K864" i="2"/>
  <c r="J863" i="2"/>
  <c r="T740" i="2"/>
  <c r="D749" i="2"/>
  <c r="T678" i="2"/>
  <c r="D687" i="2"/>
  <c r="D678" i="2"/>
  <c r="F678" i="2" s="1"/>
  <c r="F677" i="2"/>
  <c r="M585" i="2"/>
  <c r="R563" i="2"/>
  <c r="R5" i="2"/>
  <c r="L27" i="2"/>
  <c r="I27" i="2"/>
  <c r="J27" i="2"/>
  <c r="M27" i="2"/>
  <c r="R6" i="2"/>
  <c r="R1373" i="2" l="1"/>
  <c r="Q1372" i="2"/>
  <c r="P1372" i="2"/>
  <c r="S1372" i="2"/>
  <c r="T1372" i="2"/>
  <c r="P1340" i="2"/>
  <c r="T1340" i="2"/>
  <c r="S1340" i="2"/>
  <c r="Q1340" i="2"/>
  <c r="R1341" i="2"/>
  <c r="P1309" i="2"/>
  <c r="T1309" i="2"/>
  <c r="S1309" i="2"/>
  <c r="Q1309" i="2"/>
  <c r="R1310" i="2"/>
  <c r="M1298" i="2"/>
  <c r="L1298" i="2"/>
  <c r="J1298" i="2"/>
  <c r="I1298" i="2"/>
  <c r="R1276" i="2"/>
  <c r="M1267" i="2"/>
  <c r="R1245" i="2"/>
  <c r="L1267" i="2"/>
  <c r="J1267" i="2"/>
  <c r="I1267" i="2"/>
  <c r="P1214" i="2"/>
  <c r="T1214" i="2"/>
  <c r="S1214" i="2"/>
  <c r="Q1214" i="2"/>
  <c r="R1215" i="2"/>
  <c r="S1183" i="2"/>
  <c r="Q1183" i="2"/>
  <c r="R1184" i="2"/>
  <c r="T1183" i="2"/>
  <c r="P1183" i="2"/>
  <c r="T1152" i="2"/>
  <c r="S1152" i="2"/>
  <c r="Q1152" i="2"/>
  <c r="P1152" i="2"/>
  <c r="R1153" i="2"/>
  <c r="L1143" i="2"/>
  <c r="M1143" i="2"/>
  <c r="J1143" i="2"/>
  <c r="I1143" i="2"/>
  <c r="R1121" i="2"/>
  <c r="T1090" i="2"/>
  <c r="S1090" i="2"/>
  <c r="R1091" i="2"/>
  <c r="Q1090" i="2"/>
  <c r="P1090" i="2"/>
  <c r="T1059" i="2"/>
  <c r="S1059" i="2"/>
  <c r="R1060" i="2"/>
  <c r="Q1059" i="2"/>
  <c r="P1059" i="2"/>
  <c r="M1050" i="2"/>
  <c r="L1050" i="2"/>
  <c r="J1050" i="2"/>
  <c r="I1050" i="2"/>
  <c r="R1028" i="2"/>
  <c r="P999" i="2"/>
  <c r="S999" i="2"/>
  <c r="T999" i="2"/>
  <c r="Q999" i="2"/>
  <c r="R1000" i="2"/>
  <c r="T966" i="2"/>
  <c r="S966" i="2"/>
  <c r="Q966" i="2"/>
  <c r="P966" i="2"/>
  <c r="R967" i="2"/>
  <c r="Q936" i="2"/>
  <c r="P936" i="2"/>
  <c r="T936" i="2"/>
  <c r="S936" i="2"/>
  <c r="R937" i="2"/>
  <c r="Q905" i="2"/>
  <c r="P905" i="2"/>
  <c r="T905" i="2"/>
  <c r="S905" i="2"/>
  <c r="R906" i="2"/>
  <c r="T873" i="2"/>
  <c r="S873" i="2"/>
  <c r="Q873" i="2"/>
  <c r="R874" i="2"/>
  <c r="P873" i="2"/>
  <c r="M864" i="2"/>
  <c r="J864" i="2"/>
  <c r="I864" i="2"/>
  <c r="L864" i="2"/>
  <c r="R842" i="2"/>
  <c r="F749" i="2"/>
  <c r="D750" i="2"/>
  <c r="F687" i="2"/>
  <c r="D688" i="2"/>
  <c r="R564" i="2"/>
  <c r="T563" i="2"/>
  <c r="S6" i="2"/>
  <c r="P6" i="2"/>
  <c r="Q6" i="2"/>
  <c r="T6" i="2"/>
  <c r="S5" i="2"/>
  <c r="P5" i="2"/>
  <c r="Q5" i="2"/>
  <c r="T5" i="2"/>
  <c r="R7" i="2"/>
  <c r="R1374" i="2" l="1"/>
  <c r="Q1373" i="2"/>
  <c r="P1373" i="2"/>
  <c r="S1373" i="2"/>
  <c r="T1373" i="2"/>
  <c r="R1342" i="2"/>
  <c r="Q1341" i="2"/>
  <c r="P1341" i="2"/>
  <c r="T1341" i="2"/>
  <c r="S1341" i="2"/>
  <c r="R1311" i="2"/>
  <c r="Q1310" i="2"/>
  <c r="P1310" i="2"/>
  <c r="T1310" i="2"/>
  <c r="S1310" i="2"/>
  <c r="R1277" i="2"/>
  <c r="T1276" i="2"/>
  <c r="S1276" i="2"/>
  <c r="Q1276" i="2"/>
  <c r="P1276" i="2"/>
  <c r="T1245" i="2"/>
  <c r="R1246" i="2"/>
  <c r="P1245" i="2"/>
  <c r="S1245" i="2"/>
  <c r="Q1245" i="2"/>
  <c r="T1215" i="2"/>
  <c r="R1216" i="2"/>
  <c r="S1215" i="2"/>
  <c r="Q1215" i="2"/>
  <c r="P1215" i="2"/>
  <c r="R1185" i="2"/>
  <c r="Q1184" i="2"/>
  <c r="P1184" i="2"/>
  <c r="T1184" i="2"/>
  <c r="S1184" i="2"/>
  <c r="T1153" i="2"/>
  <c r="R1154" i="2"/>
  <c r="S1153" i="2"/>
  <c r="Q1153" i="2"/>
  <c r="P1153" i="2"/>
  <c r="R1122" i="2"/>
  <c r="T1121" i="2"/>
  <c r="S1121" i="2"/>
  <c r="Q1121" i="2"/>
  <c r="P1121" i="2"/>
  <c r="T1091" i="2"/>
  <c r="S1091" i="2"/>
  <c r="P1091" i="2"/>
  <c r="R1092" i="2"/>
  <c r="Q1091" i="2"/>
  <c r="Q1060" i="2"/>
  <c r="R1061" i="2"/>
  <c r="T1060" i="2"/>
  <c r="S1060" i="2"/>
  <c r="P1060" i="2"/>
  <c r="S1028" i="2"/>
  <c r="T1028" i="2"/>
  <c r="R1029" i="2"/>
  <c r="Q1028" i="2"/>
  <c r="P1028" i="2"/>
  <c r="R1001" i="2"/>
  <c r="Q1000" i="2"/>
  <c r="P1000" i="2"/>
  <c r="S1000" i="2"/>
  <c r="T1000" i="2"/>
  <c r="T967" i="2"/>
  <c r="S967" i="2"/>
  <c r="P967" i="2"/>
  <c r="Q967" i="2"/>
  <c r="R968" i="2"/>
  <c r="P937" i="2"/>
  <c r="R938" i="2"/>
  <c r="T937" i="2"/>
  <c r="S937" i="2"/>
  <c r="Q937" i="2"/>
  <c r="P906" i="2"/>
  <c r="R907" i="2"/>
  <c r="T906" i="2"/>
  <c r="S906" i="2"/>
  <c r="Q906" i="2"/>
  <c r="T874" i="2"/>
  <c r="S874" i="2"/>
  <c r="P874" i="2"/>
  <c r="R875" i="2"/>
  <c r="Q874" i="2"/>
  <c r="T842" i="2"/>
  <c r="S842" i="2"/>
  <c r="Q842" i="2"/>
  <c r="P842" i="2"/>
  <c r="R843" i="2"/>
  <c r="F750" i="2"/>
  <c r="D751" i="2"/>
  <c r="F688" i="2"/>
  <c r="D689" i="2"/>
  <c r="R565" i="2"/>
  <c r="T564" i="2"/>
  <c r="S7" i="2"/>
  <c r="T7" i="2"/>
  <c r="P7" i="2"/>
  <c r="Q7" i="2"/>
  <c r="R8" i="2"/>
  <c r="S1374" i="2" l="1"/>
  <c r="P1374" i="2"/>
  <c r="R1375" i="2"/>
  <c r="Q1374" i="2"/>
  <c r="T1374" i="2"/>
  <c r="P1342" i="2"/>
  <c r="R1343" i="2"/>
  <c r="Q1342" i="2"/>
  <c r="T1342" i="2"/>
  <c r="S1342" i="2"/>
  <c r="R1312" i="2"/>
  <c r="Q1311" i="2"/>
  <c r="P1311" i="2"/>
  <c r="T1311" i="2"/>
  <c r="S1311" i="2"/>
  <c r="Q1277" i="2"/>
  <c r="P1277" i="2"/>
  <c r="R1278" i="2"/>
  <c r="T1277" i="2"/>
  <c r="S1277" i="2"/>
  <c r="P1246" i="2"/>
  <c r="T1246" i="2"/>
  <c r="S1246" i="2"/>
  <c r="R1247" i="2"/>
  <c r="Q1246" i="2"/>
  <c r="P1216" i="2"/>
  <c r="T1216" i="2"/>
  <c r="S1216" i="2"/>
  <c r="Q1216" i="2"/>
  <c r="R1217" i="2"/>
  <c r="P1185" i="2"/>
  <c r="R1186" i="2"/>
  <c r="S1185" i="2"/>
  <c r="Q1185" i="2"/>
  <c r="T1185" i="2"/>
  <c r="T1154" i="2"/>
  <c r="S1154" i="2"/>
  <c r="Q1154" i="2"/>
  <c r="P1154" i="2"/>
  <c r="R1155" i="2"/>
  <c r="S1122" i="2"/>
  <c r="Q1122" i="2"/>
  <c r="P1122" i="2"/>
  <c r="R1123" i="2"/>
  <c r="T1122" i="2"/>
  <c r="P1092" i="2"/>
  <c r="R1093" i="2"/>
  <c r="T1092" i="2"/>
  <c r="S1092" i="2"/>
  <c r="Q1092" i="2"/>
  <c r="P1061" i="2"/>
  <c r="T1061" i="2"/>
  <c r="Q1061" i="2"/>
  <c r="R1062" i="2"/>
  <c r="S1061" i="2"/>
  <c r="R1030" i="2"/>
  <c r="T1029" i="2"/>
  <c r="S1029" i="2"/>
  <c r="Q1029" i="2"/>
  <c r="P1029" i="2"/>
  <c r="R1002" i="2"/>
  <c r="Q1001" i="2"/>
  <c r="P1001" i="2"/>
  <c r="T1001" i="2"/>
  <c r="S1001" i="2"/>
  <c r="P968" i="2"/>
  <c r="T968" i="2"/>
  <c r="R969" i="2"/>
  <c r="S968" i="2"/>
  <c r="Q968" i="2"/>
  <c r="R939" i="2"/>
  <c r="Q938" i="2"/>
  <c r="P938" i="2"/>
  <c r="T938" i="2"/>
  <c r="S938" i="2"/>
  <c r="R908" i="2"/>
  <c r="Q907" i="2"/>
  <c r="P907" i="2"/>
  <c r="T907" i="2"/>
  <c r="S907" i="2"/>
  <c r="P875" i="2"/>
  <c r="Q875" i="2"/>
  <c r="S875" i="2"/>
  <c r="R876" i="2"/>
  <c r="T875" i="2"/>
  <c r="R844" i="2"/>
  <c r="T843" i="2"/>
  <c r="S843" i="2"/>
  <c r="P843" i="2"/>
  <c r="Q843" i="2"/>
  <c r="D752" i="2"/>
  <c r="F751" i="2"/>
  <c r="D690" i="2"/>
  <c r="F689" i="2"/>
  <c r="T565" i="2"/>
  <c r="R566" i="2"/>
  <c r="P8" i="2"/>
  <c r="T8" i="2"/>
  <c r="S8" i="2"/>
  <c r="Q8" i="2"/>
  <c r="R9" i="2"/>
  <c r="T1375" i="2" l="1"/>
  <c r="R1376" i="2"/>
  <c r="Q1375" i="2"/>
  <c r="P1375" i="2"/>
  <c r="S1375" i="2"/>
  <c r="S1343" i="2"/>
  <c r="R1344" i="2"/>
  <c r="Q1343" i="2"/>
  <c r="P1343" i="2"/>
  <c r="T1343" i="2"/>
  <c r="S1312" i="2"/>
  <c r="R1313" i="2"/>
  <c r="Q1312" i="2"/>
  <c r="P1312" i="2"/>
  <c r="T1312" i="2"/>
  <c r="P1278" i="2"/>
  <c r="T1278" i="2"/>
  <c r="S1278" i="2"/>
  <c r="Q1278" i="2"/>
  <c r="R1279" i="2"/>
  <c r="P1247" i="2"/>
  <c r="S1247" i="2"/>
  <c r="R1248" i="2"/>
  <c r="T1247" i="2"/>
  <c r="Q1247" i="2"/>
  <c r="R1218" i="2"/>
  <c r="Q1217" i="2"/>
  <c r="P1217" i="2"/>
  <c r="T1217" i="2"/>
  <c r="S1217" i="2"/>
  <c r="R1187" i="2"/>
  <c r="Q1186" i="2"/>
  <c r="P1186" i="2"/>
  <c r="T1186" i="2"/>
  <c r="S1186" i="2"/>
  <c r="P1155" i="2"/>
  <c r="R1156" i="2"/>
  <c r="Q1155" i="2"/>
  <c r="S1155" i="2"/>
  <c r="T1155" i="2"/>
  <c r="P1123" i="2"/>
  <c r="R1124" i="2"/>
  <c r="T1123" i="2"/>
  <c r="S1123" i="2"/>
  <c r="Q1123" i="2"/>
  <c r="R1094" i="2"/>
  <c r="Q1093" i="2"/>
  <c r="P1093" i="2"/>
  <c r="S1093" i="2"/>
  <c r="T1093" i="2"/>
  <c r="R1063" i="2"/>
  <c r="Q1062" i="2"/>
  <c r="P1062" i="2"/>
  <c r="T1062" i="2"/>
  <c r="S1062" i="2"/>
  <c r="P1030" i="2"/>
  <c r="T1030" i="2"/>
  <c r="Q1030" i="2"/>
  <c r="S1030" i="2"/>
  <c r="R1031" i="2"/>
  <c r="S1002" i="2"/>
  <c r="R1003" i="2"/>
  <c r="Q1002" i="2"/>
  <c r="P1002" i="2"/>
  <c r="T1002" i="2"/>
  <c r="R970" i="2"/>
  <c r="Q969" i="2"/>
  <c r="P969" i="2"/>
  <c r="T969" i="2"/>
  <c r="S969" i="2"/>
  <c r="R940" i="2"/>
  <c r="Q939" i="2"/>
  <c r="P939" i="2"/>
  <c r="T939" i="2"/>
  <c r="S939" i="2"/>
  <c r="R909" i="2"/>
  <c r="Q908" i="2"/>
  <c r="P908" i="2"/>
  <c r="T908" i="2"/>
  <c r="S908" i="2"/>
  <c r="R877" i="2"/>
  <c r="Q876" i="2"/>
  <c r="P876" i="2"/>
  <c r="T876" i="2"/>
  <c r="S876" i="2"/>
  <c r="P844" i="2"/>
  <c r="T844" i="2"/>
  <c r="S844" i="2"/>
  <c r="Q844" i="2"/>
  <c r="R845" i="2"/>
  <c r="F752" i="2"/>
  <c r="D753" i="2"/>
  <c r="D691" i="2"/>
  <c r="F690" i="2"/>
  <c r="T566" i="2"/>
  <c r="R567" i="2"/>
  <c r="P9" i="2"/>
  <c r="S9" i="2"/>
  <c r="T9" i="2"/>
  <c r="Q9" i="2"/>
  <c r="R10" i="2"/>
  <c r="R1377" i="2" l="1"/>
  <c r="T1376" i="2"/>
  <c r="Q1376" i="2"/>
  <c r="P1376" i="2"/>
  <c r="S1376" i="2"/>
  <c r="T1344" i="2"/>
  <c r="P1344" i="2"/>
  <c r="S1344" i="2"/>
  <c r="R1345" i="2"/>
  <c r="Q1344" i="2"/>
  <c r="T1313" i="2"/>
  <c r="S1313" i="2"/>
  <c r="R1314" i="2"/>
  <c r="Q1313" i="2"/>
  <c r="P1313" i="2"/>
  <c r="R1280" i="2"/>
  <c r="Q1279" i="2"/>
  <c r="P1279" i="2"/>
  <c r="T1279" i="2"/>
  <c r="S1279" i="2"/>
  <c r="R1249" i="2"/>
  <c r="Q1248" i="2"/>
  <c r="P1248" i="2"/>
  <c r="T1248" i="2"/>
  <c r="S1248" i="2"/>
  <c r="R1219" i="2"/>
  <c r="Q1218" i="2"/>
  <c r="P1218" i="2"/>
  <c r="T1218" i="2"/>
  <c r="S1218" i="2"/>
  <c r="Q1187" i="2"/>
  <c r="P1187" i="2"/>
  <c r="R1188" i="2"/>
  <c r="T1187" i="2"/>
  <c r="S1187" i="2"/>
  <c r="R1157" i="2"/>
  <c r="T1156" i="2"/>
  <c r="S1156" i="2"/>
  <c r="Q1156" i="2"/>
  <c r="P1156" i="2"/>
  <c r="R1125" i="2"/>
  <c r="Q1124" i="2"/>
  <c r="P1124" i="2"/>
  <c r="T1124" i="2"/>
  <c r="S1124" i="2"/>
  <c r="P1094" i="2"/>
  <c r="R1095" i="2"/>
  <c r="Q1094" i="2"/>
  <c r="T1094" i="2"/>
  <c r="S1094" i="2"/>
  <c r="R1064" i="2"/>
  <c r="Q1063" i="2"/>
  <c r="P1063" i="2"/>
  <c r="T1063" i="2"/>
  <c r="S1063" i="2"/>
  <c r="R1032" i="2"/>
  <c r="Q1031" i="2"/>
  <c r="P1031" i="2"/>
  <c r="T1031" i="2"/>
  <c r="S1031" i="2"/>
  <c r="T1003" i="2"/>
  <c r="S1003" i="2"/>
  <c r="R1004" i="2"/>
  <c r="Q1003" i="2"/>
  <c r="P1003" i="2"/>
  <c r="R971" i="2"/>
  <c r="Q970" i="2"/>
  <c r="P970" i="2"/>
  <c r="T970" i="2"/>
  <c r="S970" i="2"/>
  <c r="S940" i="2"/>
  <c r="R941" i="2"/>
  <c r="Q940" i="2"/>
  <c r="P940" i="2"/>
  <c r="T940" i="2"/>
  <c r="S909" i="2"/>
  <c r="Q909" i="2"/>
  <c r="P909" i="2"/>
  <c r="R910" i="2"/>
  <c r="T909" i="2"/>
  <c r="Q877" i="2"/>
  <c r="P877" i="2"/>
  <c r="R878" i="2"/>
  <c r="T877" i="2"/>
  <c r="S877" i="2"/>
  <c r="R846" i="2"/>
  <c r="Q845" i="2"/>
  <c r="P845" i="2"/>
  <c r="T845" i="2"/>
  <c r="S845" i="2"/>
  <c r="F753" i="2"/>
  <c r="D754" i="2"/>
  <c r="D692" i="2"/>
  <c r="F691" i="2"/>
  <c r="R568" i="2"/>
  <c r="T567" i="2"/>
  <c r="S10" i="2"/>
  <c r="P10" i="2"/>
  <c r="T10" i="2"/>
  <c r="Q10" i="2"/>
  <c r="R11" i="2"/>
  <c r="Q1377" i="2" l="1"/>
  <c r="P1377" i="2"/>
  <c r="T1377" i="2"/>
  <c r="S1377" i="2"/>
  <c r="R1378" i="2"/>
  <c r="R1346" i="2"/>
  <c r="P1345" i="2"/>
  <c r="T1345" i="2"/>
  <c r="S1345" i="2"/>
  <c r="Q1345" i="2"/>
  <c r="T1314" i="2"/>
  <c r="S1314" i="2"/>
  <c r="P1314" i="2"/>
  <c r="Q1314" i="2"/>
  <c r="R1315" i="2"/>
  <c r="R1281" i="2"/>
  <c r="Q1280" i="2"/>
  <c r="P1280" i="2"/>
  <c r="S1280" i="2"/>
  <c r="T1280" i="2"/>
  <c r="R1250" i="2"/>
  <c r="Q1249" i="2"/>
  <c r="T1249" i="2"/>
  <c r="P1249" i="2"/>
  <c r="S1249" i="2"/>
  <c r="S1219" i="2"/>
  <c r="P1219" i="2"/>
  <c r="R1220" i="2"/>
  <c r="Q1219" i="2"/>
  <c r="T1219" i="2"/>
  <c r="S1188" i="2"/>
  <c r="R1189" i="2"/>
  <c r="Q1188" i="2"/>
  <c r="P1188" i="2"/>
  <c r="T1188" i="2"/>
  <c r="S1157" i="2"/>
  <c r="Q1157" i="2"/>
  <c r="R1158" i="2"/>
  <c r="T1157" i="2"/>
  <c r="P1157" i="2"/>
  <c r="R1126" i="2"/>
  <c r="Q1125" i="2"/>
  <c r="P1125" i="2"/>
  <c r="T1125" i="2"/>
  <c r="S1125" i="2"/>
  <c r="S1095" i="2"/>
  <c r="R1096" i="2"/>
  <c r="Q1095" i="2"/>
  <c r="P1095" i="2"/>
  <c r="T1095" i="2"/>
  <c r="S1064" i="2"/>
  <c r="Q1064" i="2"/>
  <c r="P1064" i="2"/>
  <c r="R1065" i="2"/>
  <c r="T1064" i="2"/>
  <c r="R1033" i="2"/>
  <c r="Q1032" i="2"/>
  <c r="P1032" i="2"/>
  <c r="T1032" i="2"/>
  <c r="S1032" i="2"/>
  <c r="T1004" i="2"/>
  <c r="S1004" i="2"/>
  <c r="P1004" i="2"/>
  <c r="R1005" i="2"/>
  <c r="Q1004" i="2"/>
  <c r="S971" i="2"/>
  <c r="R972" i="2"/>
  <c r="Q971" i="2"/>
  <c r="P971" i="2"/>
  <c r="T971" i="2"/>
  <c r="T941" i="2"/>
  <c r="S941" i="2"/>
  <c r="P941" i="2"/>
  <c r="Q941" i="2"/>
  <c r="R942" i="2"/>
  <c r="T910" i="2"/>
  <c r="R911" i="2"/>
  <c r="S910" i="2"/>
  <c r="Q910" i="2"/>
  <c r="P910" i="2"/>
  <c r="S878" i="2"/>
  <c r="R879" i="2"/>
  <c r="Q878" i="2"/>
  <c r="P878" i="2"/>
  <c r="T878" i="2"/>
  <c r="R847" i="2"/>
  <c r="Q846" i="2"/>
  <c r="P846" i="2"/>
  <c r="T846" i="2"/>
  <c r="S846" i="2"/>
  <c r="D755" i="2"/>
  <c r="F754" i="2"/>
  <c r="F692" i="2"/>
  <c r="D693" i="2"/>
  <c r="R569" i="2"/>
  <c r="T568" i="2"/>
  <c r="S11" i="2"/>
  <c r="P11" i="2"/>
  <c r="T11" i="2"/>
  <c r="Q11" i="2"/>
  <c r="R12" i="2"/>
  <c r="R1379" i="2" l="1"/>
  <c r="P1378" i="2"/>
  <c r="T1378" i="2"/>
  <c r="S1378" i="2"/>
  <c r="Q1378" i="2"/>
  <c r="S1346" i="2"/>
  <c r="P1346" i="2"/>
  <c r="Q1346" i="2"/>
  <c r="T1346" i="2"/>
  <c r="R1347" i="2"/>
  <c r="T1315" i="2"/>
  <c r="S1315" i="2"/>
  <c r="R1316" i="2"/>
  <c r="Q1315" i="2"/>
  <c r="P1315" i="2"/>
  <c r="S1281" i="2"/>
  <c r="R1282" i="2"/>
  <c r="Q1281" i="2"/>
  <c r="P1281" i="2"/>
  <c r="T1281" i="2"/>
  <c r="S1250" i="2"/>
  <c r="T1250" i="2"/>
  <c r="R1251" i="2"/>
  <c r="Q1250" i="2"/>
  <c r="P1250" i="2"/>
  <c r="T1220" i="2"/>
  <c r="S1220" i="2"/>
  <c r="R1221" i="2"/>
  <c r="Q1220" i="2"/>
  <c r="P1220" i="2"/>
  <c r="T1189" i="2"/>
  <c r="R1190" i="2"/>
  <c r="Q1189" i="2"/>
  <c r="P1189" i="2"/>
  <c r="S1189" i="2"/>
  <c r="R1159" i="2"/>
  <c r="Q1158" i="2"/>
  <c r="P1158" i="2"/>
  <c r="S1158" i="2"/>
  <c r="T1158" i="2"/>
  <c r="S1126" i="2"/>
  <c r="R1127" i="2"/>
  <c r="Q1126" i="2"/>
  <c r="P1126" i="2"/>
  <c r="T1126" i="2"/>
  <c r="T1096" i="2"/>
  <c r="Q1096" i="2"/>
  <c r="S1096" i="2"/>
  <c r="R1097" i="2"/>
  <c r="P1096" i="2"/>
  <c r="T1065" i="2"/>
  <c r="P1065" i="2"/>
  <c r="S1065" i="2"/>
  <c r="R1066" i="2"/>
  <c r="Q1065" i="2"/>
  <c r="S1033" i="2"/>
  <c r="Q1033" i="2"/>
  <c r="R1034" i="2"/>
  <c r="P1033" i="2"/>
  <c r="T1033" i="2"/>
  <c r="T1005" i="2"/>
  <c r="S1005" i="2"/>
  <c r="R1006" i="2"/>
  <c r="Q1005" i="2"/>
  <c r="P1005" i="2"/>
  <c r="T972" i="2"/>
  <c r="S972" i="2"/>
  <c r="R973" i="2"/>
  <c r="Q972" i="2"/>
  <c r="P972" i="2"/>
  <c r="R943" i="2"/>
  <c r="T942" i="2"/>
  <c r="P942" i="2"/>
  <c r="S942" i="2"/>
  <c r="Q942" i="2"/>
  <c r="T911" i="2"/>
  <c r="R912" i="2"/>
  <c r="S911" i="2"/>
  <c r="Q911" i="2"/>
  <c r="P911" i="2"/>
  <c r="T879" i="2"/>
  <c r="S879" i="2"/>
  <c r="R880" i="2"/>
  <c r="Q879" i="2"/>
  <c r="P879" i="2"/>
  <c r="S847" i="2"/>
  <c r="R848" i="2"/>
  <c r="Q847" i="2"/>
  <c r="P847" i="2"/>
  <c r="T847" i="2"/>
  <c r="F755" i="2"/>
  <c r="D756" i="2"/>
  <c r="F693" i="2"/>
  <c r="D694" i="2"/>
  <c r="R570" i="2"/>
  <c r="T569" i="2"/>
  <c r="S12" i="2"/>
  <c r="T12" i="2"/>
  <c r="P12" i="2"/>
  <c r="Q12" i="2"/>
  <c r="R13" i="2"/>
  <c r="S1379" i="2" l="1"/>
  <c r="R1380" i="2"/>
  <c r="P1379" i="2"/>
  <c r="T1379" i="2"/>
  <c r="Q1379" i="2"/>
  <c r="S1347" i="2"/>
  <c r="T1347" i="2"/>
  <c r="R1348" i="2"/>
  <c r="Q1347" i="2"/>
  <c r="P1347" i="2"/>
  <c r="T1316" i="2"/>
  <c r="S1316" i="2"/>
  <c r="Q1316" i="2"/>
  <c r="P1316" i="2"/>
  <c r="R1317" i="2"/>
  <c r="T1282" i="2"/>
  <c r="P1282" i="2"/>
  <c r="S1282" i="2"/>
  <c r="R1283" i="2"/>
  <c r="Q1282" i="2"/>
  <c r="T1251" i="2"/>
  <c r="Q1251" i="2"/>
  <c r="S1251" i="2"/>
  <c r="P1251" i="2"/>
  <c r="R1252" i="2"/>
  <c r="Q1221" i="2"/>
  <c r="T1221" i="2"/>
  <c r="P1221" i="2"/>
  <c r="S1221" i="2"/>
  <c r="R1222" i="2"/>
  <c r="S1190" i="2"/>
  <c r="R1191" i="2"/>
  <c r="Q1190" i="2"/>
  <c r="T1190" i="2"/>
  <c r="P1190" i="2"/>
  <c r="R1160" i="2"/>
  <c r="T1159" i="2"/>
  <c r="S1159" i="2"/>
  <c r="Q1159" i="2"/>
  <c r="P1159" i="2"/>
  <c r="T1127" i="2"/>
  <c r="Q1127" i="2"/>
  <c r="S1127" i="2"/>
  <c r="R1128" i="2"/>
  <c r="P1127" i="2"/>
  <c r="Q1097" i="2"/>
  <c r="T1097" i="2"/>
  <c r="S1097" i="2"/>
  <c r="R1098" i="2"/>
  <c r="P1097" i="2"/>
  <c r="R1067" i="2"/>
  <c r="P1066" i="2"/>
  <c r="T1066" i="2"/>
  <c r="S1066" i="2"/>
  <c r="Q1066" i="2"/>
  <c r="T1034" i="2"/>
  <c r="R1035" i="2"/>
  <c r="S1034" i="2"/>
  <c r="Q1034" i="2"/>
  <c r="P1034" i="2"/>
  <c r="T1006" i="2"/>
  <c r="S1006" i="2"/>
  <c r="Q1006" i="2"/>
  <c r="P1006" i="2"/>
  <c r="R1007" i="2"/>
  <c r="T973" i="2"/>
  <c r="S973" i="2"/>
  <c r="Q973" i="2"/>
  <c r="P973" i="2"/>
  <c r="R974" i="2"/>
  <c r="P943" i="2"/>
  <c r="T943" i="2"/>
  <c r="R944" i="2"/>
  <c r="Q943" i="2"/>
  <c r="S943" i="2"/>
  <c r="T912" i="2"/>
  <c r="P912" i="2"/>
  <c r="S912" i="2"/>
  <c r="R913" i="2"/>
  <c r="Q912" i="2"/>
  <c r="T880" i="2"/>
  <c r="S880" i="2"/>
  <c r="R881" i="2"/>
  <c r="Q880" i="2"/>
  <c r="P880" i="2"/>
  <c r="T848" i="2"/>
  <c r="Q848" i="2"/>
  <c r="S848" i="2"/>
  <c r="R849" i="2"/>
  <c r="P848" i="2"/>
  <c r="F756" i="2"/>
  <c r="D757" i="2"/>
  <c r="D695" i="2"/>
  <c r="F694" i="2"/>
  <c r="R571" i="2"/>
  <c r="T570" i="2"/>
  <c r="P13" i="2"/>
  <c r="S13" i="2"/>
  <c r="T13" i="2"/>
  <c r="Q13" i="2"/>
  <c r="R14" i="2"/>
  <c r="R1381" i="2" l="1"/>
  <c r="T1380" i="2"/>
  <c r="Q1380" i="2"/>
  <c r="S1380" i="2"/>
  <c r="P1380" i="2"/>
  <c r="T1348" i="2"/>
  <c r="S1348" i="2"/>
  <c r="R1349" i="2"/>
  <c r="P1348" i="2"/>
  <c r="Q1348" i="2"/>
  <c r="R1318" i="2"/>
  <c r="T1317" i="2"/>
  <c r="S1317" i="2"/>
  <c r="P1317" i="2"/>
  <c r="Q1317" i="2"/>
  <c r="T1283" i="2"/>
  <c r="S1283" i="2"/>
  <c r="R1284" i="2"/>
  <c r="Q1283" i="2"/>
  <c r="P1283" i="2"/>
  <c r="R1253" i="2"/>
  <c r="P1252" i="2"/>
  <c r="T1252" i="2"/>
  <c r="S1252" i="2"/>
  <c r="Q1252" i="2"/>
  <c r="S1222" i="2"/>
  <c r="P1222" i="2"/>
  <c r="T1222" i="2"/>
  <c r="R1223" i="2"/>
  <c r="Q1222" i="2"/>
  <c r="S1191" i="2"/>
  <c r="T1191" i="2"/>
  <c r="P1191" i="2"/>
  <c r="Q1191" i="2"/>
  <c r="R1192" i="2"/>
  <c r="Q1160" i="2"/>
  <c r="P1160" i="2"/>
  <c r="T1160" i="2"/>
  <c r="R1161" i="2"/>
  <c r="S1160" i="2"/>
  <c r="S1128" i="2"/>
  <c r="R1129" i="2"/>
  <c r="Q1128" i="2"/>
  <c r="P1128" i="2"/>
  <c r="T1128" i="2"/>
  <c r="S1098" i="2"/>
  <c r="Q1098" i="2"/>
  <c r="T1098" i="2"/>
  <c r="R1099" i="2"/>
  <c r="P1098" i="2"/>
  <c r="T1067" i="2"/>
  <c r="R1068" i="2"/>
  <c r="P1067" i="2"/>
  <c r="Q1067" i="2"/>
  <c r="S1067" i="2"/>
  <c r="R1036" i="2"/>
  <c r="T1035" i="2"/>
  <c r="S1035" i="2"/>
  <c r="Q1035" i="2"/>
  <c r="P1035" i="2"/>
  <c r="T1007" i="2"/>
  <c r="S1007" i="2"/>
  <c r="Q1007" i="2"/>
  <c r="P1007" i="2"/>
  <c r="R1008" i="2"/>
  <c r="T974" i="2"/>
  <c r="S974" i="2"/>
  <c r="R975" i="2"/>
  <c r="P974" i="2"/>
  <c r="Q974" i="2"/>
  <c r="T944" i="2"/>
  <c r="R945" i="2"/>
  <c r="Q944" i="2"/>
  <c r="P944" i="2"/>
  <c r="S944" i="2"/>
  <c r="T913" i="2"/>
  <c r="S913" i="2"/>
  <c r="R914" i="2"/>
  <c r="Q913" i="2"/>
  <c r="P913" i="2"/>
  <c r="T881" i="2"/>
  <c r="S881" i="2"/>
  <c r="P881" i="2"/>
  <c r="Q881" i="2"/>
  <c r="R882" i="2"/>
  <c r="T849" i="2"/>
  <c r="Q849" i="2"/>
  <c r="P849" i="2"/>
  <c r="S849" i="2"/>
  <c r="R850" i="2"/>
  <c r="D758" i="2"/>
  <c r="F757" i="2"/>
  <c r="F695" i="2"/>
  <c r="D696" i="2"/>
  <c r="T571" i="2"/>
  <c r="R572" i="2"/>
  <c r="P14" i="2"/>
  <c r="S14" i="2"/>
  <c r="T14" i="2"/>
  <c r="Q14" i="2"/>
  <c r="R15" i="2"/>
  <c r="R1382" i="2" l="1"/>
  <c r="T1381" i="2"/>
  <c r="Q1381" i="2"/>
  <c r="S1381" i="2"/>
  <c r="P1381" i="2"/>
  <c r="T1349" i="2"/>
  <c r="S1349" i="2"/>
  <c r="R1350" i="2"/>
  <c r="Q1349" i="2"/>
  <c r="P1349" i="2"/>
  <c r="R1319" i="2"/>
  <c r="S1318" i="2"/>
  <c r="T1318" i="2"/>
  <c r="Q1318" i="2"/>
  <c r="P1318" i="2"/>
  <c r="T1284" i="2"/>
  <c r="S1284" i="2"/>
  <c r="Q1284" i="2"/>
  <c r="P1284" i="2"/>
  <c r="R1285" i="2"/>
  <c r="S1253" i="2"/>
  <c r="R1254" i="2"/>
  <c r="T1253" i="2"/>
  <c r="Q1253" i="2"/>
  <c r="P1253" i="2"/>
  <c r="R1224" i="2"/>
  <c r="T1223" i="2"/>
  <c r="S1223" i="2"/>
  <c r="Q1223" i="2"/>
  <c r="P1223" i="2"/>
  <c r="T1192" i="2"/>
  <c r="S1192" i="2"/>
  <c r="Q1192" i="2"/>
  <c r="P1192" i="2"/>
  <c r="R1193" i="2"/>
  <c r="R1162" i="2"/>
  <c r="S1161" i="2"/>
  <c r="Q1161" i="2"/>
  <c r="P1161" i="2"/>
  <c r="T1161" i="2"/>
  <c r="T1129" i="2"/>
  <c r="S1129" i="2"/>
  <c r="R1130" i="2"/>
  <c r="Q1129" i="2"/>
  <c r="P1129" i="2"/>
  <c r="S1099" i="2"/>
  <c r="R1100" i="2"/>
  <c r="Q1099" i="2"/>
  <c r="T1099" i="2"/>
  <c r="P1099" i="2"/>
  <c r="T1068" i="2"/>
  <c r="S1068" i="2"/>
  <c r="R1069" i="2"/>
  <c r="P1068" i="2"/>
  <c r="Q1068" i="2"/>
  <c r="T1036" i="2"/>
  <c r="S1036" i="2"/>
  <c r="R1037" i="2"/>
  <c r="Q1036" i="2"/>
  <c r="P1036" i="2"/>
  <c r="R1009" i="2"/>
  <c r="S1008" i="2"/>
  <c r="T1008" i="2"/>
  <c r="Q1008" i="2"/>
  <c r="P1008" i="2"/>
  <c r="T975" i="2"/>
  <c r="R976" i="2"/>
  <c r="Q975" i="2"/>
  <c r="P975" i="2"/>
  <c r="S975" i="2"/>
  <c r="Q945" i="2"/>
  <c r="T945" i="2"/>
  <c r="S945" i="2"/>
  <c r="P945" i="2"/>
  <c r="R946" i="2"/>
  <c r="T914" i="2"/>
  <c r="S914" i="2"/>
  <c r="Q914" i="2"/>
  <c r="P914" i="2"/>
  <c r="R915" i="2"/>
  <c r="T882" i="2"/>
  <c r="S882" i="2"/>
  <c r="Q882" i="2"/>
  <c r="R883" i="2"/>
  <c r="P882" i="2"/>
  <c r="T850" i="2"/>
  <c r="S850" i="2"/>
  <c r="R851" i="2"/>
  <c r="Q850" i="2"/>
  <c r="P850" i="2"/>
  <c r="D759" i="2"/>
  <c r="F758" i="2"/>
  <c r="D697" i="2"/>
  <c r="F696" i="2"/>
  <c r="R573" i="2"/>
  <c r="T572" i="2"/>
  <c r="S15" i="2"/>
  <c r="T15" i="2"/>
  <c r="P15" i="2"/>
  <c r="Q15" i="2"/>
  <c r="R16" i="2"/>
  <c r="T1382" i="2" l="1"/>
  <c r="S1382" i="2"/>
  <c r="P1382" i="2"/>
  <c r="Q1382" i="2"/>
  <c r="R1383" i="2"/>
  <c r="T1350" i="2"/>
  <c r="S1350" i="2"/>
  <c r="P1350" i="2"/>
  <c r="R1351" i="2"/>
  <c r="Q1350" i="2"/>
  <c r="Q1319" i="2"/>
  <c r="P1319" i="2"/>
  <c r="R1320" i="2"/>
  <c r="T1319" i="2"/>
  <c r="S1319" i="2"/>
  <c r="T1285" i="2"/>
  <c r="S1285" i="2"/>
  <c r="R1286" i="2"/>
  <c r="Q1285" i="2"/>
  <c r="P1285" i="2"/>
  <c r="S1254" i="2"/>
  <c r="Q1254" i="2"/>
  <c r="R1255" i="2"/>
  <c r="T1254" i="2"/>
  <c r="P1254" i="2"/>
  <c r="S1224" i="2"/>
  <c r="T1224" i="2"/>
  <c r="R1225" i="2"/>
  <c r="Q1224" i="2"/>
  <c r="P1224" i="2"/>
  <c r="T1193" i="2"/>
  <c r="R1194" i="2"/>
  <c r="P1193" i="2"/>
  <c r="S1193" i="2"/>
  <c r="Q1193" i="2"/>
  <c r="P1162" i="2"/>
  <c r="S1162" i="2"/>
  <c r="Q1162" i="2"/>
  <c r="R1163" i="2"/>
  <c r="T1162" i="2"/>
  <c r="T1130" i="2"/>
  <c r="S1130" i="2"/>
  <c r="Q1130" i="2"/>
  <c r="P1130" i="2"/>
  <c r="R1131" i="2"/>
  <c r="R1101" i="2"/>
  <c r="T1100" i="2"/>
  <c r="S1100" i="2"/>
  <c r="Q1100" i="2"/>
  <c r="P1100" i="2"/>
  <c r="S1069" i="2"/>
  <c r="R1070" i="2"/>
  <c r="Q1069" i="2"/>
  <c r="T1069" i="2"/>
  <c r="P1069" i="2"/>
  <c r="T1037" i="2"/>
  <c r="S1037" i="2"/>
  <c r="R1038" i="2"/>
  <c r="Q1037" i="2"/>
  <c r="P1037" i="2"/>
  <c r="P1009" i="2"/>
  <c r="Q1009" i="2"/>
  <c r="R1010" i="2"/>
  <c r="T1009" i="2"/>
  <c r="S1009" i="2"/>
  <c r="P976" i="2"/>
  <c r="T976" i="2"/>
  <c r="S976" i="2"/>
  <c r="Q976" i="2"/>
  <c r="R977" i="2"/>
  <c r="R947" i="2"/>
  <c r="Q946" i="2"/>
  <c r="T946" i="2"/>
  <c r="S946" i="2"/>
  <c r="P946" i="2"/>
  <c r="T915" i="2"/>
  <c r="S915" i="2"/>
  <c r="R916" i="2"/>
  <c r="Q915" i="2"/>
  <c r="P915" i="2"/>
  <c r="T883" i="2"/>
  <c r="R884" i="2"/>
  <c r="S883" i="2"/>
  <c r="Q883" i="2"/>
  <c r="P883" i="2"/>
  <c r="S851" i="2"/>
  <c r="T851" i="2"/>
  <c r="Q851" i="2"/>
  <c r="P851" i="2"/>
  <c r="R852" i="2"/>
  <c r="F759" i="2"/>
  <c r="D760" i="2"/>
  <c r="F697" i="2"/>
  <c r="D698" i="2"/>
  <c r="T573" i="2"/>
  <c r="R574" i="2"/>
  <c r="S16" i="2"/>
  <c r="P16" i="2"/>
  <c r="T16" i="2"/>
  <c r="Q16" i="2"/>
  <c r="R17" i="2"/>
  <c r="T1383" i="2" l="1"/>
  <c r="S1383" i="2"/>
  <c r="R1384" i="2"/>
  <c r="Q1383" i="2"/>
  <c r="P1383" i="2"/>
  <c r="T1351" i="2"/>
  <c r="S1351" i="2"/>
  <c r="R1352" i="2"/>
  <c r="Q1351" i="2"/>
  <c r="P1351" i="2"/>
  <c r="T1320" i="2"/>
  <c r="S1320" i="2"/>
  <c r="Q1320" i="2"/>
  <c r="R1321" i="2"/>
  <c r="P1320" i="2"/>
  <c r="T1286" i="2"/>
  <c r="Q1286" i="2"/>
  <c r="P1286" i="2"/>
  <c r="S1286" i="2"/>
  <c r="R1287" i="2"/>
  <c r="T1255" i="2"/>
  <c r="S1255" i="2"/>
  <c r="R1256" i="2"/>
  <c r="Q1255" i="2"/>
  <c r="P1255" i="2"/>
  <c r="T1225" i="2"/>
  <c r="S1225" i="2"/>
  <c r="Q1225" i="2"/>
  <c r="P1225" i="2"/>
  <c r="R1226" i="2"/>
  <c r="Q1194" i="2"/>
  <c r="P1194" i="2"/>
  <c r="R1195" i="2"/>
  <c r="S1194" i="2"/>
  <c r="T1194" i="2"/>
  <c r="R1164" i="2"/>
  <c r="Q1163" i="2"/>
  <c r="P1163" i="2"/>
  <c r="T1163" i="2"/>
  <c r="S1163" i="2"/>
  <c r="T1131" i="2"/>
  <c r="S1131" i="2"/>
  <c r="P1131" i="2"/>
  <c r="R1132" i="2"/>
  <c r="Q1131" i="2"/>
  <c r="T1101" i="2"/>
  <c r="S1101" i="2"/>
  <c r="R1102" i="2"/>
  <c r="Q1101" i="2"/>
  <c r="P1101" i="2"/>
  <c r="T1070" i="2"/>
  <c r="S1070" i="2"/>
  <c r="R1071" i="2"/>
  <c r="Q1070" i="2"/>
  <c r="P1070" i="2"/>
  <c r="T1038" i="2"/>
  <c r="S1038" i="2"/>
  <c r="P1038" i="2"/>
  <c r="R1039" i="2"/>
  <c r="Q1038" i="2"/>
  <c r="T1010" i="2"/>
  <c r="S1010" i="2"/>
  <c r="P1010" i="2"/>
  <c r="Q1010" i="2"/>
  <c r="R1011" i="2"/>
  <c r="R978" i="2"/>
  <c r="Q977" i="2"/>
  <c r="P977" i="2"/>
  <c r="T977" i="2"/>
  <c r="S977" i="2"/>
  <c r="T947" i="2"/>
  <c r="S947" i="2"/>
  <c r="R948" i="2"/>
  <c r="Q947" i="2"/>
  <c r="P947" i="2"/>
  <c r="T916" i="2"/>
  <c r="S916" i="2"/>
  <c r="Q916" i="2"/>
  <c r="P916" i="2"/>
  <c r="R917" i="2"/>
  <c r="P884" i="2"/>
  <c r="R885" i="2"/>
  <c r="S884" i="2"/>
  <c r="Q884" i="2"/>
  <c r="T884" i="2"/>
  <c r="S852" i="2"/>
  <c r="T852" i="2"/>
  <c r="P852" i="2"/>
  <c r="R853" i="2"/>
  <c r="Q852" i="2"/>
  <c r="D761" i="2"/>
  <c r="F760" i="2"/>
  <c r="D699" i="2"/>
  <c r="F698" i="2"/>
  <c r="R575" i="2"/>
  <c r="T574" i="2"/>
  <c r="S17" i="2"/>
  <c r="P17" i="2"/>
  <c r="T17" i="2"/>
  <c r="Q17" i="2"/>
  <c r="R18" i="2"/>
  <c r="T1384" i="2" l="1"/>
  <c r="R1385" i="2"/>
  <c r="S1384" i="2"/>
  <c r="Q1384" i="2"/>
  <c r="P1384" i="2"/>
  <c r="T1352" i="2"/>
  <c r="S1352" i="2"/>
  <c r="Q1352" i="2"/>
  <c r="P1352" i="2"/>
  <c r="R1353" i="2"/>
  <c r="Q1321" i="2"/>
  <c r="T1321" i="2"/>
  <c r="S1321" i="2"/>
  <c r="P1321" i="2"/>
  <c r="R1322" i="2"/>
  <c r="T1287" i="2"/>
  <c r="P1287" i="2"/>
  <c r="S1287" i="2"/>
  <c r="Q1287" i="2"/>
  <c r="R1288" i="2"/>
  <c r="S1256" i="2"/>
  <c r="T1256" i="2"/>
  <c r="R1257" i="2"/>
  <c r="Q1256" i="2"/>
  <c r="P1256" i="2"/>
  <c r="T1226" i="2"/>
  <c r="S1226" i="2"/>
  <c r="R1227" i="2"/>
  <c r="P1226" i="2"/>
  <c r="Q1226" i="2"/>
  <c r="T1195" i="2"/>
  <c r="S1195" i="2"/>
  <c r="Q1195" i="2"/>
  <c r="R1196" i="2"/>
  <c r="P1195" i="2"/>
  <c r="R1165" i="2"/>
  <c r="Q1164" i="2"/>
  <c r="P1164" i="2"/>
  <c r="T1164" i="2"/>
  <c r="S1164" i="2"/>
  <c r="T1132" i="2"/>
  <c r="R1133" i="2"/>
  <c r="Q1132" i="2"/>
  <c r="P1132" i="2"/>
  <c r="S1132" i="2"/>
  <c r="T1102" i="2"/>
  <c r="S1102" i="2"/>
  <c r="R1103" i="2"/>
  <c r="Q1102" i="2"/>
  <c r="P1102" i="2"/>
  <c r="P1071" i="2"/>
  <c r="T1071" i="2"/>
  <c r="S1071" i="2"/>
  <c r="R1072" i="2"/>
  <c r="Q1071" i="2"/>
  <c r="T1039" i="2"/>
  <c r="S1039" i="2"/>
  <c r="Q1039" i="2"/>
  <c r="P1039" i="2"/>
  <c r="R1040" i="2"/>
  <c r="S1011" i="2"/>
  <c r="Q1011" i="2"/>
  <c r="P1011" i="2"/>
  <c r="R1012" i="2"/>
  <c r="T1011" i="2"/>
  <c r="R979" i="2"/>
  <c r="Q978" i="2"/>
  <c r="T978" i="2"/>
  <c r="P978" i="2"/>
  <c r="S978" i="2"/>
  <c r="T948" i="2"/>
  <c r="S948" i="2"/>
  <c r="R949" i="2"/>
  <c r="Q948" i="2"/>
  <c r="P948" i="2"/>
  <c r="R918" i="2"/>
  <c r="T917" i="2"/>
  <c r="P917" i="2"/>
  <c r="S917" i="2"/>
  <c r="Q917" i="2"/>
  <c r="T885" i="2"/>
  <c r="P885" i="2"/>
  <c r="S885" i="2"/>
  <c r="Q885" i="2"/>
  <c r="R886" i="2"/>
  <c r="T853" i="2"/>
  <c r="R854" i="2"/>
  <c r="Q853" i="2"/>
  <c r="P853" i="2"/>
  <c r="S853" i="2"/>
  <c r="F761" i="2"/>
  <c r="D762" i="2"/>
  <c r="F699" i="2"/>
  <c r="D700" i="2"/>
  <c r="R576" i="2"/>
  <c r="T575" i="2"/>
  <c r="S18" i="2"/>
  <c r="P18" i="2"/>
  <c r="T18" i="2"/>
  <c r="Q18" i="2"/>
  <c r="R19" i="2"/>
  <c r="Q1385" i="2" l="1"/>
  <c r="P1385" i="2"/>
  <c r="R1386" i="2"/>
  <c r="S1385" i="2"/>
  <c r="T1385" i="2"/>
  <c r="R1354" i="2"/>
  <c r="P1353" i="2"/>
  <c r="T1353" i="2"/>
  <c r="S1353" i="2"/>
  <c r="Q1353" i="2"/>
  <c r="Q1322" i="2"/>
  <c r="P1322" i="2"/>
  <c r="R1323" i="2"/>
  <c r="S1322" i="2"/>
  <c r="T1322" i="2"/>
  <c r="P1288" i="2"/>
  <c r="R1289" i="2"/>
  <c r="T1288" i="2"/>
  <c r="S1288" i="2"/>
  <c r="Q1288" i="2"/>
  <c r="T1257" i="2"/>
  <c r="P1257" i="2"/>
  <c r="S1257" i="2"/>
  <c r="R1258" i="2"/>
  <c r="Q1257" i="2"/>
  <c r="T1227" i="2"/>
  <c r="P1227" i="2"/>
  <c r="S1227" i="2"/>
  <c r="Q1227" i="2"/>
  <c r="R1228" i="2"/>
  <c r="R1197" i="2"/>
  <c r="P1196" i="2"/>
  <c r="S1196" i="2"/>
  <c r="Q1196" i="2"/>
  <c r="T1196" i="2"/>
  <c r="S1165" i="2"/>
  <c r="R1166" i="2"/>
  <c r="Q1165" i="2"/>
  <c r="P1165" i="2"/>
  <c r="T1165" i="2"/>
  <c r="R1134" i="2"/>
  <c r="Q1133" i="2"/>
  <c r="S1133" i="2"/>
  <c r="P1133" i="2"/>
  <c r="T1133" i="2"/>
  <c r="T1103" i="2"/>
  <c r="S1103" i="2"/>
  <c r="R1104" i="2"/>
  <c r="Q1103" i="2"/>
  <c r="P1103" i="2"/>
  <c r="T1072" i="2"/>
  <c r="R1073" i="2"/>
  <c r="Q1072" i="2"/>
  <c r="P1072" i="2"/>
  <c r="S1072" i="2"/>
  <c r="R1041" i="2"/>
  <c r="T1040" i="2"/>
  <c r="S1040" i="2"/>
  <c r="Q1040" i="2"/>
  <c r="P1040" i="2"/>
  <c r="Q1012" i="2"/>
  <c r="P1012" i="2"/>
  <c r="R1013" i="2"/>
  <c r="T1012" i="2"/>
  <c r="S1012" i="2"/>
  <c r="S979" i="2"/>
  <c r="P979" i="2"/>
  <c r="R980" i="2"/>
  <c r="T979" i="2"/>
  <c r="Q979" i="2"/>
  <c r="T949" i="2"/>
  <c r="S949" i="2"/>
  <c r="R950" i="2"/>
  <c r="P949" i="2"/>
  <c r="Q949" i="2"/>
  <c r="S918" i="2"/>
  <c r="Q918" i="2"/>
  <c r="P918" i="2"/>
  <c r="R919" i="2"/>
  <c r="T918" i="2"/>
  <c r="R887" i="2"/>
  <c r="T886" i="2"/>
  <c r="S886" i="2"/>
  <c r="P886" i="2"/>
  <c r="Q886" i="2"/>
  <c r="R855" i="2"/>
  <c r="Q854" i="2"/>
  <c r="P854" i="2"/>
  <c r="T854" i="2"/>
  <c r="S854" i="2"/>
  <c r="D763" i="2"/>
  <c r="F762" i="2"/>
  <c r="F700" i="2"/>
  <c r="D701" i="2"/>
  <c r="T576" i="2"/>
  <c r="R577" i="2"/>
  <c r="S19" i="2"/>
  <c r="P19" i="2"/>
  <c r="T19" i="2"/>
  <c r="Q19" i="2"/>
  <c r="R20" i="2"/>
  <c r="S1386" i="2" l="1"/>
  <c r="P1386" i="2"/>
  <c r="R1387" i="2"/>
  <c r="T1386" i="2"/>
  <c r="Q1386" i="2"/>
  <c r="R1355" i="2"/>
  <c r="T1354" i="2"/>
  <c r="S1354" i="2"/>
  <c r="Q1354" i="2"/>
  <c r="P1354" i="2"/>
  <c r="T1323" i="2"/>
  <c r="S1323" i="2"/>
  <c r="Q1323" i="2"/>
  <c r="P1323" i="2"/>
  <c r="R1324" i="2"/>
  <c r="T1289" i="2"/>
  <c r="S1289" i="2"/>
  <c r="Q1289" i="2"/>
  <c r="P1289" i="2"/>
  <c r="R1290" i="2"/>
  <c r="R1259" i="2"/>
  <c r="P1258" i="2"/>
  <c r="Q1258" i="2"/>
  <c r="T1258" i="2"/>
  <c r="S1258" i="2"/>
  <c r="R1229" i="2"/>
  <c r="Q1228" i="2"/>
  <c r="P1228" i="2"/>
  <c r="T1228" i="2"/>
  <c r="S1228" i="2"/>
  <c r="T1197" i="2"/>
  <c r="S1197" i="2"/>
  <c r="Q1197" i="2"/>
  <c r="P1197" i="2"/>
  <c r="R1198" i="2"/>
  <c r="T1166" i="2"/>
  <c r="S1166" i="2"/>
  <c r="R1167" i="2"/>
  <c r="Q1166" i="2"/>
  <c r="P1166" i="2"/>
  <c r="S1134" i="2"/>
  <c r="T1134" i="2"/>
  <c r="Q1134" i="2"/>
  <c r="P1134" i="2"/>
  <c r="R1135" i="2"/>
  <c r="T1104" i="2"/>
  <c r="S1104" i="2"/>
  <c r="R1105" i="2"/>
  <c r="Q1104" i="2"/>
  <c r="P1104" i="2"/>
  <c r="R1074" i="2"/>
  <c r="Q1073" i="2"/>
  <c r="P1073" i="2"/>
  <c r="T1073" i="2"/>
  <c r="S1073" i="2"/>
  <c r="S1041" i="2"/>
  <c r="Q1041" i="2"/>
  <c r="P1041" i="2"/>
  <c r="T1041" i="2"/>
  <c r="R1042" i="2"/>
  <c r="T1013" i="2"/>
  <c r="S1013" i="2"/>
  <c r="Q1013" i="2"/>
  <c r="P1013" i="2"/>
  <c r="R1014" i="2"/>
  <c r="T980" i="2"/>
  <c r="S980" i="2"/>
  <c r="P980" i="2"/>
  <c r="R981" i="2"/>
  <c r="Q980" i="2"/>
  <c r="T950" i="2"/>
  <c r="S950" i="2"/>
  <c r="R951" i="2"/>
  <c r="Q950" i="2"/>
  <c r="P950" i="2"/>
  <c r="R920" i="2"/>
  <c r="T919" i="2"/>
  <c r="S919" i="2"/>
  <c r="P919" i="2"/>
  <c r="Q919" i="2"/>
  <c r="T887" i="2"/>
  <c r="Q887" i="2"/>
  <c r="P887" i="2"/>
  <c r="R888" i="2"/>
  <c r="S887" i="2"/>
  <c r="S855" i="2"/>
  <c r="T855" i="2"/>
  <c r="Q855" i="2"/>
  <c r="P855" i="2"/>
  <c r="R856" i="2"/>
  <c r="F763" i="2"/>
  <c r="D764" i="2"/>
  <c r="D702" i="2"/>
  <c r="F701" i="2"/>
  <c r="R578" i="2"/>
  <c r="T577" i="2"/>
  <c r="S20" i="2"/>
  <c r="T20" i="2"/>
  <c r="P20" i="2"/>
  <c r="Q20" i="2"/>
  <c r="R21" i="2"/>
  <c r="P1387" i="2" l="1"/>
  <c r="R1388" i="2"/>
  <c r="S1387" i="2"/>
  <c r="T1387" i="2"/>
  <c r="Q1387" i="2"/>
  <c r="Q1355" i="2"/>
  <c r="P1355" i="2"/>
  <c r="T1355" i="2"/>
  <c r="S1355" i="2"/>
  <c r="R1356" i="2"/>
  <c r="P1324" i="2"/>
  <c r="S1324" i="2"/>
  <c r="Q1324" i="2"/>
  <c r="T1324" i="2"/>
  <c r="R1325" i="2"/>
  <c r="R1291" i="2"/>
  <c r="T1290" i="2"/>
  <c r="S1290" i="2"/>
  <c r="Q1290" i="2"/>
  <c r="P1290" i="2"/>
  <c r="P1259" i="2"/>
  <c r="Q1259" i="2"/>
  <c r="R1260" i="2"/>
  <c r="T1259" i="2"/>
  <c r="S1259" i="2"/>
  <c r="S1229" i="2"/>
  <c r="R1230" i="2"/>
  <c r="T1229" i="2"/>
  <c r="Q1229" i="2"/>
  <c r="P1229" i="2"/>
  <c r="T1198" i="2"/>
  <c r="R1199" i="2"/>
  <c r="S1198" i="2"/>
  <c r="Q1198" i="2"/>
  <c r="P1198" i="2"/>
  <c r="T1167" i="2"/>
  <c r="S1167" i="2"/>
  <c r="Q1167" i="2"/>
  <c r="P1167" i="2"/>
  <c r="R1168" i="2"/>
  <c r="T1135" i="2"/>
  <c r="S1135" i="2"/>
  <c r="P1135" i="2"/>
  <c r="R1136" i="2"/>
  <c r="Q1135" i="2"/>
  <c r="T1105" i="2"/>
  <c r="S1105" i="2"/>
  <c r="P1105" i="2"/>
  <c r="R1106" i="2"/>
  <c r="Q1105" i="2"/>
  <c r="R1075" i="2"/>
  <c r="Q1074" i="2"/>
  <c r="S1074" i="2"/>
  <c r="P1074" i="2"/>
  <c r="T1074" i="2"/>
  <c r="R1043" i="2"/>
  <c r="T1042" i="2"/>
  <c r="Q1042" i="2"/>
  <c r="P1042" i="2"/>
  <c r="S1042" i="2"/>
  <c r="T1014" i="2"/>
  <c r="Q1014" i="2"/>
  <c r="R1015" i="2"/>
  <c r="S1014" i="2"/>
  <c r="P1014" i="2"/>
  <c r="T981" i="2"/>
  <c r="S981" i="2"/>
  <c r="Q981" i="2"/>
  <c r="P981" i="2"/>
  <c r="R982" i="2"/>
  <c r="T951" i="2"/>
  <c r="S951" i="2"/>
  <c r="R952" i="2"/>
  <c r="Q951" i="2"/>
  <c r="P951" i="2"/>
  <c r="S920" i="2"/>
  <c r="Q920" i="2"/>
  <c r="P920" i="2"/>
  <c r="T920" i="2"/>
  <c r="R921" i="2"/>
  <c r="T888" i="2"/>
  <c r="S888" i="2"/>
  <c r="Q888" i="2"/>
  <c r="P888" i="2"/>
  <c r="R889" i="2"/>
  <c r="T856" i="2"/>
  <c r="S856" i="2"/>
  <c r="R857" i="2"/>
  <c r="Q856" i="2"/>
  <c r="P856" i="2"/>
  <c r="F764" i="2"/>
  <c r="D765" i="2"/>
  <c r="D703" i="2"/>
  <c r="F702" i="2"/>
  <c r="R579" i="2"/>
  <c r="T578" i="2"/>
  <c r="S21" i="2"/>
  <c r="T21" i="2"/>
  <c r="Q21" i="2"/>
  <c r="P21" i="2"/>
  <c r="R22" i="2"/>
  <c r="R1389" i="2" l="1"/>
  <c r="Q1388" i="2"/>
  <c r="P1388" i="2"/>
  <c r="T1388" i="2"/>
  <c r="S1388" i="2"/>
  <c r="P1356" i="2"/>
  <c r="R1357" i="2"/>
  <c r="T1356" i="2"/>
  <c r="S1356" i="2"/>
  <c r="Q1356" i="2"/>
  <c r="P1325" i="2"/>
  <c r="R1326" i="2"/>
  <c r="T1325" i="2"/>
  <c r="S1325" i="2"/>
  <c r="Q1325" i="2"/>
  <c r="T1291" i="2"/>
  <c r="S1291" i="2"/>
  <c r="Q1291" i="2"/>
  <c r="P1291" i="2"/>
  <c r="R1292" i="2"/>
  <c r="R1261" i="2"/>
  <c r="P1260" i="2"/>
  <c r="S1260" i="2"/>
  <c r="Q1260" i="2"/>
  <c r="T1260" i="2"/>
  <c r="T1230" i="2"/>
  <c r="S1230" i="2"/>
  <c r="Q1230" i="2"/>
  <c r="P1230" i="2"/>
  <c r="R1231" i="2"/>
  <c r="P1199" i="2"/>
  <c r="Q1199" i="2"/>
  <c r="R1200" i="2"/>
  <c r="S1199" i="2"/>
  <c r="T1199" i="2"/>
  <c r="T1168" i="2"/>
  <c r="S1168" i="2"/>
  <c r="R1169" i="2"/>
  <c r="Q1168" i="2"/>
  <c r="P1168" i="2"/>
  <c r="T1136" i="2"/>
  <c r="R1137" i="2"/>
  <c r="S1136" i="2"/>
  <c r="Q1136" i="2"/>
  <c r="P1136" i="2"/>
  <c r="T1106" i="2"/>
  <c r="S1106" i="2"/>
  <c r="R1107" i="2"/>
  <c r="P1106" i="2"/>
  <c r="Q1106" i="2"/>
  <c r="T1075" i="2"/>
  <c r="Q1075" i="2"/>
  <c r="S1075" i="2"/>
  <c r="R1076" i="2"/>
  <c r="P1075" i="2"/>
  <c r="S1043" i="2"/>
  <c r="Q1043" i="2"/>
  <c r="P1043" i="2"/>
  <c r="T1043" i="2"/>
  <c r="R1044" i="2"/>
  <c r="P1015" i="2"/>
  <c r="R1016" i="2"/>
  <c r="T1015" i="2"/>
  <c r="S1015" i="2"/>
  <c r="Q1015" i="2"/>
  <c r="R983" i="2"/>
  <c r="T982" i="2"/>
  <c r="S982" i="2"/>
  <c r="Q982" i="2"/>
  <c r="P982" i="2"/>
  <c r="T952" i="2"/>
  <c r="S952" i="2"/>
  <c r="Q952" i="2"/>
  <c r="P952" i="2"/>
  <c r="R953" i="2"/>
  <c r="R922" i="2"/>
  <c r="T921" i="2"/>
  <c r="S921" i="2"/>
  <c r="P921" i="2"/>
  <c r="Q921" i="2"/>
  <c r="P889" i="2"/>
  <c r="R890" i="2"/>
  <c r="Q889" i="2"/>
  <c r="T889" i="2"/>
  <c r="S889" i="2"/>
  <c r="T857" i="2"/>
  <c r="S857" i="2"/>
  <c r="Q857" i="2"/>
  <c r="P857" i="2"/>
  <c r="R858" i="2"/>
  <c r="F765" i="2"/>
  <c r="D766" i="2"/>
  <c r="D704" i="2"/>
  <c r="F703" i="2"/>
  <c r="R580" i="2"/>
  <c r="T579" i="2"/>
  <c r="Q22" i="2"/>
  <c r="T22" i="2"/>
  <c r="S22" i="2"/>
  <c r="P22" i="2"/>
  <c r="R23" i="2"/>
  <c r="R1390" i="2" l="1"/>
  <c r="Q1389" i="2"/>
  <c r="P1389" i="2"/>
  <c r="T1389" i="2"/>
  <c r="S1389" i="2"/>
  <c r="R1358" i="2"/>
  <c r="Q1357" i="2"/>
  <c r="P1357" i="2"/>
  <c r="T1357" i="2"/>
  <c r="S1357" i="2"/>
  <c r="R1327" i="2"/>
  <c r="Q1326" i="2"/>
  <c r="P1326" i="2"/>
  <c r="S1326" i="2"/>
  <c r="T1326" i="2"/>
  <c r="R1293" i="2"/>
  <c r="T1292" i="2"/>
  <c r="S1292" i="2"/>
  <c r="Q1292" i="2"/>
  <c r="P1292" i="2"/>
  <c r="T1261" i="2"/>
  <c r="S1261" i="2"/>
  <c r="Q1261" i="2"/>
  <c r="P1261" i="2"/>
  <c r="R1262" i="2"/>
  <c r="T1231" i="2"/>
  <c r="R1232" i="2"/>
  <c r="S1231" i="2"/>
  <c r="Q1231" i="2"/>
  <c r="P1231" i="2"/>
  <c r="T1200" i="2"/>
  <c r="S1200" i="2"/>
  <c r="Q1200" i="2"/>
  <c r="P1200" i="2"/>
  <c r="R1201" i="2"/>
  <c r="T1169" i="2"/>
  <c r="Q1169" i="2"/>
  <c r="P1169" i="2"/>
  <c r="R1170" i="2"/>
  <c r="S1169" i="2"/>
  <c r="Q1137" i="2"/>
  <c r="P1137" i="2"/>
  <c r="S1137" i="2"/>
  <c r="R1138" i="2"/>
  <c r="T1137" i="2"/>
  <c r="T1107" i="2"/>
  <c r="S1107" i="2"/>
  <c r="P1107" i="2"/>
  <c r="Q1107" i="2"/>
  <c r="R1108" i="2"/>
  <c r="T1076" i="2"/>
  <c r="Q1076" i="2"/>
  <c r="S1076" i="2"/>
  <c r="R1077" i="2"/>
  <c r="P1076" i="2"/>
  <c r="T1044" i="2"/>
  <c r="S1044" i="2"/>
  <c r="R1045" i="2"/>
  <c r="Q1044" i="2"/>
  <c r="P1044" i="2"/>
  <c r="R1017" i="2"/>
  <c r="Q1016" i="2"/>
  <c r="P1016" i="2"/>
  <c r="T1016" i="2"/>
  <c r="S1016" i="2"/>
  <c r="Q983" i="2"/>
  <c r="R984" i="2"/>
  <c r="T983" i="2"/>
  <c r="S983" i="2"/>
  <c r="P983" i="2"/>
  <c r="P953" i="2"/>
  <c r="T953" i="2"/>
  <c r="Q953" i="2"/>
  <c r="S953" i="2"/>
  <c r="R954" i="2"/>
  <c r="P922" i="2"/>
  <c r="S922" i="2"/>
  <c r="Q922" i="2"/>
  <c r="R923" i="2"/>
  <c r="T922" i="2"/>
  <c r="T890" i="2"/>
  <c r="S890" i="2"/>
  <c r="Q890" i="2"/>
  <c r="P890" i="2"/>
  <c r="R891" i="2"/>
  <c r="R859" i="2"/>
  <c r="T858" i="2"/>
  <c r="S858" i="2"/>
  <c r="Q858" i="2"/>
  <c r="P858" i="2"/>
  <c r="D767" i="2"/>
  <c r="F766" i="2"/>
  <c r="F704" i="2"/>
  <c r="D705" i="2"/>
  <c r="R581" i="2"/>
  <c r="T580" i="2"/>
  <c r="Q23" i="2"/>
  <c r="P23" i="2"/>
  <c r="T23" i="2"/>
  <c r="S23" i="2"/>
  <c r="R24" i="2"/>
  <c r="S1390" i="2" l="1"/>
  <c r="R1391" i="2"/>
  <c r="Q1390" i="2"/>
  <c r="P1390" i="2"/>
  <c r="T1390" i="2"/>
  <c r="R1359" i="2"/>
  <c r="Q1358" i="2"/>
  <c r="P1358" i="2"/>
  <c r="T1358" i="2"/>
  <c r="S1358" i="2"/>
  <c r="R1328" i="2"/>
  <c r="Q1327" i="2"/>
  <c r="P1327" i="2"/>
  <c r="T1327" i="2"/>
  <c r="S1327" i="2"/>
  <c r="P1293" i="2"/>
  <c r="S1293" i="2"/>
  <c r="Q1293" i="2"/>
  <c r="R1294" i="2"/>
  <c r="T1293" i="2"/>
  <c r="R1263" i="2"/>
  <c r="T1262" i="2"/>
  <c r="S1262" i="2"/>
  <c r="Q1262" i="2"/>
  <c r="P1262" i="2"/>
  <c r="P1232" i="2"/>
  <c r="Q1232" i="2"/>
  <c r="T1232" i="2"/>
  <c r="S1232" i="2"/>
  <c r="R1233" i="2"/>
  <c r="P1201" i="2"/>
  <c r="R1202" i="2"/>
  <c r="T1201" i="2"/>
  <c r="S1201" i="2"/>
  <c r="Q1201" i="2"/>
  <c r="P1170" i="2"/>
  <c r="T1170" i="2"/>
  <c r="S1170" i="2"/>
  <c r="Q1170" i="2"/>
  <c r="R1171" i="2"/>
  <c r="R1139" i="2"/>
  <c r="T1138" i="2"/>
  <c r="S1138" i="2"/>
  <c r="P1138" i="2"/>
  <c r="Q1138" i="2"/>
  <c r="P1108" i="2"/>
  <c r="R1109" i="2"/>
  <c r="T1108" i="2"/>
  <c r="S1108" i="2"/>
  <c r="Q1108" i="2"/>
  <c r="P1077" i="2"/>
  <c r="T1077" i="2"/>
  <c r="S1077" i="2"/>
  <c r="Q1077" i="2"/>
  <c r="R1078" i="2"/>
  <c r="Q1045" i="2"/>
  <c r="R1046" i="2"/>
  <c r="P1045" i="2"/>
  <c r="T1045" i="2"/>
  <c r="S1045" i="2"/>
  <c r="R1018" i="2"/>
  <c r="Q1017" i="2"/>
  <c r="P1017" i="2"/>
  <c r="S1017" i="2"/>
  <c r="T1017" i="2"/>
  <c r="P984" i="2"/>
  <c r="T984" i="2"/>
  <c r="Q984" i="2"/>
  <c r="S984" i="2"/>
  <c r="R985" i="2"/>
  <c r="R955" i="2"/>
  <c r="Q954" i="2"/>
  <c r="P954" i="2"/>
  <c r="T954" i="2"/>
  <c r="S954" i="2"/>
  <c r="R924" i="2"/>
  <c r="Q923" i="2"/>
  <c r="P923" i="2"/>
  <c r="T923" i="2"/>
  <c r="S923" i="2"/>
  <c r="P891" i="2"/>
  <c r="R892" i="2"/>
  <c r="T891" i="2"/>
  <c r="S891" i="2"/>
  <c r="Q891" i="2"/>
  <c r="T859" i="2"/>
  <c r="S859" i="2"/>
  <c r="Q859" i="2"/>
  <c r="R860" i="2"/>
  <c r="P859" i="2"/>
  <c r="D768" i="2"/>
  <c r="F767" i="2"/>
  <c r="F705" i="2"/>
  <c r="D706" i="2"/>
  <c r="R582" i="2"/>
  <c r="T581" i="2"/>
  <c r="P24" i="2"/>
  <c r="T24" i="2"/>
  <c r="S24" i="2"/>
  <c r="Q24" i="2"/>
  <c r="R25" i="2"/>
  <c r="T1391" i="2" l="1"/>
  <c r="Q1391" i="2"/>
  <c r="S1391" i="2"/>
  <c r="P1391" i="2"/>
  <c r="S1359" i="2"/>
  <c r="P1359" i="2"/>
  <c r="R1360" i="2"/>
  <c r="Q1359" i="2"/>
  <c r="T1359" i="2"/>
  <c r="S1328" i="2"/>
  <c r="R1329" i="2"/>
  <c r="Q1328" i="2"/>
  <c r="P1328" i="2"/>
  <c r="T1328" i="2"/>
  <c r="P1294" i="2"/>
  <c r="R1295" i="2"/>
  <c r="T1294" i="2"/>
  <c r="S1294" i="2"/>
  <c r="Q1294" i="2"/>
  <c r="P1263" i="2"/>
  <c r="S1263" i="2"/>
  <c r="R1264" i="2"/>
  <c r="T1263" i="2"/>
  <c r="Q1263" i="2"/>
  <c r="R1234" i="2"/>
  <c r="Q1233" i="2"/>
  <c r="P1233" i="2"/>
  <c r="T1233" i="2"/>
  <c r="S1233" i="2"/>
  <c r="R1203" i="2"/>
  <c r="Q1202" i="2"/>
  <c r="P1202" i="2"/>
  <c r="S1202" i="2"/>
  <c r="T1202" i="2"/>
  <c r="T1171" i="2"/>
  <c r="S1171" i="2"/>
  <c r="P1171" i="2"/>
  <c r="Q1171" i="2"/>
  <c r="R1172" i="2"/>
  <c r="P1139" i="2"/>
  <c r="T1139" i="2"/>
  <c r="S1139" i="2"/>
  <c r="Q1139" i="2"/>
  <c r="R1140" i="2"/>
  <c r="R1110" i="2"/>
  <c r="Q1109" i="2"/>
  <c r="P1109" i="2"/>
  <c r="T1109" i="2"/>
  <c r="S1109" i="2"/>
  <c r="R1079" i="2"/>
  <c r="Q1078" i="2"/>
  <c r="P1078" i="2"/>
  <c r="T1078" i="2"/>
  <c r="S1078" i="2"/>
  <c r="P1046" i="2"/>
  <c r="T1046" i="2"/>
  <c r="S1046" i="2"/>
  <c r="Q1046" i="2"/>
  <c r="R1047" i="2"/>
  <c r="S1018" i="2"/>
  <c r="R1019" i="2"/>
  <c r="Q1018" i="2"/>
  <c r="P1018" i="2"/>
  <c r="T1018" i="2"/>
  <c r="R986" i="2"/>
  <c r="Q985" i="2"/>
  <c r="P985" i="2"/>
  <c r="S985" i="2"/>
  <c r="T985" i="2"/>
  <c r="R956" i="2"/>
  <c r="Q955" i="2"/>
  <c r="P955" i="2"/>
  <c r="T955" i="2"/>
  <c r="S955" i="2"/>
  <c r="Q924" i="2"/>
  <c r="R925" i="2"/>
  <c r="P924" i="2"/>
  <c r="S924" i="2"/>
  <c r="T924" i="2"/>
  <c r="R893" i="2"/>
  <c r="Q892" i="2"/>
  <c r="P892" i="2"/>
  <c r="S892" i="2"/>
  <c r="T892" i="2"/>
  <c r="P860" i="2"/>
  <c r="S860" i="2"/>
  <c r="R861" i="2"/>
  <c r="Q860" i="2"/>
  <c r="T860" i="2"/>
  <c r="D769" i="2"/>
  <c r="F768" i="2"/>
  <c r="D707" i="2"/>
  <c r="F706" i="2"/>
  <c r="R583" i="2"/>
  <c r="T582" i="2"/>
  <c r="S25" i="2"/>
  <c r="T25" i="2"/>
  <c r="P25" i="2"/>
  <c r="Q25" i="2"/>
  <c r="R26" i="2"/>
  <c r="T1360" i="2" l="1"/>
  <c r="P1360" i="2"/>
  <c r="S1360" i="2"/>
  <c r="Q1360" i="2"/>
  <c r="T1329" i="2"/>
  <c r="S1329" i="2"/>
  <c r="Q1329" i="2"/>
  <c r="P1329" i="2"/>
  <c r="R1296" i="2"/>
  <c r="Q1295" i="2"/>
  <c r="P1295" i="2"/>
  <c r="S1295" i="2"/>
  <c r="T1295" i="2"/>
  <c r="R1265" i="2"/>
  <c r="Q1264" i="2"/>
  <c r="P1264" i="2"/>
  <c r="T1264" i="2"/>
  <c r="S1264" i="2"/>
  <c r="R1235" i="2"/>
  <c r="Q1234" i="2"/>
  <c r="P1234" i="2"/>
  <c r="S1234" i="2"/>
  <c r="T1234" i="2"/>
  <c r="P1203" i="2"/>
  <c r="R1204" i="2"/>
  <c r="Q1203" i="2"/>
  <c r="S1203" i="2"/>
  <c r="T1203" i="2"/>
  <c r="Q1172" i="2"/>
  <c r="P1172" i="2"/>
  <c r="R1173" i="2"/>
  <c r="T1172" i="2"/>
  <c r="S1172" i="2"/>
  <c r="R1141" i="2"/>
  <c r="Q1140" i="2"/>
  <c r="P1140" i="2"/>
  <c r="T1140" i="2"/>
  <c r="S1140" i="2"/>
  <c r="R1111" i="2"/>
  <c r="Q1110" i="2"/>
  <c r="P1110" i="2"/>
  <c r="S1110" i="2"/>
  <c r="T1110" i="2"/>
  <c r="R1080" i="2"/>
  <c r="Q1079" i="2"/>
  <c r="P1079" i="2"/>
  <c r="S1079" i="2"/>
  <c r="T1079" i="2"/>
  <c r="R1048" i="2"/>
  <c r="Q1047" i="2"/>
  <c r="P1047" i="2"/>
  <c r="T1047" i="2"/>
  <c r="S1047" i="2"/>
  <c r="T1019" i="2"/>
  <c r="S1019" i="2"/>
  <c r="Q1019" i="2"/>
  <c r="P1019" i="2"/>
  <c r="R987" i="2"/>
  <c r="Q986" i="2"/>
  <c r="P986" i="2"/>
  <c r="S986" i="2"/>
  <c r="T986" i="2"/>
  <c r="S956" i="2"/>
  <c r="R957" i="2"/>
  <c r="Q956" i="2"/>
  <c r="P956" i="2"/>
  <c r="T956" i="2"/>
  <c r="S925" i="2"/>
  <c r="R926" i="2"/>
  <c r="Q925" i="2"/>
  <c r="P925" i="2"/>
  <c r="T925" i="2"/>
  <c r="R894" i="2"/>
  <c r="P893" i="2"/>
  <c r="Q893" i="2"/>
  <c r="T893" i="2"/>
  <c r="S893" i="2"/>
  <c r="R862" i="2"/>
  <c r="Q861" i="2"/>
  <c r="P861" i="2"/>
  <c r="T861" i="2"/>
  <c r="S861" i="2"/>
  <c r="F769" i="2"/>
  <c r="D770" i="2"/>
  <c r="D708" i="2"/>
  <c r="F707" i="2"/>
  <c r="R584" i="2"/>
  <c r="T583" i="2"/>
  <c r="S26" i="2"/>
  <c r="T26" i="2"/>
  <c r="P26" i="2"/>
  <c r="Q26" i="2"/>
  <c r="R27" i="2"/>
  <c r="R1297" i="2" l="1"/>
  <c r="Q1296" i="2"/>
  <c r="P1296" i="2"/>
  <c r="T1296" i="2"/>
  <c r="S1296" i="2"/>
  <c r="S1265" i="2"/>
  <c r="R1266" i="2"/>
  <c r="Q1265" i="2"/>
  <c r="T1265" i="2"/>
  <c r="P1265" i="2"/>
  <c r="S1235" i="2"/>
  <c r="P1235" i="2"/>
  <c r="R1236" i="2"/>
  <c r="Q1235" i="2"/>
  <c r="T1235" i="2"/>
  <c r="S1204" i="2"/>
  <c r="R1205" i="2"/>
  <c r="Q1204" i="2"/>
  <c r="P1204" i="2"/>
  <c r="T1204" i="2"/>
  <c r="R1174" i="2"/>
  <c r="T1173" i="2"/>
  <c r="S1173" i="2"/>
  <c r="Q1173" i="2"/>
  <c r="P1173" i="2"/>
  <c r="P1141" i="2"/>
  <c r="R1142" i="2"/>
  <c r="Q1141" i="2"/>
  <c r="T1141" i="2"/>
  <c r="S1141" i="2"/>
  <c r="S1111" i="2"/>
  <c r="Q1111" i="2"/>
  <c r="R1112" i="2"/>
  <c r="P1111" i="2"/>
  <c r="T1111" i="2"/>
  <c r="S1080" i="2"/>
  <c r="Q1080" i="2"/>
  <c r="P1080" i="2"/>
  <c r="R1081" i="2"/>
  <c r="T1080" i="2"/>
  <c r="R1049" i="2"/>
  <c r="Q1048" i="2"/>
  <c r="P1048" i="2"/>
  <c r="T1048" i="2"/>
  <c r="S1048" i="2"/>
  <c r="S987" i="2"/>
  <c r="R988" i="2"/>
  <c r="Q987" i="2"/>
  <c r="P987" i="2"/>
  <c r="T987" i="2"/>
  <c r="T957" i="2"/>
  <c r="S957" i="2"/>
  <c r="P957" i="2"/>
  <c r="Q957" i="2"/>
  <c r="T926" i="2"/>
  <c r="S926" i="2"/>
  <c r="Q926" i="2"/>
  <c r="P926" i="2"/>
  <c r="S894" i="2"/>
  <c r="R895" i="2"/>
  <c r="Q894" i="2"/>
  <c r="P894" i="2"/>
  <c r="T894" i="2"/>
  <c r="R863" i="2"/>
  <c r="P862" i="2"/>
  <c r="Q862" i="2"/>
  <c r="S862" i="2"/>
  <c r="T862" i="2"/>
  <c r="D771" i="2"/>
  <c r="F771" i="2" s="1"/>
  <c r="F770" i="2"/>
  <c r="D709" i="2"/>
  <c r="F709" i="2" s="1"/>
  <c r="F708" i="2"/>
  <c r="T584" i="2"/>
  <c r="R585" i="2"/>
  <c r="T585" i="2" s="1"/>
  <c r="D36" i="2"/>
  <c r="S27" i="2"/>
  <c r="P27" i="2"/>
  <c r="T27" i="2"/>
  <c r="Q27" i="2"/>
  <c r="D37" i="2"/>
  <c r="S1297" i="2" l="1"/>
  <c r="Q1297" i="2"/>
  <c r="P1297" i="2"/>
  <c r="R1298" i="2"/>
  <c r="T1297" i="2"/>
  <c r="S1266" i="2"/>
  <c r="R1267" i="2"/>
  <c r="Q1266" i="2"/>
  <c r="T1266" i="2"/>
  <c r="P1266" i="2"/>
  <c r="T1236" i="2"/>
  <c r="S1236" i="2"/>
  <c r="Q1236" i="2"/>
  <c r="P1236" i="2"/>
  <c r="T1205" i="2"/>
  <c r="P1205" i="2"/>
  <c r="S1205" i="2"/>
  <c r="Q1205" i="2"/>
  <c r="T1174" i="2"/>
  <c r="S1174" i="2"/>
  <c r="Q1174" i="2"/>
  <c r="P1174" i="2"/>
  <c r="S1142" i="2"/>
  <c r="Q1142" i="2"/>
  <c r="R1143" i="2"/>
  <c r="P1142" i="2"/>
  <c r="T1142" i="2"/>
  <c r="T1112" i="2"/>
  <c r="Q1112" i="2"/>
  <c r="P1112" i="2"/>
  <c r="S1112" i="2"/>
  <c r="T1081" i="2"/>
  <c r="P1081" i="2"/>
  <c r="S1081" i="2"/>
  <c r="Q1081" i="2"/>
  <c r="S1049" i="2"/>
  <c r="Q1049" i="2"/>
  <c r="P1049" i="2"/>
  <c r="R1050" i="2"/>
  <c r="T1049" i="2"/>
  <c r="T988" i="2"/>
  <c r="S988" i="2"/>
  <c r="Q988" i="2"/>
  <c r="P988" i="2"/>
  <c r="T895" i="2"/>
  <c r="Q895" i="2"/>
  <c r="P895" i="2"/>
  <c r="S895" i="2"/>
  <c r="S863" i="2"/>
  <c r="R864" i="2"/>
  <c r="P863" i="2"/>
  <c r="Q863" i="2"/>
  <c r="T863" i="2"/>
  <c r="B37" i="2"/>
  <c r="F37" i="2"/>
  <c r="E37" i="2"/>
  <c r="C37" i="2"/>
  <c r="E36" i="2"/>
  <c r="B36" i="2"/>
  <c r="F36" i="2"/>
  <c r="C36" i="2"/>
  <c r="D38" i="2"/>
  <c r="T1298" i="2" l="1"/>
  <c r="S1298" i="2"/>
  <c r="Q1298" i="2"/>
  <c r="P1298" i="2"/>
  <c r="T1267" i="2"/>
  <c r="S1267" i="2"/>
  <c r="P1267" i="2"/>
  <c r="Q1267" i="2"/>
  <c r="T1143" i="2"/>
  <c r="Q1143" i="2"/>
  <c r="P1143" i="2"/>
  <c r="S1143" i="2"/>
  <c r="T1050" i="2"/>
  <c r="S1050" i="2"/>
  <c r="Q1050" i="2"/>
  <c r="P1050" i="2"/>
  <c r="T864" i="2"/>
  <c r="Q864" i="2"/>
  <c r="S864" i="2"/>
  <c r="P864" i="2"/>
  <c r="E38" i="2"/>
  <c r="B38" i="2"/>
  <c r="F38" i="2"/>
  <c r="C38" i="2"/>
  <c r="D39" i="2"/>
  <c r="B39" i="2" l="1"/>
  <c r="E39" i="2"/>
  <c r="F39" i="2"/>
  <c r="C39" i="2"/>
  <c r="D40" i="2"/>
  <c r="B40" i="2" l="1"/>
  <c r="E40" i="2"/>
  <c r="F40" i="2"/>
  <c r="C40" i="2"/>
  <c r="D41" i="2"/>
  <c r="E41" i="2" l="1"/>
  <c r="B41" i="2"/>
  <c r="F41" i="2"/>
  <c r="C41" i="2"/>
  <c r="D42" i="2"/>
  <c r="E42" i="2" l="1"/>
  <c r="B42" i="2"/>
  <c r="C42" i="2"/>
  <c r="F42" i="2"/>
  <c r="D43" i="2"/>
  <c r="E43" i="2" l="1"/>
  <c r="F43" i="2"/>
  <c r="C43" i="2"/>
  <c r="B43" i="2"/>
  <c r="D44" i="2"/>
  <c r="E44" i="2" l="1"/>
  <c r="C44" i="2"/>
  <c r="B44" i="2"/>
  <c r="F44" i="2"/>
  <c r="D45" i="2"/>
  <c r="E45" i="2" l="1"/>
  <c r="B45" i="2"/>
  <c r="C45" i="2"/>
  <c r="F45" i="2"/>
  <c r="D46" i="2"/>
  <c r="B46" i="2" l="1"/>
  <c r="E46" i="2"/>
  <c r="F46" i="2"/>
  <c r="C46" i="2"/>
  <c r="D47" i="2"/>
  <c r="B47" i="2" l="1"/>
  <c r="E47" i="2"/>
  <c r="C47" i="2"/>
  <c r="F47" i="2"/>
  <c r="D48" i="2"/>
  <c r="B48" i="2" l="1"/>
  <c r="E48" i="2"/>
  <c r="C48" i="2"/>
  <c r="F48" i="2"/>
  <c r="D49" i="2"/>
  <c r="B49" i="2" l="1"/>
  <c r="C49" i="2"/>
  <c r="F49" i="2"/>
  <c r="E49" i="2"/>
  <c r="D50" i="2"/>
  <c r="E50" i="2" l="1"/>
  <c r="B50" i="2"/>
  <c r="F50" i="2"/>
  <c r="C50" i="2"/>
  <c r="D51" i="2"/>
  <c r="E51" i="2" l="1"/>
  <c r="B51" i="2"/>
  <c r="F51" i="2"/>
  <c r="C51" i="2"/>
  <c r="D52" i="2"/>
  <c r="E52" i="2" l="1"/>
  <c r="F52" i="2"/>
  <c r="B52" i="2"/>
  <c r="C52" i="2"/>
  <c r="D53" i="2"/>
  <c r="E53" i="2" l="1"/>
  <c r="F53" i="2"/>
  <c r="B53" i="2"/>
  <c r="C53" i="2"/>
  <c r="D54" i="2"/>
  <c r="E54" i="2" l="1"/>
  <c r="F54" i="2"/>
  <c r="B54" i="2"/>
  <c r="C54" i="2"/>
  <c r="D55" i="2"/>
  <c r="B55" i="2" l="1"/>
  <c r="F55" i="2"/>
  <c r="E55" i="2"/>
  <c r="C55" i="2"/>
  <c r="D56" i="2"/>
  <c r="B56" i="2" l="1"/>
  <c r="E56" i="2"/>
  <c r="F56" i="2"/>
  <c r="C56" i="2"/>
  <c r="D57" i="2"/>
  <c r="E57" i="2" l="1"/>
  <c r="F57" i="2"/>
  <c r="B57" i="2"/>
  <c r="C57" i="2"/>
  <c r="D58" i="2"/>
  <c r="K36" i="2" l="1"/>
  <c r="K37" i="2" s="1"/>
  <c r="E58" i="2"/>
  <c r="B58" i="2"/>
  <c r="F58" i="2"/>
  <c r="C58" i="2"/>
  <c r="L37" i="2" l="1"/>
  <c r="I37" i="2"/>
  <c r="M37" i="2"/>
  <c r="J37" i="2"/>
  <c r="L36" i="2"/>
  <c r="I36" i="2"/>
  <c r="M36" i="2"/>
  <c r="J36" i="2"/>
  <c r="K38" i="2"/>
  <c r="L38" i="2" l="1"/>
  <c r="I38" i="2"/>
  <c r="J38" i="2"/>
  <c r="M38" i="2"/>
  <c r="K39" i="2"/>
  <c r="I39" i="2" l="1"/>
  <c r="J39" i="2"/>
  <c r="L39" i="2"/>
  <c r="M39" i="2"/>
  <c r="K40" i="2"/>
  <c r="J40" i="2" l="1"/>
  <c r="L40" i="2"/>
  <c r="M40" i="2"/>
  <c r="I40" i="2"/>
  <c r="K41" i="2"/>
  <c r="L41" i="2" l="1"/>
  <c r="I41" i="2"/>
  <c r="M41" i="2"/>
  <c r="J41" i="2"/>
  <c r="K42" i="2"/>
  <c r="L42" i="2" l="1"/>
  <c r="M42" i="2"/>
  <c r="I42" i="2"/>
  <c r="J42" i="2"/>
  <c r="K43" i="2"/>
  <c r="L43" i="2" l="1"/>
  <c r="I43" i="2"/>
  <c r="M43" i="2"/>
  <c r="J43" i="2"/>
  <c r="K44" i="2"/>
  <c r="L44" i="2" l="1"/>
  <c r="I44" i="2"/>
  <c r="M44" i="2"/>
  <c r="J44" i="2"/>
  <c r="K45" i="2"/>
  <c r="L45" i="2" l="1"/>
  <c r="I45" i="2"/>
  <c r="M45" i="2"/>
  <c r="J45" i="2"/>
  <c r="K46" i="2"/>
  <c r="I46" i="2" l="1"/>
  <c r="L46" i="2"/>
  <c r="M46" i="2"/>
  <c r="J46" i="2"/>
  <c r="K47" i="2"/>
  <c r="I47" i="2" l="1"/>
  <c r="L47" i="2"/>
  <c r="M47" i="2"/>
  <c r="J47" i="2"/>
  <c r="K48" i="2"/>
  <c r="M48" i="2" l="1"/>
  <c r="I48" i="2"/>
  <c r="L48" i="2"/>
  <c r="J48" i="2"/>
  <c r="K49" i="2"/>
  <c r="M49" i="2" l="1"/>
  <c r="L49" i="2"/>
  <c r="I49" i="2"/>
  <c r="J49" i="2"/>
  <c r="K50" i="2"/>
  <c r="L50" i="2" l="1"/>
  <c r="M50" i="2"/>
  <c r="I50" i="2"/>
  <c r="J50" i="2"/>
  <c r="K51" i="2"/>
  <c r="L51" i="2" l="1"/>
  <c r="M51" i="2"/>
  <c r="I51" i="2"/>
  <c r="J51" i="2"/>
  <c r="K52" i="2"/>
  <c r="L52" i="2" l="1"/>
  <c r="I52" i="2"/>
  <c r="M52" i="2"/>
  <c r="J52" i="2"/>
  <c r="K53" i="2"/>
  <c r="L53" i="2" l="1"/>
  <c r="I53" i="2"/>
  <c r="M53" i="2"/>
  <c r="J53" i="2"/>
  <c r="K54" i="2"/>
  <c r="L54" i="2" l="1"/>
  <c r="I54" i="2"/>
  <c r="M54" i="2"/>
  <c r="J54" i="2"/>
  <c r="K55" i="2"/>
  <c r="I55" i="2" l="1"/>
  <c r="L55" i="2"/>
  <c r="J55" i="2"/>
  <c r="M55" i="2"/>
  <c r="K56" i="2"/>
  <c r="L56" i="2" l="1"/>
  <c r="J56" i="2"/>
  <c r="I56" i="2"/>
  <c r="M56" i="2"/>
  <c r="K57" i="2"/>
  <c r="L57" i="2" l="1"/>
  <c r="M57" i="2"/>
  <c r="I57" i="2"/>
  <c r="J57" i="2"/>
  <c r="K58" i="2"/>
  <c r="R36" i="2" l="1"/>
  <c r="M58" i="2"/>
  <c r="I58" i="2"/>
  <c r="J58" i="2"/>
  <c r="L58" i="2"/>
  <c r="R37" i="2"/>
  <c r="S37" i="2" l="1"/>
  <c r="P37" i="2"/>
  <c r="T37" i="2"/>
  <c r="Q37" i="2"/>
  <c r="S36" i="2"/>
  <c r="P36" i="2"/>
  <c r="T36" i="2"/>
  <c r="Q36" i="2"/>
  <c r="R38" i="2"/>
  <c r="S38" i="2" l="1"/>
  <c r="P38" i="2"/>
  <c r="T38" i="2"/>
  <c r="Q38" i="2"/>
  <c r="R39" i="2"/>
  <c r="S39" i="2" l="1"/>
  <c r="P39" i="2"/>
  <c r="T39" i="2"/>
  <c r="Q39" i="2"/>
  <c r="R40" i="2"/>
  <c r="T40" i="2" l="1"/>
  <c r="P40" i="2"/>
  <c r="S40" i="2"/>
  <c r="Q40" i="2"/>
  <c r="R41" i="2"/>
  <c r="T41" i="2" l="1"/>
  <c r="P41" i="2"/>
  <c r="Q41" i="2"/>
  <c r="S41" i="2"/>
  <c r="R42" i="2"/>
  <c r="S42" i="2" l="1"/>
  <c r="P42" i="2"/>
  <c r="T42" i="2"/>
  <c r="Q42" i="2"/>
  <c r="R43" i="2"/>
  <c r="S43" i="2" l="1"/>
  <c r="T43" i="2"/>
  <c r="P43" i="2"/>
  <c r="Q43" i="2"/>
  <c r="R44" i="2"/>
  <c r="S44" i="2" l="1"/>
  <c r="T44" i="2"/>
  <c r="P44" i="2"/>
  <c r="Q44" i="2"/>
  <c r="R45" i="2"/>
  <c r="T45" i="2" l="1"/>
  <c r="S45" i="2"/>
  <c r="P45" i="2"/>
  <c r="Q45" i="2"/>
  <c r="R46" i="2"/>
  <c r="T46" i="2" l="1"/>
  <c r="S46" i="2"/>
  <c r="P46" i="2"/>
  <c r="Q46" i="2"/>
  <c r="R47" i="2"/>
  <c r="S47" i="2" l="1"/>
  <c r="P47" i="2"/>
  <c r="Q47" i="2"/>
  <c r="T47" i="2"/>
  <c r="R48" i="2"/>
  <c r="S48" i="2" l="1"/>
  <c r="T48" i="2"/>
  <c r="P48" i="2"/>
  <c r="Q48" i="2"/>
  <c r="R49" i="2"/>
  <c r="S49" i="2" l="1"/>
  <c r="P49" i="2"/>
  <c r="T49" i="2"/>
  <c r="Q49" i="2"/>
  <c r="R50" i="2"/>
  <c r="S50" i="2" l="1"/>
  <c r="P50" i="2"/>
  <c r="T50" i="2"/>
  <c r="Q50" i="2"/>
  <c r="R51" i="2"/>
  <c r="S51" i="2" l="1"/>
  <c r="P51" i="2"/>
  <c r="T51" i="2"/>
  <c r="Q51" i="2"/>
  <c r="R52" i="2"/>
  <c r="S52" i="2" l="1"/>
  <c r="T52" i="2"/>
  <c r="Q52" i="2"/>
  <c r="P52" i="2"/>
  <c r="R53" i="2"/>
  <c r="S53" i="2" l="1"/>
  <c r="P53" i="2"/>
  <c r="T53" i="2"/>
  <c r="Q53" i="2"/>
  <c r="R54" i="2"/>
  <c r="S54" i="2" l="1"/>
  <c r="P54" i="2"/>
  <c r="T54" i="2"/>
  <c r="Q54" i="2"/>
  <c r="R55" i="2"/>
  <c r="S55" i="2" l="1"/>
  <c r="T55" i="2"/>
  <c r="Q55" i="2"/>
  <c r="P55" i="2"/>
  <c r="R56" i="2"/>
  <c r="S56" i="2" l="1"/>
  <c r="P56" i="2"/>
  <c r="T56" i="2"/>
  <c r="Q56" i="2"/>
  <c r="R57" i="2"/>
  <c r="S57" i="2" l="1"/>
  <c r="P57" i="2"/>
  <c r="T57" i="2"/>
  <c r="Q57" i="2"/>
  <c r="R58" i="2"/>
  <c r="D67" i="2" l="1"/>
  <c r="S58" i="2"/>
  <c r="P58" i="2"/>
  <c r="T58" i="2"/>
  <c r="Q58" i="2"/>
  <c r="D68" i="2"/>
  <c r="F68" i="2" l="1"/>
  <c r="B68" i="2"/>
  <c r="E68" i="2"/>
  <c r="C68" i="2"/>
  <c r="F67" i="2"/>
  <c r="B67" i="2"/>
  <c r="E67" i="2"/>
  <c r="C67" i="2"/>
  <c r="D69" i="2"/>
  <c r="E69" i="2" l="1"/>
  <c r="B69" i="2"/>
  <c r="C69" i="2"/>
  <c r="F69" i="2"/>
  <c r="D70" i="2"/>
  <c r="E70" i="2" l="1"/>
  <c r="B70" i="2"/>
  <c r="C70" i="2"/>
  <c r="F70" i="2"/>
  <c r="D71" i="2"/>
  <c r="E71" i="2" l="1"/>
  <c r="B71" i="2"/>
  <c r="C71" i="2"/>
  <c r="F71" i="2"/>
  <c r="D72" i="2"/>
  <c r="C72" i="2" l="1"/>
  <c r="B72" i="2"/>
  <c r="F72" i="2"/>
  <c r="E72" i="2"/>
  <c r="D73" i="2"/>
  <c r="C73" i="2" l="1"/>
  <c r="E73" i="2"/>
  <c r="B73" i="2"/>
  <c r="F73" i="2"/>
  <c r="D74" i="2"/>
  <c r="E74" i="2" l="1"/>
  <c r="B74" i="2"/>
  <c r="F74" i="2"/>
  <c r="C74" i="2"/>
  <c r="D75" i="2"/>
  <c r="E75" i="2" l="1"/>
  <c r="B75" i="2"/>
  <c r="C75" i="2"/>
  <c r="F75" i="2"/>
  <c r="D76" i="2"/>
  <c r="E76" i="2" l="1"/>
  <c r="B76" i="2"/>
  <c r="F76" i="2"/>
  <c r="C76" i="2"/>
  <c r="D77" i="2"/>
  <c r="E77" i="2" l="1"/>
  <c r="B77" i="2"/>
  <c r="F77" i="2"/>
  <c r="C77" i="2"/>
  <c r="D78" i="2"/>
  <c r="E78" i="2" l="1"/>
  <c r="B78" i="2"/>
  <c r="F78" i="2"/>
  <c r="C78" i="2"/>
  <c r="D79" i="2"/>
  <c r="E79" i="2" l="1"/>
  <c r="B79" i="2"/>
  <c r="F79" i="2"/>
  <c r="C79" i="2"/>
  <c r="D80" i="2"/>
  <c r="E80" i="2" l="1"/>
  <c r="B80" i="2"/>
  <c r="F80" i="2"/>
  <c r="C80" i="2"/>
  <c r="D81" i="2"/>
  <c r="E81" i="2" l="1"/>
  <c r="B81" i="2"/>
  <c r="F81" i="2"/>
  <c r="C81" i="2"/>
  <c r="D82" i="2"/>
  <c r="E82" i="2" l="1"/>
  <c r="F82" i="2"/>
  <c r="B82" i="2"/>
  <c r="C82" i="2"/>
  <c r="D83" i="2"/>
  <c r="E83" i="2" l="1"/>
  <c r="F83" i="2"/>
  <c r="B83" i="2"/>
  <c r="C83" i="2"/>
  <c r="D84" i="2"/>
  <c r="E84" i="2" l="1"/>
  <c r="F84" i="2"/>
  <c r="B84" i="2"/>
  <c r="C84" i="2"/>
  <c r="D85" i="2"/>
  <c r="E85" i="2" l="1"/>
  <c r="B85" i="2"/>
  <c r="C85" i="2"/>
  <c r="F85" i="2"/>
  <c r="D86" i="2"/>
  <c r="E86" i="2" l="1"/>
  <c r="F86" i="2"/>
  <c r="C86" i="2"/>
  <c r="B86" i="2"/>
  <c r="D87" i="2"/>
  <c r="E87" i="2" l="1"/>
  <c r="F87" i="2"/>
  <c r="B87" i="2"/>
  <c r="C87" i="2"/>
  <c r="D88" i="2"/>
  <c r="E88" i="2" l="1"/>
  <c r="F88" i="2"/>
  <c r="C88" i="2"/>
  <c r="B88" i="2"/>
  <c r="D89" i="2"/>
  <c r="K67" i="2" l="1"/>
  <c r="E89" i="2"/>
  <c r="F89" i="2"/>
  <c r="C89" i="2"/>
  <c r="B89" i="2"/>
  <c r="K68" i="2"/>
  <c r="L68" i="2" l="1"/>
  <c r="M68" i="2"/>
  <c r="I68" i="2"/>
  <c r="J68" i="2"/>
  <c r="L67" i="2"/>
  <c r="I67" i="2"/>
  <c r="J67" i="2"/>
  <c r="M67" i="2"/>
  <c r="K69" i="2"/>
  <c r="L69" i="2" l="1"/>
  <c r="M69" i="2"/>
  <c r="I69" i="2"/>
  <c r="J69" i="2"/>
  <c r="K70" i="2"/>
  <c r="L70" i="2" l="1"/>
  <c r="I70" i="2"/>
  <c r="M70" i="2"/>
  <c r="J70" i="2"/>
  <c r="K71" i="2"/>
  <c r="L71" i="2" l="1"/>
  <c r="I71" i="2"/>
  <c r="J71" i="2"/>
  <c r="M71" i="2"/>
  <c r="K72" i="2"/>
  <c r="I72" i="2" l="1"/>
  <c r="L72" i="2"/>
  <c r="M72" i="2"/>
  <c r="J72" i="2"/>
  <c r="K73" i="2"/>
  <c r="L73" i="2" l="1"/>
  <c r="I73" i="2"/>
  <c r="M73" i="2"/>
  <c r="J73" i="2"/>
  <c r="K74" i="2"/>
  <c r="M74" i="2" l="1"/>
  <c r="I74" i="2"/>
  <c r="L74" i="2"/>
  <c r="J74" i="2"/>
  <c r="K75" i="2"/>
  <c r="M75" i="2" l="1"/>
  <c r="I75" i="2"/>
  <c r="L75" i="2"/>
  <c r="J75" i="2"/>
  <c r="K76" i="2"/>
  <c r="L76" i="2" l="1"/>
  <c r="I76" i="2"/>
  <c r="M76" i="2"/>
  <c r="J76" i="2"/>
  <c r="K77" i="2"/>
  <c r="L77" i="2" l="1"/>
  <c r="I77" i="2"/>
  <c r="M77" i="2"/>
  <c r="J77" i="2"/>
  <c r="K78" i="2"/>
  <c r="L78" i="2" l="1"/>
  <c r="M78" i="2"/>
  <c r="I78" i="2"/>
  <c r="J78" i="2"/>
  <c r="K79" i="2"/>
  <c r="L79" i="2" l="1"/>
  <c r="M79" i="2"/>
  <c r="I79" i="2"/>
  <c r="J79" i="2"/>
  <c r="K80" i="2"/>
  <c r="L80" i="2" l="1"/>
  <c r="I80" i="2"/>
  <c r="M80" i="2"/>
  <c r="J80" i="2"/>
  <c r="K81" i="2"/>
  <c r="L81" i="2" l="1"/>
  <c r="I81" i="2"/>
  <c r="J81" i="2"/>
  <c r="M81" i="2"/>
  <c r="K82" i="2"/>
  <c r="I82" i="2" l="1"/>
  <c r="J82" i="2"/>
  <c r="M82" i="2"/>
  <c r="L82" i="2"/>
  <c r="K83" i="2"/>
  <c r="L83" i="2" l="1"/>
  <c r="M83" i="2"/>
  <c r="J83" i="2"/>
  <c r="I83" i="2"/>
  <c r="K84" i="2"/>
  <c r="L84" i="2" l="1"/>
  <c r="M84" i="2"/>
  <c r="I84" i="2"/>
  <c r="J84" i="2"/>
  <c r="K85" i="2"/>
  <c r="L85" i="2" l="1"/>
  <c r="M85" i="2"/>
  <c r="J85" i="2"/>
  <c r="I85" i="2"/>
  <c r="K86" i="2"/>
  <c r="L86" i="2" l="1"/>
  <c r="M86" i="2"/>
  <c r="J86" i="2"/>
  <c r="I86" i="2"/>
  <c r="K87" i="2"/>
  <c r="L87" i="2" l="1"/>
  <c r="M87" i="2"/>
  <c r="J87" i="2"/>
  <c r="I87" i="2"/>
  <c r="K88" i="2"/>
  <c r="I88" i="2" l="1"/>
  <c r="L88" i="2"/>
  <c r="M88" i="2"/>
  <c r="J88" i="2"/>
  <c r="K89" i="2"/>
  <c r="R67" i="2" l="1"/>
  <c r="I89" i="2"/>
  <c r="M89" i="2"/>
  <c r="L89" i="2"/>
  <c r="J89" i="2"/>
  <c r="R68" i="2"/>
  <c r="P68" i="2" l="1"/>
  <c r="T68" i="2"/>
  <c r="S68" i="2"/>
  <c r="Q68" i="2"/>
  <c r="S67" i="2"/>
  <c r="T67" i="2"/>
  <c r="P67" i="2"/>
  <c r="Q67" i="2"/>
  <c r="R69" i="2"/>
  <c r="P69" i="2" l="1"/>
  <c r="T69" i="2"/>
  <c r="S69" i="2"/>
  <c r="Q69" i="2"/>
  <c r="R70" i="2"/>
  <c r="S70" i="2" l="1"/>
  <c r="P70" i="2"/>
  <c r="Q70" i="2"/>
  <c r="T70" i="2"/>
  <c r="R71" i="2"/>
  <c r="S71" i="2" l="1"/>
  <c r="P71" i="2"/>
  <c r="Q71" i="2"/>
  <c r="T71" i="2"/>
  <c r="R72" i="2"/>
  <c r="P72" i="2" l="1"/>
  <c r="T72" i="2"/>
  <c r="S72" i="2"/>
  <c r="Q72" i="2"/>
  <c r="R73" i="2"/>
  <c r="S73" i="2" l="1"/>
  <c r="T73" i="2"/>
  <c r="P73" i="2"/>
  <c r="Q73" i="2"/>
  <c r="R74" i="2"/>
  <c r="S74" i="2" l="1"/>
  <c r="P74" i="2"/>
  <c r="Q74" i="2"/>
  <c r="T74" i="2"/>
  <c r="R75" i="2"/>
  <c r="S75" i="2" l="1"/>
  <c r="P75" i="2"/>
  <c r="Q75" i="2"/>
  <c r="T75" i="2"/>
  <c r="R76" i="2"/>
  <c r="S76" i="2" l="1"/>
  <c r="T76" i="2"/>
  <c r="P76" i="2"/>
  <c r="Q76" i="2"/>
  <c r="R77" i="2"/>
  <c r="S77" i="2" l="1"/>
  <c r="T77" i="2"/>
  <c r="P77" i="2"/>
  <c r="Q77" i="2"/>
  <c r="R78" i="2"/>
  <c r="S78" i="2" l="1"/>
  <c r="T78" i="2"/>
  <c r="P78" i="2"/>
  <c r="Q78" i="2"/>
  <c r="R79" i="2"/>
  <c r="S79" i="2" l="1"/>
  <c r="P79" i="2"/>
  <c r="T79" i="2"/>
  <c r="Q79" i="2"/>
  <c r="R80" i="2"/>
  <c r="S80" i="2" l="1"/>
  <c r="T80" i="2"/>
  <c r="P80" i="2"/>
  <c r="Q80" i="2"/>
  <c r="R81" i="2"/>
  <c r="P81" i="2" l="1"/>
  <c r="S81" i="2"/>
  <c r="T81" i="2"/>
  <c r="Q81" i="2"/>
  <c r="R82" i="2"/>
  <c r="P82" i="2" l="1"/>
  <c r="T82" i="2"/>
  <c r="S82" i="2"/>
  <c r="Q82" i="2"/>
  <c r="R83" i="2"/>
  <c r="S83" i="2" l="1"/>
  <c r="P83" i="2"/>
  <c r="Q83" i="2"/>
  <c r="T83" i="2"/>
  <c r="R84" i="2"/>
  <c r="S84" i="2" l="1"/>
  <c r="Q84" i="2"/>
  <c r="P84" i="2"/>
  <c r="T84" i="2"/>
  <c r="R85" i="2"/>
  <c r="S85" i="2" l="1"/>
  <c r="P85" i="2"/>
  <c r="Q85" i="2"/>
  <c r="T85" i="2"/>
  <c r="R86" i="2"/>
  <c r="P86" i="2" l="1"/>
  <c r="S86" i="2"/>
  <c r="Q86" i="2"/>
  <c r="T86" i="2"/>
  <c r="R87" i="2"/>
  <c r="T87" i="2" l="1"/>
  <c r="P87" i="2"/>
  <c r="Q87" i="2"/>
  <c r="S87" i="2"/>
  <c r="R88" i="2"/>
  <c r="S88" i="2" l="1"/>
  <c r="T88" i="2"/>
  <c r="P88" i="2"/>
  <c r="Q88" i="2"/>
  <c r="R89" i="2"/>
  <c r="D98" i="2" l="1"/>
  <c r="S89" i="2"/>
  <c r="P89" i="2"/>
  <c r="T89" i="2"/>
  <c r="Q89" i="2"/>
  <c r="D99" i="2"/>
  <c r="E99" i="2" l="1"/>
  <c r="F99" i="2"/>
  <c r="C99" i="2"/>
  <c r="B99" i="2"/>
  <c r="E98" i="2"/>
  <c r="F98" i="2"/>
  <c r="B98" i="2"/>
  <c r="C98" i="2"/>
  <c r="D100" i="2"/>
  <c r="C100" i="2" l="1"/>
  <c r="B100" i="2"/>
  <c r="E100" i="2"/>
  <c r="F100" i="2"/>
  <c r="D101" i="2"/>
  <c r="E101" i="2" l="1"/>
  <c r="B101" i="2"/>
  <c r="C101" i="2"/>
  <c r="F101" i="2"/>
  <c r="D102" i="2"/>
  <c r="E102" i="2" l="1"/>
  <c r="B102" i="2"/>
  <c r="F102" i="2"/>
  <c r="C102" i="2"/>
  <c r="D103" i="2"/>
  <c r="E103" i="2" l="1"/>
  <c r="B103" i="2"/>
  <c r="F103" i="2"/>
  <c r="C103" i="2"/>
  <c r="D104" i="2"/>
  <c r="E104" i="2" l="1"/>
  <c r="B104" i="2"/>
  <c r="F104" i="2"/>
  <c r="C104" i="2"/>
  <c r="D105" i="2"/>
  <c r="E105" i="2" l="1"/>
  <c r="B105" i="2"/>
  <c r="F105" i="2"/>
  <c r="C105" i="2"/>
  <c r="D106" i="2"/>
  <c r="E106" i="2" l="1"/>
  <c r="F106" i="2"/>
  <c r="B106" i="2"/>
  <c r="C106" i="2"/>
  <c r="D107" i="2"/>
  <c r="E107" i="2" l="1"/>
  <c r="B107" i="2"/>
  <c r="F107" i="2"/>
  <c r="C107" i="2"/>
  <c r="D108" i="2"/>
  <c r="B108" i="2" l="1"/>
  <c r="E108" i="2"/>
  <c r="F108" i="2"/>
  <c r="C108" i="2"/>
  <c r="D109" i="2"/>
  <c r="E109" i="2" l="1"/>
  <c r="F109" i="2"/>
  <c r="B109" i="2"/>
  <c r="C109" i="2"/>
  <c r="D110" i="2"/>
  <c r="E110" i="2" l="1"/>
  <c r="B110" i="2"/>
  <c r="F110" i="2"/>
  <c r="C110" i="2"/>
  <c r="D111" i="2"/>
  <c r="B111" i="2" l="1"/>
  <c r="E111" i="2"/>
  <c r="F111" i="2"/>
  <c r="C111" i="2"/>
  <c r="D112" i="2"/>
  <c r="B112" i="2" l="1"/>
  <c r="E112" i="2"/>
  <c r="F112" i="2"/>
  <c r="C112" i="2"/>
  <c r="D113" i="2"/>
  <c r="E113" i="2" l="1"/>
  <c r="F113" i="2"/>
  <c r="B113" i="2"/>
  <c r="C113" i="2"/>
  <c r="D114" i="2"/>
  <c r="E114" i="2" l="1"/>
  <c r="F114" i="2"/>
  <c r="C114" i="2"/>
  <c r="B114" i="2"/>
  <c r="D115" i="2"/>
  <c r="E115" i="2" l="1"/>
  <c r="B115" i="2"/>
  <c r="F115" i="2"/>
  <c r="C115" i="2"/>
  <c r="D116" i="2"/>
  <c r="E116" i="2" l="1"/>
  <c r="B116" i="2"/>
  <c r="C116" i="2"/>
  <c r="F116" i="2"/>
  <c r="D117" i="2"/>
  <c r="B117" i="2" l="1"/>
  <c r="E117" i="2"/>
  <c r="C117" i="2"/>
  <c r="F117" i="2"/>
  <c r="D118" i="2"/>
  <c r="E118" i="2" l="1"/>
  <c r="F118" i="2"/>
  <c r="B118" i="2"/>
  <c r="C118" i="2"/>
  <c r="D119" i="2"/>
  <c r="E119" i="2" l="1"/>
  <c r="B119" i="2"/>
  <c r="F119" i="2"/>
  <c r="C119" i="2"/>
  <c r="D120" i="2"/>
  <c r="K98" i="2" l="1"/>
  <c r="K99" i="2" s="1"/>
  <c r="E120" i="2"/>
  <c r="B120" i="2"/>
  <c r="C120" i="2"/>
  <c r="F120" i="2"/>
  <c r="I99" i="2" l="1"/>
  <c r="M99" i="2"/>
  <c r="L99" i="2"/>
  <c r="J99" i="2"/>
  <c r="I98" i="2"/>
  <c r="L98" i="2"/>
  <c r="M98" i="2"/>
  <c r="J98" i="2"/>
  <c r="K100" i="2"/>
  <c r="M100" i="2" l="1"/>
  <c r="I100" i="2"/>
  <c r="L100" i="2"/>
  <c r="J100" i="2"/>
  <c r="K101" i="2"/>
  <c r="L101" i="2" l="1"/>
  <c r="M101" i="2"/>
  <c r="I101" i="2"/>
  <c r="J101" i="2"/>
  <c r="K102" i="2"/>
  <c r="L102" i="2" l="1"/>
  <c r="I102" i="2"/>
  <c r="M102" i="2"/>
  <c r="J102" i="2"/>
  <c r="K103" i="2"/>
  <c r="L103" i="2" l="1"/>
  <c r="I103" i="2"/>
  <c r="M103" i="2"/>
  <c r="J103" i="2"/>
  <c r="K104" i="2"/>
  <c r="I104" i="2" l="1"/>
  <c r="L104" i="2"/>
  <c r="M104" i="2"/>
  <c r="J104" i="2"/>
  <c r="K105" i="2"/>
  <c r="L105" i="2" l="1"/>
  <c r="I105" i="2"/>
  <c r="M105" i="2"/>
  <c r="J105" i="2"/>
  <c r="K106" i="2"/>
  <c r="L106" i="2" l="1"/>
  <c r="M106" i="2"/>
  <c r="I106" i="2"/>
  <c r="J106" i="2"/>
  <c r="K107" i="2"/>
  <c r="L107" i="2" l="1"/>
  <c r="I107" i="2"/>
  <c r="J107" i="2"/>
  <c r="M107" i="2"/>
  <c r="K108" i="2"/>
  <c r="L108" i="2" l="1"/>
  <c r="J108" i="2"/>
  <c r="M108" i="2"/>
  <c r="I108" i="2"/>
  <c r="K109" i="2"/>
  <c r="M109" i="2" l="1"/>
  <c r="L109" i="2"/>
  <c r="I109" i="2"/>
  <c r="J109" i="2"/>
  <c r="K110" i="2"/>
  <c r="M110" i="2" l="1"/>
  <c r="L110" i="2"/>
  <c r="I110" i="2"/>
  <c r="J110" i="2"/>
  <c r="K111" i="2"/>
  <c r="L111" i="2" l="1"/>
  <c r="I111" i="2"/>
  <c r="M111" i="2"/>
  <c r="J111" i="2"/>
  <c r="K112" i="2"/>
  <c r="L112" i="2" l="1"/>
  <c r="I112" i="2"/>
  <c r="M112" i="2"/>
  <c r="J112" i="2"/>
  <c r="K113" i="2"/>
  <c r="L113" i="2" l="1"/>
  <c r="I113" i="2"/>
  <c r="M113" i="2"/>
  <c r="J113" i="2"/>
  <c r="K114" i="2"/>
  <c r="L114" i="2" l="1"/>
  <c r="I114" i="2"/>
  <c r="M114" i="2"/>
  <c r="J114" i="2"/>
  <c r="K115" i="2"/>
  <c r="I115" i="2" l="1"/>
  <c r="L115" i="2"/>
  <c r="M115" i="2"/>
  <c r="J115" i="2"/>
  <c r="K116" i="2"/>
  <c r="I116" i="2" l="1"/>
  <c r="L116" i="2"/>
  <c r="M116" i="2"/>
  <c r="J116" i="2"/>
  <c r="K117" i="2"/>
  <c r="L117" i="2" l="1"/>
  <c r="M117" i="2"/>
  <c r="I117" i="2"/>
  <c r="J117" i="2"/>
  <c r="K118" i="2"/>
  <c r="L118" i="2" l="1"/>
  <c r="I118" i="2"/>
  <c r="M118" i="2"/>
  <c r="J118" i="2"/>
  <c r="K119" i="2"/>
  <c r="L119" i="2" l="1"/>
  <c r="M119" i="2"/>
  <c r="J119" i="2"/>
  <c r="I119" i="2"/>
  <c r="K120" i="2"/>
  <c r="R98" i="2" l="1"/>
  <c r="L120" i="2"/>
  <c r="M120" i="2"/>
  <c r="I120" i="2"/>
  <c r="J120" i="2"/>
  <c r="R99" i="2"/>
  <c r="S99" i="2" l="1"/>
  <c r="P99" i="2"/>
  <c r="Q99" i="2"/>
  <c r="T99" i="2"/>
  <c r="S98" i="2"/>
  <c r="P98" i="2"/>
  <c r="Q98" i="2"/>
  <c r="T98" i="2"/>
  <c r="R100" i="2"/>
  <c r="S100" i="2" l="1"/>
  <c r="P100" i="2"/>
  <c r="T100" i="2"/>
  <c r="Q100" i="2"/>
  <c r="R101" i="2"/>
  <c r="S101" i="2" l="1"/>
  <c r="P101" i="2"/>
  <c r="Q101" i="2"/>
  <c r="T101" i="2"/>
  <c r="R102" i="2"/>
  <c r="S102" i="2" l="1"/>
  <c r="P102" i="2"/>
  <c r="T102" i="2"/>
  <c r="Q102" i="2"/>
  <c r="R103" i="2"/>
  <c r="P103" i="2" l="1"/>
  <c r="Q103" i="2"/>
  <c r="S103" i="2"/>
  <c r="T103" i="2"/>
  <c r="R104" i="2"/>
  <c r="S104" i="2" l="1"/>
  <c r="P104" i="2"/>
  <c r="T104" i="2"/>
  <c r="Q104" i="2"/>
  <c r="R105" i="2"/>
  <c r="S105" i="2" l="1"/>
  <c r="P105" i="2"/>
  <c r="T105" i="2"/>
  <c r="Q105" i="2"/>
  <c r="R106" i="2"/>
  <c r="S106" i="2" l="1"/>
  <c r="P106" i="2"/>
  <c r="T106" i="2"/>
  <c r="Q106" i="2"/>
  <c r="R107" i="2"/>
  <c r="T107" i="2" l="1"/>
  <c r="Q107" i="2"/>
  <c r="S107" i="2"/>
  <c r="P107" i="2"/>
  <c r="R108" i="2"/>
  <c r="T108" i="2" l="1"/>
  <c r="S108" i="2"/>
  <c r="Q108" i="2"/>
  <c r="P108" i="2"/>
  <c r="R109" i="2"/>
  <c r="T109" i="2" l="1"/>
  <c r="S109" i="2"/>
  <c r="Q109" i="2"/>
  <c r="P109" i="2"/>
  <c r="R110" i="2"/>
  <c r="S110" i="2" l="1"/>
  <c r="T110" i="2"/>
  <c r="P110" i="2"/>
  <c r="Q110" i="2"/>
  <c r="R111" i="2"/>
  <c r="S111" i="2" l="1"/>
  <c r="P111" i="2"/>
  <c r="Q111" i="2"/>
  <c r="T111" i="2"/>
  <c r="R112" i="2"/>
  <c r="S112" i="2" l="1"/>
  <c r="P112" i="2"/>
  <c r="T112" i="2"/>
  <c r="Q112" i="2"/>
  <c r="R113" i="2"/>
  <c r="P113" i="2" l="1"/>
  <c r="S113" i="2"/>
  <c r="Q113" i="2"/>
  <c r="T113" i="2"/>
  <c r="R114" i="2"/>
  <c r="P114" i="2" l="1"/>
  <c r="S114" i="2"/>
  <c r="Q114" i="2"/>
  <c r="T114" i="2"/>
  <c r="R115" i="2"/>
  <c r="S115" i="2" l="1"/>
  <c r="P115" i="2"/>
  <c r="Q115" i="2"/>
  <c r="T115" i="2"/>
  <c r="R116" i="2"/>
  <c r="S116" i="2" l="1"/>
  <c r="P116" i="2"/>
  <c r="T116" i="2"/>
  <c r="Q116" i="2"/>
  <c r="R117" i="2"/>
  <c r="S117" i="2" l="1"/>
  <c r="P117" i="2"/>
  <c r="T117" i="2"/>
  <c r="Q117" i="2"/>
  <c r="R118" i="2"/>
  <c r="S118" i="2" l="1"/>
  <c r="P118" i="2"/>
  <c r="T118" i="2"/>
  <c r="Q118" i="2"/>
  <c r="R119" i="2"/>
  <c r="S119" i="2" l="1"/>
  <c r="P119" i="2"/>
  <c r="T119" i="2"/>
  <c r="Q119" i="2"/>
  <c r="R120" i="2"/>
  <c r="D129" i="2" l="1"/>
  <c r="S120" i="2"/>
  <c r="P120" i="2"/>
  <c r="Q120" i="2"/>
  <c r="T120" i="2"/>
  <c r="D130" i="2"/>
  <c r="E130" i="2" l="1"/>
  <c r="F130" i="2"/>
  <c r="B130" i="2"/>
  <c r="C130" i="2"/>
  <c r="E129" i="2"/>
  <c r="B129" i="2"/>
  <c r="F129" i="2"/>
  <c r="C129" i="2"/>
  <c r="D131" i="2"/>
  <c r="E131" i="2" l="1"/>
  <c r="B131" i="2"/>
  <c r="F131" i="2"/>
  <c r="C131" i="2"/>
  <c r="D132" i="2"/>
  <c r="E132" i="2" l="1"/>
  <c r="B132" i="2"/>
  <c r="F132" i="2"/>
  <c r="C132" i="2"/>
  <c r="D133" i="2"/>
  <c r="F133" i="2" l="1"/>
  <c r="E133" i="2"/>
  <c r="B133" i="2"/>
  <c r="C133" i="2"/>
  <c r="D134" i="2"/>
  <c r="E134" i="2" l="1"/>
  <c r="B134" i="2"/>
  <c r="F134" i="2"/>
  <c r="C134" i="2"/>
  <c r="D135" i="2"/>
  <c r="E135" i="2" l="1"/>
  <c r="B135" i="2"/>
  <c r="F135" i="2"/>
  <c r="C135" i="2"/>
  <c r="D136" i="2"/>
  <c r="E136" i="2" l="1"/>
  <c r="B136" i="2"/>
  <c r="C136" i="2"/>
  <c r="F136" i="2"/>
  <c r="D137" i="2"/>
  <c r="E137" i="2" l="1"/>
  <c r="B137" i="2"/>
  <c r="F137" i="2"/>
  <c r="C137" i="2"/>
  <c r="D138" i="2"/>
  <c r="E138" i="2" l="1"/>
  <c r="B138" i="2"/>
  <c r="F138" i="2"/>
  <c r="C138" i="2"/>
  <c r="D139" i="2"/>
  <c r="E139" i="2" l="1"/>
  <c r="B139" i="2"/>
  <c r="F139" i="2"/>
  <c r="C139" i="2"/>
  <c r="D140" i="2"/>
  <c r="E140" i="2" l="1"/>
  <c r="F140" i="2"/>
  <c r="B140" i="2"/>
  <c r="C140" i="2"/>
  <c r="D141" i="2"/>
  <c r="E141" i="2" l="1"/>
  <c r="C141" i="2"/>
  <c r="F141" i="2"/>
  <c r="B141" i="2"/>
  <c r="D142" i="2"/>
  <c r="E142" i="2" l="1"/>
  <c r="F142" i="2"/>
  <c r="B142" i="2"/>
  <c r="C142" i="2"/>
  <c r="D143" i="2"/>
  <c r="E143" i="2" l="1"/>
  <c r="B143" i="2"/>
  <c r="F143" i="2"/>
  <c r="C143" i="2"/>
  <c r="D144" i="2"/>
  <c r="E144" i="2" l="1"/>
  <c r="B144" i="2"/>
  <c r="C144" i="2"/>
  <c r="F144" i="2"/>
  <c r="D145" i="2"/>
  <c r="E145" i="2" l="1"/>
  <c r="B145" i="2"/>
  <c r="F145" i="2"/>
  <c r="C145" i="2"/>
  <c r="D146" i="2"/>
  <c r="E146" i="2" l="1"/>
  <c r="B146" i="2"/>
  <c r="C146" i="2"/>
  <c r="F146" i="2"/>
  <c r="D147" i="2"/>
  <c r="E147" i="2" l="1"/>
  <c r="B147" i="2"/>
  <c r="C147" i="2"/>
  <c r="F147" i="2"/>
  <c r="D148" i="2"/>
  <c r="E148" i="2" l="1"/>
  <c r="B148" i="2"/>
  <c r="F148" i="2"/>
  <c r="C148" i="2"/>
  <c r="D149" i="2"/>
  <c r="F149" i="2" l="1"/>
  <c r="B149" i="2"/>
  <c r="E149" i="2"/>
  <c r="C149" i="2"/>
  <c r="D150" i="2"/>
  <c r="B150" i="2" l="1"/>
  <c r="E150" i="2"/>
  <c r="F150" i="2"/>
  <c r="C150" i="2"/>
  <c r="D151" i="2"/>
  <c r="K129" i="2" l="1"/>
  <c r="E151" i="2"/>
  <c r="F151" i="2"/>
  <c r="C151" i="2"/>
  <c r="B151" i="2"/>
  <c r="K130" i="2"/>
  <c r="L130" i="2" l="1"/>
  <c r="I130" i="2"/>
  <c r="M130" i="2"/>
  <c r="J130" i="2"/>
  <c r="M129" i="2"/>
  <c r="L129" i="2"/>
  <c r="I129" i="2"/>
  <c r="J129" i="2"/>
  <c r="K131" i="2"/>
  <c r="L131" i="2" l="1"/>
  <c r="M131" i="2"/>
  <c r="I131" i="2"/>
  <c r="J131" i="2"/>
  <c r="K132" i="2"/>
  <c r="L132" i="2" l="1"/>
  <c r="M132" i="2"/>
  <c r="I132" i="2"/>
  <c r="J132" i="2"/>
  <c r="K133" i="2"/>
  <c r="L133" i="2" l="1"/>
  <c r="I133" i="2"/>
  <c r="M133" i="2"/>
  <c r="J133" i="2"/>
  <c r="K134" i="2"/>
  <c r="L134" i="2" l="1"/>
  <c r="I134" i="2"/>
  <c r="M134" i="2"/>
  <c r="J134" i="2"/>
  <c r="K135" i="2"/>
  <c r="L135" i="2" l="1"/>
  <c r="I135" i="2"/>
  <c r="M135" i="2"/>
  <c r="J135" i="2"/>
  <c r="K136" i="2"/>
  <c r="L136" i="2" l="1"/>
  <c r="M136" i="2"/>
  <c r="J136" i="2"/>
  <c r="I136" i="2"/>
  <c r="K137" i="2"/>
  <c r="L137" i="2" l="1"/>
  <c r="I137" i="2"/>
  <c r="J137" i="2"/>
  <c r="M137" i="2"/>
  <c r="K138" i="2"/>
  <c r="L138" i="2" l="1"/>
  <c r="I138" i="2"/>
  <c r="M138" i="2"/>
  <c r="J138" i="2"/>
  <c r="K139" i="2"/>
  <c r="L139" i="2" l="1"/>
  <c r="I139" i="2"/>
  <c r="M139" i="2"/>
  <c r="J139" i="2"/>
  <c r="K140" i="2"/>
  <c r="I140" i="2" l="1"/>
  <c r="M140" i="2"/>
  <c r="L140" i="2"/>
  <c r="J140" i="2"/>
  <c r="K141" i="2"/>
  <c r="I141" i="2" l="1"/>
  <c r="L141" i="2"/>
  <c r="M141" i="2"/>
  <c r="J141" i="2"/>
  <c r="K142" i="2"/>
  <c r="L142" i="2" l="1"/>
  <c r="M142" i="2"/>
  <c r="J142" i="2"/>
  <c r="I142" i="2"/>
  <c r="K143" i="2"/>
  <c r="L143" i="2" l="1"/>
  <c r="I143" i="2"/>
  <c r="J143" i="2"/>
  <c r="M143" i="2"/>
  <c r="K144" i="2"/>
  <c r="L144" i="2" l="1"/>
  <c r="M144" i="2"/>
  <c r="I144" i="2"/>
  <c r="J144" i="2"/>
  <c r="K145" i="2"/>
  <c r="L145" i="2" l="1"/>
  <c r="M145" i="2"/>
  <c r="I145" i="2"/>
  <c r="J145" i="2"/>
  <c r="K146" i="2"/>
  <c r="L146" i="2" l="1"/>
  <c r="M146" i="2"/>
  <c r="J146" i="2"/>
  <c r="I146" i="2"/>
  <c r="K147" i="2"/>
  <c r="L147" i="2" l="1"/>
  <c r="I147" i="2"/>
  <c r="J147" i="2"/>
  <c r="M147" i="2"/>
  <c r="K148" i="2"/>
  <c r="L148" i="2" l="1"/>
  <c r="I148" i="2"/>
  <c r="J148" i="2"/>
  <c r="M148" i="2"/>
  <c r="K149" i="2"/>
  <c r="L149" i="2" l="1"/>
  <c r="I149" i="2"/>
  <c r="J149" i="2"/>
  <c r="M149" i="2"/>
  <c r="K150" i="2"/>
  <c r="L150" i="2" l="1"/>
  <c r="M150" i="2"/>
  <c r="J150" i="2"/>
  <c r="I150" i="2"/>
  <c r="K151" i="2"/>
  <c r="R129" i="2" l="1"/>
  <c r="L151" i="2"/>
  <c r="M151" i="2"/>
  <c r="J151" i="2"/>
  <c r="I151" i="2"/>
  <c r="R130" i="2"/>
  <c r="S130" i="2" l="1"/>
  <c r="P130" i="2"/>
  <c r="T130" i="2"/>
  <c r="Q130" i="2"/>
  <c r="S129" i="2"/>
  <c r="P129" i="2"/>
  <c r="Q129" i="2"/>
  <c r="T129" i="2"/>
  <c r="R131" i="2"/>
  <c r="S131" i="2" l="1"/>
  <c r="T131" i="2"/>
  <c r="P131" i="2"/>
  <c r="Q131" i="2"/>
  <c r="R132" i="2"/>
  <c r="S132" i="2" l="1"/>
  <c r="Q132" i="2"/>
  <c r="T132" i="2"/>
  <c r="P132" i="2"/>
  <c r="R133" i="2"/>
  <c r="S133" i="2" l="1"/>
  <c r="P133" i="2"/>
  <c r="T133" i="2"/>
  <c r="Q133" i="2"/>
  <c r="R134" i="2"/>
  <c r="P134" i="2" l="1"/>
  <c r="S134" i="2"/>
  <c r="T134" i="2"/>
  <c r="Q134" i="2"/>
  <c r="R135" i="2"/>
  <c r="T135" i="2" l="1"/>
  <c r="S135" i="2"/>
  <c r="P135" i="2"/>
  <c r="Q135" i="2"/>
  <c r="R136" i="2"/>
  <c r="S136" i="2" l="1"/>
  <c r="T136" i="2"/>
  <c r="P136" i="2"/>
  <c r="Q136" i="2"/>
  <c r="R137" i="2"/>
  <c r="S137" i="2" l="1"/>
  <c r="T137" i="2"/>
  <c r="P137" i="2"/>
  <c r="Q137" i="2"/>
  <c r="R138" i="2"/>
  <c r="P138" i="2" l="1"/>
  <c r="T138" i="2"/>
  <c r="S138" i="2"/>
  <c r="Q138" i="2"/>
  <c r="R139" i="2"/>
  <c r="P139" i="2" l="1"/>
  <c r="S139" i="2"/>
  <c r="T139" i="2"/>
  <c r="Q139" i="2"/>
  <c r="R140" i="2"/>
  <c r="P140" i="2" l="1"/>
  <c r="S140" i="2"/>
  <c r="T140" i="2"/>
  <c r="Q140" i="2"/>
  <c r="R141" i="2"/>
  <c r="S141" i="2" l="1"/>
  <c r="P141" i="2"/>
  <c r="T141" i="2"/>
  <c r="Q141" i="2"/>
  <c r="R142" i="2"/>
  <c r="S142" i="2" l="1"/>
  <c r="Q142" i="2"/>
  <c r="P142" i="2"/>
  <c r="T142" i="2"/>
  <c r="R143" i="2"/>
  <c r="S143" i="2" l="1"/>
  <c r="Q143" i="2"/>
  <c r="P143" i="2"/>
  <c r="T143" i="2"/>
  <c r="R144" i="2"/>
  <c r="S144" i="2" l="1"/>
  <c r="P144" i="2"/>
  <c r="Q144" i="2"/>
  <c r="T144" i="2"/>
  <c r="R145" i="2"/>
  <c r="S145" i="2" l="1"/>
  <c r="P145" i="2"/>
  <c r="Q145" i="2"/>
  <c r="T145" i="2"/>
  <c r="R146" i="2"/>
  <c r="S146" i="2" l="1"/>
  <c r="T146" i="2"/>
  <c r="P146" i="2"/>
  <c r="Q146" i="2"/>
  <c r="R147" i="2"/>
  <c r="S147" i="2" l="1"/>
  <c r="T147" i="2"/>
  <c r="P147" i="2"/>
  <c r="Q147" i="2"/>
  <c r="R148" i="2"/>
  <c r="S148" i="2" l="1"/>
  <c r="P148" i="2"/>
  <c r="T148" i="2"/>
  <c r="Q148" i="2"/>
  <c r="R149" i="2"/>
  <c r="P149" i="2" l="1"/>
  <c r="S149" i="2"/>
  <c r="T149" i="2"/>
  <c r="Q149" i="2"/>
  <c r="R150" i="2"/>
  <c r="P150" i="2" l="1"/>
  <c r="S150" i="2"/>
  <c r="T150" i="2"/>
  <c r="Q150" i="2"/>
  <c r="R151" i="2"/>
  <c r="D160" i="2" l="1"/>
  <c r="P151" i="2"/>
  <c r="T151" i="2"/>
  <c r="S151" i="2"/>
  <c r="Q151" i="2"/>
  <c r="D161" i="2"/>
  <c r="E161" i="2" l="1"/>
  <c r="B161" i="2"/>
  <c r="C161" i="2"/>
  <c r="F161" i="2"/>
  <c r="B160" i="2"/>
  <c r="E160" i="2"/>
  <c r="F160" i="2"/>
  <c r="C160" i="2"/>
  <c r="D162" i="2"/>
  <c r="E162" i="2" l="1"/>
  <c r="B162" i="2"/>
  <c r="C162" i="2"/>
  <c r="F162" i="2"/>
  <c r="D163" i="2"/>
  <c r="E163" i="2" l="1"/>
  <c r="F163" i="2"/>
  <c r="C163" i="2"/>
  <c r="B163" i="2"/>
  <c r="D164" i="2"/>
  <c r="E164" i="2" l="1"/>
  <c r="F164" i="2"/>
  <c r="B164" i="2"/>
  <c r="C164" i="2"/>
  <c r="D165" i="2"/>
  <c r="E165" i="2" l="1"/>
  <c r="F165" i="2"/>
  <c r="B165" i="2"/>
  <c r="C165" i="2"/>
  <c r="D166" i="2"/>
  <c r="E166" i="2" l="1"/>
  <c r="B166" i="2"/>
  <c r="C166" i="2"/>
  <c r="F166" i="2"/>
  <c r="D167" i="2"/>
  <c r="E167" i="2" l="1"/>
  <c r="F167" i="2"/>
  <c r="B167" i="2"/>
  <c r="C167" i="2"/>
  <c r="D168" i="2"/>
  <c r="E168" i="2" l="1"/>
  <c r="C168" i="2"/>
  <c r="B168" i="2"/>
  <c r="F168" i="2"/>
  <c r="D169" i="2"/>
  <c r="E169" i="2" l="1"/>
  <c r="B169" i="2"/>
  <c r="C169" i="2"/>
  <c r="F169" i="2"/>
  <c r="D170" i="2"/>
  <c r="E170" i="2" l="1"/>
  <c r="B170" i="2"/>
  <c r="F170" i="2"/>
  <c r="C170" i="2"/>
  <c r="D171" i="2"/>
  <c r="E171" i="2" l="1"/>
  <c r="B171" i="2"/>
  <c r="F171" i="2"/>
  <c r="C171" i="2"/>
  <c r="D172" i="2"/>
  <c r="E172" i="2" l="1"/>
  <c r="B172" i="2"/>
  <c r="F172" i="2"/>
  <c r="C172" i="2"/>
  <c r="D173" i="2"/>
  <c r="E173" i="2" l="1"/>
  <c r="F173" i="2"/>
  <c r="B173" i="2"/>
  <c r="C173" i="2"/>
  <c r="D174" i="2"/>
  <c r="E174" i="2" l="1"/>
  <c r="B174" i="2"/>
  <c r="F174" i="2"/>
  <c r="C174" i="2"/>
  <c r="D175" i="2"/>
  <c r="B175" i="2" l="1"/>
  <c r="E175" i="2"/>
  <c r="F175" i="2"/>
  <c r="C175" i="2"/>
  <c r="D176" i="2"/>
  <c r="B176" i="2" l="1"/>
  <c r="E176" i="2"/>
  <c r="F176" i="2"/>
  <c r="C176" i="2"/>
  <c r="D177" i="2"/>
  <c r="B177" i="2" l="1"/>
  <c r="F177" i="2"/>
  <c r="E177" i="2"/>
  <c r="C177" i="2"/>
  <c r="D178" i="2"/>
  <c r="E178" i="2" l="1"/>
  <c r="F178" i="2"/>
  <c r="B178" i="2"/>
  <c r="C178" i="2"/>
  <c r="D179" i="2"/>
  <c r="F179" i="2" l="1"/>
  <c r="E179" i="2"/>
  <c r="B179" i="2"/>
  <c r="C179" i="2"/>
  <c r="D180" i="2"/>
  <c r="F180" i="2" l="1"/>
  <c r="E180" i="2"/>
  <c r="B180" i="2"/>
  <c r="C180" i="2"/>
  <c r="D181" i="2"/>
  <c r="E181" i="2" l="1"/>
  <c r="F181" i="2"/>
  <c r="C181" i="2"/>
  <c r="B181" i="2"/>
  <c r="D182" i="2"/>
  <c r="K160" i="2" l="1"/>
  <c r="K161" i="2" s="1"/>
  <c r="E182" i="2"/>
  <c r="F182" i="2"/>
  <c r="C182" i="2"/>
  <c r="B182" i="2"/>
  <c r="L161" i="2" l="1"/>
  <c r="I161" i="2"/>
  <c r="M161" i="2"/>
  <c r="J161" i="2"/>
  <c r="L160" i="2"/>
  <c r="M160" i="2"/>
  <c r="I160" i="2"/>
  <c r="J160" i="2"/>
  <c r="K162" i="2"/>
  <c r="L162" i="2" l="1"/>
  <c r="M162" i="2"/>
  <c r="I162" i="2"/>
  <c r="J162" i="2"/>
  <c r="K163" i="2"/>
  <c r="L163" i="2" l="1"/>
  <c r="I163" i="2"/>
  <c r="M163" i="2"/>
  <c r="J163" i="2"/>
  <c r="K164" i="2"/>
  <c r="L164" i="2" l="1"/>
  <c r="M164" i="2"/>
  <c r="J164" i="2"/>
  <c r="I164" i="2"/>
  <c r="K165" i="2"/>
  <c r="L165" i="2" l="1"/>
  <c r="I165" i="2"/>
  <c r="J165" i="2"/>
  <c r="M165" i="2"/>
  <c r="K166" i="2"/>
  <c r="L166" i="2" l="1"/>
  <c r="I166" i="2"/>
  <c r="M166" i="2"/>
  <c r="J166" i="2"/>
  <c r="K167" i="2"/>
  <c r="I167" i="2" l="1"/>
  <c r="L167" i="2"/>
  <c r="J167" i="2"/>
  <c r="M167" i="2"/>
  <c r="K168" i="2"/>
  <c r="I168" i="2" l="1"/>
  <c r="L168" i="2"/>
  <c r="M168" i="2"/>
  <c r="J168" i="2"/>
  <c r="K169" i="2"/>
  <c r="I169" i="2" l="1"/>
  <c r="L169" i="2"/>
  <c r="J169" i="2"/>
  <c r="M169" i="2"/>
  <c r="K170" i="2"/>
  <c r="I170" i="2" l="1"/>
  <c r="L170" i="2"/>
  <c r="J170" i="2"/>
  <c r="M170" i="2"/>
  <c r="K171" i="2"/>
  <c r="L171" i="2" l="1"/>
  <c r="I171" i="2"/>
  <c r="M171" i="2"/>
  <c r="J171" i="2"/>
  <c r="K172" i="2"/>
  <c r="L172" i="2" l="1"/>
  <c r="I172" i="2"/>
  <c r="M172" i="2"/>
  <c r="J172" i="2"/>
  <c r="K173" i="2"/>
  <c r="L173" i="2" l="1"/>
  <c r="I173" i="2"/>
  <c r="J173" i="2"/>
  <c r="M173" i="2"/>
  <c r="K174" i="2"/>
  <c r="L174" i="2" l="1"/>
  <c r="I174" i="2"/>
  <c r="M174" i="2"/>
  <c r="J174" i="2"/>
  <c r="K175" i="2"/>
  <c r="L175" i="2" l="1"/>
  <c r="I175" i="2"/>
  <c r="M175" i="2"/>
  <c r="J175" i="2"/>
  <c r="K176" i="2"/>
  <c r="M176" i="2" l="1"/>
  <c r="L176" i="2"/>
  <c r="J176" i="2"/>
  <c r="I176" i="2"/>
  <c r="K177" i="2"/>
  <c r="I177" i="2" l="1"/>
  <c r="L177" i="2"/>
  <c r="J177" i="2"/>
  <c r="M177" i="2"/>
  <c r="K178" i="2"/>
  <c r="L178" i="2" l="1"/>
  <c r="I178" i="2"/>
  <c r="M178" i="2"/>
  <c r="J178" i="2"/>
  <c r="K179" i="2"/>
  <c r="L179" i="2" l="1"/>
  <c r="M179" i="2"/>
  <c r="I179" i="2"/>
  <c r="J179" i="2"/>
  <c r="K180" i="2"/>
  <c r="L180" i="2" l="1"/>
  <c r="M180" i="2"/>
  <c r="I180" i="2"/>
  <c r="J180" i="2"/>
  <c r="K181" i="2"/>
  <c r="L181" i="2" l="1"/>
  <c r="M181" i="2"/>
  <c r="I181" i="2"/>
  <c r="J181" i="2"/>
  <c r="K182" i="2"/>
  <c r="R160" i="2" l="1"/>
  <c r="I182" i="2"/>
  <c r="M182" i="2"/>
  <c r="L182" i="2"/>
  <c r="J182" i="2"/>
  <c r="R161" i="2"/>
  <c r="S161" i="2" l="1"/>
  <c r="P161" i="2"/>
  <c r="T161" i="2"/>
  <c r="Q161" i="2"/>
  <c r="S160" i="2"/>
  <c r="P160" i="2"/>
  <c r="Q160" i="2"/>
  <c r="T160" i="2"/>
  <c r="R162" i="2"/>
  <c r="S162" i="2" l="1"/>
  <c r="T162" i="2"/>
  <c r="P162" i="2"/>
  <c r="Q162" i="2"/>
  <c r="R163" i="2"/>
  <c r="S163" i="2" l="1"/>
  <c r="P163" i="2"/>
  <c r="T163" i="2"/>
  <c r="Q163" i="2"/>
  <c r="R164" i="2"/>
  <c r="P164" i="2" l="1"/>
  <c r="S164" i="2"/>
  <c r="Q164" i="2"/>
  <c r="T164" i="2"/>
  <c r="R165" i="2"/>
  <c r="P165" i="2" l="1"/>
  <c r="S165" i="2"/>
  <c r="T165" i="2"/>
  <c r="Q165" i="2"/>
  <c r="R166" i="2"/>
  <c r="S166" i="2" l="1"/>
  <c r="Q166" i="2"/>
  <c r="T166" i="2"/>
  <c r="P166" i="2"/>
  <c r="R167" i="2"/>
  <c r="S167" i="2" l="1"/>
  <c r="Q167" i="2"/>
  <c r="P167" i="2"/>
  <c r="T167" i="2"/>
  <c r="R168" i="2"/>
  <c r="S168" i="2" l="1"/>
  <c r="T168" i="2"/>
  <c r="Q168" i="2"/>
  <c r="P168" i="2"/>
  <c r="R169" i="2"/>
  <c r="S169" i="2" l="1"/>
  <c r="T169" i="2"/>
  <c r="P169" i="2"/>
  <c r="Q169" i="2"/>
  <c r="R170" i="2"/>
  <c r="S170" i="2" l="1"/>
  <c r="T170" i="2"/>
  <c r="P170" i="2"/>
  <c r="Q170" i="2"/>
  <c r="R171" i="2"/>
  <c r="S171" i="2" l="1"/>
  <c r="P171" i="2"/>
  <c r="T171" i="2"/>
  <c r="Q171" i="2"/>
  <c r="R172" i="2"/>
  <c r="S172" i="2" l="1"/>
  <c r="T172" i="2"/>
  <c r="P172" i="2"/>
  <c r="Q172" i="2"/>
  <c r="R173" i="2"/>
  <c r="S173" i="2" l="1"/>
  <c r="P173" i="2"/>
  <c r="T173" i="2"/>
  <c r="Q173" i="2"/>
  <c r="R174" i="2"/>
  <c r="S174" i="2" l="1"/>
  <c r="P174" i="2"/>
  <c r="T174" i="2"/>
  <c r="Q174" i="2"/>
  <c r="R175" i="2"/>
  <c r="T175" i="2" l="1"/>
  <c r="S175" i="2"/>
  <c r="P175" i="2"/>
  <c r="Q175" i="2"/>
  <c r="R176" i="2"/>
  <c r="S176" i="2" l="1"/>
  <c r="P176" i="2"/>
  <c r="T176" i="2"/>
  <c r="Q176" i="2"/>
  <c r="R177" i="2"/>
  <c r="S177" i="2" l="1"/>
  <c r="P177" i="2"/>
  <c r="T177" i="2"/>
  <c r="Q177" i="2"/>
  <c r="R178" i="2"/>
  <c r="S178" i="2" l="1"/>
  <c r="P178" i="2"/>
  <c r="T178" i="2"/>
  <c r="Q178" i="2"/>
  <c r="R179" i="2"/>
  <c r="S179" i="2" l="1"/>
  <c r="P179" i="2"/>
  <c r="T179" i="2"/>
  <c r="Q179" i="2"/>
  <c r="R180" i="2"/>
  <c r="S180" i="2" l="1"/>
  <c r="P180" i="2"/>
  <c r="T180" i="2"/>
  <c r="Q180" i="2"/>
  <c r="R181" i="2"/>
  <c r="S181" i="2" l="1"/>
  <c r="P181" i="2"/>
  <c r="T181" i="2"/>
  <c r="Q181" i="2"/>
  <c r="R182" i="2"/>
  <c r="D191" i="2" l="1"/>
  <c r="S182" i="2"/>
  <c r="P182" i="2"/>
  <c r="Q182" i="2"/>
  <c r="T182" i="2"/>
  <c r="D192" i="2"/>
  <c r="E192" i="2" l="1"/>
  <c r="B192" i="2"/>
  <c r="C192" i="2"/>
  <c r="F192" i="2"/>
  <c r="E191" i="2"/>
  <c r="B191" i="2"/>
  <c r="F191" i="2"/>
  <c r="C191" i="2"/>
  <c r="D193" i="2"/>
  <c r="C193" i="2" l="1"/>
  <c r="F193" i="2"/>
  <c r="B193" i="2"/>
  <c r="E193" i="2"/>
  <c r="D194" i="2"/>
  <c r="E194" i="2" l="1"/>
  <c r="F194" i="2"/>
  <c r="B194" i="2"/>
  <c r="C194" i="2"/>
  <c r="D195" i="2"/>
  <c r="E195" i="2" l="1"/>
  <c r="C195" i="2"/>
  <c r="F195" i="2"/>
  <c r="B195" i="2"/>
  <c r="D196" i="2"/>
  <c r="E196" i="2" l="1"/>
  <c r="B196" i="2"/>
  <c r="C196" i="2"/>
  <c r="F196" i="2"/>
  <c r="D197" i="2"/>
  <c r="E197" i="2" l="1"/>
  <c r="B197" i="2"/>
  <c r="F197" i="2"/>
  <c r="C197" i="2"/>
  <c r="D198" i="2"/>
  <c r="E198" i="2" l="1"/>
  <c r="B198" i="2"/>
  <c r="F198" i="2"/>
  <c r="C198" i="2"/>
  <c r="D199" i="2"/>
  <c r="E199" i="2" l="1"/>
  <c r="B199" i="2"/>
  <c r="F199" i="2"/>
  <c r="C199" i="2"/>
  <c r="D200" i="2"/>
  <c r="E200" i="2" l="1"/>
  <c r="B200" i="2"/>
  <c r="F200" i="2"/>
  <c r="C200" i="2"/>
  <c r="D201" i="2"/>
  <c r="E201" i="2" l="1"/>
  <c r="F201" i="2"/>
  <c r="B201" i="2"/>
  <c r="C201" i="2"/>
  <c r="D202" i="2"/>
  <c r="E202" i="2" l="1"/>
  <c r="B202" i="2"/>
  <c r="F202" i="2"/>
  <c r="C202" i="2"/>
  <c r="D203" i="2"/>
  <c r="E203" i="2" l="1"/>
  <c r="F203" i="2"/>
  <c r="B203" i="2"/>
  <c r="C203" i="2"/>
  <c r="D204" i="2"/>
  <c r="F204" i="2" l="1"/>
  <c r="E204" i="2"/>
  <c r="B204" i="2"/>
  <c r="C204" i="2"/>
  <c r="D205" i="2"/>
  <c r="E205" i="2" l="1"/>
  <c r="B205" i="2"/>
  <c r="F205" i="2"/>
  <c r="C205" i="2"/>
  <c r="D206" i="2"/>
  <c r="E206" i="2" l="1"/>
  <c r="B206" i="2"/>
  <c r="C206" i="2"/>
  <c r="F206" i="2"/>
  <c r="D207" i="2"/>
  <c r="E207" i="2" l="1"/>
  <c r="B207" i="2"/>
  <c r="F207" i="2"/>
  <c r="C207" i="2"/>
  <c r="D208" i="2"/>
  <c r="E208" i="2" l="1"/>
  <c r="C208" i="2"/>
  <c r="F208" i="2"/>
  <c r="B208" i="2"/>
  <c r="D209" i="2"/>
  <c r="C209" i="2" l="1"/>
  <c r="B209" i="2"/>
  <c r="F209" i="2"/>
  <c r="E209" i="2"/>
  <c r="D210" i="2"/>
  <c r="B210" i="2" l="1"/>
  <c r="F210" i="2"/>
  <c r="E210" i="2"/>
  <c r="C210" i="2"/>
  <c r="D211" i="2"/>
  <c r="E211" i="2" l="1"/>
  <c r="F211" i="2"/>
  <c r="B211" i="2"/>
  <c r="C211" i="2"/>
  <c r="D212" i="2"/>
  <c r="E212" i="2" l="1"/>
  <c r="B212" i="2"/>
  <c r="F212" i="2"/>
  <c r="C212" i="2"/>
  <c r="D213" i="2"/>
  <c r="K191" i="2" l="1"/>
  <c r="E213" i="2"/>
  <c r="B213" i="2"/>
  <c r="F213" i="2"/>
  <c r="C213" i="2"/>
  <c r="K192" i="2"/>
  <c r="I192" i="2" l="1"/>
  <c r="L192" i="2"/>
  <c r="M192" i="2"/>
  <c r="J192" i="2"/>
  <c r="L191" i="2"/>
  <c r="I191" i="2"/>
  <c r="J191" i="2"/>
  <c r="M191" i="2"/>
  <c r="K193" i="2"/>
  <c r="I193" i="2" l="1"/>
  <c r="L193" i="2"/>
  <c r="J193" i="2"/>
  <c r="M193" i="2"/>
  <c r="K194" i="2"/>
  <c r="L194" i="2" l="1"/>
  <c r="I194" i="2"/>
  <c r="M194" i="2"/>
  <c r="J194" i="2"/>
  <c r="K195" i="2"/>
  <c r="I195" i="2" l="1"/>
  <c r="L195" i="2"/>
  <c r="M195" i="2"/>
  <c r="J195" i="2"/>
  <c r="K196" i="2"/>
  <c r="L196" i="2" l="1"/>
  <c r="I196" i="2"/>
  <c r="M196" i="2"/>
  <c r="J196" i="2"/>
  <c r="K197" i="2"/>
  <c r="I197" i="2" l="1"/>
  <c r="M197" i="2"/>
  <c r="L197" i="2"/>
  <c r="J197" i="2"/>
  <c r="K198" i="2"/>
  <c r="L198" i="2" l="1"/>
  <c r="I198" i="2"/>
  <c r="M198" i="2"/>
  <c r="J198" i="2"/>
  <c r="K199" i="2"/>
  <c r="L199" i="2" l="1"/>
  <c r="I199" i="2"/>
  <c r="M199" i="2"/>
  <c r="J199" i="2"/>
  <c r="K200" i="2"/>
  <c r="L200" i="2" l="1"/>
  <c r="M200" i="2"/>
  <c r="J200" i="2"/>
  <c r="I200" i="2"/>
  <c r="K201" i="2"/>
  <c r="L201" i="2" l="1"/>
  <c r="J201" i="2"/>
  <c r="M201" i="2"/>
  <c r="I201" i="2"/>
  <c r="K202" i="2"/>
  <c r="L202" i="2" l="1"/>
  <c r="M202" i="2"/>
  <c r="J202" i="2"/>
  <c r="I202" i="2"/>
  <c r="K203" i="2"/>
  <c r="L203" i="2" l="1"/>
  <c r="M203" i="2"/>
  <c r="I203" i="2"/>
  <c r="J203" i="2"/>
  <c r="K204" i="2"/>
  <c r="L204" i="2" l="1"/>
  <c r="M204" i="2"/>
  <c r="I204" i="2"/>
  <c r="J204" i="2"/>
  <c r="K205" i="2"/>
  <c r="L205" i="2" l="1"/>
  <c r="M205" i="2"/>
  <c r="I205" i="2"/>
  <c r="J205" i="2"/>
  <c r="K206" i="2"/>
  <c r="L206" i="2" l="1"/>
  <c r="M206" i="2"/>
  <c r="I206" i="2"/>
  <c r="J206" i="2"/>
  <c r="K207" i="2"/>
  <c r="L207" i="2" l="1"/>
  <c r="I207" i="2"/>
  <c r="J207" i="2"/>
  <c r="M207" i="2"/>
  <c r="K208" i="2"/>
  <c r="I208" i="2" l="1"/>
  <c r="L208" i="2"/>
  <c r="M208" i="2"/>
  <c r="J208" i="2"/>
  <c r="K209" i="2"/>
  <c r="I209" i="2" l="1"/>
  <c r="M209" i="2"/>
  <c r="L209" i="2"/>
  <c r="J209" i="2"/>
  <c r="K210" i="2"/>
  <c r="L210" i="2" l="1"/>
  <c r="M210" i="2"/>
  <c r="J210" i="2"/>
  <c r="I210" i="2"/>
  <c r="K211" i="2"/>
  <c r="L211" i="2" l="1"/>
  <c r="I211" i="2"/>
  <c r="J211" i="2"/>
  <c r="M211" i="2"/>
  <c r="K212" i="2"/>
  <c r="L212" i="2" l="1"/>
  <c r="M212" i="2"/>
  <c r="J212" i="2"/>
  <c r="I212" i="2"/>
  <c r="K213" i="2"/>
  <c r="R191" i="2" l="1"/>
  <c r="I213" i="2"/>
  <c r="L213" i="2"/>
  <c r="J213" i="2"/>
  <c r="M213" i="2"/>
  <c r="R192" i="2"/>
  <c r="P192" i="2" l="1"/>
  <c r="T192" i="2"/>
  <c r="S192" i="2"/>
  <c r="Q192" i="2"/>
  <c r="S191" i="2"/>
  <c r="P191" i="2"/>
  <c r="T191" i="2"/>
  <c r="Q191" i="2"/>
  <c r="R193" i="2"/>
  <c r="P193" i="2" l="1"/>
  <c r="T193" i="2"/>
  <c r="S193" i="2"/>
  <c r="Q193" i="2"/>
  <c r="R194" i="2"/>
  <c r="T194" i="2" l="1"/>
  <c r="Q194" i="2"/>
  <c r="S194" i="2"/>
  <c r="P194" i="2"/>
  <c r="R195" i="2"/>
  <c r="T195" i="2" l="1"/>
  <c r="P195" i="2"/>
  <c r="Q195" i="2"/>
  <c r="S195" i="2"/>
  <c r="R196" i="2"/>
  <c r="S196" i="2" l="1"/>
  <c r="P196" i="2"/>
  <c r="T196" i="2"/>
  <c r="Q196" i="2"/>
  <c r="R197" i="2"/>
  <c r="S197" i="2" l="1"/>
  <c r="P197" i="2"/>
  <c r="T197" i="2"/>
  <c r="Q197" i="2"/>
  <c r="R198" i="2"/>
  <c r="S198" i="2" l="1"/>
  <c r="P198" i="2"/>
  <c r="T198" i="2"/>
  <c r="Q198" i="2"/>
  <c r="R199" i="2"/>
  <c r="T199" i="2" l="1"/>
  <c r="S199" i="2"/>
  <c r="P199" i="2"/>
  <c r="Q199" i="2"/>
  <c r="R200" i="2"/>
  <c r="S200" i="2" l="1"/>
  <c r="P200" i="2"/>
  <c r="T200" i="2"/>
  <c r="Q200" i="2"/>
  <c r="R201" i="2"/>
  <c r="P201" i="2" l="1"/>
  <c r="S201" i="2"/>
  <c r="T201" i="2"/>
  <c r="Q201" i="2"/>
  <c r="R202" i="2"/>
  <c r="P202" i="2" l="1"/>
  <c r="S202" i="2"/>
  <c r="Q202" i="2"/>
  <c r="T202" i="2"/>
  <c r="R203" i="2"/>
  <c r="S203" i="2" l="1"/>
  <c r="T203" i="2"/>
  <c r="P203" i="2"/>
  <c r="Q203" i="2"/>
  <c r="R204" i="2"/>
  <c r="S204" i="2" l="1"/>
  <c r="P204" i="2"/>
  <c r="T204" i="2"/>
  <c r="Q204" i="2"/>
  <c r="R205" i="2"/>
  <c r="T205" i="2" l="1"/>
  <c r="P205" i="2"/>
  <c r="S205" i="2"/>
  <c r="Q205" i="2"/>
  <c r="R206" i="2"/>
  <c r="S206" i="2" l="1"/>
  <c r="T206" i="2"/>
  <c r="P206" i="2"/>
  <c r="Q206" i="2"/>
  <c r="R207" i="2"/>
  <c r="S207" i="2" l="1"/>
  <c r="P207" i="2"/>
  <c r="T207" i="2"/>
  <c r="Q207" i="2"/>
  <c r="R208" i="2"/>
  <c r="S208" i="2" l="1"/>
  <c r="P208" i="2"/>
  <c r="T208" i="2"/>
  <c r="Q208" i="2"/>
  <c r="R209" i="2"/>
  <c r="S209" i="2" l="1"/>
  <c r="P209" i="2"/>
  <c r="T209" i="2"/>
  <c r="Q209" i="2"/>
  <c r="R210" i="2"/>
  <c r="S210" i="2" l="1"/>
  <c r="P210" i="2"/>
  <c r="T210" i="2"/>
  <c r="Q210" i="2"/>
  <c r="R211" i="2"/>
  <c r="P211" i="2" l="1"/>
  <c r="T211" i="2"/>
  <c r="S211" i="2"/>
  <c r="Q211" i="2"/>
  <c r="R212" i="2"/>
  <c r="S212" i="2" l="1"/>
  <c r="P212" i="2"/>
  <c r="T212" i="2"/>
  <c r="Q212" i="2"/>
  <c r="R213" i="2"/>
  <c r="D222" i="2" l="1"/>
  <c r="S213" i="2"/>
  <c r="P213" i="2"/>
  <c r="T213" i="2"/>
  <c r="Q213" i="2"/>
  <c r="D223" i="2"/>
  <c r="E223" i="2" l="1"/>
  <c r="B223" i="2"/>
  <c r="F223" i="2"/>
  <c r="C223" i="2"/>
  <c r="E222" i="2"/>
  <c r="B222" i="2"/>
  <c r="F222" i="2"/>
  <c r="C222" i="2"/>
  <c r="D224" i="2"/>
  <c r="E224" i="2" l="1"/>
  <c r="B224" i="2"/>
  <c r="F224" i="2"/>
  <c r="C224" i="2"/>
  <c r="D225" i="2"/>
  <c r="E225" i="2" l="1"/>
  <c r="F225" i="2"/>
  <c r="B225" i="2"/>
  <c r="C225" i="2"/>
  <c r="D226" i="2"/>
  <c r="F226" i="2" l="1"/>
  <c r="B226" i="2"/>
  <c r="E226" i="2"/>
  <c r="C226" i="2"/>
  <c r="D227" i="2"/>
  <c r="B227" i="2" l="1"/>
  <c r="E227" i="2"/>
  <c r="F227" i="2"/>
  <c r="C227" i="2"/>
  <c r="D228" i="2"/>
  <c r="E228" i="2" l="1"/>
  <c r="B228" i="2"/>
  <c r="F228" i="2"/>
  <c r="C228" i="2"/>
  <c r="D229" i="2"/>
  <c r="E229" i="2" l="1"/>
  <c r="F229" i="2"/>
  <c r="B229" i="2"/>
  <c r="C229" i="2"/>
  <c r="D230" i="2"/>
  <c r="E230" i="2" l="1"/>
  <c r="F230" i="2"/>
  <c r="C230" i="2"/>
  <c r="B230" i="2"/>
  <c r="D231" i="2"/>
  <c r="E231" i="2" l="1"/>
  <c r="F231" i="2"/>
  <c r="B231" i="2"/>
  <c r="C231" i="2"/>
  <c r="D232" i="2"/>
  <c r="E232" i="2" l="1"/>
  <c r="B232" i="2"/>
  <c r="F232" i="2"/>
  <c r="C232" i="2"/>
  <c r="D233" i="2"/>
  <c r="E233" i="2" l="1"/>
  <c r="B233" i="2"/>
  <c r="F233" i="2"/>
  <c r="C233" i="2"/>
  <c r="D234" i="2"/>
  <c r="E234" i="2" l="1"/>
  <c r="B234" i="2"/>
  <c r="F234" i="2"/>
  <c r="C234" i="2"/>
  <c r="D235" i="2"/>
  <c r="E235" i="2" l="1"/>
  <c r="F235" i="2"/>
  <c r="B235" i="2"/>
  <c r="C235" i="2"/>
  <c r="D236" i="2"/>
  <c r="E236" i="2" l="1"/>
  <c r="B236" i="2"/>
  <c r="C236" i="2"/>
  <c r="F236" i="2"/>
  <c r="D237" i="2"/>
  <c r="D238" i="2" l="1"/>
  <c r="B237" i="2"/>
  <c r="C237" i="2"/>
  <c r="E237" i="2"/>
  <c r="F237" i="2"/>
  <c r="D239" i="2" l="1"/>
  <c r="E238" i="2"/>
  <c r="B238" i="2"/>
  <c r="F238" i="2"/>
  <c r="C238" i="2"/>
  <c r="D240" i="2" l="1"/>
  <c r="E239" i="2"/>
  <c r="B239" i="2"/>
  <c r="F239" i="2"/>
  <c r="C239" i="2"/>
  <c r="D241" i="2" l="1"/>
  <c r="E240" i="2"/>
  <c r="F240" i="2"/>
  <c r="C240" i="2"/>
  <c r="B240" i="2"/>
  <c r="D242" i="2" l="1"/>
  <c r="E241" i="2"/>
  <c r="F241" i="2"/>
  <c r="B241" i="2"/>
  <c r="C241" i="2"/>
  <c r="D243" i="2" l="1"/>
  <c r="B242" i="2"/>
  <c r="F242" i="2"/>
  <c r="E242" i="2"/>
  <c r="C242" i="2"/>
  <c r="D244" i="2" l="1"/>
  <c r="B243" i="2"/>
  <c r="F243" i="2"/>
  <c r="E243" i="2"/>
  <c r="C243" i="2"/>
  <c r="E244" i="2" l="1"/>
  <c r="B244" i="2"/>
  <c r="F244" i="2"/>
  <c r="C244" i="2"/>
  <c r="K222" i="2"/>
  <c r="L222" i="2" l="1"/>
  <c r="I222" i="2"/>
  <c r="M222" i="2"/>
  <c r="J222" i="2"/>
  <c r="K223" i="2"/>
  <c r="L223" i="2" l="1"/>
  <c r="I223" i="2"/>
  <c r="J223" i="2"/>
  <c r="M223" i="2"/>
  <c r="K224" i="2"/>
  <c r="L224" i="2" l="1"/>
  <c r="I224" i="2"/>
  <c r="J224" i="2"/>
  <c r="M224" i="2"/>
  <c r="K225" i="2"/>
  <c r="L225" i="2" l="1"/>
  <c r="I225" i="2"/>
  <c r="J225" i="2"/>
  <c r="M225" i="2"/>
  <c r="K226" i="2"/>
  <c r="L226" i="2" l="1"/>
  <c r="I226" i="2"/>
  <c r="M226" i="2"/>
  <c r="J226" i="2"/>
  <c r="K227" i="2"/>
  <c r="L227" i="2" l="1"/>
  <c r="I227" i="2"/>
  <c r="J227" i="2"/>
  <c r="M227" i="2"/>
  <c r="K228" i="2"/>
  <c r="L228" i="2" l="1"/>
  <c r="M228" i="2"/>
  <c r="J228" i="2"/>
  <c r="I228" i="2"/>
  <c r="K229" i="2"/>
  <c r="L229" i="2" l="1"/>
  <c r="I229" i="2"/>
  <c r="M229" i="2"/>
  <c r="J229" i="2"/>
  <c r="K230" i="2"/>
  <c r="L230" i="2" l="1"/>
  <c r="I230" i="2"/>
  <c r="M230" i="2"/>
  <c r="J230" i="2"/>
  <c r="K231" i="2"/>
  <c r="L231" i="2" l="1"/>
  <c r="I231" i="2"/>
  <c r="M231" i="2"/>
  <c r="J231" i="2"/>
  <c r="K232" i="2"/>
  <c r="L232" i="2" l="1"/>
  <c r="I232" i="2"/>
  <c r="J232" i="2"/>
  <c r="M232" i="2"/>
  <c r="K233" i="2"/>
  <c r="L233" i="2" l="1"/>
  <c r="I233" i="2"/>
  <c r="J233" i="2"/>
  <c r="M233" i="2"/>
  <c r="K234" i="2"/>
  <c r="L234" i="2" l="1"/>
  <c r="I234" i="2"/>
  <c r="M234" i="2"/>
  <c r="J234" i="2"/>
  <c r="K235" i="2"/>
  <c r="I235" i="2" l="1"/>
  <c r="L235" i="2"/>
  <c r="M235" i="2"/>
  <c r="J235" i="2"/>
  <c r="K236" i="2"/>
  <c r="L236" i="2" l="1"/>
  <c r="I236" i="2"/>
  <c r="M236" i="2"/>
  <c r="J236" i="2"/>
  <c r="K237" i="2"/>
  <c r="K238" i="2" l="1"/>
  <c r="I237" i="2"/>
  <c r="M237" i="2"/>
  <c r="L237" i="2"/>
  <c r="J237" i="2"/>
  <c r="K239" i="2" l="1"/>
  <c r="L238" i="2"/>
  <c r="I238" i="2"/>
  <c r="J238" i="2"/>
  <c r="M238" i="2"/>
  <c r="K240" i="2" l="1"/>
  <c r="L239" i="2"/>
  <c r="I239" i="2"/>
  <c r="M239" i="2"/>
  <c r="J239" i="2"/>
  <c r="K241" i="2" l="1"/>
  <c r="L240" i="2"/>
  <c r="I240" i="2"/>
  <c r="M240" i="2"/>
  <c r="J240" i="2"/>
  <c r="K242" i="2" l="1"/>
  <c r="L241" i="2"/>
  <c r="I241" i="2"/>
  <c r="M241" i="2"/>
  <c r="J241" i="2"/>
  <c r="K243" i="2" l="1"/>
  <c r="L242" i="2"/>
  <c r="M242" i="2"/>
  <c r="I242" i="2"/>
  <c r="J242" i="2"/>
  <c r="K244" i="2" l="1"/>
  <c r="I243" i="2"/>
  <c r="J243" i="2"/>
  <c r="L243" i="2"/>
  <c r="M243" i="2"/>
  <c r="L244" i="2" l="1"/>
  <c r="I244" i="2"/>
  <c r="J244" i="2"/>
  <c r="M244" i="2"/>
  <c r="R222" i="2"/>
  <c r="S222" i="2" l="1"/>
  <c r="T222" i="2"/>
  <c r="P222" i="2"/>
  <c r="Q222" i="2"/>
  <c r="R223" i="2"/>
  <c r="S223" i="2" l="1"/>
  <c r="T223" i="2"/>
  <c r="P223" i="2"/>
  <c r="Q223" i="2"/>
  <c r="R224" i="2"/>
  <c r="S224" i="2" l="1"/>
  <c r="T224" i="2"/>
  <c r="P224" i="2"/>
  <c r="Q224" i="2"/>
  <c r="R225" i="2"/>
  <c r="S225" i="2" l="1"/>
  <c r="P225" i="2"/>
  <c r="T225" i="2"/>
  <c r="Q225" i="2"/>
  <c r="R226" i="2"/>
  <c r="S226" i="2" l="1"/>
  <c r="P226" i="2"/>
  <c r="T226" i="2"/>
  <c r="Q226" i="2"/>
  <c r="R227" i="2"/>
  <c r="S227" i="2" l="1"/>
  <c r="T227" i="2"/>
  <c r="P227" i="2"/>
  <c r="Q227" i="2"/>
  <c r="R228" i="2"/>
  <c r="S228" i="2" l="1"/>
  <c r="P228" i="2"/>
  <c r="T228" i="2"/>
  <c r="Q228" i="2"/>
  <c r="R229" i="2"/>
  <c r="T229" i="2" l="1"/>
  <c r="P229" i="2"/>
  <c r="Q229" i="2"/>
  <c r="S229" i="2"/>
  <c r="R230" i="2"/>
  <c r="S230" i="2" l="1"/>
  <c r="T230" i="2"/>
  <c r="P230" i="2"/>
  <c r="Q230" i="2"/>
  <c r="R231" i="2"/>
  <c r="S231" i="2" l="1"/>
  <c r="T231" i="2"/>
  <c r="P231" i="2"/>
  <c r="Q231" i="2"/>
  <c r="R232" i="2"/>
  <c r="P232" i="2" l="1"/>
  <c r="T232" i="2"/>
  <c r="S232" i="2"/>
  <c r="Q232" i="2"/>
  <c r="R233" i="2"/>
  <c r="T233" i="2" l="1"/>
  <c r="P233" i="2"/>
  <c r="S233" i="2"/>
  <c r="Q233" i="2"/>
  <c r="R234" i="2"/>
  <c r="S234" i="2" l="1"/>
  <c r="P234" i="2"/>
  <c r="T234" i="2"/>
  <c r="Q234" i="2"/>
  <c r="R235" i="2"/>
  <c r="S235" i="2" l="1"/>
  <c r="Q235" i="2"/>
  <c r="P235" i="2"/>
  <c r="T235" i="2"/>
  <c r="R236" i="2"/>
  <c r="S236" i="2" l="1"/>
  <c r="P236" i="2"/>
  <c r="T236" i="2"/>
  <c r="Q236" i="2"/>
  <c r="R237" i="2"/>
  <c r="R238" i="2" l="1"/>
  <c r="P237" i="2"/>
  <c r="S237" i="2"/>
  <c r="T237" i="2"/>
  <c r="Q237" i="2"/>
  <c r="R239" i="2" l="1"/>
  <c r="S238" i="2"/>
  <c r="P238" i="2"/>
  <c r="T238" i="2"/>
  <c r="Q238" i="2"/>
  <c r="R240" i="2" l="1"/>
  <c r="P239" i="2"/>
  <c r="S239" i="2"/>
  <c r="T239" i="2"/>
  <c r="Q239" i="2"/>
  <c r="R241" i="2" l="1"/>
  <c r="S240" i="2"/>
  <c r="T240" i="2"/>
  <c r="P240" i="2"/>
  <c r="Q240" i="2"/>
  <c r="R242" i="2" l="1"/>
  <c r="S241" i="2"/>
  <c r="P241" i="2"/>
  <c r="Q241" i="2"/>
  <c r="T241" i="2"/>
  <c r="R243" i="2" l="1"/>
  <c r="S242" i="2"/>
  <c r="P242" i="2"/>
  <c r="Q242" i="2"/>
  <c r="T242" i="2"/>
  <c r="R244" i="2" l="1"/>
  <c r="S243" i="2"/>
  <c r="T243" i="2"/>
  <c r="P243" i="2"/>
  <c r="Q243" i="2"/>
  <c r="S244" i="2" l="1"/>
  <c r="P244" i="2"/>
  <c r="T244" i="2"/>
  <c r="Q244" i="2"/>
  <c r="D253" i="2"/>
  <c r="E253" i="2" l="1"/>
  <c r="F253" i="2"/>
  <c r="B253" i="2"/>
  <c r="C253" i="2"/>
  <c r="D254" i="2"/>
  <c r="F254" i="2" l="1"/>
  <c r="E254" i="2"/>
  <c r="B254" i="2"/>
  <c r="C254" i="2"/>
  <c r="D255" i="2"/>
  <c r="E255" i="2" l="1"/>
  <c r="B255" i="2"/>
  <c r="C255" i="2"/>
  <c r="F255" i="2"/>
  <c r="D256" i="2"/>
  <c r="E256" i="2" l="1"/>
  <c r="F256" i="2"/>
  <c r="C256" i="2"/>
  <c r="B256" i="2"/>
  <c r="D257" i="2"/>
  <c r="E257" i="2" l="1"/>
  <c r="B257" i="2"/>
  <c r="F257" i="2"/>
  <c r="C257" i="2"/>
  <c r="D258" i="2"/>
  <c r="E258" i="2" l="1"/>
  <c r="B258" i="2"/>
  <c r="F258" i="2"/>
  <c r="C258" i="2"/>
  <c r="D259" i="2"/>
  <c r="E259" i="2" l="1"/>
  <c r="F259" i="2"/>
  <c r="B259" i="2"/>
  <c r="C259" i="2"/>
  <c r="D260" i="2"/>
  <c r="E260" i="2" l="1"/>
  <c r="F260" i="2"/>
  <c r="B260" i="2"/>
  <c r="C260" i="2"/>
  <c r="D261" i="2"/>
  <c r="E261" i="2" l="1"/>
  <c r="F261" i="2"/>
  <c r="B261" i="2"/>
  <c r="C261" i="2"/>
  <c r="D262" i="2"/>
  <c r="E262" i="2" l="1"/>
  <c r="B262" i="2"/>
  <c r="F262" i="2"/>
  <c r="C262" i="2"/>
  <c r="D263" i="2"/>
  <c r="E263" i="2" l="1"/>
  <c r="B263" i="2"/>
  <c r="F263" i="2"/>
  <c r="C263" i="2"/>
  <c r="D264" i="2"/>
  <c r="E264" i="2" l="1"/>
  <c r="C264" i="2"/>
  <c r="B264" i="2"/>
  <c r="F264" i="2"/>
  <c r="D265" i="2"/>
  <c r="E265" i="2" l="1"/>
  <c r="F265" i="2"/>
  <c r="C265" i="2"/>
  <c r="B265" i="2"/>
  <c r="D266" i="2"/>
  <c r="B266" i="2" l="1"/>
  <c r="C266" i="2"/>
  <c r="E266" i="2"/>
  <c r="F266" i="2"/>
  <c r="D267" i="2"/>
  <c r="E267" i="2" l="1"/>
  <c r="B267" i="2"/>
  <c r="C267" i="2"/>
  <c r="F267" i="2"/>
  <c r="D268" i="2"/>
  <c r="E268" i="2" l="1"/>
  <c r="B268" i="2"/>
  <c r="F268" i="2"/>
  <c r="C268" i="2"/>
  <c r="D269" i="2"/>
  <c r="E269" i="2" l="1"/>
  <c r="F269" i="2"/>
  <c r="B269" i="2"/>
  <c r="C269" i="2"/>
  <c r="D270" i="2"/>
  <c r="E270" i="2" l="1"/>
  <c r="B270" i="2"/>
  <c r="F270" i="2"/>
  <c r="C270" i="2"/>
  <c r="D271" i="2"/>
  <c r="E271" i="2" l="1"/>
  <c r="F271" i="2"/>
  <c r="B271" i="2"/>
  <c r="C271" i="2"/>
  <c r="D272" i="2"/>
  <c r="E272" i="2" l="1"/>
  <c r="B272" i="2"/>
  <c r="F272" i="2"/>
  <c r="C272" i="2"/>
  <c r="D273" i="2"/>
  <c r="E273" i="2" l="1"/>
  <c r="B273" i="2"/>
  <c r="F273" i="2"/>
  <c r="C273" i="2"/>
  <c r="D274" i="2"/>
  <c r="D275" i="2" l="1"/>
  <c r="E274" i="2"/>
  <c r="F274" i="2"/>
  <c r="B274" i="2"/>
  <c r="C274" i="2"/>
  <c r="E275" i="2" l="1"/>
  <c r="B275" i="2"/>
  <c r="F275" i="2"/>
  <c r="C275" i="2"/>
  <c r="K253" i="2"/>
  <c r="L253" i="2" l="1"/>
  <c r="J253" i="2"/>
  <c r="I253" i="2"/>
  <c r="M253" i="2"/>
  <c r="K254" i="2"/>
  <c r="L254" i="2" l="1"/>
  <c r="M254" i="2"/>
  <c r="J254" i="2"/>
  <c r="I254" i="2"/>
  <c r="K255" i="2"/>
  <c r="L255" i="2" l="1"/>
  <c r="M255" i="2"/>
  <c r="I255" i="2"/>
  <c r="J255" i="2"/>
  <c r="K256" i="2"/>
  <c r="L256" i="2" l="1"/>
  <c r="I256" i="2"/>
  <c r="M256" i="2"/>
  <c r="J256" i="2"/>
  <c r="K257" i="2"/>
  <c r="L257" i="2" l="1"/>
  <c r="I257" i="2"/>
  <c r="M257" i="2"/>
  <c r="J257" i="2"/>
  <c r="K258" i="2"/>
  <c r="I258" i="2" l="1"/>
  <c r="L258" i="2"/>
  <c r="M258" i="2"/>
  <c r="J258" i="2"/>
  <c r="K259" i="2"/>
  <c r="L259" i="2" l="1"/>
  <c r="I259" i="2"/>
  <c r="J259" i="2"/>
  <c r="M259" i="2"/>
  <c r="K260" i="2"/>
  <c r="L260" i="2" l="1"/>
  <c r="I260" i="2"/>
  <c r="M260" i="2"/>
  <c r="J260" i="2"/>
  <c r="K261" i="2"/>
  <c r="L261" i="2" l="1"/>
  <c r="I261" i="2"/>
  <c r="M261" i="2"/>
  <c r="J261" i="2"/>
  <c r="K262" i="2"/>
  <c r="L262" i="2" l="1"/>
  <c r="I262" i="2"/>
  <c r="M262" i="2"/>
  <c r="J262" i="2"/>
  <c r="K263" i="2"/>
  <c r="L263" i="2" l="1"/>
  <c r="I263" i="2"/>
  <c r="M263" i="2"/>
  <c r="J263" i="2"/>
  <c r="K264" i="2"/>
  <c r="L264" i="2" l="1"/>
  <c r="I264" i="2"/>
  <c r="J264" i="2"/>
  <c r="M264" i="2"/>
  <c r="K265" i="2"/>
  <c r="L265" i="2" l="1"/>
  <c r="I265" i="2"/>
  <c r="M265" i="2"/>
  <c r="J265" i="2"/>
  <c r="K266" i="2"/>
  <c r="L266" i="2" l="1"/>
  <c r="M266" i="2"/>
  <c r="I266" i="2"/>
  <c r="J266" i="2"/>
  <c r="K267" i="2"/>
  <c r="L267" i="2" l="1"/>
  <c r="M267" i="2"/>
  <c r="I267" i="2"/>
  <c r="J267" i="2"/>
  <c r="K268" i="2"/>
  <c r="M268" i="2" l="1"/>
  <c r="I268" i="2"/>
  <c r="L268" i="2"/>
  <c r="J268" i="2"/>
  <c r="K269" i="2"/>
  <c r="I269" i="2" l="1"/>
  <c r="M269" i="2"/>
  <c r="J269" i="2"/>
  <c r="L269" i="2"/>
  <c r="K270" i="2"/>
  <c r="L270" i="2" l="1"/>
  <c r="M270" i="2"/>
  <c r="J270" i="2"/>
  <c r="I270" i="2"/>
  <c r="K271" i="2"/>
  <c r="L271" i="2" l="1"/>
  <c r="M271" i="2"/>
  <c r="I271" i="2"/>
  <c r="J271" i="2"/>
  <c r="K272" i="2"/>
  <c r="L272" i="2" l="1"/>
  <c r="I272" i="2"/>
  <c r="J272" i="2"/>
  <c r="M272" i="2"/>
  <c r="K273" i="2"/>
  <c r="I273" i="2" l="1"/>
  <c r="L273" i="2"/>
  <c r="M273" i="2"/>
  <c r="J273" i="2"/>
  <c r="K274" i="2"/>
  <c r="K275" i="2" l="1"/>
  <c r="L274" i="2"/>
  <c r="M274" i="2"/>
  <c r="J274" i="2"/>
  <c r="I274" i="2"/>
  <c r="M275" i="2" l="1"/>
  <c r="I275" i="2"/>
  <c r="L275" i="2"/>
  <c r="J275" i="2"/>
  <c r="R253" i="2"/>
  <c r="S253" i="2" l="1"/>
  <c r="P253" i="2"/>
  <c r="T253" i="2"/>
  <c r="Q253" i="2"/>
  <c r="R254" i="2"/>
  <c r="S254" i="2" l="1"/>
  <c r="P254" i="2"/>
  <c r="T254" i="2"/>
  <c r="Q254" i="2"/>
  <c r="R255" i="2"/>
  <c r="S255" i="2" l="1"/>
  <c r="T255" i="2"/>
  <c r="P255" i="2"/>
  <c r="Q255" i="2"/>
  <c r="R256" i="2"/>
  <c r="T256" i="2" l="1"/>
  <c r="S256" i="2"/>
  <c r="Q256" i="2"/>
  <c r="P256" i="2"/>
  <c r="R257" i="2"/>
  <c r="S257" i="2" l="1"/>
  <c r="P257" i="2"/>
  <c r="T257" i="2"/>
  <c r="Q257" i="2"/>
  <c r="R258" i="2"/>
  <c r="S258" i="2" l="1"/>
  <c r="P258" i="2"/>
  <c r="T258" i="2"/>
  <c r="Q258" i="2"/>
  <c r="R259" i="2"/>
  <c r="S259" i="2" l="1"/>
  <c r="P259" i="2"/>
  <c r="T259" i="2"/>
  <c r="Q259" i="2"/>
  <c r="R260" i="2"/>
  <c r="P260" i="2" l="1"/>
  <c r="S260" i="2"/>
  <c r="T260" i="2"/>
  <c r="Q260" i="2"/>
  <c r="R261" i="2"/>
  <c r="P261" i="2" l="1"/>
  <c r="S261" i="2"/>
  <c r="T261" i="2"/>
  <c r="Q261" i="2"/>
  <c r="R262" i="2"/>
  <c r="P262" i="2" l="1"/>
  <c r="S262" i="2"/>
  <c r="Q262" i="2"/>
  <c r="T262" i="2"/>
  <c r="R263" i="2"/>
  <c r="S263" i="2" l="1"/>
  <c r="Q263" i="2"/>
  <c r="T263" i="2"/>
  <c r="P263" i="2"/>
  <c r="R264" i="2"/>
  <c r="T264" i="2" l="1"/>
  <c r="S264" i="2"/>
  <c r="P264" i="2"/>
  <c r="Q264" i="2"/>
  <c r="R265" i="2"/>
  <c r="T265" i="2" l="1"/>
  <c r="S265" i="2"/>
  <c r="P265" i="2"/>
  <c r="Q265" i="2"/>
  <c r="R266" i="2"/>
  <c r="S266" i="2" l="1"/>
  <c r="P266" i="2"/>
  <c r="T266" i="2"/>
  <c r="Q266" i="2"/>
  <c r="R267" i="2"/>
  <c r="S267" i="2" l="1"/>
  <c r="T267" i="2"/>
  <c r="P267" i="2"/>
  <c r="Q267" i="2"/>
  <c r="R268" i="2"/>
  <c r="S268" i="2" l="1"/>
  <c r="T268" i="2"/>
  <c r="P268" i="2"/>
  <c r="Q268" i="2"/>
  <c r="R269" i="2"/>
  <c r="S269" i="2" l="1"/>
  <c r="P269" i="2"/>
  <c r="Q269" i="2"/>
  <c r="T269" i="2"/>
  <c r="R270" i="2"/>
  <c r="S270" i="2" l="1"/>
  <c r="P270" i="2"/>
  <c r="T270" i="2"/>
  <c r="Q270" i="2"/>
  <c r="R271" i="2"/>
  <c r="S271" i="2" l="1"/>
  <c r="T271" i="2"/>
  <c r="P271" i="2"/>
  <c r="Q271" i="2"/>
  <c r="R272" i="2"/>
  <c r="S272" i="2" l="1"/>
  <c r="T272" i="2"/>
  <c r="P272" i="2"/>
  <c r="Q272" i="2"/>
  <c r="R273" i="2"/>
  <c r="S273" i="2" l="1"/>
  <c r="T273" i="2"/>
  <c r="P273" i="2"/>
  <c r="Q273" i="2"/>
  <c r="R274" i="2"/>
  <c r="R275" i="2" l="1"/>
  <c r="S274" i="2"/>
  <c r="P274" i="2"/>
  <c r="Q274" i="2"/>
  <c r="T274" i="2"/>
  <c r="S275" i="2" l="1"/>
  <c r="T275" i="2"/>
  <c r="Q275" i="2"/>
  <c r="P275" i="2"/>
  <c r="D284" i="2"/>
  <c r="E284" i="2" l="1"/>
  <c r="F284" i="2"/>
  <c r="B284" i="2"/>
  <c r="C284" i="2"/>
  <c r="D285" i="2"/>
  <c r="F285" i="2" l="1"/>
  <c r="E285" i="2"/>
  <c r="B285" i="2"/>
  <c r="C285" i="2"/>
  <c r="D286" i="2"/>
  <c r="F286" i="2" l="1"/>
  <c r="B286" i="2"/>
  <c r="E286" i="2"/>
  <c r="C286" i="2"/>
  <c r="D287" i="2"/>
  <c r="E287" i="2" l="1"/>
  <c r="B287" i="2"/>
  <c r="F287" i="2"/>
  <c r="C287" i="2"/>
  <c r="D288" i="2"/>
  <c r="B288" i="2" l="1"/>
  <c r="E288" i="2"/>
  <c r="C288" i="2"/>
  <c r="F288" i="2"/>
  <c r="D289" i="2"/>
  <c r="E289" i="2" l="1"/>
  <c r="B289" i="2"/>
  <c r="C289" i="2"/>
  <c r="F289" i="2"/>
  <c r="D290" i="2"/>
  <c r="E290" i="2" l="1"/>
  <c r="B290" i="2"/>
  <c r="C290" i="2"/>
  <c r="F290" i="2"/>
  <c r="D291" i="2"/>
  <c r="F291" i="2" l="1"/>
  <c r="B291" i="2"/>
  <c r="E291" i="2"/>
  <c r="C291" i="2"/>
  <c r="D292" i="2"/>
  <c r="E292" i="2" l="1"/>
  <c r="B292" i="2"/>
  <c r="F292" i="2"/>
  <c r="C292" i="2"/>
  <c r="D293" i="2"/>
  <c r="E293" i="2" l="1"/>
  <c r="F293" i="2"/>
  <c r="B293" i="2"/>
  <c r="C293" i="2"/>
  <c r="D294" i="2"/>
  <c r="E294" i="2" l="1"/>
  <c r="B294" i="2"/>
  <c r="F294" i="2"/>
  <c r="C294" i="2"/>
  <c r="D295" i="2"/>
  <c r="B295" i="2" l="1"/>
  <c r="E295" i="2"/>
  <c r="F295" i="2"/>
  <c r="C295" i="2"/>
  <c r="D296" i="2"/>
  <c r="B296" i="2" l="1"/>
  <c r="E296" i="2"/>
  <c r="F296" i="2"/>
  <c r="C296" i="2"/>
  <c r="D297" i="2"/>
  <c r="E297" i="2" l="1"/>
  <c r="F297" i="2"/>
  <c r="B297" i="2"/>
  <c r="C297" i="2"/>
  <c r="D298" i="2"/>
  <c r="E298" i="2" l="1"/>
  <c r="B298" i="2"/>
  <c r="C298" i="2"/>
  <c r="F298" i="2"/>
  <c r="D299" i="2"/>
  <c r="E299" i="2" l="1"/>
  <c r="C299" i="2"/>
  <c r="F299" i="2"/>
  <c r="B299" i="2"/>
  <c r="D300" i="2"/>
  <c r="E300" i="2" l="1"/>
  <c r="F300" i="2"/>
  <c r="C300" i="2"/>
  <c r="B300" i="2"/>
  <c r="D301" i="2"/>
  <c r="E301" i="2" l="1"/>
  <c r="B301" i="2"/>
  <c r="F301" i="2"/>
  <c r="C301" i="2"/>
  <c r="D302" i="2"/>
  <c r="E302" i="2" l="1"/>
  <c r="B302" i="2"/>
  <c r="F302" i="2"/>
  <c r="C302" i="2"/>
  <c r="D303" i="2"/>
  <c r="E303" i="2" l="1"/>
  <c r="F303" i="2"/>
  <c r="B303" i="2"/>
  <c r="C303" i="2"/>
  <c r="D304" i="2"/>
  <c r="B304" i="2" l="1"/>
  <c r="E304" i="2"/>
  <c r="F304" i="2"/>
  <c r="C304" i="2"/>
  <c r="D305" i="2"/>
  <c r="D306" i="2" l="1"/>
  <c r="E305" i="2"/>
  <c r="C305" i="2"/>
  <c r="B305" i="2"/>
  <c r="F305" i="2"/>
  <c r="E306" i="2" l="1"/>
  <c r="B306" i="2"/>
  <c r="F306" i="2"/>
  <c r="C306" i="2"/>
  <c r="K284" i="2"/>
  <c r="I284" i="2" l="1"/>
  <c r="L284" i="2"/>
  <c r="M284" i="2"/>
  <c r="J284" i="2"/>
  <c r="K285" i="2"/>
  <c r="I285" i="2" l="1"/>
  <c r="L285" i="2"/>
  <c r="M285" i="2"/>
  <c r="J285" i="2"/>
  <c r="K286" i="2"/>
  <c r="L286" i="2" l="1"/>
  <c r="I286" i="2"/>
  <c r="M286" i="2"/>
  <c r="J286" i="2"/>
  <c r="K287" i="2"/>
  <c r="I287" i="2" l="1"/>
  <c r="L287" i="2"/>
  <c r="M287" i="2"/>
  <c r="J287" i="2"/>
  <c r="K288" i="2"/>
  <c r="L288" i="2" l="1"/>
  <c r="I288" i="2"/>
  <c r="M288" i="2"/>
  <c r="J288" i="2"/>
  <c r="K289" i="2"/>
  <c r="L289" i="2" l="1"/>
  <c r="I289" i="2"/>
  <c r="M289" i="2"/>
  <c r="J289" i="2"/>
  <c r="K290" i="2"/>
  <c r="L290" i="2" l="1"/>
  <c r="I290" i="2"/>
  <c r="M290" i="2"/>
  <c r="J290" i="2"/>
  <c r="K291" i="2"/>
  <c r="L291" i="2" l="1"/>
  <c r="I291" i="2"/>
  <c r="M291" i="2"/>
  <c r="J291" i="2"/>
  <c r="K292" i="2"/>
  <c r="L292" i="2" l="1"/>
  <c r="M292" i="2"/>
  <c r="I292" i="2"/>
  <c r="J292" i="2"/>
  <c r="K293" i="2"/>
  <c r="L293" i="2" l="1"/>
  <c r="M293" i="2"/>
  <c r="J293" i="2"/>
  <c r="I293" i="2"/>
  <c r="K294" i="2"/>
  <c r="L294" i="2" l="1"/>
  <c r="I294" i="2"/>
  <c r="J294" i="2"/>
  <c r="M294" i="2"/>
  <c r="K295" i="2"/>
  <c r="L295" i="2" l="1"/>
  <c r="I295" i="2"/>
  <c r="M295" i="2"/>
  <c r="J295" i="2"/>
  <c r="K296" i="2"/>
  <c r="L296" i="2" l="1"/>
  <c r="M296" i="2"/>
  <c r="J296" i="2"/>
  <c r="I296" i="2"/>
  <c r="K297" i="2"/>
  <c r="M297" i="2" l="1"/>
  <c r="L297" i="2"/>
  <c r="J297" i="2"/>
  <c r="I297" i="2"/>
  <c r="K298" i="2"/>
  <c r="L298" i="2" l="1"/>
  <c r="I298" i="2"/>
  <c r="M298" i="2"/>
  <c r="J298" i="2"/>
  <c r="K299" i="2"/>
  <c r="L299" i="2" l="1"/>
  <c r="I299" i="2"/>
  <c r="M299" i="2"/>
  <c r="J299" i="2"/>
  <c r="K300" i="2"/>
  <c r="L300" i="2" l="1"/>
  <c r="M300" i="2"/>
  <c r="I300" i="2"/>
  <c r="J300" i="2"/>
  <c r="K301" i="2"/>
  <c r="L301" i="2" l="1"/>
  <c r="I301" i="2"/>
  <c r="M301" i="2"/>
  <c r="J301" i="2"/>
  <c r="K302" i="2"/>
  <c r="L302" i="2" l="1"/>
  <c r="I302" i="2"/>
  <c r="M302" i="2"/>
  <c r="J302" i="2"/>
  <c r="K303" i="2"/>
  <c r="I303" i="2" l="1"/>
  <c r="M303" i="2"/>
  <c r="J303" i="2"/>
  <c r="L303" i="2"/>
  <c r="K304" i="2"/>
  <c r="M304" i="2" l="1"/>
  <c r="I304" i="2"/>
  <c r="J304" i="2"/>
  <c r="L304" i="2"/>
  <c r="K305" i="2"/>
  <c r="K306" i="2" l="1"/>
  <c r="I305" i="2"/>
  <c r="L305" i="2"/>
  <c r="J305" i="2"/>
  <c r="M305" i="2"/>
  <c r="I306" i="2" l="1"/>
  <c r="L306" i="2"/>
  <c r="M306" i="2"/>
  <c r="J306" i="2"/>
  <c r="R284" i="2"/>
  <c r="S284" i="2" l="1"/>
  <c r="T284" i="2"/>
  <c r="P284" i="2"/>
  <c r="Q284" i="2"/>
  <c r="R285" i="2"/>
  <c r="S285" i="2" l="1"/>
  <c r="T285" i="2"/>
  <c r="P285" i="2"/>
  <c r="Q285" i="2"/>
  <c r="R286" i="2"/>
  <c r="P286" i="2" l="1"/>
  <c r="S286" i="2"/>
  <c r="Q286" i="2"/>
  <c r="T286" i="2"/>
  <c r="R287" i="2"/>
  <c r="S287" i="2" l="1"/>
  <c r="P287" i="2"/>
  <c r="T287" i="2"/>
  <c r="Q287" i="2"/>
  <c r="R288" i="2"/>
  <c r="S288" i="2" l="1"/>
  <c r="P288" i="2"/>
  <c r="T288" i="2"/>
  <c r="Q288" i="2"/>
  <c r="R289" i="2"/>
  <c r="S289" i="2" l="1"/>
  <c r="P289" i="2"/>
  <c r="T289" i="2"/>
  <c r="Q289" i="2"/>
  <c r="R290" i="2"/>
  <c r="S290" i="2" l="1"/>
  <c r="P290" i="2"/>
  <c r="T290" i="2"/>
  <c r="Q290" i="2"/>
  <c r="R291" i="2"/>
  <c r="S291" i="2" l="1"/>
  <c r="P291" i="2"/>
  <c r="T291" i="2"/>
  <c r="Q291" i="2"/>
  <c r="R292" i="2"/>
  <c r="S292" i="2" l="1"/>
  <c r="T292" i="2"/>
  <c r="P292" i="2"/>
  <c r="Q292" i="2"/>
  <c r="R293" i="2"/>
  <c r="P293" i="2" l="1"/>
  <c r="S293" i="2"/>
  <c r="T293" i="2"/>
  <c r="Q293" i="2"/>
  <c r="R294" i="2"/>
  <c r="S294" i="2" l="1"/>
  <c r="P294" i="2"/>
  <c r="T294" i="2"/>
  <c r="Q294" i="2"/>
  <c r="R295" i="2"/>
  <c r="S295" i="2" l="1"/>
  <c r="P295" i="2"/>
  <c r="T295" i="2"/>
  <c r="Q295" i="2"/>
  <c r="R296" i="2"/>
  <c r="T296" i="2" l="1"/>
  <c r="P296" i="2"/>
  <c r="S296" i="2"/>
  <c r="Q296" i="2"/>
  <c r="R297" i="2"/>
  <c r="T297" i="2" l="1"/>
  <c r="S297" i="2"/>
  <c r="P297" i="2"/>
  <c r="Q297" i="2"/>
  <c r="R298" i="2"/>
  <c r="S298" i="2" l="1"/>
  <c r="P298" i="2"/>
  <c r="T298" i="2"/>
  <c r="Q298" i="2"/>
  <c r="R299" i="2"/>
  <c r="S299" i="2" l="1"/>
  <c r="P299" i="2"/>
  <c r="Q299" i="2"/>
  <c r="T299" i="2"/>
  <c r="R300" i="2"/>
  <c r="S300" i="2" l="1"/>
  <c r="T300" i="2"/>
  <c r="P300" i="2"/>
  <c r="Q300" i="2"/>
  <c r="R301" i="2"/>
  <c r="S301" i="2" l="1"/>
  <c r="T301" i="2"/>
  <c r="P301" i="2"/>
  <c r="Q301" i="2"/>
  <c r="R302" i="2"/>
  <c r="S302" i="2" l="1"/>
  <c r="P302" i="2"/>
  <c r="Q302" i="2"/>
  <c r="T302" i="2"/>
  <c r="R303" i="2"/>
  <c r="P303" i="2" l="1"/>
  <c r="S303" i="2"/>
  <c r="Q303" i="2"/>
  <c r="T303" i="2"/>
  <c r="R304" i="2"/>
  <c r="S304" i="2" l="1"/>
  <c r="P304" i="2"/>
  <c r="Q304" i="2"/>
  <c r="T304" i="2"/>
  <c r="R305" i="2"/>
  <c r="R306" i="2" l="1"/>
  <c r="S305" i="2"/>
  <c r="P305" i="2"/>
  <c r="T305" i="2"/>
  <c r="Q305" i="2"/>
  <c r="P306" i="2" l="1"/>
  <c r="S306" i="2"/>
  <c r="T306" i="2"/>
  <c r="Q306" i="2"/>
  <c r="D315" i="2"/>
  <c r="E315" i="2" l="1"/>
  <c r="B315" i="2"/>
  <c r="F315" i="2"/>
  <c r="C315" i="2"/>
  <c r="D316" i="2"/>
  <c r="E316" i="2" l="1"/>
  <c r="B316" i="2"/>
  <c r="C316" i="2"/>
  <c r="F316" i="2"/>
  <c r="D317" i="2"/>
  <c r="E317" i="2" l="1"/>
  <c r="B317" i="2"/>
  <c r="F317" i="2"/>
  <c r="C317" i="2"/>
  <c r="D318" i="2"/>
  <c r="E318" i="2" l="1"/>
  <c r="B318" i="2"/>
  <c r="C318" i="2"/>
  <c r="F318" i="2"/>
  <c r="D319" i="2"/>
  <c r="E319" i="2" l="1"/>
  <c r="B319" i="2"/>
  <c r="F319" i="2"/>
  <c r="C319" i="2"/>
  <c r="D320" i="2"/>
  <c r="E320" i="2" l="1"/>
  <c r="B320" i="2"/>
  <c r="F320" i="2"/>
  <c r="C320" i="2"/>
  <c r="D321" i="2"/>
  <c r="E321" i="2" l="1"/>
  <c r="B321" i="2"/>
  <c r="F321" i="2"/>
  <c r="C321" i="2"/>
  <c r="D322" i="2"/>
  <c r="E322" i="2" l="1"/>
  <c r="B322" i="2"/>
  <c r="F322" i="2"/>
  <c r="C322" i="2"/>
  <c r="D323" i="2"/>
  <c r="E323" i="2" l="1"/>
  <c r="F323" i="2"/>
  <c r="B323" i="2"/>
  <c r="C323" i="2"/>
  <c r="D324" i="2"/>
  <c r="E324" i="2" l="1"/>
  <c r="B324" i="2"/>
  <c r="F324" i="2"/>
  <c r="C324" i="2"/>
  <c r="D325" i="2"/>
  <c r="F325" i="2" l="1"/>
  <c r="E325" i="2"/>
  <c r="B325" i="2"/>
  <c r="C325" i="2"/>
  <c r="D326" i="2"/>
  <c r="F326" i="2" l="1"/>
  <c r="E326" i="2"/>
  <c r="B326" i="2"/>
  <c r="C326" i="2"/>
  <c r="D327" i="2"/>
  <c r="E327" i="2" l="1"/>
  <c r="F327" i="2"/>
  <c r="C327" i="2"/>
  <c r="B327" i="2"/>
  <c r="D328" i="2"/>
  <c r="E328" i="2" l="1"/>
  <c r="B328" i="2"/>
  <c r="F328" i="2"/>
  <c r="C328" i="2"/>
  <c r="D329" i="2"/>
  <c r="B329" i="2" l="1"/>
  <c r="E329" i="2"/>
  <c r="C329" i="2"/>
  <c r="F329" i="2"/>
  <c r="D330" i="2"/>
  <c r="E330" i="2" l="1"/>
  <c r="B330" i="2"/>
  <c r="F330" i="2"/>
  <c r="C330" i="2"/>
  <c r="D331" i="2"/>
  <c r="F331" i="2" l="1"/>
  <c r="E331" i="2"/>
  <c r="B331" i="2"/>
  <c r="C331" i="2"/>
  <c r="D332" i="2"/>
  <c r="E332" i="2" l="1"/>
  <c r="B332" i="2"/>
  <c r="F332" i="2"/>
  <c r="C332" i="2"/>
  <c r="D333" i="2"/>
  <c r="B333" i="2" l="1"/>
  <c r="F333" i="2"/>
  <c r="C333" i="2"/>
  <c r="E333" i="2"/>
  <c r="D334" i="2"/>
  <c r="E334" i="2" l="1"/>
  <c r="B334" i="2"/>
  <c r="C334" i="2"/>
  <c r="F334" i="2"/>
  <c r="D335" i="2"/>
  <c r="E335" i="2" l="1"/>
  <c r="B335" i="2"/>
  <c r="C335" i="2"/>
  <c r="F335" i="2"/>
  <c r="D336" i="2"/>
  <c r="D337" i="2" l="1"/>
  <c r="E336" i="2"/>
  <c r="B336" i="2"/>
  <c r="C336" i="2"/>
  <c r="F336" i="2"/>
  <c r="E337" i="2" l="1"/>
  <c r="F337" i="2"/>
  <c r="C337" i="2"/>
  <c r="B337" i="2"/>
  <c r="K315" i="2"/>
  <c r="L315" i="2" l="1"/>
  <c r="M315" i="2"/>
  <c r="J315" i="2"/>
  <c r="I315" i="2"/>
  <c r="K316" i="2"/>
  <c r="M316" i="2" l="1"/>
  <c r="L316" i="2"/>
  <c r="I316" i="2"/>
  <c r="J316" i="2"/>
  <c r="K317" i="2"/>
  <c r="L317" i="2" l="1"/>
  <c r="I317" i="2"/>
  <c r="M317" i="2"/>
  <c r="J317" i="2"/>
  <c r="K318" i="2"/>
  <c r="L318" i="2" l="1"/>
  <c r="I318" i="2"/>
  <c r="M318" i="2"/>
  <c r="J318" i="2"/>
  <c r="K319" i="2"/>
  <c r="L319" i="2" l="1"/>
  <c r="I319" i="2"/>
  <c r="M319" i="2"/>
  <c r="J319" i="2"/>
  <c r="K320" i="2"/>
  <c r="L320" i="2" l="1"/>
  <c r="I320" i="2"/>
  <c r="M320" i="2"/>
  <c r="J320" i="2"/>
  <c r="K321" i="2"/>
  <c r="L321" i="2" l="1"/>
  <c r="I321" i="2"/>
  <c r="M321" i="2"/>
  <c r="J321" i="2"/>
  <c r="K322" i="2"/>
  <c r="I322" i="2" l="1"/>
  <c r="J322" i="2"/>
  <c r="M322" i="2"/>
  <c r="L322" i="2"/>
  <c r="K323" i="2"/>
  <c r="L323" i="2" l="1"/>
  <c r="I323" i="2"/>
  <c r="M323" i="2"/>
  <c r="J323" i="2"/>
  <c r="K324" i="2"/>
  <c r="L324" i="2" l="1"/>
  <c r="I324" i="2"/>
  <c r="M324" i="2"/>
  <c r="J324" i="2"/>
  <c r="K325" i="2"/>
  <c r="L325" i="2" l="1"/>
  <c r="I325" i="2"/>
  <c r="M325" i="2"/>
  <c r="J325" i="2"/>
  <c r="K326" i="2"/>
  <c r="L326" i="2" l="1"/>
  <c r="I326" i="2"/>
  <c r="M326" i="2"/>
  <c r="J326" i="2"/>
  <c r="K327" i="2"/>
  <c r="L327" i="2" l="1"/>
  <c r="I327" i="2"/>
  <c r="M327" i="2"/>
  <c r="J327" i="2"/>
  <c r="K328" i="2"/>
  <c r="L328" i="2" l="1"/>
  <c r="I328" i="2"/>
  <c r="M328" i="2"/>
  <c r="J328" i="2"/>
  <c r="K329" i="2"/>
  <c r="L329" i="2" l="1"/>
  <c r="I329" i="2"/>
  <c r="M329" i="2"/>
  <c r="J329" i="2"/>
  <c r="K330" i="2"/>
  <c r="L330" i="2" l="1"/>
  <c r="M330" i="2"/>
  <c r="J330" i="2"/>
  <c r="I330" i="2"/>
  <c r="K331" i="2"/>
  <c r="M331" i="2" l="1"/>
  <c r="L331" i="2"/>
  <c r="J331" i="2"/>
  <c r="I331" i="2"/>
  <c r="K332" i="2"/>
  <c r="L332" i="2" l="1"/>
  <c r="M332" i="2"/>
  <c r="J332" i="2"/>
  <c r="I332" i="2"/>
  <c r="K333" i="2"/>
  <c r="L333" i="2" l="1"/>
  <c r="M333" i="2"/>
  <c r="J333" i="2"/>
  <c r="I333" i="2"/>
  <c r="K334" i="2"/>
  <c r="L334" i="2" l="1"/>
  <c r="I334" i="2"/>
  <c r="M334" i="2"/>
  <c r="J334" i="2"/>
  <c r="K335" i="2"/>
  <c r="I335" i="2" l="1"/>
  <c r="M335" i="2"/>
  <c r="J335" i="2"/>
  <c r="L335" i="2"/>
  <c r="K336" i="2"/>
  <c r="K337" i="2" l="1"/>
  <c r="L336" i="2"/>
  <c r="M336" i="2"/>
  <c r="J336" i="2"/>
  <c r="I336" i="2"/>
  <c r="L337" i="2" l="1"/>
  <c r="I337" i="2"/>
  <c r="M337" i="2"/>
  <c r="J337" i="2"/>
  <c r="R315" i="2"/>
  <c r="P315" i="2" l="1"/>
  <c r="S315" i="2"/>
  <c r="Q315" i="2"/>
  <c r="T315" i="2"/>
  <c r="R316" i="2"/>
  <c r="S316" i="2" l="1"/>
  <c r="T316" i="2"/>
  <c r="P316" i="2"/>
  <c r="Q316" i="2"/>
  <c r="R317" i="2"/>
  <c r="S317" i="2" l="1"/>
  <c r="T317" i="2"/>
  <c r="P317" i="2"/>
  <c r="Q317" i="2"/>
  <c r="R318" i="2"/>
  <c r="S318" i="2" l="1"/>
  <c r="T318" i="2"/>
  <c r="P318" i="2"/>
  <c r="Q318" i="2"/>
  <c r="R319" i="2"/>
  <c r="S319" i="2" l="1"/>
  <c r="P319" i="2"/>
  <c r="T319" i="2"/>
  <c r="Q319" i="2"/>
  <c r="R320" i="2"/>
  <c r="S320" i="2" l="1"/>
  <c r="P320" i="2"/>
  <c r="T320" i="2"/>
  <c r="Q320" i="2"/>
  <c r="R321" i="2"/>
  <c r="S321" i="2" l="1"/>
  <c r="T321" i="2"/>
  <c r="P321" i="2"/>
  <c r="Q321" i="2"/>
  <c r="R322" i="2"/>
  <c r="S322" i="2" l="1"/>
  <c r="P322" i="2"/>
  <c r="T322" i="2"/>
  <c r="Q322" i="2"/>
  <c r="R323" i="2"/>
  <c r="P323" i="2" l="1"/>
  <c r="S323" i="2"/>
  <c r="T323" i="2"/>
  <c r="Q323" i="2"/>
  <c r="R324" i="2"/>
  <c r="S324" i="2" l="1"/>
  <c r="P324" i="2"/>
  <c r="Q324" i="2"/>
  <c r="T324" i="2"/>
  <c r="R325" i="2"/>
  <c r="S325" i="2" l="1"/>
  <c r="P325" i="2"/>
  <c r="Q325" i="2"/>
  <c r="T325" i="2"/>
  <c r="R326" i="2"/>
  <c r="S326" i="2" l="1"/>
  <c r="Q326" i="2"/>
  <c r="P326" i="2"/>
  <c r="T326" i="2"/>
  <c r="R327" i="2"/>
  <c r="S327" i="2" l="1"/>
  <c r="T327" i="2"/>
  <c r="P327" i="2"/>
  <c r="Q327" i="2"/>
  <c r="R328" i="2"/>
  <c r="S328" i="2" l="1"/>
  <c r="T328" i="2"/>
  <c r="P328" i="2"/>
  <c r="Q328" i="2"/>
  <c r="R329" i="2"/>
  <c r="S329" i="2" l="1"/>
  <c r="T329" i="2"/>
  <c r="P329" i="2"/>
  <c r="Q329" i="2"/>
  <c r="R330" i="2"/>
  <c r="S330" i="2" l="1"/>
  <c r="P330" i="2"/>
  <c r="T330" i="2"/>
  <c r="Q330" i="2"/>
  <c r="R331" i="2"/>
  <c r="S331" i="2" l="1"/>
  <c r="Q331" i="2"/>
  <c r="P331" i="2"/>
  <c r="T331" i="2"/>
  <c r="R332" i="2"/>
  <c r="S332" i="2" l="1"/>
  <c r="P332" i="2"/>
  <c r="T332" i="2"/>
  <c r="Q332" i="2"/>
  <c r="R333" i="2"/>
  <c r="S333" i="2" l="1"/>
  <c r="P333" i="2"/>
  <c r="T333" i="2"/>
  <c r="Q333" i="2"/>
  <c r="R334" i="2"/>
  <c r="S334" i="2" l="1"/>
  <c r="P334" i="2"/>
  <c r="T334" i="2"/>
  <c r="Q334" i="2"/>
  <c r="R335" i="2"/>
  <c r="S335" i="2" l="1"/>
  <c r="T335" i="2"/>
  <c r="P335" i="2"/>
  <c r="Q335" i="2"/>
  <c r="R336" i="2"/>
  <c r="R337" i="2" l="1"/>
  <c r="S336" i="2"/>
  <c r="T336" i="2"/>
  <c r="P336" i="2"/>
  <c r="Q336" i="2"/>
  <c r="S337" i="2" l="1"/>
  <c r="T337" i="2"/>
  <c r="P337" i="2"/>
  <c r="Q337" i="2"/>
  <c r="D346" i="2"/>
  <c r="E346" i="2" l="1"/>
  <c r="F346" i="2"/>
  <c r="B346" i="2"/>
  <c r="C346" i="2"/>
  <c r="D347" i="2"/>
  <c r="E347" i="2" l="1"/>
  <c r="F347" i="2"/>
  <c r="B347" i="2"/>
  <c r="C347" i="2"/>
  <c r="D348" i="2"/>
  <c r="E348" i="2" l="1"/>
  <c r="B348" i="2"/>
  <c r="F348" i="2"/>
  <c r="C348" i="2"/>
  <c r="D349" i="2"/>
  <c r="E349" i="2" l="1"/>
  <c r="F349" i="2"/>
  <c r="B349" i="2"/>
  <c r="C349" i="2"/>
  <c r="D350" i="2"/>
  <c r="E350" i="2" l="1"/>
  <c r="B350" i="2"/>
  <c r="F350" i="2"/>
  <c r="C350" i="2"/>
  <c r="D351" i="2"/>
  <c r="E351" i="2" l="1"/>
  <c r="B351" i="2"/>
  <c r="F351" i="2"/>
  <c r="C351" i="2"/>
  <c r="D352" i="2"/>
  <c r="E352" i="2" l="1"/>
  <c r="B352" i="2"/>
  <c r="F352" i="2"/>
  <c r="C352" i="2"/>
  <c r="D353" i="2"/>
  <c r="B353" i="2" l="1"/>
  <c r="E353" i="2"/>
  <c r="F353" i="2"/>
  <c r="C353" i="2"/>
  <c r="D354" i="2"/>
  <c r="E354" i="2" l="1"/>
  <c r="B354" i="2"/>
  <c r="F354" i="2"/>
  <c r="C354" i="2"/>
  <c r="D355" i="2"/>
  <c r="E355" i="2" l="1"/>
  <c r="B355" i="2"/>
  <c r="C355" i="2"/>
  <c r="F355" i="2"/>
  <c r="D356" i="2"/>
  <c r="E356" i="2" l="1"/>
  <c r="B356" i="2"/>
  <c r="C356" i="2"/>
  <c r="F356" i="2"/>
  <c r="D357" i="2"/>
  <c r="E357" i="2" l="1"/>
  <c r="B357" i="2"/>
  <c r="C357" i="2"/>
  <c r="F357" i="2"/>
  <c r="D358" i="2"/>
  <c r="E358" i="2" l="1"/>
  <c r="B358" i="2"/>
  <c r="C358" i="2"/>
  <c r="F358" i="2"/>
  <c r="D359" i="2"/>
  <c r="E359" i="2" l="1"/>
  <c r="B359" i="2"/>
  <c r="F359" i="2"/>
  <c r="C359" i="2"/>
  <c r="D360" i="2"/>
  <c r="E360" i="2" l="1"/>
  <c r="B360" i="2"/>
  <c r="F360" i="2"/>
  <c r="C360" i="2"/>
  <c r="D361" i="2"/>
  <c r="E361" i="2" l="1"/>
  <c r="F361" i="2"/>
  <c r="C361" i="2"/>
  <c r="B361" i="2"/>
  <c r="D362" i="2"/>
  <c r="E362" i="2" l="1"/>
  <c r="C362" i="2"/>
  <c r="F362" i="2"/>
  <c r="B362" i="2"/>
  <c r="D363" i="2"/>
  <c r="F363" i="2" l="1"/>
  <c r="B363" i="2"/>
  <c r="C363" i="2"/>
  <c r="E363" i="2"/>
  <c r="D364" i="2"/>
  <c r="B364" i="2" l="1"/>
  <c r="F364" i="2"/>
  <c r="E364" i="2"/>
  <c r="C364" i="2"/>
  <c r="D365" i="2"/>
  <c r="E365" i="2" l="1"/>
  <c r="B365" i="2"/>
  <c r="F365" i="2"/>
  <c r="C365" i="2"/>
  <c r="D366" i="2"/>
  <c r="B366" i="2" l="1"/>
  <c r="E366" i="2"/>
  <c r="F366" i="2"/>
  <c r="C366" i="2"/>
  <c r="D367" i="2"/>
  <c r="D368" i="2" l="1"/>
  <c r="B367" i="2"/>
  <c r="E367" i="2"/>
  <c r="F367" i="2"/>
  <c r="C367" i="2"/>
  <c r="B368" i="2" l="1"/>
  <c r="E368" i="2"/>
  <c r="F368" i="2"/>
  <c r="C368" i="2"/>
  <c r="K346" i="2"/>
  <c r="L346" i="2" l="1"/>
  <c r="M346" i="2"/>
  <c r="I346" i="2"/>
  <c r="J346" i="2"/>
  <c r="K347" i="2"/>
  <c r="L347" i="2" l="1"/>
  <c r="M347" i="2"/>
  <c r="J347" i="2"/>
  <c r="I347" i="2"/>
  <c r="K348" i="2"/>
  <c r="L348" i="2" l="1"/>
  <c r="M348" i="2"/>
  <c r="J348" i="2"/>
  <c r="I348" i="2"/>
  <c r="K349" i="2"/>
  <c r="L349" i="2" l="1"/>
  <c r="M349" i="2"/>
  <c r="J349" i="2"/>
  <c r="I349" i="2"/>
  <c r="K350" i="2"/>
  <c r="L350" i="2" l="1"/>
  <c r="I350" i="2"/>
  <c r="M350" i="2"/>
  <c r="J350" i="2"/>
  <c r="K351" i="2"/>
  <c r="L351" i="2" l="1"/>
  <c r="I351" i="2"/>
  <c r="M351" i="2"/>
  <c r="J351" i="2"/>
  <c r="K352" i="2"/>
  <c r="L352" i="2" l="1"/>
  <c r="I352" i="2"/>
  <c r="M352" i="2"/>
  <c r="J352" i="2"/>
  <c r="K353" i="2"/>
  <c r="L353" i="2" l="1"/>
  <c r="I353" i="2"/>
  <c r="M353" i="2"/>
  <c r="J353" i="2"/>
  <c r="K354" i="2"/>
  <c r="L354" i="2" l="1"/>
  <c r="M354" i="2"/>
  <c r="I354" i="2"/>
  <c r="J354" i="2"/>
  <c r="K355" i="2"/>
  <c r="L355" i="2" l="1"/>
  <c r="I355" i="2"/>
  <c r="M355" i="2"/>
  <c r="J355" i="2"/>
  <c r="K356" i="2"/>
  <c r="M356" i="2" l="1"/>
  <c r="L356" i="2"/>
  <c r="I356" i="2"/>
  <c r="J356" i="2"/>
  <c r="K357" i="2"/>
  <c r="L357" i="2" l="1"/>
  <c r="M357" i="2"/>
  <c r="I357" i="2"/>
  <c r="J357" i="2"/>
  <c r="K358" i="2"/>
  <c r="I358" i="2" l="1"/>
  <c r="L358" i="2"/>
  <c r="M358" i="2"/>
  <c r="J358" i="2"/>
  <c r="K359" i="2"/>
  <c r="I359" i="2" l="1"/>
  <c r="L359" i="2"/>
  <c r="M359" i="2"/>
  <c r="J359" i="2"/>
  <c r="K360" i="2"/>
  <c r="I360" i="2" l="1"/>
  <c r="L360" i="2"/>
  <c r="J360" i="2"/>
  <c r="M360" i="2"/>
  <c r="K361" i="2"/>
  <c r="L361" i="2" l="1"/>
  <c r="I361" i="2"/>
  <c r="J361" i="2"/>
  <c r="M361" i="2"/>
  <c r="K362" i="2"/>
  <c r="L362" i="2" l="1"/>
  <c r="I362" i="2"/>
  <c r="J362" i="2"/>
  <c r="M362" i="2"/>
  <c r="K363" i="2"/>
  <c r="L363" i="2" l="1"/>
  <c r="I363" i="2"/>
  <c r="M363" i="2"/>
  <c r="J363" i="2"/>
  <c r="K364" i="2"/>
  <c r="L364" i="2" l="1"/>
  <c r="I364" i="2"/>
  <c r="J364" i="2"/>
  <c r="M364" i="2"/>
  <c r="K365" i="2"/>
  <c r="I365" i="2" l="1"/>
  <c r="M365" i="2"/>
  <c r="J365" i="2"/>
  <c r="L365" i="2"/>
  <c r="K366" i="2"/>
  <c r="M366" i="2" l="1"/>
  <c r="L366" i="2"/>
  <c r="I366" i="2"/>
  <c r="J366" i="2"/>
  <c r="K367" i="2"/>
  <c r="K368" i="2" l="1"/>
  <c r="L367" i="2"/>
  <c r="I367" i="2"/>
  <c r="M367" i="2"/>
  <c r="J367" i="2"/>
  <c r="L368" i="2" l="1"/>
  <c r="I368" i="2"/>
  <c r="J368" i="2"/>
  <c r="M368" i="2"/>
  <c r="R346" i="2"/>
  <c r="S346" i="2" l="1"/>
  <c r="P346" i="2"/>
  <c r="T346" i="2"/>
  <c r="Q346" i="2"/>
  <c r="R347" i="2"/>
  <c r="S347" i="2" l="1"/>
  <c r="T347" i="2"/>
  <c r="P347" i="2"/>
  <c r="Q347" i="2"/>
  <c r="R348" i="2"/>
  <c r="S348" i="2" l="1"/>
  <c r="P348" i="2"/>
  <c r="T348" i="2"/>
  <c r="Q348" i="2"/>
  <c r="R349" i="2"/>
  <c r="P349" i="2" l="1"/>
  <c r="T349" i="2"/>
  <c r="S349" i="2"/>
  <c r="Q349" i="2"/>
  <c r="R350" i="2"/>
  <c r="P350" i="2" l="1"/>
  <c r="S350" i="2"/>
  <c r="T350" i="2"/>
  <c r="Q350" i="2"/>
  <c r="R351" i="2"/>
  <c r="S351" i="2" l="1"/>
  <c r="P351" i="2"/>
  <c r="T351" i="2"/>
  <c r="Q351" i="2"/>
  <c r="R352" i="2"/>
  <c r="S352" i="2" l="1"/>
  <c r="P352" i="2"/>
  <c r="T352" i="2"/>
  <c r="Q352" i="2"/>
  <c r="R353" i="2"/>
  <c r="S353" i="2" l="1"/>
  <c r="P353" i="2"/>
  <c r="T353" i="2"/>
  <c r="Q353" i="2"/>
  <c r="R354" i="2"/>
  <c r="S354" i="2" l="1"/>
  <c r="P354" i="2"/>
  <c r="Q354" i="2"/>
  <c r="T354" i="2"/>
  <c r="R355" i="2"/>
  <c r="P355" i="2" l="1"/>
  <c r="S355" i="2"/>
  <c r="Q355" i="2"/>
  <c r="T355" i="2"/>
  <c r="R356" i="2"/>
  <c r="S356" i="2" l="1"/>
  <c r="P356" i="2"/>
  <c r="T356" i="2"/>
  <c r="Q356" i="2"/>
  <c r="R357" i="2"/>
  <c r="S357" i="2" l="1"/>
  <c r="T357" i="2"/>
  <c r="P357" i="2"/>
  <c r="Q357" i="2"/>
  <c r="R358" i="2"/>
  <c r="P358" i="2" l="1"/>
  <c r="T358" i="2"/>
  <c r="S358" i="2"/>
  <c r="Q358" i="2"/>
  <c r="R359" i="2"/>
  <c r="P359" i="2" l="1"/>
  <c r="Q359" i="2"/>
  <c r="S359" i="2"/>
  <c r="T359" i="2"/>
  <c r="R360" i="2"/>
  <c r="S360" i="2" l="1"/>
  <c r="T360" i="2"/>
  <c r="P360" i="2"/>
  <c r="Q360" i="2"/>
  <c r="R361" i="2"/>
  <c r="S361" i="2" l="1"/>
  <c r="T361" i="2"/>
  <c r="P361" i="2"/>
  <c r="Q361" i="2"/>
  <c r="R362" i="2"/>
  <c r="S362" i="2" l="1"/>
  <c r="T362" i="2"/>
  <c r="P362" i="2"/>
  <c r="Q362" i="2"/>
  <c r="R363" i="2"/>
  <c r="S363" i="2" l="1"/>
  <c r="P363" i="2"/>
  <c r="Q363" i="2"/>
  <c r="T363" i="2"/>
  <c r="R364" i="2"/>
  <c r="S364" i="2" l="1"/>
  <c r="P364" i="2"/>
  <c r="T364" i="2"/>
  <c r="Q364" i="2"/>
  <c r="R365" i="2"/>
  <c r="P365" i="2" l="1"/>
  <c r="T365" i="2"/>
  <c r="S365" i="2"/>
  <c r="Q365" i="2"/>
  <c r="R366" i="2"/>
  <c r="S366" i="2" l="1"/>
  <c r="P366" i="2"/>
  <c r="T366" i="2"/>
  <c r="Q366" i="2"/>
  <c r="R367" i="2"/>
  <c r="R368" i="2" l="1"/>
  <c r="P367" i="2"/>
  <c r="S367" i="2"/>
  <c r="T367" i="2"/>
  <c r="Q367" i="2"/>
  <c r="S368" i="2" l="1"/>
  <c r="P368" i="2"/>
  <c r="Q368" i="2"/>
  <c r="T368" i="2"/>
  <c r="D377" i="2"/>
  <c r="B377" i="2" l="1"/>
  <c r="E377" i="2"/>
  <c r="F377" i="2"/>
  <c r="C377" i="2"/>
  <c r="D378" i="2"/>
  <c r="B378" i="2" l="1"/>
  <c r="C378" i="2"/>
  <c r="E378" i="2"/>
  <c r="F378" i="2"/>
  <c r="D379" i="2"/>
  <c r="B379" i="2" l="1"/>
  <c r="E379" i="2"/>
  <c r="F379" i="2"/>
  <c r="C379" i="2"/>
  <c r="D380" i="2"/>
  <c r="B380" i="2" l="1"/>
  <c r="E380" i="2"/>
  <c r="F380" i="2"/>
  <c r="C380" i="2"/>
  <c r="D381" i="2"/>
  <c r="E381" i="2" l="1"/>
  <c r="B381" i="2"/>
  <c r="F381" i="2"/>
  <c r="C381" i="2"/>
  <c r="D382" i="2"/>
  <c r="E382" i="2" l="1"/>
  <c r="F382" i="2"/>
  <c r="B382" i="2"/>
  <c r="C382" i="2"/>
  <c r="D383" i="2"/>
  <c r="E383" i="2" l="1"/>
  <c r="C383" i="2"/>
  <c r="F383" i="2"/>
  <c r="B383" i="2"/>
  <c r="D384" i="2"/>
  <c r="E384" i="2" l="1"/>
  <c r="B384" i="2"/>
  <c r="F384" i="2"/>
  <c r="C384" i="2"/>
  <c r="D385" i="2"/>
  <c r="E385" i="2" l="1"/>
  <c r="B385" i="2"/>
  <c r="F385" i="2"/>
  <c r="C385" i="2"/>
  <c r="D386" i="2"/>
  <c r="E386" i="2" l="1"/>
  <c r="F386" i="2"/>
  <c r="B386" i="2"/>
  <c r="C386" i="2"/>
  <c r="D387" i="2"/>
  <c r="E387" i="2" l="1"/>
  <c r="B387" i="2"/>
  <c r="F387" i="2"/>
  <c r="C387" i="2"/>
  <c r="D388" i="2"/>
  <c r="E388" i="2" l="1"/>
  <c r="B388" i="2"/>
  <c r="F388" i="2"/>
  <c r="C388" i="2"/>
  <c r="D389" i="2"/>
  <c r="E389" i="2" l="1"/>
  <c r="F389" i="2"/>
  <c r="B389" i="2"/>
  <c r="C389" i="2"/>
  <c r="D390" i="2"/>
  <c r="E390" i="2" l="1"/>
  <c r="B390" i="2"/>
  <c r="F390" i="2"/>
  <c r="C390" i="2"/>
  <c r="D391" i="2"/>
  <c r="B391" i="2" l="1"/>
  <c r="F391" i="2"/>
  <c r="E391" i="2"/>
  <c r="C391" i="2"/>
  <c r="D392" i="2"/>
  <c r="B392" i="2" l="1"/>
  <c r="E392" i="2"/>
  <c r="F392" i="2"/>
  <c r="C392" i="2"/>
  <c r="D393" i="2"/>
  <c r="E393" i="2" l="1"/>
  <c r="B393" i="2"/>
  <c r="F393" i="2"/>
  <c r="C393" i="2"/>
  <c r="D394" i="2"/>
  <c r="E394" i="2" l="1"/>
  <c r="B394" i="2"/>
  <c r="C394" i="2"/>
  <c r="F394" i="2"/>
  <c r="D395" i="2"/>
  <c r="E395" i="2" l="1"/>
  <c r="B395" i="2"/>
  <c r="F395" i="2"/>
  <c r="C395" i="2"/>
  <c r="D396" i="2"/>
  <c r="E396" i="2" l="1"/>
  <c r="F396" i="2"/>
  <c r="C396" i="2"/>
  <c r="B396" i="2"/>
  <c r="D397" i="2"/>
  <c r="E397" i="2" l="1"/>
  <c r="B397" i="2"/>
  <c r="C397" i="2"/>
  <c r="F397" i="2"/>
  <c r="D398" i="2"/>
  <c r="D399" i="2" l="1"/>
  <c r="E398" i="2"/>
  <c r="B398" i="2"/>
  <c r="F398" i="2"/>
  <c r="C398" i="2"/>
  <c r="B399" i="2" l="1"/>
  <c r="F399" i="2"/>
  <c r="E399" i="2"/>
  <c r="C399" i="2"/>
  <c r="K377" i="2"/>
  <c r="L377" i="2" l="1"/>
  <c r="I377" i="2"/>
  <c r="J377" i="2"/>
  <c r="M377" i="2"/>
  <c r="K378" i="2"/>
  <c r="L378" i="2" l="1"/>
  <c r="M378" i="2"/>
  <c r="I378" i="2"/>
  <c r="J378" i="2"/>
  <c r="K379" i="2"/>
  <c r="L379" i="2" l="1"/>
  <c r="I379" i="2"/>
  <c r="M379" i="2"/>
  <c r="J379" i="2"/>
  <c r="K380" i="2"/>
  <c r="L380" i="2" l="1"/>
  <c r="I380" i="2"/>
  <c r="M380" i="2"/>
  <c r="J380" i="2"/>
  <c r="K381" i="2"/>
  <c r="L381" i="2" l="1"/>
  <c r="I381" i="2"/>
  <c r="M381" i="2"/>
  <c r="J381" i="2"/>
  <c r="K382" i="2"/>
  <c r="L382" i="2" l="1"/>
  <c r="I382" i="2"/>
  <c r="M382" i="2"/>
  <c r="J382" i="2"/>
  <c r="K383" i="2"/>
  <c r="L383" i="2" l="1"/>
  <c r="I383" i="2"/>
  <c r="M383" i="2"/>
  <c r="J383" i="2"/>
  <c r="K384" i="2"/>
  <c r="L384" i="2" l="1"/>
  <c r="I384" i="2"/>
  <c r="M384" i="2"/>
  <c r="J384" i="2"/>
  <c r="K385" i="2"/>
  <c r="L385" i="2" l="1"/>
  <c r="I385" i="2"/>
  <c r="J385" i="2"/>
  <c r="M385" i="2"/>
  <c r="K386" i="2"/>
  <c r="I386" i="2" l="1"/>
  <c r="L386" i="2"/>
  <c r="J386" i="2"/>
  <c r="M386" i="2"/>
  <c r="K387" i="2"/>
  <c r="L387" i="2" l="1"/>
  <c r="I387" i="2"/>
  <c r="J387" i="2"/>
  <c r="M387" i="2"/>
  <c r="K388" i="2"/>
  <c r="L388" i="2" l="1"/>
  <c r="I388" i="2"/>
  <c r="M388" i="2"/>
  <c r="J388" i="2"/>
  <c r="K389" i="2"/>
  <c r="L389" i="2" l="1"/>
  <c r="I389" i="2"/>
  <c r="M389" i="2"/>
  <c r="J389" i="2"/>
  <c r="K390" i="2"/>
  <c r="L390" i="2" l="1"/>
  <c r="I390" i="2"/>
  <c r="M390" i="2"/>
  <c r="J390" i="2"/>
  <c r="K391" i="2"/>
  <c r="L391" i="2" l="1"/>
  <c r="I391" i="2"/>
  <c r="M391" i="2"/>
  <c r="J391" i="2"/>
  <c r="K392" i="2"/>
  <c r="L392" i="2" l="1"/>
  <c r="M392" i="2"/>
  <c r="I392" i="2"/>
  <c r="J392" i="2"/>
  <c r="K393" i="2"/>
  <c r="L393" i="2" l="1"/>
  <c r="I393" i="2"/>
  <c r="M393" i="2"/>
  <c r="J393" i="2"/>
  <c r="K394" i="2"/>
  <c r="L394" i="2" l="1"/>
  <c r="J394" i="2"/>
  <c r="M394" i="2"/>
  <c r="I394" i="2"/>
  <c r="K395" i="2"/>
  <c r="L395" i="2" l="1"/>
  <c r="M395" i="2"/>
  <c r="I395" i="2"/>
  <c r="J395" i="2"/>
  <c r="K396" i="2"/>
  <c r="L396" i="2" l="1"/>
  <c r="I396" i="2"/>
  <c r="M396" i="2"/>
  <c r="J396" i="2"/>
  <c r="K397" i="2"/>
  <c r="L397" i="2" l="1"/>
  <c r="I397" i="2"/>
  <c r="M397" i="2"/>
  <c r="J397" i="2"/>
  <c r="K398" i="2"/>
  <c r="K399" i="2" l="1"/>
  <c r="L398" i="2"/>
  <c r="M398" i="2"/>
  <c r="I398" i="2"/>
  <c r="J398" i="2"/>
  <c r="I399" i="2" l="1"/>
  <c r="L399" i="2"/>
  <c r="J399" i="2"/>
  <c r="M399" i="2"/>
  <c r="R377" i="2"/>
  <c r="P377" i="2" l="1"/>
  <c r="S377" i="2"/>
  <c r="T377" i="2"/>
  <c r="Q377" i="2"/>
  <c r="R378" i="2"/>
  <c r="S378" i="2" l="1"/>
  <c r="P378" i="2"/>
  <c r="T378" i="2"/>
  <c r="Q378" i="2"/>
  <c r="R379" i="2"/>
  <c r="S379" i="2" l="1"/>
  <c r="T379" i="2"/>
  <c r="P379" i="2"/>
  <c r="Q379" i="2"/>
  <c r="R380" i="2"/>
  <c r="S380" i="2" l="1"/>
  <c r="P380" i="2"/>
  <c r="Q380" i="2"/>
  <c r="T380" i="2"/>
  <c r="R381" i="2"/>
  <c r="S381" i="2" l="1"/>
  <c r="P381" i="2"/>
  <c r="Q381" i="2"/>
  <c r="T381" i="2"/>
  <c r="R382" i="2"/>
  <c r="S382" i="2" l="1"/>
  <c r="P382" i="2"/>
  <c r="Q382" i="2"/>
  <c r="T382" i="2"/>
  <c r="R383" i="2"/>
  <c r="S383" i="2" l="1"/>
  <c r="P383" i="2"/>
  <c r="Q383" i="2"/>
  <c r="T383" i="2"/>
  <c r="R384" i="2"/>
  <c r="S384" i="2" l="1"/>
  <c r="P384" i="2"/>
  <c r="T384" i="2"/>
  <c r="Q384" i="2"/>
  <c r="R385" i="2"/>
  <c r="S385" i="2" l="1"/>
  <c r="P385" i="2"/>
  <c r="T385" i="2"/>
  <c r="Q385" i="2"/>
  <c r="R386" i="2"/>
  <c r="S386" i="2" l="1"/>
  <c r="P386" i="2"/>
  <c r="T386" i="2"/>
  <c r="Q386" i="2"/>
  <c r="R387" i="2"/>
  <c r="S387" i="2" l="1"/>
  <c r="P387" i="2"/>
  <c r="T387" i="2"/>
  <c r="Q387" i="2"/>
  <c r="R388" i="2"/>
  <c r="S388" i="2" l="1"/>
  <c r="T388" i="2"/>
  <c r="Q388" i="2"/>
  <c r="P388" i="2"/>
  <c r="R389" i="2"/>
  <c r="S389" i="2" l="1"/>
  <c r="P389" i="2"/>
  <c r="T389" i="2"/>
  <c r="Q389" i="2"/>
  <c r="R390" i="2"/>
  <c r="S390" i="2" l="1"/>
  <c r="P390" i="2"/>
  <c r="T390" i="2"/>
  <c r="Q390" i="2"/>
  <c r="R391" i="2"/>
  <c r="P391" i="2" l="1"/>
  <c r="T391" i="2"/>
  <c r="S391" i="2"/>
  <c r="Q391" i="2"/>
  <c r="R392" i="2"/>
  <c r="P392" i="2" l="1"/>
  <c r="T392" i="2"/>
  <c r="S392" i="2"/>
  <c r="Q392" i="2"/>
  <c r="R393" i="2"/>
  <c r="P393" i="2" l="1"/>
  <c r="S393" i="2"/>
  <c r="Q393" i="2"/>
  <c r="T393" i="2"/>
  <c r="R394" i="2"/>
  <c r="S394" i="2" l="1"/>
  <c r="T394" i="2"/>
  <c r="P394" i="2"/>
  <c r="Q394" i="2"/>
  <c r="R395" i="2"/>
  <c r="S395" i="2" l="1"/>
  <c r="T395" i="2"/>
  <c r="P395" i="2"/>
  <c r="Q395" i="2"/>
  <c r="R396" i="2"/>
  <c r="S396" i="2" l="1"/>
  <c r="T396" i="2"/>
  <c r="P396" i="2"/>
  <c r="Q396" i="2"/>
  <c r="R397" i="2"/>
  <c r="P397" i="2" l="1"/>
  <c r="T397" i="2"/>
  <c r="S397" i="2"/>
  <c r="Q397" i="2"/>
  <c r="R398" i="2"/>
  <c r="R399" i="2" l="1"/>
  <c r="S398" i="2"/>
  <c r="Q398" i="2"/>
  <c r="T398" i="2"/>
  <c r="P398" i="2"/>
  <c r="S399" i="2" l="1"/>
  <c r="P399" i="2"/>
  <c r="T399" i="2"/>
  <c r="Q399" i="2"/>
  <c r="D408" i="2"/>
  <c r="B408" i="2" l="1"/>
  <c r="E408" i="2"/>
  <c r="C408" i="2"/>
  <c r="D409" i="2"/>
  <c r="E409" i="2" l="1"/>
  <c r="B409" i="2"/>
  <c r="C409" i="2"/>
  <c r="D410" i="2"/>
  <c r="E410" i="2" l="1"/>
  <c r="C410" i="2"/>
  <c r="B410" i="2"/>
  <c r="D411" i="2"/>
  <c r="E411" i="2" l="1"/>
  <c r="B411" i="2"/>
  <c r="C411" i="2"/>
  <c r="D412" i="2"/>
  <c r="E412" i="2" l="1"/>
  <c r="C412" i="2"/>
  <c r="B412" i="2"/>
  <c r="D413" i="2"/>
  <c r="E413" i="2" l="1"/>
  <c r="B413" i="2"/>
  <c r="C413" i="2"/>
  <c r="D414" i="2"/>
  <c r="E414" i="2" l="1"/>
  <c r="B414" i="2"/>
  <c r="C414" i="2"/>
  <c r="D415" i="2"/>
  <c r="E415" i="2" l="1"/>
  <c r="B415" i="2"/>
  <c r="C415" i="2"/>
  <c r="D416" i="2"/>
  <c r="E416" i="2" l="1"/>
  <c r="B416" i="2"/>
  <c r="C416" i="2"/>
  <c r="D417" i="2"/>
  <c r="E417" i="2" l="1"/>
  <c r="B417" i="2"/>
  <c r="C417" i="2"/>
  <c r="D418" i="2"/>
  <c r="B418" i="2" l="1"/>
  <c r="E418" i="2"/>
  <c r="C418" i="2"/>
  <c r="D419" i="2"/>
  <c r="B419" i="2" l="1"/>
  <c r="E419" i="2"/>
  <c r="C419" i="2"/>
  <c r="D420" i="2"/>
  <c r="E420" i="2" l="1"/>
  <c r="B420" i="2"/>
  <c r="C420" i="2"/>
  <c r="D421" i="2"/>
  <c r="B421" i="2" l="1"/>
  <c r="E421" i="2"/>
  <c r="C421" i="2"/>
  <c r="D422" i="2"/>
  <c r="E422" i="2" l="1"/>
  <c r="B422" i="2"/>
  <c r="C422" i="2"/>
  <c r="D423" i="2"/>
  <c r="B423" i="2" l="1"/>
  <c r="E423" i="2"/>
  <c r="C423" i="2"/>
  <c r="D424" i="2"/>
  <c r="E424" i="2" l="1"/>
  <c r="B424" i="2"/>
  <c r="C424" i="2"/>
  <c r="D425" i="2"/>
  <c r="E425" i="2" l="1"/>
  <c r="B425" i="2"/>
  <c r="C425" i="2"/>
  <c r="D426" i="2"/>
  <c r="E426" i="2" l="1"/>
  <c r="B426" i="2"/>
  <c r="C426" i="2"/>
  <c r="D427" i="2"/>
  <c r="E427" i="2" l="1"/>
  <c r="B427" i="2"/>
  <c r="C427" i="2"/>
  <c r="D428" i="2"/>
  <c r="E428" i="2" l="1"/>
  <c r="B428" i="2"/>
  <c r="C428" i="2"/>
  <c r="D429" i="2"/>
  <c r="E429" i="2" l="1"/>
  <c r="B429" i="2"/>
  <c r="D430" i="2"/>
  <c r="C429" i="2"/>
  <c r="E430" i="2" l="1"/>
  <c r="B430" i="2"/>
  <c r="C430" i="2"/>
  <c r="K408" i="2"/>
  <c r="L408" i="2" l="1"/>
  <c r="I408" i="2"/>
  <c r="J408" i="2"/>
  <c r="K409" i="2"/>
  <c r="L409" i="2" l="1"/>
  <c r="I409" i="2"/>
  <c r="J409" i="2"/>
  <c r="K410" i="2"/>
  <c r="L410" i="2" l="1"/>
  <c r="I410" i="2"/>
  <c r="J410" i="2"/>
  <c r="K411" i="2"/>
  <c r="L411" i="2" l="1"/>
  <c r="I411" i="2"/>
  <c r="J411" i="2"/>
  <c r="K412" i="2"/>
  <c r="I412" i="2" l="1"/>
  <c r="L412" i="2"/>
  <c r="J412" i="2"/>
  <c r="K413" i="2"/>
  <c r="L413" i="2" l="1"/>
  <c r="I413" i="2"/>
  <c r="J413" i="2"/>
  <c r="K414" i="2"/>
  <c r="L414" i="2" l="1"/>
  <c r="J414" i="2"/>
  <c r="I414" i="2"/>
  <c r="K415" i="2"/>
  <c r="L415" i="2" l="1"/>
  <c r="I415" i="2"/>
  <c r="J415" i="2"/>
  <c r="K416" i="2"/>
  <c r="L416" i="2" l="1"/>
  <c r="J416" i="2"/>
  <c r="I416" i="2"/>
  <c r="K417" i="2"/>
  <c r="L417" i="2" l="1"/>
  <c r="I417" i="2"/>
  <c r="J417" i="2"/>
  <c r="K418" i="2"/>
  <c r="L418" i="2" l="1"/>
  <c r="I418" i="2"/>
  <c r="J418" i="2"/>
  <c r="K419" i="2"/>
  <c r="L419" i="2" l="1"/>
  <c r="I419" i="2"/>
  <c r="J419" i="2"/>
  <c r="K420" i="2"/>
  <c r="L420" i="2" l="1"/>
  <c r="I420" i="2"/>
  <c r="J420" i="2"/>
  <c r="K421" i="2"/>
  <c r="L421" i="2" l="1"/>
  <c r="I421" i="2"/>
  <c r="J421" i="2"/>
  <c r="K422" i="2"/>
  <c r="L422" i="2" l="1"/>
  <c r="I422" i="2"/>
  <c r="J422" i="2"/>
  <c r="K423" i="2"/>
  <c r="I423" i="2" l="1"/>
  <c r="L423" i="2"/>
  <c r="J423" i="2"/>
  <c r="K424" i="2"/>
  <c r="I424" i="2" l="1"/>
  <c r="L424" i="2"/>
  <c r="J424" i="2"/>
  <c r="K425" i="2"/>
  <c r="I425" i="2" l="1"/>
  <c r="L425" i="2"/>
  <c r="J425" i="2"/>
  <c r="K426" i="2"/>
  <c r="I426" i="2" l="1"/>
  <c r="L426" i="2"/>
  <c r="J426" i="2"/>
  <c r="K427" i="2"/>
  <c r="I427" i="2" l="1"/>
  <c r="L427" i="2"/>
  <c r="J427" i="2"/>
  <c r="K428" i="2"/>
  <c r="L428" i="2" l="1"/>
  <c r="I428" i="2"/>
  <c r="J428" i="2"/>
  <c r="K429" i="2"/>
  <c r="L429" i="2" l="1"/>
  <c r="J429" i="2"/>
  <c r="I429" i="2"/>
  <c r="K430" i="2"/>
  <c r="L430" i="2" l="1"/>
  <c r="I430" i="2"/>
  <c r="J430" i="2"/>
  <c r="R408" i="2"/>
  <c r="S408" i="2" l="1"/>
  <c r="P408" i="2"/>
  <c r="Q408" i="2"/>
  <c r="R409" i="2"/>
  <c r="S409" i="2" l="1"/>
  <c r="P409" i="2"/>
  <c r="Q409" i="2"/>
  <c r="R410" i="2"/>
  <c r="S410" i="2" l="1"/>
  <c r="P410" i="2"/>
  <c r="Q410" i="2"/>
  <c r="R411" i="2"/>
  <c r="P411" i="2" l="1"/>
  <c r="S411" i="2"/>
  <c r="Q411" i="2"/>
  <c r="R412" i="2"/>
  <c r="S412" i="2" l="1"/>
  <c r="P412" i="2"/>
  <c r="Q412" i="2"/>
  <c r="R413" i="2"/>
  <c r="S413" i="2" l="1"/>
  <c r="P413" i="2"/>
  <c r="Q413" i="2"/>
  <c r="R414" i="2"/>
  <c r="S414" i="2" l="1"/>
  <c r="P414" i="2"/>
  <c r="Q414" i="2"/>
  <c r="R415" i="2"/>
  <c r="S415" i="2" l="1"/>
  <c r="P415" i="2"/>
  <c r="Q415" i="2"/>
  <c r="R416" i="2"/>
  <c r="S416" i="2" l="1"/>
  <c r="Q416" i="2"/>
  <c r="P416" i="2"/>
  <c r="R417" i="2"/>
  <c r="S417" i="2" l="1"/>
  <c r="P417" i="2"/>
  <c r="Q417" i="2"/>
  <c r="R418" i="2"/>
  <c r="S418" i="2" l="1"/>
  <c r="P418" i="2"/>
  <c r="Q418" i="2"/>
  <c r="R419" i="2"/>
  <c r="S419" i="2" l="1"/>
  <c r="P419" i="2"/>
  <c r="Q419" i="2"/>
  <c r="R420" i="2"/>
  <c r="S420" i="2" l="1"/>
  <c r="P420" i="2"/>
  <c r="Q420" i="2"/>
  <c r="R421" i="2"/>
  <c r="S421" i="2" l="1"/>
  <c r="P421" i="2"/>
  <c r="Q421" i="2"/>
  <c r="R422" i="2"/>
  <c r="P422" i="2" l="1"/>
  <c r="S422" i="2"/>
  <c r="Q422" i="2"/>
  <c r="R423" i="2"/>
  <c r="S423" i="2" l="1"/>
  <c r="P423" i="2"/>
  <c r="Q423" i="2"/>
  <c r="R424" i="2"/>
  <c r="S424" i="2" l="1"/>
  <c r="P424" i="2"/>
  <c r="Q424" i="2"/>
  <c r="R425" i="2"/>
  <c r="P425" i="2" l="1"/>
  <c r="S425" i="2"/>
  <c r="Q425" i="2"/>
  <c r="R426" i="2"/>
  <c r="S426" i="2" l="1"/>
  <c r="Q426" i="2"/>
  <c r="P426" i="2"/>
  <c r="R427" i="2"/>
  <c r="S427" i="2" l="1"/>
  <c r="Q427" i="2"/>
  <c r="P427" i="2"/>
  <c r="R428" i="2"/>
  <c r="S428" i="2" l="1"/>
  <c r="P428" i="2"/>
  <c r="Q428" i="2"/>
  <c r="R429" i="2"/>
  <c r="S429" i="2" l="1"/>
  <c r="P429" i="2"/>
  <c r="Q429" i="2"/>
  <c r="R430" i="2"/>
  <c r="S430" i="2" l="1"/>
  <c r="P430" i="2"/>
  <c r="Q430" i="2"/>
  <c r="D439" i="2"/>
  <c r="E439" i="2" l="1"/>
  <c r="B439" i="2"/>
  <c r="C439" i="2"/>
  <c r="D440" i="2"/>
  <c r="E440" i="2" l="1"/>
  <c r="B440" i="2"/>
  <c r="C440" i="2"/>
  <c r="D441" i="2"/>
  <c r="E441" i="2" l="1"/>
  <c r="B441" i="2"/>
  <c r="C441" i="2"/>
  <c r="D442" i="2"/>
  <c r="E442" i="2" l="1"/>
  <c r="C442" i="2"/>
  <c r="B442" i="2"/>
  <c r="D443" i="2"/>
  <c r="E443" i="2" l="1"/>
  <c r="C443" i="2"/>
  <c r="B443" i="2"/>
  <c r="D444" i="2"/>
  <c r="E444" i="2" l="1"/>
  <c r="B444" i="2"/>
  <c r="C444" i="2"/>
  <c r="D445" i="2"/>
  <c r="B445" i="2" l="1"/>
  <c r="E445" i="2"/>
  <c r="C445" i="2"/>
  <c r="D446" i="2"/>
  <c r="E446" i="2" l="1"/>
  <c r="B446" i="2"/>
  <c r="C446" i="2"/>
  <c r="D447" i="2"/>
  <c r="E447" i="2" l="1"/>
  <c r="B447" i="2"/>
  <c r="C447" i="2"/>
  <c r="D448" i="2"/>
  <c r="E448" i="2" l="1"/>
  <c r="B448" i="2"/>
  <c r="C448" i="2"/>
  <c r="D449" i="2"/>
  <c r="E449" i="2" l="1"/>
  <c r="B449" i="2"/>
  <c r="C449" i="2"/>
  <c r="D450" i="2"/>
  <c r="E450" i="2" l="1"/>
  <c r="B450" i="2"/>
  <c r="C450" i="2"/>
  <c r="D451" i="2"/>
  <c r="B451" i="2" l="1"/>
  <c r="C451" i="2"/>
  <c r="E451" i="2"/>
  <c r="D452" i="2"/>
  <c r="B452" i="2" l="1"/>
  <c r="E452" i="2"/>
  <c r="C452" i="2"/>
  <c r="D453" i="2"/>
  <c r="E453" i="2" l="1"/>
  <c r="B453" i="2"/>
  <c r="C453" i="2"/>
  <c r="D454" i="2"/>
  <c r="E454" i="2" l="1"/>
  <c r="C454" i="2"/>
  <c r="B454" i="2"/>
  <c r="D455" i="2"/>
  <c r="E455" i="2" l="1"/>
  <c r="C455" i="2"/>
  <c r="B455" i="2"/>
  <c r="D456" i="2"/>
  <c r="E456" i="2" l="1"/>
  <c r="B456" i="2"/>
  <c r="C456" i="2"/>
  <c r="D457" i="2"/>
  <c r="E457" i="2" l="1"/>
  <c r="B457" i="2"/>
  <c r="C457" i="2"/>
  <c r="D458" i="2"/>
  <c r="E458" i="2" l="1"/>
  <c r="B458" i="2"/>
  <c r="C458" i="2"/>
  <c r="D459" i="2"/>
  <c r="B459" i="2" l="1"/>
  <c r="E459" i="2"/>
  <c r="C459" i="2"/>
  <c r="D460" i="2"/>
  <c r="D461" i="2" l="1"/>
  <c r="E460" i="2"/>
  <c r="B460" i="2"/>
  <c r="C460" i="2"/>
  <c r="E461" i="2" l="1"/>
  <c r="B461" i="2"/>
  <c r="C461" i="2"/>
  <c r="K439" i="2"/>
  <c r="L439" i="2" l="1"/>
  <c r="J439" i="2"/>
  <c r="I439" i="2"/>
  <c r="K440" i="2"/>
  <c r="L440" i="2" l="1"/>
  <c r="I440" i="2"/>
  <c r="J440" i="2"/>
  <c r="K441" i="2"/>
  <c r="L441" i="2" l="1"/>
  <c r="I441" i="2"/>
  <c r="J441" i="2"/>
  <c r="K442" i="2"/>
  <c r="L442" i="2" l="1"/>
  <c r="I442" i="2"/>
  <c r="J442" i="2"/>
  <c r="K443" i="2"/>
  <c r="L443" i="2" l="1"/>
  <c r="I443" i="2"/>
  <c r="J443" i="2"/>
  <c r="K444" i="2"/>
  <c r="L444" i="2" l="1"/>
  <c r="I444" i="2"/>
  <c r="J444" i="2"/>
  <c r="K445" i="2"/>
  <c r="L445" i="2" l="1"/>
  <c r="I445" i="2"/>
  <c r="J445" i="2"/>
  <c r="K446" i="2"/>
  <c r="L446" i="2" l="1"/>
  <c r="I446" i="2"/>
  <c r="J446" i="2"/>
  <c r="K447" i="2"/>
  <c r="L447" i="2" l="1"/>
  <c r="I447" i="2"/>
  <c r="J447" i="2"/>
  <c r="K448" i="2"/>
  <c r="L448" i="2" l="1"/>
  <c r="I448" i="2"/>
  <c r="J448" i="2"/>
  <c r="K449" i="2"/>
  <c r="L449" i="2" l="1"/>
  <c r="I449" i="2"/>
  <c r="J449" i="2"/>
  <c r="K450" i="2"/>
  <c r="L450" i="2" l="1"/>
  <c r="I450" i="2"/>
  <c r="J450" i="2"/>
  <c r="K451" i="2"/>
  <c r="L451" i="2" l="1"/>
  <c r="I451" i="2"/>
  <c r="J451" i="2"/>
  <c r="K452" i="2"/>
  <c r="I452" i="2" l="1"/>
  <c r="L452" i="2"/>
  <c r="J452" i="2"/>
  <c r="K453" i="2"/>
  <c r="I453" i="2" l="1"/>
  <c r="L453" i="2"/>
  <c r="J453" i="2"/>
  <c r="K454" i="2"/>
  <c r="I454" i="2" l="1"/>
  <c r="L454" i="2"/>
  <c r="J454" i="2"/>
  <c r="K455" i="2"/>
  <c r="I455" i="2" l="1"/>
  <c r="L455" i="2"/>
  <c r="J455" i="2"/>
  <c r="K456" i="2"/>
  <c r="L456" i="2" l="1"/>
  <c r="I456" i="2"/>
  <c r="J456" i="2"/>
  <c r="K457" i="2"/>
  <c r="L457" i="2" l="1"/>
  <c r="I457" i="2"/>
  <c r="J457" i="2"/>
  <c r="K458" i="2"/>
  <c r="I458" i="2" l="1"/>
  <c r="L458" i="2"/>
  <c r="J458" i="2"/>
  <c r="K459" i="2"/>
  <c r="L459" i="2" l="1"/>
  <c r="I459" i="2"/>
  <c r="J459" i="2"/>
  <c r="K460" i="2"/>
  <c r="K461" i="2" l="1"/>
  <c r="I460" i="2"/>
  <c r="L460" i="2"/>
  <c r="J460" i="2"/>
  <c r="L461" i="2" l="1"/>
  <c r="I461" i="2"/>
  <c r="J461" i="2"/>
  <c r="R439" i="2"/>
  <c r="S439" i="2" l="1"/>
  <c r="P439" i="2"/>
  <c r="Q439" i="2"/>
  <c r="R440" i="2"/>
  <c r="S440" i="2" l="1"/>
  <c r="P440" i="2"/>
  <c r="Q440" i="2"/>
  <c r="R441" i="2"/>
  <c r="S441" i="2" l="1"/>
  <c r="P441" i="2"/>
  <c r="Q441" i="2"/>
  <c r="R442" i="2"/>
  <c r="S442" i="2" l="1"/>
  <c r="P442" i="2"/>
  <c r="Q442" i="2"/>
  <c r="R443" i="2"/>
  <c r="P443" i="2" l="1"/>
  <c r="S443" i="2"/>
  <c r="Q443" i="2"/>
  <c r="R444" i="2"/>
  <c r="P444" i="2" l="1"/>
  <c r="S444" i="2"/>
  <c r="Q444" i="2"/>
  <c r="R445" i="2"/>
  <c r="S445" i="2" l="1"/>
  <c r="P445" i="2"/>
  <c r="Q445" i="2"/>
  <c r="R446" i="2"/>
  <c r="S446" i="2" l="1"/>
  <c r="P446" i="2"/>
  <c r="Q446" i="2"/>
  <c r="R447" i="2"/>
  <c r="S447" i="2" l="1"/>
  <c r="P447" i="2"/>
  <c r="Q447" i="2"/>
  <c r="R448" i="2"/>
  <c r="S448" i="2" l="1"/>
  <c r="P448" i="2"/>
  <c r="Q448" i="2"/>
  <c r="R449" i="2"/>
  <c r="P449" i="2" l="1"/>
  <c r="Q449" i="2"/>
  <c r="S449" i="2"/>
  <c r="R450" i="2"/>
  <c r="S450" i="2" l="1"/>
  <c r="P450" i="2"/>
  <c r="Q450" i="2"/>
  <c r="R451" i="2"/>
  <c r="P451" i="2" l="1"/>
  <c r="S451" i="2"/>
  <c r="Q451" i="2"/>
  <c r="R452" i="2"/>
  <c r="S452" i="2" l="1"/>
  <c r="P452" i="2"/>
  <c r="Q452" i="2"/>
  <c r="R453" i="2"/>
  <c r="S453" i="2" l="1"/>
  <c r="P453" i="2"/>
  <c r="Q453" i="2"/>
  <c r="R454" i="2"/>
  <c r="S454" i="2" l="1"/>
  <c r="P454" i="2"/>
  <c r="Q454" i="2"/>
  <c r="R455" i="2"/>
  <c r="S455" i="2" l="1"/>
  <c r="P455" i="2"/>
  <c r="Q455" i="2"/>
  <c r="R456" i="2"/>
  <c r="P456" i="2" l="1"/>
  <c r="S456" i="2"/>
  <c r="Q456" i="2"/>
  <c r="R457" i="2"/>
  <c r="S457" i="2" l="1"/>
  <c r="P457" i="2"/>
  <c r="Q457" i="2"/>
  <c r="R458" i="2"/>
  <c r="S458" i="2" l="1"/>
  <c r="P458" i="2"/>
  <c r="Q458" i="2"/>
  <c r="R459" i="2"/>
  <c r="S459" i="2" l="1"/>
  <c r="P459" i="2"/>
  <c r="Q459" i="2"/>
  <c r="R460" i="2"/>
  <c r="R461" i="2" l="1"/>
  <c r="S460" i="2"/>
  <c r="P460" i="2"/>
  <c r="Q460" i="2"/>
  <c r="P461" i="2" l="1"/>
  <c r="S461" i="2"/>
  <c r="Q461" i="2"/>
  <c r="D470" i="2"/>
  <c r="B470" i="2" l="1"/>
  <c r="E470" i="2"/>
  <c r="C470" i="2"/>
  <c r="D471" i="2"/>
  <c r="B471" i="2" l="1"/>
  <c r="E471" i="2"/>
  <c r="C471" i="2"/>
  <c r="D472" i="2"/>
  <c r="E472" i="2" l="1"/>
  <c r="B472" i="2"/>
  <c r="C472" i="2"/>
  <c r="D473" i="2"/>
  <c r="B473" i="2" l="1"/>
  <c r="C473" i="2"/>
  <c r="E473" i="2"/>
  <c r="D474" i="2"/>
  <c r="E474" i="2" l="1"/>
  <c r="B474" i="2"/>
  <c r="C474" i="2"/>
  <c r="D475" i="2"/>
  <c r="B475" i="2" l="1"/>
  <c r="E475" i="2"/>
  <c r="C475" i="2"/>
  <c r="D476" i="2"/>
  <c r="E476" i="2" l="1"/>
  <c r="B476" i="2"/>
  <c r="C476" i="2"/>
  <c r="D477" i="2"/>
  <c r="E477" i="2" l="1"/>
  <c r="B477" i="2"/>
  <c r="C477" i="2"/>
  <c r="D478" i="2"/>
  <c r="E478" i="2" l="1"/>
  <c r="B478" i="2"/>
  <c r="C478" i="2"/>
  <c r="D479" i="2"/>
  <c r="E479" i="2" l="1"/>
  <c r="B479" i="2"/>
  <c r="C479" i="2"/>
  <c r="D480" i="2"/>
  <c r="E480" i="2" l="1"/>
  <c r="B480" i="2"/>
  <c r="C480" i="2"/>
  <c r="D481" i="2"/>
  <c r="E481" i="2" l="1"/>
  <c r="B481" i="2"/>
  <c r="C481" i="2"/>
  <c r="D482" i="2"/>
  <c r="E482" i="2" l="1"/>
  <c r="C482" i="2"/>
  <c r="B482" i="2"/>
  <c r="D483" i="2"/>
  <c r="E483" i="2" l="1"/>
  <c r="B483" i="2"/>
  <c r="C483" i="2"/>
  <c r="D484" i="2"/>
  <c r="E484" i="2" l="1"/>
  <c r="C484" i="2"/>
  <c r="B484" i="2"/>
  <c r="D485" i="2"/>
  <c r="E485" i="2" l="1"/>
  <c r="B485" i="2"/>
  <c r="C485" i="2"/>
  <c r="D486" i="2"/>
  <c r="B486" i="2" l="1"/>
  <c r="E486" i="2"/>
  <c r="C486" i="2"/>
  <c r="D487" i="2"/>
  <c r="B487" i="2" l="1"/>
  <c r="E487" i="2"/>
  <c r="C487" i="2"/>
  <c r="D488" i="2"/>
  <c r="E488" i="2" l="1"/>
  <c r="B488" i="2"/>
  <c r="C488" i="2"/>
  <c r="D489" i="2"/>
  <c r="B489" i="2" l="1"/>
  <c r="E489" i="2"/>
  <c r="C489" i="2"/>
  <c r="D490" i="2"/>
  <c r="E490" i="2" l="1"/>
  <c r="B490" i="2"/>
  <c r="C490" i="2"/>
  <c r="D491" i="2"/>
  <c r="D492" i="2" l="1"/>
  <c r="E491" i="2"/>
  <c r="B491" i="2"/>
  <c r="C491" i="2"/>
  <c r="B492" i="2" l="1"/>
  <c r="E492" i="2"/>
  <c r="C492" i="2"/>
  <c r="K470" i="2"/>
  <c r="L470" i="2" l="1"/>
  <c r="I470" i="2"/>
  <c r="J470" i="2"/>
  <c r="K471" i="2"/>
  <c r="L471" i="2" l="1"/>
  <c r="I471" i="2"/>
  <c r="J471" i="2"/>
  <c r="K472" i="2"/>
  <c r="L472" i="2" l="1"/>
  <c r="J472" i="2"/>
  <c r="I472" i="2"/>
  <c r="K473" i="2"/>
  <c r="L473" i="2" l="1"/>
  <c r="I473" i="2"/>
  <c r="J473" i="2"/>
  <c r="K474" i="2"/>
  <c r="L474" i="2" l="1"/>
  <c r="I474" i="2"/>
  <c r="J474" i="2"/>
  <c r="K475" i="2"/>
  <c r="L475" i="2" l="1"/>
  <c r="I475" i="2"/>
  <c r="J475" i="2"/>
  <c r="K476" i="2"/>
  <c r="L476" i="2" l="1"/>
  <c r="I476" i="2"/>
  <c r="J476" i="2"/>
  <c r="K477" i="2"/>
  <c r="I477" i="2" l="1"/>
  <c r="L477" i="2"/>
  <c r="J477" i="2"/>
  <c r="K478" i="2"/>
  <c r="L478" i="2" l="1"/>
  <c r="I478" i="2"/>
  <c r="J478" i="2"/>
  <c r="K479" i="2"/>
  <c r="L479" i="2" l="1"/>
  <c r="I479" i="2"/>
  <c r="J479" i="2"/>
  <c r="K480" i="2"/>
  <c r="L480" i="2" l="1"/>
  <c r="I480" i="2"/>
  <c r="J480" i="2"/>
  <c r="K481" i="2"/>
  <c r="I481" i="2" l="1"/>
  <c r="L481" i="2"/>
  <c r="J481" i="2"/>
  <c r="K482" i="2"/>
  <c r="L482" i="2" l="1"/>
  <c r="I482" i="2"/>
  <c r="J482" i="2"/>
  <c r="K483" i="2"/>
  <c r="L483" i="2" l="1"/>
  <c r="I483" i="2"/>
  <c r="J483" i="2"/>
  <c r="K484" i="2"/>
  <c r="L484" i="2" l="1"/>
  <c r="I484" i="2"/>
  <c r="J484" i="2"/>
  <c r="K485" i="2"/>
  <c r="I485" i="2" l="1"/>
  <c r="L485" i="2"/>
  <c r="J485" i="2"/>
  <c r="K486" i="2"/>
  <c r="L486" i="2" l="1"/>
  <c r="I486" i="2"/>
  <c r="J486" i="2"/>
  <c r="K487" i="2"/>
  <c r="L487" i="2" l="1"/>
  <c r="I487" i="2"/>
  <c r="J487" i="2"/>
  <c r="K488" i="2"/>
  <c r="L488" i="2" l="1"/>
  <c r="I488" i="2"/>
  <c r="J488" i="2"/>
  <c r="K489" i="2"/>
  <c r="L489" i="2" l="1"/>
  <c r="I489" i="2"/>
  <c r="J489" i="2"/>
  <c r="K490" i="2"/>
  <c r="L490" i="2" l="1"/>
  <c r="I490" i="2"/>
  <c r="J490" i="2"/>
  <c r="K491" i="2"/>
  <c r="K492" i="2" l="1"/>
  <c r="L491" i="2"/>
  <c r="I491" i="2"/>
  <c r="J491" i="2"/>
  <c r="L492" i="2" l="1"/>
  <c r="I492" i="2"/>
  <c r="J492" i="2"/>
  <c r="R470" i="2"/>
  <c r="S470" i="2" l="1"/>
  <c r="P470" i="2"/>
  <c r="Q470" i="2"/>
  <c r="R471" i="2"/>
  <c r="P471" i="2" l="1"/>
  <c r="S471" i="2"/>
  <c r="Q471" i="2"/>
  <c r="R472" i="2"/>
  <c r="P472" i="2" l="1"/>
  <c r="S472" i="2"/>
  <c r="Q472" i="2"/>
  <c r="R473" i="2"/>
  <c r="P473" i="2" l="1"/>
  <c r="S473" i="2"/>
  <c r="Q473" i="2"/>
  <c r="R474" i="2"/>
  <c r="P474" i="2" l="1"/>
  <c r="Q474" i="2"/>
  <c r="S474" i="2"/>
  <c r="R475" i="2"/>
  <c r="P475" i="2" l="1"/>
  <c r="Q475" i="2"/>
  <c r="S475" i="2"/>
  <c r="R476" i="2"/>
  <c r="S476" i="2" l="1"/>
  <c r="P476" i="2"/>
  <c r="Q476" i="2"/>
  <c r="R477" i="2"/>
  <c r="S477" i="2" l="1"/>
  <c r="P477" i="2"/>
  <c r="Q477" i="2"/>
  <c r="R478" i="2"/>
  <c r="S478" i="2" l="1"/>
  <c r="P478" i="2"/>
  <c r="Q478" i="2"/>
  <c r="R479" i="2"/>
  <c r="S479" i="2" l="1"/>
  <c r="Q479" i="2"/>
  <c r="P479" i="2"/>
  <c r="R480" i="2"/>
  <c r="S480" i="2" l="1"/>
  <c r="Q480" i="2"/>
  <c r="P480" i="2"/>
  <c r="R481" i="2"/>
  <c r="S481" i="2" l="1"/>
  <c r="P481" i="2"/>
  <c r="Q481" i="2"/>
  <c r="R482" i="2"/>
  <c r="S482" i="2" l="1"/>
  <c r="P482" i="2"/>
  <c r="Q482" i="2"/>
  <c r="R483" i="2"/>
  <c r="S483" i="2" l="1"/>
  <c r="P483" i="2"/>
  <c r="Q483" i="2"/>
  <c r="R484" i="2"/>
  <c r="S484" i="2" l="1"/>
  <c r="P484" i="2"/>
  <c r="Q484" i="2"/>
  <c r="R485" i="2"/>
  <c r="S485" i="2" l="1"/>
  <c r="P485" i="2"/>
  <c r="Q485" i="2"/>
  <c r="R486" i="2"/>
  <c r="S486" i="2" l="1"/>
  <c r="P486" i="2"/>
  <c r="Q486" i="2"/>
  <c r="R487" i="2"/>
  <c r="P487" i="2" l="1"/>
  <c r="S487" i="2"/>
  <c r="Q487" i="2"/>
  <c r="R488" i="2"/>
  <c r="P488" i="2" l="1"/>
  <c r="S488" i="2"/>
  <c r="Q488" i="2"/>
  <c r="R489" i="2"/>
  <c r="P489" i="2" l="1"/>
  <c r="S489" i="2"/>
  <c r="Q489" i="2"/>
  <c r="R490" i="2"/>
  <c r="Q490" i="2" l="1"/>
  <c r="P490" i="2"/>
  <c r="S490" i="2"/>
  <c r="R491" i="2"/>
  <c r="R492" i="2" l="1"/>
  <c r="S491" i="2"/>
  <c r="Q491" i="2"/>
  <c r="P491" i="2"/>
  <c r="S492" i="2" l="1"/>
  <c r="P492" i="2"/>
  <c r="Q492" i="2"/>
  <c r="D501" i="2"/>
  <c r="E501" i="2" l="1"/>
  <c r="B501" i="2"/>
  <c r="C501" i="2"/>
  <c r="D502" i="2"/>
  <c r="E502" i="2" l="1"/>
  <c r="B502" i="2"/>
  <c r="C502" i="2"/>
  <c r="D503" i="2"/>
  <c r="B503" i="2" l="1"/>
  <c r="E503" i="2"/>
  <c r="C503" i="2"/>
  <c r="D504" i="2"/>
  <c r="B504" i="2" l="1"/>
  <c r="E504" i="2"/>
  <c r="C504" i="2"/>
  <c r="D505" i="2"/>
  <c r="E505" i="2" l="1"/>
  <c r="B505" i="2"/>
  <c r="C505" i="2"/>
  <c r="D506" i="2"/>
  <c r="E506" i="2" l="1"/>
  <c r="B506" i="2"/>
  <c r="C506" i="2"/>
  <c r="D507" i="2"/>
  <c r="E507" i="2" l="1"/>
  <c r="B507" i="2"/>
  <c r="C507" i="2"/>
  <c r="D508" i="2"/>
  <c r="E508" i="2" l="1"/>
  <c r="B508" i="2"/>
  <c r="C508" i="2"/>
  <c r="D509" i="2"/>
  <c r="E509" i="2" l="1"/>
  <c r="B509" i="2"/>
  <c r="C509" i="2"/>
  <c r="D510" i="2"/>
  <c r="E510" i="2" l="1"/>
  <c r="B510" i="2"/>
  <c r="C510" i="2"/>
  <c r="D511" i="2"/>
  <c r="E511" i="2" l="1"/>
  <c r="B511" i="2"/>
  <c r="C511" i="2"/>
  <c r="D512" i="2"/>
  <c r="E512" i="2" l="1"/>
  <c r="B512" i="2"/>
  <c r="C512" i="2"/>
  <c r="D513" i="2"/>
  <c r="E513" i="2" l="1"/>
  <c r="B513" i="2"/>
  <c r="C513" i="2"/>
  <c r="D514" i="2"/>
  <c r="B514" i="2" l="1"/>
  <c r="C514" i="2"/>
  <c r="E514" i="2"/>
  <c r="D515" i="2"/>
  <c r="B515" i="2" l="1"/>
  <c r="E515" i="2"/>
  <c r="C515" i="2"/>
  <c r="D516" i="2"/>
  <c r="E516" i="2" l="1"/>
  <c r="B516" i="2"/>
  <c r="C516" i="2"/>
  <c r="D517" i="2"/>
  <c r="E517" i="2" l="1"/>
  <c r="B517" i="2"/>
  <c r="C517" i="2"/>
  <c r="D518" i="2"/>
  <c r="E518" i="2" l="1"/>
  <c r="B518" i="2"/>
  <c r="C518" i="2"/>
  <c r="D519" i="2"/>
  <c r="E519" i="2" l="1"/>
  <c r="B519" i="2"/>
  <c r="C519" i="2"/>
  <c r="D520" i="2"/>
  <c r="E520" i="2" l="1"/>
  <c r="B520" i="2"/>
  <c r="C520" i="2"/>
  <c r="D521" i="2"/>
  <c r="E521" i="2" l="1"/>
  <c r="B521" i="2"/>
  <c r="C521" i="2"/>
  <c r="D522" i="2"/>
  <c r="D523" i="2" l="1"/>
  <c r="E522" i="2"/>
  <c r="B522" i="2"/>
  <c r="C522" i="2"/>
  <c r="E523" i="2" l="1"/>
  <c r="B523" i="2"/>
  <c r="C523" i="2"/>
  <c r="K501" i="2"/>
  <c r="L501" i="2" l="1"/>
  <c r="I501" i="2"/>
  <c r="J501" i="2"/>
  <c r="K502" i="2"/>
  <c r="L502" i="2" l="1"/>
  <c r="I502" i="2"/>
  <c r="J502" i="2"/>
  <c r="K503" i="2"/>
  <c r="L503" i="2" l="1"/>
  <c r="I503" i="2"/>
  <c r="J503" i="2"/>
  <c r="K504" i="2"/>
  <c r="I504" i="2" l="1"/>
  <c r="L504" i="2"/>
  <c r="J504" i="2"/>
  <c r="K505" i="2"/>
  <c r="I505" i="2" l="1"/>
  <c r="L505" i="2"/>
  <c r="J505" i="2"/>
  <c r="K506" i="2"/>
  <c r="I506" i="2" l="1"/>
  <c r="L506" i="2"/>
  <c r="J506" i="2"/>
  <c r="K507" i="2"/>
  <c r="I507" i="2" l="1"/>
  <c r="L507" i="2"/>
  <c r="J507" i="2"/>
  <c r="K508" i="2"/>
  <c r="L508" i="2" l="1"/>
  <c r="I508" i="2"/>
  <c r="J508" i="2"/>
  <c r="K509" i="2"/>
  <c r="L509" i="2" l="1"/>
  <c r="I509" i="2"/>
  <c r="J509" i="2"/>
  <c r="K510" i="2"/>
  <c r="L510" i="2" l="1"/>
  <c r="I510" i="2"/>
  <c r="J510" i="2"/>
  <c r="K511" i="2"/>
  <c r="L511" i="2" l="1"/>
  <c r="I511" i="2"/>
  <c r="J511" i="2"/>
  <c r="K512" i="2"/>
  <c r="L512" i="2" l="1"/>
  <c r="I512" i="2"/>
  <c r="J512" i="2"/>
  <c r="K513" i="2"/>
  <c r="L513" i="2" l="1"/>
  <c r="J513" i="2"/>
  <c r="I513" i="2"/>
  <c r="K514" i="2"/>
  <c r="L514" i="2" l="1"/>
  <c r="J514" i="2"/>
  <c r="I514" i="2"/>
  <c r="K515" i="2"/>
  <c r="L515" i="2" l="1"/>
  <c r="I515" i="2"/>
  <c r="J515" i="2"/>
  <c r="K516" i="2"/>
  <c r="L516" i="2" l="1"/>
  <c r="I516" i="2"/>
  <c r="J516" i="2"/>
  <c r="K517" i="2"/>
  <c r="L517" i="2" l="1"/>
  <c r="I517" i="2"/>
  <c r="J517" i="2"/>
  <c r="K518" i="2"/>
  <c r="L518" i="2" l="1"/>
  <c r="I518" i="2"/>
  <c r="J518" i="2"/>
  <c r="K519" i="2"/>
  <c r="L519" i="2" l="1"/>
  <c r="I519" i="2"/>
  <c r="J519" i="2"/>
  <c r="K520" i="2"/>
  <c r="I520" i="2" l="1"/>
  <c r="L520" i="2"/>
  <c r="J520" i="2"/>
  <c r="K521" i="2"/>
  <c r="I521" i="2" l="1"/>
  <c r="L521" i="2"/>
  <c r="J521" i="2"/>
  <c r="K522" i="2"/>
  <c r="L532" i="2" l="1"/>
  <c r="I532" i="2"/>
  <c r="J532" i="2"/>
  <c r="K523" i="2"/>
  <c r="I522" i="2"/>
  <c r="L522" i="2"/>
  <c r="J522" i="2"/>
  <c r="L533" i="2" l="1"/>
  <c r="J533" i="2"/>
  <c r="I533" i="2"/>
  <c r="L523" i="2"/>
  <c r="J523" i="2"/>
  <c r="I523" i="2"/>
  <c r="R501" i="2"/>
  <c r="L534" i="2" l="1"/>
  <c r="I534" i="2"/>
  <c r="J534" i="2"/>
  <c r="S501" i="2"/>
  <c r="P501" i="2"/>
  <c r="Q501" i="2"/>
  <c r="R502" i="2"/>
  <c r="L535" i="2" l="1"/>
  <c r="I535" i="2"/>
  <c r="J535" i="2"/>
  <c r="S502" i="2"/>
  <c r="P502" i="2"/>
  <c r="Q502" i="2"/>
  <c r="R503" i="2"/>
  <c r="L536" i="2" l="1"/>
  <c r="I536" i="2"/>
  <c r="J536" i="2"/>
  <c r="S503" i="2"/>
  <c r="P503" i="2"/>
  <c r="Q503" i="2"/>
  <c r="R504" i="2"/>
  <c r="L537" i="2" l="1"/>
  <c r="I537" i="2"/>
  <c r="J537" i="2"/>
  <c r="S504" i="2"/>
  <c r="P504" i="2"/>
  <c r="Q504" i="2"/>
  <c r="R505" i="2"/>
  <c r="S505" i="2" l="1"/>
  <c r="P505" i="2"/>
  <c r="Q505" i="2"/>
  <c r="R506" i="2"/>
  <c r="I538" i="2"/>
  <c r="L538" i="2"/>
  <c r="J538" i="2"/>
  <c r="L539" i="2" l="1"/>
  <c r="I539" i="2"/>
  <c r="J539" i="2"/>
  <c r="S506" i="2"/>
  <c r="P506" i="2"/>
  <c r="Q506" i="2"/>
  <c r="R507" i="2"/>
  <c r="L540" i="2" l="1"/>
  <c r="I540" i="2"/>
  <c r="J540" i="2"/>
  <c r="S507" i="2"/>
  <c r="P507" i="2"/>
  <c r="Q507" i="2"/>
  <c r="R508" i="2"/>
  <c r="L541" i="2" l="1"/>
  <c r="I541" i="2"/>
  <c r="J541" i="2"/>
  <c r="S508" i="2"/>
  <c r="P508" i="2"/>
  <c r="Q508" i="2"/>
  <c r="R509" i="2"/>
  <c r="L542" i="2" l="1"/>
  <c r="I542" i="2"/>
  <c r="J542" i="2"/>
  <c r="P509" i="2"/>
  <c r="S509" i="2"/>
  <c r="Q509" i="2"/>
  <c r="R510" i="2"/>
  <c r="L543" i="2" l="1"/>
  <c r="J543" i="2"/>
  <c r="I543" i="2"/>
  <c r="S510" i="2"/>
  <c r="P510" i="2"/>
  <c r="Q510" i="2"/>
  <c r="R511" i="2"/>
  <c r="L544" i="2" l="1"/>
  <c r="J544" i="2"/>
  <c r="I544" i="2"/>
  <c r="S511" i="2"/>
  <c r="P511" i="2"/>
  <c r="Q511" i="2"/>
  <c r="R512" i="2"/>
  <c r="L545" i="2" l="1"/>
  <c r="I545" i="2"/>
  <c r="J545" i="2"/>
  <c r="S512" i="2"/>
  <c r="P512" i="2"/>
  <c r="Q512" i="2"/>
  <c r="R513" i="2"/>
  <c r="I546" i="2" l="1"/>
  <c r="L546" i="2"/>
  <c r="J546" i="2"/>
  <c r="P513" i="2"/>
  <c r="S513" i="2"/>
  <c r="Q513" i="2"/>
  <c r="R514" i="2"/>
  <c r="I547" i="2" l="1"/>
  <c r="L547" i="2"/>
  <c r="J547" i="2"/>
  <c r="P514" i="2"/>
  <c r="S514" i="2"/>
  <c r="Q514" i="2"/>
  <c r="R515" i="2"/>
  <c r="I548" i="2" l="1"/>
  <c r="L548" i="2"/>
  <c r="J548" i="2"/>
  <c r="S515" i="2"/>
  <c r="P515" i="2"/>
  <c r="Q515" i="2"/>
  <c r="R516" i="2"/>
  <c r="I549" i="2" l="1"/>
  <c r="L549" i="2"/>
  <c r="J549" i="2"/>
  <c r="S516" i="2"/>
  <c r="P516" i="2"/>
  <c r="Q516" i="2"/>
  <c r="R517" i="2"/>
  <c r="L550" i="2" l="1"/>
  <c r="I550" i="2"/>
  <c r="J550" i="2"/>
  <c r="S517" i="2"/>
  <c r="P517" i="2"/>
  <c r="Q517" i="2"/>
  <c r="R518" i="2"/>
  <c r="L551" i="2" l="1"/>
  <c r="I551" i="2"/>
  <c r="J551" i="2"/>
  <c r="S518" i="2"/>
  <c r="Q518" i="2"/>
  <c r="P518" i="2"/>
  <c r="R519" i="2"/>
  <c r="L552" i="2" l="1"/>
  <c r="I552" i="2"/>
  <c r="J552" i="2"/>
  <c r="S519" i="2"/>
  <c r="Q519" i="2"/>
  <c r="P519" i="2"/>
  <c r="R520" i="2"/>
  <c r="L553" i="2" l="1"/>
  <c r="I553" i="2"/>
  <c r="J553" i="2"/>
  <c r="S520" i="2"/>
  <c r="P520" i="2"/>
  <c r="Q520" i="2"/>
  <c r="R521" i="2"/>
  <c r="L554" i="2" l="1"/>
  <c r="I554" i="2"/>
  <c r="J554" i="2"/>
  <c r="S521" i="2"/>
  <c r="P521" i="2"/>
  <c r="Q521" i="2"/>
  <c r="R522" i="2"/>
  <c r="S532" i="2" l="1"/>
  <c r="P532" i="2"/>
  <c r="Q532" i="2"/>
  <c r="R523" i="2"/>
  <c r="S522" i="2"/>
  <c r="P522" i="2"/>
  <c r="Q522" i="2"/>
  <c r="S533" i="2" l="1"/>
  <c r="P533" i="2"/>
  <c r="Q533" i="2"/>
  <c r="S523" i="2"/>
  <c r="P523" i="2"/>
  <c r="Q523" i="2"/>
  <c r="D532" i="2"/>
  <c r="S534" i="2" l="1"/>
  <c r="P534" i="2"/>
  <c r="Q534" i="2"/>
  <c r="E532" i="2"/>
  <c r="B532" i="2"/>
  <c r="C532" i="2"/>
  <c r="D533" i="2"/>
  <c r="S535" i="2" l="1"/>
  <c r="P535" i="2"/>
  <c r="Q535" i="2"/>
  <c r="E533" i="2"/>
  <c r="B533" i="2"/>
  <c r="C533" i="2"/>
  <c r="D534" i="2"/>
  <c r="E534" i="2" l="1"/>
  <c r="B534" i="2"/>
  <c r="C534" i="2"/>
  <c r="D535" i="2"/>
  <c r="S536" i="2"/>
  <c r="P536" i="2"/>
  <c r="Q536" i="2"/>
  <c r="P537" i="2" l="1"/>
  <c r="S537" i="2"/>
  <c r="Q537" i="2"/>
  <c r="E535" i="2"/>
  <c r="B535" i="2"/>
  <c r="C535" i="2"/>
  <c r="D536" i="2"/>
  <c r="P538" i="2" l="1"/>
  <c r="S538" i="2"/>
  <c r="Q538" i="2"/>
  <c r="E536" i="2"/>
  <c r="B536" i="2"/>
  <c r="C536" i="2"/>
  <c r="D537" i="2"/>
  <c r="P539" i="2" l="1"/>
  <c r="S539" i="2"/>
  <c r="Q539" i="2"/>
  <c r="B537" i="2"/>
  <c r="E537" i="2"/>
  <c r="C537" i="2"/>
  <c r="D538" i="2"/>
  <c r="S540" i="2" l="1"/>
  <c r="Q540" i="2"/>
  <c r="P540" i="2"/>
  <c r="E538" i="2"/>
  <c r="C538" i="2"/>
  <c r="B538" i="2"/>
  <c r="D539" i="2"/>
  <c r="S541" i="2" l="1"/>
  <c r="P541" i="2"/>
  <c r="Q541" i="2"/>
  <c r="B539" i="2"/>
  <c r="E539" i="2"/>
  <c r="C539" i="2"/>
  <c r="D540" i="2"/>
  <c r="S542" i="2" l="1"/>
  <c r="P542" i="2"/>
  <c r="Q542" i="2"/>
  <c r="E540" i="2"/>
  <c r="B540" i="2"/>
  <c r="C540" i="2"/>
  <c r="D541" i="2"/>
  <c r="S543" i="2" l="1"/>
  <c r="P543" i="2"/>
  <c r="Q543" i="2"/>
  <c r="E541" i="2"/>
  <c r="B541" i="2"/>
  <c r="C541" i="2"/>
  <c r="D542" i="2"/>
  <c r="E542" i="2" l="1"/>
  <c r="C542" i="2"/>
  <c r="B542" i="2"/>
  <c r="D543" i="2"/>
  <c r="S544" i="2"/>
  <c r="P544" i="2"/>
  <c r="Q544" i="2"/>
  <c r="S545" i="2" l="1"/>
  <c r="P545" i="2"/>
  <c r="Q545" i="2"/>
  <c r="E543" i="2"/>
  <c r="B543" i="2"/>
  <c r="C543" i="2"/>
  <c r="D544" i="2"/>
  <c r="S546" i="2" l="1"/>
  <c r="P546" i="2"/>
  <c r="Q546" i="2"/>
  <c r="B544" i="2"/>
  <c r="E544" i="2"/>
  <c r="C544" i="2"/>
  <c r="D545" i="2"/>
  <c r="S547" i="2" l="1"/>
  <c r="Q547" i="2"/>
  <c r="P547" i="2"/>
  <c r="B545" i="2"/>
  <c r="E545" i="2"/>
  <c r="C545" i="2"/>
  <c r="D546" i="2"/>
  <c r="E546" i="2" l="1"/>
  <c r="B546" i="2"/>
  <c r="C546" i="2"/>
  <c r="D547" i="2"/>
  <c r="S548" i="2"/>
  <c r="P548" i="2"/>
  <c r="Q548" i="2"/>
  <c r="E547" i="2" l="1"/>
  <c r="B547" i="2"/>
  <c r="C547" i="2"/>
  <c r="D548" i="2"/>
  <c r="S549" i="2"/>
  <c r="P549" i="2"/>
  <c r="Q549" i="2"/>
  <c r="S550" i="2" l="1"/>
  <c r="P550" i="2"/>
  <c r="Q550" i="2"/>
  <c r="E548" i="2"/>
  <c r="B548" i="2"/>
  <c r="C548" i="2"/>
  <c r="D549" i="2"/>
  <c r="S551" i="2" l="1"/>
  <c r="Q551" i="2"/>
  <c r="P551" i="2"/>
  <c r="E549" i="2"/>
  <c r="B549" i="2"/>
  <c r="C549" i="2"/>
  <c r="D550" i="2"/>
  <c r="P552" i="2" l="1"/>
  <c r="S552" i="2"/>
  <c r="Q552" i="2"/>
  <c r="E550" i="2"/>
  <c r="B550" i="2"/>
  <c r="C550" i="2"/>
  <c r="D551" i="2"/>
  <c r="P553" i="2" l="1"/>
  <c r="S553" i="2"/>
  <c r="Q553" i="2"/>
  <c r="B551" i="2"/>
  <c r="E551" i="2"/>
  <c r="C551" i="2"/>
  <c r="D552" i="2"/>
  <c r="P554" i="2" l="1"/>
  <c r="S554" i="2"/>
  <c r="Q554" i="2"/>
  <c r="E552" i="2"/>
  <c r="B552" i="2"/>
  <c r="C552" i="2"/>
  <c r="D553" i="2"/>
  <c r="E553" i="2" l="1"/>
  <c r="B553" i="2"/>
  <c r="C553" i="2"/>
  <c r="D554" i="2"/>
  <c r="E563" i="2"/>
  <c r="B563" i="2"/>
  <c r="C563" i="2"/>
  <c r="E554" i="2" l="1"/>
  <c r="B554" i="2"/>
  <c r="C554" i="2"/>
  <c r="B564" i="2"/>
  <c r="E564" i="2"/>
  <c r="C564" i="2"/>
  <c r="E565" i="2" l="1"/>
  <c r="B565" i="2"/>
  <c r="C565" i="2"/>
  <c r="B566" i="2" l="1"/>
  <c r="E566" i="2"/>
  <c r="C566" i="2"/>
  <c r="B567" i="2" l="1"/>
  <c r="E567" i="2"/>
  <c r="C567" i="2"/>
  <c r="E568" i="2" l="1"/>
  <c r="B568" i="2"/>
  <c r="C568" i="2"/>
  <c r="E569" i="2" l="1"/>
  <c r="B569" i="2"/>
  <c r="C569" i="2"/>
  <c r="E570" i="2" l="1"/>
  <c r="B570" i="2"/>
  <c r="C570" i="2"/>
  <c r="B571" i="2" l="1"/>
  <c r="E571" i="2"/>
  <c r="C571" i="2"/>
  <c r="E572" i="2" l="1"/>
  <c r="B572" i="2"/>
  <c r="C572" i="2"/>
  <c r="E573" i="2" l="1"/>
  <c r="B573" i="2"/>
  <c r="C573" i="2"/>
  <c r="E574" i="2" l="1"/>
  <c r="C574" i="2"/>
  <c r="B574" i="2"/>
  <c r="E575" i="2" l="1"/>
  <c r="B575" i="2"/>
  <c r="C575" i="2"/>
  <c r="E576" i="2" l="1"/>
  <c r="B576" i="2"/>
  <c r="C576" i="2"/>
  <c r="E577" i="2" l="1"/>
  <c r="B577" i="2"/>
  <c r="C577" i="2"/>
  <c r="E578" i="2" l="1"/>
  <c r="B578" i="2"/>
  <c r="C578" i="2"/>
  <c r="B579" i="2" l="1"/>
  <c r="E579" i="2"/>
  <c r="C579" i="2"/>
  <c r="B580" i="2" l="1"/>
  <c r="E580" i="2"/>
  <c r="C580" i="2"/>
  <c r="B581" i="2" l="1"/>
  <c r="E581" i="2"/>
  <c r="C581" i="2"/>
  <c r="B582" i="2" l="1"/>
  <c r="E582" i="2"/>
  <c r="C582" i="2"/>
  <c r="B583" i="2" l="1"/>
  <c r="E583" i="2"/>
  <c r="C583" i="2"/>
  <c r="E584" i="2" l="1"/>
  <c r="C584" i="2"/>
  <c r="B584" i="2"/>
  <c r="E585" i="2" l="1"/>
  <c r="B585" i="2"/>
  <c r="C585" i="2"/>
  <c r="L563" i="2" l="1"/>
  <c r="I563" i="2"/>
  <c r="J563" i="2"/>
  <c r="L564" i="2" l="1"/>
  <c r="I564" i="2"/>
  <c r="J564" i="2"/>
  <c r="L565" i="2" l="1"/>
  <c r="I565" i="2"/>
  <c r="J565" i="2"/>
  <c r="L566" i="2" l="1"/>
  <c r="I566" i="2"/>
  <c r="J566" i="2"/>
  <c r="L567" i="2" l="1"/>
  <c r="I567" i="2"/>
  <c r="J567" i="2"/>
  <c r="L568" i="2" l="1"/>
  <c r="I568" i="2"/>
  <c r="J568" i="2"/>
  <c r="L569" i="2" l="1"/>
  <c r="I569" i="2"/>
  <c r="J569" i="2"/>
  <c r="I570" i="2" l="1"/>
  <c r="L570" i="2"/>
  <c r="J570" i="2"/>
  <c r="I571" i="2" l="1"/>
  <c r="L571" i="2"/>
  <c r="J571" i="2"/>
  <c r="I572" i="2" l="1"/>
  <c r="L572" i="2"/>
  <c r="J572" i="2"/>
  <c r="L573" i="2" l="1"/>
  <c r="I573" i="2"/>
  <c r="J573" i="2"/>
  <c r="L574" i="2" l="1"/>
  <c r="I574" i="2"/>
  <c r="J574" i="2"/>
  <c r="L575" i="2" l="1"/>
  <c r="I575" i="2"/>
  <c r="J575" i="2"/>
  <c r="I576" i="2" l="1"/>
  <c r="L576" i="2"/>
  <c r="J576" i="2"/>
  <c r="L577" i="2" l="1"/>
  <c r="I577" i="2"/>
  <c r="J577" i="2"/>
  <c r="J578" i="2" l="1"/>
  <c r="L578" i="2"/>
  <c r="I578" i="2"/>
  <c r="L579" i="2" l="1"/>
  <c r="I579" i="2"/>
  <c r="J579" i="2"/>
  <c r="L580" i="2" l="1"/>
  <c r="I580" i="2"/>
  <c r="J580" i="2"/>
  <c r="L581" i="2" l="1"/>
  <c r="I581" i="2"/>
  <c r="J581" i="2"/>
  <c r="L582" i="2" l="1"/>
  <c r="I582" i="2"/>
  <c r="J582" i="2"/>
  <c r="L583" i="2" l="1"/>
  <c r="J583" i="2"/>
  <c r="I583" i="2"/>
  <c r="L584" i="2" l="1"/>
  <c r="I584" i="2"/>
  <c r="J584" i="2"/>
  <c r="L585" i="2" l="1"/>
  <c r="I585" i="2"/>
  <c r="J585" i="2"/>
  <c r="P563" i="2" l="1"/>
  <c r="S563" i="2"/>
  <c r="Q563" i="2"/>
  <c r="S564" i="2" l="1"/>
  <c r="P564" i="2"/>
  <c r="Q564" i="2"/>
  <c r="P565" i="2" l="1"/>
  <c r="S565" i="2"/>
  <c r="Q565" i="2"/>
  <c r="P566" i="2" l="1"/>
  <c r="S566" i="2"/>
  <c r="Q566" i="2"/>
  <c r="S567" i="2" l="1"/>
  <c r="P567" i="2"/>
  <c r="Q567" i="2"/>
  <c r="S568" i="2" l="1"/>
  <c r="P568" i="2"/>
  <c r="Q568" i="2"/>
  <c r="S569" i="2" l="1"/>
  <c r="P569" i="2"/>
  <c r="Q569" i="2"/>
  <c r="S570" i="2" l="1"/>
  <c r="P570" i="2"/>
  <c r="Q570" i="2"/>
  <c r="S571" i="2" l="1"/>
  <c r="P571" i="2"/>
  <c r="Q571" i="2"/>
  <c r="S572" i="2" l="1"/>
  <c r="P572" i="2"/>
  <c r="Q572" i="2"/>
  <c r="S573" i="2" l="1"/>
  <c r="Q573" i="2"/>
  <c r="P573" i="2"/>
  <c r="S574" i="2" l="1"/>
  <c r="Q574" i="2"/>
  <c r="P574" i="2"/>
  <c r="S575" i="2" l="1"/>
  <c r="P575" i="2"/>
  <c r="Q575" i="2"/>
  <c r="S576" i="2" l="1"/>
  <c r="P576" i="2"/>
  <c r="Q576" i="2"/>
  <c r="S577" i="2" l="1"/>
  <c r="P577" i="2"/>
  <c r="Q577" i="2"/>
  <c r="P578" i="2" l="1"/>
  <c r="S578" i="2"/>
  <c r="Q578" i="2"/>
  <c r="P579" i="2" l="1"/>
  <c r="S579" i="2"/>
  <c r="Q579" i="2"/>
  <c r="P580" i="2" l="1"/>
  <c r="S580" i="2"/>
  <c r="Q580" i="2"/>
  <c r="P581" i="2" l="1"/>
  <c r="S581" i="2"/>
  <c r="Q581" i="2"/>
  <c r="S582" i="2" l="1"/>
  <c r="P582" i="2"/>
  <c r="Q582" i="2"/>
  <c r="S583" i="2" l="1"/>
  <c r="P583" i="2"/>
  <c r="Q583" i="2"/>
  <c r="S584" i="2" l="1"/>
  <c r="P584" i="2"/>
  <c r="Q584" i="2"/>
  <c r="S585" i="2" l="1"/>
  <c r="P585" i="2"/>
  <c r="Q585" i="2"/>
  <c r="E594" i="2" l="1"/>
  <c r="C594" i="2"/>
  <c r="B594" i="2"/>
  <c r="E595" i="2" l="1"/>
  <c r="B595" i="2"/>
  <c r="C595" i="2"/>
  <c r="E596" i="2" l="1"/>
  <c r="B596" i="2"/>
  <c r="C596" i="2"/>
  <c r="B597" i="2" l="1"/>
  <c r="E597" i="2"/>
  <c r="C597" i="2"/>
  <c r="E598" i="2" l="1"/>
  <c r="B598" i="2"/>
  <c r="C598" i="2"/>
  <c r="E599" i="2" l="1"/>
  <c r="B599" i="2"/>
  <c r="C599" i="2"/>
  <c r="E600" i="2" l="1"/>
  <c r="B600" i="2"/>
  <c r="C600" i="2"/>
  <c r="E601" i="2" l="1"/>
  <c r="B601" i="2"/>
  <c r="C601" i="2"/>
  <c r="E602" i="2" l="1"/>
  <c r="B602" i="2"/>
  <c r="C602" i="2"/>
  <c r="E603" i="2" l="1"/>
  <c r="B603" i="2"/>
  <c r="C603" i="2"/>
  <c r="B604" i="2" l="1"/>
  <c r="E604" i="2"/>
  <c r="C604" i="2"/>
  <c r="E605" i="2" l="1"/>
  <c r="B605" i="2"/>
  <c r="C605" i="2"/>
  <c r="E606" i="2" l="1"/>
  <c r="B606" i="2"/>
  <c r="C606" i="2"/>
  <c r="E607" i="2" l="1"/>
  <c r="B607" i="2"/>
  <c r="C607" i="2"/>
  <c r="B608" i="2" l="1"/>
  <c r="E608" i="2"/>
  <c r="C608" i="2"/>
  <c r="B609" i="2" l="1"/>
  <c r="E609" i="2"/>
  <c r="C609" i="2"/>
  <c r="E610" i="2" l="1"/>
  <c r="B610" i="2"/>
  <c r="C610" i="2"/>
  <c r="E611" i="2" l="1"/>
  <c r="B611" i="2"/>
  <c r="C611" i="2"/>
  <c r="E612" i="2" l="1"/>
  <c r="B612" i="2"/>
  <c r="C612" i="2"/>
  <c r="E613" i="2" l="1"/>
  <c r="B613" i="2"/>
  <c r="C613" i="2"/>
  <c r="E614" i="2" l="1"/>
  <c r="C614" i="2"/>
  <c r="B614" i="2"/>
  <c r="E615" i="2" l="1"/>
  <c r="C615" i="2"/>
  <c r="B615" i="2"/>
  <c r="E616" i="2" l="1"/>
  <c r="B616" i="2"/>
  <c r="C616" i="2"/>
  <c r="L594" i="2" l="1"/>
  <c r="I594" i="2"/>
  <c r="J594" i="2"/>
  <c r="L595" i="2" l="1"/>
  <c r="I595" i="2"/>
  <c r="J595" i="2"/>
  <c r="L596" i="2" l="1"/>
  <c r="I596" i="2"/>
  <c r="J596" i="2"/>
  <c r="L597" i="2" l="1"/>
  <c r="I597" i="2"/>
  <c r="J597" i="2"/>
  <c r="I598" i="2" l="1"/>
  <c r="L598" i="2"/>
  <c r="J598" i="2"/>
  <c r="I599" i="2" l="1"/>
  <c r="L599" i="2"/>
  <c r="J599" i="2"/>
  <c r="I600" i="2" l="1"/>
  <c r="J600" i="2"/>
  <c r="L600" i="2"/>
  <c r="L601" i="2" l="1"/>
  <c r="I601" i="2"/>
  <c r="J601" i="2"/>
  <c r="L602" i="2" l="1"/>
  <c r="I602" i="2"/>
  <c r="J602" i="2"/>
  <c r="L603" i="2" l="1"/>
  <c r="J603" i="2"/>
  <c r="I603" i="2"/>
  <c r="L604" i="2" l="1"/>
  <c r="I604" i="2"/>
  <c r="J604" i="2"/>
  <c r="L605" i="2" l="1"/>
  <c r="I605" i="2"/>
  <c r="J605" i="2"/>
  <c r="L606" i="2" l="1"/>
  <c r="I606" i="2"/>
  <c r="J606" i="2"/>
  <c r="L607" i="2" l="1"/>
  <c r="I607" i="2"/>
  <c r="J607" i="2"/>
  <c r="L608" i="2" l="1"/>
  <c r="I608" i="2"/>
  <c r="J608" i="2"/>
  <c r="L609" i="2" l="1"/>
  <c r="I609" i="2"/>
  <c r="J609" i="2"/>
  <c r="L610" i="2" l="1"/>
  <c r="I610" i="2"/>
  <c r="J610" i="2"/>
  <c r="L611" i="2" l="1"/>
  <c r="I611" i="2"/>
  <c r="J611" i="2"/>
  <c r="L612" i="2" l="1"/>
  <c r="I612" i="2"/>
  <c r="J612" i="2"/>
  <c r="L613" i="2" l="1"/>
  <c r="I613" i="2"/>
  <c r="J613" i="2"/>
  <c r="I614" i="2" l="1"/>
  <c r="L614" i="2"/>
  <c r="J614" i="2"/>
  <c r="I615" i="2" l="1"/>
  <c r="L615" i="2"/>
  <c r="J615" i="2"/>
  <c r="I616" i="2" l="1"/>
  <c r="L616" i="2"/>
  <c r="J616" i="2"/>
  <c r="S594" i="2" l="1"/>
  <c r="P594" i="2"/>
  <c r="Q594" i="2"/>
  <c r="S595" i="2" l="1"/>
  <c r="P595" i="2"/>
  <c r="Q595" i="2"/>
  <c r="S596" i="2" l="1"/>
  <c r="P596" i="2"/>
  <c r="Q596" i="2"/>
  <c r="S597" i="2" l="1"/>
  <c r="P597" i="2"/>
  <c r="Q597" i="2"/>
  <c r="S598" i="2" l="1"/>
  <c r="P598" i="2"/>
  <c r="Q598" i="2"/>
  <c r="S599" i="2" l="1"/>
  <c r="P599" i="2"/>
  <c r="Q599" i="2"/>
  <c r="S600" i="2" l="1"/>
  <c r="P600" i="2"/>
  <c r="Q600" i="2"/>
  <c r="S601" i="2" l="1"/>
  <c r="P601" i="2"/>
  <c r="Q601" i="2"/>
  <c r="S602" i="2" l="1"/>
  <c r="P602" i="2"/>
  <c r="Q602" i="2"/>
  <c r="S603" i="2" l="1"/>
  <c r="P603" i="2"/>
  <c r="Q603" i="2"/>
  <c r="P604" i="2" l="1"/>
  <c r="S604" i="2"/>
  <c r="Q604" i="2"/>
  <c r="P605" i="2" l="1"/>
  <c r="Q605" i="2"/>
  <c r="S605" i="2"/>
  <c r="S606" i="2" l="1"/>
  <c r="P606" i="2"/>
  <c r="Q606" i="2"/>
  <c r="S607" i="2" l="1"/>
  <c r="P607" i="2"/>
  <c r="Q607" i="2"/>
  <c r="S608" i="2" l="1"/>
  <c r="P608" i="2"/>
  <c r="Q608" i="2"/>
  <c r="P609" i="2" l="1"/>
  <c r="S609" i="2"/>
  <c r="Q609" i="2"/>
  <c r="S610" i="2" l="1"/>
  <c r="P610" i="2"/>
  <c r="Q610" i="2"/>
  <c r="S611" i="2" l="1"/>
  <c r="P611" i="2"/>
  <c r="Q611" i="2"/>
  <c r="S612" i="2" l="1"/>
  <c r="P612" i="2"/>
  <c r="Q612" i="2"/>
  <c r="P613" i="2" l="1"/>
  <c r="S613" i="2"/>
  <c r="Q613" i="2"/>
  <c r="S614" i="2" l="1"/>
  <c r="P614" i="2"/>
  <c r="Q614" i="2"/>
  <c r="S615" i="2" l="1"/>
  <c r="P615" i="2"/>
  <c r="Q615" i="2"/>
  <c r="S616" i="2" l="1"/>
  <c r="P616" i="2"/>
  <c r="Q616" i="2"/>
  <c r="B625" i="2" l="1"/>
  <c r="E625" i="2"/>
  <c r="C625" i="2"/>
  <c r="E626" i="2" l="1"/>
  <c r="B626" i="2"/>
  <c r="C626" i="2"/>
  <c r="E627" i="2" l="1"/>
  <c r="B627" i="2"/>
  <c r="C627" i="2"/>
  <c r="E628" i="2" l="1"/>
  <c r="B628" i="2"/>
  <c r="C628" i="2"/>
  <c r="E629" i="2" l="1"/>
  <c r="B629" i="2"/>
  <c r="C629" i="2"/>
  <c r="E630" i="2" l="1"/>
  <c r="B630" i="2"/>
  <c r="C630" i="2"/>
  <c r="B631" i="2" l="1"/>
  <c r="E631" i="2"/>
  <c r="C631" i="2"/>
  <c r="B632" i="2" l="1"/>
  <c r="E632" i="2"/>
  <c r="C632" i="2"/>
  <c r="B633" i="2" l="1"/>
  <c r="E633" i="2"/>
  <c r="C633" i="2"/>
  <c r="B634" i="2" l="1"/>
  <c r="E634" i="2"/>
  <c r="C634" i="2"/>
  <c r="B635" i="2" l="1"/>
  <c r="E635" i="2"/>
  <c r="C635" i="2"/>
  <c r="E636" i="2" l="1"/>
  <c r="C636" i="2"/>
  <c r="B636" i="2"/>
  <c r="E637" i="2" l="1"/>
  <c r="C637" i="2"/>
  <c r="B637" i="2"/>
  <c r="E638" i="2" l="1"/>
  <c r="B638" i="2"/>
  <c r="C638" i="2"/>
  <c r="E639" i="2" l="1"/>
  <c r="C639" i="2"/>
  <c r="B639" i="2"/>
  <c r="E640" i="2" l="1"/>
  <c r="B640" i="2"/>
  <c r="C640" i="2"/>
  <c r="E641" i="2" l="1"/>
  <c r="B641" i="2"/>
  <c r="C641" i="2"/>
  <c r="E642" i="2" l="1"/>
  <c r="B642" i="2"/>
  <c r="C642" i="2"/>
  <c r="E643" i="2" l="1"/>
  <c r="B643" i="2"/>
  <c r="C643" i="2"/>
  <c r="E644" i="2" l="1"/>
  <c r="B644" i="2"/>
  <c r="C644" i="2"/>
  <c r="E645" i="2" l="1"/>
  <c r="B645" i="2"/>
  <c r="C645" i="2"/>
  <c r="E646" i="2" l="1"/>
  <c r="B646" i="2"/>
  <c r="C646" i="2"/>
  <c r="E647" i="2" l="1"/>
  <c r="B647" i="2"/>
  <c r="C647" i="2"/>
  <c r="I625" i="2" l="1"/>
  <c r="L625" i="2"/>
  <c r="J625" i="2"/>
  <c r="I626" i="2" l="1"/>
  <c r="L626" i="2"/>
  <c r="J626" i="2"/>
  <c r="L627" i="2" l="1"/>
  <c r="J627" i="2"/>
  <c r="I627" i="2"/>
  <c r="I628" i="2" l="1"/>
  <c r="L628" i="2"/>
  <c r="J628" i="2"/>
  <c r="L629" i="2" l="1"/>
  <c r="I629" i="2"/>
  <c r="J629" i="2"/>
  <c r="I630" i="2" l="1"/>
  <c r="J630" i="2"/>
  <c r="L630" i="2"/>
  <c r="L631" i="2" l="1"/>
  <c r="I631" i="2"/>
  <c r="J631" i="2"/>
  <c r="I632" i="2" l="1"/>
  <c r="J632" i="2"/>
  <c r="L632" i="2"/>
  <c r="L633" i="2" l="1"/>
  <c r="I633" i="2"/>
  <c r="J633" i="2"/>
  <c r="L634" i="2" l="1"/>
  <c r="I634" i="2"/>
  <c r="J634" i="2"/>
  <c r="L635" i="2" l="1"/>
  <c r="I635" i="2"/>
  <c r="J635" i="2"/>
  <c r="L636" i="2" l="1"/>
  <c r="I636" i="2"/>
  <c r="J636" i="2"/>
  <c r="L637" i="2" l="1"/>
  <c r="I637" i="2"/>
  <c r="J637" i="2"/>
  <c r="L638" i="2" l="1"/>
  <c r="I638" i="2"/>
  <c r="J638" i="2"/>
  <c r="L639" i="2" l="1"/>
  <c r="I639" i="2"/>
  <c r="J639" i="2"/>
  <c r="L640" i="2" l="1"/>
  <c r="I640" i="2"/>
  <c r="J640" i="2"/>
  <c r="I641" i="2" l="1"/>
  <c r="L641" i="2"/>
  <c r="J641" i="2"/>
  <c r="I642" i="2" l="1"/>
  <c r="L642" i="2"/>
  <c r="J642" i="2"/>
  <c r="L643" i="2" l="1"/>
  <c r="I643" i="2"/>
  <c r="J643" i="2"/>
  <c r="L644" i="2" l="1"/>
  <c r="I644" i="2"/>
  <c r="J644" i="2"/>
  <c r="L645" i="2" l="1"/>
  <c r="I645" i="2"/>
  <c r="J645" i="2"/>
  <c r="L646" i="2" l="1"/>
  <c r="I646" i="2"/>
  <c r="J646" i="2"/>
  <c r="L647" i="2" l="1"/>
  <c r="I647" i="2"/>
  <c r="J647" i="2"/>
  <c r="S625" i="2" l="1"/>
  <c r="P625" i="2"/>
  <c r="Q625" i="2"/>
  <c r="S626" i="2" l="1"/>
  <c r="P626" i="2"/>
  <c r="Q626" i="2"/>
  <c r="S627" i="2" l="1"/>
  <c r="P627" i="2"/>
  <c r="Q627" i="2"/>
  <c r="S628" i="2" l="1"/>
  <c r="P628" i="2"/>
  <c r="Q628" i="2"/>
  <c r="S629" i="2" l="1"/>
  <c r="P629" i="2"/>
  <c r="Q629" i="2"/>
  <c r="S630" i="2" l="1"/>
  <c r="P630" i="2"/>
  <c r="Q630" i="2"/>
  <c r="S631" i="2" l="1"/>
  <c r="P631" i="2"/>
  <c r="Q631" i="2"/>
  <c r="S632" i="2" l="1"/>
  <c r="P632" i="2"/>
  <c r="Q632" i="2"/>
  <c r="S633" i="2" l="1"/>
  <c r="P633" i="2"/>
  <c r="Q633" i="2"/>
  <c r="P634" i="2" l="1"/>
  <c r="S634" i="2"/>
  <c r="Q634" i="2"/>
  <c r="S635" i="2" l="1"/>
  <c r="P635" i="2"/>
  <c r="Q635" i="2"/>
  <c r="S636" i="2" l="1"/>
  <c r="P636" i="2"/>
  <c r="Q636" i="2"/>
  <c r="S637" i="2" l="1"/>
  <c r="Q637" i="2"/>
  <c r="P637" i="2"/>
  <c r="S638" i="2" l="1"/>
  <c r="P638" i="2"/>
  <c r="Q638" i="2"/>
  <c r="P639" i="2" l="1"/>
  <c r="S639" i="2"/>
  <c r="Q639" i="2"/>
  <c r="S640" i="2" l="1"/>
  <c r="P640" i="2"/>
  <c r="Q640" i="2"/>
  <c r="S641" i="2" l="1"/>
  <c r="P641" i="2"/>
  <c r="Q641" i="2"/>
  <c r="S642" i="2" l="1"/>
  <c r="P642" i="2"/>
  <c r="Q642" i="2"/>
  <c r="S643" i="2" l="1"/>
  <c r="P643" i="2"/>
  <c r="Q643" i="2"/>
  <c r="S644" i="2" l="1"/>
  <c r="Q644" i="2"/>
  <c r="P644" i="2"/>
  <c r="S645" i="2" l="1"/>
  <c r="P645" i="2"/>
  <c r="Q645" i="2"/>
  <c r="S646" i="2" l="1"/>
  <c r="P646" i="2"/>
  <c r="Q646" i="2"/>
  <c r="P647" i="2" l="1"/>
  <c r="S647" i="2"/>
  <c r="Q647" i="2"/>
  <c r="E656" i="2" l="1"/>
  <c r="B656" i="2"/>
  <c r="C656" i="2"/>
  <c r="E657" i="2" l="1"/>
  <c r="B657" i="2"/>
  <c r="C657" i="2"/>
  <c r="E658" i="2" l="1"/>
  <c r="B658" i="2"/>
  <c r="C658" i="2"/>
  <c r="E659" i="2" l="1"/>
  <c r="B659" i="2"/>
  <c r="C659" i="2"/>
  <c r="B660" i="2" l="1"/>
  <c r="E660" i="2"/>
  <c r="C660" i="2"/>
  <c r="B661" i="2" l="1"/>
  <c r="E661" i="2"/>
  <c r="C661" i="2"/>
  <c r="E662" i="2" l="1"/>
  <c r="C662" i="2"/>
  <c r="B662" i="2"/>
  <c r="E663" i="2" l="1"/>
  <c r="B663" i="2"/>
  <c r="C663" i="2"/>
  <c r="B664" i="2" l="1"/>
  <c r="E664" i="2"/>
  <c r="C664" i="2"/>
  <c r="B665" i="2" l="1"/>
  <c r="C665" i="2"/>
  <c r="E665" i="2"/>
  <c r="E666" i="2" l="1"/>
  <c r="B666" i="2"/>
  <c r="C666" i="2"/>
  <c r="E667" i="2" l="1"/>
  <c r="B667" i="2"/>
  <c r="C667" i="2"/>
  <c r="E668" i="2" l="1"/>
  <c r="B668" i="2"/>
  <c r="C668" i="2"/>
  <c r="E669" i="2" l="1"/>
  <c r="B669" i="2"/>
  <c r="C669" i="2"/>
  <c r="E670" i="2" l="1"/>
  <c r="B670" i="2"/>
  <c r="C670" i="2"/>
  <c r="E671" i="2" l="1"/>
  <c r="B671" i="2"/>
  <c r="C671" i="2"/>
  <c r="E672" i="2" l="1"/>
  <c r="B672" i="2"/>
  <c r="C672" i="2"/>
  <c r="B673" i="2" l="1"/>
  <c r="C673" i="2"/>
  <c r="E673" i="2"/>
  <c r="E674" i="2" l="1"/>
  <c r="B674" i="2"/>
  <c r="C674" i="2"/>
  <c r="B675" i="2" l="1"/>
  <c r="E675" i="2"/>
  <c r="C675" i="2"/>
  <c r="B676" i="2" l="1"/>
  <c r="E676" i="2"/>
  <c r="C676" i="2"/>
  <c r="B677" i="2" l="1"/>
  <c r="C677" i="2"/>
  <c r="E677" i="2"/>
  <c r="E678" i="2" l="1"/>
  <c r="B678" i="2"/>
  <c r="C678" i="2"/>
  <c r="L656" i="2" l="1"/>
  <c r="I656" i="2"/>
  <c r="J656" i="2"/>
  <c r="L657" i="2" l="1"/>
  <c r="I657" i="2"/>
  <c r="J657" i="2"/>
  <c r="L658" i="2" l="1"/>
  <c r="I658" i="2"/>
  <c r="J658" i="2"/>
  <c r="L659" i="2" l="1"/>
  <c r="I659" i="2"/>
  <c r="J659" i="2"/>
  <c r="L660" i="2" l="1"/>
  <c r="I660" i="2"/>
  <c r="J660" i="2"/>
  <c r="L661" i="2" l="1"/>
  <c r="I661" i="2"/>
  <c r="J661" i="2"/>
  <c r="L662" i="2" l="1"/>
  <c r="I662" i="2"/>
  <c r="J662" i="2"/>
  <c r="L663" i="2" l="1"/>
  <c r="I663" i="2"/>
  <c r="J663" i="2"/>
  <c r="L664" i="2" l="1"/>
  <c r="I664" i="2"/>
  <c r="J664" i="2"/>
  <c r="L665" i="2" l="1"/>
  <c r="I665" i="2"/>
  <c r="J665" i="2"/>
  <c r="L666" i="2" l="1"/>
  <c r="I666" i="2"/>
  <c r="J666" i="2"/>
  <c r="I667" i="2" l="1"/>
  <c r="L667" i="2"/>
  <c r="J667" i="2"/>
  <c r="L668" i="2" l="1"/>
  <c r="I668" i="2"/>
  <c r="J668" i="2"/>
  <c r="L669" i="2" l="1"/>
  <c r="I669" i="2"/>
  <c r="J669" i="2"/>
  <c r="L670" i="2" l="1"/>
  <c r="I670" i="2"/>
  <c r="J670" i="2"/>
  <c r="L671" i="2" l="1"/>
  <c r="I671" i="2"/>
  <c r="J671" i="2"/>
  <c r="I672" i="2" l="1"/>
  <c r="L672" i="2"/>
  <c r="J672" i="2"/>
  <c r="L673" i="2" l="1"/>
  <c r="I673" i="2"/>
  <c r="J673" i="2"/>
  <c r="L674" i="2" l="1"/>
  <c r="I674" i="2"/>
  <c r="J674" i="2"/>
  <c r="L675" i="2" l="1"/>
  <c r="I675" i="2"/>
  <c r="J675" i="2"/>
  <c r="L676" i="2" l="1"/>
  <c r="I676" i="2"/>
  <c r="J676" i="2"/>
  <c r="L677" i="2" l="1"/>
  <c r="I677" i="2"/>
  <c r="J677" i="2"/>
  <c r="L678" i="2" l="1"/>
  <c r="I678" i="2"/>
  <c r="J678" i="2"/>
  <c r="S656" i="2" l="1"/>
  <c r="P656" i="2"/>
  <c r="Q656" i="2"/>
  <c r="P657" i="2" l="1"/>
  <c r="S657" i="2"/>
  <c r="Q657" i="2"/>
  <c r="P658" i="2" l="1"/>
  <c r="S658" i="2"/>
  <c r="Q658" i="2"/>
  <c r="P659" i="2" l="1"/>
  <c r="S659" i="2"/>
  <c r="Q659" i="2"/>
  <c r="S660" i="2" l="1"/>
  <c r="Q660" i="2"/>
  <c r="P660" i="2"/>
  <c r="P661" i="2" l="1"/>
  <c r="S661" i="2"/>
  <c r="Q661" i="2"/>
  <c r="P662" i="2" l="1"/>
  <c r="S662" i="2"/>
  <c r="Q662" i="2"/>
  <c r="S663" i="2" l="1"/>
  <c r="P663" i="2"/>
  <c r="Q663" i="2"/>
  <c r="S664" i="2" l="1"/>
  <c r="P664" i="2"/>
  <c r="Q664" i="2"/>
  <c r="P665" i="2" l="1"/>
  <c r="S665" i="2"/>
  <c r="Q665" i="2"/>
  <c r="S666" i="2" l="1"/>
  <c r="P666" i="2"/>
  <c r="Q666" i="2"/>
  <c r="S667" i="2" l="1"/>
  <c r="P667" i="2"/>
  <c r="Q667" i="2"/>
  <c r="S668" i="2" l="1"/>
  <c r="P668" i="2"/>
  <c r="Q668" i="2"/>
  <c r="S669" i="2" l="1"/>
  <c r="Q669" i="2"/>
  <c r="P669" i="2"/>
  <c r="S670" i="2" l="1"/>
  <c r="Q670" i="2"/>
  <c r="P670" i="2"/>
  <c r="S671" i="2" l="1"/>
  <c r="P671" i="2"/>
  <c r="Q671" i="2"/>
  <c r="S672" i="2" l="1"/>
  <c r="P672" i="2"/>
  <c r="Q672" i="2"/>
  <c r="S673" i="2" l="1"/>
  <c r="P673" i="2"/>
  <c r="Q673" i="2"/>
  <c r="P674" i="2" l="1"/>
  <c r="S674" i="2"/>
  <c r="Q674" i="2"/>
  <c r="P675" i="2" l="1"/>
  <c r="S675" i="2"/>
  <c r="Q675" i="2"/>
  <c r="S676" i="2" l="1"/>
  <c r="P676" i="2"/>
  <c r="Q676" i="2"/>
  <c r="S677" i="2" l="1"/>
  <c r="P677" i="2"/>
  <c r="Q677" i="2"/>
  <c r="S678" i="2" l="1"/>
  <c r="P678" i="2"/>
  <c r="Q678" i="2"/>
  <c r="B687" i="2" l="1"/>
  <c r="E687" i="2"/>
  <c r="C687" i="2"/>
  <c r="E688" i="2" l="1"/>
  <c r="B688" i="2"/>
  <c r="C688" i="2"/>
  <c r="B689" i="2" l="1"/>
  <c r="E689" i="2"/>
  <c r="C689" i="2"/>
  <c r="E690" i="2" l="1"/>
  <c r="B690" i="2"/>
  <c r="C690" i="2"/>
  <c r="E691" i="2" l="1"/>
  <c r="B691" i="2"/>
  <c r="C691" i="2"/>
  <c r="E692" i="2" l="1"/>
  <c r="C692" i="2"/>
  <c r="B692" i="2"/>
  <c r="E693" i="2" l="1"/>
  <c r="C693" i="2"/>
  <c r="B693" i="2"/>
  <c r="E694" i="2" l="1"/>
  <c r="B694" i="2"/>
  <c r="C694" i="2"/>
  <c r="E695" i="2" l="1"/>
  <c r="B695" i="2"/>
  <c r="C695" i="2"/>
  <c r="E696" i="2" l="1"/>
  <c r="B696" i="2"/>
  <c r="C696" i="2"/>
  <c r="E697" i="2" l="1"/>
  <c r="B697" i="2"/>
  <c r="C697" i="2"/>
  <c r="E698" i="2" l="1"/>
  <c r="B698" i="2"/>
  <c r="C698" i="2"/>
  <c r="E699" i="2" l="1"/>
  <c r="B699" i="2"/>
  <c r="C699" i="2"/>
  <c r="E700" i="2" l="1"/>
  <c r="B700" i="2"/>
  <c r="C700" i="2"/>
  <c r="E701" i="2" l="1"/>
  <c r="B701" i="2"/>
  <c r="C701" i="2"/>
  <c r="E702" i="2" l="1"/>
  <c r="B702" i="2"/>
  <c r="C702" i="2"/>
  <c r="E703" i="2" l="1"/>
  <c r="B703" i="2"/>
  <c r="C703" i="2"/>
  <c r="E704" i="2" l="1"/>
  <c r="B704" i="2"/>
  <c r="C704" i="2"/>
  <c r="E705" i="2" l="1"/>
  <c r="C705" i="2"/>
  <c r="B705" i="2"/>
  <c r="E706" i="2" l="1"/>
  <c r="B706" i="2"/>
  <c r="C706" i="2"/>
  <c r="E707" i="2" l="1"/>
  <c r="B707" i="2"/>
  <c r="C707" i="2"/>
  <c r="B708" i="2" l="1"/>
  <c r="E708" i="2"/>
  <c r="C708" i="2"/>
  <c r="B709" i="2" l="1"/>
  <c r="E709" i="2"/>
  <c r="C709" i="2"/>
  <c r="L687" i="2" l="1"/>
  <c r="I687" i="2"/>
  <c r="J687" i="2"/>
  <c r="L688" i="2" l="1"/>
  <c r="I688" i="2"/>
  <c r="J688" i="2"/>
  <c r="L689" i="2" l="1"/>
  <c r="I689" i="2"/>
  <c r="J689" i="2"/>
  <c r="L690" i="2" l="1"/>
  <c r="I690" i="2"/>
  <c r="J690" i="2"/>
  <c r="L691" i="2" l="1"/>
  <c r="I691" i="2"/>
  <c r="J691" i="2"/>
  <c r="L692" i="2" l="1"/>
  <c r="I692" i="2"/>
  <c r="J692" i="2"/>
  <c r="I693" i="2" l="1"/>
  <c r="L693" i="2"/>
  <c r="J693" i="2"/>
  <c r="I694" i="2" l="1"/>
  <c r="J694" i="2"/>
  <c r="L694" i="2"/>
  <c r="L695" i="2" l="1"/>
  <c r="I695" i="2"/>
  <c r="J695" i="2"/>
  <c r="L696" i="2" l="1"/>
  <c r="I696" i="2"/>
  <c r="J696" i="2"/>
  <c r="L697" i="2" l="1"/>
  <c r="I697" i="2"/>
  <c r="J697" i="2"/>
  <c r="I698" i="2" l="1"/>
  <c r="L698" i="2"/>
  <c r="J698" i="2"/>
  <c r="L699" i="2" l="1"/>
  <c r="I699" i="2"/>
  <c r="J699" i="2"/>
  <c r="L700" i="2" l="1"/>
  <c r="I700" i="2"/>
  <c r="J700" i="2"/>
  <c r="L701" i="2" l="1"/>
  <c r="J701" i="2"/>
  <c r="I701" i="2"/>
  <c r="L702" i="2" l="1"/>
  <c r="I702" i="2"/>
  <c r="J702" i="2"/>
  <c r="L703" i="2" l="1"/>
  <c r="J703" i="2"/>
  <c r="I703" i="2"/>
  <c r="L704" i="2" l="1"/>
  <c r="I704" i="2"/>
  <c r="J704" i="2"/>
  <c r="L705" i="2" l="1"/>
  <c r="I705" i="2"/>
  <c r="J705" i="2"/>
  <c r="L706" i="2" l="1"/>
  <c r="I706" i="2"/>
  <c r="J706" i="2"/>
  <c r="L707" i="2" l="1"/>
  <c r="I707" i="2"/>
  <c r="J707" i="2"/>
  <c r="I708" i="2" l="1"/>
  <c r="L708" i="2"/>
  <c r="J708" i="2"/>
  <c r="I709" i="2" l="1"/>
  <c r="L709" i="2"/>
  <c r="J709" i="2"/>
  <c r="P687" i="2" l="1"/>
  <c r="S687" i="2"/>
  <c r="Q687" i="2"/>
  <c r="S688" i="2" l="1"/>
  <c r="P688" i="2"/>
  <c r="Q688" i="2"/>
  <c r="S689" i="2" l="1"/>
  <c r="Q689" i="2"/>
  <c r="P689" i="2"/>
  <c r="S690" i="2" l="1"/>
  <c r="P690" i="2"/>
  <c r="Q690" i="2"/>
  <c r="P691" i="2" l="1"/>
  <c r="S691" i="2"/>
  <c r="Q691" i="2"/>
  <c r="S692" i="2" l="1"/>
  <c r="Q692" i="2"/>
  <c r="P692" i="2"/>
  <c r="S693" i="2" l="1"/>
  <c r="Q693" i="2"/>
  <c r="P693" i="2"/>
  <c r="S694" i="2" l="1"/>
  <c r="P694" i="2"/>
  <c r="Q694" i="2"/>
  <c r="S695" i="2" l="1"/>
  <c r="P695" i="2"/>
  <c r="Q695" i="2"/>
  <c r="Q696" i="2" l="1"/>
  <c r="S696" i="2"/>
  <c r="P696" i="2"/>
  <c r="S697" i="2" l="1"/>
  <c r="Q697" i="2"/>
  <c r="P697" i="2"/>
  <c r="S698" i="2" l="1"/>
  <c r="P698" i="2"/>
  <c r="Q698" i="2"/>
  <c r="P699" i="2" l="1"/>
  <c r="S699" i="2"/>
  <c r="Q699" i="2"/>
  <c r="S700" i="2" l="1"/>
  <c r="P700" i="2"/>
  <c r="Q700" i="2"/>
  <c r="S701" i="2" l="1"/>
  <c r="P701" i="2"/>
  <c r="Q701" i="2"/>
  <c r="S702" i="2" l="1"/>
  <c r="P702" i="2"/>
  <c r="Q702" i="2"/>
  <c r="S703" i="2" l="1"/>
  <c r="P703" i="2"/>
  <c r="Q703" i="2"/>
  <c r="S704" i="2" l="1"/>
  <c r="Q704" i="2"/>
  <c r="P704" i="2"/>
  <c r="S705" i="2" l="1"/>
  <c r="P705" i="2"/>
  <c r="Q705" i="2"/>
  <c r="P706" i="2" l="1"/>
  <c r="S706" i="2"/>
  <c r="Q706" i="2"/>
  <c r="S707" i="2" l="1"/>
  <c r="P707" i="2"/>
  <c r="Q707" i="2"/>
  <c r="S708" i="2" l="1"/>
  <c r="P708" i="2"/>
  <c r="Q708" i="2"/>
  <c r="S709" i="2" l="1"/>
  <c r="P709" i="2"/>
  <c r="Q709" i="2"/>
  <c r="E718" i="2" l="1"/>
  <c r="B718" i="2"/>
  <c r="C718" i="2"/>
  <c r="E719" i="2" l="1"/>
  <c r="B719" i="2"/>
  <c r="C719" i="2"/>
  <c r="E720" i="2" l="1"/>
  <c r="B720" i="2"/>
  <c r="C720" i="2"/>
  <c r="E721" i="2" l="1"/>
  <c r="B721" i="2"/>
  <c r="C721" i="2"/>
  <c r="B722" i="2" l="1"/>
  <c r="C722" i="2"/>
  <c r="E722" i="2"/>
  <c r="E723" i="2" l="1"/>
  <c r="C723" i="2"/>
  <c r="B723" i="2"/>
  <c r="E724" i="2" l="1"/>
  <c r="B724" i="2"/>
  <c r="C724" i="2"/>
  <c r="B725" i="2" l="1"/>
  <c r="E725" i="2"/>
  <c r="C725" i="2"/>
  <c r="B726" i="2" l="1"/>
  <c r="E726" i="2"/>
  <c r="C726" i="2"/>
  <c r="B727" i="2" l="1"/>
  <c r="E727" i="2"/>
  <c r="C727" i="2"/>
  <c r="B728" i="2" l="1"/>
  <c r="E728" i="2"/>
  <c r="C728" i="2"/>
  <c r="B729" i="2" l="1"/>
  <c r="E729" i="2"/>
  <c r="C729" i="2"/>
  <c r="E730" i="2" l="1"/>
  <c r="B730" i="2"/>
  <c r="C730" i="2"/>
  <c r="E731" i="2" l="1"/>
  <c r="B731" i="2"/>
  <c r="C731" i="2"/>
  <c r="E732" i="2" l="1"/>
  <c r="C732" i="2"/>
  <c r="B732" i="2"/>
  <c r="E733" i="2" l="1"/>
  <c r="B733" i="2"/>
  <c r="C733" i="2"/>
  <c r="E734" i="2" l="1"/>
  <c r="B734" i="2"/>
  <c r="C734" i="2"/>
  <c r="E735" i="2" l="1"/>
  <c r="B735" i="2"/>
  <c r="C735" i="2"/>
  <c r="E736" i="2" l="1"/>
  <c r="B736" i="2"/>
  <c r="C736" i="2"/>
  <c r="E737" i="2" l="1"/>
  <c r="B737" i="2"/>
  <c r="C737" i="2"/>
  <c r="E738" i="2" l="1"/>
  <c r="B738" i="2"/>
  <c r="C738" i="2"/>
  <c r="E739" i="2" l="1"/>
  <c r="B739" i="2"/>
  <c r="C739" i="2"/>
  <c r="E740" i="2" l="1"/>
  <c r="C740" i="2"/>
  <c r="B740" i="2"/>
  <c r="I718" i="2" l="1"/>
  <c r="L718" i="2"/>
  <c r="J718" i="2"/>
  <c r="I719" i="2" l="1"/>
  <c r="L719" i="2"/>
  <c r="J719" i="2"/>
  <c r="I720" i="2" l="1"/>
  <c r="J720" i="2"/>
  <c r="L720" i="2"/>
  <c r="I721" i="2" l="1"/>
  <c r="L721" i="2"/>
  <c r="J721" i="2"/>
  <c r="L722" i="2" l="1"/>
  <c r="I722" i="2"/>
  <c r="J722" i="2"/>
  <c r="L723" i="2" l="1"/>
  <c r="I723" i="2"/>
  <c r="J723" i="2"/>
  <c r="I724" i="2" l="1"/>
  <c r="L724" i="2"/>
  <c r="J724" i="2"/>
  <c r="L725" i="2" l="1"/>
  <c r="I725" i="2"/>
  <c r="J725" i="2"/>
  <c r="L726" i="2" l="1"/>
  <c r="J726" i="2"/>
  <c r="I726" i="2"/>
  <c r="L727" i="2" l="1"/>
  <c r="J727" i="2"/>
  <c r="I727" i="2"/>
  <c r="L728" i="2" l="1"/>
  <c r="I728" i="2"/>
  <c r="J728" i="2"/>
  <c r="L729" i="2" l="1"/>
  <c r="I729" i="2"/>
  <c r="J729" i="2"/>
  <c r="L730" i="2" l="1"/>
  <c r="J730" i="2"/>
  <c r="I730" i="2"/>
  <c r="L731" i="2" l="1"/>
  <c r="I731" i="2"/>
  <c r="J731" i="2"/>
  <c r="L732" i="2" l="1"/>
  <c r="I732" i="2"/>
  <c r="J732" i="2"/>
  <c r="L733" i="2" l="1"/>
  <c r="I733" i="2"/>
  <c r="J733" i="2"/>
  <c r="L734" i="2" l="1"/>
  <c r="I734" i="2"/>
  <c r="J734" i="2"/>
  <c r="L735" i="2" l="1"/>
  <c r="I735" i="2"/>
  <c r="J735" i="2"/>
  <c r="I736" i="2" l="1"/>
  <c r="L736" i="2"/>
  <c r="J736" i="2"/>
  <c r="L737" i="2" l="1"/>
  <c r="I737" i="2"/>
  <c r="J737" i="2"/>
  <c r="L738" i="2" l="1"/>
  <c r="I738" i="2"/>
  <c r="J738" i="2"/>
  <c r="L739" i="2" l="1"/>
  <c r="I739" i="2"/>
  <c r="J739" i="2"/>
  <c r="I740" i="2" l="1"/>
  <c r="L740" i="2"/>
  <c r="J740" i="2"/>
  <c r="S718" i="2" l="1"/>
  <c r="P718" i="2"/>
  <c r="Q718" i="2"/>
  <c r="S719" i="2" l="1"/>
  <c r="P719" i="2"/>
  <c r="Q719" i="2"/>
  <c r="S720" i="2" l="1"/>
  <c r="P720" i="2"/>
  <c r="Q720" i="2"/>
  <c r="S721" i="2" l="1"/>
  <c r="Q721" i="2"/>
  <c r="P721" i="2"/>
  <c r="S722" i="2" l="1"/>
  <c r="P722" i="2"/>
  <c r="Q722" i="2"/>
  <c r="S723" i="2" l="1"/>
  <c r="P723" i="2"/>
  <c r="Q723" i="2"/>
  <c r="S724" i="2" l="1"/>
  <c r="P724" i="2"/>
  <c r="Q724" i="2"/>
  <c r="S725" i="2" l="1"/>
  <c r="P725" i="2"/>
  <c r="Q725" i="2"/>
  <c r="P726" i="2" l="1"/>
  <c r="S726" i="2"/>
  <c r="Q726" i="2"/>
  <c r="P727" i="2" l="1"/>
  <c r="Q727" i="2"/>
  <c r="S727" i="2"/>
  <c r="P728" i="2" l="1"/>
  <c r="S728" i="2"/>
  <c r="Q728" i="2"/>
  <c r="S729" i="2" l="1"/>
  <c r="P729" i="2"/>
  <c r="Q729" i="2"/>
  <c r="S730" i="2" l="1"/>
  <c r="P730" i="2"/>
  <c r="Q730" i="2"/>
  <c r="S731" i="2" l="1"/>
  <c r="P731" i="2"/>
  <c r="Q731" i="2"/>
  <c r="S732" i="2" l="1"/>
  <c r="P732" i="2"/>
  <c r="Q732" i="2"/>
  <c r="S733" i="2" l="1"/>
  <c r="P733" i="2"/>
  <c r="Q733" i="2"/>
  <c r="S734" i="2" l="1"/>
  <c r="P734" i="2"/>
  <c r="Q734" i="2"/>
  <c r="P735" i="2" l="1"/>
  <c r="S735" i="2"/>
  <c r="Q735" i="2"/>
  <c r="S736" i="2" l="1"/>
  <c r="P736" i="2"/>
  <c r="Q736" i="2"/>
  <c r="S737" i="2" l="1"/>
  <c r="P737" i="2"/>
  <c r="Q737" i="2"/>
  <c r="S738" i="2" l="1"/>
  <c r="P738" i="2"/>
  <c r="Q738" i="2"/>
  <c r="S739" i="2" l="1"/>
  <c r="P739" i="2"/>
  <c r="Q739" i="2"/>
  <c r="Q740" i="2" l="1"/>
  <c r="P740" i="2"/>
  <c r="S740" i="2"/>
  <c r="E749" i="2" l="1"/>
  <c r="B749" i="2"/>
  <c r="C749" i="2"/>
  <c r="E750" i="2" l="1"/>
  <c r="B750" i="2"/>
  <c r="C750" i="2"/>
  <c r="B751" i="2" l="1"/>
  <c r="E751" i="2"/>
  <c r="C751" i="2"/>
  <c r="B752" i="2" l="1"/>
  <c r="C752" i="2"/>
  <c r="E752" i="2"/>
  <c r="B753" i="2" l="1"/>
  <c r="E753" i="2"/>
  <c r="C753" i="2"/>
  <c r="B754" i="2" l="1"/>
  <c r="E754" i="2"/>
  <c r="C754" i="2"/>
  <c r="E755" i="2" l="1"/>
  <c r="B755" i="2"/>
  <c r="C755" i="2"/>
  <c r="E756" i="2" l="1"/>
  <c r="B756" i="2"/>
  <c r="C756" i="2"/>
  <c r="E757" i="2" l="1"/>
  <c r="C757" i="2"/>
  <c r="B757" i="2"/>
  <c r="E758" i="2" l="1"/>
  <c r="C758" i="2"/>
  <c r="B758" i="2"/>
  <c r="E759" i="2" l="1"/>
  <c r="B759" i="2"/>
  <c r="C759" i="2"/>
  <c r="E760" i="2" l="1"/>
  <c r="B760" i="2"/>
  <c r="C760" i="2"/>
  <c r="E761" i="2" l="1"/>
  <c r="B761" i="2"/>
  <c r="C761" i="2"/>
  <c r="E762" i="2" l="1"/>
  <c r="B762" i="2"/>
  <c r="C762" i="2"/>
  <c r="E763" i="2" l="1"/>
  <c r="B763" i="2"/>
  <c r="C763" i="2"/>
  <c r="E764" i="2" l="1"/>
  <c r="B764" i="2"/>
  <c r="C764" i="2"/>
  <c r="E765" i="2" l="1"/>
  <c r="B765" i="2"/>
  <c r="C765" i="2"/>
  <c r="E766" i="2" l="1"/>
  <c r="B766" i="2"/>
  <c r="C766" i="2"/>
  <c r="E767" i="2" l="1"/>
  <c r="B767" i="2"/>
  <c r="C767" i="2"/>
  <c r="E768" i="2" l="1"/>
  <c r="B768" i="2"/>
  <c r="C768" i="2"/>
  <c r="B769" i="2" l="1"/>
  <c r="E769" i="2"/>
  <c r="C769" i="2"/>
  <c r="B770" i="2" l="1"/>
  <c r="E770" i="2"/>
  <c r="C770" i="2"/>
  <c r="B771" i="2" l="1"/>
  <c r="E771" i="2"/>
  <c r="C771" i="2"/>
  <c r="L749" i="2" l="1"/>
  <c r="I749" i="2"/>
  <c r="J749" i="2"/>
  <c r="L750" i="2" l="1"/>
  <c r="I750" i="2"/>
  <c r="J750" i="2"/>
  <c r="L751" i="2" l="1"/>
  <c r="I751" i="2"/>
  <c r="J751" i="2"/>
  <c r="L752" i="2" l="1"/>
  <c r="J752" i="2"/>
  <c r="I752" i="2"/>
  <c r="L753" i="2" l="1"/>
  <c r="I753" i="2"/>
  <c r="J753" i="2"/>
  <c r="L754" i="2" l="1"/>
  <c r="I754" i="2"/>
  <c r="J754" i="2"/>
  <c r="L755" i="2" l="1"/>
  <c r="I755" i="2"/>
  <c r="J755" i="2"/>
  <c r="L756" i="2" l="1"/>
  <c r="I756" i="2"/>
  <c r="J756" i="2"/>
  <c r="L757" i="2" l="1"/>
  <c r="I757" i="2"/>
  <c r="J757" i="2"/>
  <c r="L758" i="2" l="1"/>
  <c r="I758" i="2"/>
  <c r="J758" i="2"/>
  <c r="L759" i="2" l="1"/>
  <c r="I759" i="2"/>
  <c r="J759" i="2"/>
  <c r="I760" i="2" l="1"/>
  <c r="L760" i="2"/>
  <c r="J760" i="2"/>
  <c r="I761" i="2" l="1"/>
  <c r="L761" i="2"/>
  <c r="J761" i="2"/>
  <c r="I762" i="2" l="1"/>
  <c r="L762" i="2"/>
  <c r="J762" i="2"/>
  <c r="L763" i="2" l="1"/>
  <c r="J763" i="2"/>
  <c r="I763" i="2"/>
  <c r="L764" i="2" l="1"/>
  <c r="I764" i="2"/>
  <c r="J764" i="2"/>
  <c r="L765" i="2" l="1"/>
  <c r="I765" i="2"/>
  <c r="J765" i="2"/>
  <c r="L766" i="2" l="1"/>
  <c r="I766" i="2"/>
  <c r="J766" i="2"/>
  <c r="L767" i="2" l="1"/>
  <c r="I767" i="2"/>
  <c r="J767" i="2"/>
  <c r="L768" i="2" l="1"/>
  <c r="I768" i="2"/>
  <c r="J768" i="2"/>
  <c r="L769" i="2" l="1"/>
  <c r="I769" i="2"/>
  <c r="J769" i="2"/>
  <c r="L770" i="2" l="1"/>
  <c r="I770" i="2"/>
  <c r="J770" i="2"/>
  <c r="L771" i="2" l="1"/>
  <c r="I771" i="2"/>
  <c r="J771" i="2"/>
  <c r="S749" i="2" l="1"/>
  <c r="P749" i="2"/>
  <c r="Q749" i="2"/>
  <c r="S750" i="2" l="1"/>
  <c r="P750" i="2"/>
  <c r="Q750" i="2"/>
  <c r="P751" i="2" l="1"/>
  <c r="S751" i="2"/>
  <c r="Q751" i="2"/>
  <c r="P752" i="2" l="1"/>
  <c r="S752" i="2"/>
  <c r="Q752" i="2"/>
  <c r="P753" i="2" l="1"/>
  <c r="S753" i="2"/>
  <c r="Q753" i="2"/>
  <c r="S754" i="2" l="1"/>
  <c r="P754" i="2"/>
  <c r="Q754" i="2"/>
  <c r="S755" i="2" l="1"/>
  <c r="P755" i="2"/>
  <c r="Q755" i="2"/>
  <c r="S756" i="2" l="1"/>
  <c r="P756" i="2"/>
  <c r="Q756" i="2"/>
  <c r="S757" i="2" l="1"/>
  <c r="P757" i="2"/>
  <c r="Q757" i="2"/>
  <c r="S758" i="2" l="1"/>
  <c r="P758" i="2"/>
  <c r="Q758" i="2"/>
  <c r="S759" i="2" l="1"/>
  <c r="P759" i="2"/>
  <c r="Q759" i="2"/>
  <c r="S760" i="2" l="1"/>
  <c r="P760" i="2"/>
  <c r="Q760" i="2"/>
  <c r="S761" i="2" l="1"/>
  <c r="P761" i="2"/>
  <c r="Q761" i="2"/>
  <c r="S762" i="2" l="1"/>
  <c r="P762" i="2"/>
  <c r="Q762" i="2"/>
  <c r="S763" i="2" l="1"/>
  <c r="P763" i="2"/>
  <c r="Q763" i="2"/>
  <c r="S764" i="2" l="1"/>
  <c r="P764" i="2"/>
  <c r="Q764" i="2"/>
  <c r="S765" i="2" l="1"/>
  <c r="P765" i="2"/>
  <c r="Q765" i="2"/>
  <c r="S766" i="2" l="1"/>
  <c r="P766" i="2"/>
  <c r="Q766" i="2"/>
  <c r="S767" i="2" l="1"/>
  <c r="P767" i="2"/>
  <c r="Q767" i="2"/>
  <c r="P768" i="2" l="1"/>
  <c r="S768" i="2"/>
  <c r="Q768" i="2"/>
  <c r="P769" i="2" l="1"/>
  <c r="S769" i="2"/>
  <c r="Q769" i="2"/>
  <c r="P770" i="2" l="1"/>
  <c r="S770" i="2"/>
  <c r="Q770" i="2"/>
  <c r="Q771" i="2" l="1"/>
  <c r="P771" i="2"/>
  <c r="S771" i="2"/>
  <c r="B780" i="2" l="1"/>
  <c r="E780" i="2"/>
  <c r="C780" i="2"/>
  <c r="B781" i="2" l="1"/>
  <c r="E781" i="2"/>
  <c r="C781" i="2"/>
  <c r="E782" i="2" l="1"/>
  <c r="C782" i="2"/>
  <c r="B782" i="2"/>
  <c r="E783" i="2" l="1"/>
  <c r="B783" i="2"/>
  <c r="C783" i="2"/>
  <c r="E784" i="2" l="1"/>
  <c r="C784" i="2"/>
  <c r="B784" i="2"/>
  <c r="E785" i="2" l="1"/>
  <c r="B785" i="2"/>
  <c r="C785" i="2"/>
  <c r="E786" i="2" l="1"/>
  <c r="C786" i="2"/>
  <c r="B786" i="2"/>
  <c r="E787" i="2" l="1"/>
  <c r="B787" i="2"/>
  <c r="C787" i="2"/>
  <c r="E788" i="2" l="1"/>
  <c r="B788" i="2"/>
  <c r="C788" i="2"/>
  <c r="E789" i="2" l="1"/>
  <c r="B789" i="2"/>
  <c r="C789" i="2"/>
  <c r="B790" i="2" l="1"/>
  <c r="E790" i="2"/>
  <c r="C790" i="2"/>
  <c r="B791" i="2" l="1"/>
  <c r="E791" i="2"/>
  <c r="C791" i="2"/>
  <c r="E792" i="2" l="1"/>
  <c r="B792" i="2"/>
  <c r="C792" i="2"/>
  <c r="E793" i="2" l="1"/>
  <c r="C793" i="2"/>
  <c r="B793" i="2"/>
  <c r="E794" i="2" l="1"/>
  <c r="C794" i="2"/>
  <c r="B794" i="2"/>
  <c r="E795" i="2" l="1"/>
  <c r="B795" i="2"/>
  <c r="C795" i="2"/>
  <c r="E796" i="2" l="1"/>
  <c r="B796" i="2"/>
  <c r="C796" i="2"/>
  <c r="E797" i="2" l="1"/>
  <c r="B797" i="2"/>
  <c r="C797" i="2"/>
  <c r="E798" i="2" l="1"/>
  <c r="C798" i="2"/>
  <c r="B798" i="2"/>
  <c r="B799" i="2" l="1"/>
  <c r="E799" i="2"/>
  <c r="C799" i="2"/>
  <c r="B800" i="2" l="1"/>
  <c r="E800" i="2"/>
  <c r="C800" i="2"/>
  <c r="E801" i="2" l="1"/>
  <c r="B801" i="2"/>
  <c r="C801" i="2"/>
  <c r="E802" i="2" l="1"/>
  <c r="B802" i="2"/>
  <c r="C802" i="2"/>
  <c r="L780" i="2" l="1"/>
  <c r="I780" i="2"/>
  <c r="J780" i="2"/>
  <c r="L781" i="2" l="1"/>
  <c r="I781" i="2"/>
  <c r="J781" i="2"/>
  <c r="L782" i="2" l="1"/>
  <c r="J782" i="2"/>
  <c r="I782" i="2"/>
  <c r="L783" i="2" l="1"/>
  <c r="I783" i="2"/>
  <c r="J783" i="2"/>
  <c r="I784" i="2" l="1"/>
  <c r="L784" i="2"/>
  <c r="J784" i="2"/>
  <c r="L785" i="2" l="1"/>
  <c r="I785" i="2"/>
  <c r="J785" i="2"/>
  <c r="I786" i="2" l="1"/>
  <c r="L786" i="2"/>
  <c r="J786" i="2"/>
  <c r="L787" i="2" l="1"/>
  <c r="I787" i="2"/>
  <c r="J787" i="2"/>
  <c r="I788" i="2" l="1"/>
  <c r="L788" i="2"/>
  <c r="J788" i="2"/>
  <c r="L789" i="2" l="1"/>
  <c r="J789" i="2"/>
  <c r="I789" i="2"/>
  <c r="L790" i="2" l="1"/>
  <c r="I790" i="2"/>
  <c r="J790" i="2"/>
  <c r="L791" i="2" l="1"/>
  <c r="I791" i="2"/>
  <c r="J791" i="2"/>
  <c r="L792" i="2" l="1"/>
  <c r="I792" i="2"/>
  <c r="J792" i="2"/>
  <c r="L793" i="2" l="1"/>
  <c r="I793" i="2"/>
  <c r="J793" i="2"/>
  <c r="L794" i="2" l="1"/>
  <c r="I794" i="2"/>
  <c r="J794" i="2"/>
  <c r="L795" i="2" l="1"/>
  <c r="I795" i="2"/>
  <c r="J795" i="2"/>
  <c r="L796" i="2" l="1"/>
  <c r="I796" i="2"/>
  <c r="J796" i="2"/>
  <c r="L797" i="2" l="1"/>
  <c r="I797" i="2"/>
  <c r="J797" i="2"/>
  <c r="L798" i="2" l="1"/>
  <c r="J798" i="2"/>
  <c r="I798" i="2"/>
  <c r="L799" i="2" l="1"/>
  <c r="I799" i="2"/>
  <c r="J799" i="2"/>
  <c r="L800" i="2" l="1"/>
  <c r="I800" i="2"/>
  <c r="J800" i="2"/>
  <c r="I801" i="2" l="1"/>
  <c r="L801" i="2"/>
  <c r="J801" i="2"/>
  <c r="I802" i="2" l="1"/>
  <c r="L802" i="2"/>
  <c r="J802" i="2"/>
  <c r="P780" i="2" l="1"/>
  <c r="Q780" i="2"/>
  <c r="S780" i="2"/>
  <c r="P781" i="2" l="1"/>
  <c r="S781" i="2"/>
  <c r="Q781" i="2"/>
  <c r="P782" i="2" l="1"/>
  <c r="S782" i="2"/>
  <c r="Q782" i="2"/>
  <c r="P783" i="2" l="1"/>
  <c r="S783" i="2"/>
  <c r="Q783" i="2"/>
  <c r="S784" i="2" l="1"/>
  <c r="P784" i="2"/>
  <c r="Q784" i="2"/>
  <c r="S785" i="2" l="1"/>
  <c r="P785" i="2"/>
  <c r="Q785" i="2"/>
  <c r="S786" i="2" l="1"/>
  <c r="P786" i="2"/>
  <c r="Q786" i="2"/>
  <c r="P787" i="2" l="1"/>
  <c r="S787" i="2"/>
  <c r="Q787" i="2"/>
  <c r="S788" i="2" l="1"/>
  <c r="P788" i="2"/>
  <c r="Q788" i="2"/>
  <c r="S789" i="2" l="1"/>
  <c r="Q789" i="2"/>
  <c r="P789" i="2"/>
  <c r="S790" i="2" l="1"/>
  <c r="P790" i="2"/>
  <c r="Q790" i="2"/>
  <c r="S791" i="2" l="1"/>
  <c r="P791" i="2"/>
  <c r="Q791" i="2"/>
  <c r="S792" i="2" l="1"/>
  <c r="P792" i="2"/>
  <c r="Q792" i="2"/>
  <c r="P793" i="2" l="1"/>
  <c r="S793" i="2"/>
  <c r="Q793" i="2"/>
  <c r="P794" i="2" l="1"/>
  <c r="S794" i="2"/>
  <c r="Q794" i="2"/>
  <c r="P795" i="2" l="1"/>
  <c r="Q795" i="2"/>
  <c r="S795" i="2"/>
  <c r="S796" i="2" l="1"/>
  <c r="P796" i="2"/>
  <c r="Q796" i="2"/>
  <c r="S797" i="2" l="1"/>
  <c r="P797" i="2"/>
  <c r="Q797" i="2"/>
  <c r="S798" i="2" l="1"/>
  <c r="P798" i="2"/>
  <c r="Q798" i="2"/>
  <c r="S799" i="2" l="1"/>
  <c r="P799" i="2"/>
  <c r="Q799" i="2"/>
  <c r="S800" i="2" l="1"/>
  <c r="P800" i="2"/>
  <c r="Q800" i="2"/>
  <c r="S801" i="2" l="1"/>
  <c r="P801" i="2"/>
  <c r="Q801" i="2"/>
  <c r="S802" i="2" l="1"/>
  <c r="P802" i="2"/>
  <c r="Q802" i="2"/>
  <c r="E811" i="2" l="1"/>
  <c r="B811" i="2"/>
  <c r="C811" i="2"/>
  <c r="E812" i="2" l="1"/>
  <c r="B812" i="2"/>
  <c r="C812" i="2"/>
  <c r="B813" i="2" l="1"/>
  <c r="E813" i="2"/>
  <c r="C813" i="2"/>
  <c r="E814" i="2" l="1"/>
  <c r="B814" i="2"/>
  <c r="C814" i="2"/>
  <c r="E815" i="2" l="1"/>
  <c r="B815" i="2"/>
  <c r="C815" i="2"/>
  <c r="E816" i="2" l="1"/>
  <c r="C816" i="2"/>
  <c r="B816" i="2"/>
  <c r="E817" i="2" l="1"/>
  <c r="B817" i="2"/>
  <c r="C817" i="2"/>
  <c r="E818" i="2" l="1"/>
  <c r="B818" i="2"/>
  <c r="C818" i="2"/>
  <c r="B819" i="2" l="1"/>
  <c r="E819" i="2"/>
  <c r="C819" i="2"/>
  <c r="E820" i="2" l="1"/>
  <c r="B820" i="2"/>
  <c r="C820" i="2"/>
  <c r="B821" i="2" l="1"/>
  <c r="E821" i="2"/>
  <c r="C821" i="2"/>
  <c r="E822" i="2" l="1"/>
  <c r="C822" i="2"/>
  <c r="B822" i="2"/>
  <c r="E823" i="2" l="1"/>
  <c r="B823" i="2"/>
  <c r="C823" i="2"/>
  <c r="E824" i="2" l="1"/>
  <c r="B824" i="2"/>
  <c r="C824" i="2"/>
  <c r="E825" i="2" l="1"/>
  <c r="B825" i="2"/>
  <c r="C825" i="2"/>
  <c r="E826" i="2" l="1"/>
  <c r="B826" i="2"/>
  <c r="C826" i="2"/>
  <c r="E827" i="2" l="1"/>
  <c r="C827" i="2"/>
  <c r="B827" i="2"/>
  <c r="E828" i="2" l="1"/>
  <c r="B828" i="2"/>
  <c r="C828" i="2"/>
  <c r="E829" i="2" l="1"/>
  <c r="B829" i="2"/>
  <c r="C829" i="2"/>
  <c r="E830" i="2" l="1"/>
  <c r="B830" i="2"/>
  <c r="C830" i="2"/>
  <c r="E831" i="2" l="1"/>
  <c r="B831" i="2"/>
  <c r="C831" i="2"/>
  <c r="E832" i="2" l="1"/>
  <c r="B832" i="2"/>
  <c r="C832" i="2"/>
  <c r="E833" i="2" l="1"/>
  <c r="B833" i="2"/>
  <c r="C833" i="2"/>
  <c r="L811" i="2" l="1"/>
  <c r="I811" i="2"/>
  <c r="J811" i="2"/>
  <c r="I812" i="2" l="1"/>
  <c r="L812" i="2"/>
  <c r="J812" i="2"/>
  <c r="I813" i="2" l="1"/>
  <c r="L813" i="2"/>
  <c r="J813" i="2"/>
  <c r="I814" i="2" l="1"/>
  <c r="L814" i="2"/>
  <c r="J814" i="2"/>
  <c r="L815" i="2" l="1"/>
  <c r="I815" i="2"/>
  <c r="J815" i="2"/>
  <c r="L816" i="2" l="1"/>
  <c r="I816" i="2"/>
  <c r="J816" i="2"/>
  <c r="L817" i="2" l="1"/>
  <c r="I817" i="2"/>
  <c r="J817" i="2"/>
  <c r="L818" i="2" l="1"/>
  <c r="I818" i="2"/>
  <c r="J818" i="2"/>
  <c r="L819" i="2" l="1"/>
  <c r="I819" i="2"/>
  <c r="J819" i="2"/>
  <c r="L820" i="2" l="1"/>
  <c r="I820" i="2"/>
  <c r="J820" i="2"/>
  <c r="L821" i="2" l="1"/>
  <c r="I821" i="2"/>
  <c r="J821" i="2"/>
  <c r="L822" i="2" l="1"/>
  <c r="I822" i="2"/>
  <c r="J822" i="2"/>
  <c r="L823" i="2" l="1"/>
  <c r="I823" i="2"/>
  <c r="J823" i="2"/>
  <c r="L824" i="2" l="1"/>
  <c r="I824" i="2"/>
  <c r="J824" i="2"/>
  <c r="L825" i="2" l="1"/>
  <c r="I825" i="2"/>
  <c r="J825" i="2"/>
  <c r="I826" i="2" l="1"/>
  <c r="L826" i="2"/>
  <c r="J826" i="2"/>
  <c r="I827" i="2" l="1"/>
  <c r="L827" i="2"/>
  <c r="J827" i="2"/>
  <c r="L828" i="2" l="1"/>
  <c r="I828" i="2"/>
  <c r="J828" i="2"/>
  <c r="L829" i="2" l="1"/>
  <c r="I829" i="2"/>
  <c r="J829" i="2"/>
  <c r="L830" i="2" l="1"/>
  <c r="I830" i="2"/>
  <c r="J830" i="2"/>
  <c r="L831" i="2" l="1"/>
  <c r="I831" i="2"/>
  <c r="J831" i="2"/>
  <c r="L832" i="2" l="1"/>
  <c r="J832" i="2"/>
  <c r="I832" i="2"/>
  <c r="L833" i="2" l="1"/>
  <c r="J833" i="2"/>
  <c r="I833" i="2"/>
  <c r="S811" i="2" l="1"/>
  <c r="Q811" i="2"/>
  <c r="P811" i="2"/>
  <c r="S812" i="2" l="1"/>
  <c r="P812" i="2"/>
  <c r="Q812" i="2"/>
  <c r="S813" i="2" l="1"/>
  <c r="P813" i="2"/>
  <c r="Q813" i="2"/>
  <c r="S814" i="2" l="1"/>
  <c r="P814" i="2"/>
  <c r="Q814" i="2"/>
  <c r="S815" i="2" l="1"/>
  <c r="P815" i="2"/>
  <c r="Q815" i="2"/>
  <c r="P816" i="2" l="1"/>
  <c r="S816" i="2"/>
  <c r="Q816" i="2"/>
  <c r="S817" i="2" l="1"/>
  <c r="P817" i="2"/>
  <c r="Q817" i="2"/>
  <c r="S818" i="2" l="1"/>
  <c r="Q818" i="2"/>
  <c r="P818" i="2"/>
  <c r="S819" i="2" l="1"/>
  <c r="P819" i="2"/>
  <c r="Q819" i="2"/>
  <c r="S820" i="2" l="1"/>
  <c r="P820" i="2"/>
  <c r="Q820" i="2"/>
  <c r="P821" i="2" l="1"/>
  <c r="S821" i="2"/>
  <c r="Q821" i="2"/>
  <c r="P822" i="2" l="1"/>
  <c r="S822" i="2"/>
  <c r="Q822" i="2"/>
  <c r="P823" i="2" l="1"/>
  <c r="S823" i="2"/>
  <c r="Q823" i="2"/>
  <c r="S824" i="2" l="1"/>
  <c r="P824" i="2"/>
  <c r="Q824" i="2"/>
  <c r="S825" i="2" l="1"/>
  <c r="P825" i="2"/>
  <c r="Q825" i="2"/>
  <c r="S826" i="2" l="1"/>
  <c r="P826" i="2"/>
  <c r="Q826" i="2"/>
  <c r="S827" i="2" l="1"/>
  <c r="P827" i="2"/>
  <c r="Q827" i="2"/>
  <c r="S828" i="2" l="1"/>
  <c r="P828" i="2"/>
  <c r="Q828" i="2"/>
  <c r="S829" i="2" l="1"/>
  <c r="P829" i="2"/>
  <c r="Q829" i="2"/>
  <c r="S830" i="2" l="1"/>
  <c r="P830" i="2"/>
  <c r="Q830" i="2"/>
  <c r="S831" i="2" l="1"/>
  <c r="P831" i="2"/>
  <c r="Q831" i="2"/>
  <c r="S832" i="2" l="1"/>
  <c r="P832" i="2"/>
  <c r="Q832" i="2"/>
  <c r="S833" i="2" l="1"/>
  <c r="P833" i="2"/>
  <c r="Q833" i="2"/>
</calcChain>
</file>

<file path=xl/sharedStrings.xml><?xml version="1.0" encoding="utf-8"?>
<sst xmlns="http://schemas.openxmlformats.org/spreadsheetml/2006/main" count="18737" uniqueCount="100">
  <si>
    <t>Data</t>
  </si>
  <si>
    <t>ID</t>
  </si>
  <si>
    <t>Geometry</t>
  </si>
  <si>
    <t>Zone</t>
  </si>
  <si>
    <t>Bench</t>
  </si>
  <si>
    <t>Phase</t>
  </si>
  <si>
    <t>Project</t>
  </si>
  <si>
    <t>Domain</t>
  </si>
  <si>
    <t>Lithology</t>
  </si>
  <si>
    <t>GF</t>
  </si>
  <si>
    <t>GR</t>
  </si>
  <si>
    <t>GA</t>
  </si>
  <si>
    <t>RMR</t>
  </si>
  <si>
    <t>Type</t>
  </si>
  <si>
    <t>Diameter</t>
  </si>
  <si>
    <t>X Collar</t>
  </si>
  <si>
    <t>Y Collar</t>
  </si>
  <si>
    <t>Z Collar</t>
  </si>
  <si>
    <t>X Toe</t>
  </si>
  <si>
    <t>Y Toe</t>
  </si>
  <si>
    <t>Z Toe</t>
  </si>
  <si>
    <t>Depth</t>
  </si>
  <si>
    <t>Sub Drill</t>
  </si>
  <si>
    <t>Spacing</t>
  </si>
  <si>
    <t>Burden</t>
  </si>
  <si>
    <t>Azimuth</t>
  </si>
  <si>
    <t>Dip</t>
  </si>
  <si>
    <t>Production</t>
  </si>
  <si>
    <t>Gneiss</t>
  </si>
  <si>
    <t>Obj</t>
  </si>
  <si>
    <t>Inc</t>
  </si>
  <si>
    <t>Perf</t>
  </si>
  <si>
    <t>Rep</t>
  </si>
  <si>
    <t>Ø</t>
  </si>
  <si>
    <t>P</t>
  </si>
  <si>
    <t>B</t>
  </si>
  <si>
    <t>S</t>
  </si>
  <si>
    <t>=Produção</t>
  </si>
  <si>
    <t>=Buffer</t>
  </si>
  <si>
    <t>=Pré Corte</t>
  </si>
  <si>
    <t>Responsável</t>
  </si>
  <si>
    <t>Model</t>
  </si>
  <si>
    <t>Mat Blast</t>
  </si>
  <si>
    <t>Density</t>
  </si>
  <si>
    <t>Cu (%)</t>
  </si>
  <si>
    <t>Au (%)</t>
  </si>
  <si>
    <t>Ni (%)</t>
  </si>
  <si>
    <t>Fe (%)</t>
  </si>
  <si>
    <t>Mg (%)</t>
  </si>
  <si>
    <t>S (%)</t>
  </si>
  <si>
    <t>Cu:S (%)</t>
  </si>
  <si>
    <t>Cu SC_Cu T (%)</t>
  </si>
  <si>
    <t>Explosivo</t>
  </si>
  <si>
    <t>Reforcador</t>
  </si>
  <si>
    <t>Iniciador Primario</t>
  </si>
  <si>
    <t>Iniciador Backup</t>
  </si>
  <si>
    <t>Inicio</t>
  </si>
  <si>
    <t>Fim</t>
  </si>
  <si>
    <t>Operador</t>
  </si>
  <si>
    <t>Frota</t>
  </si>
  <si>
    <t>Equipamento</t>
  </si>
  <si>
    <t>Descricao</t>
  </si>
  <si>
    <t>Observacao</t>
  </si>
  <si>
    <t>Tonnes</t>
  </si>
  <si>
    <t>Tampao</t>
  </si>
  <si>
    <t>Carga</t>
  </si>
  <si>
    <t>DIFFX</t>
  </si>
  <si>
    <t>DIFFY</t>
  </si>
  <si>
    <t>DIFFXY</t>
  </si>
  <si>
    <t>DIFFZ</t>
  </si>
  <si>
    <t>WST</t>
  </si>
  <si>
    <t>T:\MINA\Drill and blast\Deswik\MB_CP_MVV_final.gmdlb</t>
  </si>
  <si>
    <t>Planned</t>
  </si>
  <si>
    <t>Emulsao 1.15g/cm3</t>
  </si>
  <si>
    <t>1 Esp Elet</t>
  </si>
  <si>
    <t>1 Esp n Elet</t>
  </si>
  <si>
    <t>1 Booster 450g</t>
  </si>
  <si>
    <t>Sandvik DP1500i</t>
  </si>
  <si>
    <t>Gabbro</t>
  </si>
  <si>
    <t>NA</t>
  </si>
  <si>
    <t>F4</t>
  </si>
  <si>
    <t>R1</t>
  </si>
  <si>
    <t>LIB065</t>
  </si>
  <si>
    <t>NE</t>
  </si>
  <si>
    <t>PP0651026</t>
  </si>
  <si>
    <t>ORE_MG_TP1_D1</t>
  </si>
  <si>
    <t>F3</t>
  </si>
  <si>
    <t>R5</t>
  </si>
  <si>
    <t>II</t>
  </si>
  <si>
    <t>Pre-Splitting</t>
  </si>
  <si>
    <t>ORE_LG_TP1_D1</t>
  </si>
  <si>
    <t>Magnetite-Norite</t>
  </si>
  <si>
    <t>NW</t>
  </si>
  <si>
    <t>Tampao 1.5m + 1m Air Deck</t>
  </si>
  <si>
    <t>Tampao 2.3m + 1m Air Deck</t>
  </si>
  <si>
    <t>PP0591026</t>
  </si>
  <si>
    <t>PP0601026</t>
  </si>
  <si>
    <t>ORE_HG_TP1_D1</t>
  </si>
  <si>
    <t>PP1026</t>
  </si>
  <si>
    <t>PP0621026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</si>
</sst>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º&quot;"/>
    <numFmt numFmtId="165" formatCode="#,##0.00\ &quot;º&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name val="Aptos Narrow"/>
      <family val="2"/>
    </font>
    <font>
      <b/>
      <sz val="26"/>
      <color theme="1"/>
      <name val="Aptos Narrow"/>
      <family val="2"/>
      <scheme val="minor"/>
    </font>
    <font>
      <b/>
      <sz val="2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rgb="FFFFFFCC"/>
        <bgColor indexed="64"/>
      </patternFill>
    </fill>
    <fill>
      <patternFill patternType="solid">
        <fgColor rgb="FFFFC000"/>
        <bgColor indexed="64"/>
      </patternFill>
    </fill>
    <fill>
      <patternFill patternType="solid">
        <fgColor rgb="FFFFFF6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34998626667073579"/>
      </bottom>
      <diagonal/>
    </border>
    <border>
      <left/>
      <right/>
      <top style="thin">
        <color theme="0" tint="-0.3499862666707357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0" fillId="0" borderId="10" xfId="0" applyBorder="1" applyAlignment="1">
      <alignment horizontal="center" vertical="center"/>
    </xf>
    <xf numFmtId="2" fontId="0" fillId="0" borderId="10" xfId="0" applyNumberFormat="1" applyBorder="1" applyAlignment="1">
      <alignment horizontal="center" vertical="center"/>
    </xf>
    <xf numFmtId="0" fontId="16" fillId="34" borderId="10" xfId="0" applyFont="1" applyFill="1" applyBorder="1" applyAlignment="1">
      <alignment horizontal="center" vertical="center"/>
    </xf>
    <xf numFmtId="0" fontId="18" fillId="33" borderId="0" xfId="0" applyFont="1" applyFill="1" applyAlignment="1">
      <alignment horizontal="center" vertical="center"/>
    </xf>
    <xf numFmtId="0" fontId="13" fillId="33" borderId="0" xfId="0" applyFont="1" applyFill="1" applyAlignment="1">
      <alignment horizontal="center" vertical="center"/>
    </xf>
    <xf numFmtId="164" fontId="0" fillId="0" borderId="10" xfId="0" applyNumberFormat="1" applyBorder="1" applyAlignment="1">
      <alignment horizontal="center" vertical="center"/>
    </xf>
    <xf numFmtId="0" fontId="0" fillId="0" borderId="0" xfId="0" applyAlignment="1">
      <alignment vertical="center"/>
    </xf>
    <xf numFmtId="0" fontId="0" fillId="0" borderId="0" xfId="0" quotePrefix="1" applyAlignment="1">
      <alignment vertical="center"/>
    </xf>
    <xf numFmtId="0" fontId="16" fillId="35" borderId="0" xfId="0" applyFont="1" applyFill="1" applyAlignment="1">
      <alignment horizontal="right" vertical="center"/>
    </xf>
    <xf numFmtId="0" fontId="16" fillId="36" borderId="0" xfId="0" applyFont="1" applyFill="1" applyAlignment="1">
      <alignment horizontal="right" vertical="center"/>
    </xf>
    <xf numFmtId="0" fontId="16" fillId="34" borderId="0" xfId="0" applyFont="1" applyFill="1" applyAlignment="1">
      <alignment horizontal="right" vertical="center"/>
    </xf>
    <xf numFmtId="0" fontId="16" fillId="0" borderId="10" xfId="0" applyFont="1" applyBorder="1" applyAlignment="1">
      <alignment horizontal="center" vertical="center"/>
    </xf>
    <xf numFmtId="0" fontId="16" fillId="0" borderId="0" xfId="0" applyFont="1" applyAlignment="1">
      <alignment horizontal="center" vertical="center"/>
    </xf>
    <xf numFmtId="164" fontId="0" fillId="0" borderId="0" xfId="0" applyNumberFormat="1" applyAlignment="1">
      <alignment horizontal="center" vertical="center"/>
    </xf>
    <xf numFmtId="165" fontId="0" fillId="0" borderId="10" xfId="0" applyNumberFormat="1" applyBorder="1" applyAlignment="1">
      <alignment horizontal="center" vertical="center"/>
    </xf>
    <xf numFmtId="1" fontId="0" fillId="0" borderId="0" xfId="0" applyNumberFormat="1" applyAlignment="1">
      <alignment horizontal="center" vertical="center"/>
    </xf>
    <xf numFmtId="0" fontId="19" fillId="0" borderId="0" xfId="0" applyFont="1" applyAlignment="1">
      <alignment horizontal="center" vertical="center"/>
    </xf>
    <xf numFmtId="0" fontId="0" fillId="0" borderId="11" xfId="0" applyBorder="1" applyAlignment="1">
      <alignment horizontal="center"/>
    </xf>
    <xf numFmtId="0" fontId="0" fillId="0" borderId="12" xfId="0" applyBorder="1" applyAlignment="1">
      <alignment horizontal="center" vertical="center"/>
    </xf>
    <xf numFmtId="0" fontId="20" fillId="0" borderId="0" xfId="0" applyFont="1" applyAlignment="1">
      <alignment horizontal="center" vertical="center"/>
    </xf>
    <xf numFmtId="1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17">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209550</xdr:colOff>
      <xdr:row>0</xdr:row>
      <xdr:rowOff>38695</xdr:rowOff>
    </xdr:from>
    <xdr:to>
      <xdr:col>21</xdr:col>
      <xdr:colOff>540439</xdr:colOff>
      <xdr:row>2</xdr:row>
      <xdr:rowOff>363874</xdr:rowOff>
    </xdr:to>
    <xdr:pic>
      <xdr:nvPicPr>
        <xdr:cNvPr id="4" name="Imagem 3">
          <a:extLst>
            <a:ext uri="{FF2B5EF4-FFF2-40B4-BE49-F238E27FC236}">
              <a16:creationId xmlns:a16="http://schemas.microsoft.com/office/drawing/2014/main" id="{8FAAEE1F-C10E-7D0A-597B-5EA9691D3FB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67975" y="38695"/>
          <a:ext cx="1045264" cy="1087179"/>
        </a:xfrm>
        <a:prstGeom prst="rect">
          <a:avLst/>
        </a:prstGeom>
      </xdr:spPr>
    </xdr:pic>
    <xdr:clientData/>
  </xdr:twoCellAnchor>
  <xdr:twoCellAnchor editAs="oneCell">
    <xdr:from>
      <xdr:col>17</xdr:col>
      <xdr:colOff>234203</xdr:colOff>
      <xdr:row>29</xdr:row>
      <xdr:rowOff>32984</xdr:rowOff>
    </xdr:from>
    <xdr:to>
      <xdr:col>18</xdr:col>
      <xdr:colOff>208548</xdr:colOff>
      <xdr:row>30</xdr:row>
      <xdr:rowOff>112646</xdr:rowOff>
    </xdr:to>
    <xdr:pic>
      <xdr:nvPicPr>
        <xdr:cNvPr id="38" name="Imagem 37" descr="R&amp;D MINERAÇÃO E CONSTRUÇÃO LTDA. | LinkedIn">
          <a:extLst>
            <a:ext uri="{FF2B5EF4-FFF2-40B4-BE49-F238E27FC236}">
              <a16:creationId xmlns:a16="http://schemas.microsoft.com/office/drawing/2014/main" id="{F84F4D07-E309-4E6B-92E8-85CE85B087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546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252205</xdr:colOff>
      <xdr:row>29</xdr:row>
      <xdr:rowOff>14169</xdr:rowOff>
    </xdr:from>
    <xdr:to>
      <xdr:col>9</xdr:col>
      <xdr:colOff>131846</xdr:colOff>
      <xdr:row>30</xdr:row>
      <xdr:rowOff>48087</xdr:rowOff>
    </xdr:to>
    <xdr:pic>
      <xdr:nvPicPr>
        <xdr:cNvPr id="39" name="Imagem 38">
          <a:extLst>
            <a:ext uri="{FF2B5EF4-FFF2-40B4-BE49-F238E27FC236}">
              <a16:creationId xmlns:a16="http://schemas.microsoft.com/office/drawing/2014/main" id="{3C4361F4-AD03-40AC-A180-A70C855D1C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52605" y="16778169"/>
          <a:ext cx="1079791" cy="414918"/>
        </a:xfrm>
        <a:prstGeom prst="rect">
          <a:avLst/>
        </a:prstGeom>
      </xdr:spPr>
    </xdr:pic>
    <xdr:clientData/>
  </xdr:twoCellAnchor>
  <xdr:oneCellAnchor>
    <xdr:from>
      <xdr:col>17</xdr:col>
      <xdr:colOff>234203</xdr:colOff>
      <xdr:row>60</xdr:row>
      <xdr:rowOff>32984</xdr:rowOff>
    </xdr:from>
    <xdr:ext cx="460120" cy="460662"/>
    <xdr:pic>
      <xdr:nvPicPr>
        <xdr:cNvPr id="34" name="Imagem 33" descr="R&amp;D MINERAÇÃO E CONSTRUÇÃO LTDA. | LinkedIn">
          <a:extLst>
            <a:ext uri="{FF2B5EF4-FFF2-40B4-BE49-F238E27FC236}">
              <a16:creationId xmlns:a16="http://schemas.microsoft.com/office/drawing/2014/main" id="{3D93F9FD-0894-4EB9-A8A9-FD582EB64A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31655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60</xdr:row>
      <xdr:rowOff>14169</xdr:rowOff>
    </xdr:from>
    <xdr:ext cx="1079791" cy="414918"/>
    <xdr:pic>
      <xdr:nvPicPr>
        <xdr:cNvPr id="35" name="Imagem 34">
          <a:extLst>
            <a:ext uri="{FF2B5EF4-FFF2-40B4-BE49-F238E27FC236}">
              <a16:creationId xmlns:a16="http://schemas.microsoft.com/office/drawing/2014/main" id="{12CCE756-E996-4DA2-9EDA-529AB0195D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587669"/>
          <a:ext cx="1079791" cy="414918"/>
        </a:xfrm>
        <a:prstGeom prst="rect">
          <a:avLst/>
        </a:prstGeom>
      </xdr:spPr>
    </xdr:pic>
    <xdr:clientData/>
  </xdr:oneCellAnchor>
  <xdr:oneCellAnchor>
    <xdr:from>
      <xdr:col>17</xdr:col>
      <xdr:colOff>234203</xdr:colOff>
      <xdr:row>91</xdr:row>
      <xdr:rowOff>32984</xdr:rowOff>
    </xdr:from>
    <xdr:ext cx="460120" cy="460662"/>
    <xdr:pic>
      <xdr:nvPicPr>
        <xdr:cNvPr id="37" name="Imagem 36" descr="R&amp;D MINERAÇÃO E CONSTRUÇÃO LTDA. | LinkedIn">
          <a:extLst>
            <a:ext uri="{FF2B5EF4-FFF2-40B4-BE49-F238E27FC236}">
              <a16:creationId xmlns:a16="http://schemas.microsoft.com/office/drawing/2014/main" id="{B1E93331-9339-4182-A3CA-5C61FCA679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47848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91</xdr:row>
      <xdr:rowOff>14169</xdr:rowOff>
    </xdr:from>
    <xdr:ext cx="1079791" cy="414918"/>
    <xdr:pic>
      <xdr:nvPicPr>
        <xdr:cNvPr id="50" name="Imagem 49">
          <a:extLst>
            <a:ext uri="{FF2B5EF4-FFF2-40B4-BE49-F238E27FC236}">
              <a16:creationId xmlns:a16="http://schemas.microsoft.com/office/drawing/2014/main" id="{86F8D3EF-7559-4526-AB11-631D5AF1FE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33923169"/>
          <a:ext cx="1079791" cy="414918"/>
        </a:xfrm>
        <a:prstGeom prst="rect">
          <a:avLst/>
        </a:prstGeom>
      </xdr:spPr>
    </xdr:pic>
    <xdr:clientData/>
  </xdr:oneCellAnchor>
  <xdr:twoCellAnchor editAs="oneCell">
    <xdr:from>
      <xdr:col>20</xdr:col>
      <xdr:colOff>200025</xdr:colOff>
      <xdr:row>31</xdr:row>
      <xdr:rowOff>38100</xdr:rowOff>
    </xdr:from>
    <xdr:to>
      <xdr:col>21</xdr:col>
      <xdr:colOff>530914</xdr:colOff>
      <xdr:row>33</xdr:row>
      <xdr:rowOff>363279</xdr:rowOff>
    </xdr:to>
    <xdr:pic>
      <xdr:nvPicPr>
        <xdr:cNvPr id="51" name="Imagem 50">
          <a:extLst>
            <a:ext uri="{FF2B5EF4-FFF2-40B4-BE49-F238E27FC236}">
              <a16:creationId xmlns:a16="http://schemas.microsoft.com/office/drawing/2014/main" id="{7E99DE2E-D1E1-4F5F-8915-A32FA4210D2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58450" y="17373600"/>
          <a:ext cx="1045264" cy="1087179"/>
        </a:xfrm>
        <a:prstGeom prst="rect">
          <a:avLst/>
        </a:prstGeom>
      </xdr:spPr>
    </xdr:pic>
    <xdr:clientData/>
  </xdr:twoCellAnchor>
  <xdr:twoCellAnchor editAs="oneCell">
    <xdr:from>
      <xdr:col>20</xdr:col>
      <xdr:colOff>190500</xdr:colOff>
      <xdr:row>62</xdr:row>
      <xdr:rowOff>38100</xdr:rowOff>
    </xdr:from>
    <xdr:to>
      <xdr:col>21</xdr:col>
      <xdr:colOff>521389</xdr:colOff>
      <xdr:row>64</xdr:row>
      <xdr:rowOff>363279</xdr:rowOff>
    </xdr:to>
    <xdr:pic>
      <xdr:nvPicPr>
        <xdr:cNvPr id="52" name="Imagem 51">
          <a:extLst>
            <a:ext uri="{FF2B5EF4-FFF2-40B4-BE49-F238E27FC236}">
              <a16:creationId xmlns:a16="http://schemas.microsoft.com/office/drawing/2014/main" id="{54C4DF66-E79B-4F29-8EAD-CF44A141A83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34709100"/>
          <a:ext cx="1045264" cy="1087179"/>
        </a:xfrm>
        <a:prstGeom prst="rect">
          <a:avLst/>
        </a:prstGeom>
      </xdr:spPr>
    </xdr:pic>
    <xdr:clientData/>
  </xdr:twoCellAnchor>
  <xdr:oneCellAnchor>
    <xdr:from>
      <xdr:col>17</xdr:col>
      <xdr:colOff>234203</xdr:colOff>
      <xdr:row>122</xdr:row>
      <xdr:rowOff>32984</xdr:rowOff>
    </xdr:from>
    <xdr:ext cx="460120" cy="460662"/>
    <xdr:pic>
      <xdr:nvPicPr>
        <xdr:cNvPr id="53" name="Imagem 52" descr="R&amp;D MINERAÇÃO E CONSTRUÇÃO LTDA. | LinkedIn">
          <a:extLst>
            <a:ext uri="{FF2B5EF4-FFF2-40B4-BE49-F238E27FC236}">
              <a16:creationId xmlns:a16="http://schemas.microsoft.com/office/drawing/2014/main" id="{BF097D9B-E841-488C-8DE8-F28A60E2FF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64040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122</xdr:row>
      <xdr:rowOff>14169</xdr:rowOff>
    </xdr:from>
    <xdr:ext cx="1079791" cy="414918"/>
    <xdr:pic>
      <xdr:nvPicPr>
        <xdr:cNvPr id="54" name="Imagem 53">
          <a:extLst>
            <a:ext uri="{FF2B5EF4-FFF2-40B4-BE49-F238E27FC236}">
              <a16:creationId xmlns:a16="http://schemas.microsoft.com/office/drawing/2014/main" id="{E2D70C1D-48E5-4E07-823B-E9E4930069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51258669"/>
          <a:ext cx="1079791" cy="414918"/>
        </a:xfrm>
        <a:prstGeom prst="rect">
          <a:avLst/>
        </a:prstGeom>
      </xdr:spPr>
    </xdr:pic>
    <xdr:clientData/>
  </xdr:oneCellAnchor>
  <xdr:oneCellAnchor>
    <xdr:from>
      <xdr:col>20</xdr:col>
      <xdr:colOff>190500</xdr:colOff>
      <xdr:row>93</xdr:row>
      <xdr:rowOff>38100</xdr:rowOff>
    </xdr:from>
    <xdr:ext cx="1045264" cy="1087179"/>
    <xdr:pic>
      <xdr:nvPicPr>
        <xdr:cNvPr id="55" name="Imagem 54">
          <a:extLst>
            <a:ext uri="{FF2B5EF4-FFF2-40B4-BE49-F238E27FC236}">
              <a16:creationId xmlns:a16="http://schemas.microsoft.com/office/drawing/2014/main" id="{59B415B4-6B46-408E-851C-24897DCEF3F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34709100"/>
          <a:ext cx="1045264" cy="1087179"/>
        </a:xfrm>
        <a:prstGeom prst="rect">
          <a:avLst/>
        </a:prstGeom>
      </xdr:spPr>
    </xdr:pic>
    <xdr:clientData/>
  </xdr:oneCellAnchor>
  <xdr:oneCellAnchor>
    <xdr:from>
      <xdr:col>17</xdr:col>
      <xdr:colOff>234203</xdr:colOff>
      <xdr:row>153</xdr:row>
      <xdr:rowOff>32984</xdr:rowOff>
    </xdr:from>
    <xdr:ext cx="460120" cy="460662"/>
    <xdr:pic>
      <xdr:nvPicPr>
        <xdr:cNvPr id="56" name="Imagem 55" descr="R&amp;D MINERAÇÃO E CONSTRUÇÃO LTDA. | LinkedIn">
          <a:extLst>
            <a:ext uri="{FF2B5EF4-FFF2-40B4-BE49-F238E27FC236}">
              <a16:creationId xmlns:a16="http://schemas.microsoft.com/office/drawing/2014/main" id="{E3BCB3C2-0D7C-4BEF-82E7-585A30B0F0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8023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153</xdr:row>
      <xdr:rowOff>14169</xdr:rowOff>
    </xdr:from>
    <xdr:ext cx="1079791" cy="414918"/>
    <xdr:pic>
      <xdr:nvPicPr>
        <xdr:cNvPr id="57" name="Imagem 56">
          <a:extLst>
            <a:ext uri="{FF2B5EF4-FFF2-40B4-BE49-F238E27FC236}">
              <a16:creationId xmlns:a16="http://schemas.microsoft.com/office/drawing/2014/main" id="{E73735D0-A670-4AD4-9F81-A0D5125A10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68594169"/>
          <a:ext cx="1079791" cy="414918"/>
        </a:xfrm>
        <a:prstGeom prst="rect">
          <a:avLst/>
        </a:prstGeom>
      </xdr:spPr>
    </xdr:pic>
    <xdr:clientData/>
  </xdr:oneCellAnchor>
  <xdr:oneCellAnchor>
    <xdr:from>
      <xdr:col>20</xdr:col>
      <xdr:colOff>190500</xdr:colOff>
      <xdr:row>124</xdr:row>
      <xdr:rowOff>38100</xdr:rowOff>
    </xdr:from>
    <xdr:ext cx="1045264" cy="1087179"/>
    <xdr:pic>
      <xdr:nvPicPr>
        <xdr:cNvPr id="58" name="Imagem 57">
          <a:extLst>
            <a:ext uri="{FF2B5EF4-FFF2-40B4-BE49-F238E27FC236}">
              <a16:creationId xmlns:a16="http://schemas.microsoft.com/office/drawing/2014/main" id="{B6D3F7FC-8B1F-42EE-A49F-67B0D109782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52044600"/>
          <a:ext cx="1045264" cy="1087179"/>
        </a:xfrm>
        <a:prstGeom prst="rect">
          <a:avLst/>
        </a:prstGeom>
      </xdr:spPr>
    </xdr:pic>
    <xdr:clientData/>
  </xdr:oneCellAnchor>
  <xdr:oneCellAnchor>
    <xdr:from>
      <xdr:col>17</xdr:col>
      <xdr:colOff>234203</xdr:colOff>
      <xdr:row>184</xdr:row>
      <xdr:rowOff>32984</xdr:rowOff>
    </xdr:from>
    <xdr:ext cx="460120" cy="460662"/>
    <xdr:pic>
      <xdr:nvPicPr>
        <xdr:cNvPr id="59" name="Imagem 58" descr="R&amp;D MINERAÇÃO E CONSTRUÇÃO LTDA. | LinkedIn">
          <a:extLst>
            <a:ext uri="{FF2B5EF4-FFF2-40B4-BE49-F238E27FC236}">
              <a16:creationId xmlns:a16="http://schemas.microsoft.com/office/drawing/2014/main" id="{66A45827-BF02-4CEA-9953-C5707D00B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96425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184</xdr:row>
      <xdr:rowOff>14169</xdr:rowOff>
    </xdr:from>
    <xdr:ext cx="1079791" cy="414918"/>
    <xdr:pic>
      <xdr:nvPicPr>
        <xdr:cNvPr id="60" name="Imagem 59">
          <a:extLst>
            <a:ext uri="{FF2B5EF4-FFF2-40B4-BE49-F238E27FC236}">
              <a16:creationId xmlns:a16="http://schemas.microsoft.com/office/drawing/2014/main" id="{241413FD-B79B-45DA-8B19-EF89AB3955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85929669"/>
          <a:ext cx="1079791" cy="414918"/>
        </a:xfrm>
        <a:prstGeom prst="rect">
          <a:avLst/>
        </a:prstGeom>
      </xdr:spPr>
    </xdr:pic>
    <xdr:clientData/>
  </xdr:oneCellAnchor>
  <xdr:oneCellAnchor>
    <xdr:from>
      <xdr:col>20</xdr:col>
      <xdr:colOff>190500</xdr:colOff>
      <xdr:row>155</xdr:row>
      <xdr:rowOff>38100</xdr:rowOff>
    </xdr:from>
    <xdr:ext cx="1045264" cy="1087179"/>
    <xdr:pic>
      <xdr:nvPicPr>
        <xdr:cNvPr id="61" name="Imagem 60">
          <a:extLst>
            <a:ext uri="{FF2B5EF4-FFF2-40B4-BE49-F238E27FC236}">
              <a16:creationId xmlns:a16="http://schemas.microsoft.com/office/drawing/2014/main" id="{918669A1-0342-40FA-A93C-BDE38512B96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69380100"/>
          <a:ext cx="1045264" cy="1087179"/>
        </a:xfrm>
        <a:prstGeom prst="rect">
          <a:avLst/>
        </a:prstGeom>
      </xdr:spPr>
    </xdr:pic>
    <xdr:clientData/>
  </xdr:oneCellAnchor>
  <xdr:oneCellAnchor>
    <xdr:from>
      <xdr:col>17</xdr:col>
      <xdr:colOff>234203</xdr:colOff>
      <xdr:row>215</xdr:row>
      <xdr:rowOff>32984</xdr:rowOff>
    </xdr:from>
    <xdr:ext cx="460120" cy="460662"/>
    <xdr:pic>
      <xdr:nvPicPr>
        <xdr:cNvPr id="62" name="Imagem 61" descr="R&amp;D MINERAÇÃO E CONSTRUÇÃO LTDA. | LinkedIn">
          <a:extLst>
            <a:ext uri="{FF2B5EF4-FFF2-40B4-BE49-F238E27FC236}">
              <a16:creationId xmlns:a16="http://schemas.microsoft.com/office/drawing/2014/main" id="{C34F3B51-CEC7-4526-BC6F-7ED4E197B2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12618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215</xdr:row>
      <xdr:rowOff>14169</xdr:rowOff>
    </xdr:from>
    <xdr:ext cx="1079791" cy="414918"/>
    <xdr:pic>
      <xdr:nvPicPr>
        <xdr:cNvPr id="63" name="Imagem 62">
          <a:extLst>
            <a:ext uri="{FF2B5EF4-FFF2-40B4-BE49-F238E27FC236}">
              <a16:creationId xmlns:a16="http://schemas.microsoft.com/office/drawing/2014/main" id="{88A72636-B596-47CC-AFEA-6296A7E94E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03265169"/>
          <a:ext cx="1079791" cy="414918"/>
        </a:xfrm>
        <a:prstGeom prst="rect">
          <a:avLst/>
        </a:prstGeom>
      </xdr:spPr>
    </xdr:pic>
    <xdr:clientData/>
  </xdr:oneCellAnchor>
  <xdr:oneCellAnchor>
    <xdr:from>
      <xdr:col>20</xdr:col>
      <xdr:colOff>190500</xdr:colOff>
      <xdr:row>186</xdr:row>
      <xdr:rowOff>38100</xdr:rowOff>
    </xdr:from>
    <xdr:ext cx="1045264" cy="1087179"/>
    <xdr:pic>
      <xdr:nvPicPr>
        <xdr:cNvPr id="64" name="Imagem 63">
          <a:extLst>
            <a:ext uri="{FF2B5EF4-FFF2-40B4-BE49-F238E27FC236}">
              <a16:creationId xmlns:a16="http://schemas.microsoft.com/office/drawing/2014/main" id="{0750AE14-9D67-423C-9EB2-B632F609AD8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86715600"/>
          <a:ext cx="1045264" cy="1087179"/>
        </a:xfrm>
        <a:prstGeom prst="rect">
          <a:avLst/>
        </a:prstGeom>
      </xdr:spPr>
    </xdr:pic>
    <xdr:clientData/>
  </xdr:oneCellAnchor>
  <xdr:oneCellAnchor>
    <xdr:from>
      <xdr:col>17</xdr:col>
      <xdr:colOff>234203</xdr:colOff>
      <xdr:row>246</xdr:row>
      <xdr:rowOff>32984</xdr:rowOff>
    </xdr:from>
    <xdr:ext cx="460120" cy="460662"/>
    <xdr:pic>
      <xdr:nvPicPr>
        <xdr:cNvPr id="65" name="Imagem 64" descr="R&amp;D MINERAÇÃO E CONSTRUÇÃO LTDA. | LinkedIn">
          <a:extLst>
            <a:ext uri="{FF2B5EF4-FFF2-40B4-BE49-F238E27FC236}">
              <a16:creationId xmlns:a16="http://schemas.microsoft.com/office/drawing/2014/main" id="{555AE299-B13E-4BFA-BEEA-04EE0CB75D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28810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246</xdr:row>
      <xdr:rowOff>14169</xdr:rowOff>
    </xdr:from>
    <xdr:ext cx="1079791" cy="414918"/>
    <xdr:pic>
      <xdr:nvPicPr>
        <xdr:cNvPr id="66" name="Imagem 65">
          <a:extLst>
            <a:ext uri="{FF2B5EF4-FFF2-40B4-BE49-F238E27FC236}">
              <a16:creationId xmlns:a16="http://schemas.microsoft.com/office/drawing/2014/main" id="{277D58DC-D587-40FD-906E-3399CBD39E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20600669"/>
          <a:ext cx="1079791" cy="414918"/>
        </a:xfrm>
        <a:prstGeom prst="rect">
          <a:avLst/>
        </a:prstGeom>
      </xdr:spPr>
    </xdr:pic>
    <xdr:clientData/>
  </xdr:oneCellAnchor>
  <xdr:oneCellAnchor>
    <xdr:from>
      <xdr:col>20</xdr:col>
      <xdr:colOff>190500</xdr:colOff>
      <xdr:row>217</xdr:row>
      <xdr:rowOff>38100</xdr:rowOff>
    </xdr:from>
    <xdr:ext cx="1045264" cy="1087179"/>
    <xdr:pic>
      <xdr:nvPicPr>
        <xdr:cNvPr id="67" name="Imagem 66">
          <a:extLst>
            <a:ext uri="{FF2B5EF4-FFF2-40B4-BE49-F238E27FC236}">
              <a16:creationId xmlns:a16="http://schemas.microsoft.com/office/drawing/2014/main" id="{4E1669B9-D0EE-441B-8857-5F546E2E401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04051100"/>
          <a:ext cx="1045264" cy="1087179"/>
        </a:xfrm>
        <a:prstGeom prst="rect">
          <a:avLst/>
        </a:prstGeom>
      </xdr:spPr>
    </xdr:pic>
    <xdr:clientData/>
  </xdr:oneCellAnchor>
  <xdr:oneCellAnchor>
    <xdr:from>
      <xdr:col>17</xdr:col>
      <xdr:colOff>234203</xdr:colOff>
      <xdr:row>277</xdr:row>
      <xdr:rowOff>32984</xdr:rowOff>
    </xdr:from>
    <xdr:ext cx="460120" cy="460662"/>
    <xdr:pic>
      <xdr:nvPicPr>
        <xdr:cNvPr id="68" name="Imagem 67" descr="R&amp;D MINERAÇÃO E CONSTRUÇÃO LTDA. | LinkedIn">
          <a:extLst>
            <a:ext uri="{FF2B5EF4-FFF2-40B4-BE49-F238E27FC236}">
              <a16:creationId xmlns:a16="http://schemas.microsoft.com/office/drawing/2014/main" id="{80684B5E-85DE-487A-B1F0-92B55253AB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4500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277</xdr:row>
      <xdr:rowOff>14169</xdr:rowOff>
    </xdr:from>
    <xdr:ext cx="1079791" cy="414918"/>
    <xdr:pic>
      <xdr:nvPicPr>
        <xdr:cNvPr id="69" name="Imagem 68">
          <a:extLst>
            <a:ext uri="{FF2B5EF4-FFF2-40B4-BE49-F238E27FC236}">
              <a16:creationId xmlns:a16="http://schemas.microsoft.com/office/drawing/2014/main" id="{9D8A1CD9-5650-4071-92D2-576283DF25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37936169"/>
          <a:ext cx="1079791" cy="414918"/>
        </a:xfrm>
        <a:prstGeom prst="rect">
          <a:avLst/>
        </a:prstGeom>
      </xdr:spPr>
    </xdr:pic>
    <xdr:clientData/>
  </xdr:oneCellAnchor>
  <xdr:oneCellAnchor>
    <xdr:from>
      <xdr:col>20</xdr:col>
      <xdr:colOff>190500</xdr:colOff>
      <xdr:row>248</xdr:row>
      <xdr:rowOff>38100</xdr:rowOff>
    </xdr:from>
    <xdr:ext cx="1045264" cy="1087179"/>
    <xdr:pic>
      <xdr:nvPicPr>
        <xdr:cNvPr id="70" name="Imagem 69">
          <a:extLst>
            <a:ext uri="{FF2B5EF4-FFF2-40B4-BE49-F238E27FC236}">
              <a16:creationId xmlns:a16="http://schemas.microsoft.com/office/drawing/2014/main" id="{0B9C5CFA-B350-4831-9F04-03C3FD5582D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21386600"/>
          <a:ext cx="1045264" cy="1087179"/>
        </a:xfrm>
        <a:prstGeom prst="rect">
          <a:avLst/>
        </a:prstGeom>
      </xdr:spPr>
    </xdr:pic>
    <xdr:clientData/>
  </xdr:oneCellAnchor>
  <xdr:oneCellAnchor>
    <xdr:from>
      <xdr:col>17</xdr:col>
      <xdr:colOff>234203</xdr:colOff>
      <xdr:row>308</xdr:row>
      <xdr:rowOff>13934</xdr:rowOff>
    </xdr:from>
    <xdr:ext cx="460120" cy="460662"/>
    <xdr:pic>
      <xdr:nvPicPr>
        <xdr:cNvPr id="71" name="Imagem 70" descr="R&amp;D MINERAÇÃO E CONSTRUÇÃO LTDA. | LinkedIn">
          <a:extLst>
            <a:ext uri="{FF2B5EF4-FFF2-40B4-BE49-F238E27FC236}">
              <a16:creationId xmlns:a16="http://schemas.microsoft.com/office/drawing/2014/main" id="{7FB5B205-2C67-4E3E-8C8D-3AD8D1ADC3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55271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308</xdr:row>
      <xdr:rowOff>14169</xdr:rowOff>
    </xdr:from>
    <xdr:ext cx="1079791" cy="414918"/>
    <xdr:pic>
      <xdr:nvPicPr>
        <xdr:cNvPr id="72" name="Imagem 71">
          <a:extLst>
            <a:ext uri="{FF2B5EF4-FFF2-40B4-BE49-F238E27FC236}">
              <a16:creationId xmlns:a16="http://schemas.microsoft.com/office/drawing/2014/main" id="{7AF2C6ED-7835-4779-A2AD-C149F0097E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55271669"/>
          <a:ext cx="1079791" cy="414918"/>
        </a:xfrm>
        <a:prstGeom prst="rect">
          <a:avLst/>
        </a:prstGeom>
      </xdr:spPr>
    </xdr:pic>
    <xdr:clientData/>
  </xdr:oneCellAnchor>
  <xdr:oneCellAnchor>
    <xdr:from>
      <xdr:col>20</xdr:col>
      <xdr:colOff>190500</xdr:colOff>
      <xdr:row>279</xdr:row>
      <xdr:rowOff>38100</xdr:rowOff>
    </xdr:from>
    <xdr:ext cx="1045264" cy="1087179"/>
    <xdr:pic>
      <xdr:nvPicPr>
        <xdr:cNvPr id="73" name="Imagem 72">
          <a:extLst>
            <a:ext uri="{FF2B5EF4-FFF2-40B4-BE49-F238E27FC236}">
              <a16:creationId xmlns:a16="http://schemas.microsoft.com/office/drawing/2014/main" id="{767AF556-4E8B-48A9-909E-D8F1E71FADA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38722100"/>
          <a:ext cx="1045264" cy="1087179"/>
        </a:xfrm>
        <a:prstGeom prst="rect">
          <a:avLst/>
        </a:prstGeom>
      </xdr:spPr>
    </xdr:pic>
    <xdr:clientData/>
  </xdr:oneCellAnchor>
  <xdr:oneCellAnchor>
    <xdr:from>
      <xdr:col>17</xdr:col>
      <xdr:colOff>234203</xdr:colOff>
      <xdr:row>339</xdr:row>
      <xdr:rowOff>13934</xdr:rowOff>
    </xdr:from>
    <xdr:ext cx="460120" cy="460662"/>
    <xdr:pic>
      <xdr:nvPicPr>
        <xdr:cNvPr id="74" name="Imagem 73" descr="R&amp;D MINERAÇÃO E CONSTRUÇÃO LTDA. | LinkedIn">
          <a:extLst>
            <a:ext uri="{FF2B5EF4-FFF2-40B4-BE49-F238E27FC236}">
              <a16:creationId xmlns:a16="http://schemas.microsoft.com/office/drawing/2014/main" id="{88937947-5E26-4E40-863C-FEA9A497FA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339</xdr:row>
      <xdr:rowOff>14169</xdr:rowOff>
    </xdr:from>
    <xdr:ext cx="1079791" cy="414918"/>
    <xdr:pic>
      <xdr:nvPicPr>
        <xdr:cNvPr id="75" name="Imagem 74">
          <a:extLst>
            <a:ext uri="{FF2B5EF4-FFF2-40B4-BE49-F238E27FC236}">
              <a16:creationId xmlns:a16="http://schemas.microsoft.com/office/drawing/2014/main" id="{3800E302-7D6A-4E5E-9A2F-42D823CB78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310</xdr:row>
      <xdr:rowOff>38100</xdr:rowOff>
    </xdr:from>
    <xdr:ext cx="1045264" cy="1087179"/>
    <xdr:pic>
      <xdr:nvPicPr>
        <xdr:cNvPr id="76" name="Imagem 75">
          <a:extLst>
            <a:ext uri="{FF2B5EF4-FFF2-40B4-BE49-F238E27FC236}">
              <a16:creationId xmlns:a16="http://schemas.microsoft.com/office/drawing/2014/main" id="{127BE7F3-1416-4776-AF22-81B4CEEC825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370</xdr:row>
      <xdr:rowOff>13934</xdr:rowOff>
    </xdr:from>
    <xdr:ext cx="460120" cy="460662"/>
    <xdr:pic>
      <xdr:nvPicPr>
        <xdr:cNvPr id="77" name="Imagem 76" descr="R&amp;D MINERAÇÃO E CONSTRUÇÃO LTDA. | LinkedIn">
          <a:extLst>
            <a:ext uri="{FF2B5EF4-FFF2-40B4-BE49-F238E27FC236}">
              <a16:creationId xmlns:a16="http://schemas.microsoft.com/office/drawing/2014/main" id="{FB5B5D30-9AEB-4FB1-B635-02231B4CE7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370</xdr:row>
      <xdr:rowOff>14169</xdr:rowOff>
    </xdr:from>
    <xdr:ext cx="1079791" cy="414918"/>
    <xdr:pic>
      <xdr:nvPicPr>
        <xdr:cNvPr id="78" name="Imagem 77">
          <a:extLst>
            <a:ext uri="{FF2B5EF4-FFF2-40B4-BE49-F238E27FC236}">
              <a16:creationId xmlns:a16="http://schemas.microsoft.com/office/drawing/2014/main" id="{FF1E50C3-DE7F-4DEC-B829-9347CDD40F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341</xdr:row>
      <xdr:rowOff>38100</xdr:rowOff>
    </xdr:from>
    <xdr:ext cx="1045264" cy="1087179"/>
    <xdr:pic>
      <xdr:nvPicPr>
        <xdr:cNvPr id="79" name="Imagem 78">
          <a:extLst>
            <a:ext uri="{FF2B5EF4-FFF2-40B4-BE49-F238E27FC236}">
              <a16:creationId xmlns:a16="http://schemas.microsoft.com/office/drawing/2014/main" id="{4B8FC842-CD6A-46C4-8473-564DDFF0453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401</xdr:row>
      <xdr:rowOff>13934</xdr:rowOff>
    </xdr:from>
    <xdr:ext cx="460120" cy="460662"/>
    <xdr:pic>
      <xdr:nvPicPr>
        <xdr:cNvPr id="80" name="Imagem 79" descr="R&amp;D MINERAÇÃO E CONSTRUÇÃO LTDA. | LinkedIn">
          <a:extLst>
            <a:ext uri="{FF2B5EF4-FFF2-40B4-BE49-F238E27FC236}">
              <a16:creationId xmlns:a16="http://schemas.microsoft.com/office/drawing/2014/main" id="{14285C29-4A58-48D1-A6C2-8116E3406A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401</xdr:row>
      <xdr:rowOff>14169</xdr:rowOff>
    </xdr:from>
    <xdr:ext cx="1079791" cy="414918"/>
    <xdr:pic>
      <xdr:nvPicPr>
        <xdr:cNvPr id="81" name="Imagem 80">
          <a:extLst>
            <a:ext uri="{FF2B5EF4-FFF2-40B4-BE49-F238E27FC236}">
              <a16:creationId xmlns:a16="http://schemas.microsoft.com/office/drawing/2014/main" id="{3C0257F0-A9F5-4138-BF30-93DC47B08C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372</xdr:row>
      <xdr:rowOff>38100</xdr:rowOff>
    </xdr:from>
    <xdr:ext cx="1045264" cy="1087179"/>
    <xdr:pic>
      <xdr:nvPicPr>
        <xdr:cNvPr id="82" name="Imagem 81">
          <a:extLst>
            <a:ext uri="{FF2B5EF4-FFF2-40B4-BE49-F238E27FC236}">
              <a16:creationId xmlns:a16="http://schemas.microsoft.com/office/drawing/2014/main" id="{190535A7-FAD2-4158-AB36-7FFBD6DC232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432</xdr:row>
      <xdr:rowOff>13934</xdr:rowOff>
    </xdr:from>
    <xdr:ext cx="460120" cy="460662"/>
    <xdr:pic>
      <xdr:nvPicPr>
        <xdr:cNvPr id="83" name="Imagem 82" descr="R&amp;D MINERAÇÃO E CONSTRUÇÃO LTDA. | LinkedIn">
          <a:extLst>
            <a:ext uri="{FF2B5EF4-FFF2-40B4-BE49-F238E27FC236}">
              <a16:creationId xmlns:a16="http://schemas.microsoft.com/office/drawing/2014/main" id="{5CF83382-D7ED-4B01-BE6D-B8AB763E28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432</xdr:row>
      <xdr:rowOff>14169</xdr:rowOff>
    </xdr:from>
    <xdr:ext cx="1079791" cy="414918"/>
    <xdr:pic>
      <xdr:nvPicPr>
        <xdr:cNvPr id="84" name="Imagem 83">
          <a:extLst>
            <a:ext uri="{FF2B5EF4-FFF2-40B4-BE49-F238E27FC236}">
              <a16:creationId xmlns:a16="http://schemas.microsoft.com/office/drawing/2014/main" id="{AD33D499-5A3B-47AE-B760-A60B31F0AD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403</xdr:row>
      <xdr:rowOff>38100</xdr:rowOff>
    </xdr:from>
    <xdr:ext cx="1045264" cy="1087179"/>
    <xdr:pic>
      <xdr:nvPicPr>
        <xdr:cNvPr id="85" name="Imagem 84">
          <a:extLst>
            <a:ext uri="{FF2B5EF4-FFF2-40B4-BE49-F238E27FC236}">
              <a16:creationId xmlns:a16="http://schemas.microsoft.com/office/drawing/2014/main" id="{FB1E4C2F-4F9F-438C-81A6-1A8DC357D0D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463</xdr:row>
      <xdr:rowOff>13934</xdr:rowOff>
    </xdr:from>
    <xdr:ext cx="460120" cy="460662"/>
    <xdr:pic>
      <xdr:nvPicPr>
        <xdr:cNvPr id="86" name="Imagem 85" descr="R&amp;D MINERAÇÃO E CONSTRUÇÃO LTDA. | LinkedIn">
          <a:extLst>
            <a:ext uri="{FF2B5EF4-FFF2-40B4-BE49-F238E27FC236}">
              <a16:creationId xmlns:a16="http://schemas.microsoft.com/office/drawing/2014/main" id="{C5516860-6414-446F-B75F-F2C0696749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463</xdr:row>
      <xdr:rowOff>14169</xdr:rowOff>
    </xdr:from>
    <xdr:ext cx="1079791" cy="414918"/>
    <xdr:pic>
      <xdr:nvPicPr>
        <xdr:cNvPr id="87" name="Imagem 86">
          <a:extLst>
            <a:ext uri="{FF2B5EF4-FFF2-40B4-BE49-F238E27FC236}">
              <a16:creationId xmlns:a16="http://schemas.microsoft.com/office/drawing/2014/main" id="{99857B00-D40A-45A1-9D84-30505C6B2A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434</xdr:row>
      <xdr:rowOff>38100</xdr:rowOff>
    </xdr:from>
    <xdr:ext cx="1045264" cy="1087179"/>
    <xdr:pic>
      <xdr:nvPicPr>
        <xdr:cNvPr id="88" name="Imagem 87">
          <a:extLst>
            <a:ext uri="{FF2B5EF4-FFF2-40B4-BE49-F238E27FC236}">
              <a16:creationId xmlns:a16="http://schemas.microsoft.com/office/drawing/2014/main" id="{4831FA98-783C-4B01-B4B7-26B529F9D18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494</xdr:row>
      <xdr:rowOff>13934</xdr:rowOff>
    </xdr:from>
    <xdr:ext cx="460120" cy="460662"/>
    <xdr:pic>
      <xdr:nvPicPr>
        <xdr:cNvPr id="89" name="Imagem 88" descr="R&amp;D MINERAÇÃO E CONSTRUÇÃO LTDA. | LinkedIn">
          <a:extLst>
            <a:ext uri="{FF2B5EF4-FFF2-40B4-BE49-F238E27FC236}">
              <a16:creationId xmlns:a16="http://schemas.microsoft.com/office/drawing/2014/main" id="{6CF7C13F-94D5-42C9-BE24-EE9000975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494</xdr:row>
      <xdr:rowOff>14169</xdr:rowOff>
    </xdr:from>
    <xdr:ext cx="1079791" cy="414918"/>
    <xdr:pic>
      <xdr:nvPicPr>
        <xdr:cNvPr id="90" name="Imagem 89">
          <a:extLst>
            <a:ext uri="{FF2B5EF4-FFF2-40B4-BE49-F238E27FC236}">
              <a16:creationId xmlns:a16="http://schemas.microsoft.com/office/drawing/2014/main" id="{3FD118B1-104A-4EDF-A2D7-2F0439BAE6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465</xdr:row>
      <xdr:rowOff>38100</xdr:rowOff>
    </xdr:from>
    <xdr:ext cx="1045264" cy="1087179"/>
    <xdr:pic>
      <xdr:nvPicPr>
        <xdr:cNvPr id="91" name="Imagem 90">
          <a:extLst>
            <a:ext uri="{FF2B5EF4-FFF2-40B4-BE49-F238E27FC236}">
              <a16:creationId xmlns:a16="http://schemas.microsoft.com/office/drawing/2014/main" id="{FB0CE985-E357-4ED2-AA30-68CD8C91E8B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525</xdr:row>
      <xdr:rowOff>13934</xdr:rowOff>
    </xdr:from>
    <xdr:ext cx="460120" cy="460662"/>
    <xdr:pic>
      <xdr:nvPicPr>
        <xdr:cNvPr id="92" name="Imagem 91" descr="R&amp;D MINERAÇÃO E CONSTRUÇÃO LTDA. | LinkedIn">
          <a:extLst>
            <a:ext uri="{FF2B5EF4-FFF2-40B4-BE49-F238E27FC236}">
              <a16:creationId xmlns:a16="http://schemas.microsoft.com/office/drawing/2014/main" id="{AB1A1F43-FD39-4338-BB8A-E396FD06D3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525</xdr:row>
      <xdr:rowOff>14169</xdr:rowOff>
    </xdr:from>
    <xdr:ext cx="1079791" cy="414918"/>
    <xdr:pic>
      <xdr:nvPicPr>
        <xdr:cNvPr id="93" name="Imagem 92">
          <a:extLst>
            <a:ext uri="{FF2B5EF4-FFF2-40B4-BE49-F238E27FC236}">
              <a16:creationId xmlns:a16="http://schemas.microsoft.com/office/drawing/2014/main" id="{1635E891-E368-4EE3-B84D-8C49A86FC5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496</xdr:row>
      <xdr:rowOff>38100</xdr:rowOff>
    </xdr:from>
    <xdr:ext cx="1045264" cy="1087179"/>
    <xdr:pic>
      <xdr:nvPicPr>
        <xdr:cNvPr id="94" name="Imagem 93">
          <a:extLst>
            <a:ext uri="{FF2B5EF4-FFF2-40B4-BE49-F238E27FC236}">
              <a16:creationId xmlns:a16="http://schemas.microsoft.com/office/drawing/2014/main" id="{A8B11D44-2557-4EDC-A485-20302F39BEA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556</xdr:row>
      <xdr:rowOff>13934</xdr:rowOff>
    </xdr:from>
    <xdr:ext cx="460120" cy="460662"/>
    <xdr:pic>
      <xdr:nvPicPr>
        <xdr:cNvPr id="95" name="Imagem 94" descr="R&amp;D MINERAÇÃO E CONSTRUÇÃO LTDA. | LinkedIn">
          <a:extLst>
            <a:ext uri="{FF2B5EF4-FFF2-40B4-BE49-F238E27FC236}">
              <a16:creationId xmlns:a16="http://schemas.microsoft.com/office/drawing/2014/main" id="{D83882C3-BAE4-407C-8650-D44844B152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556</xdr:row>
      <xdr:rowOff>14169</xdr:rowOff>
    </xdr:from>
    <xdr:ext cx="1079791" cy="414918"/>
    <xdr:pic>
      <xdr:nvPicPr>
        <xdr:cNvPr id="96" name="Imagem 95">
          <a:extLst>
            <a:ext uri="{FF2B5EF4-FFF2-40B4-BE49-F238E27FC236}">
              <a16:creationId xmlns:a16="http://schemas.microsoft.com/office/drawing/2014/main" id="{FADDE6F9-5E20-405E-95F1-847DAA3546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527</xdr:row>
      <xdr:rowOff>38100</xdr:rowOff>
    </xdr:from>
    <xdr:ext cx="1045264" cy="1087179"/>
    <xdr:pic>
      <xdr:nvPicPr>
        <xdr:cNvPr id="97" name="Imagem 96">
          <a:extLst>
            <a:ext uri="{FF2B5EF4-FFF2-40B4-BE49-F238E27FC236}">
              <a16:creationId xmlns:a16="http://schemas.microsoft.com/office/drawing/2014/main" id="{4D0B53FF-9B89-4582-9206-C2794657A82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587</xdr:row>
      <xdr:rowOff>13934</xdr:rowOff>
    </xdr:from>
    <xdr:ext cx="460120" cy="460662"/>
    <xdr:pic>
      <xdr:nvPicPr>
        <xdr:cNvPr id="98" name="Imagem 97" descr="R&amp;D MINERAÇÃO E CONSTRUÇÃO LTDA. | LinkedIn">
          <a:extLst>
            <a:ext uri="{FF2B5EF4-FFF2-40B4-BE49-F238E27FC236}">
              <a16:creationId xmlns:a16="http://schemas.microsoft.com/office/drawing/2014/main" id="{0E448315-7264-455B-9B6A-334DE47CF6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587</xdr:row>
      <xdr:rowOff>14169</xdr:rowOff>
    </xdr:from>
    <xdr:ext cx="1079791" cy="414918"/>
    <xdr:pic>
      <xdr:nvPicPr>
        <xdr:cNvPr id="99" name="Imagem 98">
          <a:extLst>
            <a:ext uri="{FF2B5EF4-FFF2-40B4-BE49-F238E27FC236}">
              <a16:creationId xmlns:a16="http://schemas.microsoft.com/office/drawing/2014/main" id="{947F0AF7-FFE2-4956-BB2D-A1188E0ECD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558</xdr:row>
      <xdr:rowOff>38100</xdr:rowOff>
    </xdr:from>
    <xdr:ext cx="1045264" cy="1087179"/>
    <xdr:pic>
      <xdr:nvPicPr>
        <xdr:cNvPr id="100" name="Imagem 99">
          <a:extLst>
            <a:ext uri="{FF2B5EF4-FFF2-40B4-BE49-F238E27FC236}">
              <a16:creationId xmlns:a16="http://schemas.microsoft.com/office/drawing/2014/main" id="{0B5A4A7C-5ACE-450F-B2A0-CE67CF6E731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618</xdr:row>
      <xdr:rowOff>13934</xdr:rowOff>
    </xdr:from>
    <xdr:ext cx="460120" cy="460662"/>
    <xdr:pic>
      <xdr:nvPicPr>
        <xdr:cNvPr id="101" name="Imagem 100" descr="R&amp;D MINERAÇÃO E CONSTRUÇÃO LTDA. | LinkedIn">
          <a:extLst>
            <a:ext uri="{FF2B5EF4-FFF2-40B4-BE49-F238E27FC236}">
              <a16:creationId xmlns:a16="http://schemas.microsoft.com/office/drawing/2014/main" id="{F4FED760-CDF8-4A16-8D3A-DB875B1785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618</xdr:row>
      <xdr:rowOff>14169</xdr:rowOff>
    </xdr:from>
    <xdr:ext cx="1079791" cy="414918"/>
    <xdr:pic>
      <xdr:nvPicPr>
        <xdr:cNvPr id="102" name="Imagem 101">
          <a:extLst>
            <a:ext uri="{FF2B5EF4-FFF2-40B4-BE49-F238E27FC236}">
              <a16:creationId xmlns:a16="http://schemas.microsoft.com/office/drawing/2014/main" id="{B617C270-F7B9-4785-88E7-A9788D3D7D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589</xdr:row>
      <xdr:rowOff>38100</xdr:rowOff>
    </xdr:from>
    <xdr:ext cx="1045264" cy="1087179"/>
    <xdr:pic>
      <xdr:nvPicPr>
        <xdr:cNvPr id="103" name="Imagem 102">
          <a:extLst>
            <a:ext uri="{FF2B5EF4-FFF2-40B4-BE49-F238E27FC236}">
              <a16:creationId xmlns:a16="http://schemas.microsoft.com/office/drawing/2014/main" id="{AEB06575-F0D3-4016-BCF3-B4F1F733EFA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649</xdr:row>
      <xdr:rowOff>13934</xdr:rowOff>
    </xdr:from>
    <xdr:ext cx="460120" cy="460662"/>
    <xdr:pic>
      <xdr:nvPicPr>
        <xdr:cNvPr id="104" name="Imagem 103" descr="R&amp;D MINERAÇÃO E CONSTRUÇÃO LTDA. | LinkedIn">
          <a:extLst>
            <a:ext uri="{FF2B5EF4-FFF2-40B4-BE49-F238E27FC236}">
              <a16:creationId xmlns:a16="http://schemas.microsoft.com/office/drawing/2014/main" id="{DE0B07DA-D074-4B6E-8032-FDFF4A3052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649</xdr:row>
      <xdr:rowOff>14169</xdr:rowOff>
    </xdr:from>
    <xdr:ext cx="1079791" cy="414918"/>
    <xdr:pic>
      <xdr:nvPicPr>
        <xdr:cNvPr id="105" name="Imagem 104">
          <a:extLst>
            <a:ext uri="{FF2B5EF4-FFF2-40B4-BE49-F238E27FC236}">
              <a16:creationId xmlns:a16="http://schemas.microsoft.com/office/drawing/2014/main" id="{99554B2E-B102-4FF1-A259-0F7EDA1F2E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620</xdr:row>
      <xdr:rowOff>38100</xdr:rowOff>
    </xdr:from>
    <xdr:ext cx="1045264" cy="1087179"/>
    <xdr:pic>
      <xdr:nvPicPr>
        <xdr:cNvPr id="106" name="Imagem 105">
          <a:extLst>
            <a:ext uri="{FF2B5EF4-FFF2-40B4-BE49-F238E27FC236}">
              <a16:creationId xmlns:a16="http://schemas.microsoft.com/office/drawing/2014/main" id="{EE7D3D22-7C6A-4D18-88C7-F6D1276E010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680</xdr:row>
      <xdr:rowOff>13934</xdr:rowOff>
    </xdr:from>
    <xdr:ext cx="460120" cy="460662"/>
    <xdr:pic>
      <xdr:nvPicPr>
        <xdr:cNvPr id="107" name="Imagem 106" descr="R&amp;D MINERAÇÃO E CONSTRUÇÃO LTDA. | LinkedIn">
          <a:extLst>
            <a:ext uri="{FF2B5EF4-FFF2-40B4-BE49-F238E27FC236}">
              <a16:creationId xmlns:a16="http://schemas.microsoft.com/office/drawing/2014/main" id="{DA374AA6-8B06-4E9D-9463-96638F9727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680</xdr:row>
      <xdr:rowOff>14169</xdr:rowOff>
    </xdr:from>
    <xdr:ext cx="1079791" cy="414918"/>
    <xdr:pic>
      <xdr:nvPicPr>
        <xdr:cNvPr id="108" name="Imagem 107">
          <a:extLst>
            <a:ext uri="{FF2B5EF4-FFF2-40B4-BE49-F238E27FC236}">
              <a16:creationId xmlns:a16="http://schemas.microsoft.com/office/drawing/2014/main" id="{DCFD2D38-191E-442B-9641-5FBD63D670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651</xdr:row>
      <xdr:rowOff>38100</xdr:rowOff>
    </xdr:from>
    <xdr:ext cx="1045264" cy="1087179"/>
    <xdr:pic>
      <xdr:nvPicPr>
        <xdr:cNvPr id="109" name="Imagem 108">
          <a:extLst>
            <a:ext uri="{FF2B5EF4-FFF2-40B4-BE49-F238E27FC236}">
              <a16:creationId xmlns:a16="http://schemas.microsoft.com/office/drawing/2014/main" id="{EA5CDAED-68C8-4D83-870F-67DB619D935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711</xdr:row>
      <xdr:rowOff>13934</xdr:rowOff>
    </xdr:from>
    <xdr:ext cx="460120" cy="460662"/>
    <xdr:pic>
      <xdr:nvPicPr>
        <xdr:cNvPr id="110" name="Imagem 109" descr="R&amp;D MINERAÇÃO E CONSTRUÇÃO LTDA. | LinkedIn">
          <a:extLst>
            <a:ext uri="{FF2B5EF4-FFF2-40B4-BE49-F238E27FC236}">
              <a16:creationId xmlns:a16="http://schemas.microsoft.com/office/drawing/2014/main" id="{5A395CA1-807A-40D5-B51B-5EB6CDF004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711</xdr:row>
      <xdr:rowOff>14169</xdr:rowOff>
    </xdr:from>
    <xdr:ext cx="1079791" cy="414918"/>
    <xdr:pic>
      <xdr:nvPicPr>
        <xdr:cNvPr id="111" name="Imagem 110">
          <a:extLst>
            <a:ext uri="{FF2B5EF4-FFF2-40B4-BE49-F238E27FC236}">
              <a16:creationId xmlns:a16="http://schemas.microsoft.com/office/drawing/2014/main" id="{AAB3C82F-3379-4C38-8003-3DDAF6FCE8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682</xdr:row>
      <xdr:rowOff>38100</xdr:rowOff>
    </xdr:from>
    <xdr:ext cx="1045264" cy="1087179"/>
    <xdr:pic>
      <xdr:nvPicPr>
        <xdr:cNvPr id="112" name="Imagem 111">
          <a:extLst>
            <a:ext uri="{FF2B5EF4-FFF2-40B4-BE49-F238E27FC236}">
              <a16:creationId xmlns:a16="http://schemas.microsoft.com/office/drawing/2014/main" id="{709540ED-ABE3-4D3C-BF54-A145CEA3E6C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742</xdr:row>
      <xdr:rowOff>13934</xdr:rowOff>
    </xdr:from>
    <xdr:ext cx="460120" cy="460662"/>
    <xdr:pic>
      <xdr:nvPicPr>
        <xdr:cNvPr id="113" name="Imagem 112" descr="R&amp;D MINERAÇÃO E CONSTRUÇÃO LTDA. | LinkedIn">
          <a:extLst>
            <a:ext uri="{FF2B5EF4-FFF2-40B4-BE49-F238E27FC236}">
              <a16:creationId xmlns:a16="http://schemas.microsoft.com/office/drawing/2014/main" id="{EBE9BDE2-CAA2-4BB9-8650-C68A1B5921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742</xdr:row>
      <xdr:rowOff>14169</xdr:rowOff>
    </xdr:from>
    <xdr:ext cx="1079791" cy="414918"/>
    <xdr:pic>
      <xdr:nvPicPr>
        <xdr:cNvPr id="114" name="Imagem 113">
          <a:extLst>
            <a:ext uri="{FF2B5EF4-FFF2-40B4-BE49-F238E27FC236}">
              <a16:creationId xmlns:a16="http://schemas.microsoft.com/office/drawing/2014/main" id="{E0AA1AB9-B61C-4779-BEA0-699C598FA7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713</xdr:row>
      <xdr:rowOff>38100</xdr:rowOff>
    </xdr:from>
    <xdr:ext cx="1045264" cy="1087179"/>
    <xdr:pic>
      <xdr:nvPicPr>
        <xdr:cNvPr id="115" name="Imagem 114">
          <a:extLst>
            <a:ext uri="{FF2B5EF4-FFF2-40B4-BE49-F238E27FC236}">
              <a16:creationId xmlns:a16="http://schemas.microsoft.com/office/drawing/2014/main" id="{ADA1826E-6156-4B64-9CA2-899577B350F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773</xdr:row>
      <xdr:rowOff>13934</xdr:rowOff>
    </xdr:from>
    <xdr:ext cx="460120" cy="460662"/>
    <xdr:pic>
      <xdr:nvPicPr>
        <xdr:cNvPr id="116" name="Imagem 115" descr="R&amp;D MINERAÇÃO E CONSTRUÇÃO LTDA. | LinkedIn">
          <a:extLst>
            <a:ext uri="{FF2B5EF4-FFF2-40B4-BE49-F238E27FC236}">
              <a16:creationId xmlns:a16="http://schemas.microsoft.com/office/drawing/2014/main" id="{ED2C3862-1082-4914-89A1-E461FEF530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773</xdr:row>
      <xdr:rowOff>14169</xdr:rowOff>
    </xdr:from>
    <xdr:ext cx="1079791" cy="414918"/>
    <xdr:pic>
      <xdr:nvPicPr>
        <xdr:cNvPr id="117" name="Imagem 116">
          <a:extLst>
            <a:ext uri="{FF2B5EF4-FFF2-40B4-BE49-F238E27FC236}">
              <a16:creationId xmlns:a16="http://schemas.microsoft.com/office/drawing/2014/main" id="{DCC1AAEC-4D09-4318-8938-A731D8648F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744</xdr:row>
      <xdr:rowOff>38100</xdr:rowOff>
    </xdr:from>
    <xdr:ext cx="1045264" cy="1087179"/>
    <xdr:pic>
      <xdr:nvPicPr>
        <xdr:cNvPr id="118" name="Imagem 117">
          <a:extLst>
            <a:ext uri="{FF2B5EF4-FFF2-40B4-BE49-F238E27FC236}">
              <a16:creationId xmlns:a16="http://schemas.microsoft.com/office/drawing/2014/main" id="{45845FEC-DFC4-45CE-8959-97EFF182A26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804</xdr:row>
      <xdr:rowOff>13934</xdr:rowOff>
    </xdr:from>
    <xdr:ext cx="460120" cy="460662"/>
    <xdr:pic>
      <xdr:nvPicPr>
        <xdr:cNvPr id="119" name="Imagem 118" descr="R&amp;D MINERAÇÃO E CONSTRUÇÃO LTDA. | LinkedIn">
          <a:extLst>
            <a:ext uri="{FF2B5EF4-FFF2-40B4-BE49-F238E27FC236}">
              <a16:creationId xmlns:a16="http://schemas.microsoft.com/office/drawing/2014/main" id="{DCFC395B-EE7C-4C8F-B9A8-578F497B3E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804</xdr:row>
      <xdr:rowOff>14169</xdr:rowOff>
    </xdr:from>
    <xdr:ext cx="1079791" cy="414918"/>
    <xdr:pic>
      <xdr:nvPicPr>
        <xdr:cNvPr id="120" name="Imagem 119">
          <a:extLst>
            <a:ext uri="{FF2B5EF4-FFF2-40B4-BE49-F238E27FC236}">
              <a16:creationId xmlns:a16="http://schemas.microsoft.com/office/drawing/2014/main" id="{97123711-A9DA-4A4B-9355-51BA2DC4F0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775</xdr:row>
      <xdr:rowOff>38100</xdr:rowOff>
    </xdr:from>
    <xdr:ext cx="1045264" cy="1087179"/>
    <xdr:pic>
      <xdr:nvPicPr>
        <xdr:cNvPr id="121" name="Imagem 120">
          <a:extLst>
            <a:ext uri="{FF2B5EF4-FFF2-40B4-BE49-F238E27FC236}">
              <a16:creationId xmlns:a16="http://schemas.microsoft.com/office/drawing/2014/main" id="{9E59B721-5AFD-46C8-A630-C0FDEF03BD9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835</xdr:row>
      <xdr:rowOff>13934</xdr:rowOff>
    </xdr:from>
    <xdr:ext cx="460120" cy="460662"/>
    <xdr:pic>
      <xdr:nvPicPr>
        <xdr:cNvPr id="122" name="Imagem 121" descr="R&amp;D MINERAÇÃO E CONSTRUÇÃO LTDA. | LinkedIn">
          <a:extLst>
            <a:ext uri="{FF2B5EF4-FFF2-40B4-BE49-F238E27FC236}">
              <a16:creationId xmlns:a16="http://schemas.microsoft.com/office/drawing/2014/main" id="{7EACB2A0-B937-43A3-9FA2-A4D1D9ADA9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835</xdr:row>
      <xdr:rowOff>14169</xdr:rowOff>
    </xdr:from>
    <xdr:ext cx="1079791" cy="414918"/>
    <xdr:pic>
      <xdr:nvPicPr>
        <xdr:cNvPr id="123" name="Imagem 122">
          <a:extLst>
            <a:ext uri="{FF2B5EF4-FFF2-40B4-BE49-F238E27FC236}">
              <a16:creationId xmlns:a16="http://schemas.microsoft.com/office/drawing/2014/main" id="{F35F3001-4090-4432-B988-EA2D57DD0B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806</xdr:row>
      <xdr:rowOff>38100</xdr:rowOff>
    </xdr:from>
    <xdr:ext cx="1045264" cy="1087179"/>
    <xdr:pic>
      <xdr:nvPicPr>
        <xdr:cNvPr id="124" name="Imagem 123">
          <a:extLst>
            <a:ext uri="{FF2B5EF4-FFF2-40B4-BE49-F238E27FC236}">
              <a16:creationId xmlns:a16="http://schemas.microsoft.com/office/drawing/2014/main" id="{66CF8752-2DC5-4FF8-9AE7-25368822377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866</xdr:row>
      <xdr:rowOff>13934</xdr:rowOff>
    </xdr:from>
    <xdr:ext cx="460120" cy="460662"/>
    <xdr:pic>
      <xdr:nvPicPr>
        <xdr:cNvPr id="2" name="Imagem 1" descr="R&amp;D MINERAÇÃO E CONSTRUÇÃO LTDA. | LinkedIn">
          <a:extLst>
            <a:ext uri="{FF2B5EF4-FFF2-40B4-BE49-F238E27FC236}">
              <a16:creationId xmlns:a16="http://schemas.microsoft.com/office/drawing/2014/main" id="{CEC519E6-C744-43BA-B58E-B8B0E239D7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36449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866</xdr:row>
      <xdr:rowOff>14169</xdr:rowOff>
    </xdr:from>
    <xdr:ext cx="1079791" cy="414918"/>
    <xdr:pic>
      <xdr:nvPicPr>
        <xdr:cNvPr id="3" name="Imagem 2">
          <a:extLst>
            <a:ext uri="{FF2B5EF4-FFF2-40B4-BE49-F238E27FC236}">
              <a16:creationId xmlns:a16="http://schemas.microsoft.com/office/drawing/2014/main" id="{E55E88DB-34E8-4C66-BFBB-76F6948AE9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36449669"/>
          <a:ext cx="1079791" cy="414918"/>
        </a:xfrm>
        <a:prstGeom prst="rect">
          <a:avLst/>
        </a:prstGeom>
      </xdr:spPr>
    </xdr:pic>
    <xdr:clientData/>
  </xdr:oneCellAnchor>
  <xdr:oneCellAnchor>
    <xdr:from>
      <xdr:col>20</xdr:col>
      <xdr:colOff>190500</xdr:colOff>
      <xdr:row>837</xdr:row>
      <xdr:rowOff>38100</xdr:rowOff>
    </xdr:from>
    <xdr:ext cx="1045264" cy="1087179"/>
    <xdr:pic>
      <xdr:nvPicPr>
        <xdr:cNvPr id="5" name="Imagem 4">
          <a:extLst>
            <a:ext uri="{FF2B5EF4-FFF2-40B4-BE49-F238E27FC236}">
              <a16:creationId xmlns:a16="http://schemas.microsoft.com/office/drawing/2014/main" id="{04A05590-F07F-4B5D-8D71-EF2047933DC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21043100"/>
          <a:ext cx="1045264" cy="1087179"/>
        </a:xfrm>
        <a:prstGeom prst="rect">
          <a:avLst/>
        </a:prstGeom>
      </xdr:spPr>
    </xdr:pic>
    <xdr:clientData/>
  </xdr:oneCellAnchor>
  <xdr:oneCellAnchor>
    <xdr:from>
      <xdr:col>17</xdr:col>
      <xdr:colOff>234203</xdr:colOff>
      <xdr:row>897</xdr:row>
      <xdr:rowOff>13934</xdr:rowOff>
    </xdr:from>
    <xdr:ext cx="460120" cy="460662"/>
    <xdr:pic>
      <xdr:nvPicPr>
        <xdr:cNvPr id="6" name="Imagem 5" descr="R&amp;D MINERAÇÃO E CONSTRUÇÃO LTDA. | LinkedIn">
          <a:extLst>
            <a:ext uri="{FF2B5EF4-FFF2-40B4-BE49-F238E27FC236}">
              <a16:creationId xmlns:a16="http://schemas.microsoft.com/office/drawing/2014/main" id="{459F2BE8-A4A9-4149-874B-965520714A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36449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897</xdr:row>
      <xdr:rowOff>14169</xdr:rowOff>
    </xdr:from>
    <xdr:ext cx="1079791" cy="414918"/>
    <xdr:pic>
      <xdr:nvPicPr>
        <xdr:cNvPr id="7" name="Imagem 6">
          <a:extLst>
            <a:ext uri="{FF2B5EF4-FFF2-40B4-BE49-F238E27FC236}">
              <a16:creationId xmlns:a16="http://schemas.microsoft.com/office/drawing/2014/main" id="{A598574E-D887-4408-A626-D29CBF7ED1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36449669"/>
          <a:ext cx="1079791" cy="414918"/>
        </a:xfrm>
        <a:prstGeom prst="rect">
          <a:avLst/>
        </a:prstGeom>
      </xdr:spPr>
    </xdr:pic>
    <xdr:clientData/>
  </xdr:oneCellAnchor>
  <xdr:oneCellAnchor>
    <xdr:from>
      <xdr:col>20</xdr:col>
      <xdr:colOff>190500</xdr:colOff>
      <xdr:row>868</xdr:row>
      <xdr:rowOff>38100</xdr:rowOff>
    </xdr:from>
    <xdr:ext cx="1045264" cy="1087179"/>
    <xdr:pic>
      <xdr:nvPicPr>
        <xdr:cNvPr id="8" name="Imagem 7">
          <a:extLst>
            <a:ext uri="{FF2B5EF4-FFF2-40B4-BE49-F238E27FC236}">
              <a16:creationId xmlns:a16="http://schemas.microsoft.com/office/drawing/2014/main" id="{80C50978-6AE2-4009-A4FC-CA6339EF488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21043100"/>
          <a:ext cx="1045264" cy="1087179"/>
        </a:xfrm>
        <a:prstGeom prst="rect">
          <a:avLst/>
        </a:prstGeom>
      </xdr:spPr>
    </xdr:pic>
    <xdr:clientData/>
  </xdr:oneCellAnchor>
  <xdr:oneCellAnchor>
    <xdr:from>
      <xdr:col>17</xdr:col>
      <xdr:colOff>234203</xdr:colOff>
      <xdr:row>928</xdr:row>
      <xdr:rowOff>13934</xdr:rowOff>
    </xdr:from>
    <xdr:ext cx="460120" cy="460662"/>
    <xdr:pic>
      <xdr:nvPicPr>
        <xdr:cNvPr id="9" name="Imagem 8" descr="R&amp;D MINERAÇÃO E CONSTRUÇÃO LTDA. | LinkedIn">
          <a:extLst>
            <a:ext uri="{FF2B5EF4-FFF2-40B4-BE49-F238E27FC236}">
              <a16:creationId xmlns:a16="http://schemas.microsoft.com/office/drawing/2014/main" id="{ABFA365F-8A7E-4C7D-A2EF-5E643D0A81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68834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928</xdr:row>
      <xdr:rowOff>14169</xdr:rowOff>
    </xdr:from>
    <xdr:ext cx="1079791" cy="414918"/>
    <xdr:pic>
      <xdr:nvPicPr>
        <xdr:cNvPr id="10" name="Imagem 9">
          <a:extLst>
            <a:ext uri="{FF2B5EF4-FFF2-40B4-BE49-F238E27FC236}">
              <a16:creationId xmlns:a16="http://schemas.microsoft.com/office/drawing/2014/main" id="{CC3FC077-9E46-417F-8D82-E2F4517791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68834669"/>
          <a:ext cx="1079791" cy="414918"/>
        </a:xfrm>
        <a:prstGeom prst="rect">
          <a:avLst/>
        </a:prstGeom>
      </xdr:spPr>
    </xdr:pic>
    <xdr:clientData/>
  </xdr:oneCellAnchor>
  <xdr:oneCellAnchor>
    <xdr:from>
      <xdr:col>20</xdr:col>
      <xdr:colOff>190500</xdr:colOff>
      <xdr:row>899</xdr:row>
      <xdr:rowOff>38100</xdr:rowOff>
    </xdr:from>
    <xdr:ext cx="1045264" cy="1087179"/>
    <xdr:pic>
      <xdr:nvPicPr>
        <xdr:cNvPr id="11" name="Imagem 10">
          <a:extLst>
            <a:ext uri="{FF2B5EF4-FFF2-40B4-BE49-F238E27FC236}">
              <a16:creationId xmlns:a16="http://schemas.microsoft.com/office/drawing/2014/main" id="{C445EE3A-6123-4F05-9F29-9EB890D995A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53428100"/>
          <a:ext cx="1045264" cy="1087179"/>
        </a:xfrm>
        <a:prstGeom prst="rect">
          <a:avLst/>
        </a:prstGeom>
      </xdr:spPr>
    </xdr:pic>
    <xdr:clientData/>
  </xdr:oneCellAnchor>
  <xdr:oneCellAnchor>
    <xdr:from>
      <xdr:col>17</xdr:col>
      <xdr:colOff>234203</xdr:colOff>
      <xdr:row>959</xdr:row>
      <xdr:rowOff>13934</xdr:rowOff>
    </xdr:from>
    <xdr:ext cx="460120" cy="460662"/>
    <xdr:pic>
      <xdr:nvPicPr>
        <xdr:cNvPr id="12" name="Imagem 11" descr="R&amp;D MINERAÇÃO E CONSTRUÇÃO LTDA. | LinkedIn">
          <a:extLst>
            <a:ext uri="{FF2B5EF4-FFF2-40B4-BE49-F238E27FC236}">
              <a16:creationId xmlns:a16="http://schemas.microsoft.com/office/drawing/2014/main" id="{9B5C0C93-08DE-44F5-899E-4DF0293289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85026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959</xdr:row>
      <xdr:rowOff>14169</xdr:rowOff>
    </xdr:from>
    <xdr:ext cx="1079791" cy="414918"/>
    <xdr:pic>
      <xdr:nvPicPr>
        <xdr:cNvPr id="13" name="Imagem 12">
          <a:extLst>
            <a:ext uri="{FF2B5EF4-FFF2-40B4-BE49-F238E27FC236}">
              <a16:creationId xmlns:a16="http://schemas.microsoft.com/office/drawing/2014/main" id="{8CF21A89-754F-4EF5-8054-D5C7D7B3BF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85027169"/>
          <a:ext cx="1079791" cy="414918"/>
        </a:xfrm>
        <a:prstGeom prst="rect">
          <a:avLst/>
        </a:prstGeom>
      </xdr:spPr>
    </xdr:pic>
    <xdr:clientData/>
  </xdr:oneCellAnchor>
  <xdr:oneCellAnchor>
    <xdr:from>
      <xdr:col>20</xdr:col>
      <xdr:colOff>190500</xdr:colOff>
      <xdr:row>930</xdr:row>
      <xdr:rowOff>38100</xdr:rowOff>
    </xdr:from>
    <xdr:ext cx="1045264" cy="1087179"/>
    <xdr:pic>
      <xdr:nvPicPr>
        <xdr:cNvPr id="14" name="Imagem 13">
          <a:extLst>
            <a:ext uri="{FF2B5EF4-FFF2-40B4-BE49-F238E27FC236}">
              <a16:creationId xmlns:a16="http://schemas.microsoft.com/office/drawing/2014/main" id="{1568BE03-1F50-406E-B1DF-C3B54DB7965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69620600"/>
          <a:ext cx="1045264" cy="1087179"/>
        </a:xfrm>
        <a:prstGeom prst="rect">
          <a:avLst/>
        </a:prstGeom>
      </xdr:spPr>
    </xdr:pic>
    <xdr:clientData/>
  </xdr:oneCellAnchor>
  <xdr:oneCellAnchor>
    <xdr:from>
      <xdr:col>17</xdr:col>
      <xdr:colOff>234203</xdr:colOff>
      <xdr:row>990</xdr:row>
      <xdr:rowOff>13934</xdr:rowOff>
    </xdr:from>
    <xdr:ext cx="460120" cy="460662"/>
    <xdr:pic>
      <xdr:nvPicPr>
        <xdr:cNvPr id="15" name="Imagem 14" descr="R&amp;D MINERAÇÃO E CONSTRUÇÃO LTDA. | LinkedIn">
          <a:extLst>
            <a:ext uri="{FF2B5EF4-FFF2-40B4-BE49-F238E27FC236}">
              <a16:creationId xmlns:a16="http://schemas.microsoft.com/office/drawing/2014/main" id="{27841A90-A72D-4315-92A9-7E7B22E534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85026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990</xdr:row>
      <xdr:rowOff>14169</xdr:rowOff>
    </xdr:from>
    <xdr:ext cx="1079791" cy="414918"/>
    <xdr:pic>
      <xdr:nvPicPr>
        <xdr:cNvPr id="16" name="Imagem 15">
          <a:extLst>
            <a:ext uri="{FF2B5EF4-FFF2-40B4-BE49-F238E27FC236}">
              <a16:creationId xmlns:a16="http://schemas.microsoft.com/office/drawing/2014/main" id="{A0180F50-01AE-4F97-AEC8-22672928BA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85027169"/>
          <a:ext cx="1079791" cy="414918"/>
        </a:xfrm>
        <a:prstGeom prst="rect">
          <a:avLst/>
        </a:prstGeom>
      </xdr:spPr>
    </xdr:pic>
    <xdr:clientData/>
  </xdr:oneCellAnchor>
  <xdr:oneCellAnchor>
    <xdr:from>
      <xdr:col>20</xdr:col>
      <xdr:colOff>190500</xdr:colOff>
      <xdr:row>961</xdr:row>
      <xdr:rowOff>38100</xdr:rowOff>
    </xdr:from>
    <xdr:ext cx="1045264" cy="1087179"/>
    <xdr:pic>
      <xdr:nvPicPr>
        <xdr:cNvPr id="17" name="Imagem 16">
          <a:extLst>
            <a:ext uri="{FF2B5EF4-FFF2-40B4-BE49-F238E27FC236}">
              <a16:creationId xmlns:a16="http://schemas.microsoft.com/office/drawing/2014/main" id="{145BD751-AF85-4B5B-8F9C-0E32B399A2F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69620600"/>
          <a:ext cx="1045264" cy="1087179"/>
        </a:xfrm>
        <a:prstGeom prst="rect">
          <a:avLst/>
        </a:prstGeom>
      </xdr:spPr>
    </xdr:pic>
    <xdr:clientData/>
  </xdr:oneCellAnchor>
  <xdr:oneCellAnchor>
    <xdr:from>
      <xdr:col>17</xdr:col>
      <xdr:colOff>234203</xdr:colOff>
      <xdr:row>1021</xdr:row>
      <xdr:rowOff>13934</xdr:rowOff>
    </xdr:from>
    <xdr:ext cx="460120" cy="460662"/>
    <xdr:pic>
      <xdr:nvPicPr>
        <xdr:cNvPr id="18" name="Imagem 17" descr="R&amp;D MINERAÇÃO E CONSTRUÇÃO LTDA. | LinkedIn">
          <a:extLst>
            <a:ext uri="{FF2B5EF4-FFF2-40B4-BE49-F238E27FC236}">
              <a16:creationId xmlns:a16="http://schemas.microsoft.com/office/drawing/2014/main" id="{84542FC6-BEB3-4FEE-98E1-21475BC033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1021</xdr:row>
      <xdr:rowOff>14169</xdr:rowOff>
    </xdr:from>
    <xdr:ext cx="1079791" cy="414918"/>
    <xdr:pic>
      <xdr:nvPicPr>
        <xdr:cNvPr id="19" name="Imagem 18">
          <a:extLst>
            <a:ext uri="{FF2B5EF4-FFF2-40B4-BE49-F238E27FC236}">
              <a16:creationId xmlns:a16="http://schemas.microsoft.com/office/drawing/2014/main" id="{678ED4C5-DA48-48E1-B4EA-C805312C90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992</xdr:row>
      <xdr:rowOff>38100</xdr:rowOff>
    </xdr:from>
    <xdr:ext cx="1045264" cy="1087179"/>
    <xdr:pic>
      <xdr:nvPicPr>
        <xdr:cNvPr id="20" name="Imagem 19">
          <a:extLst>
            <a:ext uri="{FF2B5EF4-FFF2-40B4-BE49-F238E27FC236}">
              <a16:creationId xmlns:a16="http://schemas.microsoft.com/office/drawing/2014/main" id="{58180EA3-21E7-4B68-9095-66CE1D977B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1052</xdr:row>
      <xdr:rowOff>13934</xdr:rowOff>
    </xdr:from>
    <xdr:ext cx="460120" cy="460662"/>
    <xdr:pic>
      <xdr:nvPicPr>
        <xdr:cNvPr id="21" name="Imagem 20" descr="R&amp;D MINERAÇÃO E CONSTRUÇÃO LTDA. | LinkedIn">
          <a:extLst>
            <a:ext uri="{FF2B5EF4-FFF2-40B4-BE49-F238E27FC236}">
              <a16:creationId xmlns:a16="http://schemas.microsoft.com/office/drawing/2014/main" id="{15B0E341-FD38-476A-AD4C-FE4C9CB09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1052</xdr:row>
      <xdr:rowOff>14169</xdr:rowOff>
    </xdr:from>
    <xdr:ext cx="1079791" cy="414918"/>
    <xdr:pic>
      <xdr:nvPicPr>
        <xdr:cNvPr id="22" name="Imagem 21">
          <a:extLst>
            <a:ext uri="{FF2B5EF4-FFF2-40B4-BE49-F238E27FC236}">
              <a16:creationId xmlns:a16="http://schemas.microsoft.com/office/drawing/2014/main" id="{379A3F00-81E0-4414-8EAF-65D5236F30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1023</xdr:row>
      <xdr:rowOff>38100</xdr:rowOff>
    </xdr:from>
    <xdr:ext cx="1045264" cy="1087179"/>
    <xdr:pic>
      <xdr:nvPicPr>
        <xdr:cNvPr id="23" name="Imagem 22">
          <a:extLst>
            <a:ext uri="{FF2B5EF4-FFF2-40B4-BE49-F238E27FC236}">
              <a16:creationId xmlns:a16="http://schemas.microsoft.com/office/drawing/2014/main" id="{B0413C28-613B-4B60-84F6-84FDC3DCF77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1083</xdr:row>
      <xdr:rowOff>13934</xdr:rowOff>
    </xdr:from>
    <xdr:ext cx="460120" cy="460662"/>
    <xdr:pic>
      <xdr:nvPicPr>
        <xdr:cNvPr id="24" name="Imagem 23" descr="R&amp;D MINERAÇÃO E CONSTRUÇÃO LTDA. | LinkedIn">
          <a:extLst>
            <a:ext uri="{FF2B5EF4-FFF2-40B4-BE49-F238E27FC236}">
              <a16:creationId xmlns:a16="http://schemas.microsoft.com/office/drawing/2014/main" id="{18FD12DA-EAA8-4C22-A143-CA8EFEE22B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1083</xdr:row>
      <xdr:rowOff>14169</xdr:rowOff>
    </xdr:from>
    <xdr:ext cx="1079791" cy="414918"/>
    <xdr:pic>
      <xdr:nvPicPr>
        <xdr:cNvPr id="25" name="Imagem 24">
          <a:extLst>
            <a:ext uri="{FF2B5EF4-FFF2-40B4-BE49-F238E27FC236}">
              <a16:creationId xmlns:a16="http://schemas.microsoft.com/office/drawing/2014/main" id="{A86E7400-F586-4EAC-BAE0-254F887189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1054</xdr:row>
      <xdr:rowOff>38100</xdr:rowOff>
    </xdr:from>
    <xdr:ext cx="1045264" cy="1087179"/>
    <xdr:pic>
      <xdr:nvPicPr>
        <xdr:cNvPr id="26" name="Imagem 25">
          <a:extLst>
            <a:ext uri="{FF2B5EF4-FFF2-40B4-BE49-F238E27FC236}">
              <a16:creationId xmlns:a16="http://schemas.microsoft.com/office/drawing/2014/main" id="{5950082E-ECC5-4B8D-917F-E964A915626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1114</xdr:row>
      <xdr:rowOff>13934</xdr:rowOff>
    </xdr:from>
    <xdr:ext cx="460120" cy="460662"/>
    <xdr:pic>
      <xdr:nvPicPr>
        <xdr:cNvPr id="27" name="Imagem 26" descr="R&amp;D MINERAÇÃO E CONSTRUÇÃO LTDA. | LinkedIn">
          <a:extLst>
            <a:ext uri="{FF2B5EF4-FFF2-40B4-BE49-F238E27FC236}">
              <a16:creationId xmlns:a16="http://schemas.microsoft.com/office/drawing/2014/main" id="{B08B7BB8-BB07-465C-A2A2-1A1CBFF4D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1114</xdr:row>
      <xdr:rowOff>14169</xdr:rowOff>
    </xdr:from>
    <xdr:ext cx="1079791" cy="414918"/>
    <xdr:pic>
      <xdr:nvPicPr>
        <xdr:cNvPr id="28" name="Imagem 27">
          <a:extLst>
            <a:ext uri="{FF2B5EF4-FFF2-40B4-BE49-F238E27FC236}">
              <a16:creationId xmlns:a16="http://schemas.microsoft.com/office/drawing/2014/main" id="{C5E7CC83-2436-44BE-98B3-52068730CD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1085</xdr:row>
      <xdr:rowOff>38100</xdr:rowOff>
    </xdr:from>
    <xdr:ext cx="1045264" cy="1087179"/>
    <xdr:pic>
      <xdr:nvPicPr>
        <xdr:cNvPr id="29" name="Imagem 28">
          <a:extLst>
            <a:ext uri="{FF2B5EF4-FFF2-40B4-BE49-F238E27FC236}">
              <a16:creationId xmlns:a16="http://schemas.microsoft.com/office/drawing/2014/main" id="{487A1494-DA3E-46BD-857E-9D5539E97D0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1145</xdr:row>
      <xdr:rowOff>13934</xdr:rowOff>
    </xdr:from>
    <xdr:ext cx="460120" cy="460662"/>
    <xdr:pic>
      <xdr:nvPicPr>
        <xdr:cNvPr id="30" name="Imagem 29" descr="R&amp;D MINERAÇÃO E CONSTRUÇÃO LTDA. | LinkedIn">
          <a:extLst>
            <a:ext uri="{FF2B5EF4-FFF2-40B4-BE49-F238E27FC236}">
              <a16:creationId xmlns:a16="http://schemas.microsoft.com/office/drawing/2014/main" id="{3BB5E356-4B3B-4337-B36E-21791CA3FC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1145</xdr:row>
      <xdr:rowOff>14169</xdr:rowOff>
    </xdr:from>
    <xdr:ext cx="1079791" cy="414918"/>
    <xdr:pic>
      <xdr:nvPicPr>
        <xdr:cNvPr id="31" name="Imagem 30">
          <a:extLst>
            <a:ext uri="{FF2B5EF4-FFF2-40B4-BE49-F238E27FC236}">
              <a16:creationId xmlns:a16="http://schemas.microsoft.com/office/drawing/2014/main" id="{E6FD70C9-705A-47E3-A413-64DFC245F47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1116</xdr:row>
      <xdr:rowOff>38100</xdr:rowOff>
    </xdr:from>
    <xdr:ext cx="1045264" cy="1087179"/>
    <xdr:pic>
      <xdr:nvPicPr>
        <xdr:cNvPr id="32" name="Imagem 31">
          <a:extLst>
            <a:ext uri="{FF2B5EF4-FFF2-40B4-BE49-F238E27FC236}">
              <a16:creationId xmlns:a16="http://schemas.microsoft.com/office/drawing/2014/main" id="{5A7F693A-1FAD-42C5-ACF8-F78A8D3A59D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1176</xdr:row>
      <xdr:rowOff>13934</xdr:rowOff>
    </xdr:from>
    <xdr:ext cx="460120" cy="460662"/>
    <xdr:pic>
      <xdr:nvPicPr>
        <xdr:cNvPr id="33" name="Imagem 32" descr="R&amp;D MINERAÇÃO E CONSTRUÇÃO LTDA. | LinkedIn">
          <a:extLst>
            <a:ext uri="{FF2B5EF4-FFF2-40B4-BE49-F238E27FC236}">
              <a16:creationId xmlns:a16="http://schemas.microsoft.com/office/drawing/2014/main" id="{7F5CD1E1-0B64-47A9-A559-07CE6F40FD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1176</xdr:row>
      <xdr:rowOff>14169</xdr:rowOff>
    </xdr:from>
    <xdr:ext cx="1079791" cy="414918"/>
    <xdr:pic>
      <xdr:nvPicPr>
        <xdr:cNvPr id="36" name="Imagem 35">
          <a:extLst>
            <a:ext uri="{FF2B5EF4-FFF2-40B4-BE49-F238E27FC236}">
              <a16:creationId xmlns:a16="http://schemas.microsoft.com/office/drawing/2014/main" id="{B5CA044D-C002-4ADA-96B6-6665795757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1147</xdr:row>
      <xdr:rowOff>38100</xdr:rowOff>
    </xdr:from>
    <xdr:ext cx="1045264" cy="1087179"/>
    <xdr:pic>
      <xdr:nvPicPr>
        <xdr:cNvPr id="40" name="Imagem 39">
          <a:extLst>
            <a:ext uri="{FF2B5EF4-FFF2-40B4-BE49-F238E27FC236}">
              <a16:creationId xmlns:a16="http://schemas.microsoft.com/office/drawing/2014/main" id="{ED54BE5B-5134-4CD0-B164-35A94F89489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1207</xdr:row>
      <xdr:rowOff>13934</xdr:rowOff>
    </xdr:from>
    <xdr:ext cx="460120" cy="460662"/>
    <xdr:pic>
      <xdr:nvPicPr>
        <xdr:cNvPr id="41" name="Imagem 40" descr="R&amp;D MINERAÇÃO E CONSTRUÇÃO LTDA. | LinkedIn">
          <a:extLst>
            <a:ext uri="{FF2B5EF4-FFF2-40B4-BE49-F238E27FC236}">
              <a16:creationId xmlns:a16="http://schemas.microsoft.com/office/drawing/2014/main" id="{E2BCC7CD-AF11-4088-84B5-3FD2485757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1207</xdr:row>
      <xdr:rowOff>14169</xdr:rowOff>
    </xdr:from>
    <xdr:ext cx="1079791" cy="414918"/>
    <xdr:pic>
      <xdr:nvPicPr>
        <xdr:cNvPr id="42" name="Imagem 41">
          <a:extLst>
            <a:ext uri="{FF2B5EF4-FFF2-40B4-BE49-F238E27FC236}">
              <a16:creationId xmlns:a16="http://schemas.microsoft.com/office/drawing/2014/main" id="{84AACAB5-EEBB-4DD8-BD94-77AA8AAD13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1178</xdr:row>
      <xdr:rowOff>38100</xdr:rowOff>
    </xdr:from>
    <xdr:ext cx="1045264" cy="1087179"/>
    <xdr:pic>
      <xdr:nvPicPr>
        <xdr:cNvPr id="43" name="Imagem 42">
          <a:extLst>
            <a:ext uri="{FF2B5EF4-FFF2-40B4-BE49-F238E27FC236}">
              <a16:creationId xmlns:a16="http://schemas.microsoft.com/office/drawing/2014/main" id="{369B2E5C-E9CF-417D-9C88-B421C67A525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1238</xdr:row>
      <xdr:rowOff>13934</xdr:rowOff>
    </xdr:from>
    <xdr:ext cx="460120" cy="460662"/>
    <xdr:pic>
      <xdr:nvPicPr>
        <xdr:cNvPr id="44" name="Imagem 43" descr="R&amp;D MINERAÇÃO E CONSTRUÇÃO LTDA. | LinkedIn">
          <a:extLst>
            <a:ext uri="{FF2B5EF4-FFF2-40B4-BE49-F238E27FC236}">
              <a16:creationId xmlns:a16="http://schemas.microsoft.com/office/drawing/2014/main" id="{AA445BD3-E9EA-406A-BDB9-BCFE3966FD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1238</xdr:row>
      <xdr:rowOff>14169</xdr:rowOff>
    </xdr:from>
    <xdr:ext cx="1079791" cy="414918"/>
    <xdr:pic>
      <xdr:nvPicPr>
        <xdr:cNvPr id="45" name="Imagem 44">
          <a:extLst>
            <a:ext uri="{FF2B5EF4-FFF2-40B4-BE49-F238E27FC236}">
              <a16:creationId xmlns:a16="http://schemas.microsoft.com/office/drawing/2014/main" id="{BC940AE1-E918-4B60-921B-4B0AA2B7FD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1209</xdr:row>
      <xdr:rowOff>38100</xdr:rowOff>
    </xdr:from>
    <xdr:ext cx="1045264" cy="1087179"/>
    <xdr:pic>
      <xdr:nvPicPr>
        <xdr:cNvPr id="46" name="Imagem 45">
          <a:extLst>
            <a:ext uri="{FF2B5EF4-FFF2-40B4-BE49-F238E27FC236}">
              <a16:creationId xmlns:a16="http://schemas.microsoft.com/office/drawing/2014/main" id="{3D806B7E-EEF5-4F88-8805-82240FFD3DC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1269</xdr:row>
      <xdr:rowOff>13934</xdr:rowOff>
    </xdr:from>
    <xdr:ext cx="460120" cy="460662"/>
    <xdr:pic>
      <xdr:nvPicPr>
        <xdr:cNvPr id="47" name="Imagem 46" descr="R&amp;D MINERAÇÃO E CONSTRUÇÃO LTDA. | LinkedIn">
          <a:extLst>
            <a:ext uri="{FF2B5EF4-FFF2-40B4-BE49-F238E27FC236}">
              <a16:creationId xmlns:a16="http://schemas.microsoft.com/office/drawing/2014/main" id="{9F5C0437-524C-4E7E-8599-E4A3B09C7B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1269</xdr:row>
      <xdr:rowOff>14169</xdr:rowOff>
    </xdr:from>
    <xdr:ext cx="1079791" cy="414918"/>
    <xdr:pic>
      <xdr:nvPicPr>
        <xdr:cNvPr id="48" name="Imagem 47">
          <a:extLst>
            <a:ext uri="{FF2B5EF4-FFF2-40B4-BE49-F238E27FC236}">
              <a16:creationId xmlns:a16="http://schemas.microsoft.com/office/drawing/2014/main" id="{74381641-E651-4159-906A-1A9F6752B7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1240</xdr:row>
      <xdr:rowOff>38100</xdr:rowOff>
    </xdr:from>
    <xdr:ext cx="1045264" cy="1087179"/>
    <xdr:pic>
      <xdr:nvPicPr>
        <xdr:cNvPr id="49" name="Imagem 48">
          <a:extLst>
            <a:ext uri="{FF2B5EF4-FFF2-40B4-BE49-F238E27FC236}">
              <a16:creationId xmlns:a16="http://schemas.microsoft.com/office/drawing/2014/main" id="{15D6A99F-ED73-4FC6-A7D2-8916E4230BD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1300</xdr:row>
      <xdr:rowOff>13934</xdr:rowOff>
    </xdr:from>
    <xdr:ext cx="460120" cy="460662"/>
    <xdr:pic>
      <xdr:nvPicPr>
        <xdr:cNvPr id="125" name="Imagem 124" descr="R&amp;D MINERAÇÃO E CONSTRUÇÃO LTDA. | LinkedIn">
          <a:extLst>
            <a:ext uri="{FF2B5EF4-FFF2-40B4-BE49-F238E27FC236}">
              <a16:creationId xmlns:a16="http://schemas.microsoft.com/office/drawing/2014/main" id="{C877584F-7AB6-4F01-8E0D-CF4C7F8DCF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1300</xdr:row>
      <xdr:rowOff>14169</xdr:rowOff>
    </xdr:from>
    <xdr:ext cx="1079791" cy="414918"/>
    <xdr:pic>
      <xdr:nvPicPr>
        <xdr:cNvPr id="126" name="Imagem 125">
          <a:extLst>
            <a:ext uri="{FF2B5EF4-FFF2-40B4-BE49-F238E27FC236}">
              <a16:creationId xmlns:a16="http://schemas.microsoft.com/office/drawing/2014/main" id="{F75C1D75-A8A1-4882-9555-6FC5AA2FFC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1271</xdr:row>
      <xdr:rowOff>38100</xdr:rowOff>
    </xdr:from>
    <xdr:ext cx="1045264" cy="1087179"/>
    <xdr:pic>
      <xdr:nvPicPr>
        <xdr:cNvPr id="127" name="Imagem 126">
          <a:extLst>
            <a:ext uri="{FF2B5EF4-FFF2-40B4-BE49-F238E27FC236}">
              <a16:creationId xmlns:a16="http://schemas.microsoft.com/office/drawing/2014/main" id="{BA57A7C0-0B7C-47E5-A776-561D41FF7DF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1331</xdr:row>
      <xdr:rowOff>13934</xdr:rowOff>
    </xdr:from>
    <xdr:ext cx="460120" cy="460662"/>
    <xdr:pic>
      <xdr:nvPicPr>
        <xdr:cNvPr id="128" name="Imagem 127" descr="R&amp;D MINERAÇÃO E CONSTRUÇÃO LTDA. | LinkedIn">
          <a:extLst>
            <a:ext uri="{FF2B5EF4-FFF2-40B4-BE49-F238E27FC236}">
              <a16:creationId xmlns:a16="http://schemas.microsoft.com/office/drawing/2014/main" id="{421ABD4D-E046-4A30-9AA6-6BDF4DC485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1331</xdr:row>
      <xdr:rowOff>14169</xdr:rowOff>
    </xdr:from>
    <xdr:ext cx="1079791" cy="414918"/>
    <xdr:pic>
      <xdr:nvPicPr>
        <xdr:cNvPr id="129" name="Imagem 128">
          <a:extLst>
            <a:ext uri="{FF2B5EF4-FFF2-40B4-BE49-F238E27FC236}">
              <a16:creationId xmlns:a16="http://schemas.microsoft.com/office/drawing/2014/main" id="{D133A6F3-54BC-40CC-AB58-8A9F2285AB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1302</xdr:row>
      <xdr:rowOff>38100</xdr:rowOff>
    </xdr:from>
    <xdr:ext cx="1045264" cy="1087179"/>
    <xdr:pic>
      <xdr:nvPicPr>
        <xdr:cNvPr id="130" name="Imagem 129">
          <a:extLst>
            <a:ext uri="{FF2B5EF4-FFF2-40B4-BE49-F238E27FC236}">
              <a16:creationId xmlns:a16="http://schemas.microsoft.com/office/drawing/2014/main" id="{07BB3EC7-1202-4D11-B30B-32E6BD3E6EE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1362</xdr:row>
      <xdr:rowOff>13934</xdr:rowOff>
    </xdr:from>
    <xdr:ext cx="460120" cy="460662"/>
    <xdr:pic>
      <xdr:nvPicPr>
        <xdr:cNvPr id="131" name="Imagem 130" descr="R&amp;D MINERAÇÃO E CONSTRUÇÃO LTDA. | LinkedIn">
          <a:extLst>
            <a:ext uri="{FF2B5EF4-FFF2-40B4-BE49-F238E27FC236}">
              <a16:creationId xmlns:a16="http://schemas.microsoft.com/office/drawing/2014/main" id="{6583B18E-E0F0-4106-A7A8-87A0C0E9D1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1362</xdr:row>
      <xdr:rowOff>14169</xdr:rowOff>
    </xdr:from>
    <xdr:ext cx="1079791" cy="414918"/>
    <xdr:pic>
      <xdr:nvPicPr>
        <xdr:cNvPr id="132" name="Imagem 131">
          <a:extLst>
            <a:ext uri="{FF2B5EF4-FFF2-40B4-BE49-F238E27FC236}">
              <a16:creationId xmlns:a16="http://schemas.microsoft.com/office/drawing/2014/main" id="{632C368C-60C3-4FC3-84D6-3112F6348C4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1333</xdr:row>
      <xdr:rowOff>38100</xdr:rowOff>
    </xdr:from>
    <xdr:ext cx="1045264" cy="1087179"/>
    <xdr:pic>
      <xdr:nvPicPr>
        <xdr:cNvPr id="133" name="Imagem 132">
          <a:extLst>
            <a:ext uri="{FF2B5EF4-FFF2-40B4-BE49-F238E27FC236}">
              <a16:creationId xmlns:a16="http://schemas.microsoft.com/office/drawing/2014/main" id="{F4C314E8-42D2-4232-A4B8-22BA102A185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1393</xdr:row>
      <xdr:rowOff>13934</xdr:rowOff>
    </xdr:from>
    <xdr:ext cx="460120" cy="460662"/>
    <xdr:pic>
      <xdr:nvPicPr>
        <xdr:cNvPr id="134" name="Imagem 133" descr="R&amp;D MINERAÇÃO E CONSTRUÇÃO LTDA. | LinkedIn">
          <a:extLst>
            <a:ext uri="{FF2B5EF4-FFF2-40B4-BE49-F238E27FC236}">
              <a16:creationId xmlns:a16="http://schemas.microsoft.com/office/drawing/2014/main" id="{DBD28014-113B-4A6C-9805-CA131CD3D1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1393</xdr:row>
      <xdr:rowOff>14169</xdr:rowOff>
    </xdr:from>
    <xdr:ext cx="1079791" cy="414918"/>
    <xdr:pic>
      <xdr:nvPicPr>
        <xdr:cNvPr id="135" name="Imagem 134">
          <a:extLst>
            <a:ext uri="{FF2B5EF4-FFF2-40B4-BE49-F238E27FC236}">
              <a16:creationId xmlns:a16="http://schemas.microsoft.com/office/drawing/2014/main" id="{6C44CC43-2142-4E55-A6F5-5B68425DD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1364</xdr:row>
      <xdr:rowOff>38100</xdr:rowOff>
    </xdr:from>
    <xdr:ext cx="1045264" cy="1087179"/>
    <xdr:pic>
      <xdr:nvPicPr>
        <xdr:cNvPr id="136" name="Imagem 135">
          <a:extLst>
            <a:ext uri="{FF2B5EF4-FFF2-40B4-BE49-F238E27FC236}">
              <a16:creationId xmlns:a16="http://schemas.microsoft.com/office/drawing/2014/main" id="{EB33AF86-9A4B-4791-B98A-D354BA3CDF3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A3C6-276C-4ABD-BC12-01533567C3F1}">
  <dimension ref="A1:BD1105"/>
  <sheetViews>
    <sheetView workbookViewId="0"/>
  </sheetViews>
  <sheetFormatPr defaultRowHeight="15" x14ac:dyDescent="0.25"/>
  <cols>
    <col min="1" max="1" width="10.42578125" bestFit="1" customWidth="1"/>
  </cols>
  <sheetData>
    <row r="1" spans="1:56" x14ac:dyDescent="0.25">
      <c r="A1" t="s">
        <v>0</v>
      </c>
      <c r="B1" t="s">
        <v>1</v>
      </c>
      <c r="C1" t="s">
        <v>2</v>
      </c>
      <c r="D1" t="s">
        <v>3</v>
      </c>
      <c r="E1" t="s">
        <v>5</v>
      </c>
      <c r="F1" t="s">
        <v>4</v>
      </c>
      <c r="G1" t="s">
        <v>7</v>
      </c>
      <c r="H1" t="s">
        <v>6</v>
      </c>
      <c r="I1" t="s">
        <v>8</v>
      </c>
      <c r="J1" t="s">
        <v>42</v>
      </c>
      <c r="K1" t="s">
        <v>9</v>
      </c>
      <c r="L1" t="s">
        <v>41</v>
      </c>
      <c r="M1" t="s">
        <v>10</v>
      </c>
      <c r="N1" t="s">
        <v>11</v>
      </c>
      <c r="O1" t="s">
        <v>12</v>
      </c>
      <c r="P1" t="s">
        <v>13</v>
      </c>
      <c r="Q1" t="s">
        <v>52</v>
      </c>
      <c r="R1" t="s">
        <v>53</v>
      </c>
      <c r="S1" t="s">
        <v>54</v>
      </c>
      <c r="T1" t="s">
        <v>55</v>
      </c>
      <c r="U1" t="s">
        <v>56</v>
      </c>
      <c r="V1" t="s">
        <v>57</v>
      </c>
      <c r="W1" t="s">
        <v>58</v>
      </c>
      <c r="X1" t="s">
        <v>59</v>
      </c>
      <c r="Y1" t="s">
        <v>60</v>
      </c>
      <c r="Z1" t="s">
        <v>61</v>
      </c>
      <c r="AA1" t="s">
        <v>62</v>
      </c>
      <c r="AB1" t="s">
        <v>14</v>
      </c>
      <c r="AC1" t="s">
        <v>15</v>
      </c>
      <c r="AD1" t="s">
        <v>16</v>
      </c>
      <c r="AE1" t="s">
        <v>17</v>
      </c>
      <c r="AF1" t="s">
        <v>18</v>
      </c>
      <c r="AG1" t="s">
        <v>19</v>
      </c>
      <c r="AH1" t="s">
        <v>20</v>
      </c>
      <c r="AI1" t="s">
        <v>21</v>
      </c>
      <c r="AJ1" t="s">
        <v>22</v>
      </c>
      <c r="AK1" t="s">
        <v>23</v>
      </c>
      <c r="AL1" t="s">
        <v>24</v>
      </c>
      <c r="AM1" t="s">
        <v>25</v>
      </c>
      <c r="AN1" t="s">
        <v>26</v>
      </c>
      <c r="AO1" t="s">
        <v>63</v>
      </c>
      <c r="AP1" t="s">
        <v>43</v>
      </c>
      <c r="AQ1" t="s">
        <v>44</v>
      </c>
      <c r="AR1" t="s">
        <v>45</v>
      </c>
      <c r="AS1" t="s">
        <v>46</v>
      </c>
      <c r="AT1" t="s">
        <v>47</v>
      </c>
      <c r="AU1" t="s">
        <v>48</v>
      </c>
      <c r="AV1" t="s">
        <v>49</v>
      </c>
      <c r="AW1" t="s">
        <v>50</v>
      </c>
      <c r="AX1" t="s">
        <v>51</v>
      </c>
      <c r="AY1" t="s">
        <v>64</v>
      </c>
      <c r="AZ1" t="s">
        <v>65</v>
      </c>
      <c r="BA1" t="s">
        <v>66</v>
      </c>
      <c r="BB1" t="s">
        <v>68</v>
      </c>
      <c r="BC1" t="s">
        <v>69</v>
      </c>
      <c r="BD1" t="s">
        <v>67</v>
      </c>
    </row>
    <row r="2" spans="1:56" x14ac:dyDescent="0.25">
      <c r="A2" s="23">
        <v>46304</v>
      </c>
      <c r="B2">
        <v>1</v>
      </c>
      <c r="C2" t="s">
        <v>82</v>
      </c>
      <c r="D2" t="s">
        <v>83</v>
      </c>
      <c r="E2">
        <v>2</v>
      </c>
      <c r="F2">
        <v>185</v>
      </c>
      <c r="G2">
        <v>1</v>
      </c>
      <c r="H2" t="s">
        <v>84</v>
      </c>
      <c r="I2" t="s">
        <v>28</v>
      </c>
      <c r="J2" t="s">
        <v>85</v>
      </c>
      <c r="K2" t="s">
        <v>86</v>
      </c>
      <c r="L2" t="s">
        <v>71</v>
      </c>
      <c r="M2" t="s">
        <v>87</v>
      </c>
      <c r="O2" t="s">
        <v>88</v>
      </c>
      <c r="P2" t="s">
        <v>89</v>
      </c>
      <c r="X2" t="s">
        <v>77</v>
      </c>
      <c r="Z2" t="s">
        <v>72</v>
      </c>
      <c r="AB2">
        <v>5</v>
      </c>
      <c r="AC2">
        <v>748798.93</v>
      </c>
      <c r="AD2">
        <v>8930540.5399999991</v>
      </c>
      <c r="AE2">
        <v>194.62</v>
      </c>
      <c r="AF2">
        <v>748799.44</v>
      </c>
      <c r="AG2">
        <v>8930537.9100000001</v>
      </c>
      <c r="AH2">
        <v>185</v>
      </c>
      <c r="AI2">
        <v>9.98</v>
      </c>
      <c r="AJ2">
        <v>0</v>
      </c>
      <c r="AK2">
        <v>1.5</v>
      </c>
      <c r="AL2">
        <v>0.8</v>
      </c>
      <c r="AM2">
        <v>169.06</v>
      </c>
      <c r="AN2">
        <v>15.56</v>
      </c>
      <c r="AO2">
        <v>0</v>
      </c>
      <c r="AP2">
        <v>3.28</v>
      </c>
      <c r="AQ2">
        <v>0.4</v>
      </c>
      <c r="AR2">
        <v>0.06</v>
      </c>
      <c r="AS2">
        <v>0.06</v>
      </c>
      <c r="AT2">
        <v>17.329999999999998</v>
      </c>
      <c r="AU2">
        <v>5.53</v>
      </c>
      <c r="AV2">
        <v>0.27</v>
      </c>
      <c r="AW2">
        <v>1.44</v>
      </c>
      <c r="AX2">
        <v>0</v>
      </c>
      <c r="AY2">
        <v>0</v>
      </c>
      <c r="AZ2">
        <v>0</v>
      </c>
      <c r="BA2">
        <v>0</v>
      </c>
      <c r="BB2">
        <v>0</v>
      </c>
      <c r="BC2">
        <v>0</v>
      </c>
      <c r="BD2">
        <v>0</v>
      </c>
    </row>
    <row r="3" spans="1:56" x14ac:dyDescent="0.25">
      <c r="A3" s="23">
        <v>46304</v>
      </c>
      <c r="B3">
        <v>2</v>
      </c>
      <c r="C3" t="s">
        <v>82</v>
      </c>
      <c r="D3" t="s">
        <v>83</v>
      </c>
      <c r="E3">
        <v>2</v>
      </c>
      <c r="F3">
        <v>185</v>
      </c>
      <c r="G3">
        <v>1</v>
      </c>
      <c r="H3" t="s">
        <v>84</v>
      </c>
      <c r="I3" t="s">
        <v>28</v>
      </c>
      <c r="J3" t="s">
        <v>85</v>
      </c>
      <c r="K3" t="s">
        <v>86</v>
      </c>
      <c r="L3" t="s">
        <v>71</v>
      </c>
      <c r="M3" t="s">
        <v>87</v>
      </c>
      <c r="O3" t="s">
        <v>88</v>
      </c>
      <c r="P3" t="s">
        <v>89</v>
      </c>
      <c r="X3" t="s">
        <v>77</v>
      </c>
      <c r="Z3" t="s">
        <v>72</v>
      </c>
      <c r="AB3">
        <v>5</v>
      </c>
      <c r="AC3">
        <v>748797.46</v>
      </c>
      <c r="AD3">
        <v>8930540.2599999998</v>
      </c>
      <c r="AE3">
        <v>194.56</v>
      </c>
      <c r="AF3">
        <v>748797.96</v>
      </c>
      <c r="AG3">
        <v>8930537.6199999992</v>
      </c>
      <c r="AH3">
        <v>185</v>
      </c>
      <c r="AI3">
        <v>9.93</v>
      </c>
      <c r="AJ3">
        <v>0</v>
      </c>
      <c r="AK3">
        <v>1.5</v>
      </c>
      <c r="AL3">
        <v>0.8</v>
      </c>
      <c r="AM3">
        <v>169.06</v>
      </c>
      <c r="AN3">
        <v>15.65</v>
      </c>
      <c r="AO3">
        <v>0</v>
      </c>
      <c r="AP3">
        <v>3.28</v>
      </c>
      <c r="AQ3">
        <v>0.41</v>
      </c>
      <c r="AR3">
        <v>0.06</v>
      </c>
      <c r="AS3">
        <v>0.06</v>
      </c>
      <c r="AT3">
        <v>17.18</v>
      </c>
      <c r="AU3">
        <v>5.55</v>
      </c>
      <c r="AV3">
        <v>0.26</v>
      </c>
      <c r="AW3">
        <v>1.37</v>
      </c>
      <c r="AX3">
        <v>0</v>
      </c>
      <c r="AY3">
        <v>0</v>
      </c>
      <c r="AZ3">
        <v>0</v>
      </c>
      <c r="BA3">
        <v>0</v>
      </c>
      <c r="BB3">
        <v>0</v>
      </c>
      <c r="BC3">
        <v>0</v>
      </c>
      <c r="BD3">
        <v>0</v>
      </c>
    </row>
    <row r="4" spans="1:56" x14ac:dyDescent="0.25">
      <c r="A4" s="23">
        <v>46304</v>
      </c>
      <c r="B4">
        <v>3</v>
      </c>
      <c r="C4" t="s">
        <v>82</v>
      </c>
      <c r="D4" t="s">
        <v>83</v>
      </c>
      <c r="E4">
        <v>2</v>
      </c>
      <c r="F4">
        <v>185</v>
      </c>
      <c r="G4">
        <v>1</v>
      </c>
      <c r="H4" t="s">
        <v>84</v>
      </c>
      <c r="I4" t="s">
        <v>28</v>
      </c>
      <c r="J4" t="s">
        <v>85</v>
      </c>
      <c r="K4" t="s">
        <v>86</v>
      </c>
      <c r="L4" t="s">
        <v>71</v>
      </c>
      <c r="M4" t="s">
        <v>87</v>
      </c>
      <c r="O4" t="s">
        <v>88</v>
      </c>
      <c r="P4" t="s">
        <v>89</v>
      </c>
      <c r="X4" t="s">
        <v>77</v>
      </c>
      <c r="Z4" t="s">
        <v>72</v>
      </c>
      <c r="AB4">
        <v>5</v>
      </c>
      <c r="AC4">
        <v>748795.98</v>
      </c>
      <c r="AD4">
        <v>8930539.9700000007</v>
      </c>
      <c r="AE4">
        <v>194.56</v>
      </c>
      <c r="AF4">
        <v>748796.49</v>
      </c>
      <c r="AG4">
        <v>8930537.3399999999</v>
      </c>
      <c r="AH4">
        <v>185</v>
      </c>
      <c r="AI4">
        <v>9.92</v>
      </c>
      <c r="AJ4">
        <v>0</v>
      </c>
      <c r="AK4">
        <v>1.5</v>
      </c>
      <c r="AL4">
        <v>0.8</v>
      </c>
      <c r="AM4">
        <v>169.06</v>
      </c>
      <c r="AN4">
        <v>15.66</v>
      </c>
      <c r="AO4">
        <v>0</v>
      </c>
      <c r="AP4">
        <v>3.28</v>
      </c>
      <c r="AQ4">
        <v>0.41</v>
      </c>
      <c r="AR4">
        <v>0.06</v>
      </c>
      <c r="AS4">
        <v>0.06</v>
      </c>
      <c r="AT4">
        <v>16.93</v>
      </c>
      <c r="AU4">
        <v>5.58</v>
      </c>
      <c r="AV4">
        <v>0.25</v>
      </c>
      <c r="AW4">
        <v>1.27</v>
      </c>
      <c r="AX4">
        <v>0</v>
      </c>
      <c r="AY4">
        <v>0</v>
      </c>
      <c r="AZ4">
        <v>0</v>
      </c>
      <c r="BA4">
        <v>0</v>
      </c>
      <c r="BB4">
        <v>0</v>
      </c>
      <c r="BC4">
        <v>0</v>
      </c>
      <c r="BD4">
        <v>0</v>
      </c>
    </row>
    <row r="5" spans="1:56" x14ac:dyDescent="0.25">
      <c r="A5" s="23">
        <v>46304</v>
      </c>
      <c r="B5">
        <v>4</v>
      </c>
      <c r="C5" t="s">
        <v>82</v>
      </c>
      <c r="D5" t="s">
        <v>83</v>
      </c>
      <c r="E5">
        <v>2</v>
      </c>
      <c r="F5">
        <v>185</v>
      </c>
      <c r="G5">
        <v>1</v>
      </c>
      <c r="H5" t="s">
        <v>84</v>
      </c>
      <c r="I5" t="s">
        <v>28</v>
      </c>
      <c r="J5" t="s">
        <v>85</v>
      </c>
      <c r="K5" t="s">
        <v>86</v>
      </c>
      <c r="L5" t="s">
        <v>71</v>
      </c>
      <c r="M5" t="s">
        <v>87</v>
      </c>
      <c r="O5" t="s">
        <v>88</v>
      </c>
      <c r="P5" t="s">
        <v>89</v>
      </c>
      <c r="X5" t="s">
        <v>77</v>
      </c>
      <c r="Z5" t="s">
        <v>72</v>
      </c>
      <c r="AB5">
        <v>5</v>
      </c>
      <c r="AC5">
        <v>748794.51</v>
      </c>
      <c r="AD5">
        <v>8930539.6899999995</v>
      </c>
      <c r="AE5">
        <v>194.6</v>
      </c>
      <c r="AF5">
        <v>748795.02</v>
      </c>
      <c r="AG5">
        <v>8930537.0600000005</v>
      </c>
      <c r="AH5">
        <v>185</v>
      </c>
      <c r="AI5">
        <v>9.9700000000000006</v>
      </c>
      <c r="AJ5">
        <v>0</v>
      </c>
      <c r="AK5">
        <v>1.5</v>
      </c>
      <c r="AL5">
        <v>0.8</v>
      </c>
      <c r="AM5">
        <v>169.06</v>
      </c>
      <c r="AN5">
        <v>15.6</v>
      </c>
      <c r="AO5">
        <v>0</v>
      </c>
      <c r="AP5">
        <v>3.29</v>
      </c>
      <c r="AQ5">
        <v>0.42</v>
      </c>
      <c r="AR5">
        <v>0.06</v>
      </c>
      <c r="AS5">
        <v>0.06</v>
      </c>
      <c r="AT5">
        <v>16.59</v>
      </c>
      <c r="AU5">
        <v>5.62</v>
      </c>
      <c r="AV5">
        <v>0.22</v>
      </c>
      <c r="AW5">
        <v>1.1299999999999999</v>
      </c>
      <c r="AX5">
        <v>0</v>
      </c>
      <c r="AY5">
        <v>0</v>
      </c>
      <c r="AZ5">
        <v>0</v>
      </c>
      <c r="BA5">
        <v>0</v>
      </c>
      <c r="BB5">
        <v>0</v>
      </c>
      <c r="BC5">
        <v>0</v>
      </c>
      <c r="BD5">
        <v>0</v>
      </c>
    </row>
    <row r="6" spans="1:56" x14ac:dyDescent="0.25">
      <c r="A6" s="23">
        <v>46304</v>
      </c>
      <c r="B6">
        <v>5</v>
      </c>
      <c r="C6" t="s">
        <v>82</v>
      </c>
      <c r="D6" t="s">
        <v>83</v>
      </c>
      <c r="E6">
        <v>2</v>
      </c>
      <c r="F6">
        <v>185</v>
      </c>
      <c r="G6">
        <v>1</v>
      </c>
      <c r="H6" t="s">
        <v>84</v>
      </c>
      <c r="I6" t="s">
        <v>28</v>
      </c>
      <c r="J6" t="s">
        <v>85</v>
      </c>
      <c r="K6" t="s">
        <v>86</v>
      </c>
      <c r="L6" t="s">
        <v>71</v>
      </c>
      <c r="M6" t="s">
        <v>87</v>
      </c>
      <c r="O6" t="s">
        <v>88</v>
      </c>
      <c r="P6" t="s">
        <v>89</v>
      </c>
      <c r="X6" t="s">
        <v>77</v>
      </c>
      <c r="Z6" t="s">
        <v>72</v>
      </c>
      <c r="AB6">
        <v>5</v>
      </c>
      <c r="AC6">
        <v>748793.04</v>
      </c>
      <c r="AD6">
        <v>8930539.4000000004</v>
      </c>
      <c r="AE6">
        <v>194.58</v>
      </c>
      <c r="AF6">
        <v>748793.55</v>
      </c>
      <c r="AG6">
        <v>8930536.7699999996</v>
      </c>
      <c r="AH6">
        <v>185</v>
      </c>
      <c r="AI6">
        <v>9.9499999999999993</v>
      </c>
      <c r="AJ6">
        <v>0</v>
      </c>
      <c r="AK6">
        <v>1.5</v>
      </c>
      <c r="AL6">
        <v>0.8</v>
      </c>
      <c r="AM6">
        <v>169.06</v>
      </c>
      <c r="AN6">
        <v>15.63</v>
      </c>
      <c r="AO6">
        <v>0</v>
      </c>
      <c r="AP6">
        <v>3.29</v>
      </c>
      <c r="AQ6">
        <v>0.42</v>
      </c>
      <c r="AR6">
        <v>0.06</v>
      </c>
      <c r="AS6">
        <v>0.06</v>
      </c>
      <c r="AT6">
        <v>16.59</v>
      </c>
      <c r="AU6">
        <v>5.62</v>
      </c>
      <c r="AV6">
        <v>0.22</v>
      </c>
      <c r="AW6">
        <v>1.1299999999999999</v>
      </c>
      <c r="AX6">
        <v>0</v>
      </c>
      <c r="AY6">
        <v>0</v>
      </c>
      <c r="AZ6">
        <v>0</v>
      </c>
      <c r="BA6">
        <v>0</v>
      </c>
      <c r="BB6">
        <v>0</v>
      </c>
      <c r="BC6">
        <v>0</v>
      </c>
      <c r="BD6">
        <v>0</v>
      </c>
    </row>
    <row r="7" spans="1:56" x14ac:dyDescent="0.25">
      <c r="A7" s="23">
        <v>46304</v>
      </c>
      <c r="B7">
        <v>6</v>
      </c>
      <c r="C7" t="s">
        <v>82</v>
      </c>
      <c r="D7" t="s">
        <v>83</v>
      </c>
      <c r="E7">
        <v>2</v>
      </c>
      <c r="F7">
        <v>185</v>
      </c>
      <c r="G7">
        <v>1</v>
      </c>
      <c r="H7" t="s">
        <v>84</v>
      </c>
      <c r="I7" t="s">
        <v>28</v>
      </c>
      <c r="J7" t="s">
        <v>85</v>
      </c>
      <c r="K7" t="s">
        <v>86</v>
      </c>
      <c r="L7" t="s">
        <v>71</v>
      </c>
      <c r="M7" t="s">
        <v>87</v>
      </c>
      <c r="O7" t="s">
        <v>88</v>
      </c>
      <c r="P7" t="s">
        <v>89</v>
      </c>
      <c r="X7" t="s">
        <v>77</v>
      </c>
      <c r="Z7" t="s">
        <v>72</v>
      </c>
      <c r="AB7">
        <v>5</v>
      </c>
      <c r="AC7">
        <v>748791.57</v>
      </c>
      <c r="AD7">
        <v>8930539.1199999992</v>
      </c>
      <c r="AE7">
        <v>194.57</v>
      </c>
      <c r="AF7">
        <v>748792.07</v>
      </c>
      <c r="AG7">
        <v>8930536.4900000002</v>
      </c>
      <c r="AH7">
        <v>185</v>
      </c>
      <c r="AI7">
        <v>9.94</v>
      </c>
      <c r="AJ7">
        <v>0</v>
      </c>
      <c r="AK7">
        <v>1.5</v>
      </c>
      <c r="AL7">
        <v>0.8</v>
      </c>
      <c r="AM7">
        <v>169.06</v>
      </c>
      <c r="AN7">
        <v>15.64</v>
      </c>
      <c r="AO7">
        <v>0</v>
      </c>
      <c r="AP7">
        <v>3.29</v>
      </c>
      <c r="AQ7">
        <v>0.42</v>
      </c>
      <c r="AR7">
        <v>0.06</v>
      </c>
      <c r="AS7">
        <v>0.06</v>
      </c>
      <c r="AT7">
        <v>16.59</v>
      </c>
      <c r="AU7">
        <v>5.62</v>
      </c>
      <c r="AV7">
        <v>0.22</v>
      </c>
      <c r="AW7">
        <v>1.1299999999999999</v>
      </c>
      <c r="AX7">
        <v>0</v>
      </c>
      <c r="AY7">
        <v>0</v>
      </c>
      <c r="AZ7">
        <v>0</v>
      </c>
      <c r="BA7">
        <v>0</v>
      </c>
      <c r="BB7">
        <v>0</v>
      </c>
      <c r="BC7">
        <v>0</v>
      </c>
      <c r="BD7">
        <v>0</v>
      </c>
    </row>
    <row r="8" spans="1:56" x14ac:dyDescent="0.25">
      <c r="A8" s="23">
        <v>46304</v>
      </c>
      <c r="B8">
        <v>7</v>
      </c>
      <c r="C8" t="s">
        <v>82</v>
      </c>
      <c r="D8" t="s">
        <v>83</v>
      </c>
      <c r="E8">
        <v>2</v>
      </c>
      <c r="F8">
        <v>185</v>
      </c>
      <c r="G8">
        <v>1</v>
      </c>
      <c r="H8" t="s">
        <v>84</v>
      </c>
      <c r="I8" t="s">
        <v>28</v>
      </c>
      <c r="J8" t="s">
        <v>85</v>
      </c>
      <c r="K8" t="s">
        <v>86</v>
      </c>
      <c r="L8" t="s">
        <v>71</v>
      </c>
      <c r="M8" t="s">
        <v>87</v>
      </c>
      <c r="O8" t="s">
        <v>88</v>
      </c>
      <c r="P8" t="s">
        <v>89</v>
      </c>
      <c r="X8" t="s">
        <v>77</v>
      </c>
      <c r="Z8" t="s">
        <v>72</v>
      </c>
      <c r="AB8">
        <v>5</v>
      </c>
      <c r="AC8">
        <v>748790.09</v>
      </c>
      <c r="AD8">
        <v>8930538.8300000001</v>
      </c>
      <c r="AE8">
        <v>194.54</v>
      </c>
      <c r="AF8">
        <v>748790.62</v>
      </c>
      <c r="AG8">
        <v>8930536.1899999995</v>
      </c>
      <c r="AH8">
        <v>185</v>
      </c>
      <c r="AI8">
        <v>9.91</v>
      </c>
      <c r="AJ8">
        <v>0</v>
      </c>
      <c r="AK8">
        <v>1.5</v>
      </c>
      <c r="AL8">
        <v>0.8</v>
      </c>
      <c r="AM8">
        <v>168.64</v>
      </c>
      <c r="AN8">
        <v>15.73</v>
      </c>
      <c r="AO8">
        <v>0</v>
      </c>
      <c r="AP8">
        <v>3.3</v>
      </c>
      <c r="AQ8">
        <v>0.42</v>
      </c>
      <c r="AR8">
        <v>0.06</v>
      </c>
      <c r="AS8">
        <v>0.06</v>
      </c>
      <c r="AT8">
        <v>16.239999999999998</v>
      </c>
      <c r="AU8">
        <v>5.66</v>
      </c>
      <c r="AV8">
        <v>0.2</v>
      </c>
      <c r="AW8">
        <v>0.99</v>
      </c>
      <c r="AX8">
        <v>0</v>
      </c>
      <c r="AY8">
        <v>0</v>
      </c>
      <c r="AZ8">
        <v>0</v>
      </c>
      <c r="BA8">
        <v>0</v>
      </c>
      <c r="BB8">
        <v>0</v>
      </c>
      <c r="BC8">
        <v>0</v>
      </c>
      <c r="BD8">
        <v>0</v>
      </c>
    </row>
    <row r="9" spans="1:56" x14ac:dyDescent="0.25">
      <c r="A9" s="23">
        <v>46304</v>
      </c>
      <c r="B9">
        <v>8</v>
      </c>
      <c r="C9" t="s">
        <v>82</v>
      </c>
      <c r="D9" t="s">
        <v>83</v>
      </c>
      <c r="E9">
        <v>2</v>
      </c>
      <c r="F9">
        <v>185</v>
      </c>
      <c r="G9">
        <v>1</v>
      </c>
      <c r="H9" t="s">
        <v>84</v>
      </c>
      <c r="I9" t="s">
        <v>78</v>
      </c>
      <c r="J9" t="s">
        <v>85</v>
      </c>
      <c r="K9" t="s">
        <v>86</v>
      </c>
      <c r="L9" t="s">
        <v>71</v>
      </c>
      <c r="M9" t="s">
        <v>87</v>
      </c>
      <c r="O9" t="s">
        <v>88</v>
      </c>
      <c r="P9" t="s">
        <v>89</v>
      </c>
      <c r="X9" t="s">
        <v>77</v>
      </c>
      <c r="Z9" t="s">
        <v>72</v>
      </c>
      <c r="AB9">
        <v>5</v>
      </c>
      <c r="AC9">
        <v>748788.63</v>
      </c>
      <c r="AD9">
        <v>8930538.4800000004</v>
      </c>
      <c r="AE9">
        <v>194.56</v>
      </c>
      <c r="AF9">
        <v>748789.24</v>
      </c>
      <c r="AG9">
        <v>8930535.8699999992</v>
      </c>
      <c r="AH9">
        <v>185</v>
      </c>
      <c r="AI9">
        <v>9.92</v>
      </c>
      <c r="AJ9">
        <v>0</v>
      </c>
      <c r="AK9">
        <v>1.5</v>
      </c>
      <c r="AL9">
        <v>0.8</v>
      </c>
      <c r="AM9">
        <v>166.99</v>
      </c>
      <c r="AN9">
        <v>15.65</v>
      </c>
      <c r="AO9">
        <v>0</v>
      </c>
      <c r="AP9">
        <v>3.29</v>
      </c>
      <c r="AQ9">
        <v>0.42</v>
      </c>
      <c r="AR9">
        <v>0.06</v>
      </c>
      <c r="AS9">
        <v>0.06</v>
      </c>
      <c r="AT9">
        <v>15.78</v>
      </c>
      <c r="AU9">
        <v>5.76</v>
      </c>
      <c r="AV9">
        <v>0.17</v>
      </c>
      <c r="AW9">
        <v>0.88</v>
      </c>
      <c r="AX9">
        <v>0</v>
      </c>
      <c r="AY9">
        <v>0</v>
      </c>
      <c r="AZ9">
        <v>0</v>
      </c>
      <c r="BA9">
        <v>0</v>
      </c>
      <c r="BB9">
        <v>0</v>
      </c>
      <c r="BC9">
        <v>0</v>
      </c>
      <c r="BD9">
        <v>0</v>
      </c>
    </row>
    <row r="10" spans="1:56" x14ac:dyDescent="0.25">
      <c r="A10" s="23">
        <v>46304</v>
      </c>
      <c r="B10">
        <v>9</v>
      </c>
      <c r="C10" t="s">
        <v>82</v>
      </c>
      <c r="D10" t="s">
        <v>83</v>
      </c>
      <c r="E10">
        <v>2</v>
      </c>
      <c r="F10">
        <v>185</v>
      </c>
      <c r="G10">
        <v>1</v>
      </c>
      <c r="H10" t="s">
        <v>84</v>
      </c>
      <c r="I10" t="s">
        <v>78</v>
      </c>
      <c r="J10" t="s">
        <v>85</v>
      </c>
      <c r="K10" t="s">
        <v>86</v>
      </c>
      <c r="L10" t="s">
        <v>71</v>
      </c>
      <c r="M10" t="s">
        <v>87</v>
      </c>
      <c r="O10" t="s">
        <v>88</v>
      </c>
      <c r="P10" t="s">
        <v>89</v>
      </c>
      <c r="X10" t="s">
        <v>77</v>
      </c>
      <c r="Z10" t="s">
        <v>72</v>
      </c>
      <c r="AB10">
        <v>5</v>
      </c>
      <c r="AC10">
        <v>748787.17</v>
      </c>
      <c r="AD10">
        <v>8930538.1400000006</v>
      </c>
      <c r="AE10">
        <v>194.69</v>
      </c>
      <c r="AF10">
        <v>748787.77</v>
      </c>
      <c r="AG10">
        <v>8930535.5299999993</v>
      </c>
      <c r="AH10">
        <v>185</v>
      </c>
      <c r="AI10">
        <v>10.050000000000001</v>
      </c>
      <c r="AJ10">
        <v>0</v>
      </c>
      <c r="AK10">
        <v>1.5</v>
      </c>
      <c r="AL10">
        <v>0.8</v>
      </c>
      <c r="AM10">
        <v>166.99</v>
      </c>
      <c r="AN10">
        <v>15.4</v>
      </c>
      <c r="AO10">
        <v>0</v>
      </c>
      <c r="AP10">
        <v>3.28</v>
      </c>
      <c r="AQ10">
        <v>0.42</v>
      </c>
      <c r="AR10">
        <v>0.06</v>
      </c>
      <c r="AS10">
        <v>0.06</v>
      </c>
      <c r="AT10">
        <v>15.25</v>
      </c>
      <c r="AU10">
        <v>5.87</v>
      </c>
      <c r="AV10">
        <v>0.14000000000000001</v>
      </c>
      <c r="AW10">
        <v>0.76</v>
      </c>
      <c r="AX10">
        <v>0</v>
      </c>
      <c r="AY10">
        <v>0</v>
      </c>
      <c r="AZ10">
        <v>0</v>
      </c>
      <c r="BA10">
        <v>0</v>
      </c>
      <c r="BB10">
        <v>0</v>
      </c>
      <c r="BC10">
        <v>0</v>
      </c>
      <c r="BD10">
        <v>0</v>
      </c>
    </row>
    <row r="11" spans="1:56" x14ac:dyDescent="0.25">
      <c r="A11" s="23">
        <v>46304</v>
      </c>
      <c r="B11">
        <v>10</v>
      </c>
      <c r="C11" t="s">
        <v>82</v>
      </c>
      <c r="D11" t="s">
        <v>83</v>
      </c>
      <c r="E11">
        <v>2</v>
      </c>
      <c r="F11">
        <v>185</v>
      </c>
      <c r="G11">
        <v>1</v>
      </c>
      <c r="H11" t="s">
        <v>84</v>
      </c>
      <c r="I11" t="s">
        <v>78</v>
      </c>
      <c r="J11" t="s">
        <v>85</v>
      </c>
      <c r="K11" t="s">
        <v>86</v>
      </c>
      <c r="L11" t="s">
        <v>71</v>
      </c>
      <c r="M11" t="s">
        <v>87</v>
      </c>
      <c r="O11" t="s">
        <v>88</v>
      </c>
      <c r="P11" t="s">
        <v>89</v>
      </c>
      <c r="X11" t="s">
        <v>77</v>
      </c>
      <c r="Z11" t="s">
        <v>72</v>
      </c>
      <c r="AB11">
        <v>5</v>
      </c>
      <c r="AC11">
        <v>748785.71</v>
      </c>
      <c r="AD11">
        <v>8930537.8000000007</v>
      </c>
      <c r="AE11">
        <v>194.94</v>
      </c>
      <c r="AF11">
        <v>748786.31</v>
      </c>
      <c r="AG11">
        <v>8930535.1999999993</v>
      </c>
      <c r="AH11">
        <v>185</v>
      </c>
      <c r="AI11">
        <v>10.3</v>
      </c>
      <c r="AJ11">
        <v>0</v>
      </c>
      <c r="AK11">
        <v>1.5</v>
      </c>
      <c r="AL11">
        <v>0.8</v>
      </c>
      <c r="AM11">
        <v>166.99</v>
      </c>
      <c r="AN11">
        <v>15.06</v>
      </c>
      <c r="AO11">
        <v>0</v>
      </c>
      <c r="AP11">
        <v>3.27</v>
      </c>
      <c r="AQ11">
        <v>0.41</v>
      </c>
      <c r="AR11">
        <v>0.06</v>
      </c>
      <c r="AS11">
        <v>0.05</v>
      </c>
      <c r="AT11">
        <v>14.76</v>
      </c>
      <c r="AU11">
        <v>5.92</v>
      </c>
      <c r="AV11">
        <v>0.11</v>
      </c>
      <c r="AW11">
        <v>0.62</v>
      </c>
      <c r="AX11">
        <v>0</v>
      </c>
      <c r="AY11">
        <v>0</v>
      </c>
      <c r="AZ11">
        <v>0</v>
      </c>
      <c r="BA11">
        <v>0</v>
      </c>
      <c r="BB11">
        <v>0</v>
      </c>
      <c r="BC11">
        <v>0</v>
      </c>
      <c r="BD11">
        <v>0</v>
      </c>
    </row>
    <row r="12" spans="1:56" x14ac:dyDescent="0.25">
      <c r="A12" s="23">
        <v>46304</v>
      </c>
      <c r="B12">
        <v>11</v>
      </c>
      <c r="C12" t="s">
        <v>82</v>
      </c>
      <c r="D12" t="s">
        <v>83</v>
      </c>
      <c r="E12">
        <v>2</v>
      </c>
      <c r="F12">
        <v>185</v>
      </c>
      <c r="G12">
        <v>1</v>
      </c>
      <c r="H12" t="s">
        <v>84</v>
      </c>
      <c r="I12" t="s">
        <v>78</v>
      </c>
      <c r="J12" t="s">
        <v>85</v>
      </c>
      <c r="K12" t="s">
        <v>86</v>
      </c>
      <c r="L12" t="s">
        <v>71</v>
      </c>
      <c r="M12" t="s">
        <v>87</v>
      </c>
      <c r="O12" t="s">
        <v>88</v>
      </c>
      <c r="P12" t="s">
        <v>89</v>
      </c>
      <c r="X12" t="s">
        <v>77</v>
      </c>
      <c r="Z12" t="s">
        <v>72</v>
      </c>
      <c r="AB12">
        <v>5</v>
      </c>
      <c r="AC12">
        <v>748784.25</v>
      </c>
      <c r="AD12">
        <v>8930537.4700000007</v>
      </c>
      <c r="AE12">
        <v>195.16</v>
      </c>
      <c r="AF12">
        <v>748784.85</v>
      </c>
      <c r="AG12">
        <v>8930534.8599999994</v>
      </c>
      <c r="AH12">
        <v>185</v>
      </c>
      <c r="AI12">
        <v>10.5</v>
      </c>
      <c r="AJ12">
        <v>0</v>
      </c>
      <c r="AK12">
        <v>1.5</v>
      </c>
      <c r="AL12">
        <v>0.8</v>
      </c>
      <c r="AM12">
        <v>166.99</v>
      </c>
      <c r="AN12">
        <v>14.77</v>
      </c>
      <c r="AO12">
        <v>0</v>
      </c>
      <c r="AP12">
        <v>3.27</v>
      </c>
      <c r="AQ12">
        <v>0.41</v>
      </c>
      <c r="AR12">
        <v>0.06</v>
      </c>
      <c r="AS12">
        <v>0.05</v>
      </c>
      <c r="AT12">
        <v>14.39</v>
      </c>
      <c r="AU12">
        <v>5.92</v>
      </c>
      <c r="AV12">
        <v>0.09</v>
      </c>
      <c r="AW12">
        <v>0.5</v>
      </c>
      <c r="AX12">
        <v>0</v>
      </c>
      <c r="AY12">
        <v>0</v>
      </c>
      <c r="AZ12">
        <v>0</v>
      </c>
      <c r="BA12">
        <v>0</v>
      </c>
      <c r="BB12">
        <v>0</v>
      </c>
      <c r="BC12">
        <v>0</v>
      </c>
      <c r="BD12">
        <v>0</v>
      </c>
    </row>
    <row r="13" spans="1:56" x14ac:dyDescent="0.25">
      <c r="A13" s="23">
        <v>46304</v>
      </c>
      <c r="B13">
        <v>12</v>
      </c>
      <c r="C13" t="s">
        <v>82</v>
      </c>
      <c r="D13" t="s">
        <v>83</v>
      </c>
      <c r="E13">
        <v>2</v>
      </c>
      <c r="F13">
        <v>185</v>
      </c>
      <c r="G13">
        <v>0</v>
      </c>
      <c r="H13" t="s">
        <v>84</v>
      </c>
      <c r="I13" t="s">
        <v>78</v>
      </c>
      <c r="J13" t="s">
        <v>85</v>
      </c>
      <c r="K13" t="s">
        <v>86</v>
      </c>
      <c r="L13" t="s">
        <v>71</v>
      </c>
      <c r="M13" t="s">
        <v>87</v>
      </c>
      <c r="O13" t="s">
        <v>88</v>
      </c>
      <c r="P13" t="s">
        <v>89</v>
      </c>
      <c r="X13" t="s">
        <v>77</v>
      </c>
      <c r="Z13" t="s">
        <v>72</v>
      </c>
      <c r="AB13">
        <v>5</v>
      </c>
      <c r="AC13">
        <v>748782.79</v>
      </c>
      <c r="AD13">
        <v>8930537.1300000008</v>
      </c>
      <c r="AE13">
        <v>195.15</v>
      </c>
      <c r="AF13">
        <v>748783.39</v>
      </c>
      <c r="AG13">
        <v>8930534.5199999996</v>
      </c>
      <c r="AH13">
        <v>185</v>
      </c>
      <c r="AI13">
        <v>10.5</v>
      </c>
      <c r="AJ13">
        <v>0</v>
      </c>
      <c r="AK13">
        <v>1.5</v>
      </c>
      <c r="AL13">
        <v>0.8</v>
      </c>
      <c r="AM13">
        <v>166.99</v>
      </c>
      <c r="AN13">
        <v>14.78</v>
      </c>
      <c r="AO13">
        <v>0</v>
      </c>
      <c r="AP13">
        <v>3.27</v>
      </c>
      <c r="AQ13">
        <v>0.41</v>
      </c>
      <c r="AR13">
        <v>0.06</v>
      </c>
      <c r="AS13">
        <v>0.05</v>
      </c>
      <c r="AT13">
        <v>14.02</v>
      </c>
      <c r="AU13">
        <v>5.92</v>
      </c>
      <c r="AV13">
        <v>7.0000000000000007E-2</v>
      </c>
      <c r="AW13">
        <v>0.38</v>
      </c>
      <c r="AX13">
        <v>0</v>
      </c>
      <c r="AY13">
        <v>0</v>
      </c>
      <c r="AZ13">
        <v>0</v>
      </c>
      <c r="BA13">
        <v>0</v>
      </c>
      <c r="BB13">
        <v>0</v>
      </c>
      <c r="BC13">
        <v>0</v>
      </c>
      <c r="BD13">
        <v>0</v>
      </c>
    </row>
    <row r="14" spans="1:56" x14ac:dyDescent="0.25">
      <c r="A14" s="23">
        <v>46304</v>
      </c>
      <c r="B14">
        <v>13</v>
      </c>
      <c r="C14" t="s">
        <v>82</v>
      </c>
      <c r="D14" t="s">
        <v>83</v>
      </c>
      <c r="E14">
        <v>2</v>
      </c>
      <c r="F14">
        <v>185</v>
      </c>
      <c r="G14">
        <v>0</v>
      </c>
      <c r="H14" t="s">
        <v>84</v>
      </c>
      <c r="I14" t="s">
        <v>78</v>
      </c>
      <c r="J14" t="s">
        <v>85</v>
      </c>
      <c r="K14" t="s">
        <v>86</v>
      </c>
      <c r="L14" t="s">
        <v>71</v>
      </c>
      <c r="M14" t="s">
        <v>87</v>
      </c>
      <c r="O14" t="s">
        <v>88</v>
      </c>
      <c r="P14" t="s">
        <v>89</v>
      </c>
      <c r="X14" t="s">
        <v>77</v>
      </c>
      <c r="Z14" t="s">
        <v>72</v>
      </c>
      <c r="AB14">
        <v>5</v>
      </c>
      <c r="AC14">
        <v>748781.32</v>
      </c>
      <c r="AD14">
        <v>8930536.8000000007</v>
      </c>
      <c r="AE14">
        <v>195.09</v>
      </c>
      <c r="AF14">
        <v>748781.93</v>
      </c>
      <c r="AG14">
        <v>8930534.1799999997</v>
      </c>
      <c r="AH14">
        <v>185</v>
      </c>
      <c r="AI14">
        <v>10.44</v>
      </c>
      <c r="AJ14">
        <v>0</v>
      </c>
      <c r="AK14">
        <v>1.5</v>
      </c>
      <c r="AL14">
        <v>0.8</v>
      </c>
      <c r="AM14">
        <v>166.99</v>
      </c>
      <c r="AN14">
        <v>14.88</v>
      </c>
      <c r="AO14">
        <v>0</v>
      </c>
      <c r="AP14">
        <v>3.26</v>
      </c>
      <c r="AQ14">
        <v>0.41</v>
      </c>
      <c r="AR14">
        <v>0.06</v>
      </c>
      <c r="AS14">
        <v>0.05</v>
      </c>
      <c r="AT14">
        <v>13.55</v>
      </c>
      <c r="AU14">
        <v>5.93</v>
      </c>
      <c r="AV14">
        <v>0.04</v>
      </c>
      <c r="AW14">
        <v>0.22</v>
      </c>
      <c r="AX14">
        <v>0</v>
      </c>
      <c r="AY14">
        <v>0</v>
      </c>
      <c r="AZ14">
        <v>0</v>
      </c>
      <c r="BA14">
        <v>0</v>
      </c>
      <c r="BB14">
        <v>0</v>
      </c>
      <c r="BC14">
        <v>0</v>
      </c>
      <c r="BD14">
        <v>0</v>
      </c>
    </row>
    <row r="15" spans="1:56" x14ac:dyDescent="0.25">
      <c r="A15" s="23">
        <v>46304</v>
      </c>
      <c r="B15">
        <v>14</v>
      </c>
      <c r="C15" t="s">
        <v>82</v>
      </c>
      <c r="D15" t="s">
        <v>83</v>
      </c>
      <c r="E15">
        <v>2</v>
      </c>
      <c r="F15">
        <v>185</v>
      </c>
      <c r="G15">
        <v>0</v>
      </c>
      <c r="H15" t="s">
        <v>84</v>
      </c>
      <c r="I15" t="s">
        <v>78</v>
      </c>
      <c r="J15" t="s">
        <v>85</v>
      </c>
      <c r="K15" t="s">
        <v>86</v>
      </c>
      <c r="L15" t="s">
        <v>71</v>
      </c>
      <c r="M15" t="s">
        <v>87</v>
      </c>
      <c r="O15" t="s">
        <v>88</v>
      </c>
      <c r="P15" t="s">
        <v>89</v>
      </c>
      <c r="X15" t="s">
        <v>77</v>
      </c>
      <c r="Z15" t="s">
        <v>72</v>
      </c>
      <c r="AB15">
        <v>5</v>
      </c>
      <c r="AC15">
        <v>748779.86</v>
      </c>
      <c r="AD15">
        <v>8930536.4600000009</v>
      </c>
      <c r="AE15">
        <v>194.98</v>
      </c>
      <c r="AF15">
        <v>748780.47</v>
      </c>
      <c r="AG15">
        <v>8930533.8499999996</v>
      </c>
      <c r="AH15">
        <v>185</v>
      </c>
      <c r="AI15">
        <v>10.33</v>
      </c>
      <c r="AJ15">
        <v>0</v>
      </c>
      <c r="AK15">
        <v>1.5</v>
      </c>
      <c r="AL15">
        <v>0.8</v>
      </c>
      <c r="AM15">
        <v>166.99</v>
      </c>
      <c r="AN15">
        <v>15.03</v>
      </c>
      <c r="AO15">
        <v>0</v>
      </c>
      <c r="AP15">
        <v>3.25</v>
      </c>
      <c r="AQ15">
        <v>0.4</v>
      </c>
      <c r="AR15">
        <v>0.05</v>
      </c>
      <c r="AS15">
        <v>0.04</v>
      </c>
      <c r="AT15">
        <v>12.76</v>
      </c>
      <c r="AU15">
        <v>5.87</v>
      </c>
      <c r="AV15">
        <v>0</v>
      </c>
      <c r="AW15">
        <v>0</v>
      </c>
      <c r="AX15">
        <v>0</v>
      </c>
      <c r="AY15">
        <v>0</v>
      </c>
      <c r="AZ15">
        <v>0</v>
      </c>
      <c r="BA15">
        <v>0</v>
      </c>
      <c r="BB15">
        <v>0</v>
      </c>
      <c r="BC15">
        <v>0</v>
      </c>
      <c r="BD15">
        <v>0</v>
      </c>
    </row>
    <row r="16" spans="1:56" x14ac:dyDescent="0.25">
      <c r="A16" s="23">
        <v>46304</v>
      </c>
      <c r="B16">
        <v>15</v>
      </c>
      <c r="C16" t="s">
        <v>82</v>
      </c>
      <c r="D16" t="s">
        <v>83</v>
      </c>
      <c r="E16">
        <v>2</v>
      </c>
      <c r="F16">
        <v>185</v>
      </c>
      <c r="G16">
        <v>0</v>
      </c>
      <c r="H16" t="s">
        <v>84</v>
      </c>
      <c r="I16" t="s">
        <v>78</v>
      </c>
      <c r="J16" t="s">
        <v>85</v>
      </c>
      <c r="K16" t="s">
        <v>86</v>
      </c>
      <c r="L16" t="s">
        <v>71</v>
      </c>
      <c r="M16" t="s">
        <v>87</v>
      </c>
      <c r="O16" t="s">
        <v>88</v>
      </c>
      <c r="P16" t="s">
        <v>89</v>
      </c>
      <c r="X16" t="s">
        <v>77</v>
      </c>
      <c r="Z16" t="s">
        <v>72</v>
      </c>
      <c r="AB16">
        <v>5</v>
      </c>
      <c r="AC16">
        <v>748778.4</v>
      </c>
      <c r="AD16">
        <v>8930536.1199999992</v>
      </c>
      <c r="AE16">
        <v>194.72</v>
      </c>
      <c r="AF16">
        <v>748779.01</v>
      </c>
      <c r="AG16">
        <v>8930533.5099999998</v>
      </c>
      <c r="AH16">
        <v>185</v>
      </c>
      <c r="AI16">
        <v>10.08</v>
      </c>
      <c r="AJ16">
        <v>0</v>
      </c>
      <c r="AK16">
        <v>1.5</v>
      </c>
      <c r="AL16">
        <v>0.8</v>
      </c>
      <c r="AM16">
        <v>166.99</v>
      </c>
      <c r="AN16">
        <v>15.39</v>
      </c>
      <c r="AO16">
        <v>0</v>
      </c>
      <c r="AP16">
        <v>3.25</v>
      </c>
      <c r="AQ16">
        <v>0.4</v>
      </c>
      <c r="AR16">
        <v>0.05</v>
      </c>
      <c r="AS16">
        <v>0.04</v>
      </c>
      <c r="AT16">
        <v>12.76</v>
      </c>
      <c r="AU16">
        <v>5.87</v>
      </c>
      <c r="AV16">
        <v>0</v>
      </c>
      <c r="AW16">
        <v>0</v>
      </c>
      <c r="AX16">
        <v>0</v>
      </c>
      <c r="AY16">
        <v>0</v>
      </c>
      <c r="AZ16">
        <v>0</v>
      </c>
      <c r="BA16">
        <v>0</v>
      </c>
      <c r="BB16">
        <v>0</v>
      </c>
      <c r="BC16">
        <v>0</v>
      </c>
      <c r="BD16">
        <v>0</v>
      </c>
    </row>
    <row r="17" spans="1:56" x14ac:dyDescent="0.25">
      <c r="A17" s="23">
        <v>46304</v>
      </c>
      <c r="B17">
        <v>16</v>
      </c>
      <c r="C17" t="s">
        <v>82</v>
      </c>
      <c r="D17" t="s">
        <v>83</v>
      </c>
      <c r="E17">
        <v>2</v>
      </c>
      <c r="F17">
        <v>185</v>
      </c>
      <c r="G17">
        <v>0</v>
      </c>
      <c r="H17" t="s">
        <v>84</v>
      </c>
      <c r="I17" t="s">
        <v>78</v>
      </c>
      <c r="J17" t="s">
        <v>85</v>
      </c>
      <c r="K17" t="s">
        <v>86</v>
      </c>
      <c r="L17" t="s">
        <v>71</v>
      </c>
      <c r="M17" t="s">
        <v>87</v>
      </c>
      <c r="O17" t="s">
        <v>88</v>
      </c>
      <c r="P17" t="s">
        <v>89</v>
      </c>
      <c r="X17" t="s">
        <v>77</v>
      </c>
      <c r="Z17" t="s">
        <v>72</v>
      </c>
      <c r="AB17">
        <v>5</v>
      </c>
      <c r="AC17">
        <v>748776.94</v>
      </c>
      <c r="AD17">
        <v>8930535.8000000007</v>
      </c>
      <c r="AE17">
        <v>194.56</v>
      </c>
      <c r="AF17">
        <v>748777.51</v>
      </c>
      <c r="AG17">
        <v>8930533.1799999997</v>
      </c>
      <c r="AH17">
        <v>185</v>
      </c>
      <c r="AI17">
        <v>9.93</v>
      </c>
      <c r="AJ17">
        <v>0</v>
      </c>
      <c r="AK17">
        <v>1.5</v>
      </c>
      <c r="AL17">
        <v>0.8</v>
      </c>
      <c r="AM17">
        <v>167.61</v>
      </c>
      <c r="AN17">
        <v>15.67</v>
      </c>
      <c r="AO17">
        <v>0</v>
      </c>
      <c r="AP17">
        <v>3.25</v>
      </c>
      <c r="AQ17">
        <v>0.4</v>
      </c>
      <c r="AR17">
        <v>0.05</v>
      </c>
      <c r="AS17">
        <v>0.04</v>
      </c>
      <c r="AT17">
        <v>12.76</v>
      </c>
      <c r="AU17">
        <v>5.87</v>
      </c>
      <c r="AV17">
        <v>0</v>
      </c>
      <c r="AW17">
        <v>0</v>
      </c>
      <c r="AX17">
        <v>0</v>
      </c>
      <c r="AY17">
        <v>0</v>
      </c>
      <c r="AZ17">
        <v>0</v>
      </c>
      <c r="BA17">
        <v>0</v>
      </c>
      <c r="BB17">
        <v>0</v>
      </c>
      <c r="BC17">
        <v>0</v>
      </c>
      <c r="BD17">
        <v>0</v>
      </c>
    </row>
    <row r="18" spans="1:56" x14ac:dyDescent="0.25">
      <c r="A18" s="23">
        <v>46304</v>
      </c>
      <c r="B18">
        <v>17</v>
      </c>
      <c r="C18" t="s">
        <v>82</v>
      </c>
      <c r="D18" t="s">
        <v>83</v>
      </c>
      <c r="E18">
        <v>2</v>
      </c>
      <c r="F18">
        <v>185</v>
      </c>
      <c r="G18">
        <v>0</v>
      </c>
      <c r="H18" t="s">
        <v>84</v>
      </c>
      <c r="I18" t="s">
        <v>78</v>
      </c>
      <c r="J18" t="s">
        <v>85</v>
      </c>
      <c r="K18" t="s">
        <v>86</v>
      </c>
      <c r="L18" t="s">
        <v>71</v>
      </c>
      <c r="M18" t="s">
        <v>87</v>
      </c>
      <c r="O18" t="s">
        <v>88</v>
      </c>
      <c r="P18" t="s">
        <v>89</v>
      </c>
      <c r="X18" t="s">
        <v>77</v>
      </c>
      <c r="Z18" t="s">
        <v>72</v>
      </c>
      <c r="AB18">
        <v>5</v>
      </c>
      <c r="AC18">
        <v>748775.47</v>
      </c>
      <c r="AD18">
        <v>8930535.4900000002</v>
      </c>
      <c r="AE18">
        <v>194.48</v>
      </c>
      <c r="AF18">
        <v>748776.01</v>
      </c>
      <c r="AG18">
        <v>8930532.8699999992</v>
      </c>
      <c r="AH18">
        <v>185</v>
      </c>
      <c r="AI18">
        <v>9.86</v>
      </c>
      <c r="AJ18">
        <v>0</v>
      </c>
      <c r="AK18">
        <v>1.5</v>
      </c>
      <c r="AL18">
        <v>0.8</v>
      </c>
      <c r="AM18">
        <v>168.27</v>
      </c>
      <c r="AN18">
        <v>15.78</v>
      </c>
      <c r="AO18">
        <v>0</v>
      </c>
      <c r="AP18">
        <v>3.25</v>
      </c>
      <c r="AQ18">
        <v>0.4</v>
      </c>
      <c r="AR18">
        <v>0.05</v>
      </c>
      <c r="AS18">
        <v>0.04</v>
      </c>
      <c r="AT18">
        <v>12.74</v>
      </c>
      <c r="AU18">
        <v>5.86</v>
      </c>
      <c r="AV18">
        <v>0</v>
      </c>
      <c r="AW18">
        <v>0</v>
      </c>
      <c r="AX18">
        <v>0</v>
      </c>
      <c r="AY18">
        <v>0</v>
      </c>
      <c r="AZ18">
        <v>0</v>
      </c>
      <c r="BA18">
        <v>0</v>
      </c>
      <c r="BB18">
        <v>0</v>
      </c>
      <c r="BC18">
        <v>0</v>
      </c>
      <c r="BD18">
        <v>0</v>
      </c>
    </row>
    <row r="19" spans="1:56" x14ac:dyDescent="0.25">
      <c r="A19" s="23">
        <v>46304</v>
      </c>
      <c r="B19">
        <v>18</v>
      </c>
      <c r="C19" t="s">
        <v>82</v>
      </c>
      <c r="D19" t="s">
        <v>83</v>
      </c>
      <c r="E19">
        <v>2</v>
      </c>
      <c r="F19">
        <v>185</v>
      </c>
      <c r="G19">
        <v>0</v>
      </c>
      <c r="H19" t="s">
        <v>84</v>
      </c>
      <c r="I19" t="s">
        <v>78</v>
      </c>
      <c r="J19" t="s">
        <v>85</v>
      </c>
      <c r="K19" t="s">
        <v>86</v>
      </c>
      <c r="L19" t="s">
        <v>71</v>
      </c>
      <c r="M19" t="s">
        <v>87</v>
      </c>
      <c r="O19" t="s">
        <v>88</v>
      </c>
      <c r="P19" t="s">
        <v>89</v>
      </c>
      <c r="X19" t="s">
        <v>77</v>
      </c>
      <c r="Z19" t="s">
        <v>72</v>
      </c>
      <c r="AB19">
        <v>5</v>
      </c>
      <c r="AC19">
        <v>748774</v>
      </c>
      <c r="AD19">
        <v>8930535.1699999999</v>
      </c>
      <c r="AE19">
        <v>194.53</v>
      </c>
      <c r="AF19">
        <v>748774.56</v>
      </c>
      <c r="AG19">
        <v>8930532.5600000005</v>
      </c>
      <c r="AH19">
        <v>185</v>
      </c>
      <c r="AI19">
        <v>9.9</v>
      </c>
      <c r="AJ19">
        <v>0</v>
      </c>
      <c r="AK19">
        <v>1.5</v>
      </c>
      <c r="AL19">
        <v>0.8</v>
      </c>
      <c r="AM19">
        <v>167.89</v>
      </c>
      <c r="AN19">
        <v>15.68</v>
      </c>
      <c r="AO19">
        <v>0</v>
      </c>
      <c r="AP19">
        <v>3.25</v>
      </c>
      <c r="AQ19">
        <v>0.4</v>
      </c>
      <c r="AR19">
        <v>0.05</v>
      </c>
      <c r="AS19">
        <v>0.04</v>
      </c>
      <c r="AT19">
        <v>12.75</v>
      </c>
      <c r="AU19">
        <v>5.86</v>
      </c>
      <c r="AV19">
        <v>0</v>
      </c>
      <c r="AW19">
        <v>0</v>
      </c>
      <c r="AX19">
        <v>0</v>
      </c>
      <c r="AY19">
        <v>0</v>
      </c>
      <c r="AZ19">
        <v>0</v>
      </c>
      <c r="BA19">
        <v>0</v>
      </c>
      <c r="BB19">
        <v>0</v>
      </c>
      <c r="BC19">
        <v>0</v>
      </c>
      <c r="BD19">
        <v>0</v>
      </c>
    </row>
    <row r="20" spans="1:56" x14ac:dyDescent="0.25">
      <c r="A20" s="23">
        <v>46304</v>
      </c>
      <c r="B20">
        <v>19</v>
      </c>
      <c r="C20" t="s">
        <v>82</v>
      </c>
      <c r="D20" t="s">
        <v>83</v>
      </c>
      <c r="E20">
        <v>2</v>
      </c>
      <c r="F20">
        <v>185</v>
      </c>
      <c r="G20">
        <v>0</v>
      </c>
      <c r="H20" t="s">
        <v>84</v>
      </c>
      <c r="I20" t="s">
        <v>78</v>
      </c>
      <c r="J20" t="s">
        <v>90</v>
      </c>
      <c r="K20" t="s">
        <v>86</v>
      </c>
      <c r="L20" t="s">
        <v>71</v>
      </c>
      <c r="M20" t="s">
        <v>87</v>
      </c>
      <c r="O20" t="s">
        <v>88</v>
      </c>
      <c r="P20" t="s">
        <v>89</v>
      </c>
      <c r="X20" t="s">
        <v>77</v>
      </c>
      <c r="Z20" t="s">
        <v>72</v>
      </c>
      <c r="AB20">
        <v>5</v>
      </c>
      <c r="AC20">
        <v>748772.54</v>
      </c>
      <c r="AD20">
        <v>8930534.8200000003</v>
      </c>
      <c r="AE20">
        <v>194.63</v>
      </c>
      <c r="AF20">
        <v>748773.17</v>
      </c>
      <c r="AG20">
        <v>8930532.2200000007</v>
      </c>
      <c r="AH20">
        <v>185</v>
      </c>
      <c r="AI20">
        <v>10</v>
      </c>
      <c r="AJ20">
        <v>0</v>
      </c>
      <c r="AK20">
        <v>1.5</v>
      </c>
      <c r="AL20">
        <v>0.8</v>
      </c>
      <c r="AM20">
        <v>166.4</v>
      </c>
      <c r="AN20">
        <v>15.53</v>
      </c>
      <c r="AO20">
        <v>0</v>
      </c>
      <c r="AP20">
        <v>3.24</v>
      </c>
      <c r="AQ20">
        <v>0.37</v>
      </c>
      <c r="AR20">
        <v>0.05</v>
      </c>
      <c r="AS20">
        <v>0.04</v>
      </c>
      <c r="AT20">
        <v>11.87</v>
      </c>
      <c r="AU20">
        <v>5.43</v>
      </c>
      <c r="AV20">
        <v>0.01</v>
      </c>
      <c r="AW20">
        <v>0.21</v>
      </c>
      <c r="AX20">
        <v>0</v>
      </c>
      <c r="AY20">
        <v>0</v>
      </c>
      <c r="AZ20">
        <v>0</v>
      </c>
      <c r="BA20">
        <v>0</v>
      </c>
      <c r="BB20">
        <v>0</v>
      </c>
      <c r="BC20">
        <v>0</v>
      </c>
      <c r="BD20">
        <v>0</v>
      </c>
    </row>
    <row r="21" spans="1:56" x14ac:dyDescent="0.25">
      <c r="A21" s="23">
        <v>46304</v>
      </c>
      <c r="B21">
        <v>20</v>
      </c>
      <c r="C21" t="s">
        <v>82</v>
      </c>
      <c r="D21" t="s">
        <v>83</v>
      </c>
      <c r="E21">
        <v>2</v>
      </c>
      <c r="F21">
        <v>185</v>
      </c>
      <c r="G21">
        <v>0</v>
      </c>
      <c r="H21" t="s">
        <v>84</v>
      </c>
      <c r="I21" t="s">
        <v>78</v>
      </c>
      <c r="J21" t="s">
        <v>85</v>
      </c>
      <c r="K21" t="s">
        <v>86</v>
      </c>
      <c r="L21" t="s">
        <v>71</v>
      </c>
      <c r="M21" t="s">
        <v>87</v>
      </c>
      <c r="O21" t="s">
        <v>88</v>
      </c>
      <c r="P21" t="s">
        <v>89</v>
      </c>
      <c r="X21" t="s">
        <v>77</v>
      </c>
      <c r="Z21" t="s">
        <v>72</v>
      </c>
      <c r="AB21">
        <v>5</v>
      </c>
      <c r="AC21">
        <v>748771.1</v>
      </c>
      <c r="AD21">
        <v>8930534.4199999999</v>
      </c>
      <c r="AE21">
        <v>194.44</v>
      </c>
      <c r="AF21">
        <v>748771.72</v>
      </c>
      <c r="AG21">
        <v>8930531.8699999992</v>
      </c>
      <c r="AH21">
        <v>185</v>
      </c>
      <c r="AI21">
        <v>9.8000000000000007</v>
      </c>
      <c r="AJ21">
        <v>0</v>
      </c>
      <c r="AK21">
        <v>1.5</v>
      </c>
      <c r="AL21">
        <v>0.8</v>
      </c>
      <c r="AM21">
        <v>166.4</v>
      </c>
      <c r="AN21">
        <v>15.53</v>
      </c>
      <c r="AO21">
        <v>0</v>
      </c>
      <c r="AP21">
        <v>3.22</v>
      </c>
      <c r="AQ21">
        <v>0.33</v>
      </c>
      <c r="AR21">
        <v>0.05</v>
      </c>
      <c r="AS21">
        <v>0.04</v>
      </c>
      <c r="AT21">
        <v>10.69</v>
      </c>
      <c r="AU21">
        <v>4.8099999999999996</v>
      </c>
      <c r="AV21">
        <v>0.04</v>
      </c>
      <c r="AW21">
        <v>0.7</v>
      </c>
      <c r="AX21">
        <v>0</v>
      </c>
      <c r="AY21">
        <v>0</v>
      </c>
      <c r="AZ21">
        <v>0</v>
      </c>
      <c r="BA21">
        <v>0</v>
      </c>
      <c r="BB21">
        <v>0</v>
      </c>
      <c r="BC21">
        <v>0</v>
      </c>
      <c r="BD21">
        <v>0</v>
      </c>
    </row>
    <row r="22" spans="1:56" x14ac:dyDescent="0.25">
      <c r="A22" s="23">
        <v>46304</v>
      </c>
      <c r="B22">
        <v>21</v>
      </c>
      <c r="C22" t="s">
        <v>82</v>
      </c>
      <c r="D22" t="s">
        <v>83</v>
      </c>
      <c r="E22">
        <v>2</v>
      </c>
      <c r="F22">
        <v>185</v>
      </c>
      <c r="G22">
        <v>0</v>
      </c>
      <c r="H22" t="s">
        <v>84</v>
      </c>
      <c r="I22" t="s">
        <v>78</v>
      </c>
      <c r="J22" t="s">
        <v>85</v>
      </c>
      <c r="K22" t="s">
        <v>86</v>
      </c>
      <c r="L22" t="s">
        <v>71</v>
      </c>
      <c r="M22" t="s">
        <v>87</v>
      </c>
      <c r="O22" t="s">
        <v>88</v>
      </c>
      <c r="P22" t="s">
        <v>89</v>
      </c>
      <c r="X22" t="s">
        <v>77</v>
      </c>
      <c r="Z22" t="s">
        <v>72</v>
      </c>
      <c r="AB22">
        <v>5</v>
      </c>
      <c r="AC22">
        <v>748769.71</v>
      </c>
      <c r="AD22">
        <v>8930533.7599999998</v>
      </c>
      <c r="AE22">
        <v>193.41</v>
      </c>
      <c r="AF22">
        <v>748770.26</v>
      </c>
      <c r="AG22">
        <v>8930531.5199999996</v>
      </c>
      <c r="AH22">
        <v>185</v>
      </c>
      <c r="AI22">
        <v>8.7200000000000006</v>
      </c>
      <c r="AJ22">
        <v>0</v>
      </c>
      <c r="AK22">
        <v>1.5</v>
      </c>
      <c r="AL22">
        <v>0.8</v>
      </c>
      <c r="AM22">
        <v>166.4</v>
      </c>
      <c r="AN22">
        <v>15.37</v>
      </c>
      <c r="AO22">
        <v>0</v>
      </c>
      <c r="AP22">
        <v>3.22</v>
      </c>
      <c r="AQ22">
        <v>0.33</v>
      </c>
      <c r="AR22">
        <v>0.05</v>
      </c>
      <c r="AS22">
        <v>0.04</v>
      </c>
      <c r="AT22">
        <v>10.69</v>
      </c>
      <c r="AU22">
        <v>4.8099999999999996</v>
      </c>
      <c r="AV22">
        <v>0.04</v>
      </c>
      <c r="AW22">
        <v>0.7</v>
      </c>
      <c r="AX22">
        <v>0</v>
      </c>
      <c r="AY22">
        <v>0</v>
      </c>
      <c r="AZ22">
        <v>0</v>
      </c>
      <c r="BA22">
        <v>0</v>
      </c>
      <c r="BB22">
        <v>0</v>
      </c>
      <c r="BC22">
        <v>0</v>
      </c>
      <c r="BD22">
        <v>0</v>
      </c>
    </row>
    <row r="23" spans="1:56" x14ac:dyDescent="0.25">
      <c r="A23" s="23">
        <v>46304</v>
      </c>
      <c r="B23">
        <v>22</v>
      </c>
      <c r="C23" t="s">
        <v>82</v>
      </c>
      <c r="D23" t="s">
        <v>83</v>
      </c>
      <c r="E23">
        <v>2</v>
      </c>
      <c r="F23">
        <v>185</v>
      </c>
      <c r="G23">
        <v>0</v>
      </c>
      <c r="H23" t="s">
        <v>84</v>
      </c>
      <c r="I23" t="s">
        <v>78</v>
      </c>
      <c r="J23" t="s">
        <v>70</v>
      </c>
      <c r="K23" t="s">
        <v>86</v>
      </c>
      <c r="L23" t="s">
        <v>71</v>
      </c>
      <c r="M23" t="s">
        <v>87</v>
      </c>
      <c r="O23" t="s">
        <v>88</v>
      </c>
      <c r="P23" t="s">
        <v>89</v>
      </c>
      <c r="X23" t="s">
        <v>77</v>
      </c>
      <c r="Z23" t="s">
        <v>72</v>
      </c>
      <c r="AB23">
        <v>5</v>
      </c>
      <c r="AC23">
        <v>748766.43</v>
      </c>
      <c r="AD23">
        <v>8930531.8200000003</v>
      </c>
      <c r="AE23">
        <v>190.53</v>
      </c>
      <c r="AF23">
        <v>748767.05</v>
      </c>
      <c r="AG23">
        <v>8930530.6199999992</v>
      </c>
      <c r="AH23">
        <v>185</v>
      </c>
      <c r="AI23">
        <v>5.69</v>
      </c>
      <c r="AJ23">
        <v>0</v>
      </c>
      <c r="AK23">
        <v>1.5</v>
      </c>
      <c r="AL23">
        <v>0.8</v>
      </c>
      <c r="AM23">
        <v>152.96</v>
      </c>
      <c r="AN23">
        <v>13.69</v>
      </c>
      <c r="AO23">
        <v>0</v>
      </c>
      <c r="AP23">
        <v>3.16</v>
      </c>
      <c r="AQ23">
        <v>0.18</v>
      </c>
      <c r="AR23">
        <v>0.03</v>
      </c>
      <c r="AS23">
        <v>0.02</v>
      </c>
      <c r="AT23">
        <v>5.97</v>
      </c>
      <c r="AU23">
        <v>2.29</v>
      </c>
      <c r="AV23">
        <v>0.05</v>
      </c>
      <c r="AW23">
        <v>0.65</v>
      </c>
      <c r="AX23">
        <v>0</v>
      </c>
      <c r="AY23">
        <v>0</v>
      </c>
      <c r="AZ23">
        <v>0</v>
      </c>
      <c r="BA23">
        <v>0</v>
      </c>
      <c r="BB23">
        <v>0</v>
      </c>
      <c r="BC23">
        <v>0</v>
      </c>
      <c r="BD23">
        <v>0</v>
      </c>
    </row>
    <row r="24" spans="1:56" x14ac:dyDescent="0.25">
      <c r="A24" s="23">
        <v>46304</v>
      </c>
      <c r="B24">
        <v>23</v>
      </c>
      <c r="C24" t="s">
        <v>82</v>
      </c>
      <c r="D24" t="s">
        <v>83</v>
      </c>
      <c r="E24">
        <v>2</v>
      </c>
      <c r="F24">
        <v>185</v>
      </c>
      <c r="G24">
        <v>1</v>
      </c>
      <c r="H24" t="s">
        <v>84</v>
      </c>
      <c r="I24" t="s">
        <v>78</v>
      </c>
      <c r="J24" t="s">
        <v>70</v>
      </c>
      <c r="K24" t="s">
        <v>86</v>
      </c>
      <c r="L24" t="s">
        <v>71</v>
      </c>
      <c r="M24" t="s">
        <v>87</v>
      </c>
      <c r="O24" t="s">
        <v>88</v>
      </c>
      <c r="P24" t="s">
        <v>89</v>
      </c>
      <c r="X24" t="s">
        <v>77</v>
      </c>
      <c r="Z24" t="s">
        <v>72</v>
      </c>
      <c r="AB24">
        <v>5</v>
      </c>
      <c r="AC24">
        <v>748765.1</v>
      </c>
      <c r="AD24">
        <v>8930531.1400000006</v>
      </c>
      <c r="AE24">
        <v>190.48</v>
      </c>
      <c r="AF24">
        <v>748765.71</v>
      </c>
      <c r="AG24">
        <v>8930529.9499999993</v>
      </c>
      <c r="AH24">
        <v>185</v>
      </c>
      <c r="AI24">
        <v>5.64</v>
      </c>
      <c r="AJ24">
        <v>0</v>
      </c>
      <c r="AK24">
        <v>1.5</v>
      </c>
      <c r="AL24">
        <v>0.8</v>
      </c>
      <c r="AM24">
        <v>153.02000000000001</v>
      </c>
      <c r="AN24">
        <v>13.75</v>
      </c>
      <c r="AO24">
        <v>0</v>
      </c>
      <c r="AP24">
        <v>3.16</v>
      </c>
      <c r="AQ24">
        <v>0.18</v>
      </c>
      <c r="AR24">
        <v>0.03</v>
      </c>
      <c r="AS24">
        <v>0.02</v>
      </c>
      <c r="AT24">
        <v>5.97</v>
      </c>
      <c r="AU24">
        <v>2.29</v>
      </c>
      <c r="AV24">
        <v>0.05</v>
      </c>
      <c r="AW24">
        <v>0.65</v>
      </c>
      <c r="AX24">
        <v>0</v>
      </c>
      <c r="AY24">
        <v>0</v>
      </c>
      <c r="AZ24">
        <v>0</v>
      </c>
      <c r="BA24">
        <v>0</v>
      </c>
      <c r="BB24">
        <v>0</v>
      </c>
      <c r="BC24">
        <v>0</v>
      </c>
      <c r="BD24">
        <v>0</v>
      </c>
    </row>
    <row r="25" spans="1:56" x14ac:dyDescent="0.25">
      <c r="A25" s="23">
        <v>46304</v>
      </c>
      <c r="B25">
        <v>24</v>
      </c>
      <c r="C25" t="s">
        <v>82</v>
      </c>
      <c r="D25" t="s">
        <v>83</v>
      </c>
      <c r="E25">
        <v>2</v>
      </c>
      <c r="F25">
        <v>185</v>
      </c>
      <c r="G25">
        <v>1</v>
      </c>
      <c r="H25" t="s">
        <v>84</v>
      </c>
      <c r="I25" t="s">
        <v>78</v>
      </c>
      <c r="J25" t="s">
        <v>70</v>
      </c>
      <c r="K25" t="s">
        <v>86</v>
      </c>
      <c r="L25" t="s">
        <v>71</v>
      </c>
      <c r="M25" t="s">
        <v>87</v>
      </c>
      <c r="O25" t="s">
        <v>88</v>
      </c>
      <c r="P25" t="s">
        <v>89</v>
      </c>
      <c r="X25" t="s">
        <v>77</v>
      </c>
      <c r="Z25" t="s">
        <v>72</v>
      </c>
      <c r="AB25">
        <v>5</v>
      </c>
      <c r="AC25">
        <v>748763.79</v>
      </c>
      <c r="AD25">
        <v>8930530.4000000004</v>
      </c>
      <c r="AE25">
        <v>190.59</v>
      </c>
      <c r="AF25">
        <v>748764.45</v>
      </c>
      <c r="AG25">
        <v>8930529.2400000002</v>
      </c>
      <c r="AH25">
        <v>185</v>
      </c>
      <c r="AI25">
        <v>5.75</v>
      </c>
      <c r="AJ25">
        <v>0</v>
      </c>
      <c r="AK25">
        <v>1.5</v>
      </c>
      <c r="AL25">
        <v>0.8</v>
      </c>
      <c r="AM25">
        <v>150.47</v>
      </c>
      <c r="AN25">
        <v>13.47</v>
      </c>
      <c r="AO25">
        <v>0</v>
      </c>
      <c r="AP25">
        <v>3.16</v>
      </c>
      <c r="AQ25">
        <v>0.16</v>
      </c>
      <c r="AR25">
        <v>0.02</v>
      </c>
      <c r="AS25">
        <v>0.02</v>
      </c>
      <c r="AT25">
        <v>5.31</v>
      </c>
      <c r="AU25">
        <v>1.87</v>
      </c>
      <c r="AV25">
        <v>0.06</v>
      </c>
      <c r="AW25">
        <v>0.68</v>
      </c>
      <c r="AX25">
        <v>0</v>
      </c>
      <c r="AY25">
        <v>0</v>
      </c>
      <c r="AZ25">
        <v>0</v>
      </c>
      <c r="BA25">
        <v>0</v>
      </c>
      <c r="BB25">
        <v>0</v>
      </c>
      <c r="BC25">
        <v>0</v>
      </c>
      <c r="BD25">
        <v>0</v>
      </c>
    </row>
    <row r="26" spans="1:56" x14ac:dyDescent="0.25">
      <c r="A26" s="23">
        <v>46304</v>
      </c>
      <c r="B26">
        <v>25</v>
      </c>
      <c r="C26" t="s">
        <v>82</v>
      </c>
      <c r="D26" t="s">
        <v>83</v>
      </c>
      <c r="E26">
        <v>2</v>
      </c>
      <c r="F26">
        <v>185</v>
      </c>
      <c r="G26">
        <v>1</v>
      </c>
      <c r="H26" t="s">
        <v>84</v>
      </c>
      <c r="I26" t="s">
        <v>91</v>
      </c>
      <c r="J26" t="s">
        <v>70</v>
      </c>
      <c r="K26" t="s">
        <v>86</v>
      </c>
      <c r="L26" t="s">
        <v>71</v>
      </c>
      <c r="M26" t="s">
        <v>87</v>
      </c>
      <c r="O26" t="s">
        <v>88</v>
      </c>
      <c r="P26" t="s">
        <v>89</v>
      </c>
      <c r="X26" t="s">
        <v>77</v>
      </c>
      <c r="Z26" t="s">
        <v>72</v>
      </c>
      <c r="AB26">
        <v>5</v>
      </c>
      <c r="AC26">
        <v>748762.49</v>
      </c>
      <c r="AD26">
        <v>8930529.6600000001</v>
      </c>
      <c r="AE26">
        <v>190.61</v>
      </c>
      <c r="AF26">
        <v>748763.15</v>
      </c>
      <c r="AG26">
        <v>8930528.5</v>
      </c>
      <c r="AH26">
        <v>185</v>
      </c>
      <c r="AI26">
        <v>5.77</v>
      </c>
      <c r="AJ26">
        <v>0</v>
      </c>
      <c r="AK26">
        <v>1.5</v>
      </c>
      <c r="AL26">
        <v>0.8</v>
      </c>
      <c r="AM26">
        <v>150.47</v>
      </c>
      <c r="AN26">
        <v>13.44</v>
      </c>
      <c r="AO26">
        <v>0</v>
      </c>
      <c r="AP26">
        <v>3.16</v>
      </c>
      <c r="AQ26">
        <v>0.19</v>
      </c>
      <c r="AR26">
        <v>0.03</v>
      </c>
      <c r="AS26">
        <v>0.03</v>
      </c>
      <c r="AT26">
        <v>6.45</v>
      </c>
      <c r="AU26">
        <v>2.16</v>
      </c>
      <c r="AV26">
        <v>0.09</v>
      </c>
      <c r="AW26">
        <v>0.78</v>
      </c>
      <c r="AX26">
        <v>0</v>
      </c>
      <c r="AY26">
        <v>0</v>
      </c>
      <c r="AZ26">
        <v>0</v>
      </c>
      <c r="BA26">
        <v>0</v>
      </c>
      <c r="BB26">
        <v>0</v>
      </c>
      <c r="BC26">
        <v>0</v>
      </c>
      <c r="BD26">
        <v>0</v>
      </c>
    </row>
    <row r="27" spans="1:56" x14ac:dyDescent="0.25">
      <c r="A27" s="23">
        <v>46304</v>
      </c>
      <c r="B27">
        <v>26</v>
      </c>
      <c r="C27" t="s">
        <v>82</v>
      </c>
      <c r="D27" t="s">
        <v>83</v>
      </c>
      <c r="E27">
        <v>2</v>
      </c>
      <c r="F27">
        <v>185</v>
      </c>
      <c r="G27">
        <v>1</v>
      </c>
      <c r="H27" t="s">
        <v>84</v>
      </c>
      <c r="I27" t="s">
        <v>91</v>
      </c>
      <c r="J27" t="s">
        <v>70</v>
      </c>
      <c r="K27" t="s">
        <v>86</v>
      </c>
      <c r="L27" t="s">
        <v>71</v>
      </c>
      <c r="M27" t="s">
        <v>87</v>
      </c>
      <c r="O27" t="s">
        <v>88</v>
      </c>
      <c r="P27" t="s">
        <v>89</v>
      </c>
      <c r="X27" t="s">
        <v>77</v>
      </c>
      <c r="Z27" t="s">
        <v>72</v>
      </c>
      <c r="AB27">
        <v>5</v>
      </c>
      <c r="AC27">
        <v>748761.18</v>
      </c>
      <c r="AD27">
        <v>8930528.9199999999</v>
      </c>
      <c r="AE27">
        <v>190.59</v>
      </c>
      <c r="AF27">
        <v>748761.84</v>
      </c>
      <c r="AG27">
        <v>8930527.7599999998</v>
      </c>
      <c r="AH27">
        <v>185</v>
      </c>
      <c r="AI27">
        <v>5.75</v>
      </c>
      <c r="AJ27">
        <v>0</v>
      </c>
      <c r="AK27">
        <v>1.5</v>
      </c>
      <c r="AL27">
        <v>0.8</v>
      </c>
      <c r="AM27">
        <v>150.47</v>
      </c>
      <c r="AN27">
        <v>13.47</v>
      </c>
      <c r="AO27">
        <v>0</v>
      </c>
      <c r="AP27">
        <v>3.16</v>
      </c>
      <c r="AQ27">
        <v>0.19</v>
      </c>
      <c r="AR27">
        <v>0.03</v>
      </c>
      <c r="AS27">
        <v>0.03</v>
      </c>
      <c r="AT27">
        <v>6.45</v>
      </c>
      <c r="AU27">
        <v>2.16</v>
      </c>
      <c r="AV27">
        <v>0.09</v>
      </c>
      <c r="AW27">
        <v>0.78</v>
      </c>
      <c r="AX27">
        <v>0</v>
      </c>
      <c r="AY27">
        <v>0</v>
      </c>
      <c r="AZ27">
        <v>0</v>
      </c>
      <c r="BA27">
        <v>0</v>
      </c>
      <c r="BB27">
        <v>0</v>
      </c>
      <c r="BC27">
        <v>0</v>
      </c>
      <c r="BD27">
        <v>0</v>
      </c>
    </row>
    <row r="28" spans="1:56" x14ac:dyDescent="0.25">
      <c r="A28" s="23">
        <v>46304</v>
      </c>
      <c r="B28">
        <v>27</v>
      </c>
      <c r="C28" t="s">
        <v>82</v>
      </c>
      <c r="D28" t="s">
        <v>83</v>
      </c>
      <c r="E28">
        <v>2</v>
      </c>
      <c r="F28">
        <v>185</v>
      </c>
      <c r="G28">
        <v>1</v>
      </c>
      <c r="H28" t="s">
        <v>84</v>
      </c>
      <c r="I28" t="s">
        <v>91</v>
      </c>
      <c r="J28" t="s">
        <v>70</v>
      </c>
      <c r="K28" t="s">
        <v>86</v>
      </c>
      <c r="L28" t="s">
        <v>71</v>
      </c>
      <c r="M28" t="s">
        <v>87</v>
      </c>
      <c r="O28" t="s">
        <v>88</v>
      </c>
      <c r="P28" t="s">
        <v>89</v>
      </c>
      <c r="X28" t="s">
        <v>77</v>
      </c>
      <c r="Z28" t="s">
        <v>72</v>
      </c>
      <c r="AB28">
        <v>5</v>
      </c>
      <c r="AC28">
        <v>748759.88</v>
      </c>
      <c r="AD28">
        <v>8930528.1799999997</v>
      </c>
      <c r="AE28">
        <v>190.64</v>
      </c>
      <c r="AF28">
        <v>748760.54</v>
      </c>
      <c r="AG28">
        <v>8930527.0199999996</v>
      </c>
      <c r="AH28">
        <v>185</v>
      </c>
      <c r="AI28">
        <v>5.8</v>
      </c>
      <c r="AJ28">
        <v>0</v>
      </c>
      <c r="AK28">
        <v>1.5</v>
      </c>
      <c r="AL28">
        <v>0.8</v>
      </c>
      <c r="AM28">
        <v>150.47</v>
      </c>
      <c r="AN28">
        <v>13.35</v>
      </c>
      <c r="AO28">
        <v>0</v>
      </c>
      <c r="AP28">
        <v>3.16</v>
      </c>
      <c r="AQ28">
        <v>0.23</v>
      </c>
      <c r="AR28">
        <v>0.03</v>
      </c>
      <c r="AS28">
        <v>0.03</v>
      </c>
      <c r="AT28">
        <v>7.64</v>
      </c>
      <c r="AU28">
        <v>2.57</v>
      </c>
      <c r="AV28">
        <v>0.11</v>
      </c>
      <c r="AW28">
        <v>0.91</v>
      </c>
      <c r="AX28">
        <v>0</v>
      </c>
      <c r="AY28">
        <v>0</v>
      </c>
      <c r="AZ28">
        <v>0</v>
      </c>
      <c r="BA28">
        <v>0</v>
      </c>
      <c r="BB28">
        <v>0</v>
      </c>
      <c r="BC28">
        <v>0</v>
      </c>
      <c r="BD28">
        <v>0</v>
      </c>
    </row>
    <row r="29" spans="1:56" x14ac:dyDescent="0.25">
      <c r="A29" s="23">
        <v>46304</v>
      </c>
      <c r="B29">
        <v>28</v>
      </c>
      <c r="C29" t="s">
        <v>82</v>
      </c>
      <c r="D29" t="s">
        <v>83</v>
      </c>
      <c r="E29">
        <v>2</v>
      </c>
      <c r="F29">
        <v>185</v>
      </c>
      <c r="G29">
        <v>1</v>
      </c>
      <c r="H29" t="s">
        <v>84</v>
      </c>
      <c r="I29" t="s">
        <v>91</v>
      </c>
      <c r="J29" t="s">
        <v>85</v>
      </c>
      <c r="K29" t="s">
        <v>86</v>
      </c>
      <c r="L29" t="s">
        <v>71</v>
      </c>
      <c r="M29" t="s">
        <v>87</v>
      </c>
      <c r="O29" t="s">
        <v>88</v>
      </c>
      <c r="P29" t="s">
        <v>89</v>
      </c>
      <c r="X29" t="s">
        <v>77</v>
      </c>
      <c r="Z29" t="s">
        <v>72</v>
      </c>
      <c r="AB29">
        <v>5</v>
      </c>
      <c r="AC29">
        <v>748758.57</v>
      </c>
      <c r="AD29">
        <v>8930527.4399999995</v>
      </c>
      <c r="AE29">
        <v>190.64</v>
      </c>
      <c r="AF29">
        <v>748759.23</v>
      </c>
      <c r="AG29">
        <v>8930526.2799999993</v>
      </c>
      <c r="AH29">
        <v>185</v>
      </c>
      <c r="AI29">
        <v>5.8</v>
      </c>
      <c r="AJ29">
        <v>0</v>
      </c>
      <c r="AK29">
        <v>1.5</v>
      </c>
      <c r="AL29">
        <v>0.8</v>
      </c>
      <c r="AM29">
        <v>150.47</v>
      </c>
      <c r="AN29">
        <v>13.35</v>
      </c>
      <c r="AO29">
        <v>0</v>
      </c>
      <c r="AP29">
        <v>3.16</v>
      </c>
      <c r="AQ29">
        <v>0.26</v>
      </c>
      <c r="AR29">
        <v>0.04</v>
      </c>
      <c r="AS29">
        <v>0.04</v>
      </c>
      <c r="AT29">
        <v>8.82</v>
      </c>
      <c r="AU29">
        <v>2.94</v>
      </c>
      <c r="AV29">
        <v>0.13</v>
      </c>
      <c r="AW29">
        <v>1.04</v>
      </c>
      <c r="AX29">
        <v>0</v>
      </c>
      <c r="AY29">
        <v>0</v>
      </c>
      <c r="AZ29">
        <v>0</v>
      </c>
      <c r="BA29">
        <v>0</v>
      </c>
      <c r="BB29">
        <v>0</v>
      </c>
      <c r="BC29">
        <v>0</v>
      </c>
      <c r="BD29">
        <v>0</v>
      </c>
    </row>
    <row r="30" spans="1:56" x14ac:dyDescent="0.25">
      <c r="A30" s="23">
        <v>46304</v>
      </c>
      <c r="B30">
        <v>29</v>
      </c>
      <c r="C30" t="s">
        <v>82</v>
      </c>
      <c r="D30" t="s">
        <v>83</v>
      </c>
      <c r="E30">
        <v>2</v>
      </c>
      <c r="F30">
        <v>185</v>
      </c>
      <c r="G30">
        <v>1</v>
      </c>
      <c r="H30" t="s">
        <v>84</v>
      </c>
      <c r="I30" t="s">
        <v>91</v>
      </c>
      <c r="J30" t="s">
        <v>85</v>
      </c>
      <c r="K30" t="s">
        <v>86</v>
      </c>
      <c r="L30" t="s">
        <v>71</v>
      </c>
      <c r="M30" t="s">
        <v>87</v>
      </c>
      <c r="O30" t="s">
        <v>88</v>
      </c>
      <c r="P30" t="s">
        <v>89</v>
      </c>
      <c r="X30" t="s">
        <v>77</v>
      </c>
      <c r="Z30" t="s">
        <v>72</v>
      </c>
      <c r="AB30">
        <v>5</v>
      </c>
      <c r="AC30">
        <v>748757.27</v>
      </c>
      <c r="AD30">
        <v>8930526.6999999993</v>
      </c>
      <c r="AE30">
        <v>190.73</v>
      </c>
      <c r="AF30">
        <v>748757.93</v>
      </c>
      <c r="AG30">
        <v>8930525.5399999991</v>
      </c>
      <c r="AH30">
        <v>185</v>
      </c>
      <c r="AI30">
        <v>5.88</v>
      </c>
      <c r="AJ30">
        <v>0</v>
      </c>
      <c r="AK30">
        <v>1.5</v>
      </c>
      <c r="AL30">
        <v>0.8</v>
      </c>
      <c r="AM30">
        <v>150.47</v>
      </c>
      <c r="AN30">
        <v>13.17</v>
      </c>
      <c r="AO30">
        <v>0</v>
      </c>
      <c r="AP30">
        <v>3.14</v>
      </c>
      <c r="AQ30">
        <v>0.28999999999999998</v>
      </c>
      <c r="AR30">
        <v>0.04</v>
      </c>
      <c r="AS30">
        <v>0.04</v>
      </c>
      <c r="AT30">
        <v>9.4700000000000006</v>
      </c>
      <c r="AU30">
        <v>3.14</v>
      </c>
      <c r="AV30">
        <v>0.14000000000000001</v>
      </c>
      <c r="AW30">
        <v>1.1000000000000001</v>
      </c>
      <c r="AX30">
        <v>0</v>
      </c>
      <c r="AY30">
        <v>0</v>
      </c>
      <c r="AZ30">
        <v>0</v>
      </c>
      <c r="BA30">
        <v>0</v>
      </c>
      <c r="BB30">
        <v>0</v>
      </c>
      <c r="BC30">
        <v>0</v>
      </c>
      <c r="BD30">
        <v>0</v>
      </c>
    </row>
    <row r="31" spans="1:56" x14ac:dyDescent="0.25">
      <c r="A31" s="23">
        <v>46304</v>
      </c>
      <c r="B31">
        <v>30</v>
      </c>
      <c r="C31" t="s">
        <v>82</v>
      </c>
      <c r="D31" t="s">
        <v>83</v>
      </c>
      <c r="E31">
        <v>2</v>
      </c>
      <c r="F31">
        <v>185</v>
      </c>
      <c r="G31">
        <v>1</v>
      </c>
      <c r="H31" t="s">
        <v>84</v>
      </c>
      <c r="I31" t="s">
        <v>91</v>
      </c>
      <c r="J31" t="s">
        <v>85</v>
      </c>
      <c r="K31" t="s">
        <v>86</v>
      </c>
      <c r="L31" t="s">
        <v>71</v>
      </c>
      <c r="M31" t="s">
        <v>87</v>
      </c>
      <c r="O31" t="s">
        <v>88</v>
      </c>
      <c r="P31" t="s">
        <v>89</v>
      </c>
      <c r="X31" t="s">
        <v>77</v>
      </c>
      <c r="Z31" t="s">
        <v>72</v>
      </c>
      <c r="AB31">
        <v>5</v>
      </c>
      <c r="AC31">
        <v>748755.96</v>
      </c>
      <c r="AD31">
        <v>8930525.9600000009</v>
      </c>
      <c r="AE31">
        <v>190.75</v>
      </c>
      <c r="AF31">
        <v>748756.62</v>
      </c>
      <c r="AG31">
        <v>8930524.8000000007</v>
      </c>
      <c r="AH31">
        <v>185</v>
      </c>
      <c r="AI31">
        <v>5.9</v>
      </c>
      <c r="AJ31">
        <v>0</v>
      </c>
      <c r="AK31">
        <v>1.5</v>
      </c>
      <c r="AL31">
        <v>0.8</v>
      </c>
      <c r="AM31">
        <v>150.47</v>
      </c>
      <c r="AN31">
        <v>13.11</v>
      </c>
      <c r="AO31">
        <v>0</v>
      </c>
      <c r="AP31">
        <v>3.21</v>
      </c>
      <c r="AQ31">
        <v>0.4</v>
      </c>
      <c r="AR31">
        <v>0.06</v>
      </c>
      <c r="AS31">
        <v>0.06</v>
      </c>
      <c r="AT31">
        <v>13.26</v>
      </c>
      <c r="AU31">
        <v>4.38</v>
      </c>
      <c r="AV31">
        <v>0.2</v>
      </c>
      <c r="AW31">
        <v>1.53</v>
      </c>
      <c r="AX31">
        <v>0.09</v>
      </c>
      <c r="AY31">
        <v>0</v>
      </c>
      <c r="AZ31">
        <v>0</v>
      </c>
      <c r="BA31">
        <v>0</v>
      </c>
      <c r="BB31">
        <v>0</v>
      </c>
      <c r="BC31">
        <v>0</v>
      </c>
      <c r="BD31">
        <v>0</v>
      </c>
    </row>
    <row r="32" spans="1:56" x14ac:dyDescent="0.25">
      <c r="A32" s="23">
        <v>46304</v>
      </c>
      <c r="B32">
        <v>31</v>
      </c>
      <c r="C32" t="s">
        <v>82</v>
      </c>
      <c r="D32" t="s">
        <v>83</v>
      </c>
      <c r="E32">
        <v>2</v>
      </c>
      <c r="F32">
        <v>185</v>
      </c>
      <c r="G32">
        <v>1</v>
      </c>
      <c r="H32" t="s">
        <v>84</v>
      </c>
      <c r="I32" t="s">
        <v>91</v>
      </c>
      <c r="J32" t="s">
        <v>85</v>
      </c>
      <c r="K32" t="s">
        <v>86</v>
      </c>
      <c r="L32" t="s">
        <v>71</v>
      </c>
      <c r="M32" t="s">
        <v>87</v>
      </c>
      <c r="O32" t="s">
        <v>88</v>
      </c>
      <c r="P32" t="s">
        <v>89</v>
      </c>
      <c r="X32" t="s">
        <v>77</v>
      </c>
      <c r="Z32" t="s">
        <v>72</v>
      </c>
      <c r="AB32">
        <v>5</v>
      </c>
      <c r="AC32">
        <v>748754.66</v>
      </c>
      <c r="AD32">
        <v>8930525.2300000004</v>
      </c>
      <c r="AE32">
        <v>190.62</v>
      </c>
      <c r="AF32">
        <v>748755.32</v>
      </c>
      <c r="AG32">
        <v>8930524.0600000005</v>
      </c>
      <c r="AH32">
        <v>185</v>
      </c>
      <c r="AI32">
        <v>5.78</v>
      </c>
      <c r="AJ32">
        <v>0</v>
      </c>
      <c r="AK32">
        <v>1.5</v>
      </c>
      <c r="AL32">
        <v>0.8</v>
      </c>
      <c r="AM32">
        <v>150.47</v>
      </c>
      <c r="AN32">
        <v>13.4</v>
      </c>
      <c r="AO32">
        <v>0</v>
      </c>
      <c r="AP32">
        <v>3.21</v>
      </c>
      <c r="AQ32">
        <v>0.4</v>
      </c>
      <c r="AR32">
        <v>0.06</v>
      </c>
      <c r="AS32">
        <v>0.06</v>
      </c>
      <c r="AT32">
        <v>13.26</v>
      </c>
      <c r="AU32">
        <v>4.38</v>
      </c>
      <c r="AV32">
        <v>0.2</v>
      </c>
      <c r="AW32">
        <v>1.53</v>
      </c>
      <c r="AX32">
        <v>0.09</v>
      </c>
      <c r="AY32">
        <v>0</v>
      </c>
      <c r="AZ32">
        <v>0</v>
      </c>
      <c r="BA32">
        <v>0</v>
      </c>
      <c r="BB32">
        <v>0</v>
      </c>
      <c r="BC32">
        <v>0</v>
      </c>
      <c r="BD32">
        <v>0</v>
      </c>
    </row>
    <row r="33" spans="1:56" x14ac:dyDescent="0.25">
      <c r="A33" s="23">
        <v>46304</v>
      </c>
      <c r="B33">
        <v>32</v>
      </c>
      <c r="C33" t="s">
        <v>82</v>
      </c>
      <c r="D33" t="s">
        <v>83</v>
      </c>
      <c r="E33">
        <v>2</v>
      </c>
      <c r="F33">
        <v>185</v>
      </c>
      <c r="G33">
        <v>1</v>
      </c>
      <c r="H33" t="s">
        <v>84</v>
      </c>
      <c r="I33" t="s">
        <v>91</v>
      </c>
      <c r="J33" t="s">
        <v>85</v>
      </c>
      <c r="K33" t="s">
        <v>86</v>
      </c>
      <c r="L33" t="s">
        <v>71</v>
      </c>
      <c r="M33" t="s">
        <v>87</v>
      </c>
      <c r="O33" t="s">
        <v>88</v>
      </c>
      <c r="P33" t="s">
        <v>89</v>
      </c>
      <c r="X33" t="s">
        <v>77</v>
      </c>
      <c r="Z33" t="s">
        <v>72</v>
      </c>
      <c r="AB33">
        <v>5</v>
      </c>
      <c r="AC33">
        <v>748753.35</v>
      </c>
      <c r="AD33">
        <v>8930524.4900000002</v>
      </c>
      <c r="AE33">
        <v>190.49</v>
      </c>
      <c r="AF33">
        <v>748754.01</v>
      </c>
      <c r="AG33">
        <v>8930523.3200000003</v>
      </c>
      <c r="AH33">
        <v>185</v>
      </c>
      <c r="AI33">
        <v>5.65</v>
      </c>
      <c r="AJ33">
        <v>0</v>
      </c>
      <c r="AK33">
        <v>1.5</v>
      </c>
      <c r="AL33">
        <v>0.8</v>
      </c>
      <c r="AM33">
        <v>150.47</v>
      </c>
      <c r="AN33">
        <v>13.72</v>
      </c>
      <c r="AO33">
        <v>0</v>
      </c>
      <c r="AP33">
        <v>3.23</v>
      </c>
      <c r="AQ33">
        <v>0.45</v>
      </c>
      <c r="AR33">
        <v>7.0000000000000007E-2</v>
      </c>
      <c r="AS33">
        <v>0.06</v>
      </c>
      <c r="AT33">
        <v>15</v>
      </c>
      <c r="AU33">
        <v>4.95</v>
      </c>
      <c r="AV33">
        <v>0.22</v>
      </c>
      <c r="AW33">
        <v>1.72</v>
      </c>
      <c r="AX33">
        <v>0.23</v>
      </c>
      <c r="AY33">
        <v>0</v>
      </c>
      <c r="AZ33">
        <v>0</v>
      </c>
      <c r="BA33">
        <v>0</v>
      </c>
      <c r="BB33">
        <v>0</v>
      </c>
      <c r="BC33">
        <v>0</v>
      </c>
      <c r="BD33">
        <v>0</v>
      </c>
    </row>
    <row r="34" spans="1:56" x14ac:dyDescent="0.25">
      <c r="A34" s="23">
        <v>46304</v>
      </c>
      <c r="B34">
        <v>33</v>
      </c>
      <c r="C34" t="s">
        <v>82</v>
      </c>
      <c r="D34" t="s">
        <v>83</v>
      </c>
      <c r="E34">
        <v>2</v>
      </c>
      <c r="F34">
        <v>185</v>
      </c>
      <c r="G34">
        <v>1</v>
      </c>
      <c r="H34" t="s">
        <v>84</v>
      </c>
      <c r="I34" t="s">
        <v>91</v>
      </c>
      <c r="J34" t="s">
        <v>85</v>
      </c>
      <c r="K34" t="s">
        <v>86</v>
      </c>
      <c r="L34" t="s">
        <v>71</v>
      </c>
      <c r="M34" t="s">
        <v>87</v>
      </c>
      <c r="O34" t="s">
        <v>88</v>
      </c>
      <c r="P34" t="s">
        <v>89</v>
      </c>
      <c r="X34" t="s">
        <v>77</v>
      </c>
      <c r="Z34" t="s">
        <v>72</v>
      </c>
      <c r="AB34">
        <v>5</v>
      </c>
      <c r="AC34">
        <v>748752.05</v>
      </c>
      <c r="AD34">
        <v>8930523.75</v>
      </c>
      <c r="AE34">
        <v>190.39</v>
      </c>
      <c r="AF34">
        <v>748752.71</v>
      </c>
      <c r="AG34">
        <v>8930522.5800000001</v>
      </c>
      <c r="AH34">
        <v>185</v>
      </c>
      <c r="AI34">
        <v>5.56</v>
      </c>
      <c r="AJ34">
        <v>0</v>
      </c>
      <c r="AK34">
        <v>1.5</v>
      </c>
      <c r="AL34">
        <v>0.8</v>
      </c>
      <c r="AM34">
        <v>150.47</v>
      </c>
      <c r="AN34">
        <v>13.95</v>
      </c>
      <c r="AO34">
        <v>0</v>
      </c>
      <c r="AP34">
        <v>3.28</v>
      </c>
      <c r="AQ34">
        <v>0.54</v>
      </c>
      <c r="AR34">
        <v>0.08</v>
      </c>
      <c r="AS34">
        <v>0.08</v>
      </c>
      <c r="AT34">
        <v>17.71</v>
      </c>
      <c r="AU34">
        <v>5.8</v>
      </c>
      <c r="AV34">
        <v>0.26</v>
      </c>
      <c r="AW34">
        <v>2.0299999999999998</v>
      </c>
      <c r="AX34">
        <v>0.68</v>
      </c>
      <c r="AY34">
        <v>0</v>
      </c>
      <c r="AZ34">
        <v>0</v>
      </c>
      <c r="BA34">
        <v>0</v>
      </c>
      <c r="BB34">
        <v>0</v>
      </c>
      <c r="BC34">
        <v>0</v>
      </c>
      <c r="BD34">
        <v>0</v>
      </c>
    </row>
    <row r="35" spans="1:56" x14ac:dyDescent="0.25">
      <c r="A35" s="23">
        <v>46304</v>
      </c>
      <c r="B35">
        <v>34</v>
      </c>
      <c r="C35" t="s">
        <v>82</v>
      </c>
      <c r="D35" t="s">
        <v>83</v>
      </c>
      <c r="E35">
        <v>2</v>
      </c>
      <c r="F35">
        <v>185</v>
      </c>
      <c r="G35">
        <v>1</v>
      </c>
      <c r="H35" t="s">
        <v>84</v>
      </c>
      <c r="I35" t="s">
        <v>91</v>
      </c>
      <c r="J35" t="s">
        <v>85</v>
      </c>
      <c r="K35" t="s">
        <v>86</v>
      </c>
      <c r="L35" t="s">
        <v>71</v>
      </c>
      <c r="M35" t="s">
        <v>87</v>
      </c>
      <c r="O35" t="s">
        <v>88</v>
      </c>
      <c r="P35" t="s">
        <v>89</v>
      </c>
      <c r="X35" t="s">
        <v>77</v>
      </c>
      <c r="Z35" t="s">
        <v>72</v>
      </c>
      <c r="AB35">
        <v>5</v>
      </c>
      <c r="AC35">
        <v>748750.74</v>
      </c>
      <c r="AD35">
        <v>8930523.0099999998</v>
      </c>
      <c r="AE35">
        <v>190.39</v>
      </c>
      <c r="AF35">
        <v>748751.4</v>
      </c>
      <c r="AG35">
        <v>8930521.8399999999</v>
      </c>
      <c r="AH35">
        <v>185</v>
      </c>
      <c r="AI35">
        <v>5.55</v>
      </c>
      <c r="AJ35">
        <v>0</v>
      </c>
      <c r="AK35">
        <v>1.5</v>
      </c>
      <c r="AL35">
        <v>0.8</v>
      </c>
      <c r="AM35">
        <v>150.47</v>
      </c>
      <c r="AN35">
        <v>13.96</v>
      </c>
      <c r="AO35">
        <v>0</v>
      </c>
      <c r="AP35">
        <v>3.28</v>
      </c>
      <c r="AQ35">
        <v>0.54</v>
      </c>
      <c r="AR35">
        <v>0.08</v>
      </c>
      <c r="AS35">
        <v>0.08</v>
      </c>
      <c r="AT35">
        <v>17.71</v>
      </c>
      <c r="AU35">
        <v>5.8</v>
      </c>
      <c r="AV35">
        <v>0.26</v>
      </c>
      <c r="AW35">
        <v>2.0299999999999998</v>
      </c>
      <c r="AX35">
        <v>0.68</v>
      </c>
      <c r="AY35">
        <v>0</v>
      </c>
      <c r="AZ35">
        <v>0</v>
      </c>
      <c r="BA35">
        <v>0</v>
      </c>
      <c r="BB35">
        <v>0</v>
      </c>
      <c r="BC35">
        <v>0</v>
      </c>
      <c r="BD35">
        <v>0</v>
      </c>
    </row>
    <row r="36" spans="1:56" x14ac:dyDescent="0.25">
      <c r="A36" s="23">
        <v>46304</v>
      </c>
      <c r="B36">
        <v>35</v>
      </c>
      <c r="C36" t="s">
        <v>82</v>
      </c>
      <c r="D36" t="s">
        <v>83</v>
      </c>
      <c r="E36">
        <v>2</v>
      </c>
      <c r="F36">
        <v>185</v>
      </c>
      <c r="G36">
        <v>1</v>
      </c>
      <c r="H36" t="s">
        <v>84</v>
      </c>
      <c r="I36" t="s">
        <v>91</v>
      </c>
      <c r="J36" t="s">
        <v>85</v>
      </c>
      <c r="K36" t="s">
        <v>86</v>
      </c>
      <c r="L36" t="s">
        <v>71</v>
      </c>
      <c r="M36" t="s">
        <v>87</v>
      </c>
      <c r="O36" t="s">
        <v>88</v>
      </c>
      <c r="P36" t="s">
        <v>89</v>
      </c>
      <c r="X36" t="s">
        <v>77</v>
      </c>
      <c r="Z36" t="s">
        <v>72</v>
      </c>
      <c r="AB36">
        <v>5</v>
      </c>
      <c r="AC36">
        <v>748749.44</v>
      </c>
      <c r="AD36">
        <v>8930522.2699999996</v>
      </c>
      <c r="AE36">
        <v>190.38</v>
      </c>
      <c r="AF36">
        <v>748750.12</v>
      </c>
      <c r="AG36">
        <v>8930521.0700000003</v>
      </c>
      <c r="AH36">
        <v>185</v>
      </c>
      <c r="AI36">
        <v>5.55</v>
      </c>
      <c r="AJ36">
        <v>0</v>
      </c>
      <c r="AK36">
        <v>1.5</v>
      </c>
      <c r="AL36">
        <v>0.8</v>
      </c>
      <c r="AM36">
        <v>150.47</v>
      </c>
      <c r="AN36">
        <v>14.42</v>
      </c>
      <c r="AO36">
        <v>0</v>
      </c>
      <c r="AP36">
        <v>3.28</v>
      </c>
      <c r="AQ36">
        <v>0.54</v>
      </c>
      <c r="AR36">
        <v>0.08</v>
      </c>
      <c r="AS36">
        <v>0.08</v>
      </c>
      <c r="AT36">
        <v>17.71</v>
      </c>
      <c r="AU36">
        <v>5.8</v>
      </c>
      <c r="AV36">
        <v>0.26</v>
      </c>
      <c r="AW36">
        <v>2.0299999999999998</v>
      </c>
      <c r="AX36">
        <v>0.68</v>
      </c>
      <c r="AY36">
        <v>0</v>
      </c>
      <c r="AZ36">
        <v>0</v>
      </c>
      <c r="BA36">
        <v>0</v>
      </c>
      <c r="BB36">
        <v>0</v>
      </c>
      <c r="BC36">
        <v>0</v>
      </c>
      <c r="BD36">
        <v>0</v>
      </c>
    </row>
    <row r="37" spans="1:56" x14ac:dyDescent="0.25">
      <c r="A37" s="23">
        <v>46304</v>
      </c>
      <c r="B37">
        <v>36</v>
      </c>
      <c r="C37" t="s">
        <v>82</v>
      </c>
      <c r="D37" t="s">
        <v>83</v>
      </c>
      <c r="E37">
        <v>2</v>
      </c>
      <c r="F37">
        <v>185</v>
      </c>
      <c r="G37">
        <v>1</v>
      </c>
      <c r="H37" t="s">
        <v>84</v>
      </c>
      <c r="I37" t="s">
        <v>91</v>
      </c>
      <c r="J37" t="s">
        <v>85</v>
      </c>
      <c r="K37" t="s">
        <v>86</v>
      </c>
      <c r="L37" t="s">
        <v>71</v>
      </c>
      <c r="M37" t="s">
        <v>87</v>
      </c>
      <c r="O37" t="s">
        <v>88</v>
      </c>
      <c r="P37" t="s">
        <v>89</v>
      </c>
      <c r="X37" t="s">
        <v>77</v>
      </c>
      <c r="Z37" t="s">
        <v>72</v>
      </c>
      <c r="AB37">
        <v>5</v>
      </c>
      <c r="AC37">
        <v>748748.11</v>
      </c>
      <c r="AD37">
        <v>8930521.5700000003</v>
      </c>
      <c r="AE37">
        <v>190.34</v>
      </c>
      <c r="AF37">
        <v>748748.79</v>
      </c>
      <c r="AG37">
        <v>8930520.3599999994</v>
      </c>
      <c r="AH37">
        <v>185</v>
      </c>
      <c r="AI37">
        <v>5.52</v>
      </c>
      <c r="AJ37">
        <v>0</v>
      </c>
      <c r="AK37">
        <v>1.5</v>
      </c>
      <c r="AL37">
        <v>0.8</v>
      </c>
      <c r="AM37">
        <v>150.47</v>
      </c>
      <c r="AN37">
        <v>14.54</v>
      </c>
      <c r="AO37">
        <v>0</v>
      </c>
      <c r="AP37">
        <v>3.3</v>
      </c>
      <c r="AQ37">
        <v>0.6</v>
      </c>
      <c r="AR37">
        <v>0.09</v>
      </c>
      <c r="AS37">
        <v>0.08</v>
      </c>
      <c r="AT37">
        <v>18.05</v>
      </c>
      <c r="AU37">
        <v>5.62</v>
      </c>
      <c r="AV37">
        <v>0.28999999999999998</v>
      </c>
      <c r="AW37">
        <v>2.0499999999999998</v>
      </c>
      <c r="AX37">
        <v>0.59</v>
      </c>
      <c r="AY37">
        <v>0</v>
      </c>
      <c r="AZ37">
        <v>0</v>
      </c>
      <c r="BA37">
        <v>0</v>
      </c>
      <c r="BB37">
        <v>0</v>
      </c>
      <c r="BC37">
        <v>0</v>
      </c>
      <c r="BD37">
        <v>0</v>
      </c>
    </row>
    <row r="38" spans="1:56" x14ac:dyDescent="0.25">
      <c r="A38" s="23">
        <v>46304</v>
      </c>
      <c r="B38">
        <v>37</v>
      </c>
      <c r="C38" t="s">
        <v>82</v>
      </c>
      <c r="D38" t="s">
        <v>92</v>
      </c>
      <c r="E38">
        <v>2</v>
      </c>
      <c r="F38">
        <v>185</v>
      </c>
      <c r="G38">
        <v>1</v>
      </c>
      <c r="H38" t="s">
        <v>84</v>
      </c>
      <c r="I38" t="s">
        <v>91</v>
      </c>
      <c r="J38" t="s">
        <v>85</v>
      </c>
      <c r="K38" t="s">
        <v>86</v>
      </c>
      <c r="L38" t="s">
        <v>71</v>
      </c>
      <c r="M38" t="s">
        <v>87</v>
      </c>
      <c r="O38" t="s">
        <v>88</v>
      </c>
      <c r="P38" t="s">
        <v>89</v>
      </c>
      <c r="X38" t="s">
        <v>77</v>
      </c>
      <c r="Z38" t="s">
        <v>72</v>
      </c>
      <c r="AB38">
        <v>5</v>
      </c>
      <c r="AC38">
        <v>748746.8</v>
      </c>
      <c r="AD38">
        <v>8930520.8399999999</v>
      </c>
      <c r="AE38">
        <v>190.35</v>
      </c>
      <c r="AF38">
        <v>748747.49</v>
      </c>
      <c r="AG38">
        <v>8930519.6199999992</v>
      </c>
      <c r="AH38">
        <v>185</v>
      </c>
      <c r="AI38">
        <v>5.53</v>
      </c>
      <c r="AJ38">
        <v>0</v>
      </c>
      <c r="AK38">
        <v>1.5</v>
      </c>
      <c r="AL38">
        <v>0.8</v>
      </c>
      <c r="AM38">
        <v>150.47</v>
      </c>
      <c r="AN38">
        <v>14.61</v>
      </c>
      <c r="AO38">
        <v>0</v>
      </c>
      <c r="AP38">
        <v>3.3</v>
      </c>
      <c r="AQ38">
        <v>0.59</v>
      </c>
      <c r="AR38">
        <v>0.09</v>
      </c>
      <c r="AS38">
        <v>0.08</v>
      </c>
      <c r="AT38">
        <v>18.510000000000002</v>
      </c>
      <c r="AU38">
        <v>5.49</v>
      </c>
      <c r="AV38">
        <v>0.31</v>
      </c>
      <c r="AW38">
        <v>1.9</v>
      </c>
      <c r="AX38">
        <v>0.42</v>
      </c>
      <c r="AY38">
        <v>0</v>
      </c>
      <c r="AZ38">
        <v>0</v>
      </c>
      <c r="BA38">
        <v>0</v>
      </c>
      <c r="BB38">
        <v>0</v>
      </c>
      <c r="BC38">
        <v>0</v>
      </c>
      <c r="BD38">
        <v>0</v>
      </c>
    </row>
    <row r="39" spans="1:56" x14ac:dyDescent="0.25">
      <c r="A39" s="23">
        <v>46304</v>
      </c>
      <c r="B39">
        <v>38</v>
      </c>
      <c r="C39" t="s">
        <v>82</v>
      </c>
      <c r="D39" t="s">
        <v>92</v>
      </c>
      <c r="E39">
        <v>2</v>
      </c>
      <c r="F39">
        <v>185</v>
      </c>
      <c r="G39">
        <v>1</v>
      </c>
      <c r="H39" t="s">
        <v>84</v>
      </c>
      <c r="I39" t="s">
        <v>91</v>
      </c>
      <c r="J39" t="s">
        <v>85</v>
      </c>
      <c r="K39" t="s">
        <v>86</v>
      </c>
      <c r="L39" t="s">
        <v>71</v>
      </c>
      <c r="M39" t="s">
        <v>87</v>
      </c>
      <c r="O39" t="s">
        <v>88</v>
      </c>
      <c r="P39" t="s">
        <v>89</v>
      </c>
      <c r="X39" t="s">
        <v>77</v>
      </c>
      <c r="Z39" t="s">
        <v>72</v>
      </c>
      <c r="AB39">
        <v>5</v>
      </c>
      <c r="AC39">
        <v>748745.52</v>
      </c>
      <c r="AD39">
        <v>8930520.0500000007</v>
      </c>
      <c r="AE39">
        <v>190.38</v>
      </c>
      <c r="AF39">
        <v>748746.18</v>
      </c>
      <c r="AG39">
        <v>8930518.8800000008</v>
      </c>
      <c r="AH39">
        <v>185</v>
      </c>
      <c r="AI39">
        <v>5.55</v>
      </c>
      <c r="AJ39">
        <v>0</v>
      </c>
      <c r="AK39">
        <v>1.5</v>
      </c>
      <c r="AL39">
        <v>0.8</v>
      </c>
      <c r="AM39">
        <v>150.47</v>
      </c>
      <c r="AN39">
        <v>13.98</v>
      </c>
      <c r="AO39">
        <v>0</v>
      </c>
      <c r="AP39">
        <v>3.3</v>
      </c>
      <c r="AQ39">
        <v>0.6</v>
      </c>
      <c r="AR39">
        <v>0.09</v>
      </c>
      <c r="AS39">
        <v>0.08</v>
      </c>
      <c r="AT39">
        <v>18.39</v>
      </c>
      <c r="AU39">
        <v>5.58</v>
      </c>
      <c r="AV39">
        <v>0.3</v>
      </c>
      <c r="AW39">
        <v>1.99</v>
      </c>
      <c r="AX39">
        <v>0.65</v>
      </c>
      <c r="AY39">
        <v>0</v>
      </c>
      <c r="AZ39">
        <v>0</v>
      </c>
      <c r="BA39">
        <v>0</v>
      </c>
      <c r="BB39">
        <v>0</v>
      </c>
      <c r="BC39">
        <v>0</v>
      </c>
      <c r="BD39">
        <v>0</v>
      </c>
    </row>
    <row r="40" spans="1:56" x14ac:dyDescent="0.25">
      <c r="A40" s="23">
        <v>46304</v>
      </c>
      <c r="B40">
        <v>39</v>
      </c>
      <c r="C40" t="s">
        <v>82</v>
      </c>
      <c r="D40" t="s">
        <v>92</v>
      </c>
      <c r="E40">
        <v>2</v>
      </c>
      <c r="F40">
        <v>185</v>
      </c>
      <c r="G40">
        <v>1</v>
      </c>
      <c r="H40" t="s">
        <v>84</v>
      </c>
      <c r="I40" t="s">
        <v>91</v>
      </c>
      <c r="J40" t="s">
        <v>85</v>
      </c>
      <c r="K40" t="s">
        <v>86</v>
      </c>
      <c r="L40" t="s">
        <v>71</v>
      </c>
      <c r="M40" t="s">
        <v>87</v>
      </c>
      <c r="O40" t="s">
        <v>88</v>
      </c>
      <c r="P40" t="s">
        <v>89</v>
      </c>
      <c r="X40" t="s">
        <v>77</v>
      </c>
      <c r="Z40" t="s">
        <v>72</v>
      </c>
      <c r="AB40">
        <v>5</v>
      </c>
      <c r="AC40">
        <v>748744.21</v>
      </c>
      <c r="AD40">
        <v>8930519.3100000005</v>
      </c>
      <c r="AE40">
        <v>190.41</v>
      </c>
      <c r="AF40">
        <v>748744.88</v>
      </c>
      <c r="AG40">
        <v>8930518.1400000006</v>
      </c>
      <c r="AH40">
        <v>185</v>
      </c>
      <c r="AI40">
        <v>5.57</v>
      </c>
      <c r="AJ40">
        <v>0</v>
      </c>
      <c r="AK40">
        <v>1.5</v>
      </c>
      <c r="AL40">
        <v>0.8</v>
      </c>
      <c r="AM40">
        <v>150.47</v>
      </c>
      <c r="AN40">
        <v>13.91</v>
      </c>
      <c r="AO40">
        <v>0</v>
      </c>
      <c r="AP40">
        <v>3.3</v>
      </c>
      <c r="AQ40">
        <v>0.59</v>
      </c>
      <c r="AR40">
        <v>0.09</v>
      </c>
      <c r="AS40">
        <v>0.08</v>
      </c>
      <c r="AT40">
        <v>18.79</v>
      </c>
      <c r="AU40">
        <v>5.5</v>
      </c>
      <c r="AV40">
        <v>0.31</v>
      </c>
      <c r="AW40">
        <v>1.89</v>
      </c>
      <c r="AX40">
        <v>0.56000000000000005</v>
      </c>
      <c r="AY40">
        <v>0</v>
      </c>
      <c r="AZ40">
        <v>0</v>
      </c>
      <c r="BA40">
        <v>0</v>
      </c>
      <c r="BB40">
        <v>0</v>
      </c>
      <c r="BC40">
        <v>0</v>
      </c>
      <c r="BD40">
        <v>0</v>
      </c>
    </row>
    <row r="41" spans="1:56" x14ac:dyDescent="0.25">
      <c r="A41" s="23">
        <v>46304</v>
      </c>
      <c r="B41">
        <v>40</v>
      </c>
      <c r="C41" t="s">
        <v>82</v>
      </c>
      <c r="D41" t="s">
        <v>92</v>
      </c>
      <c r="E41">
        <v>2</v>
      </c>
      <c r="F41">
        <v>185</v>
      </c>
      <c r="G41">
        <v>1</v>
      </c>
      <c r="H41" t="s">
        <v>84</v>
      </c>
      <c r="I41" t="s">
        <v>91</v>
      </c>
      <c r="J41" t="s">
        <v>85</v>
      </c>
      <c r="K41" t="s">
        <v>86</v>
      </c>
      <c r="L41" t="s">
        <v>71</v>
      </c>
      <c r="M41" t="s">
        <v>87</v>
      </c>
      <c r="O41" t="s">
        <v>88</v>
      </c>
      <c r="P41" t="s">
        <v>89</v>
      </c>
      <c r="X41" t="s">
        <v>77</v>
      </c>
      <c r="Z41" t="s">
        <v>72</v>
      </c>
      <c r="AB41">
        <v>5</v>
      </c>
      <c r="AC41">
        <v>748742.91</v>
      </c>
      <c r="AD41">
        <v>8930518.5700000003</v>
      </c>
      <c r="AE41">
        <v>190.43</v>
      </c>
      <c r="AF41">
        <v>748743.57</v>
      </c>
      <c r="AG41">
        <v>8930517.4100000001</v>
      </c>
      <c r="AH41">
        <v>185</v>
      </c>
      <c r="AI41">
        <v>5.6</v>
      </c>
      <c r="AJ41">
        <v>0</v>
      </c>
      <c r="AK41">
        <v>1.5</v>
      </c>
      <c r="AL41">
        <v>0.8</v>
      </c>
      <c r="AM41">
        <v>150.47</v>
      </c>
      <c r="AN41">
        <v>13.85</v>
      </c>
      <c r="AO41">
        <v>0</v>
      </c>
      <c r="AP41">
        <v>3.3</v>
      </c>
      <c r="AQ41">
        <v>0.6</v>
      </c>
      <c r="AR41">
        <v>0.09</v>
      </c>
      <c r="AS41">
        <v>0.08</v>
      </c>
      <c r="AT41">
        <v>18.89</v>
      </c>
      <c r="AU41">
        <v>5.53</v>
      </c>
      <c r="AV41">
        <v>0.31</v>
      </c>
      <c r="AW41">
        <v>1.9</v>
      </c>
      <c r="AX41">
        <v>0.75</v>
      </c>
      <c r="AY41">
        <v>0</v>
      </c>
      <c r="AZ41">
        <v>0</v>
      </c>
      <c r="BA41">
        <v>0</v>
      </c>
      <c r="BB41">
        <v>0</v>
      </c>
      <c r="BC41">
        <v>0</v>
      </c>
      <c r="BD41">
        <v>0</v>
      </c>
    </row>
    <row r="42" spans="1:56" x14ac:dyDescent="0.25">
      <c r="A42" s="23">
        <v>46304</v>
      </c>
      <c r="B42">
        <v>41</v>
      </c>
      <c r="C42" t="s">
        <v>82</v>
      </c>
      <c r="D42" t="s">
        <v>92</v>
      </c>
      <c r="E42">
        <v>2</v>
      </c>
      <c r="F42">
        <v>185</v>
      </c>
      <c r="G42">
        <v>1</v>
      </c>
      <c r="H42" t="s">
        <v>84</v>
      </c>
      <c r="I42" t="s">
        <v>91</v>
      </c>
      <c r="J42" t="s">
        <v>85</v>
      </c>
      <c r="K42" t="s">
        <v>86</v>
      </c>
      <c r="L42" t="s">
        <v>71</v>
      </c>
      <c r="M42" t="s">
        <v>87</v>
      </c>
      <c r="O42" t="s">
        <v>88</v>
      </c>
      <c r="P42" t="s">
        <v>89</v>
      </c>
      <c r="X42" t="s">
        <v>77</v>
      </c>
      <c r="Z42" t="s">
        <v>72</v>
      </c>
      <c r="AB42">
        <v>5</v>
      </c>
      <c r="AC42">
        <v>748741.6</v>
      </c>
      <c r="AD42">
        <v>8930517.8300000001</v>
      </c>
      <c r="AE42">
        <v>190.48</v>
      </c>
      <c r="AF42">
        <v>748742.26</v>
      </c>
      <c r="AG42">
        <v>8930516.6699999999</v>
      </c>
      <c r="AH42">
        <v>185</v>
      </c>
      <c r="AI42">
        <v>5.64</v>
      </c>
      <c r="AJ42">
        <v>0</v>
      </c>
      <c r="AK42">
        <v>1.5</v>
      </c>
      <c r="AL42">
        <v>0.8</v>
      </c>
      <c r="AM42">
        <v>150.47</v>
      </c>
      <c r="AN42">
        <v>13.73</v>
      </c>
      <c r="AO42">
        <v>0</v>
      </c>
      <c r="AP42">
        <v>3.3</v>
      </c>
      <c r="AQ42">
        <v>0.6</v>
      </c>
      <c r="AR42">
        <v>0.09</v>
      </c>
      <c r="AS42">
        <v>0.08</v>
      </c>
      <c r="AT42">
        <v>18.89</v>
      </c>
      <c r="AU42">
        <v>5.53</v>
      </c>
      <c r="AV42">
        <v>0.31</v>
      </c>
      <c r="AW42">
        <v>1.9</v>
      </c>
      <c r="AX42">
        <v>0.75</v>
      </c>
      <c r="AY42">
        <v>0</v>
      </c>
      <c r="AZ42">
        <v>0</v>
      </c>
      <c r="BA42">
        <v>0</v>
      </c>
      <c r="BB42">
        <v>0</v>
      </c>
      <c r="BC42">
        <v>0</v>
      </c>
      <c r="BD42">
        <v>0</v>
      </c>
    </row>
    <row r="43" spans="1:56" x14ac:dyDescent="0.25">
      <c r="A43" s="23">
        <v>46304</v>
      </c>
      <c r="B43">
        <v>42</v>
      </c>
      <c r="C43" t="s">
        <v>82</v>
      </c>
      <c r="D43" t="s">
        <v>92</v>
      </c>
      <c r="E43">
        <v>2</v>
      </c>
      <c r="F43">
        <v>185</v>
      </c>
      <c r="G43">
        <v>1</v>
      </c>
      <c r="H43" t="s">
        <v>84</v>
      </c>
      <c r="I43" t="s">
        <v>91</v>
      </c>
      <c r="J43" t="s">
        <v>85</v>
      </c>
      <c r="K43" t="s">
        <v>86</v>
      </c>
      <c r="L43" t="s">
        <v>71</v>
      </c>
      <c r="M43" t="s">
        <v>87</v>
      </c>
      <c r="O43" t="s">
        <v>88</v>
      </c>
      <c r="P43" t="s">
        <v>89</v>
      </c>
      <c r="X43" t="s">
        <v>77</v>
      </c>
      <c r="Z43" t="s">
        <v>72</v>
      </c>
      <c r="AB43">
        <v>5</v>
      </c>
      <c r="AC43">
        <v>748740.35</v>
      </c>
      <c r="AD43">
        <v>8930517.0099999998</v>
      </c>
      <c r="AE43">
        <v>190.49</v>
      </c>
      <c r="AF43">
        <v>748740.96</v>
      </c>
      <c r="AG43">
        <v>8930515.9299999997</v>
      </c>
      <c r="AH43">
        <v>185</v>
      </c>
      <c r="AI43">
        <v>5.63</v>
      </c>
      <c r="AJ43">
        <v>0</v>
      </c>
      <c r="AK43">
        <v>1.5</v>
      </c>
      <c r="AL43">
        <v>0.8</v>
      </c>
      <c r="AM43">
        <v>150.47</v>
      </c>
      <c r="AN43">
        <v>12.75</v>
      </c>
      <c r="AO43">
        <v>0</v>
      </c>
      <c r="AP43">
        <v>3.3</v>
      </c>
      <c r="AQ43">
        <v>0.6</v>
      </c>
      <c r="AR43">
        <v>0.09</v>
      </c>
      <c r="AS43">
        <v>0.08</v>
      </c>
      <c r="AT43">
        <v>18.940000000000001</v>
      </c>
      <c r="AU43">
        <v>5.53</v>
      </c>
      <c r="AV43">
        <v>0.31</v>
      </c>
      <c r="AW43">
        <v>1.9</v>
      </c>
      <c r="AX43">
        <v>0.82</v>
      </c>
      <c r="AY43">
        <v>0</v>
      </c>
      <c r="AZ43">
        <v>0</v>
      </c>
      <c r="BA43">
        <v>0</v>
      </c>
      <c r="BB43">
        <v>0</v>
      </c>
      <c r="BC43">
        <v>0</v>
      </c>
      <c r="BD43">
        <v>0</v>
      </c>
    </row>
    <row r="44" spans="1:56" x14ac:dyDescent="0.25">
      <c r="A44" s="23">
        <v>46304</v>
      </c>
      <c r="B44">
        <v>43</v>
      </c>
      <c r="C44" t="s">
        <v>82</v>
      </c>
      <c r="D44" t="s">
        <v>92</v>
      </c>
      <c r="E44">
        <v>2</v>
      </c>
      <c r="F44">
        <v>185</v>
      </c>
      <c r="G44">
        <v>1</v>
      </c>
      <c r="H44" t="s">
        <v>84</v>
      </c>
      <c r="I44" t="s">
        <v>91</v>
      </c>
      <c r="J44" t="s">
        <v>85</v>
      </c>
      <c r="K44" t="s">
        <v>86</v>
      </c>
      <c r="L44" t="s">
        <v>71</v>
      </c>
      <c r="M44" t="s">
        <v>87</v>
      </c>
      <c r="O44" t="s">
        <v>88</v>
      </c>
      <c r="P44" t="s">
        <v>89</v>
      </c>
      <c r="X44" t="s">
        <v>77</v>
      </c>
      <c r="Z44" t="s">
        <v>72</v>
      </c>
      <c r="AB44">
        <v>5</v>
      </c>
      <c r="AC44">
        <v>748739.05</v>
      </c>
      <c r="AD44">
        <v>8930516.25</v>
      </c>
      <c r="AE44">
        <v>190.48</v>
      </c>
      <c r="AF44">
        <v>748739.65</v>
      </c>
      <c r="AG44">
        <v>8930515.1899999995</v>
      </c>
      <c r="AH44">
        <v>185</v>
      </c>
      <c r="AI44">
        <v>5.62</v>
      </c>
      <c r="AJ44">
        <v>0</v>
      </c>
      <c r="AK44">
        <v>1.5</v>
      </c>
      <c r="AL44">
        <v>0.8</v>
      </c>
      <c r="AM44">
        <v>150.47</v>
      </c>
      <c r="AN44">
        <v>12.53</v>
      </c>
      <c r="AO44">
        <v>0</v>
      </c>
      <c r="AP44">
        <v>3.3</v>
      </c>
      <c r="AQ44">
        <v>0.59</v>
      </c>
      <c r="AR44">
        <v>0.09</v>
      </c>
      <c r="AS44">
        <v>0.08</v>
      </c>
      <c r="AT44">
        <v>18.670000000000002</v>
      </c>
      <c r="AU44">
        <v>5.42</v>
      </c>
      <c r="AV44">
        <v>0.31</v>
      </c>
      <c r="AW44">
        <v>1.87</v>
      </c>
      <c r="AX44">
        <v>0.79</v>
      </c>
      <c r="AY44">
        <v>0</v>
      </c>
      <c r="AZ44">
        <v>0</v>
      </c>
      <c r="BA44">
        <v>0</v>
      </c>
      <c r="BB44">
        <v>0</v>
      </c>
      <c r="BC44">
        <v>0</v>
      </c>
      <c r="BD44">
        <v>0</v>
      </c>
    </row>
    <row r="45" spans="1:56" x14ac:dyDescent="0.25">
      <c r="A45" s="23">
        <v>46304</v>
      </c>
      <c r="B45">
        <v>44</v>
      </c>
      <c r="C45" t="s">
        <v>82</v>
      </c>
      <c r="D45" t="s">
        <v>92</v>
      </c>
      <c r="E45">
        <v>2</v>
      </c>
      <c r="F45">
        <v>185</v>
      </c>
      <c r="G45">
        <v>1</v>
      </c>
      <c r="H45" t="s">
        <v>84</v>
      </c>
      <c r="I45" t="s">
        <v>91</v>
      </c>
      <c r="J45" t="s">
        <v>85</v>
      </c>
      <c r="K45" t="s">
        <v>86</v>
      </c>
      <c r="L45" t="s">
        <v>71</v>
      </c>
      <c r="M45" t="s">
        <v>87</v>
      </c>
      <c r="O45" t="s">
        <v>88</v>
      </c>
      <c r="P45" t="s">
        <v>89</v>
      </c>
      <c r="X45" t="s">
        <v>77</v>
      </c>
      <c r="Z45" t="s">
        <v>72</v>
      </c>
      <c r="AB45">
        <v>5</v>
      </c>
      <c r="AC45">
        <v>748737.72</v>
      </c>
      <c r="AD45">
        <v>8930515.5500000007</v>
      </c>
      <c r="AE45">
        <v>190.49</v>
      </c>
      <c r="AF45">
        <v>748738.35</v>
      </c>
      <c r="AG45">
        <v>8930514.4499999993</v>
      </c>
      <c r="AH45">
        <v>185</v>
      </c>
      <c r="AI45">
        <v>5.64</v>
      </c>
      <c r="AJ45">
        <v>0</v>
      </c>
      <c r="AK45">
        <v>1.5</v>
      </c>
      <c r="AL45">
        <v>0.8</v>
      </c>
      <c r="AM45">
        <v>150.47</v>
      </c>
      <c r="AN45">
        <v>13.04</v>
      </c>
      <c r="AO45">
        <v>0</v>
      </c>
      <c r="AP45">
        <v>3.31</v>
      </c>
      <c r="AQ45">
        <v>0.56999999999999995</v>
      </c>
      <c r="AR45">
        <v>0.09</v>
      </c>
      <c r="AS45">
        <v>7.0000000000000007E-2</v>
      </c>
      <c r="AT45">
        <v>18.27</v>
      </c>
      <c r="AU45">
        <v>5.27</v>
      </c>
      <c r="AV45">
        <v>0.31</v>
      </c>
      <c r="AW45">
        <v>1.84</v>
      </c>
      <c r="AX45">
        <v>0.72</v>
      </c>
      <c r="AY45">
        <v>0</v>
      </c>
      <c r="AZ45">
        <v>0</v>
      </c>
      <c r="BA45">
        <v>0</v>
      </c>
      <c r="BB45">
        <v>0</v>
      </c>
      <c r="BC45">
        <v>0</v>
      </c>
      <c r="BD45">
        <v>0</v>
      </c>
    </row>
    <row r="46" spans="1:56" x14ac:dyDescent="0.25">
      <c r="A46" s="23">
        <v>46304</v>
      </c>
      <c r="B46">
        <v>45</v>
      </c>
      <c r="C46" t="s">
        <v>82</v>
      </c>
      <c r="D46" t="s">
        <v>92</v>
      </c>
      <c r="E46">
        <v>2</v>
      </c>
      <c r="F46">
        <v>185</v>
      </c>
      <c r="G46">
        <v>1</v>
      </c>
      <c r="H46" t="s">
        <v>84</v>
      </c>
      <c r="I46" t="s">
        <v>91</v>
      </c>
      <c r="J46" t="s">
        <v>85</v>
      </c>
      <c r="K46" t="s">
        <v>86</v>
      </c>
      <c r="L46" t="s">
        <v>71</v>
      </c>
      <c r="M46" t="s">
        <v>87</v>
      </c>
      <c r="O46" t="s">
        <v>88</v>
      </c>
      <c r="P46" t="s">
        <v>89</v>
      </c>
      <c r="X46" t="s">
        <v>77</v>
      </c>
      <c r="Z46" t="s">
        <v>72</v>
      </c>
      <c r="AB46">
        <v>5</v>
      </c>
      <c r="AC46">
        <v>748736.37</v>
      </c>
      <c r="AD46">
        <v>8930514.9000000004</v>
      </c>
      <c r="AE46">
        <v>190.41</v>
      </c>
      <c r="AF46">
        <v>748737.04</v>
      </c>
      <c r="AG46">
        <v>8930513.7100000009</v>
      </c>
      <c r="AH46">
        <v>185</v>
      </c>
      <c r="AI46">
        <v>5.58</v>
      </c>
      <c r="AJ46">
        <v>0</v>
      </c>
      <c r="AK46">
        <v>1.5</v>
      </c>
      <c r="AL46">
        <v>0.8</v>
      </c>
      <c r="AM46">
        <v>150.47</v>
      </c>
      <c r="AN46">
        <v>14.14</v>
      </c>
      <c r="AO46">
        <v>0</v>
      </c>
      <c r="AP46">
        <v>3.31</v>
      </c>
      <c r="AQ46">
        <v>0.56000000000000005</v>
      </c>
      <c r="AR46">
        <v>0.09</v>
      </c>
      <c r="AS46">
        <v>7.0000000000000007E-2</v>
      </c>
      <c r="AT46">
        <v>17.87</v>
      </c>
      <c r="AU46">
        <v>5.14</v>
      </c>
      <c r="AV46">
        <v>0.31</v>
      </c>
      <c r="AW46">
        <v>1.8</v>
      </c>
      <c r="AX46">
        <v>0.47</v>
      </c>
      <c r="AY46">
        <v>0</v>
      </c>
      <c r="AZ46">
        <v>0</v>
      </c>
      <c r="BA46">
        <v>0</v>
      </c>
      <c r="BB46">
        <v>0</v>
      </c>
      <c r="BC46">
        <v>0</v>
      </c>
      <c r="BD46">
        <v>0</v>
      </c>
    </row>
    <row r="47" spans="1:56" x14ac:dyDescent="0.25">
      <c r="A47" s="23">
        <v>46304</v>
      </c>
      <c r="B47">
        <v>46</v>
      </c>
      <c r="C47" t="s">
        <v>82</v>
      </c>
      <c r="D47" t="s">
        <v>92</v>
      </c>
      <c r="E47">
        <v>2</v>
      </c>
      <c r="F47">
        <v>185</v>
      </c>
      <c r="G47">
        <v>1</v>
      </c>
      <c r="H47" t="s">
        <v>84</v>
      </c>
      <c r="I47" t="s">
        <v>91</v>
      </c>
      <c r="J47" t="s">
        <v>85</v>
      </c>
      <c r="K47" t="s">
        <v>86</v>
      </c>
      <c r="L47" t="s">
        <v>71</v>
      </c>
      <c r="M47" t="s">
        <v>87</v>
      </c>
      <c r="O47" t="s">
        <v>88</v>
      </c>
      <c r="P47" t="s">
        <v>89</v>
      </c>
      <c r="X47" t="s">
        <v>77</v>
      </c>
      <c r="Z47" t="s">
        <v>72</v>
      </c>
      <c r="AB47">
        <v>5</v>
      </c>
      <c r="AC47">
        <v>748735.05</v>
      </c>
      <c r="AD47">
        <v>8930514.1899999995</v>
      </c>
      <c r="AE47">
        <v>190.37</v>
      </c>
      <c r="AF47">
        <v>748735.74</v>
      </c>
      <c r="AG47">
        <v>8930512.9700000007</v>
      </c>
      <c r="AH47">
        <v>185</v>
      </c>
      <c r="AI47">
        <v>5.55</v>
      </c>
      <c r="AJ47">
        <v>0</v>
      </c>
      <c r="AK47">
        <v>1.5</v>
      </c>
      <c r="AL47">
        <v>0.8</v>
      </c>
      <c r="AM47">
        <v>150.47</v>
      </c>
      <c r="AN47">
        <v>14.67</v>
      </c>
      <c r="AO47">
        <v>0</v>
      </c>
      <c r="AP47">
        <v>3.31</v>
      </c>
      <c r="AQ47">
        <v>0.56000000000000005</v>
      </c>
      <c r="AR47">
        <v>0.09</v>
      </c>
      <c r="AS47">
        <v>7.0000000000000007E-2</v>
      </c>
      <c r="AT47">
        <v>17.850000000000001</v>
      </c>
      <c r="AU47">
        <v>5.14</v>
      </c>
      <c r="AV47">
        <v>0.31</v>
      </c>
      <c r="AW47">
        <v>1.8</v>
      </c>
      <c r="AX47">
        <v>0.43</v>
      </c>
      <c r="AY47">
        <v>0</v>
      </c>
      <c r="AZ47">
        <v>0</v>
      </c>
      <c r="BA47">
        <v>0</v>
      </c>
      <c r="BB47">
        <v>0</v>
      </c>
      <c r="BC47">
        <v>0</v>
      </c>
      <c r="BD47">
        <v>0</v>
      </c>
    </row>
    <row r="48" spans="1:56" x14ac:dyDescent="0.25">
      <c r="A48" s="23">
        <v>46304</v>
      </c>
      <c r="B48">
        <v>47</v>
      </c>
      <c r="C48" t="s">
        <v>82</v>
      </c>
      <c r="D48" t="s">
        <v>92</v>
      </c>
      <c r="E48">
        <v>2</v>
      </c>
      <c r="F48">
        <v>185</v>
      </c>
      <c r="G48">
        <v>1</v>
      </c>
      <c r="H48" t="s">
        <v>84</v>
      </c>
      <c r="I48" t="s">
        <v>91</v>
      </c>
      <c r="J48" t="s">
        <v>85</v>
      </c>
      <c r="K48" t="s">
        <v>86</v>
      </c>
      <c r="L48" t="s">
        <v>71</v>
      </c>
      <c r="M48" t="s">
        <v>87</v>
      </c>
      <c r="O48" t="s">
        <v>88</v>
      </c>
      <c r="P48" t="s">
        <v>89</v>
      </c>
      <c r="X48" t="s">
        <v>77</v>
      </c>
      <c r="Z48" t="s">
        <v>72</v>
      </c>
      <c r="AB48">
        <v>5</v>
      </c>
      <c r="AC48">
        <v>748733.74</v>
      </c>
      <c r="AD48">
        <v>8930513.4499999993</v>
      </c>
      <c r="AE48">
        <v>190.28</v>
      </c>
      <c r="AF48">
        <v>748734.43</v>
      </c>
      <c r="AG48">
        <v>8930512.2300000004</v>
      </c>
      <c r="AH48">
        <v>185</v>
      </c>
      <c r="AI48">
        <v>5.46</v>
      </c>
      <c r="AJ48">
        <v>0</v>
      </c>
      <c r="AK48">
        <v>1.5</v>
      </c>
      <c r="AL48">
        <v>0.8</v>
      </c>
      <c r="AM48">
        <v>150.47</v>
      </c>
      <c r="AN48">
        <v>14.94</v>
      </c>
      <c r="AO48">
        <v>0</v>
      </c>
      <c r="AP48">
        <v>3.3</v>
      </c>
      <c r="AQ48">
        <v>0.56000000000000005</v>
      </c>
      <c r="AR48">
        <v>0.09</v>
      </c>
      <c r="AS48">
        <v>7.0000000000000007E-2</v>
      </c>
      <c r="AT48">
        <v>17.7</v>
      </c>
      <c r="AU48">
        <v>5.1100000000000003</v>
      </c>
      <c r="AV48">
        <v>0.32</v>
      </c>
      <c r="AW48">
        <v>1.77</v>
      </c>
      <c r="AX48">
        <v>1.66</v>
      </c>
      <c r="AY48">
        <v>0</v>
      </c>
      <c r="AZ48">
        <v>0</v>
      </c>
      <c r="BA48">
        <v>0</v>
      </c>
      <c r="BB48">
        <v>0</v>
      </c>
      <c r="BC48">
        <v>0</v>
      </c>
      <c r="BD48">
        <v>0</v>
      </c>
    </row>
    <row r="49" spans="1:56" x14ac:dyDescent="0.25">
      <c r="A49" s="23">
        <v>46304</v>
      </c>
      <c r="B49">
        <v>48</v>
      </c>
      <c r="C49" t="s">
        <v>82</v>
      </c>
      <c r="D49" t="s">
        <v>92</v>
      </c>
      <c r="E49">
        <v>2</v>
      </c>
      <c r="F49">
        <v>185</v>
      </c>
      <c r="G49">
        <v>1</v>
      </c>
      <c r="H49" t="s">
        <v>84</v>
      </c>
      <c r="I49" t="s">
        <v>91</v>
      </c>
      <c r="J49" t="s">
        <v>85</v>
      </c>
      <c r="K49" t="s">
        <v>86</v>
      </c>
      <c r="L49" t="s">
        <v>71</v>
      </c>
      <c r="M49" t="s">
        <v>87</v>
      </c>
      <c r="O49" t="s">
        <v>88</v>
      </c>
      <c r="P49" t="s">
        <v>89</v>
      </c>
      <c r="X49" t="s">
        <v>77</v>
      </c>
      <c r="Z49" t="s">
        <v>72</v>
      </c>
      <c r="AB49">
        <v>5</v>
      </c>
      <c r="AC49">
        <v>748732.45</v>
      </c>
      <c r="AD49">
        <v>8930512.6899999995</v>
      </c>
      <c r="AE49">
        <v>190.23</v>
      </c>
      <c r="AF49">
        <v>748733.13</v>
      </c>
      <c r="AG49">
        <v>8930511.4900000002</v>
      </c>
      <c r="AH49">
        <v>185</v>
      </c>
      <c r="AI49">
        <v>5.41</v>
      </c>
      <c r="AJ49">
        <v>0</v>
      </c>
      <c r="AK49">
        <v>1.5</v>
      </c>
      <c r="AL49">
        <v>0.8</v>
      </c>
      <c r="AM49">
        <v>150.47</v>
      </c>
      <c r="AN49">
        <v>14.82</v>
      </c>
      <c r="AO49">
        <v>0</v>
      </c>
      <c r="AP49">
        <v>3.31</v>
      </c>
      <c r="AQ49">
        <v>0.56000000000000005</v>
      </c>
      <c r="AR49">
        <v>0.09</v>
      </c>
      <c r="AS49">
        <v>7.0000000000000007E-2</v>
      </c>
      <c r="AT49">
        <v>17.82</v>
      </c>
      <c r="AU49">
        <v>5.14</v>
      </c>
      <c r="AV49">
        <v>0.31</v>
      </c>
      <c r="AW49">
        <v>1.79</v>
      </c>
      <c r="AX49">
        <v>0.5</v>
      </c>
      <c r="AY49">
        <v>0</v>
      </c>
      <c r="AZ49">
        <v>0</v>
      </c>
      <c r="BA49">
        <v>0</v>
      </c>
      <c r="BB49">
        <v>0</v>
      </c>
      <c r="BC49">
        <v>0</v>
      </c>
      <c r="BD49">
        <v>0</v>
      </c>
    </row>
    <row r="50" spans="1:56" x14ac:dyDescent="0.25">
      <c r="A50" s="23">
        <v>46304</v>
      </c>
      <c r="B50">
        <v>49</v>
      </c>
      <c r="C50" t="s">
        <v>82</v>
      </c>
      <c r="D50" t="s">
        <v>92</v>
      </c>
      <c r="E50">
        <v>2</v>
      </c>
      <c r="F50">
        <v>185</v>
      </c>
      <c r="G50">
        <v>1</v>
      </c>
      <c r="H50" t="s">
        <v>84</v>
      </c>
      <c r="I50" t="s">
        <v>91</v>
      </c>
      <c r="J50" t="s">
        <v>85</v>
      </c>
      <c r="K50" t="s">
        <v>86</v>
      </c>
      <c r="L50" t="s">
        <v>71</v>
      </c>
      <c r="M50" t="s">
        <v>87</v>
      </c>
      <c r="O50" t="s">
        <v>88</v>
      </c>
      <c r="P50" t="s">
        <v>89</v>
      </c>
      <c r="X50" t="s">
        <v>77</v>
      </c>
      <c r="Z50" t="s">
        <v>72</v>
      </c>
      <c r="AB50">
        <v>5</v>
      </c>
      <c r="AC50">
        <v>748731.16</v>
      </c>
      <c r="AD50">
        <v>8930511.9299999997</v>
      </c>
      <c r="AE50">
        <v>190.16</v>
      </c>
      <c r="AF50">
        <v>748731.82</v>
      </c>
      <c r="AG50">
        <v>8930510.75</v>
      </c>
      <c r="AH50">
        <v>185</v>
      </c>
      <c r="AI50">
        <v>5.33</v>
      </c>
      <c r="AJ50">
        <v>0</v>
      </c>
      <c r="AK50">
        <v>1.5</v>
      </c>
      <c r="AL50">
        <v>0.8</v>
      </c>
      <c r="AM50">
        <v>150.47</v>
      </c>
      <c r="AN50">
        <v>14.72</v>
      </c>
      <c r="AO50">
        <v>0</v>
      </c>
      <c r="AP50">
        <v>3.28</v>
      </c>
      <c r="AQ50">
        <v>0.56000000000000005</v>
      </c>
      <c r="AR50">
        <v>0.09</v>
      </c>
      <c r="AS50">
        <v>7.0000000000000007E-2</v>
      </c>
      <c r="AT50">
        <v>17.38</v>
      </c>
      <c r="AU50">
        <v>5.0199999999999996</v>
      </c>
      <c r="AV50">
        <v>0.33</v>
      </c>
      <c r="AW50">
        <v>1.71</v>
      </c>
      <c r="AX50">
        <v>4.97</v>
      </c>
      <c r="AY50">
        <v>0</v>
      </c>
      <c r="AZ50">
        <v>0</v>
      </c>
      <c r="BA50">
        <v>0</v>
      </c>
      <c r="BB50">
        <v>0</v>
      </c>
      <c r="BC50">
        <v>0</v>
      </c>
      <c r="BD50">
        <v>0</v>
      </c>
    </row>
    <row r="51" spans="1:56" x14ac:dyDescent="0.25">
      <c r="A51" s="23">
        <v>46304</v>
      </c>
      <c r="B51">
        <v>50</v>
      </c>
      <c r="C51" t="s">
        <v>82</v>
      </c>
      <c r="D51" t="s">
        <v>92</v>
      </c>
      <c r="E51">
        <v>2</v>
      </c>
      <c r="F51">
        <v>185</v>
      </c>
      <c r="G51">
        <v>1</v>
      </c>
      <c r="H51" t="s">
        <v>84</v>
      </c>
      <c r="I51" t="s">
        <v>91</v>
      </c>
      <c r="J51" t="s">
        <v>85</v>
      </c>
      <c r="K51" t="s">
        <v>86</v>
      </c>
      <c r="L51" t="s">
        <v>71</v>
      </c>
      <c r="M51" t="s">
        <v>87</v>
      </c>
      <c r="O51" t="s">
        <v>88</v>
      </c>
      <c r="P51" t="s">
        <v>89</v>
      </c>
      <c r="X51" t="s">
        <v>77</v>
      </c>
      <c r="Z51" t="s">
        <v>72</v>
      </c>
      <c r="AB51">
        <v>5</v>
      </c>
      <c r="AC51">
        <v>748729.86</v>
      </c>
      <c r="AD51">
        <v>8930511.1699999999</v>
      </c>
      <c r="AE51">
        <v>190.11</v>
      </c>
      <c r="AF51">
        <v>748730.52</v>
      </c>
      <c r="AG51">
        <v>8930510.0099999998</v>
      </c>
      <c r="AH51">
        <v>185</v>
      </c>
      <c r="AI51">
        <v>5.28</v>
      </c>
      <c r="AJ51">
        <v>0</v>
      </c>
      <c r="AK51">
        <v>1.5</v>
      </c>
      <c r="AL51">
        <v>0.8</v>
      </c>
      <c r="AM51">
        <v>150.47</v>
      </c>
      <c r="AN51">
        <v>14.61</v>
      </c>
      <c r="AO51">
        <v>0</v>
      </c>
      <c r="AP51">
        <v>3.29</v>
      </c>
      <c r="AQ51">
        <v>0.55000000000000004</v>
      </c>
      <c r="AR51">
        <v>0.1</v>
      </c>
      <c r="AS51">
        <v>0.08</v>
      </c>
      <c r="AT51">
        <v>18.5</v>
      </c>
      <c r="AU51">
        <v>4.99</v>
      </c>
      <c r="AV51">
        <v>0.3</v>
      </c>
      <c r="AW51">
        <v>1.8</v>
      </c>
      <c r="AX51">
        <v>1.1399999999999999</v>
      </c>
      <c r="AY51">
        <v>0</v>
      </c>
      <c r="AZ51">
        <v>0</v>
      </c>
      <c r="BA51">
        <v>0</v>
      </c>
      <c r="BB51">
        <v>0</v>
      </c>
      <c r="BC51">
        <v>0</v>
      </c>
      <c r="BD51">
        <v>0</v>
      </c>
    </row>
    <row r="52" spans="1:56" x14ac:dyDescent="0.25">
      <c r="A52" s="23">
        <v>46304</v>
      </c>
      <c r="B52">
        <v>51</v>
      </c>
      <c r="C52" t="s">
        <v>82</v>
      </c>
      <c r="D52" t="s">
        <v>92</v>
      </c>
      <c r="E52">
        <v>2</v>
      </c>
      <c r="F52">
        <v>185</v>
      </c>
      <c r="G52">
        <v>1</v>
      </c>
      <c r="H52" t="s">
        <v>84</v>
      </c>
      <c r="I52" t="s">
        <v>91</v>
      </c>
      <c r="J52" t="s">
        <v>85</v>
      </c>
      <c r="K52" t="s">
        <v>86</v>
      </c>
      <c r="L52" t="s">
        <v>71</v>
      </c>
      <c r="M52" t="s">
        <v>87</v>
      </c>
      <c r="O52" t="s">
        <v>88</v>
      </c>
      <c r="P52" t="s">
        <v>89</v>
      </c>
      <c r="X52" t="s">
        <v>77</v>
      </c>
      <c r="Z52" t="s">
        <v>72</v>
      </c>
      <c r="AB52">
        <v>5</v>
      </c>
      <c r="AC52">
        <v>748728.56</v>
      </c>
      <c r="AD52">
        <v>8930510.4199999999</v>
      </c>
      <c r="AE52">
        <v>190.15</v>
      </c>
      <c r="AF52">
        <v>748729.21</v>
      </c>
      <c r="AG52">
        <v>8930509.2699999996</v>
      </c>
      <c r="AH52">
        <v>185</v>
      </c>
      <c r="AI52">
        <v>5.32</v>
      </c>
      <c r="AJ52">
        <v>0</v>
      </c>
      <c r="AK52">
        <v>1.5</v>
      </c>
      <c r="AL52">
        <v>0.8</v>
      </c>
      <c r="AM52">
        <v>150.47</v>
      </c>
      <c r="AN52">
        <v>14.38</v>
      </c>
      <c r="AO52">
        <v>0</v>
      </c>
      <c r="AP52">
        <v>3.29</v>
      </c>
      <c r="AQ52">
        <v>0.56999999999999995</v>
      </c>
      <c r="AR52">
        <v>0.09</v>
      </c>
      <c r="AS52">
        <v>7.0000000000000007E-2</v>
      </c>
      <c r="AT52">
        <v>17.82</v>
      </c>
      <c r="AU52">
        <v>4.95</v>
      </c>
      <c r="AV52">
        <v>0.33</v>
      </c>
      <c r="AW52">
        <v>1.77</v>
      </c>
      <c r="AX52">
        <v>4.09</v>
      </c>
      <c r="AY52">
        <v>0</v>
      </c>
      <c r="AZ52">
        <v>0</v>
      </c>
      <c r="BA52">
        <v>0</v>
      </c>
      <c r="BB52">
        <v>0</v>
      </c>
      <c r="BC52">
        <v>0</v>
      </c>
      <c r="BD52">
        <v>0</v>
      </c>
    </row>
    <row r="53" spans="1:56" x14ac:dyDescent="0.25">
      <c r="A53" s="23">
        <v>46304</v>
      </c>
      <c r="B53">
        <v>52</v>
      </c>
      <c r="C53" t="s">
        <v>82</v>
      </c>
      <c r="D53" t="s">
        <v>92</v>
      </c>
      <c r="E53">
        <v>2</v>
      </c>
      <c r="F53">
        <v>185</v>
      </c>
      <c r="G53">
        <v>1</v>
      </c>
      <c r="H53" t="s">
        <v>84</v>
      </c>
      <c r="I53" t="s">
        <v>91</v>
      </c>
      <c r="J53" t="s">
        <v>85</v>
      </c>
      <c r="K53" t="s">
        <v>86</v>
      </c>
      <c r="L53" t="s">
        <v>71</v>
      </c>
      <c r="M53" t="s">
        <v>87</v>
      </c>
      <c r="O53" t="s">
        <v>88</v>
      </c>
      <c r="P53" t="s">
        <v>89</v>
      </c>
      <c r="X53" t="s">
        <v>77</v>
      </c>
      <c r="Z53" t="s">
        <v>72</v>
      </c>
      <c r="AB53">
        <v>5</v>
      </c>
      <c r="AC53">
        <v>748727.26</v>
      </c>
      <c r="AD53">
        <v>8930509.6799999997</v>
      </c>
      <c r="AE53">
        <v>190.1</v>
      </c>
      <c r="AF53">
        <v>748727.91</v>
      </c>
      <c r="AG53">
        <v>8930508.5299999993</v>
      </c>
      <c r="AH53">
        <v>185</v>
      </c>
      <c r="AI53">
        <v>5.27</v>
      </c>
      <c r="AJ53">
        <v>0</v>
      </c>
      <c r="AK53">
        <v>1.5</v>
      </c>
      <c r="AL53">
        <v>0.8</v>
      </c>
      <c r="AM53">
        <v>150.47</v>
      </c>
      <c r="AN53">
        <v>14.52</v>
      </c>
      <c r="AO53">
        <v>0</v>
      </c>
      <c r="AP53">
        <v>3.32</v>
      </c>
      <c r="AQ53">
        <v>0.57999999999999996</v>
      </c>
      <c r="AR53">
        <v>0.1</v>
      </c>
      <c r="AS53">
        <v>0.08</v>
      </c>
      <c r="AT53">
        <v>18.63</v>
      </c>
      <c r="AU53">
        <v>4.97</v>
      </c>
      <c r="AV53">
        <v>0.31</v>
      </c>
      <c r="AW53">
        <v>1.86</v>
      </c>
      <c r="AX53">
        <v>0.27</v>
      </c>
      <c r="AY53">
        <v>0</v>
      </c>
      <c r="AZ53">
        <v>0</v>
      </c>
      <c r="BA53">
        <v>0</v>
      </c>
      <c r="BB53">
        <v>0</v>
      </c>
      <c r="BC53">
        <v>0</v>
      </c>
      <c r="BD53">
        <v>0</v>
      </c>
    </row>
    <row r="54" spans="1:56" x14ac:dyDescent="0.25">
      <c r="A54" s="23">
        <v>46304</v>
      </c>
      <c r="B54">
        <v>53</v>
      </c>
      <c r="C54" t="s">
        <v>82</v>
      </c>
      <c r="D54" t="s">
        <v>92</v>
      </c>
      <c r="E54">
        <v>2</v>
      </c>
      <c r="F54">
        <v>185</v>
      </c>
      <c r="G54">
        <v>1</v>
      </c>
      <c r="H54" t="s">
        <v>84</v>
      </c>
      <c r="I54" t="s">
        <v>91</v>
      </c>
      <c r="J54" t="s">
        <v>85</v>
      </c>
      <c r="K54" t="s">
        <v>86</v>
      </c>
      <c r="L54" t="s">
        <v>71</v>
      </c>
      <c r="M54" t="s">
        <v>87</v>
      </c>
      <c r="O54" t="s">
        <v>88</v>
      </c>
      <c r="P54" t="s">
        <v>89</v>
      </c>
      <c r="X54" t="s">
        <v>77</v>
      </c>
      <c r="Z54" t="s">
        <v>72</v>
      </c>
      <c r="AB54">
        <v>5</v>
      </c>
      <c r="AC54">
        <v>748725.95</v>
      </c>
      <c r="AD54">
        <v>8930508.9499999993</v>
      </c>
      <c r="AE54">
        <v>190.08</v>
      </c>
      <c r="AF54">
        <v>748726.62</v>
      </c>
      <c r="AG54">
        <v>8930507.7899999991</v>
      </c>
      <c r="AH54">
        <v>185</v>
      </c>
      <c r="AI54">
        <v>5.25</v>
      </c>
      <c r="AJ54">
        <v>0</v>
      </c>
      <c r="AK54">
        <v>1.5</v>
      </c>
      <c r="AL54">
        <v>0.8</v>
      </c>
      <c r="AM54">
        <v>150.11000000000001</v>
      </c>
      <c r="AN54">
        <v>14.77</v>
      </c>
      <c r="AO54">
        <v>0</v>
      </c>
      <c r="AP54">
        <v>3.32</v>
      </c>
      <c r="AQ54">
        <v>0.57999999999999996</v>
      </c>
      <c r="AR54">
        <v>0.1</v>
      </c>
      <c r="AS54">
        <v>0.08</v>
      </c>
      <c r="AT54">
        <v>18.63</v>
      </c>
      <c r="AU54">
        <v>4.97</v>
      </c>
      <c r="AV54">
        <v>0.31</v>
      </c>
      <c r="AW54">
        <v>1.87</v>
      </c>
      <c r="AX54">
        <v>0.3</v>
      </c>
      <c r="AY54">
        <v>0</v>
      </c>
      <c r="AZ54">
        <v>0</v>
      </c>
      <c r="BA54">
        <v>0</v>
      </c>
      <c r="BB54">
        <v>0</v>
      </c>
      <c r="BC54">
        <v>0</v>
      </c>
      <c r="BD54">
        <v>0</v>
      </c>
    </row>
    <row r="55" spans="1:56" x14ac:dyDescent="0.25">
      <c r="A55" s="23">
        <v>46304</v>
      </c>
      <c r="B55">
        <v>54</v>
      </c>
      <c r="C55" t="s">
        <v>82</v>
      </c>
      <c r="D55" t="s">
        <v>92</v>
      </c>
      <c r="E55">
        <v>2</v>
      </c>
      <c r="F55">
        <v>185</v>
      </c>
      <c r="G55">
        <v>1</v>
      </c>
      <c r="H55" t="s">
        <v>84</v>
      </c>
      <c r="I55" t="s">
        <v>91</v>
      </c>
      <c r="J55" t="s">
        <v>85</v>
      </c>
      <c r="K55" t="s">
        <v>86</v>
      </c>
      <c r="L55" t="s">
        <v>71</v>
      </c>
      <c r="M55" t="s">
        <v>87</v>
      </c>
      <c r="O55" t="s">
        <v>88</v>
      </c>
      <c r="P55" t="s">
        <v>89</v>
      </c>
      <c r="X55" t="s">
        <v>77</v>
      </c>
      <c r="Z55" t="s">
        <v>72</v>
      </c>
      <c r="AB55">
        <v>5</v>
      </c>
      <c r="AC55">
        <v>748724.66</v>
      </c>
      <c r="AD55">
        <v>8930508.1899999995</v>
      </c>
      <c r="AE55">
        <v>190.11</v>
      </c>
      <c r="AF55">
        <v>748725.34</v>
      </c>
      <c r="AG55">
        <v>8930507.0299999993</v>
      </c>
      <c r="AH55">
        <v>185</v>
      </c>
      <c r="AI55">
        <v>5.28</v>
      </c>
      <c r="AJ55">
        <v>0</v>
      </c>
      <c r="AK55">
        <v>1.5</v>
      </c>
      <c r="AL55">
        <v>0.8</v>
      </c>
      <c r="AM55">
        <v>149.32</v>
      </c>
      <c r="AN55">
        <v>14.75</v>
      </c>
      <c r="AO55">
        <v>0</v>
      </c>
      <c r="AP55">
        <v>3.32</v>
      </c>
      <c r="AQ55">
        <v>0.57999999999999996</v>
      </c>
      <c r="AR55">
        <v>0.1</v>
      </c>
      <c r="AS55">
        <v>0.08</v>
      </c>
      <c r="AT55">
        <v>18.62</v>
      </c>
      <c r="AU55">
        <v>4.97</v>
      </c>
      <c r="AV55">
        <v>0.31</v>
      </c>
      <c r="AW55">
        <v>1.87</v>
      </c>
      <c r="AX55">
        <v>0.3</v>
      </c>
      <c r="AY55">
        <v>0</v>
      </c>
      <c r="AZ55">
        <v>0</v>
      </c>
      <c r="BA55">
        <v>0</v>
      </c>
      <c r="BB55">
        <v>0</v>
      </c>
      <c r="BC55">
        <v>0</v>
      </c>
      <c r="BD55">
        <v>0</v>
      </c>
    </row>
    <row r="56" spans="1:56" x14ac:dyDescent="0.25">
      <c r="A56" s="23">
        <v>46304</v>
      </c>
      <c r="B56">
        <v>55</v>
      </c>
      <c r="C56" t="s">
        <v>82</v>
      </c>
      <c r="D56" t="s">
        <v>92</v>
      </c>
      <c r="E56">
        <v>2</v>
      </c>
      <c r="F56">
        <v>185</v>
      </c>
      <c r="G56">
        <v>1</v>
      </c>
      <c r="H56" t="s">
        <v>84</v>
      </c>
      <c r="I56" t="s">
        <v>91</v>
      </c>
      <c r="J56" t="s">
        <v>85</v>
      </c>
      <c r="K56" t="s">
        <v>86</v>
      </c>
      <c r="L56" t="s">
        <v>71</v>
      </c>
      <c r="M56" t="s">
        <v>87</v>
      </c>
      <c r="O56" t="s">
        <v>88</v>
      </c>
      <c r="P56" t="s">
        <v>89</v>
      </c>
      <c r="X56" t="s">
        <v>77</v>
      </c>
      <c r="Z56" t="s">
        <v>72</v>
      </c>
      <c r="AB56">
        <v>5</v>
      </c>
      <c r="AC56">
        <v>748723.4</v>
      </c>
      <c r="AD56">
        <v>8930507.3699999992</v>
      </c>
      <c r="AE56">
        <v>190.1</v>
      </c>
      <c r="AF56">
        <v>748724.13</v>
      </c>
      <c r="AG56">
        <v>8930506.25</v>
      </c>
      <c r="AH56">
        <v>185</v>
      </c>
      <c r="AI56">
        <v>5.28</v>
      </c>
      <c r="AJ56">
        <v>0</v>
      </c>
      <c r="AK56">
        <v>1.5</v>
      </c>
      <c r="AL56">
        <v>0.8</v>
      </c>
      <c r="AM56">
        <v>147.07</v>
      </c>
      <c r="AN56">
        <v>14.69</v>
      </c>
      <c r="AO56">
        <v>0</v>
      </c>
      <c r="AP56">
        <v>3.33</v>
      </c>
      <c r="AQ56">
        <v>0.57999999999999996</v>
      </c>
      <c r="AR56">
        <v>0.1</v>
      </c>
      <c r="AS56">
        <v>0.08</v>
      </c>
      <c r="AT56">
        <v>18.579999999999998</v>
      </c>
      <c r="AU56">
        <v>4.97</v>
      </c>
      <c r="AV56">
        <v>0.31</v>
      </c>
      <c r="AW56">
        <v>1.87</v>
      </c>
      <c r="AX56">
        <v>0.09</v>
      </c>
      <c r="AY56">
        <v>0</v>
      </c>
      <c r="AZ56">
        <v>0</v>
      </c>
      <c r="BA56">
        <v>0</v>
      </c>
      <c r="BB56">
        <v>0</v>
      </c>
      <c r="BC56">
        <v>0</v>
      </c>
      <c r="BD56">
        <v>0</v>
      </c>
    </row>
    <row r="57" spans="1:56" x14ac:dyDescent="0.25">
      <c r="A57" s="23">
        <v>46304</v>
      </c>
      <c r="B57">
        <v>56</v>
      </c>
      <c r="C57" t="s">
        <v>82</v>
      </c>
      <c r="D57" t="s">
        <v>92</v>
      </c>
      <c r="E57">
        <v>2</v>
      </c>
      <c r="F57">
        <v>185</v>
      </c>
      <c r="G57">
        <v>1</v>
      </c>
      <c r="H57" t="s">
        <v>84</v>
      </c>
      <c r="I57" t="s">
        <v>91</v>
      </c>
      <c r="J57" t="s">
        <v>85</v>
      </c>
      <c r="K57" t="s">
        <v>86</v>
      </c>
      <c r="L57" t="s">
        <v>71</v>
      </c>
      <c r="M57" t="s">
        <v>87</v>
      </c>
      <c r="O57" t="s">
        <v>88</v>
      </c>
      <c r="P57" t="s">
        <v>89</v>
      </c>
      <c r="X57" t="s">
        <v>77</v>
      </c>
      <c r="Z57" t="s">
        <v>72</v>
      </c>
      <c r="AB57">
        <v>5</v>
      </c>
      <c r="AC57">
        <v>748722.16</v>
      </c>
      <c r="AD57">
        <v>8930506.5199999996</v>
      </c>
      <c r="AE57">
        <v>190.15</v>
      </c>
      <c r="AF57">
        <v>748722.92</v>
      </c>
      <c r="AG57">
        <v>8930505.4199999999</v>
      </c>
      <c r="AH57">
        <v>185</v>
      </c>
      <c r="AI57">
        <v>5.33</v>
      </c>
      <c r="AJ57">
        <v>0</v>
      </c>
      <c r="AK57">
        <v>1.5</v>
      </c>
      <c r="AL57">
        <v>0.8</v>
      </c>
      <c r="AM57">
        <v>145.54</v>
      </c>
      <c r="AN57">
        <v>14.56</v>
      </c>
      <c r="AO57">
        <v>0</v>
      </c>
      <c r="AP57">
        <v>3.32</v>
      </c>
      <c r="AQ57">
        <v>0.57999999999999996</v>
      </c>
      <c r="AR57">
        <v>0.1</v>
      </c>
      <c r="AS57">
        <v>0.08</v>
      </c>
      <c r="AT57">
        <v>18.62</v>
      </c>
      <c r="AU57">
        <v>4.97</v>
      </c>
      <c r="AV57">
        <v>0.31</v>
      </c>
      <c r="AW57">
        <v>1.87</v>
      </c>
      <c r="AX57">
        <v>0.3</v>
      </c>
      <c r="AY57">
        <v>0</v>
      </c>
      <c r="AZ57">
        <v>0</v>
      </c>
      <c r="BA57">
        <v>0</v>
      </c>
      <c r="BB57">
        <v>0</v>
      </c>
      <c r="BC57">
        <v>0</v>
      </c>
      <c r="BD57">
        <v>0</v>
      </c>
    </row>
    <row r="58" spans="1:56" x14ac:dyDescent="0.25">
      <c r="A58" s="23">
        <v>46304</v>
      </c>
      <c r="B58">
        <v>57</v>
      </c>
      <c r="C58" t="s">
        <v>82</v>
      </c>
      <c r="D58" t="s">
        <v>92</v>
      </c>
      <c r="E58">
        <v>2</v>
      </c>
      <c r="F58">
        <v>185</v>
      </c>
      <c r="G58">
        <v>1</v>
      </c>
      <c r="H58" t="s">
        <v>84</v>
      </c>
      <c r="I58" t="s">
        <v>91</v>
      </c>
      <c r="J58" t="s">
        <v>85</v>
      </c>
      <c r="K58" t="s">
        <v>86</v>
      </c>
      <c r="L58" t="s">
        <v>71</v>
      </c>
      <c r="M58" t="s">
        <v>87</v>
      </c>
      <c r="O58" t="s">
        <v>88</v>
      </c>
      <c r="P58" t="s">
        <v>89</v>
      </c>
      <c r="X58" t="s">
        <v>77</v>
      </c>
      <c r="Z58" t="s">
        <v>72</v>
      </c>
      <c r="AB58">
        <v>5</v>
      </c>
      <c r="AC58">
        <v>748720.95</v>
      </c>
      <c r="AD58">
        <v>8930505.6400000006</v>
      </c>
      <c r="AE58">
        <v>190.14</v>
      </c>
      <c r="AF58">
        <v>748721.74</v>
      </c>
      <c r="AG58">
        <v>8930504.5600000005</v>
      </c>
      <c r="AH58">
        <v>185</v>
      </c>
      <c r="AI58">
        <v>5.31</v>
      </c>
      <c r="AJ58">
        <v>0</v>
      </c>
      <c r="AK58">
        <v>1.5</v>
      </c>
      <c r="AL58">
        <v>0.8</v>
      </c>
      <c r="AM58">
        <v>144.02000000000001</v>
      </c>
      <c r="AN58">
        <v>14.61</v>
      </c>
      <c r="AO58">
        <v>0</v>
      </c>
      <c r="AP58">
        <v>3.32</v>
      </c>
      <c r="AQ58">
        <v>0.57999999999999996</v>
      </c>
      <c r="AR58">
        <v>0.1</v>
      </c>
      <c r="AS58">
        <v>0.08</v>
      </c>
      <c r="AT58">
        <v>18.63</v>
      </c>
      <c r="AU58">
        <v>4.9800000000000004</v>
      </c>
      <c r="AV58">
        <v>0.31</v>
      </c>
      <c r="AW58">
        <v>1.87</v>
      </c>
      <c r="AX58">
        <v>0.35</v>
      </c>
      <c r="AY58">
        <v>0</v>
      </c>
      <c r="AZ58">
        <v>0</v>
      </c>
      <c r="BA58">
        <v>0</v>
      </c>
      <c r="BB58">
        <v>0</v>
      </c>
      <c r="BC58">
        <v>0</v>
      </c>
      <c r="BD58">
        <v>0</v>
      </c>
    </row>
    <row r="59" spans="1:56" x14ac:dyDescent="0.25">
      <c r="A59" s="23">
        <v>46304</v>
      </c>
      <c r="B59">
        <v>58</v>
      </c>
      <c r="C59" t="s">
        <v>82</v>
      </c>
      <c r="D59" t="s">
        <v>92</v>
      </c>
      <c r="E59">
        <v>2</v>
      </c>
      <c r="F59">
        <v>185</v>
      </c>
      <c r="G59">
        <v>1</v>
      </c>
      <c r="H59" t="s">
        <v>84</v>
      </c>
      <c r="I59" t="s">
        <v>91</v>
      </c>
      <c r="J59" t="s">
        <v>85</v>
      </c>
      <c r="K59" t="s">
        <v>86</v>
      </c>
      <c r="L59" t="s">
        <v>71</v>
      </c>
      <c r="M59" t="s">
        <v>87</v>
      </c>
      <c r="O59" t="s">
        <v>88</v>
      </c>
      <c r="P59" t="s">
        <v>89</v>
      </c>
      <c r="X59" t="s">
        <v>77</v>
      </c>
      <c r="Z59" t="s">
        <v>72</v>
      </c>
      <c r="AB59">
        <v>5</v>
      </c>
      <c r="AC59">
        <v>748719.76</v>
      </c>
      <c r="AD59">
        <v>8930504.7200000007</v>
      </c>
      <c r="AE59">
        <v>190.1</v>
      </c>
      <c r="AF59">
        <v>748720.58</v>
      </c>
      <c r="AG59">
        <v>8930503.6600000001</v>
      </c>
      <c r="AH59">
        <v>185</v>
      </c>
      <c r="AI59">
        <v>5.27</v>
      </c>
      <c r="AJ59">
        <v>0</v>
      </c>
      <c r="AK59">
        <v>1.5</v>
      </c>
      <c r="AL59">
        <v>0.8</v>
      </c>
      <c r="AM59">
        <v>142.44999999999999</v>
      </c>
      <c r="AN59">
        <v>14.7</v>
      </c>
      <c r="AO59">
        <v>0</v>
      </c>
      <c r="AP59">
        <v>3.33</v>
      </c>
      <c r="AQ59">
        <v>0.57999999999999996</v>
      </c>
      <c r="AR59">
        <v>0.1</v>
      </c>
      <c r="AS59">
        <v>0.08</v>
      </c>
      <c r="AT59">
        <v>18.809999999999999</v>
      </c>
      <c r="AU59">
        <v>5</v>
      </c>
      <c r="AV59">
        <v>0.31</v>
      </c>
      <c r="AW59">
        <v>1.88</v>
      </c>
      <c r="AX59">
        <v>0.34</v>
      </c>
      <c r="AY59">
        <v>0</v>
      </c>
      <c r="AZ59">
        <v>0</v>
      </c>
      <c r="BA59">
        <v>0</v>
      </c>
      <c r="BB59">
        <v>0</v>
      </c>
      <c r="BC59">
        <v>0</v>
      </c>
      <c r="BD59">
        <v>0</v>
      </c>
    </row>
    <row r="60" spans="1:56" x14ac:dyDescent="0.25">
      <c r="A60" s="23">
        <v>46304</v>
      </c>
      <c r="B60">
        <v>59</v>
      </c>
      <c r="C60" t="s">
        <v>82</v>
      </c>
      <c r="D60" t="s">
        <v>92</v>
      </c>
      <c r="E60">
        <v>2</v>
      </c>
      <c r="F60">
        <v>185</v>
      </c>
      <c r="G60">
        <v>1</v>
      </c>
      <c r="H60" t="s">
        <v>84</v>
      </c>
      <c r="I60" t="s">
        <v>91</v>
      </c>
      <c r="J60" t="s">
        <v>85</v>
      </c>
      <c r="K60" t="s">
        <v>86</v>
      </c>
      <c r="L60" t="s">
        <v>71</v>
      </c>
      <c r="M60" t="s">
        <v>87</v>
      </c>
      <c r="O60" t="s">
        <v>88</v>
      </c>
      <c r="P60" t="s">
        <v>89</v>
      </c>
      <c r="X60" t="s">
        <v>77</v>
      </c>
      <c r="Z60" t="s">
        <v>72</v>
      </c>
      <c r="AB60">
        <v>5</v>
      </c>
      <c r="AC60">
        <v>748718.61</v>
      </c>
      <c r="AD60">
        <v>8930503.7699999996</v>
      </c>
      <c r="AE60">
        <v>190.09</v>
      </c>
      <c r="AF60">
        <v>748719.46</v>
      </c>
      <c r="AG60">
        <v>8930502.7400000002</v>
      </c>
      <c r="AH60">
        <v>185</v>
      </c>
      <c r="AI60">
        <v>5.26</v>
      </c>
      <c r="AJ60">
        <v>0</v>
      </c>
      <c r="AK60">
        <v>1.5</v>
      </c>
      <c r="AL60">
        <v>0.8</v>
      </c>
      <c r="AM60">
        <v>140.19999999999999</v>
      </c>
      <c r="AN60">
        <v>14.77</v>
      </c>
      <c r="AO60">
        <v>0</v>
      </c>
      <c r="AP60">
        <v>3.33</v>
      </c>
      <c r="AQ60">
        <v>0.6</v>
      </c>
      <c r="AR60">
        <v>0.1</v>
      </c>
      <c r="AS60">
        <v>0.08</v>
      </c>
      <c r="AT60">
        <v>19.3</v>
      </c>
      <c r="AU60">
        <v>5.08</v>
      </c>
      <c r="AV60">
        <v>0.32</v>
      </c>
      <c r="AW60">
        <v>1.89</v>
      </c>
      <c r="AX60">
        <v>0.65</v>
      </c>
      <c r="AY60">
        <v>0</v>
      </c>
      <c r="AZ60">
        <v>0</v>
      </c>
      <c r="BA60">
        <v>0</v>
      </c>
      <c r="BB60">
        <v>0</v>
      </c>
      <c r="BC60">
        <v>0</v>
      </c>
      <c r="BD60">
        <v>0</v>
      </c>
    </row>
    <row r="61" spans="1:56" x14ac:dyDescent="0.25">
      <c r="A61" s="23">
        <v>46304</v>
      </c>
      <c r="B61">
        <v>60</v>
      </c>
      <c r="C61" t="s">
        <v>82</v>
      </c>
      <c r="D61" t="s">
        <v>92</v>
      </c>
      <c r="E61">
        <v>2</v>
      </c>
      <c r="F61">
        <v>185</v>
      </c>
      <c r="G61">
        <v>1</v>
      </c>
      <c r="H61" t="s">
        <v>84</v>
      </c>
      <c r="I61" t="s">
        <v>91</v>
      </c>
      <c r="J61" t="s">
        <v>85</v>
      </c>
      <c r="K61" t="s">
        <v>86</v>
      </c>
      <c r="L61" t="s">
        <v>71</v>
      </c>
      <c r="M61" t="s">
        <v>87</v>
      </c>
      <c r="O61" t="s">
        <v>88</v>
      </c>
      <c r="P61" t="s">
        <v>89</v>
      </c>
      <c r="X61" t="s">
        <v>77</v>
      </c>
      <c r="Z61" t="s">
        <v>72</v>
      </c>
      <c r="AB61">
        <v>5</v>
      </c>
      <c r="AC61">
        <v>748717.48</v>
      </c>
      <c r="AD61">
        <v>8930502.7699999996</v>
      </c>
      <c r="AE61">
        <v>190.08</v>
      </c>
      <c r="AF61">
        <v>748718.37</v>
      </c>
      <c r="AG61">
        <v>8930501.7699999996</v>
      </c>
      <c r="AH61">
        <v>185</v>
      </c>
      <c r="AI61">
        <v>5.26</v>
      </c>
      <c r="AJ61">
        <v>0</v>
      </c>
      <c r="AK61">
        <v>1.5</v>
      </c>
      <c r="AL61">
        <v>0.8</v>
      </c>
      <c r="AM61">
        <v>138.66999999999999</v>
      </c>
      <c r="AN61">
        <v>14.71</v>
      </c>
      <c r="AO61">
        <v>0</v>
      </c>
      <c r="AP61">
        <v>3.34</v>
      </c>
      <c r="AQ61">
        <v>0.6</v>
      </c>
      <c r="AR61">
        <v>0.11</v>
      </c>
      <c r="AS61">
        <v>0.08</v>
      </c>
      <c r="AT61">
        <v>19.78</v>
      </c>
      <c r="AU61">
        <v>5.14</v>
      </c>
      <c r="AV61">
        <v>0.31</v>
      </c>
      <c r="AW61">
        <v>1.92</v>
      </c>
      <c r="AX61">
        <v>0.32</v>
      </c>
      <c r="AY61">
        <v>0</v>
      </c>
      <c r="AZ61">
        <v>0</v>
      </c>
      <c r="BA61">
        <v>0</v>
      </c>
      <c r="BB61">
        <v>0</v>
      </c>
      <c r="BC61">
        <v>0</v>
      </c>
      <c r="BD61">
        <v>0</v>
      </c>
    </row>
    <row r="62" spans="1:56" x14ac:dyDescent="0.25">
      <c r="A62" s="23">
        <v>46304</v>
      </c>
      <c r="B62">
        <v>61</v>
      </c>
      <c r="C62" t="s">
        <v>82</v>
      </c>
      <c r="D62" t="s">
        <v>92</v>
      </c>
      <c r="E62">
        <v>2</v>
      </c>
      <c r="F62">
        <v>185</v>
      </c>
      <c r="G62">
        <v>1</v>
      </c>
      <c r="H62" t="s">
        <v>84</v>
      </c>
      <c r="I62" t="s">
        <v>91</v>
      </c>
      <c r="J62" t="s">
        <v>85</v>
      </c>
      <c r="K62" t="s">
        <v>86</v>
      </c>
      <c r="L62" t="s">
        <v>71</v>
      </c>
      <c r="M62" t="s">
        <v>87</v>
      </c>
      <c r="O62" t="s">
        <v>88</v>
      </c>
      <c r="P62" t="s">
        <v>89</v>
      </c>
      <c r="X62" t="s">
        <v>77</v>
      </c>
      <c r="Z62" t="s">
        <v>72</v>
      </c>
      <c r="AB62">
        <v>5</v>
      </c>
      <c r="AC62">
        <v>748716.38</v>
      </c>
      <c r="AD62">
        <v>8930501.7599999998</v>
      </c>
      <c r="AE62">
        <v>190.1</v>
      </c>
      <c r="AF62">
        <v>748717.29</v>
      </c>
      <c r="AG62">
        <v>8930500.7699999996</v>
      </c>
      <c r="AH62">
        <v>185</v>
      </c>
      <c r="AI62">
        <v>5.27</v>
      </c>
      <c r="AJ62">
        <v>0</v>
      </c>
      <c r="AK62">
        <v>1.5</v>
      </c>
      <c r="AL62">
        <v>0.8</v>
      </c>
      <c r="AM62">
        <v>137.13999999999999</v>
      </c>
      <c r="AN62">
        <v>14.74</v>
      </c>
      <c r="AO62">
        <v>0</v>
      </c>
      <c r="AP62">
        <v>3.32</v>
      </c>
      <c r="AQ62">
        <v>0.66</v>
      </c>
      <c r="AR62">
        <v>0.11</v>
      </c>
      <c r="AS62">
        <v>0.09</v>
      </c>
      <c r="AT62">
        <v>20.18</v>
      </c>
      <c r="AU62">
        <v>5.33</v>
      </c>
      <c r="AV62">
        <v>0.34</v>
      </c>
      <c r="AW62">
        <v>1.93</v>
      </c>
      <c r="AX62">
        <v>5.73</v>
      </c>
      <c r="AY62">
        <v>0</v>
      </c>
      <c r="AZ62">
        <v>0</v>
      </c>
      <c r="BA62">
        <v>0</v>
      </c>
      <c r="BB62">
        <v>0</v>
      </c>
      <c r="BC62">
        <v>0</v>
      </c>
      <c r="BD62">
        <v>0</v>
      </c>
    </row>
    <row r="63" spans="1:56" x14ac:dyDescent="0.25">
      <c r="A63" s="23">
        <v>46304</v>
      </c>
      <c r="B63">
        <v>62</v>
      </c>
      <c r="C63" t="s">
        <v>82</v>
      </c>
      <c r="D63" t="s">
        <v>92</v>
      </c>
      <c r="E63">
        <v>2</v>
      </c>
      <c r="F63">
        <v>185</v>
      </c>
      <c r="G63">
        <v>1</v>
      </c>
      <c r="H63" t="s">
        <v>84</v>
      </c>
      <c r="I63" t="s">
        <v>91</v>
      </c>
      <c r="J63" t="s">
        <v>85</v>
      </c>
      <c r="K63" t="s">
        <v>86</v>
      </c>
      <c r="L63" t="s">
        <v>71</v>
      </c>
      <c r="M63" t="s">
        <v>87</v>
      </c>
      <c r="O63" t="s">
        <v>88</v>
      </c>
      <c r="P63" t="s">
        <v>89</v>
      </c>
      <c r="X63" t="s">
        <v>77</v>
      </c>
      <c r="Z63" t="s">
        <v>72</v>
      </c>
      <c r="AB63">
        <v>5</v>
      </c>
      <c r="AC63">
        <v>748715.31</v>
      </c>
      <c r="AD63">
        <v>8930500.6999999993</v>
      </c>
      <c r="AE63">
        <v>190.13</v>
      </c>
      <c r="AF63">
        <v>748716.25</v>
      </c>
      <c r="AG63">
        <v>8930499.75</v>
      </c>
      <c r="AH63">
        <v>185</v>
      </c>
      <c r="AI63">
        <v>5.3</v>
      </c>
      <c r="AJ63">
        <v>0</v>
      </c>
      <c r="AK63">
        <v>1.5</v>
      </c>
      <c r="AL63">
        <v>0.8</v>
      </c>
      <c r="AM63">
        <v>135.57</v>
      </c>
      <c r="AN63">
        <v>14.63</v>
      </c>
      <c r="AO63">
        <v>0</v>
      </c>
      <c r="AP63">
        <v>3.32</v>
      </c>
      <c r="AQ63">
        <v>0.66</v>
      </c>
      <c r="AR63">
        <v>0.11</v>
      </c>
      <c r="AS63">
        <v>0.09</v>
      </c>
      <c r="AT63">
        <v>20.27</v>
      </c>
      <c r="AU63">
        <v>5.35</v>
      </c>
      <c r="AV63">
        <v>0.34</v>
      </c>
      <c r="AW63">
        <v>1.92</v>
      </c>
      <c r="AX63">
        <v>7.12</v>
      </c>
      <c r="AY63">
        <v>0</v>
      </c>
      <c r="AZ63">
        <v>0</v>
      </c>
      <c r="BA63">
        <v>0</v>
      </c>
      <c r="BB63">
        <v>0</v>
      </c>
      <c r="BC63">
        <v>0</v>
      </c>
      <c r="BD63">
        <v>0</v>
      </c>
    </row>
    <row r="64" spans="1:56" x14ac:dyDescent="0.25">
      <c r="A64" s="23">
        <v>46304</v>
      </c>
      <c r="B64">
        <v>63</v>
      </c>
      <c r="C64" t="s">
        <v>82</v>
      </c>
      <c r="D64" t="s">
        <v>92</v>
      </c>
      <c r="E64">
        <v>2</v>
      </c>
      <c r="F64">
        <v>185</v>
      </c>
      <c r="G64">
        <v>1</v>
      </c>
      <c r="H64" t="s">
        <v>84</v>
      </c>
      <c r="I64" t="s">
        <v>91</v>
      </c>
      <c r="J64" t="s">
        <v>85</v>
      </c>
      <c r="K64" t="s">
        <v>86</v>
      </c>
      <c r="L64" t="s">
        <v>71</v>
      </c>
      <c r="M64" t="s">
        <v>87</v>
      </c>
      <c r="O64" t="s">
        <v>88</v>
      </c>
      <c r="P64" t="s">
        <v>89</v>
      </c>
      <c r="X64" t="s">
        <v>77</v>
      </c>
      <c r="Z64" t="s">
        <v>72</v>
      </c>
      <c r="AB64">
        <v>5</v>
      </c>
      <c r="AC64">
        <v>748714.28</v>
      </c>
      <c r="AD64">
        <v>8930499.6199999992</v>
      </c>
      <c r="AE64">
        <v>190.23</v>
      </c>
      <c r="AF64">
        <v>748715.26</v>
      </c>
      <c r="AG64">
        <v>8930498.6899999995</v>
      </c>
      <c r="AH64">
        <v>185</v>
      </c>
      <c r="AI64">
        <v>5.4</v>
      </c>
      <c r="AJ64">
        <v>0</v>
      </c>
      <c r="AK64">
        <v>1.5</v>
      </c>
      <c r="AL64">
        <v>0.8</v>
      </c>
      <c r="AM64">
        <v>133.32</v>
      </c>
      <c r="AN64">
        <v>14.4</v>
      </c>
      <c r="AO64">
        <v>0</v>
      </c>
      <c r="AP64">
        <v>3.31</v>
      </c>
      <c r="AQ64">
        <v>0.69</v>
      </c>
      <c r="AR64">
        <v>0.12</v>
      </c>
      <c r="AS64">
        <v>0.09</v>
      </c>
      <c r="AT64">
        <v>20.3</v>
      </c>
      <c r="AU64">
        <v>5.41</v>
      </c>
      <c r="AV64">
        <v>0.36</v>
      </c>
      <c r="AW64">
        <v>1.93</v>
      </c>
      <c r="AX64">
        <v>9.26</v>
      </c>
      <c r="AY64">
        <v>0</v>
      </c>
      <c r="AZ64">
        <v>0</v>
      </c>
      <c r="BA64">
        <v>0</v>
      </c>
      <c r="BB64">
        <v>0</v>
      </c>
      <c r="BC64">
        <v>0</v>
      </c>
      <c r="BD64">
        <v>0</v>
      </c>
    </row>
    <row r="65" spans="1:56" x14ac:dyDescent="0.25">
      <c r="A65" s="23">
        <v>46304</v>
      </c>
      <c r="B65">
        <v>64</v>
      </c>
      <c r="C65" t="s">
        <v>82</v>
      </c>
      <c r="D65" t="s">
        <v>92</v>
      </c>
      <c r="E65">
        <v>2</v>
      </c>
      <c r="F65">
        <v>185</v>
      </c>
      <c r="G65">
        <v>1</v>
      </c>
      <c r="H65" t="s">
        <v>84</v>
      </c>
      <c r="I65" t="s">
        <v>91</v>
      </c>
      <c r="J65" t="s">
        <v>85</v>
      </c>
      <c r="K65" t="s">
        <v>86</v>
      </c>
      <c r="L65" t="s">
        <v>71</v>
      </c>
      <c r="M65" t="s">
        <v>87</v>
      </c>
      <c r="O65" t="s">
        <v>88</v>
      </c>
      <c r="P65" t="s">
        <v>89</v>
      </c>
      <c r="X65" t="s">
        <v>77</v>
      </c>
      <c r="Z65" t="s">
        <v>72</v>
      </c>
      <c r="AB65">
        <v>5</v>
      </c>
      <c r="AC65">
        <v>748713.28</v>
      </c>
      <c r="AD65">
        <v>8930498.5</v>
      </c>
      <c r="AE65">
        <v>190.15</v>
      </c>
      <c r="AF65">
        <v>748714.28</v>
      </c>
      <c r="AG65">
        <v>8930497.5999999996</v>
      </c>
      <c r="AH65">
        <v>185</v>
      </c>
      <c r="AI65">
        <v>5.33</v>
      </c>
      <c r="AJ65">
        <v>0</v>
      </c>
      <c r="AK65">
        <v>1.5</v>
      </c>
      <c r="AL65">
        <v>0.8</v>
      </c>
      <c r="AM65">
        <v>131.79</v>
      </c>
      <c r="AN65">
        <v>14.59</v>
      </c>
      <c r="AO65">
        <v>0</v>
      </c>
      <c r="AP65">
        <v>3.32</v>
      </c>
      <c r="AQ65">
        <v>0.66</v>
      </c>
      <c r="AR65">
        <v>0.11</v>
      </c>
      <c r="AS65">
        <v>0.09</v>
      </c>
      <c r="AT65">
        <v>20.27</v>
      </c>
      <c r="AU65">
        <v>5.35</v>
      </c>
      <c r="AV65">
        <v>0.34</v>
      </c>
      <c r="AW65">
        <v>1.92</v>
      </c>
      <c r="AX65">
        <v>7.12</v>
      </c>
      <c r="AY65">
        <v>0</v>
      </c>
      <c r="AZ65">
        <v>0</v>
      </c>
      <c r="BA65">
        <v>0</v>
      </c>
      <c r="BB65">
        <v>0</v>
      </c>
      <c r="BC65">
        <v>0</v>
      </c>
      <c r="BD65">
        <v>0</v>
      </c>
    </row>
    <row r="66" spans="1:56" x14ac:dyDescent="0.25">
      <c r="A66" s="23">
        <v>46304</v>
      </c>
      <c r="B66">
        <v>65</v>
      </c>
      <c r="C66" t="s">
        <v>82</v>
      </c>
      <c r="D66" t="s">
        <v>92</v>
      </c>
      <c r="E66">
        <v>2</v>
      </c>
      <c r="F66">
        <v>185</v>
      </c>
      <c r="G66">
        <v>1</v>
      </c>
      <c r="H66" t="s">
        <v>84</v>
      </c>
      <c r="I66" t="s">
        <v>91</v>
      </c>
      <c r="J66" t="s">
        <v>85</v>
      </c>
      <c r="K66" t="s">
        <v>86</v>
      </c>
      <c r="L66" t="s">
        <v>71</v>
      </c>
      <c r="M66" t="s">
        <v>87</v>
      </c>
      <c r="O66" t="s">
        <v>88</v>
      </c>
      <c r="P66" t="s">
        <v>89</v>
      </c>
      <c r="X66" t="s">
        <v>77</v>
      </c>
      <c r="Z66" t="s">
        <v>72</v>
      </c>
      <c r="AB66">
        <v>5</v>
      </c>
      <c r="AC66">
        <v>748712.31</v>
      </c>
      <c r="AD66">
        <v>8930497.3499999996</v>
      </c>
      <c r="AE66">
        <v>190.11</v>
      </c>
      <c r="AF66">
        <v>748713.33</v>
      </c>
      <c r="AG66">
        <v>8930496.4800000004</v>
      </c>
      <c r="AH66">
        <v>185</v>
      </c>
      <c r="AI66">
        <v>5.28</v>
      </c>
      <c r="AJ66">
        <v>0</v>
      </c>
      <c r="AK66">
        <v>1.5</v>
      </c>
      <c r="AL66">
        <v>0.8</v>
      </c>
      <c r="AM66">
        <v>130.26</v>
      </c>
      <c r="AN66">
        <v>14.72</v>
      </c>
      <c r="AO66">
        <v>0</v>
      </c>
      <c r="AP66">
        <v>3.32</v>
      </c>
      <c r="AQ66">
        <v>0.68</v>
      </c>
      <c r="AR66">
        <v>0.12</v>
      </c>
      <c r="AS66">
        <v>0.09</v>
      </c>
      <c r="AT66">
        <v>20.32</v>
      </c>
      <c r="AU66">
        <v>5.4</v>
      </c>
      <c r="AV66">
        <v>0.35</v>
      </c>
      <c r="AW66">
        <v>1.93</v>
      </c>
      <c r="AX66">
        <v>9.16</v>
      </c>
      <c r="AY66">
        <v>0</v>
      </c>
      <c r="AZ66">
        <v>0</v>
      </c>
      <c r="BA66">
        <v>0</v>
      </c>
      <c r="BB66">
        <v>0</v>
      </c>
      <c r="BC66">
        <v>0</v>
      </c>
      <c r="BD66">
        <v>0</v>
      </c>
    </row>
    <row r="67" spans="1:56" x14ac:dyDescent="0.25">
      <c r="A67" s="23">
        <v>46304</v>
      </c>
      <c r="B67">
        <v>66</v>
      </c>
      <c r="C67" t="s">
        <v>82</v>
      </c>
      <c r="D67" t="s">
        <v>92</v>
      </c>
      <c r="E67">
        <v>2</v>
      </c>
      <c r="F67">
        <v>185</v>
      </c>
      <c r="G67">
        <v>1</v>
      </c>
      <c r="H67" t="s">
        <v>84</v>
      </c>
      <c r="I67" t="s">
        <v>91</v>
      </c>
      <c r="J67" t="s">
        <v>85</v>
      </c>
      <c r="K67" t="s">
        <v>86</v>
      </c>
      <c r="L67" t="s">
        <v>71</v>
      </c>
      <c r="M67" t="s">
        <v>87</v>
      </c>
      <c r="O67" t="s">
        <v>88</v>
      </c>
      <c r="P67" t="s">
        <v>89</v>
      </c>
      <c r="X67" t="s">
        <v>77</v>
      </c>
      <c r="Z67" t="s">
        <v>72</v>
      </c>
      <c r="AB67">
        <v>5</v>
      </c>
      <c r="AC67">
        <v>748711.37</v>
      </c>
      <c r="AD67">
        <v>8930496.1799999997</v>
      </c>
      <c r="AE67">
        <v>190.1</v>
      </c>
      <c r="AF67">
        <v>748712.42</v>
      </c>
      <c r="AG67">
        <v>8930495.3399999999</v>
      </c>
      <c r="AH67">
        <v>185</v>
      </c>
      <c r="AI67">
        <v>5.27</v>
      </c>
      <c r="AJ67">
        <v>0</v>
      </c>
      <c r="AK67">
        <v>1.5</v>
      </c>
      <c r="AL67">
        <v>0.8</v>
      </c>
      <c r="AM67">
        <v>128.69999999999999</v>
      </c>
      <c r="AN67">
        <v>14.78</v>
      </c>
      <c r="AO67">
        <v>0</v>
      </c>
      <c r="AP67">
        <v>3.32</v>
      </c>
      <c r="AQ67">
        <v>0.69</v>
      </c>
      <c r="AR67">
        <v>0.12</v>
      </c>
      <c r="AS67">
        <v>0.09</v>
      </c>
      <c r="AT67">
        <v>20.32</v>
      </c>
      <c r="AU67">
        <v>5.41</v>
      </c>
      <c r="AV67">
        <v>0.36</v>
      </c>
      <c r="AW67">
        <v>1.93</v>
      </c>
      <c r="AX67">
        <v>9.34</v>
      </c>
      <c r="AY67">
        <v>0</v>
      </c>
      <c r="AZ67">
        <v>0</v>
      </c>
      <c r="BA67">
        <v>0</v>
      </c>
      <c r="BB67">
        <v>0</v>
      </c>
      <c r="BC67">
        <v>0</v>
      </c>
      <c r="BD67">
        <v>0</v>
      </c>
    </row>
    <row r="68" spans="1:56" x14ac:dyDescent="0.25">
      <c r="A68" s="23">
        <v>46304</v>
      </c>
      <c r="B68">
        <v>67</v>
      </c>
      <c r="C68" t="s">
        <v>82</v>
      </c>
      <c r="D68" t="s">
        <v>92</v>
      </c>
      <c r="E68">
        <v>2</v>
      </c>
      <c r="F68">
        <v>185</v>
      </c>
      <c r="G68">
        <v>1</v>
      </c>
      <c r="H68" t="s">
        <v>84</v>
      </c>
      <c r="I68" t="s">
        <v>91</v>
      </c>
      <c r="J68" t="s">
        <v>85</v>
      </c>
      <c r="K68" t="s">
        <v>86</v>
      </c>
      <c r="L68" t="s">
        <v>71</v>
      </c>
      <c r="M68" t="s">
        <v>87</v>
      </c>
      <c r="O68" t="s">
        <v>88</v>
      </c>
      <c r="P68" t="s">
        <v>89</v>
      </c>
      <c r="X68" t="s">
        <v>77</v>
      </c>
      <c r="Z68" t="s">
        <v>72</v>
      </c>
      <c r="AB68">
        <v>5</v>
      </c>
      <c r="AC68">
        <v>748710.48</v>
      </c>
      <c r="AD68">
        <v>8930494.9800000004</v>
      </c>
      <c r="AE68">
        <v>190.11</v>
      </c>
      <c r="AF68">
        <v>748711.56</v>
      </c>
      <c r="AG68">
        <v>8930494.1799999997</v>
      </c>
      <c r="AH68">
        <v>185</v>
      </c>
      <c r="AI68">
        <v>5.28</v>
      </c>
      <c r="AJ68">
        <v>0</v>
      </c>
      <c r="AK68">
        <v>1.5</v>
      </c>
      <c r="AL68">
        <v>0.8</v>
      </c>
      <c r="AM68">
        <v>126.44</v>
      </c>
      <c r="AN68">
        <v>14.76</v>
      </c>
      <c r="AO68">
        <v>0</v>
      </c>
      <c r="AP68">
        <v>3.32</v>
      </c>
      <c r="AQ68">
        <v>0.68</v>
      </c>
      <c r="AR68">
        <v>0.12</v>
      </c>
      <c r="AS68">
        <v>0.09</v>
      </c>
      <c r="AT68">
        <v>20.309999999999999</v>
      </c>
      <c r="AU68">
        <v>5.39</v>
      </c>
      <c r="AV68">
        <v>0.36</v>
      </c>
      <c r="AW68">
        <v>1.92</v>
      </c>
      <c r="AX68">
        <v>9.07</v>
      </c>
      <c r="AY68">
        <v>0</v>
      </c>
      <c r="AZ68">
        <v>0</v>
      </c>
      <c r="BA68">
        <v>0</v>
      </c>
      <c r="BB68">
        <v>0</v>
      </c>
      <c r="BC68">
        <v>0</v>
      </c>
      <c r="BD68">
        <v>0</v>
      </c>
    </row>
    <row r="69" spans="1:56" x14ac:dyDescent="0.25">
      <c r="A69" s="23">
        <v>46304</v>
      </c>
      <c r="B69">
        <v>68</v>
      </c>
      <c r="C69" t="s">
        <v>82</v>
      </c>
      <c r="D69" t="s">
        <v>92</v>
      </c>
      <c r="E69">
        <v>2</v>
      </c>
      <c r="F69">
        <v>185</v>
      </c>
      <c r="G69">
        <v>1</v>
      </c>
      <c r="H69" t="s">
        <v>84</v>
      </c>
      <c r="I69" t="s">
        <v>91</v>
      </c>
      <c r="J69" t="s">
        <v>85</v>
      </c>
      <c r="K69" t="s">
        <v>86</v>
      </c>
      <c r="L69" t="s">
        <v>71</v>
      </c>
      <c r="M69" t="s">
        <v>87</v>
      </c>
      <c r="O69" t="s">
        <v>88</v>
      </c>
      <c r="P69" t="s">
        <v>89</v>
      </c>
      <c r="X69" t="s">
        <v>77</v>
      </c>
      <c r="Z69" t="s">
        <v>72</v>
      </c>
      <c r="AB69">
        <v>5</v>
      </c>
      <c r="AC69">
        <v>748709.62</v>
      </c>
      <c r="AD69">
        <v>8930493.75</v>
      </c>
      <c r="AE69">
        <v>190.08</v>
      </c>
      <c r="AF69">
        <v>748710.72</v>
      </c>
      <c r="AG69">
        <v>8930492.9800000004</v>
      </c>
      <c r="AH69">
        <v>185</v>
      </c>
      <c r="AI69">
        <v>5.25</v>
      </c>
      <c r="AJ69">
        <v>0</v>
      </c>
      <c r="AK69">
        <v>1.5</v>
      </c>
      <c r="AL69">
        <v>0.8</v>
      </c>
      <c r="AM69">
        <v>124.91</v>
      </c>
      <c r="AN69">
        <v>14.81</v>
      </c>
      <c r="AO69">
        <v>0</v>
      </c>
      <c r="AP69">
        <v>3.31</v>
      </c>
      <c r="AQ69">
        <v>0.66</v>
      </c>
      <c r="AR69">
        <v>0.11</v>
      </c>
      <c r="AS69">
        <v>0.09</v>
      </c>
      <c r="AT69">
        <v>20.02</v>
      </c>
      <c r="AU69">
        <v>5.16</v>
      </c>
      <c r="AV69">
        <v>0.38</v>
      </c>
      <c r="AW69">
        <v>1.72</v>
      </c>
      <c r="AX69">
        <v>3</v>
      </c>
      <c r="AY69">
        <v>0</v>
      </c>
      <c r="AZ69">
        <v>0</v>
      </c>
      <c r="BA69">
        <v>0</v>
      </c>
      <c r="BB69">
        <v>0</v>
      </c>
      <c r="BC69">
        <v>0</v>
      </c>
      <c r="BD69">
        <v>0</v>
      </c>
    </row>
    <row r="70" spans="1:56" x14ac:dyDescent="0.25">
      <c r="A70" s="23">
        <v>46304</v>
      </c>
      <c r="B70">
        <v>69</v>
      </c>
      <c r="C70" t="s">
        <v>82</v>
      </c>
      <c r="D70" t="s">
        <v>92</v>
      </c>
      <c r="E70">
        <v>2</v>
      </c>
      <c r="F70">
        <v>185</v>
      </c>
      <c r="G70">
        <v>1</v>
      </c>
      <c r="H70" t="s">
        <v>84</v>
      </c>
      <c r="I70" t="s">
        <v>91</v>
      </c>
      <c r="J70" t="s">
        <v>85</v>
      </c>
      <c r="K70" t="s">
        <v>86</v>
      </c>
      <c r="L70" t="s">
        <v>71</v>
      </c>
      <c r="M70" t="s">
        <v>87</v>
      </c>
      <c r="O70" t="s">
        <v>88</v>
      </c>
      <c r="P70" t="s">
        <v>89</v>
      </c>
      <c r="X70" t="s">
        <v>77</v>
      </c>
      <c r="Z70" t="s">
        <v>72</v>
      </c>
      <c r="AB70">
        <v>5</v>
      </c>
      <c r="AC70">
        <v>748708.8</v>
      </c>
      <c r="AD70">
        <v>8930492.4900000002</v>
      </c>
      <c r="AE70">
        <v>190.04</v>
      </c>
      <c r="AF70">
        <v>748709.92</v>
      </c>
      <c r="AG70">
        <v>8930491.75</v>
      </c>
      <c r="AH70">
        <v>185</v>
      </c>
      <c r="AI70">
        <v>5.22</v>
      </c>
      <c r="AJ70">
        <v>0</v>
      </c>
      <c r="AK70">
        <v>1.5</v>
      </c>
      <c r="AL70">
        <v>0.8</v>
      </c>
      <c r="AM70">
        <v>123.39</v>
      </c>
      <c r="AN70">
        <v>14.92</v>
      </c>
      <c r="AO70">
        <v>0</v>
      </c>
      <c r="AP70">
        <v>3.31</v>
      </c>
      <c r="AQ70">
        <v>0.65</v>
      </c>
      <c r="AR70">
        <v>0.11</v>
      </c>
      <c r="AS70">
        <v>0.08</v>
      </c>
      <c r="AT70">
        <v>19.55</v>
      </c>
      <c r="AU70">
        <v>5.09</v>
      </c>
      <c r="AV70">
        <v>0.4</v>
      </c>
      <c r="AW70">
        <v>1.64</v>
      </c>
      <c r="AX70">
        <v>1.19</v>
      </c>
      <c r="AY70">
        <v>0</v>
      </c>
      <c r="AZ70">
        <v>0</v>
      </c>
      <c r="BA70">
        <v>0</v>
      </c>
      <c r="BB70">
        <v>0</v>
      </c>
      <c r="BC70">
        <v>0</v>
      </c>
      <c r="BD70">
        <v>0</v>
      </c>
    </row>
    <row r="71" spans="1:56" x14ac:dyDescent="0.25">
      <c r="A71" s="23">
        <v>46304</v>
      </c>
      <c r="B71">
        <v>70</v>
      </c>
      <c r="C71" t="s">
        <v>82</v>
      </c>
      <c r="D71" t="s">
        <v>92</v>
      </c>
      <c r="E71">
        <v>2</v>
      </c>
      <c r="F71">
        <v>185</v>
      </c>
      <c r="G71">
        <v>1</v>
      </c>
      <c r="H71" t="s">
        <v>84</v>
      </c>
      <c r="I71" t="s">
        <v>91</v>
      </c>
      <c r="J71" t="s">
        <v>85</v>
      </c>
      <c r="K71" t="s">
        <v>86</v>
      </c>
      <c r="L71" t="s">
        <v>71</v>
      </c>
      <c r="M71" t="s">
        <v>87</v>
      </c>
      <c r="O71" t="s">
        <v>88</v>
      </c>
      <c r="P71" t="s">
        <v>89</v>
      </c>
      <c r="X71" t="s">
        <v>77</v>
      </c>
      <c r="Z71" t="s">
        <v>72</v>
      </c>
      <c r="AB71">
        <v>5</v>
      </c>
      <c r="AC71">
        <v>748708.01</v>
      </c>
      <c r="AD71">
        <v>8930491.2200000007</v>
      </c>
      <c r="AE71">
        <v>190.03</v>
      </c>
      <c r="AF71">
        <v>748709.15</v>
      </c>
      <c r="AG71">
        <v>8930490.5099999998</v>
      </c>
      <c r="AH71">
        <v>185</v>
      </c>
      <c r="AI71">
        <v>5.2</v>
      </c>
      <c r="AJ71">
        <v>0</v>
      </c>
      <c r="AK71">
        <v>1.5</v>
      </c>
      <c r="AL71">
        <v>0.8</v>
      </c>
      <c r="AM71">
        <v>121.82</v>
      </c>
      <c r="AN71">
        <v>14.96</v>
      </c>
      <c r="AO71">
        <v>0</v>
      </c>
      <c r="AP71">
        <v>3.31</v>
      </c>
      <c r="AQ71">
        <v>0.65</v>
      </c>
      <c r="AR71">
        <v>0.1</v>
      </c>
      <c r="AS71">
        <v>0.08</v>
      </c>
      <c r="AT71">
        <v>18.809999999999999</v>
      </c>
      <c r="AU71">
        <v>5.03</v>
      </c>
      <c r="AV71">
        <v>0.42</v>
      </c>
      <c r="AW71">
        <v>1.54</v>
      </c>
      <c r="AX71">
        <v>0.34</v>
      </c>
      <c r="AY71">
        <v>0</v>
      </c>
      <c r="AZ71">
        <v>0</v>
      </c>
      <c r="BA71">
        <v>0</v>
      </c>
      <c r="BB71">
        <v>0</v>
      </c>
      <c r="BC71">
        <v>0</v>
      </c>
      <c r="BD71">
        <v>0</v>
      </c>
    </row>
    <row r="72" spans="1:56" x14ac:dyDescent="0.25">
      <c r="A72" s="23">
        <v>46304</v>
      </c>
      <c r="B72">
        <v>71</v>
      </c>
      <c r="C72" t="s">
        <v>82</v>
      </c>
      <c r="D72" t="s">
        <v>92</v>
      </c>
      <c r="E72">
        <v>2</v>
      </c>
      <c r="F72">
        <v>185</v>
      </c>
      <c r="G72">
        <v>1</v>
      </c>
      <c r="H72" t="s">
        <v>84</v>
      </c>
      <c r="I72" t="s">
        <v>91</v>
      </c>
      <c r="J72" t="s">
        <v>85</v>
      </c>
      <c r="K72" t="s">
        <v>86</v>
      </c>
      <c r="L72" t="s">
        <v>71</v>
      </c>
      <c r="M72" t="s">
        <v>87</v>
      </c>
      <c r="O72" t="s">
        <v>88</v>
      </c>
      <c r="P72" t="s">
        <v>89</v>
      </c>
      <c r="X72" t="s">
        <v>77</v>
      </c>
      <c r="Z72" t="s">
        <v>72</v>
      </c>
      <c r="AB72">
        <v>5</v>
      </c>
      <c r="AC72">
        <v>748707.26</v>
      </c>
      <c r="AD72">
        <v>8930489.9199999999</v>
      </c>
      <c r="AE72">
        <v>190.02</v>
      </c>
      <c r="AF72">
        <v>748708.43</v>
      </c>
      <c r="AG72">
        <v>8930489.25</v>
      </c>
      <c r="AH72">
        <v>185</v>
      </c>
      <c r="AI72">
        <v>5.2</v>
      </c>
      <c r="AJ72">
        <v>0</v>
      </c>
      <c r="AK72">
        <v>1.5</v>
      </c>
      <c r="AL72">
        <v>0.8</v>
      </c>
      <c r="AM72">
        <v>119.57</v>
      </c>
      <c r="AN72">
        <v>15.02</v>
      </c>
      <c r="AO72">
        <v>0</v>
      </c>
      <c r="AP72">
        <v>3.31</v>
      </c>
      <c r="AQ72">
        <v>0.65</v>
      </c>
      <c r="AR72">
        <v>0.1</v>
      </c>
      <c r="AS72">
        <v>0.08</v>
      </c>
      <c r="AT72">
        <v>18.809999999999999</v>
      </c>
      <c r="AU72">
        <v>5.03</v>
      </c>
      <c r="AV72">
        <v>0.42</v>
      </c>
      <c r="AW72">
        <v>1.54</v>
      </c>
      <c r="AX72">
        <v>0.34</v>
      </c>
      <c r="AY72">
        <v>0</v>
      </c>
      <c r="AZ72">
        <v>0</v>
      </c>
      <c r="BA72">
        <v>0</v>
      </c>
      <c r="BB72">
        <v>0</v>
      </c>
      <c r="BC72">
        <v>0</v>
      </c>
      <c r="BD72">
        <v>0</v>
      </c>
    </row>
    <row r="73" spans="1:56" x14ac:dyDescent="0.25">
      <c r="A73" s="23">
        <v>46304</v>
      </c>
      <c r="B73">
        <v>72</v>
      </c>
      <c r="C73" t="s">
        <v>82</v>
      </c>
      <c r="D73" t="s">
        <v>92</v>
      </c>
      <c r="E73">
        <v>2</v>
      </c>
      <c r="F73">
        <v>185</v>
      </c>
      <c r="G73">
        <v>1</v>
      </c>
      <c r="H73" t="s">
        <v>84</v>
      </c>
      <c r="I73" t="s">
        <v>91</v>
      </c>
      <c r="J73" t="s">
        <v>85</v>
      </c>
      <c r="K73" t="s">
        <v>86</v>
      </c>
      <c r="L73" t="s">
        <v>71</v>
      </c>
      <c r="M73" t="s">
        <v>87</v>
      </c>
      <c r="O73" t="s">
        <v>88</v>
      </c>
      <c r="P73" t="s">
        <v>89</v>
      </c>
      <c r="X73" t="s">
        <v>77</v>
      </c>
      <c r="Z73" t="s">
        <v>72</v>
      </c>
      <c r="AB73">
        <v>5</v>
      </c>
      <c r="AC73">
        <v>748706.56</v>
      </c>
      <c r="AD73">
        <v>8930488.5899999999</v>
      </c>
      <c r="AE73">
        <v>189.99</v>
      </c>
      <c r="AF73">
        <v>748707.75</v>
      </c>
      <c r="AG73">
        <v>8930487.9600000009</v>
      </c>
      <c r="AH73">
        <v>185</v>
      </c>
      <c r="AI73">
        <v>5.17</v>
      </c>
      <c r="AJ73">
        <v>0</v>
      </c>
      <c r="AK73">
        <v>1.5</v>
      </c>
      <c r="AL73">
        <v>0.8</v>
      </c>
      <c r="AM73">
        <v>118.04</v>
      </c>
      <c r="AN73">
        <v>15.06</v>
      </c>
      <c r="AO73">
        <v>0</v>
      </c>
      <c r="AP73">
        <v>3.31</v>
      </c>
      <c r="AQ73">
        <v>0.65</v>
      </c>
      <c r="AR73">
        <v>0.1</v>
      </c>
      <c r="AS73">
        <v>0.08</v>
      </c>
      <c r="AT73">
        <v>18.809999999999999</v>
      </c>
      <c r="AU73">
        <v>5.03</v>
      </c>
      <c r="AV73">
        <v>0.42</v>
      </c>
      <c r="AW73">
        <v>1.54</v>
      </c>
      <c r="AX73">
        <v>0.34</v>
      </c>
      <c r="AY73">
        <v>0</v>
      </c>
      <c r="AZ73">
        <v>0</v>
      </c>
      <c r="BA73">
        <v>0</v>
      </c>
      <c r="BB73">
        <v>0</v>
      </c>
      <c r="BC73">
        <v>0</v>
      </c>
      <c r="BD73">
        <v>0</v>
      </c>
    </row>
    <row r="74" spans="1:56" x14ac:dyDescent="0.25">
      <c r="A74" s="23">
        <v>46304</v>
      </c>
      <c r="B74">
        <v>73</v>
      </c>
      <c r="C74" t="s">
        <v>82</v>
      </c>
      <c r="D74" t="s">
        <v>92</v>
      </c>
      <c r="E74">
        <v>2</v>
      </c>
      <c r="F74">
        <v>185</v>
      </c>
      <c r="G74">
        <v>1</v>
      </c>
      <c r="H74" t="s">
        <v>84</v>
      </c>
      <c r="I74" t="s">
        <v>91</v>
      </c>
      <c r="J74" t="s">
        <v>85</v>
      </c>
      <c r="K74" t="s">
        <v>86</v>
      </c>
      <c r="L74" t="s">
        <v>71</v>
      </c>
      <c r="M74" t="s">
        <v>87</v>
      </c>
      <c r="O74" t="s">
        <v>88</v>
      </c>
      <c r="P74" t="s">
        <v>89</v>
      </c>
      <c r="X74" t="s">
        <v>77</v>
      </c>
      <c r="Z74" t="s">
        <v>72</v>
      </c>
      <c r="AB74">
        <v>5</v>
      </c>
      <c r="AC74">
        <v>748705.89</v>
      </c>
      <c r="AD74">
        <v>8930487.25</v>
      </c>
      <c r="AE74">
        <v>190</v>
      </c>
      <c r="AF74">
        <v>748707.09</v>
      </c>
      <c r="AG74">
        <v>8930486.6500000004</v>
      </c>
      <c r="AH74">
        <v>185</v>
      </c>
      <c r="AI74">
        <v>5.18</v>
      </c>
      <c r="AJ74">
        <v>0</v>
      </c>
      <c r="AK74">
        <v>1.5</v>
      </c>
      <c r="AL74">
        <v>0.8</v>
      </c>
      <c r="AM74">
        <v>116.51</v>
      </c>
      <c r="AN74">
        <v>15.07</v>
      </c>
      <c r="AO74">
        <v>0</v>
      </c>
      <c r="AP74">
        <v>3.3</v>
      </c>
      <c r="AQ74">
        <v>0.65</v>
      </c>
      <c r="AR74">
        <v>0.1</v>
      </c>
      <c r="AS74">
        <v>0.08</v>
      </c>
      <c r="AT74">
        <v>18.22</v>
      </c>
      <c r="AU74">
        <v>4.99</v>
      </c>
      <c r="AV74">
        <v>0.44</v>
      </c>
      <c r="AW74">
        <v>1.48</v>
      </c>
      <c r="AX74">
        <v>0.22</v>
      </c>
      <c r="AY74">
        <v>0</v>
      </c>
      <c r="AZ74">
        <v>0</v>
      </c>
      <c r="BA74">
        <v>0</v>
      </c>
      <c r="BB74">
        <v>0</v>
      </c>
      <c r="BC74">
        <v>0</v>
      </c>
      <c r="BD74">
        <v>0</v>
      </c>
    </row>
    <row r="75" spans="1:56" x14ac:dyDescent="0.25">
      <c r="A75" s="23">
        <v>46304</v>
      </c>
      <c r="B75">
        <v>74</v>
      </c>
      <c r="C75" t="s">
        <v>82</v>
      </c>
      <c r="D75" t="s">
        <v>92</v>
      </c>
      <c r="E75">
        <v>2</v>
      </c>
      <c r="F75">
        <v>185</v>
      </c>
      <c r="G75">
        <v>1</v>
      </c>
      <c r="H75" t="s">
        <v>84</v>
      </c>
      <c r="I75" t="s">
        <v>91</v>
      </c>
      <c r="J75" t="s">
        <v>85</v>
      </c>
      <c r="K75" t="s">
        <v>86</v>
      </c>
      <c r="L75" t="s">
        <v>71</v>
      </c>
      <c r="M75" t="s">
        <v>87</v>
      </c>
      <c r="O75" t="s">
        <v>88</v>
      </c>
      <c r="P75" t="s">
        <v>89</v>
      </c>
      <c r="X75" t="s">
        <v>77</v>
      </c>
      <c r="Z75" t="s">
        <v>72</v>
      </c>
      <c r="AB75">
        <v>5</v>
      </c>
      <c r="AC75">
        <v>748705.26</v>
      </c>
      <c r="AD75">
        <v>8930485.8900000006</v>
      </c>
      <c r="AE75">
        <v>190.05</v>
      </c>
      <c r="AF75">
        <v>748706.48</v>
      </c>
      <c r="AG75">
        <v>8930485.3200000003</v>
      </c>
      <c r="AH75">
        <v>185</v>
      </c>
      <c r="AI75">
        <v>5.23</v>
      </c>
      <c r="AJ75">
        <v>0</v>
      </c>
      <c r="AK75">
        <v>1.5</v>
      </c>
      <c r="AL75">
        <v>0.8</v>
      </c>
      <c r="AM75">
        <v>114.94</v>
      </c>
      <c r="AN75">
        <v>14.9</v>
      </c>
      <c r="AO75">
        <v>0</v>
      </c>
      <c r="AP75">
        <v>3.3</v>
      </c>
      <c r="AQ75">
        <v>0.65</v>
      </c>
      <c r="AR75">
        <v>0.1</v>
      </c>
      <c r="AS75">
        <v>0.08</v>
      </c>
      <c r="AT75">
        <v>18.16</v>
      </c>
      <c r="AU75">
        <v>5</v>
      </c>
      <c r="AV75">
        <v>0.44</v>
      </c>
      <c r="AW75">
        <v>1.48</v>
      </c>
      <c r="AX75">
        <v>0.31</v>
      </c>
      <c r="AY75">
        <v>0</v>
      </c>
      <c r="AZ75">
        <v>0</v>
      </c>
      <c r="BA75">
        <v>0</v>
      </c>
      <c r="BB75">
        <v>0</v>
      </c>
      <c r="BC75">
        <v>0</v>
      </c>
      <c r="BD75">
        <v>0</v>
      </c>
    </row>
    <row r="76" spans="1:56" x14ac:dyDescent="0.25">
      <c r="A76" s="23">
        <v>46304</v>
      </c>
      <c r="B76">
        <v>75</v>
      </c>
      <c r="C76" t="s">
        <v>82</v>
      </c>
      <c r="D76" t="s">
        <v>92</v>
      </c>
      <c r="E76">
        <v>2</v>
      </c>
      <c r="F76">
        <v>185</v>
      </c>
      <c r="G76">
        <v>1</v>
      </c>
      <c r="H76" t="s">
        <v>84</v>
      </c>
      <c r="I76" t="s">
        <v>91</v>
      </c>
      <c r="J76" t="s">
        <v>85</v>
      </c>
      <c r="K76" t="s">
        <v>86</v>
      </c>
      <c r="L76" t="s">
        <v>71</v>
      </c>
      <c r="M76" t="s">
        <v>87</v>
      </c>
      <c r="O76" t="s">
        <v>88</v>
      </c>
      <c r="P76" t="s">
        <v>89</v>
      </c>
      <c r="X76" t="s">
        <v>77</v>
      </c>
      <c r="Z76" t="s">
        <v>72</v>
      </c>
      <c r="AB76">
        <v>5</v>
      </c>
      <c r="AC76">
        <v>748704.68</v>
      </c>
      <c r="AD76">
        <v>8930484.5</v>
      </c>
      <c r="AE76">
        <v>190.09</v>
      </c>
      <c r="AF76">
        <v>748705.92</v>
      </c>
      <c r="AG76">
        <v>8930483.9800000004</v>
      </c>
      <c r="AH76">
        <v>185</v>
      </c>
      <c r="AI76">
        <v>5.26</v>
      </c>
      <c r="AJ76">
        <v>0</v>
      </c>
      <c r="AK76">
        <v>1.5</v>
      </c>
      <c r="AL76">
        <v>0.8</v>
      </c>
      <c r="AM76">
        <v>112.69</v>
      </c>
      <c r="AN76">
        <v>14.82</v>
      </c>
      <c r="AO76">
        <v>0</v>
      </c>
      <c r="AP76">
        <v>3.3</v>
      </c>
      <c r="AQ76">
        <v>0.65</v>
      </c>
      <c r="AR76">
        <v>0.1</v>
      </c>
      <c r="AS76">
        <v>0.08</v>
      </c>
      <c r="AT76">
        <v>18.16</v>
      </c>
      <c r="AU76">
        <v>5</v>
      </c>
      <c r="AV76">
        <v>0.44</v>
      </c>
      <c r="AW76">
        <v>1.48</v>
      </c>
      <c r="AX76">
        <v>0.28000000000000003</v>
      </c>
      <c r="AY76">
        <v>0</v>
      </c>
      <c r="AZ76">
        <v>0</v>
      </c>
      <c r="BA76">
        <v>0</v>
      </c>
      <c r="BB76">
        <v>0</v>
      </c>
      <c r="BC76">
        <v>0</v>
      </c>
      <c r="BD76">
        <v>0</v>
      </c>
    </row>
    <row r="77" spans="1:56" x14ac:dyDescent="0.25">
      <c r="A77" s="23">
        <v>46304</v>
      </c>
      <c r="B77">
        <v>76</v>
      </c>
      <c r="C77" t="s">
        <v>82</v>
      </c>
      <c r="D77" t="s">
        <v>92</v>
      </c>
      <c r="E77">
        <v>2</v>
      </c>
      <c r="F77">
        <v>185</v>
      </c>
      <c r="G77">
        <v>1</v>
      </c>
      <c r="H77" t="s">
        <v>84</v>
      </c>
      <c r="I77" t="s">
        <v>91</v>
      </c>
      <c r="J77" t="s">
        <v>85</v>
      </c>
      <c r="K77" t="s">
        <v>86</v>
      </c>
      <c r="L77" t="s">
        <v>71</v>
      </c>
      <c r="M77" t="s">
        <v>87</v>
      </c>
      <c r="O77" t="s">
        <v>88</v>
      </c>
      <c r="P77" t="s">
        <v>89</v>
      </c>
      <c r="X77" t="s">
        <v>77</v>
      </c>
      <c r="Z77" t="s">
        <v>72</v>
      </c>
      <c r="AB77">
        <v>5</v>
      </c>
      <c r="AC77">
        <v>748704.14</v>
      </c>
      <c r="AD77">
        <v>8930483.0999999996</v>
      </c>
      <c r="AE77">
        <v>190.06</v>
      </c>
      <c r="AF77">
        <v>748705.39</v>
      </c>
      <c r="AG77">
        <v>8930482.6199999992</v>
      </c>
      <c r="AH77">
        <v>185</v>
      </c>
      <c r="AI77">
        <v>5.23</v>
      </c>
      <c r="AJ77">
        <v>0</v>
      </c>
      <c r="AK77">
        <v>1.5</v>
      </c>
      <c r="AL77">
        <v>0.8</v>
      </c>
      <c r="AM77">
        <v>111.16</v>
      </c>
      <c r="AN77">
        <v>14.89</v>
      </c>
      <c r="AO77">
        <v>0</v>
      </c>
      <c r="AP77">
        <v>3.3</v>
      </c>
      <c r="AQ77">
        <v>0.65</v>
      </c>
      <c r="AR77">
        <v>0.1</v>
      </c>
      <c r="AS77">
        <v>0.08</v>
      </c>
      <c r="AT77">
        <v>18.07</v>
      </c>
      <c r="AU77">
        <v>4.96</v>
      </c>
      <c r="AV77">
        <v>0.44</v>
      </c>
      <c r="AW77">
        <v>1.46</v>
      </c>
      <c r="AX77">
        <v>0</v>
      </c>
      <c r="AY77">
        <v>0</v>
      </c>
      <c r="AZ77">
        <v>0</v>
      </c>
      <c r="BA77">
        <v>0</v>
      </c>
      <c r="BB77">
        <v>0</v>
      </c>
      <c r="BC77">
        <v>0</v>
      </c>
      <c r="BD77">
        <v>0</v>
      </c>
    </row>
    <row r="78" spans="1:56" x14ac:dyDescent="0.25">
      <c r="A78" s="23">
        <v>46304</v>
      </c>
      <c r="B78">
        <v>77</v>
      </c>
      <c r="C78" t="s">
        <v>82</v>
      </c>
      <c r="D78" t="s">
        <v>92</v>
      </c>
      <c r="E78">
        <v>2</v>
      </c>
      <c r="F78">
        <v>185</v>
      </c>
      <c r="G78">
        <v>1</v>
      </c>
      <c r="H78" t="s">
        <v>84</v>
      </c>
      <c r="I78" t="s">
        <v>91</v>
      </c>
      <c r="J78" t="s">
        <v>85</v>
      </c>
      <c r="K78" t="s">
        <v>86</v>
      </c>
      <c r="L78" t="s">
        <v>71</v>
      </c>
      <c r="M78" t="s">
        <v>87</v>
      </c>
      <c r="O78" t="s">
        <v>88</v>
      </c>
      <c r="P78" t="s">
        <v>89</v>
      </c>
      <c r="X78" t="s">
        <v>77</v>
      </c>
      <c r="Z78" t="s">
        <v>72</v>
      </c>
      <c r="AB78">
        <v>5</v>
      </c>
      <c r="AC78">
        <v>748703.63</v>
      </c>
      <c r="AD78">
        <v>8930481.6899999995</v>
      </c>
      <c r="AE78">
        <v>190.02</v>
      </c>
      <c r="AF78">
        <v>748704.9</v>
      </c>
      <c r="AG78">
        <v>8930481.2400000002</v>
      </c>
      <c r="AH78">
        <v>185</v>
      </c>
      <c r="AI78">
        <v>5.2</v>
      </c>
      <c r="AJ78">
        <v>0</v>
      </c>
      <c r="AK78">
        <v>1.5</v>
      </c>
      <c r="AL78">
        <v>0.8</v>
      </c>
      <c r="AM78">
        <v>109.63</v>
      </c>
      <c r="AN78">
        <v>14.99</v>
      </c>
      <c r="AO78">
        <v>0</v>
      </c>
      <c r="AP78">
        <v>3.3</v>
      </c>
      <c r="AQ78">
        <v>0.65</v>
      </c>
      <c r="AR78">
        <v>0.1</v>
      </c>
      <c r="AS78">
        <v>0.08</v>
      </c>
      <c r="AT78">
        <v>18.16</v>
      </c>
      <c r="AU78">
        <v>5</v>
      </c>
      <c r="AV78">
        <v>0.44</v>
      </c>
      <c r="AW78">
        <v>1.48</v>
      </c>
      <c r="AX78">
        <v>0.28000000000000003</v>
      </c>
      <c r="AY78">
        <v>0</v>
      </c>
      <c r="AZ78">
        <v>0</v>
      </c>
      <c r="BA78">
        <v>0</v>
      </c>
      <c r="BB78">
        <v>0</v>
      </c>
      <c r="BC78">
        <v>0</v>
      </c>
      <c r="BD78">
        <v>0</v>
      </c>
    </row>
    <row r="79" spans="1:56" x14ac:dyDescent="0.25">
      <c r="A79" s="23">
        <v>46304</v>
      </c>
      <c r="B79">
        <v>78</v>
      </c>
      <c r="C79" t="s">
        <v>82</v>
      </c>
      <c r="D79" t="s">
        <v>92</v>
      </c>
      <c r="E79">
        <v>2</v>
      </c>
      <c r="F79">
        <v>185</v>
      </c>
      <c r="G79">
        <v>1</v>
      </c>
      <c r="H79" t="s">
        <v>84</v>
      </c>
      <c r="I79" t="s">
        <v>91</v>
      </c>
      <c r="J79" t="s">
        <v>85</v>
      </c>
      <c r="K79" t="s">
        <v>86</v>
      </c>
      <c r="L79" t="s">
        <v>71</v>
      </c>
      <c r="M79" t="s">
        <v>87</v>
      </c>
      <c r="O79" t="s">
        <v>88</v>
      </c>
      <c r="P79" t="s">
        <v>89</v>
      </c>
      <c r="X79" t="s">
        <v>77</v>
      </c>
      <c r="Z79" t="s">
        <v>72</v>
      </c>
      <c r="AB79">
        <v>5</v>
      </c>
      <c r="AC79">
        <v>748703.17</v>
      </c>
      <c r="AD79">
        <v>8930480.2599999998</v>
      </c>
      <c r="AE79">
        <v>190.03</v>
      </c>
      <c r="AF79">
        <v>748704.45</v>
      </c>
      <c r="AG79">
        <v>8930479.8499999996</v>
      </c>
      <c r="AH79">
        <v>185</v>
      </c>
      <c r="AI79">
        <v>5.21</v>
      </c>
      <c r="AJ79">
        <v>0</v>
      </c>
      <c r="AK79">
        <v>1.5</v>
      </c>
      <c r="AL79">
        <v>0.8</v>
      </c>
      <c r="AM79">
        <v>108.07</v>
      </c>
      <c r="AN79">
        <v>14.96</v>
      </c>
      <c r="AO79">
        <v>0</v>
      </c>
      <c r="AP79">
        <v>3.31</v>
      </c>
      <c r="AQ79">
        <v>0.63</v>
      </c>
      <c r="AR79">
        <v>0.1</v>
      </c>
      <c r="AS79">
        <v>0.08</v>
      </c>
      <c r="AT79">
        <v>17.73</v>
      </c>
      <c r="AU79">
        <v>4.99</v>
      </c>
      <c r="AV79">
        <v>0.45</v>
      </c>
      <c r="AW79">
        <v>1.42</v>
      </c>
      <c r="AX79">
        <v>1.04</v>
      </c>
      <c r="AY79">
        <v>0</v>
      </c>
      <c r="AZ79">
        <v>0</v>
      </c>
      <c r="BA79">
        <v>0</v>
      </c>
      <c r="BB79">
        <v>0</v>
      </c>
      <c r="BC79">
        <v>0</v>
      </c>
      <c r="BD79">
        <v>0</v>
      </c>
    </row>
    <row r="80" spans="1:56" x14ac:dyDescent="0.25">
      <c r="A80" s="23">
        <v>46304</v>
      </c>
      <c r="B80">
        <v>79</v>
      </c>
      <c r="C80" t="s">
        <v>82</v>
      </c>
      <c r="D80" t="s">
        <v>92</v>
      </c>
      <c r="E80">
        <v>2</v>
      </c>
      <c r="F80">
        <v>185</v>
      </c>
      <c r="G80">
        <v>1</v>
      </c>
      <c r="H80" t="s">
        <v>84</v>
      </c>
      <c r="I80" t="s">
        <v>91</v>
      </c>
      <c r="J80" t="s">
        <v>85</v>
      </c>
      <c r="K80" t="s">
        <v>86</v>
      </c>
      <c r="L80" t="s">
        <v>71</v>
      </c>
      <c r="M80" t="s">
        <v>87</v>
      </c>
      <c r="O80" t="s">
        <v>88</v>
      </c>
      <c r="P80" t="s">
        <v>89</v>
      </c>
      <c r="X80" t="s">
        <v>77</v>
      </c>
      <c r="Z80" t="s">
        <v>72</v>
      </c>
      <c r="AB80">
        <v>5</v>
      </c>
      <c r="AC80">
        <v>748702.75</v>
      </c>
      <c r="AD80">
        <v>8930478.8200000003</v>
      </c>
      <c r="AE80">
        <v>190.01</v>
      </c>
      <c r="AF80">
        <v>748704.04</v>
      </c>
      <c r="AG80">
        <v>8930478.4499999993</v>
      </c>
      <c r="AH80">
        <v>185</v>
      </c>
      <c r="AI80">
        <v>5.18</v>
      </c>
      <c r="AJ80">
        <v>0</v>
      </c>
      <c r="AK80">
        <v>1.5</v>
      </c>
      <c r="AL80">
        <v>0.8</v>
      </c>
      <c r="AM80">
        <v>106.13</v>
      </c>
      <c r="AN80">
        <v>15.02</v>
      </c>
      <c r="AO80">
        <v>0</v>
      </c>
      <c r="AP80">
        <v>3.32</v>
      </c>
      <c r="AQ80">
        <v>0.56000000000000005</v>
      </c>
      <c r="AR80">
        <v>0.09</v>
      </c>
      <c r="AS80">
        <v>7.0000000000000007E-2</v>
      </c>
      <c r="AT80">
        <v>16.07</v>
      </c>
      <c r="AU80">
        <v>4.9800000000000004</v>
      </c>
      <c r="AV80">
        <v>0.48</v>
      </c>
      <c r="AW80">
        <v>1.2</v>
      </c>
      <c r="AX80">
        <v>4.2</v>
      </c>
      <c r="AY80">
        <v>0</v>
      </c>
      <c r="AZ80">
        <v>0</v>
      </c>
      <c r="BA80">
        <v>0</v>
      </c>
      <c r="BB80">
        <v>0</v>
      </c>
      <c r="BC80">
        <v>0</v>
      </c>
      <c r="BD80">
        <v>0</v>
      </c>
    </row>
    <row r="81" spans="1:56" x14ac:dyDescent="0.25">
      <c r="A81" s="23">
        <v>46304</v>
      </c>
      <c r="B81">
        <v>80</v>
      </c>
      <c r="C81" t="s">
        <v>82</v>
      </c>
      <c r="D81" t="s">
        <v>92</v>
      </c>
      <c r="E81">
        <v>2</v>
      </c>
      <c r="F81">
        <v>185</v>
      </c>
      <c r="G81">
        <v>1</v>
      </c>
      <c r="H81" t="s">
        <v>84</v>
      </c>
      <c r="I81" t="s">
        <v>91</v>
      </c>
      <c r="J81" t="s">
        <v>85</v>
      </c>
      <c r="K81" t="s">
        <v>86</v>
      </c>
      <c r="L81" t="s">
        <v>71</v>
      </c>
      <c r="M81" t="s">
        <v>87</v>
      </c>
      <c r="O81" t="s">
        <v>88</v>
      </c>
      <c r="P81" t="s">
        <v>89</v>
      </c>
      <c r="X81" t="s">
        <v>77</v>
      </c>
      <c r="Z81" t="s">
        <v>72</v>
      </c>
      <c r="AB81">
        <v>5</v>
      </c>
      <c r="AC81">
        <v>748702.35</v>
      </c>
      <c r="AD81">
        <v>8930477.3800000008</v>
      </c>
      <c r="AE81">
        <v>189.99</v>
      </c>
      <c r="AF81">
        <v>748703.64</v>
      </c>
      <c r="AG81">
        <v>8930477.0199999996</v>
      </c>
      <c r="AH81">
        <v>185</v>
      </c>
      <c r="AI81">
        <v>5.17</v>
      </c>
      <c r="AJ81">
        <v>0</v>
      </c>
      <c r="AK81">
        <v>1.5</v>
      </c>
      <c r="AL81">
        <v>0.8</v>
      </c>
      <c r="AM81">
        <v>105.5</v>
      </c>
      <c r="AN81">
        <v>15.03</v>
      </c>
      <c r="AO81">
        <v>0</v>
      </c>
      <c r="AP81">
        <v>3.32</v>
      </c>
      <c r="AQ81">
        <v>0.45</v>
      </c>
      <c r="AR81">
        <v>7.0000000000000007E-2</v>
      </c>
      <c r="AS81">
        <v>0.05</v>
      </c>
      <c r="AT81">
        <v>13.71</v>
      </c>
      <c r="AU81">
        <v>4.87</v>
      </c>
      <c r="AV81">
        <v>0.5</v>
      </c>
      <c r="AW81">
        <v>0.87</v>
      </c>
      <c r="AX81">
        <v>8.07</v>
      </c>
      <c r="AY81">
        <v>0</v>
      </c>
      <c r="AZ81">
        <v>0</v>
      </c>
      <c r="BA81">
        <v>0</v>
      </c>
      <c r="BB81">
        <v>0</v>
      </c>
      <c r="BC81">
        <v>0</v>
      </c>
      <c r="BD81">
        <v>0</v>
      </c>
    </row>
    <row r="82" spans="1:56" x14ac:dyDescent="0.25">
      <c r="A82" s="23">
        <v>46304</v>
      </c>
      <c r="B82">
        <v>81</v>
      </c>
      <c r="C82" t="s">
        <v>82</v>
      </c>
      <c r="D82" t="s">
        <v>92</v>
      </c>
      <c r="E82">
        <v>2</v>
      </c>
      <c r="F82">
        <v>185</v>
      </c>
      <c r="G82">
        <v>1</v>
      </c>
      <c r="H82" t="s">
        <v>84</v>
      </c>
      <c r="I82" t="s">
        <v>91</v>
      </c>
      <c r="J82" t="s">
        <v>85</v>
      </c>
      <c r="K82" t="s">
        <v>86</v>
      </c>
      <c r="L82" t="s">
        <v>71</v>
      </c>
      <c r="M82" t="s">
        <v>87</v>
      </c>
      <c r="O82" t="s">
        <v>88</v>
      </c>
      <c r="P82" t="s">
        <v>89</v>
      </c>
      <c r="X82" t="s">
        <v>77</v>
      </c>
      <c r="Z82" t="s">
        <v>72</v>
      </c>
      <c r="AB82">
        <v>5</v>
      </c>
      <c r="AC82">
        <v>748701.95</v>
      </c>
      <c r="AD82">
        <v>8930475.9299999997</v>
      </c>
      <c r="AE82">
        <v>189.96</v>
      </c>
      <c r="AF82">
        <v>748703.24</v>
      </c>
      <c r="AG82">
        <v>8930475.5700000003</v>
      </c>
      <c r="AH82">
        <v>185</v>
      </c>
      <c r="AI82">
        <v>5.14</v>
      </c>
      <c r="AJ82">
        <v>0</v>
      </c>
      <c r="AK82">
        <v>1.5</v>
      </c>
      <c r="AL82">
        <v>0.8</v>
      </c>
      <c r="AM82">
        <v>105.5</v>
      </c>
      <c r="AN82">
        <v>15.1</v>
      </c>
      <c r="AO82">
        <v>0</v>
      </c>
      <c r="AP82">
        <v>3.31</v>
      </c>
      <c r="AQ82">
        <v>0.44</v>
      </c>
      <c r="AR82">
        <v>0.06</v>
      </c>
      <c r="AS82">
        <v>0.05</v>
      </c>
      <c r="AT82">
        <v>13.11</v>
      </c>
      <c r="AU82">
        <v>4.68</v>
      </c>
      <c r="AV82">
        <v>0.49</v>
      </c>
      <c r="AW82">
        <v>0.84</v>
      </c>
      <c r="AX82">
        <v>7.83</v>
      </c>
      <c r="AY82">
        <v>0</v>
      </c>
      <c r="AZ82">
        <v>0</v>
      </c>
      <c r="BA82">
        <v>0</v>
      </c>
      <c r="BB82">
        <v>0</v>
      </c>
      <c r="BC82">
        <v>0</v>
      </c>
      <c r="BD82">
        <v>0</v>
      </c>
    </row>
    <row r="83" spans="1:56" x14ac:dyDescent="0.25">
      <c r="A83" s="23">
        <v>46304</v>
      </c>
      <c r="B83">
        <v>82</v>
      </c>
      <c r="C83" t="s">
        <v>82</v>
      </c>
      <c r="D83" t="s">
        <v>92</v>
      </c>
      <c r="E83">
        <v>2</v>
      </c>
      <c r="F83">
        <v>185</v>
      </c>
      <c r="G83">
        <v>1</v>
      </c>
      <c r="H83" t="s">
        <v>84</v>
      </c>
      <c r="I83" t="s">
        <v>91</v>
      </c>
      <c r="J83" t="s">
        <v>85</v>
      </c>
      <c r="K83" t="s">
        <v>86</v>
      </c>
      <c r="L83" t="s">
        <v>71</v>
      </c>
      <c r="M83" t="s">
        <v>87</v>
      </c>
      <c r="O83" t="s">
        <v>88</v>
      </c>
      <c r="P83" t="s">
        <v>89</v>
      </c>
      <c r="X83" t="s">
        <v>77</v>
      </c>
      <c r="Z83" t="s">
        <v>72</v>
      </c>
      <c r="AB83">
        <v>5</v>
      </c>
      <c r="AC83">
        <v>748701.55</v>
      </c>
      <c r="AD83">
        <v>8930474.4900000002</v>
      </c>
      <c r="AE83">
        <v>189.98</v>
      </c>
      <c r="AF83">
        <v>748702.84</v>
      </c>
      <c r="AG83">
        <v>8930474.1300000008</v>
      </c>
      <c r="AH83">
        <v>185</v>
      </c>
      <c r="AI83">
        <v>5.16</v>
      </c>
      <c r="AJ83">
        <v>0</v>
      </c>
      <c r="AK83">
        <v>1.5</v>
      </c>
      <c r="AL83">
        <v>0.8</v>
      </c>
      <c r="AM83">
        <v>105.5</v>
      </c>
      <c r="AN83">
        <v>15.04</v>
      </c>
      <c r="AO83">
        <v>0</v>
      </c>
      <c r="AP83">
        <v>3.31</v>
      </c>
      <c r="AQ83">
        <v>0.44</v>
      </c>
      <c r="AR83">
        <v>0.06</v>
      </c>
      <c r="AS83">
        <v>0.05</v>
      </c>
      <c r="AT83">
        <v>13.11</v>
      </c>
      <c r="AU83">
        <v>4.68</v>
      </c>
      <c r="AV83">
        <v>0.49</v>
      </c>
      <c r="AW83">
        <v>0.84</v>
      </c>
      <c r="AX83">
        <v>7.83</v>
      </c>
      <c r="AY83">
        <v>0</v>
      </c>
      <c r="AZ83">
        <v>0</v>
      </c>
      <c r="BA83">
        <v>0</v>
      </c>
      <c r="BB83">
        <v>0</v>
      </c>
      <c r="BC83">
        <v>0</v>
      </c>
      <c r="BD83">
        <v>0</v>
      </c>
    </row>
    <row r="84" spans="1:56" x14ac:dyDescent="0.25">
      <c r="A84" s="23">
        <v>46304</v>
      </c>
      <c r="B84">
        <v>83</v>
      </c>
      <c r="C84" t="s">
        <v>82</v>
      </c>
      <c r="D84" t="s">
        <v>92</v>
      </c>
      <c r="E84">
        <v>2</v>
      </c>
      <c r="F84">
        <v>185</v>
      </c>
      <c r="G84">
        <v>1</v>
      </c>
      <c r="H84" t="s">
        <v>84</v>
      </c>
      <c r="I84" t="s">
        <v>91</v>
      </c>
      <c r="J84" t="s">
        <v>85</v>
      </c>
      <c r="K84" t="s">
        <v>86</v>
      </c>
      <c r="L84" t="s">
        <v>71</v>
      </c>
      <c r="M84" t="s">
        <v>87</v>
      </c>
      <c r="O84" t="s">
        <v>88</v>
      </c>
      <c r="P84" t="s">
        <v>89</v>
      </c>
      <c r="X84" t="s">
        <v>77</v>
      </c>
      <c r="Z84" t="s">
        <v>72</v>
      </c>
      <c r="AB84">
        <v>5</v>
      </c>
      <c r="AC84">
        <v>748701.16</v>
      </c>
      <c r="AD84">
        <v>8930473.0399999991</v>
      </c>
      <c r="AE84">
        <v>189.9</v>
      </c>
      <c r="AF84">
        <v>748702.44</v>
      </c>
      <c r="AG84">
        <v>8930472.6799999997</v>
      </c>
      <c r="AH84">
        <v>185</v>
      </c>
      <c r="AI84">
        <v>5.08</v>
      </c>
      <c r="AJ84">
        <v>0</v>
      </c>
      <c r="AK84">
        <v>1.5</v>
      </c>
      <c r="AL84">
        <v>0.8</v>
      </c>
      <c r="AM84">
        <v>105.5</v>
      </c>
      <c r="AN84">
        <v>15.19</v>
      </c>
      <c r="AO84">
        <v>0</v>
      </c>
      <c r="AP84">
        <v>3.31</v>
      </c>
      <c r="AQ84">
        <v>0.44</v>
      </c>
      <c r="AR84">
        <v>0.06</v>
      </c>
      <c r="AS84">
        <v>0.05</v>
      </c>
      <c r="AT84">
        <v>13.11</v>
      </c>
      <c r="AU84">
        <v>4.68</v>
      </c>
      <c r="AV84">
        <v>0.49</v>
      </c>
      <c r="AW84">
        <v>0.84</v>
      </c>
      <c r="AX84">
        <v>7.83</v>
      </c>
      <c r="AY84">
        <v>0</v>
      </c>
      <c r="AZ84">
        <v>0</v>
      </c>
      <c r="BA84">
        <v>0</v>
      </c>
      <c r="BB84">
        <v>0</v>
      </c>
      <c r="BC84">
        <v>0</v>
      </c>
      <c r="BD84">
        <v>0</v>
      </c>
    </row>
    <row r="85" spans="1:56" x14ac:dyDescent="0.25">
      <c r="A85" s="23">
        <v>46304</v>
      </c>
      <c r="B85">
        <v>84</v>
      </c>
      <c r="C85" t="s">
        <v>82</v>
      </c>
      <c r="D85" t="s">
        <v>92</v>
      </c>
      <c r="E85">
        <v>2</v>
      </c>
      <c r="F85">
        <v>185</v>
      </c>
      <c r="G85">
        <v>1</v>
      </c>
      <c r="H85" t="s">
        <v>84</v>
      </c>
      <c r="I85" t="s">
        <v>91</v>
      </c>
      <c r="J85" t="s">
        <v>85</v>
      </c>
      <c r="K85" t="s">
        <v>86</v>
      </c>
      <c r="L85" t="s">
        <v>71</v>
      </c>
      <c r="M85" t="s">
        <v>87</v>
      </c>
      <c r="O85" t="s">
        <v>88</v>
      </c>
      <c r="P85" t="s">
        <v>89</v>
      </c>
      <c r="X85" t="s">
        <v>77</v>
      </c>
      <c r="Z85" t="s">
        <v>72</v>
      </c>
      <c r="AB85">
        <v>5</v>
      </c>
      <c r="AC85">
        <v>748700.75</v>
      </c>
      <c r="AD85">
        <v>8930471.5899999999</v>
      </c>
      <c r="AE85">
        <v>189.99</v>
      </c>
      <c r="AF85">
        <v>748702.04</v>
      </c>
      <c r="AG85">
        <v>8930471.2400000002</v>
      </c>
      <c r="AH85">
        <v>185</v>
      </c>
      <c r="AI85">
        <v>5.17</v>
      </c>
      <c r="AJ85">
        <v>0</v>
      </c>
      <c r="AK85">
        <v>1.5</v>
      </c>
      <c r="AL85">
        <v>0.8</v>
      </c>
      <c r="AM85">
        <v>105.5</v>
      </c>
      <c r="AN85">
        <v>15.01</v>
      </c>
      <c r="AO85">
        <v>0</v>
      </c>
      <c r="AP85">
        <v>3.29</v>
      </c>
      <c r="AQ85">
        <v>0.42</v>
      </c>
      <c r="AR85">
        <v>0.06</v>
      </c>
      <c r="AS85">
        <v>0.05</v>
      </c>
      <c r="AT85">
        <v>12.38</v>
      </c>
      <c r="AU85">
        <v>4.42</v>
      </c>
      <c r="AV85">
        <v>0.48</v>
      </c>
      <c r="AW85">
        <v>0.8</v>
      </c>
      <c r="AX85">
        <v>7.51</v>
      </c>
      <c r="AY85">
        <v>0</v>
      </c>
      <c r="AZ85">
        <v>0</v>
      </c>
      <c r="BA85">
        <v>0</v>
      </c>
      <c r="BB85">
        <v>0</v>
      </c>
      <c r="BC85">
        <v>0</v>
      </c>
      <c r="BD85">
        <v>0</v>
      </c>
    </row>
    <row r="86" spans="1:56" x14ac:dyDescent="0.25">
      <c r="A86" s="23">
        <v>46304</v>
      </c>
      <c r="B86">
        <v>85</v>
      </c>
      <c r="C86" t="s">
        <v>82</v>
      </c>
      <c r="D86" t="s">
        <v>92</v>
      </c>
      <c r="E86">
        <v>2</v>
      </c>
      <c r="F86">
        <v>185</v>
      </c>
      <c r="G86">
        <v>1</v>
      </c>
      <c r="H86" t="s">
        <v>84</v>
      </c>
      <c r="I86" t="s">
        <v>91</v>
      </c>
      <c r="J86" t="s">
        <v>85</v>
      </c>
      <c r="K86" t="s">
        <v>86</v>
      </c>
      <c r="L86" t="s">
        <v>71</v>
      </c>
      <c r="M86" t="s">
        <v>87</v>
      </c>
      <c r="O86" t="s">
        <v>88</v>
      </c>
      <c r="P86" t="s">
        <v>89</v>
      </c>
      <c r="X86" t="s">
        <v>77</v>
      </c>
      <c r="Z86" t="s">
        <v>72</v>
      </c>
      <c r="AB86">
        <v>5</v>
      </c>
      <c r="AC86">
        <v>748700.36</v>
      </c>
      <c r="AD86">
        <v>8930470.1500000004</v>
      </c>
      <c r="AE86">
        <v>190.09</v>
      </c>
      <c r="AF86">
        <v>748701.64</v>
      </c>
      <c r="AG86">
        <v>8930469.7899999991</v>
      </c>
      <c r="AH86">
        <v>185</v>
      </c>
      <c r="AI86">
        <v>5.26</v>
      </c>
      <c r="AJ86">
        <v>0</v>
      </c>
      <c r="AK86">
        <v>1.5</v>
      </c>
      <c r="AL86">
        <v>0.8</v>
      </c>
      <c r="AM86">
        <v>105.5</v>
      </c>
      <c r="AN86">
        <v>14.69</v>
      </c>
      <c r="AO86">
        <v>0</v>
      </c>
      <c r="AP86">
        <v>3.25</v>
      </c>
      <c r="AQ86">
        <v>0.38</v>
      </c>
      <c r="AR86">
        <v>0.06</v>
      </c>
      <c r="AS86">
        <v>0.05</v>
      </c>
      <c r="AT86">
        <v>11.41</v>
      </c>
      <c r="AU86">
        <v>4.17</v>
      </c>
      <c r="AV86">
        <v>0.43</v>
      </c>
      <c r="AW86">
        <v>0.73</v>
      </c>
      <c r="AX86">
        <v>6.53</v>
      </c>
      <c r="AY86">
        <v>0</v>
      </c>
      <c r="AZ86">
        <v>0</v>
      </c>
      <c r="BA86">
        <v>0</v>
      </c>
      <c r="BB86">
        <v>0</v>
      </c>
      <c r="BC86">
        <v>0</v>
      </c>
      <c r="BD86">
        <v>0</v>
      </c>
    </row>
    <row r="87" spans="1:56" x14ac:dyDescent="0.25">
      <c r="A87" s="23">
        <v>46304</v>
      </c>
      <c r="B87">
        <v>86</v>
      </c>
      <c r="C87" t="s">
        <v>82</v>
      </c>
      <c r="D87" t="s">
        <v>92</v>
      </c>
      <c r="E87">
        <v>2</v>
      </c>
      <c r="F87">
        <v>185</v>
      </c>
      <c r="G87">
        <v>1</v>
      </c>
      <c r="H87" t="s">
        <v>84</v>
      </c>
      <c r="I87" t="s">
        <v>91</v>
      </c>
      <c r="J87" t="s">
        <v>85</v>
      </c>
      <c r="K87" t="s">
        <v>86</v>
      </c>
      <c r="L87" t="s">
        <v>71</v>
      </c>
      <c r="M87" t="s">
        <v>87</v>
      </c>
      <c r="O87" t="s">
        <v>88</v>
      </c>
      <c r="P87" t="s">
        <v>89</v>
      </c>
      <c r="X87" t="s">
        <v>77</v>
      </c>
      <c r="Z87" t="s">
        <v>72</v>
      </c>
      <c r="AB87">
        <v>5</v>
      </c>
      <c r="AC87">
        <v>748699.95</v>
      </c>
      <c r="AD87">
        <v>8930468.6999999993</v>
      </c>
      <c r="AE87">
        <v>190.13</v>
      </c>
      <c r="AF87">
        <v>748701.24</v>
      </c>
      <c r="AG87">
        <v>8930468.3499999996</v>
      </c>
      <c r="AH87">
        <v>185</v>
      </c>
      <c r="AI87">
        <v>5.3</v>
      </c>
      <c r="AJ87">
        <v>0</v>
      </c>
      <c r="AK87">
        <v>1.5</v>
      </c>
      <c r="AL87">
        <v>0.8</v>
      </c>
      <c r="AM87">
        <v>105.5</v>
      </c>
      <c r="AN87">
        <v>14.61</v>
      </c>
      <c r="AO87">
        <v>0</v>
      </c>
      <c r="AP87">
        <v>3.22</v>
      </c>
      <c r="AQ87">
        <v>0.4</v>
      </c>
      <c r="AR87">
        <v>0.06</v>
      </c>
      <c r="AS87">
        <v>0.05</v>
      </c>
      <c r="AT87">
        <v>11.63</v>
      </c>
      <c r="AU87">
        <v>4.5</v>
      </c>
      <c r="AV87">
        <v>0.43</v>
      </c>
      <c r="AW87">
        <v>0.77</v>
      </c>
      <c r="AX87">
        <v>6.68</v>
      </c>
      <c r="AY87">
        <v>0</v>
      </c>
      <c r="AZ87">
        <v>0</v>
      </c>
      <c r="BA87">
        <v>0</v>
      </c>
      <c r="BB87">
        <v>0</v>
      </c>
      <c r="BC87">
        <v>0</v>
      </c>
      <c r="BD87">
        <v>0</v>
      </c>
    </row>
    <row r="88" spans="1:56" x14ac:dyDescent="0.25">
      <c r="A88" s="23">
        <v>46304</v>
      </c>
      <c r="B88">
        <v>87</v>
      </c>
      <c r="C88" t="s">
        <v>82</v>
      </c>
      <c r="D88" t="s">
        <v>92</v>
      </c>
      <c r="E88">
        <v>2</v>
      </c>
      <c r="F88">
        <v>185</v>
      </c>
      <c r="G88">
        <v>1</v>
      </c>
      <c r="H88" t="s">
        <v>84</v>
      </c>
      <c r="I88" t="s">
        <v>91</v>
      </c>
      <c r="J88" t="s">
        <v>85</v>
      </c>
      <c r="K88" t="s">
        <v>86</v>
      </c>
      <c r="L88" t="s">
        <v>71</v>
      </c>
      <c r="M88" t="s">
        <v>87</v>
      </c>
      <c r="O88" t="s">
        <v>88</v>
      </c>
      <c r="P88" t="s">
        <v>89</v>
      </c>
      <c r="X88" t="s">
        <v>77</v>
      </c>
      <c r="Z88" t="s">
        <v>72</v>
      </c>
      <c r="AB88">
        <v>5</v>
      </c>
      <c r="AC88">
        <v>748699.55</v>
      </c>
      <c r="AD88">
        <v>8930467.2599999998</v>
      </c>
      <c r="AE88">
        <v>190.16</v>
      </c>
      <c r="AF88">
        <v>748700.84</v>
      </c>
      <c r="AG88">
        <v>8930466.9000000004</v>
      </c>
      <c r="AH88">
        <v>185</v>
      </c>
      <c r="AI88">
        <v>5.33</v>
      </c>
      <c r="AJ88">
        <v>0</v>
      </c>
      <c r="AK88">
        <v>1.5</v>
      </c>
      <c r="AL88">
        <v>0.8</v>
      </c>
      <c r="AM88">
        <v>105.5</v>
      </c>
      <c r="AN88">
        <v>14.54</v>
      </c>
      <c r="AO88">
        <v>0</v>
      </c>
      <c r="AP88">
        <v>3.25</v>
      </c>
      <c r="AQ88">
        <v>0.38</v>
      </c>
      <c r="AR88">
        <v>0.06</v>
      </c>
      <c r="AS88">
        <v>0.05</v>
      </c>
      <c r="AT88">
        <v>11.41</v>
      </c>
      <c r="AU88">
        <v>4.17</v>
      </c>
      <c r="AV88">
        <v>0.43</v>
      </c>
      <c r="AW88">
        <v>0.73</v>
      </c>
      <c r="AX88">
        <v>6.53</v>
      </c>
      <c r="AY88">
        <v>0</v>
      </c>
      <c r="AZ88">
        <v>0</v>
      </c>
      <c r="BA88">
        <v>0</v>
      </c>
      <c r="BB88">
        <v>0</v>
      </c>
      <c r="BC88">
        <v>0</v>
      </c>
      <c r="BD88">
        <v>0</v>
      </c>
    </row>
    <row r="89" spans="1:56" x14ac:dyDescent="0.25">
      <c r="A89" s="23">
        <v>46304</v>
      </c>
      <c r="B89">
        <v>88</v>
      </c>
      <c r="C89" t="s">
        <v>82</v>
      </c>
      <c r="D89" t="s">
        <v>92</v>
      </c>
      <c r="E89">
        <v>2</v>
      </c>
      <c r="F89">
        <v>185</v>
      </c>
      <c r="G89">
        <v>0</v>
      </c>
      <c r="H89" t="s">
        <v>84</v>
      </c>
      <c r="I89" t="s">
        <v>28</v>
      </c>
      <c r="J89" t="s">
        <v>85</v>
      </c>
      <c r="K89" t="s">
        <v>86</v>
      </c>
      <c r="L89" t="s">
        <v>71</v>
      </c>
      <c r="M89" t="s">
        <v>87</v>
      </c>
      <c r="O89" t="s">
        <v>88</v>
      </c>
      <c r="P89" t="s">
        <v>89</v>
      </c>
      <c r="X89" t="s">
        <v>77</v>
      </c>
      <c r="Z89" t="s">
        <v>72</v>
      </c>
      <c r="AB89">
        <v>5</v>
      </c>
      <c r="AC89">
        <v>748699.14</v>
      </c>
      <c r="AD89">
        <v>8930465.8100000005</v>
      </c>
      <c r="AE89">
        <v>190.13</v>
      </c>
      <c r="AF89">
        <v>748700.44</v>
      </c>
      <c r="AG89">
        <v>8930465.4600000009</v>
      </c>
      <c r="AH89">
        <v>185</v>
      </c>
      <c r="AI89">
        <v>5.3</v>
      </c>
      <c r="AJ89">
        <v>0</v>
      </c>
      <c r="AK89">
        <v>1.5</v>
      </c>
      <c r="AL89">
        <v>0.8</v>
      </c>
      <c r="AM89">
        <v>105.5</v>
      </c>
      <c r="AN89">
        <v>14.67</v>
      </c>
      <c r="AO89">
        <v>0</v>
      </c>
      <c r="AP89">
        <v>3.18</v>
      </c>
      <c r="AQ89">
        <v>0.35</v>
      </c>
      <c r="AR89">
        <v>0.05</v>
      </c>
      <c r="AS89">
        <v>0.05</v>
      </c>
      <c r="AT89">
        <v>10.42</v>
      </c>
      <c r="AU89">
        <v>4</v>
      </c>
      <c r="AV89">
        <v>0.38</v>
      </c>
      <c r="AW89">
        <v>0.69</v>
      </c>
      <c r="AX89">
        <v>5.93</v>
      </c>
      <c r="AY89">
        <v>0</v>
      </c>
      <c r="AZ89">
        <v>0</v>
      </c>
      <c r="BA89">
        <v>0</v>
      </c>
      <c r="BB89">
        <v>0</v>
      </c>
      <c r="BC89">
        <v>0</v>
      </c>
      <c r="BD89">
        <v>0</v>
      </c>
    </row>
    <row r="90" spans="1:56" x14ac:dyDescent="0.25">
      <c r="A90" s="23">
        <v>46304</v>
      </c>
      <c r="B90">
        <v>89</v>
      </c>
      <c r="C90" t="s">
        <v>82</v>
      </c>
      <c r="D90" t="s">
        <v>92</v>
      </c>
      <c r="E90">
        <v>2</v>
      </c>
      <c r="F90">
        <v>185</v>
      </c>
      <c r="G90">
        <v>0</v>
      </c>
      <c r="H90" t="s">
        <v>84</v>
      </c>
      <c r="I90" t="s">
        <v>28</v>
      </c>
      <c r="J90" t="s">
        <v>85</v>
      </c>
      <c r="K90" t="s">
        <v>86</v>
      </c>
      <c r="L90" t="s">
        <v>71</v>
      </c>
      <c r="M90" t="s">
        <v>87</v>
      </c>
      <c r="O90" t="s">
        <v>88</v>
      </c>
      <c r="P90" t="s">
        <v>89</v>
      </c>
      <c r="X90" t="s">
        <v>77</v>
      </c>
      <c r="Z90" t="s">
        <v>72</v>
      </c>
      <c r="AB90">
        <v>5</v>
      </c>
      <c r="AC90">
        <v>748698.74</v>
      </c>
      <c r="AD90">
        <v>8930464.3699999992</v>
      </c>
      <c r="AE90">
        <v>190.06</v>
      </c>
      <c r="AF90">
        <v>748700.04</v>
      </c>
      <c r="AG90">
        <v>8930464.0099999998</v>
      </c>
      <c r="AH90">
        <v>185</v>
      </c>
      <c r="AI90">
        <v>5.24</v>
      </c>
      <c r="AJ90">
        <v>0</v>
      </c>
      <c r="AK90">
        <v>1.5</v>
      </c>
      <c r="AL90">
        <v>0.8</v>
      </c>
      <c r="AM90">
        <v>105.5</v>
      </c>
      <c r="AN90">
        <v>14.85</v>
      </c>
      <c r="AO90">
        <v>0</v>
      </c>
      <c r="AP90">
        <v>3.16</v>
      </c>
      <c r="AQ90">
        <v>0.28999999999999998</v>
      </c>
      <c r="AR90">
        <v>0.05</v>
      </c>
      <c r="AS90">
        <v>0.04</v>
      </c>
      <c r="AT90">
        <v>8.84</v>
      </c>
      <c r="AU90">
        <v>3.17</v>
      </c>
      <c r="AV90">
        <v>0.33</v>
      </c>
      <c r="AW90">
        <v>0.56000000000000005</v>
      </c>
      <c r="AX90">
        <v>5.07</v>
      </c>
      <c r="AY90">
        <v>0</v>
      </c>
      <c r="AZ90">
        <v>0</v>
      </c>
      <c r="BA90">
        <v>0</v>
      </c>
      <c r="BB90">
        <v>0</v>
      </c>
      <c r="BC90">
        <v>0</v>
      </c>
      <c r="BD90">
        <v>0</v>
      </c>
    </row>
    <row r="91" spans="1:56" x14ac:dyDescent="0.25">
      <c r="A91" s="23">
        <v>46304</v>
      </c>
      <c r="B91">
        <v>90</v>
      </c>
      <c r="C91" t="s">
        <v>82</v>
      </c>
      <c r="D91" t="s">
        <v>92</v>
      </c>
      <c r="E91">
        <v>2</v>
      </c>
      <c r="F91">
        <v>185</v>
      </c>
      <c r="G91">
        <v>0</v>
      </c>
      <c r="H91" t="s">
        <v>84</v>
      </c>
      <c r="I91" t="s">
        <v>28</v>
      </c>
      <c r="J91" t="s">
        <v>70</v>
      </c>
      <c r="K91" t="s">
        <v>86</v>
      </c>
      <c r="L91" t="s">
        <v>71</v>
      </c>
      <c r="M91" t="s">
        <v>87</v>
      </c>
      <c r="O91" t="s">
        <v>88</v>
      </c>
      <c r="P91" t="s">
        <v>89</v>
      </c>
      <c r="X91" t="s">
        <v>77</v>
      </c>
      <c r="Z91" t="s">
        <v>72</v>
      </c>
      <c r="AB91">
        <v>5</v>
      </c>
      <c r="AC91">
        <v>748698.34</v>
      </c>
      <c r="AD91">
        <v>8930462.9199999999</v>
      </c>
      <c r="AE91">
        <v>190.03</v>
      </c>
      <c r="AF91">
        <v>748699.64</v>
      </c>
      <c r="AG91">
        <v>8930462.5600000005</v>
      </c>
      <c r="AH91">
        <v>185</v>
      </c>
      <c r="AI91">
        <v>5.2</v>
      </c>
      <c r="AJ91">
        <v>0</v>
      </c>
      <c r="AK91">
        <v>1.5</v>
      </c>
      <c r="AL91">
        <v>0.8</v>
      </c>
      <c r="AM91">
        <v>105.5</v>
      </c>
      <c r="AN91">
        <v>14.98</v>
      </c>
      <c r="AO91">
        <v>0</v>
      </c>
      <c r="AP91">
        <v>3.09</v>
      </c>
      <c r="AQ91">
        <v>0.23</v>
      </c>
      <c r="AR91">
        <v>0.04</v>
      </c>
      <c r="AS91">
        <v>0.03</v>
      </c>
      <c r="AT91">
        <v>6.93</v>
      </c>
      <c r="AU91">
        <v>2.44</v>
      </c>
      <c r="AV91">
        <v>0.26</v>
      </c>
      <c r="AW91">
        <v>0.43</v>
      </c>
      <c r="AX91">
        <v>3.97</v>
      </c>
      <c r="AY91">
        <v>0</v>
      </c>
      <c r="AZ91">
        <v>0</v>
      </c>
      <c r="BA91">
        <v>0</v>
      </c>
      <c r="BB91">
        <v>0</v>
      </c>
      <c r="BC91">
        <v>0</v>
      </c>
      <c r="BD91">
        <v>0</v>
      </c>
    </row>
    <row r="92" spans="1:56" x14ac:dyDescent="0.25">
      <c r="A92" s="23">
        <v>46304</v>
      </c>
      <c r="B92">
        <v>91</v>
      </c>
      <c r="C92" t="s">
        <v>82</v>
      </c>
      <c r="D92" t="s">
        <v>92</v>
      </c>
      <c r="E92">
        <v>2</v>
      </c>
      <c r="F92">
        <v>185</v>
      </c>
      <c r="G92">
        <v>0</v>
      </c>
      <c r="H92" t="s">
        <v>84</v>
      </c>
      <c r="I92" t="s">
        <v>28</v>
      </c>
      <c r="J92" t="s">
        <v>70</v>
      </c>
      <c r="K92" t="s">
        <v>86</v>
      </c>
      <c r="L92" t="s">
        <v>71</v>
      </c>
      <c r="M92" t="s">
        <v>81</v>
      </c>
      <c r="O92" t="s">
        <v>88</v>
      </c>
      <c r="P92" t="s">
        <v>89</v>
      </c>
      <c r="X92" t="s">
        <v>77</v>
      </c>
      <c r="Z92" t="s">
        <v>72</v>
      </c>
      <c r="AB92">
        <v>5</v>
      </c>
      <c r="AC92">
        <v>748697.94</v>
      </c>
      <c r="AD92">
        <v>8930461.4800000004</v>
      </c>
      <c r="AE92">
        <v>189.99</v>
      </c>
      <c r="AF92">
        <v>748699.24</v>
      </c>
      <c r="AG92">
        <v>8930461.1199999992</v>
      </c>
      <c r="AH92">
        <v>185</v>
      </c>
      <c r="AI92">
        <v>5.17</v>
      </c>
      <c r="AJ92">
        <v>0</v>
      </c>
      <c r="AK92">
        <v>1.5</v>
      </c>
      <c r="AL92">
        <v>0.8</v>
      </c>
      <c r="AM92">
        <v>105.5</v>
      </c>
      <c r="AN92">
        <v>15.09</v>
      </c>
      <c r="AO92">
        <v>0</v>
      </c>
      <c r="AP92">
        <v>3.03</v>
      </c>
      <c r="AQ92">
        <v>0.18</v>
      </c>
      <c r="AR92">
        <v>0.03</v>
      </c>
      <c r="AS92">
        <v>0.02</v>
      </c>
      <c r="AT92">
        <v>5.35</v>
      </c>
      <c r="AU92">
        <v>1.85</v>
      </c>
      <c r="AV92">
        <v>0.21</v>
      </c>
      <c r="AW92">
        <v>0.33</v>
      </c>
      <c r="AX92">
        <v>3.08</v>
      </c>
      <c r="AY92">
        <v>0</v>
      </c>
      <c r="AZ92">
        <v>0</v>
      </c>
      <c r="BA92">
        <v>0</v>
      </c>
      <c r="BB92">
        <v>0</v>
      </c>
      <c r="BC92">
        <v>0</v>
      </c>
      <c r="BD92">
        <v>0</v>
      </c>
    </row>
    <row r="93" spans="1:56" x14ac:dyDescent="0.25">
      <c r="A93" s="23">
        <v>46304</v>
      </c>
      <c r="B93">
        <v>92</v>
      </c>
      <c r="C93" t="s">
        <v>82</v>
      </c>
      <c r="D93" t="s">
        <v>92</v>
      </c>
      <c r="E93">
        <v>2</v>
      </c>
      <c r="F93">
        <v>185</v>
      </c>
      <c r="G93">
        <v>0</v>
      </c>
      <c r="H93" t="s">
        <v>84</v>
      </c>
      <c r="I93" t="s">
        <v>28</v>
      </c>
      <c r="J93" t="s">
        <v>70</v>
      </c>
      <c r="K93" t="s">
        <v>86</v>
      </c>
      <c r="L93" t="s">
        <v>71</v>
      </c>
      <c r="M93" t="s">
        <v>81</v>
      </c>
      <c r="O93" t="s">
        <v>88</v>
      </c>
      <c r="P93" t="s">
        <v>89</v>
      </c>
      <c r="X93" t="s">
        <v>77</v>
      </c>
      <c r="Z93" t="s">
        <v>72</v>
      </c>
      <c r="AB93">
        <v>5</v>
      </c>
      <c r="AC93">
        <v>748697.54</v>
      </c>
      <c r="AD93">
        <v>8930460.0299999993</v>
      </c>
      <c r="AE93">
        <v>189.93</v>
      </c>
      <c r="AF93">
        <v>748698.84</v>
      </c>
      <c r="AG93">
        <v>8930459.6699999999</v>
      </c>
      <c r="AH93">
        <v>185</v>
      </c>
      <c r="AI93">
        <v>5.1100000000000003</v>
      </c>
      <c r="AJ93">
        <v>0</v>
      </c>
      <c r="AK93">
        <v>1.5</v>
      </c>
      <c r="AL93">
        <v>0.8</v>
      </c>
      <c r="AM93">
        <v>105.5</v>
      </c>
      <c r="AN93">
        <v>15.24</v>
      </c>
      <c r="AO93">
        <v>0</v>
      </c>
      <c r="AP93">
        <v>2.98</v>
      </c>
      <c r="AQ93">
        <v>0.13</v>
      </c>
      <c r="AR93">
        <v>0.02</v>
      </c>
      <c r="AS93">
        <v>0.02</v>
      </c>
      <c r="AT93">
        <v>3.98</v>
      </c>
      <c r="AU93">
        <v>1.37</v>
      </c>
      <c r="AV93">
        <v>0.15</v>
      </c>
      <c r="AW93">
        <v>0.25</v>
      </c>
      <c r="AX93">
        <v>2.29</v>
      </c>
      <c r="AY93">
        <v>0</v>
      </c>
      <c r="AZ93">
        <v>0</v>
      </c>
      <c r="BA93">
        <v>0</v>
      </c>
      <c r="BB93">
        <v>0</v>
      </c>
      <c r="BC93">
        <v>0</v>
      </c>
      <c r="BD93">
        <v>0</v>
      </c>
    </row>
    <row r="94" spans="1:56" x14ac:dyDescent="0.25">
      <c r="A94" s="23">
        <v>46304</v>
      </c>
      <c r="B94">
        <v>93</v>
      </c>
      <c r="C94" t="s">
        <v>82</v>
      </c>
      <c r="D94" t="s">
        <v>92</v>
      </c>
      <c r="E94">
        <v>2</v>
      </c>
      <c r="F94">
        <v>185</v>
      </c>
      <c r="G94">
        <v>0</v>
      </c>
      <c r="H94" t="s">
        <v>84</v>
      </c>
      <c r="I94" t="s">
        <v>28</v>
      </c>
      <c r="J94" t="s">
        <v>70</v>
      </c>
      <c r="K94" t="s">
        <v>86</v>
      </c>
      <c r="L94" t="s">
        <v>71</v>
      </c>
      <c r="M94" t="s">
        <v>81</v>
      </c>
      <c r="O94" t="s">
        <v>88</v>
      </c>
      <c r="P94" t="s">
        <v>89</v>
      </c>
      <c r="X94" t="s">
        <v>77</v>
      </c>
      <c r="Z94" t="s">
        <v>72</v>
      </c>
      <c r="AB94">
        <v>5</v>
      </c>
      <c r="AC94">
        <v>748697.14</v>
      </c>
      <c r="AD94">
        <v>8930458.5899999999</v>
      </c>
      <c r="AE94">
        <v>189.89</v>
      </c>
      <c r="AF94">
        <v>748698.43</v>
      </c>
      <c r="AG94">
        <v>8930458.2300000004</v>
      </c>
      <c r="AH94">
        <v>185</v>
      </c>
      <c r="AI94">
        <v>5.07</v>
      </c>
      <c r="AJ94">
        <v>0</v>
      </c>
      <c r="AK94">
        <v>1.5</v>
      </c>
      <c r="AL94">
        <v>0.8</v>
      </c>
      <c r="AM94">
        <v>105.5</v>
      </c>
      <c r="AN94">
        <v>15.33</v>
      </c>
      <c r="AO94">
        <v>0</v>
      </c>
      <c r="AP94">
        <v>2.96</v>
      </c>
      <c r="AQ94">
        <v>0.11</v>
      </c>
      <c r="AR94">
        <v>0.02</v>
      </c>
      <c r="AS94">
        <v>0.02</v>
      </c>
      <c r="AT94">
        <v>3.34</v>
      </c>
      <c r="AU94">
        <v>1.17</v>
      </c>
      <c r="AV94">
        <v>0.12</v>
      </c>
      <c r="AW94">
        <v>0.21</v>
      </c>
      <c r="AX94">
        <v>1.95</v>
      </c>
      <c r="AY94">
        <v>0</v>
      </c>
      <c r="AZ94">
        <v>0</v>
      </c>
      <c r="BA94">
        <v>0</v>
      </c>
      <c r="BB94">
        <v>0</v>
      </c>
      <c r="BC94">
        <v>0</v>
      </c>
      <c r="BD94">
        <v>0</v>
      </c>
    </row>
    <row r="95" spans="1:56" x14ac:dyDescent="0.25">
      <c r="A95" s="23">
        <v>46304</v>
      </c>
      <c r="B95">
        <v>94</v>
      </c>
      <c r="C95" t="s">
        <v>82</v>
      </c>
      <c r="D95" t="s">
        <v>92</v>
      </c>
      <c r="E95">
        <v>2</v>
      </c>
      <c r="F95">
        <v>185</v>
      </c>
      <c r="G95">
        <v>0</v>
      </c>
      <c r="H95" t="s">
        <v>84</v>
      </c>
      <c r="I95" t="s">
        <v>28</v>
      </c>
      <c r="J95" t="s">
        <v>70</v>
      </c>
      <c r="K95" t="s">
        <v>79</v>
      </c>
      <c r="L95" t="s">
        <v>71</v>
      </c>
      <c r="M95" t="s">
        <v>81</v>
      </c>
      <c r="O95" t="s">
        <v>88</v>
      </c>
      <c r="P95" t="s">
        <v>89</v>
      </c>
      <c r="X95" t="s">
        <v>77</v>
      </c>
      <c r="Z95" t="s">
        <v>72</v>
      </c>
      <c r="AB95">
        <v>5</v>
      </c>
      <c r="AC95">
        <v>748696.53</v>
      </c>
      <c r="AD95">
        <v>8930457.2200000007</v>
      </c>
      <c r="AE95">
        <v>189.88</v>
      </c>
      <c r="AF95">
        <v>748697.77</v>
      </c>
      <c r="AG95">
        <v>8930456.6699999999</v>
      </c>
      <c r="AH95">
        <v>185</v>
      </c>
      <c r="AI95">
        <v>5.0599999999999996</v>
      </c>
      <c r="AJ95">
        <v>0</v>
      </c>
      <c r="AK95">
        <v>1.5</v>
      </c>
      <c r="AL95">
        <v>0.8</v>
      </c>
      <c r="AM95">
        <v>113.84</v>
      </c>
      <c r="AN95">
        <v>15.49</v>
      </c>
      <c r="AO95">
        <v>0</v>
      </c>
      <c r="AP95">
        <v>2.87</v>
      </c>
      <c r="AQ95">
        <v>0.03</v>
      </c>
      <c r="AR95">
        <v>0.01</v>
      </c>
      <c r="AS95">
        <v>0</v>
      </c>
      <c r="AT95">
        <v>1.03</v>
      </c>
      <c r="AU95">
        <v>0.37</v>
      </c>
      <c r="AV95">
        <v>0.04</v>
      </c>
      <c r="AW95">
        <v>7.0000000000000007E-2</v>
      </c>
      <c r="AX95">
        <v>0.61</v>
      </c>
      <c r="AY95">
        <v>0</v>
      </c>
      <c r="AZ95">
        <v>0</v>
      </c>
      <c r="BA95">
        <v>0</v>
      </c>
      <c r="BB95">
        <v>0</v>
      </c>
      <c r="BC95">
        <v>0</v>
      </c>
      <c r="BD95">
        <v>0</v>
      </c>
    </row>
    <row r="96" spans="1:56" x14ac:dyDescent="0.25">
      <c r="A96" s="23">
        <v>46304</v>
      </c>
      <c r="B96">
        <v>95</v>
      </c>
      <c r="C96" t="s">
        <v>82</v>
      </c>
      <c r="D96" t="s">
        <v>92</v>
      </c>
      <c r="E96">
        <v>2</v>
      </c>
      <c r="F96">
        <v>185</v>
      </c>
      <c r="G96">
        <v>0</v>
      </c>
      <c r="H96" t="s">
        <v>84</v>
      </c>
      <c r="I96" t="s">
        <v>28</v>
      </c>
      <c r="J96" t="s">
        <v>70</v>
      </c>
      <c r="K96" t="s">
        <v>79</v>
      </c>
      <c r="L96" t="s">
        <v>71</v>
      </c>
      <c r="M96" t="s">
        <v>81</v>
      </c>
      <c r="O96" t="s">
        <v>88</v>
      </c>
      <c r="P96" t="s">
        <v>89</v>
      </c>
      <c r="X96" t="s">
        <v>77</v>
      </c>
      <c r="Z96" t="s">
        <v>72</v>
      </c>
      <c r="AB96">
        <v>5</v>
      </c>
      <c r="AC96">
        <v>748695.77</v>
      </c>
      <c r="AD96">
        <v>8930455.9299999997</v>
      </c>
      <c r="AE96">
        <v>189.87</v>
      </c>
      <c r="AF96">
        <v>748696.92</v>
      </c>
      <c r="AG96">
        <v>8930455.2400000002</v>
      </c>
      <c r="AH96">
        <v>185</v>
      </c>
      <c r="AI96">
        <v>5.05</v>
      </c>
      <c r="AJ96">
        <v>0</v>
      </c>
      <c r="AK96">
        <v>1.5</v>
      </c>
      <c r="AL96">
        <v>0.8</v>
      </c>
      <c r="AM96">
        <v>120.74</v>
      </c>
      <c r="AN96">
        <v>15.4</v>
      </c>
      <c r="AO96">
        <v>0</v>
      </c>
      <c r="AP96">
        <v>2.83</v>
      </c>
      <c r="AQ96">
        <v>0</v>
      </c>
      <c r="AR96">
        <v>0</v>
      </c>
      <c r="AS96">
        <v>0</v>
      </c>
      <c r="AT96">
        <v>0</v>
      </c>
      <c r="AU96">
        <v>0</v>
      </c>
      <c r="AV96">
        <v>0</v>
      </c>
      <c r="AW96">
        <v>0</v>
      </c>
      <c r="AX96">
        <v>0</v>
      </c>
      <c r="AY96">
        <v>0</v>
      </c>
      <c r="AZ96">
        <v>0</v>
      </c>
      <c r="BA96">
        <v>0</v>
      </c>
      <c r="BB96">
        <v>0</v>
      </c>
      <c r="BC96">
        <v>0</v>
      </c>
      <c r="BD96">
        <v>0</v>
      </c>
    </row>
    <row r="97" spans="1:56" x14ac:dyDescent="0.25">
      <c r="A97" s="23">
        <v>46304</v>
      </c>
      <c r="B97">
        <v>96</v>
      </c>
      <c r="C97" t="s">
        <v>82</v>
      </c>
      <c r="D97" t="s">
        <v>92</v>
      </c>
      <c r="E97">
        <v>2</v>
      </c>
      <c r="F97">
        <v>185</v>
      </c>
      <c r="G97">
        <v>0</v>
      </c>
      <c r="H97" t="s">
        <v>84</v>
      </c>
      <c r="I97" t="s">
        <v>28</v>
      </c>
      <c r="J97" t="s">
        <v>70</v>
      </c>
      <c r="K97" t="s">
        <v>79</v>
      </c>
      <c r="L97" t="s">
        <v>71</v>
      </c>
      <c r="M97" t="s">
        <v>81</v>
      </c>
      <c r="O97" t="s">
        <v>88</v>
      </c>
      <c r="P97" t="s">
        <v>89</v>
      </c>
      <c r="X97" t="s">
        <v>77</v>
      </c>
      <c r="Z97" t="s">
        <v>72</v>
      </c>
      <c r="AB97">
        <v>5</v>
      </c>
      <c r="AC97">
        <v>748695</v>
      </c>
      <c r="AD97">
        <v>8930454.6400000006</v>
      </c>
      <c r="AE97">
        <v>189.89</v>
      </c>
      <c r="AF97">
        <v>748696.16</v>
      </c>
      <c r="AG97">
        <v>8930453.9499999993</v>
      </c>
      <c r="AH97">
        <v>185</v>
      </c>
      <c r="AI97">
        <v>5.07</v>
      </c>
      <c r="AJ97">
        <v>0</v>
      </c>
      <c r="AK97">
        <v>1.5</v>
      </c>
      <c r="AL97">
        <v>0.8</v>
      </c>
      <c r="AM97">
        <v>120.74</v>
      </c>
      <c r="AN97">
        <v>15.38</v>
      </c>
      <c r="AO97">
        <v>0</v>
      </c>
      <c r="AP97">
        <v>2.83</v>
      </c>
      <c r="AQ97">
        <v>0</v>
      </c>
      <c r="AR97">
        <v>0</v>
      </c>
      <c r="AS97">
        <v>0</v>
      </c>
      <c r="AT97">
        <v>0</v>
      </c>
      <c r="AU97">
        <v>0</v>
      </c>
      <c r="AV97">
        <v>0</v>
      </c>
      <c r="AW97">
        <v>0</v>
      </c>
      <c r="AX97">
        <v>0</v>
      </c>
      <c r="AY97">
        <v>0</v>
      </c>
      <c r="AZ97">
        <v>0</v>
      </c>
      <c r="BA97">
        <v>0</v>
      </c>
      <c r="BB97">
        <v>0</v>
      </c>
      <c r="BC97">
        <v>0</v>
      </c>
      <c r="BD97">
        <v>0</v>
      </c>
    </row>
    <row r="98" spans="1:56" x14ac:dyDescent="0.25">
      <c r="A98" s="23">
        <v>46304</v>
      </c>
      <c r="B98">
        <v>97</v>
      </c>
      <c r="C98" t="s">
        <v>82</v>
      </c>
      <c r="D98" t="s">
        <v>92</v>
      </c>
      <c r="E98">
        <v>2</v>
      </c>
      <c r="F98">
        <v>185</v>
      </c>
      <c r="G98">
        <v>0</v>
      </c>
      <c r="H98" t="s">
        <v>84</v>
      </c>
      <c r="I98" t="s">
        <v>28</v>
      </c>
      <c r="J98" t="s">
        <v>70</v>
      </c>
      <c r="K98" t="s">
        <v>79</v>
      </c>
      <c r="L98" t="s">
        <v>71</v>
      </c>
      <c r="M98" t="s">
        <v>81</v>
      </c>
      <c r="O98" t="s">
        <v>88</v>
      </c>
      <c r="P98" t="s">
        <v>89</v>
      </c>
      <c r="X98" t="s">
        <v>77</v>
      </c>
      <c r="Z98" t="s">
        <v>72</v>
      </c>
      <c r="AB98">
        <v>5</v>
      </c>
      <c r="AC98">
        <v>748694.24</v>
      </c>
      <c r="AD98">
        <v>8930453.3499999996</v>
      </c>
      <c r="AE98">
        <v>189.85</v>
      </c>
      <c r="AF98">
        <v>748695.39</v>
      </c>
      <c r="AG98">
        <v>8930452.6600000001</v>
      </c>
      <c r="AH98">
        <v>185</v>
      </c>
      <c r="AI98">
        <v>5.03</v>
      </c>
      <c r="AJ98">
        <v>0</v>
      </c>
      <c r="AK98">
        <v>1.5</v>
      </c>
      <c r="AL98">
        <v>0.8</v>
      </c>
      <c r="AM98">
        <v>120.74</v>
      </c>
      <c r="AN98">
        <v>15.45</v>
      </c>
      <c r="AO98">
        <v>0</v>
      </c>
      <c r="AP98">
        <v>2.83</v>
      </c>
      <c r="AQ98">
        <v>0</v>
      </c>
      <c r="AR98">
        <v>0</v>
      </c>
      <c r="AS98">
        <v>0</v>
      </c>
      <c r="AT98">
        <v>0</v>
      </c>
      <c r="AU98">
        <v>0</v>
      </c>
      <c r="AV98">
        <v>0</v>
      </c>
      <c r="AW98">
        <v>0</v>
      </c>
      <c r="AX98">
        <v>0</v>
      </c>
      <c r="AY98">
        <v>0</v>
      </c>
      <c r="AZ98">
        <v>0</v>
      </c>
      <c r="BA98">
        <v>0</v>
      </c>
      <c r="BB98">
        <v>0</v>
      </c>
      <c r="BC98">
        <v>0</v>
      </c>
      <c r="BD98">
        <v>0</v>
      </c>
    </row>
    <row r="99" spans="1:56" x14ac:dyDescent="0.25">
      <c r="A99" s="23">
        <v>46304</v>
      </c>
      <c r="B99">
        <v>98</v>
      </c>
      <c r="C99" t="s">
        <v>82</v>
      </c>
      <c r="D99" t="s">
        <v>92</v>
      </c>
      <c r="E99">
        <v>2</v>
      </c>
      <c r="F99">
        <v>185</v>
      </c>
      <c r="G99">
        <v>0</v>
      </c>
      <c r="H99" t="s">
        <v>84</v>
      </c>
      <c r="I99" t="s">
        <v>28</v>
      </c>
      <c r="J99" t="s">
        <v>70</v>
      </c>
      <c r="K99" t="s">
        <v>79</v>
      </c>
      <c r="L99" t="s">
        <v>71</v>
      </c>
      <c r="M99" t="s">
        <v>81</v>
      </c>
      <c r="O99" t="s">
        <v>88</v>
      </c>
      <c r="P99" t="s">
        <v>89</v>
      </c>
      <c r="X99" t="s">
        <v>77</v>
      </c>
      <c r="Z99" t="s">
        <v>72</v>
      </c>
      <c r="AB99">
        <v>5</v>
      </c>
      <c r="AC99">
        <v>748693.47</v>
      </c>
      <c r="AD99">
        <v>8930452.0600000005</v>
      </c>
      <c r="AE99">
        <v>189.81</v>
      </c>
      <c r="AF99">
        <v>748694.62</v>
      </c>
      <c r="AG99">
        <v>8930451.3699999992</v>
      </c>
      <c r="AH99">
        <v>185</v>
      </c>
      <c r="AI99">
        <v>4.99</v>
      </c>
      <c r="AJ99">
        <v>0</v>
      </c>
      <c r="AK99">
        <v>1.5</v>
      </c>
      <c r="AL99">
        <v>0.8</v>
      </c>
      <c r="AM99">
        <v>120.74</v>
      </c>
      <c r="AN99">
        <v>15.6</v>
      </c>
      <c r="AO99">
        <v>0</v>
      </c>
      <c r="AP99">
        <v>2.83</v>
      </c>
      <c r="AQ99">
        <v>0</v>
      </c>
      <c r="AR99">
        <v>0</v>
      </c>
      <c r="AS99">
        <v>0</v>
      </c>
      <c r="AT99">
        <v>0</v>
      </c>
      <c r="AU99">
        <v>0</v>
      </c>
      <c r="AV99">
        <v>0</v>
      </c>
      <c r="AW99">
        <v>0</v>
      </c>
      <c r="AX99">
        <v>0</v>
      </c>
      <c r="AY99">
        <v>0</v>
      </c>
      <c r="AZ99">
        <v>0</v>
      </c>
      <c r="BA99">
        <v>0</v>
      </c>
      <c r="BB99">
        <v>0</v>
      </c>
      <c r="BC99">
        <v>0</v>
      </c>
      <c r="BD99">
        <v>0</v>
      </c>
    </row>
    <row r="100" spans="1:56" x14ac:dyDescent="0.25">
      <c r="A100" s="23">
        <v>46304</v>
      </c>
      <c r="B100">
        <v>99</v>
      </c>
      <c r="C100" t="s">
        <v>82</v>
      </c>
      <c r="D100" t="s">
        <v>92</v>
      </c>
      <c r="E100">
        <v>2</v>
      </c>
      <c r="F100">
        <v>185</v>
      </c>
      <c r="G100">
        <v>0</v>
      </c>
      <c r="H100" t="s">
        <v>84</v>
      </c>
      <c r="I100" t="s">
        <v>28</v>
      </c>
      <c r="J100" t="s">
        <v>70</v>
      </c>
      <c r="K100" t="s">
        <v>79</v>
      </c>
      <c r="L100" t="s">
        <v>71</v>
      </c>
      <c r="M100" t="s">
        <v>81</v>
      </c>
      <c r="O100" t="s">
        <v>88</v>
      </c>
      <c r="P100" t="s">
        <v>89</v>
      </c>
      <c r="X100" t="s">
        <v>77</v>
      </c>
      <c r="Z100" t="s">
        <v>72</v>
      </c>
      <c r="AB100">
        <v>5</v>
      </c>
      <c r="AC100">
        <v>748692.7</v>
      </c>
      <c r="AD100">
        <v>8930450.7699999996</v>
      </c>
      <c r="AE100">
        <v>189.73</v>
      </c>
      <c r="AF100">
        <v>748693.85</v>
      </c>
      <c r="AG100">
        <v>8930450.0800000001</v>
      </c>
      <c r="AH100">
        <v>185</v>
      </c>
      <c r="AI100">
        <v>4.92</v>
      </c>
      <c r="AJ100">
        <v>0</v>
      </c>
      <c r="AK100">
        <v>1.5</v>
      </c>
      <c r="AL100">
        <v>0.8</v>
      </c>
      <c r="AM100">
        <v>120.74</v>
      </c>
      <c r="AN100">
        <v>15.88</v>
      </c>
      <c r="AO100">
        <v>0</v>
      </c>
      <c r="AP100">
        <v>2.82</v>
      </c>
      <c r="AQ100">
        <v>0</v>
      </c>
      <c r="AR100">
        <v>0</v>
      </c>
      <c r="AS100">
        <v>0</v>
      </c>
      <c r="AT100">
        <v>0</v>
      </c>
      <c r="AU100">
        <v>0</v>
      </c>
      <c r="AV100">
        <v>0</v>
      </c>
      <c r="AW100">
        <v>0</v>
      </c>
      <c r="AX100">
        <v>0</v>
      </c>
      <c r="AY100">
        <v>0</v>
      </c>
      <c r="AZ100">
        <v>0</v>
      </c>
      <c r="BA100">
        <v>0</v>
      </c>
      <c r="BB100">
        <v>0</v>
      </c>
      <c r="BC100">
        <v>0</v>
      </c>
      <c r="BD100">
        <v>0</v>
      </c>
    </row>
    <row r="101" spans="1:56" x14ac:dyDescent="0.25">
      <c r="A101" s="23">
        <v>46304</v>
      </c>
      <c r="B101">
        <v>100</v>
      </c>
      <c r="C101" t="s">
        <v>82</v>
      </c>
      <c r="D101" t="s">
        <v>92</v>
      </c>
      <c r="E101">
        <v>2</v>
      </c>
      <c r="F101">
        <v>185</v>
      </c>
      <c r="G101">
        <v>0</v>
      </c>
      <c r="H101" t="s">
        <v>84</v>
      </c>
      <c r="I101" t="s">
        <v>28</v>
      </c>
      <c r="J101" t="s">
        <v>70</v>
      </c>
      <c r="K101" t="s">
        <v>79</v>
      </c>
      <c r="L101" t="s">
        <v>71</v>
      </c>
      <c r="M101" t="s">
        <v>81</v>
      </c>
      <c r="O101" t="s">
        <v>88</v>
      </c>
      <c r="P101" t="s">
        <v>89</v>
      </c>
      <c r="X101" t="s">
        <v>77</v>
      </c>
      <c r="Z101" t="s">
        <v>72</v>
      </c>
      <c r="AB101">
        <v>5</v>
      </c>
      <c r="AC101">
        <v>748691.94</v>
      </c>
      <c r="AD101">
        <v>8930449.4800000004</v>
      </c>
      <c r="AE101">
        <v>189.68</v>
      </c>
      <c r="AF101">
        <v>748693.09</v>
      </c>
      <c r="AG101">
        <v>8930448.7899999991</v>
      </c>
      <c r="AH101">
        <v>185</v>
      </c>
      <c r="AI101">
        <v>4.87</v>
      </c>
      <c r="AJ101">
        <v>0</v>
      </c>
      <c r="AK101">
        <v>1.5</v>
      </c>
      <c r="AL101">
        <v>0.8</v>
      </c>
      <c r="AM101">
        <v>120.74</v>
      </c>
      <c r="AN101">
        <v>16</v>
      </c>
      <c r="AO101">
        <v>0</v>
      </c>
      <c r="AP101">
        <v>2.82</v>
      </c>
      <c r="AQ101">
        <v>0</v>
      </c>
      <c r="AR101">
        <v>0</v>
      </c>
      <c r="AS101">
        <v>0</v>
      </c>
      <c r="AT101">
        <v>0</v>
      </c>
      <c r="AU101">
        <v>0</v>
      </c>
      <c r="AV101">
        <v>0</v>
      </c>
      <c r="AW101">
        <v>0</v>
      </c>
      <c r="AX101">
        <v>0</v>
      </c>
      <c r="AY101">
        <v>0</v>
      </c>
      <c r="AZ101">
        <v>0</v>
      </c>
      <c r="BA101">
        <v>0</v>
      </c>
      <c r="BB101">
        <v>0</v>
      </c>
      <c r="BC101">
        <v>0</v>
      </c>
      <c r="BD101">
        <v>0</v>
      </c>
    </row>
    <row r="102" spans="1:56" x14ac:dyDescent="0.25">
      <c r="A102" s="23">
        <v>46304</v>
      </c>
      <c r="B102">
        <v>101</v>
      </c>
      <c r="C102" t="s">
        <v>82</v>
      </c>
      <c r="D102" t="s">
        <v>92</v>
      </c>
      <c r="E102">
        <v>2</v>
      </c>
      <c r="F102">
        <v>185</v>
      </c>
      <c r="G102">
        <v>0</v>
      </c>
      <c r="H102" t="s">
        <v>84</v>
      </c>
      <c r="I102" t="s">
        <v>28</v>
      </c>
      <c r="J102" t="s">
        <v>70</v>
      </c>
      <c r="K102" t="s">
        <v>79</v>
      </c>
      <c r="L102" t="s">
        <v>71</v>
      </c>
      <c r="M102" t="s">
        <v>81</v>
      </c>
      <c r="O102" t="s">
        <v>88</v>
      </c>
      <c r="P102" t="s">
        <v>89</v>
      </c>
      <c r="X102" t="s">
        <v>77</v>
      </c>
      <c r="Z102" t="s">
        <v>72</v>
      </c>
      <c r="AB102">
        <v>5</v>
      </c>
      <c r="AC102">
        <v>748691.17</v>
      </c>
      <c r="AD102">
        <v>8930448.1899999995</v>
      </c>
      <c r="AE102">
        <v>189.68</v>
      </c>
      <c r="AF102">
        <v>748692.32</v>
      </c>
      <c r="AG102">
        <v>8930447.5</v>
      </c>
      <c r="AH102">
        <v>185</v>
      </c>
      <c r="AI102">
        <v>4.87</v>
      </c>
      <c r="AJ102">
        <v>0</v>
      </c>
      <c r="AK102">
        <v>1.5</v>
      </c>
      <c r="AL102">
        <v>0.8</v>
      </c>
      <c r="AM102">
        <v>120.74</v>
      </c>
      <c r="AN102">
        <v>15.98</v>
      </c>
      <c r="AO102">
        <v>0</v>
      </c>
      <c r="AP102">
        <v>2.81</v>
      </c>
      <c r="AQ102">
        <v>0</v>
      </c>
      <c r="AR102">
        <v>0</v>
      </c>
      <c r="AS102">
        <v>0</v>
      </c>
      <c r="AT102">
        <v>0</v>
      </c>
      <c r="AU102">
        <v>0</v>
      </c>
      <c r="AV102">
        <v>0</v>
      </c>
      <c r="AW102">
        <v>0</v>
      </c>
      <c r="AX102">
        <v>0</v>
      </c>
      <c r="AY102">
        <v>0</v>
      </c>
      <c r="AZ102">
        <v>0</v>
      </c>
      <c r="BA102">
        <v>0</v>
      </c>
      <c r="BB102">
        <v>0</v>
      </c>
      <c r="BC102">
        <v>0</v>
      </c>
      <c r="BD102">
        <v>0</v>
      </c>
    </row>
    <row r="103" spans="1:56" x14ac:dyDescent="0.25">
      <c r="A103" s="23">
        <v>46304</v>
      </c>
      <c r="B103">
        <v>102</v>
      </c>
      <c r="C103" t="s">
        <v>82</v>
      </c>
      <c r="D103" t="s">
        <v>92</v>
      </c>
      <c r="E103">
        <v>2</v>
      </c>
      <c r="F103">
        <v>185</v>
      </c>
      <c r="G103">
        <v>0</v>
      </c>
      <c r="H103" t="s">
        <v>84</v>
      </c>
      <c r="I103" t="s">
        <v>28</v>
      </c>
      <c r="J103" t="s">
        <v>70</v>
      </c>
      <c r="K103" t="s">
        <v>79</v>
      </c>
      <c r="L103" t="s">
        <v>71</v>
      </c>
      <c r="M103" t="s">
        <v>81</v>
      </c>
      <c r="O103" t="s">
        <v>88</v>
      </c>
      <c r="P103" t="s">
        <v>89</v>
      </c>
      <c r="X103" t="s">
        <v>77</v>
      </c>
      <c r="Z103" t="s">
        <v>72</v>
      </c>
      <c r="AB103">
        <v>5</v>
      </c>
      <c r="AC103">
        <v>748690.4</v>
      </c>
      <c r="AD103">
        <v>8930446.9000000004</v>
      </c>
      <c r="AE103">
        <v>189.66</v>
      </c>
      <c r="AF103">
        <v>748691.55</v>
      </c>
      <c r="AG103">
        <v>8930446.2200000007</v>
      </c>
      <c r="AH103">
        <v>185</v>
      </c>
      <c r="AI103">
        <v>4.8499999999999996</v>
      </c>
      <c r="AJ103">
        <v>0</v>
      </c>
      <c r="AK103">
        <v>1.5</v>
      </c>
      <c r="AL103">
        <v>0.8</v>
      </c>
      <c r="AM103">
        <v>120.74</v>
      </c>
      <c r="AN103">
        <v>16.079999999999998</v>
      </c>
      <c r="AO103">
        <v>0</v>
      </c>
      <c r="AP103">
        <v>2.81</v>
      </c>
      <c r="AQ103">
        <v>0</v>
      </c>
      <c r="AR103">
        <v>0</v>
      </c>
      <c r="AS103">
        <v>0</v>
      </c>
      <c r="AT103">
        <v>0</v>
      </c>
      <c r="AU103">
        <v>0</v>
      </c>
      <c r="AV103">
        <v>0</v>
      </c>
      <c r="AW103">
        <v>0</v>
      </c>
      <c r="AX103">
        <v>0</v>
      </c>
      <c r="AY103">
        <v>0</v>
      </c>
      <c r="AZ103">
        <v>0</v>
      </c>
      <c r="BA103">
        <v>0</v>
      </c>
      <c r="BB103">
        <v>0</v>
      </c>
      <c r="BC103">
        <v>0</v>
      </c>
      <c r="BD103">
        <v>0</v>
      </c>
    </row>
    <row r="104" spans="1:56" x14ac:dyDescent="0.25">
      <c r="A104" s="23">
        <v>46304</v>
      </c>
      <c r="B104">
        <v>103</v>
      </c>
      <c r="C104" t="s">
        <v>82</v>
      </c>
      <c r="D104" t="s">
        <v>92</v>
      </c>
      <c r="E104">
        <v>0</v>
      </c>
      <c r="F104">
        <v>185</v>
      </c>
      <c r="G104">
        <v>0</v>
      </c>
      <c r="H104" t="s">
        <v>84</v>
      </c>
      <c r="J104" t="s">
        <v>70</v>
      </c>
      <c r="L104" t="s">
        <v>71</v>
      </c>
      <c r="O104" t="s">
        <v>88</v>
      </c>
      <c r="P104" t="s">
        <v>89</v>
      </c>
      <c r="X104" t="s">
        <v>77</v>
      </c>
      <c r="Z104" t="s">
        <v>72</v>
      </c>
      <c r="AB104">
        <v>5</v>
      </c>
      <c r="AC104">
        <v>748689.92000000004</v>
      </c>
      <c r="AD104">
        <v>8930445.4800000004</v>
      </c>
      <c r="AE104">
        <v>189.64</v>
      </c>
      <c r="AF104">
        <v>748691.19</v>
      </c>
      <c r="AG104">
        <v>8930445.0500000007</v>
      </c>
      <c r="AH104">
        <v>185</v>
      </c>
      <c r="AI104">
        <v>4.83</v>
      </c>
      <c r="AJ104">
        <v>0</v>
      </c>
      <c r="AK104">
        <v>1.5</v>
      </c>
      <c r="AL104">
        <v>0.8</v>
      </c>
      <c r="AM104">
        <v>108.64</v>
      </c>
      <c r="AN104">
        <v>16.16</v>
      </c>
      <c r="AO104">
        <v>0</v>
      </c>
      <c r="AP104">
        <v>2.81</v>
      </c>
      <c r="AQ104">
        <v>0</v>
      </c>
      <c r="AR104">
        <v>0</v>
      </c>
      <c r="AS104">
        <v>0</v>
      </c>
      <c r="AT104">
        <v>0</v>
      </c>
      <c r="AU104">
        <v>0</v>
      </c>
      <c r="AV104">
        <v>0</v>
      </c>
      <c r="AW104">
        <v>0</v>
      </c>
      <c r="AX104">
        <v>0</v>
      </c>
      <c r="AY104">
        <v>0</v>
      </c>
      <c r="AZ104">
        <v>0</v>
      </c>
      <c r="BA104">
        <v>0</v>
      </c>
      <c r="BB104">
        <v>0</v>
      </c>
      <c r="BC104">
        <v>0</v>
      </c>
      <c r="BD104">
        <v>0</v>
      </c>
    </row>
    <row r="105" spans="1:56" x14ac:dyDescent="0.25">
      <c r="A105" s="23">
        <v>46304</v>
      </c>
      <c r="B105">
        <v>104</v>
      </c>
      <c r="C105" t="s">
        <v>82</v>
      </c>
      <c r="D105" t="s">
        <v>92</v>
      </c>
      <c r="E105">
        <v>0</v>
      </c>
      <c r="F105">
        <v>185</v>
      </c>
      <c r="G105">
        <v>0</v>
      </c>
      <c r="H105" t="s">
        <v>84</v>
      </c>
      <c r="J105" t="s">
        <v>70</v>
      </c>
      <c r="L105" t="s">
        <v>71</v>
      </c>
      <c r="O105" t="s">
        <v>88</v>
      </c>
      <c r="P105" t="s">
        <v>89</v>
      </c>
      <c r="X105" t="s">
        <v>77</v>
      </c>
      <c r="Z105" t="s">
        <v>72</v>
      </c>
      <c r="AB105">
        <v>5</v>
      </c>
      <c r="AC105">
        <v>748689.5</v>
      </c>
      <c r="AD105">
        <v>8930444.0399999991</v>
      </c>
      <c r="AE105">
        <v>189.59</v>
      </c>
      <c r="AF105">
        <v>748690.79</v>
      </c>
      <c r="AG105">
        <v>8930443.6600000001</v>
      </c>
      <c r="AH105">
        <v>185</v>
      </c>
      <c r="AI105">
        <v>4.78</v>
      </c>
      <c r="AJ105">
        <v>0</v>
      </c>
      <c r="AK105">
        <v>1.5</v>
      </c>
      <c r="AL105">
        <v>0.8</v>
      </c>
      <c r="AM105">
        <v>106.29</v>
      </c>
      <c r="AN105">
        <v>16.32</v>
      </c>
      <c r="AO105">
        <v>0</v>
      </c>
      <c r="AP105">
        <v>2.82</v>
      </c>
      <c r="AQ105">
        <v>0</v>
      </c>
      <c r="AR105">
        <v>0</v>
      </c>
      <c r="AS105">
        <v>0</v>
      </c>
      <c r="AT105">
        <v>0</v>
      </c>
      <c r="AU105">
        <v>0</v>
      </c>
      <c r="AV105">
        <v>0</v>
      </c>
      <c r="AW105">
        <v>0</v>
      </c>
      <c r="AX105">
        <v>0</v>
      </c>
      <c r="AY105">
        <v>0</v>
      </c>
      <c r="AZ105">
        <v>0</v>
      </c>
      <c r="BA105">
        <v>0</v>
      </c>
      <c r="BB105">
        <v>0</v>
      </c>
      <c r="BC105">
        <v>0</v>
      </c>
      <c r="BD105">
        <v>0</v>
      </c>
    </row>
    <row r="106" spans="1:56" x14ac:dyDescent="0.25">
      <c r="A106" s="23">
        <v>46304</v>
      </c>
      <c r="B106">
        <v>105</v>
      </c>
      <c r="C106" t="s">
        <v>82</v>
      </c>
      <c r="D106" t="s">
        <v>92</v>
      </c>
      <c r="E106">
        <v>0</v>
      </c>
      <c r="F106">
        <v>185</v>
      </c>
      <c r="G106">
        <v>0</v>
      </c>
      <c r="H106" t="s">
        <v>84</v>
      </c>
      <c r="J106" t="s">
        <v>70</v>
      </c>
      <c r="L106" t="s">
        <v>71</v>
      </c>
      <c r="O106" t="s">
        <v>88</v>
      </c>
      <c r="P106" t="s">
        <v>89</v>
      </c>
      <c r="X106" t="s">
        <v>77</v>
      </c>
      <c r="Z106" t="s">
        <v>72</v>
      </c>
      <c r="AB106">
        <v>5</v>
      </c>
      <c r="AC106">
        <v>748689.08</v>
      </c>
      <c r="AD106">
        <v>8930442.5999999996</v>
      </c>
      <c r="AE106">
        <v>189.57</v>
      </c>
      <c r="AF106">
        <v>748690.37</v>
      </c>
      <c r="AG106">
        <v>8930442.2200000007</v>
      </c>
      <c r="AH106">
        <v>185</v>
      </c>
      <c r="AI106">
        <v>4.7699999999999996</v>
      </c>
      <c r="AJ106">
        <v>0</v>
      </c>
      <c r="AK106">
        <v>1.5</v>
      </c>
      <c r="AL106">
        <v>0.8</v>
      </c>
      <c r="AM106">
        <v>106.29</v>
      </c>
      <c r="AN106">
        <v>16.399999999999999</v>
      </c>
      <c r="AO106">
        <v>0</v>
      </c>
      <c r="AP106">
        <v>2.8</v>
      </c>
      <c r="AQ106">
        <v>0</v>
      </c>
      <c r="AR106">
        <v>0</v>
      </c>
      <c r="AS106">
        <v>0</v>
      </c>
      <c r="AT106">
        <v>0</v>
      </c>
      <c r="AU106">
        <v>0</v>
      </c>
      <c r="AV106">
        <v>0</v>
      </c>
      <c r="AW106">
        <v>0</v>
      </c>
      <c r="AX106">
        <v>0</v>
      </c>
      <c r="AY106">
        <v>0</v>
      </c>
      <c r="AZ106">
        <v>0</v>
      </c>
      <c r="BA106">
        <v>0</v>
      </c>
      <c r="BB106">
        <v>0</v>
      </c>
      <c r="BC106">
        <v>0</v>
      </c>
      <c r="BD106">
        <v>0</v>
      </c>
    </row>
    <row r="107" spans="1:56" x14ac:dyDescent="0.25">
      <c r="A107" s="23">
        <v>46304</v>
      </c>
      <c r="B107">
        <v>106</v>
      </c>
      <c r="C107" t="s">
        <v>82</v>
      </c>
      <c r="D107" t="s">
        <v>92</v>
      </c>
      <c r="E107">
        <v>0</v>
      </c>
      <c r="F107">
        <v>185</v>
      </c>
      <c r="G107">
        <v>0</v>
      </c>
      <c r="H107" t="s">
        <v>84</v>
      </c>
      <c r="J107" t="s">
        <v>70</v>
      </c>
      <c r="L107" t="s">
        <v>71</v>
      </c>
      <c r="O107" t="s">
        <v>88</v>
      </c>
      <c r="P107" t="s">
        <v>89</v>
      </c>
      <c r="X107" t="s">
        <v>77</v>
      </c>
      <c r="Z107" t="s">
        <v>72</v>
      </c>
      <c r="AB107">
        <v>5</v>
      </c>
      <c r="AC107">
        <v>748688.52</v>
      </c>
      <c r="AD107">
        <v>8930441.2100000009</v>
      </c>
      <c r="AE107">
        <v>189.57</v>
      </c>
      <c r="AF107">
        <v>748689.76</v>
      </c>
      <c r="AG107">
        <v>8930440.7100000009</v>
      </c>
      <c r="AH107">
        <v>185</v>
      </c>
      <c r="AI107">
        <v>4.76</v>
      </c>
      <c r="AJ107">
        <v>0</v>
      </c>
      <c r="AK107">
        <v>1.5</v>
      </c>
      <c r="AL107">
        <v>0.8</v>
      </c>
      <c r="AM107">
        <v>112.03</v>
      </c>
      <c r="AN107">
        <v>16.34</v>
      </c>
      <c r="AO107">
        <v>0</v>
      </c>
      <c r="AP107">
        <v>2.8</v>
      </c>
      <c r="AQ107">
        <v>0</v>
      </c>
      <c r="AR107">
        <v>0</v>
      </c>
      <c r="AS107">
        <v>0</v>
      </c>
      <c r="AT107">
        <v>0</v>
      </c>
      <c r="AU107">
        <v>0</v>
      </c>
      <c r="AV107">
        <v>0</v>
      </c>
      <c r="AW107">
        <v>0</v>
      </c>
      <c r="AX107">
        <v>0</v>
      </c>
      <c r="AY107">
        <v>0</v>
      </c>
      <c r="AZ107">
        <v>0</v>
      </c>
      <c r="BA107">
        <v>0</v>
      </c>
      <c r="BB107">
        <v>0</v>
      </c>
      <c r="BC107">
        <v>0</v>
      </c>
      <c r="BD107">
        <v>0</v>
      </c>
    </row>
    <row r="108" spans="1:56" x14ac:dyDescent="0.25">
      <c r="A108" s="23">
        <v>46304</v>
      </c>
      <c r="B108">
        <v>107</v>
      </c>
      <c r="C108" t="s">
        <v>82</v>
      </c>
      <c r="D108" t="s">
        <v>92</v>
      </c>
      <c r="E108">
        <v>0</v>
      </c>
      <c r="F108">
        <v>185</v>
      </c>
      <c r="G108">
        <v>0</v>
      </c>
      <c r="H108" t="s">
        <v>84</v>
      </c>
      <c r="J108" t="s">
        <v>70</v>
      </c>
      <c r="L108" t="s">
        <v>71</v>
      </c>
      <c r="O108" t="s">
        <v>88</v>
      </c>
      <c r="P108" t="s">
        <v>89</v>
      </c>
      <c r="X108" t="s">
        <v>77</v>
      </c>
      <c r="Z108" t="s">
        <v>72</v>
      </c>
      <c r="AB108">
        <v>5</v>
      </c>
      <c r="AC108">
        <v>748687.95</v>
      </c>
      <c r="AD108">
        <v>8930439.8200000003</v>
      </c>
      <c r="AE108">
        <v>189.56</v>
      </c>
      <c r="AF108">
        <v>748689.19</v>
      </c>
      <c r="AG108">
        <v>8930439.3100000005</v>
      </c>
      <c r="AH108">
        <v>185</v>
      </c>
      <c r="AI108">
        <v>4.75</v>
      </c>
      <c r="AJ108">
        <v>0</v>
      </c>
      <c r="AK108">
        <v>1.5</v>
      </c>
      <c r="AL108">
        <v>0.8</v>
      </c>
      <c r="AM108">
        <v>112.3</v>
      </c>
      <c r="AN108">
        <v>16.41</v>
      </c>
      <c r="AO108">
        <v>0</v>
      </c>
      <c r="AP108">
        <v>2.8</v>
      </c>
      <c r="AQ108">
        <v>0</v>
      </c>
      <c r="AR108">
        <v>0</v>
      </c>
      <c r="AS108">
        <v>0</v>
      </c>
      <c r="AT108">
        <v>0</v>
      </c>
      <c r="AU108">
        <v>0</v>
      </c>
      <c r="AV108">
        <v>0</v>
      </c>
      <c r="AW108">
        <v>0</v>
      </c>
      <c r="AX108">
        <v>0</v>
      </c>
      <c r="AY108">
        <v>0</v>
      </c>
      <c r="AZ108">
        <v>0</v>
      </c>
      <c r="BA108">
        <v>0</v>
      </c>
      <c r="BB108">
        <v>0</v>
      </c>
      <c r="BC108">
        <v>0</v>
      </c>
      <c r="BD108">
        <v>0</v>
      </c>
    </row>
    <row r="109" spans="1:56" x14ac:dyDescent="0.25">
      <c r="A109" s="23">
        <v>46304</v>
      </c>
      <c r="B109">
        <v>108</v>
      </c>
      <c r="C109" t="s">
        <v>82</v>
      </c>
      <c r="D109" t="s">
        <v>92</v>
      </c>
      <c r="E109">
        <v>0</v>
      </c>
      <c r="F109">
        <v>185</v>
      </c>
      <c r="G109">
        <v>0</v>
      </c>
      <c r="H109" t="s">
        <v>84</v>
      </c>
      <c r="J109" t="s">
        <v>70</v>
      </c>
      <c r="L109" t="s">
        <v>71</v>
      </c>
      <c r="O109" t="s">
        <v>88</v>
      </c>
      <c r="P109" t="s">
        <v>89</v>
      </c>
      <c r="X109" t="s">
        <v>77</v>
      </c>
      <c r="Z109" t="s">
        <v>72</v>
      </c>
      <c r="AB109">
        <v>5</v>
      </c>
      <c r="AC109">
        <v>748687.33</v>
      </c>
      <c r="AD109">
        <v>8930438.4600000009</v>
      </c>
      <c r="AE109">
        <v>189.5</v>
      </c>
      <c r="AF109">
        <v>748688.55</v>
      </c>
      <c r="AG109">
        <v>8930437.9000000004</v>
      </c>
      <c r="AH109">
        <v>185</v>
      </c>
      <c r="AI109">
        <v>4.7</v>
      </c>
      <c r="AJ109">
        <v>0</v>
      </c>
      <c r="AK109">
        <v>1.5</v>
      </c>
      <c r="AL109">
        <v>0.8</v>
      </c>
      <c r="AM109">
        <v>114.62</v>
      </c>
      <c r="AN109">
        <v>16.61</v>
      </c>
      <c r="AO109">
        <v>0</v>
      </c>
      <c r="AP109">
        <v>2.79</v>
      </c>
      <c r="AQ109">
        <v>0</v>
      </c>
      <c r="AR109">
        <v>0</v>
      </c>
      <c r="AS109">
        <v>0</v>
      </c>
      <c r="AT109">
        <v>0</v>
      </c>
      <c r="AU109">
        <v>0</v>
      </c>
      <c r="AV109">
        <v>0</v>
      </c>
      <c r="AW109">
        <v>0</v>
      </c>
      <c r="AX109">
        <v>0</v>
      </c>
      <c r="AY109">
        <v>0</v>
      </c>
      <c r="AZ109">
        <v>0</v>
      </c>
      <c r="BA109">
        <v>0</v>
      </c>
      <c r="BB109">
        <v>0</v>
      </c>
      <c r="BC109">
        <v>0</v>
      </c>
      <c r="BD109">
        <v>0</v>
      </c>
    </row>
    <row r="110" spans="1:56" x14ac:dyDescent="0.25">
      <c r="A110" s="23">
        <v>46304</v>
      </c>
      <c r="B110">
        <v>109</v>
      </c>
      <c r="C110" t="s">
        <v>82</v>
      </c>
      <c r="D110" t="s">
        <v>92</v>
      </c>
      <c r="E110">
        <v>0</v>
      </c>
      <c r="F110">
        <v>185</v>
      </c>
      <c r="G110">
        <v>0</v>
      </c>
      <c r="H110" t="s">
        <v>84</v>
      </c>
      <c r="J110" t="s">
        <v>70</v>
      </c>
      <c r="L110" t="s">
        <v>71</v>
      </c>
      <c r="O110" t="s">
        <v>88</v>
      </c>
      <c r="P110" t="s">
        <v>89</v>
      </c>
      <c r="X110" t="s">
        <v>77</v>
      </c>
      <c r="Z110" t="s">
        <v>72</v>
      </c>
      <c r="AB110">
        <v>5</v>
      </c>
      <c r="AC110">
        <v>748686.59</v>
      </c>
      <c r="AD110">
        <v>8930437.1500000004</v>
      </c>
      <c r="AE110">
        <v>189.45</v>
      </c>
      <c r="AF110">
        <v>748687.76</v>
      </c>
      <c r="AG110">
        <v>8930436.4900000002</v>
      </c>
      <c r="AH110">
        <v>185</v>
      </c>
      <c r="AI110">
        <v>4.6500000000000004</v>
      </c>
      <c r="AJ110">
        <v>0</v>
      </c>
      <c r="AK110">
        <v>1.5</v>
      </c>
      <c r="AL110">
        <v>0.8</v>
      </c>
      <c r="AM110">
        <v>119.29</v>
      </c>
      <c r="AN110">
        <v>16.84</v>
      </c>
      <c r="AO110">
        <v>0</v>
      </c>
      <c r="AP110">
        <v>2.79</v>
      </c>
      <c r="AQ110">
        <v>0</v>
      </c>
      <c r="AR110">
        <v>0</v>
      </c>
      <c r="AS110">
        <v>0</v>
      </c>
      <c r="AT110">
        <v>0</v>
      </c>
      <c r="AU110">
        <v>0</v>
      </c>
      <c r="AV110">
        <v>0</v>
      </c>
      <c r="AW110">
        <v>0</v>
      </c>
      <c r="AX110">
        <v>0</v>
      </c>
      <c r="AY110">
        <v>0</v>
      </c>
      <c r="AZ110">
        <v>0</v>
      </c>
      <c r="BA110">
        <v>0</v>
      </c>
      <c r="BB110">
        <v>0</v>
      </c>
      <c r="BC110">
        <v>0</v>
      </c>
      <c r="BD110">
        <v>0</v>
      </c>
    </row>
    <row r="111" spans="1:56" x14ac:dyDescent="0.25">
      <c r="A111" s="23">
        <v>46304</v>
      </c>
      <c r="B111">
        <v>110</v>
      </c>
      <c r="C111" t="s">
        <v>82</v>
      </c>
      <c r="D111" t="s">
        <v>92</v>
      </c>
      <c r="E111">
        <v>0</v>
      </c>
      <c r="F111">
        <v>185</v>
      </c>
      <c r="G111">
        <v>0</v>
      </c>
      <c r="H111" t="s">
        <v>84</v>
      </c>
      <c r="J111" t="s">
        <v>70</v>
      </c>
      <c r="L111" t="s">
        <v>71</v>
      </c>
      <c r="O111" t="s">
        <v>88</v>
      </c>
      <c r="P111" t="s">
        <v>89</v>
      </c>
      <c r="X111" t="s">
        <v>77</v>
      </c>
      <c r="Z111" t="s">
        <v>72</v>
      </c>
      <c r="AB111">
        <v>5</v>
      </c>
      <c r="AC111">
        <v>748685.85</v>
      </c>
      <c r="AD111">
        <v>8930435.8499999996</v>
      </c>
      <c r="AE111">
        <v>189.35</v>
      </c>
      <c r="AF111">
        <v>748687.03</v>
      </c>
      <c r="AG111">
        <v>8930435.1899999995</v>
      </c>
      <c r="AH111">
        <v>185</v>
      </c>
      <c r="AI111">
        <v>4.55</v>
      </c>
      <c r="AJ111">
        <v>0</v>
      </c>
      <c r="AK111">
        <v>1.5</v>
      </c>
      <c r="AL111">
        <v>0.8</v>
      </c>
      <c r="AM111">
        <v>119.29</v>
      </c>
      <c r="AN111">
        <v>17.239999999999998</v>
      </c>
      <c r="AO111">
        <v>0</v>
      </c>
      <c r="AP111">
        <v>2.79</v>
      </c>
      <c r="AQ111">
        <v>0</v>
      </c>
      <c r="AR111">
        <v>0</v>
      </c>
      <c r="AS111">
        <v>0</v>
      </c>
      <c r="AT111">
        <v>0</v>
      </c>
      <c r="AU111">
        <v>0</v>
      </c>
      <c r="AV111">
        <v>0</v>
      </c>
      <c r="AW111">
        <v>0</v>
      </c>
      <c r="AX111">
        <v>0</v>
      </c>
      <c r="AY111">
        <v>0</v>
      </c>
      <c r="AZ111">
        <v>0</v>
      </c>
      <c r="BA111">
        <v>0</v>
      </c>
      <c r="BB111">
        <v>0</v>
      </c>
      <c r="BC111">
        <v>0</v>
      </c>
      <c r="BD111">
        <v>0</v>
      </c>
    </row>
    <row r="112" spans="1:56" x14ac:dyDescent="0.25">
      <c r="A112" s="23">
        <v>46304</v>
      </c>
      <c r="B112">
        <v>111</v>
      </c>
      <c r="C112" t="s">
        <v>82</v>
      </c>
      <c r="D112" t="s">
        <v>92</v>
      </c>
      <c r="E112">
        <v>0</v>
      </c>
      <c r="F112">
        <v>185</v>
      </c>
      <c r="G112">
        <v>0</v>
      </c>
      <c r="H112" t="s">
        <v>84</v>
      </c>
      <c r="J112" t="s">
        <v>70</v>
      </c>
      <c r="L112" t="s">
        <v>71</v>
      </c>
      <c r="O112" t="s">
        <v>88</v>
      </c>
      <c r="P112" t="s">
        <v>89</v>
      </c>
      <c r="X112" t="s">
        <v>77</v>
      </c>
      <c r="Z112" t="s">
        <v>72</v>
      </c>
      <c r="AB112">
        <v>5</v>
      </c>
      <c r="AC112">
        <v>748684.99</v>
      </c>
      <c r="AD112">
        <v>8930434.6199999992</v>
      </c>
      <c r="AE112">
        <v>189.28</v>
      </c>
      <c r="AF112">
        <v>748686.08</v>
      </c>
      <c r="AG112">
        <v>8930433.8399999999</v>
      </c>
      <c r="AH112">
        <v>185</v>
      </c>
      <c r="AI112">
        <v>4.4800000000000004</v>
      </c>
      <c r="AJ112">
        <v>0</v>
      </c>
      <c r="AK112">
        <v>1.5</v>
      </c>
      <c r="AL112">
        <v>0.8</v>
      </c>
      <c r="AM112">
        <v>125.42</v>
      </c>
      <c r="AN112">
        <v>17.46</v>
      </c>
      <c r="AO112">
        <v>0</v>
      </c>
      <c r="AP112">
        <v>2.79</v>
      </c>
      <c r="AQ112">
        <v>0</v>
      </c>
      <c r="AR112">
        <v>0</v>
      </c>
      <c r="AS112">
        <v>0</v>
      </c>
      <c r="AT112">
        <v>0</v>
      </c>
      <c r="AU112">
        <v>0</v>
      </c>
      <c r="AV112">
        <v>0</v>
      </c>
      <c r="AW112">
        <v>0</v>
      </c>
      <c r="AX112">
        <v>0</v>
      </c>
      <c r="AY112">
        <v>0</v>
      </c>
      <c r="AZ112">
        <v>0</v>
      </c>
      <c r="BA112">
        <v>0</v>
      </c>
      <c r="BB112">
        <v>0</v>
      </c>
      <c r="BC112">
        <v>0</v>
      </c>
      <c r="BD112">
        <v>0</v>
      </c>
    </row>
    <row r="113" spans="1:56" x14ac:dyDescent="0.25">
      <c r="A113" s="23">
        <v>46304</v>
      </c>
      <c r="B113">
        <v>112</v>
      </c>
      <c r="C113" t="s">
        <v>82</v>
      </c>
      <c r="D113" t="s">
        <v>92</v>
      </c>
      <c r="E113">
        <v>0</v>
      </c>
      <c r="F113">
        <v>185</v>
      </c>
      <c r="G113">
        <v>0</v>
      </c>
      <c r="H113" t="s">
        <v>84</v>
      </c>
      <c r="J113" t="s">
        <v>70</v>
      </c>
      <c r="L113" t="s">
        <v>71</v>
      </c>
      <c r="O113" t="s">
        <v>88</v>
      </c>
      <c r="P113" t="s">
        <v>89</v>
      </c>
      <c r="X113" t="s">
        <v>77</v>
      </c>
      <c r="Z113" t="s">
        <v>72</v>
      </c>
      <c r="AB113">
        <v>5</v>
      </c>
      <c r="AC113">
        <v>748684.08</v>
      </c>
      <c r="AD113">
        <v>8930433.4299999997</v>
      </c>
      <c r="AE113">
        <v>189.18</v>
      </c>
      <c r="AF113">
        <v>748685.15</v>
      </c>
      <c r="AG113">
        <v>8930432.6099999994</v>
      </c>
      <c r="AH113">
        <v>185</v>
      </c>
      <c r="AI113">
        <v>4.3899999999999997</v>
      </c>
      <c r="AJ113">
        <v>0</v>
      </c>
      <c r="AK113">
        <v>1.5</v>
      </c>
      <c r="AL113">
        <v>0.8</v>
      </c>
      <c r="AM113">
        <v>127.11</v>
      </c>
      <c r="AN113">
        <v>17.84</v>
      </c>
      <c r="AO113">
        <v>0</v>
      </c>
      <c r="AP113">
        <v>2.79</v>
      </c>
      <c r="AQ113">
        <v>0</v>
      </c>
      <c r="AR113">
        <v>0</v>
      </c>
      <c r="AS113">
        <v>0</v>
      </c>
      <c r="AT113">
        <v>0</v>
      </c>
      <c r="AU113">
        <v>0</v>
      </c>
      <c r="AV113">
        <v>0</v>
      </c>
      <c r="AW113">
        <v>0</v>
      </c>
      <c r="AX113">
        <v>0</v>
      </c>
      <c r="AY113">
        <v>0</v>
      </c>
      <c r="AZ113">
        <v>0</v>
      </c>
      <c r="BA113">
        <v>0</v>
      </c>
      <c r="BB113">
        <v>0</v>
      </c>
      <c r="BC113">
        <v>0</v>
      </c>
      <c r="BD113">
        <v>0</v>
      </c>
    </row>
    <row r="114" spans="1:56" x14ac:dyDescent="0.25">
      <c r="A114" s="23">
        <v>46304</v>
      </c>
      <c r="B114">
        <v>113</v>
      </c>
      <c r="C114" t="s">
        <v>82</v>
      </c>
      <c r="D114" t="s">
        <v>92</v>
      </c>
      <c r="E114">
        <v>0</v>
      </c>
      <c r="F114">
        <v>185</v>
      </c>
      <c r="G114">
        <v>0</v>
      </c>
      <c r="H114" t="s">
        <v>84</v>
      </c>
      <c r="J114" t="s">
        <v>70</v>
      </c>
      <c r="L114" t="s">
        <v>71</v>
      </c>
      <c r="O114" t="s">
        <v>88</v>
      </c>
      <c r="P114" t="s">
        <v>89</v>
      </c>
      <c r="X114" t="s">
        <v>77</v>
      </c>
      <c r="Z114" t="s">
        <v>72</v>
      </c>
      <c r="AB114">
        <v>5</v>
      </c>
      <c r="AC114">
        <v>748683.13</v>
      </c>
      <c r="AD114">
        <v>8930432.2699999996</v>
      </c>
      <c r="AE114">
        <v>189.17</v>
      </c>
      <c r="AF114">
        <v>748684.18</v>
      </c>
      <c r="AG114">
        <v>8930431.4100000001</v>
      </c>
      <c r="AH114">
        <v>185</v>
      </c>
      <c r="AI114">
        <v>4.38</v>
      </c>
      <c r="AJ114">
        <v>0</v>
      </c>
      <c r="AK114">
        <v>1.5</v>
      </c>
      <c r="AL114">
        <v>0.8</v>
      </c>
      <c r="AM114">
        <v>129.32</v>
      </c>
      <c r="AN114">
        <v>18.010000000000002</v>
      </c>
      <c r="AO114">
        <v>0</v>
      </c>
      <c r="AP114">
        <v>2.79</v>
      </c>
      <c r="AQ114">
        <v>0</v>
      </c>
      <c r="AR114">
        <v>0</v>
      </c>
      <c r="AS114">
        <v>0</v>
      </c>
      <c r="AT114">
        <v>0</v>
      </c>
      <c r="AU114">
        <v>0</v>
      </c>
      <c r="AV114">
        <v>0</v>
      </c>
      <c r="AW114">
        <v>0</v>
      </c>
      <c r="AX114">
        <v>0</v>
      </c>
      <c r="AY114">
        <v>0</v>
      </c>
      <c r="AZ114">
        <v>0</v>
      </c>
      <c r="BA114">
        <v>0</v>
      </c>
      <c r="BB114">
        <v>0</v>
      </c>
      <c r="BC114">
        <v>0</v>
      </c>
      <c r="BD114">
        <v>0</v>
      </c>
    </row>
    <row r="115" spans="1:56" x14ac:dyDescent="0.25">
      <c r="A115" s="23">
        <v>46304</v>
      </c>
      <c r="B115">
        <v>114</v>
      </c>
      <c r="C115" t="s">
        <v>82</v>
      </c>
      <c r="D115" t="s">
        <v>92</v>
      </c>
      <c r="E115">
        <v>0</v>
      </c>
      <c r="F115">
        <v>185</v>
      </c>
      <c r="G115">
        <v>0</v>
      </c>
      <c r="H115" t="s">
        <v>84</v>
      </c>
      <c r="J115" t="s">
        <v>70</v>
      </c>
      <c r="L115" t="s">
        <v>71</v>
      </c>
      <c r="O115" t="s">
        <v>88</v>
      </c>
      <c r="P115" t="s">
        <v>89</v>
      </c>
      <c r="X115" t="s">
        <v>77</v>
      </c>
      <c r="Z115" t="s">
        <v>72</v>
      </c>
      <c r="AB115">
        <v>5</v>
      </c>
      <c r="AC115">
        <v>748682.06</v>
      </c>
      <c r="AD115">
        <v>8930431.2200000007</v>
      </c>
      <c r="AE115">
        <v>189.22</v>
      </c>
      <c r="AF115">
        <v>748683</v>
      </c>
      <c r="AG115">
        <v>8930430.25</v>
      </c>
      <c r="AH115">
        <v>185</v>
      </c>
      <c r="AI115">
        <v>4.43</v>
      </c>
      <c r="AJ115">
        <v>0</v>
      </c>
      <c r="AK115">
        <v>1.5</v>
      </c>
      <c r="AL115">
        <v>0.8</v>
      </c>
      <c r="AM115">
        <v>135.46</v>
      </c>
      <c r="AN115">
        <v>17.71</v>
      </c>
      <c r="AO115">
        <v>0</v>
      </c>
      <c r="AP115">
        <v>2.79</v>
      </c>
      <c r="AQ115">
        <v>0</v>
      </c>
      <c r="AR115">
        <v>0</v>
      </c>
      <c r="AS115">
        <v>0</v>
      </c>
      <c r="AT115">
        <v>0</v>
      </c>
      <c r="AU115">
        <v>0</v>
      </c>
      <c r="AV115">
        <v>0</v>
      </c>
      <c r="AW115">
        <v>0</v>
      </c>
      <c r="AX115">
        <v>0</v>
      </c>
      <c r="AY115">
        <v>0</v>
      </c>
      <c r="AZ115">
        <v>0</v>
      </c>
      <c r="BA115">
        <v>0</v>
      </c>
      <c r="BB115">
        <v>0</v>
      </c>
      <c r="BC115">
        <v>0</v>
      </c>
      <c r="BD115">
        <v>0</v>
      </c>
    </row>
    <row r="116" spans="1:56" x14ac:dyDescent="0.25">
      <c r="A116" s="23">
        <v>46304</v>
      </c>
      <c r="B116">
        <v>115</v>
      </c>
      <c r="C116" t="s">
        <v>82</v>
      </c>
      <c r="D116" t="s">
        <v>92</v>
      </c>
      <c r="E116">
        <v>0</v>
      </c>
      <c r="F116">
        <v>185</v>
      </c>
      <c r="G116">
        <v>0</v>
      </c>
      <c r="H116" t="s">
        <v>84</v>
      </c>
      <c r="J116" t="s">
        <v>70</v>
      </c>
      <c r="L116" t="s">
        <v>71</v>
      </c>
      <c r="O116" t="s">
        <v>88</v>
      </c>
      <c r="P116" t="s">
        <v>89</v>
      </c>
      <c r="X116" t="s">
        <v>77</v>
      </c>
      <c r="Z116" t="s">
        <v>72</v>
      </c>
      <c r="AB116">
        <v>5</v>
      </c>
      <c r="AC116">
        <v>748680.99</v>
      </c>
      <c r="AD116">
        <v>8930430.1600000001</v>
      </c>
      <c r="AE116">
        <v>189.3</v>
      </c>
      <c r="AF116">
        <v>748681.94</v>
      </c>
      <c r="AG116">
        <v>8930429.1999999993</v>
      </c>
      <c r="AH116">
        <v>185</v>
      </c>
      <c r="AI116">
        <v>4.51</v>
      </c>
      <c r="AJ116">
        <v>0</v>
      </c>
      <c r="AK116">
        <v>1.5</v>
      </c>
      <c r="AL116">
        <v>0.8</v>
      </c>
      <c r="AM116">
        <v>135.46</v>
      </c>
      <c r="AN116">
        <v>17.420000000000002</v>
      </c>
      <c r="AO116">
        <v>0</v>
      </c>
      <c r="AP116">
        <v>2.79</v>
      </c>
      <c r="AQ116">
        <v>0</v>
      </c>
      <c r="AR116">
        <v>0</v>
      </c>
      <c r="AS116">
        <v>0</v>
      </c>
      <c r="AT116">
        <v>0</v>
      </c>
      <c r="AU116">
        <v>0</v>
      </c>
      <c r="AV116">
        <v>0</v>
      </c>
      <c r="AW116">
        <v>0</v>
      </c>
      <c r="AX116">
        <v>0</v>
      </c>
      <c r="AY116">
        <v>0</v>
      </c>
      <c r="AZ116">
        <v>0</v>
      </c>
      <c r="BA116">
        <v>0</v>
      </c>
      <c r="BB116">
        <v>0</v>
      </c>
      <c r="BC116">
        <v>0</v>
      </c>
      <c r="BD116">
        <v>0</v>
      </c>
    </row>
    <row r="117" spans="1:56" x14ac:dyDescent="0.25">
      <c r="A117" s="23">
        <v>46304</v>
      </c>
      <c r="B117">
        <v>116</v>
      </c>
      <c r="C117" t="s">
        <v>82</v>
      </c>
      <c r="D117" t="s">
        <v>92</v>
      </c>
      <c r="E117">
        <v>0</v>
      </c>
      <c r="F117">
        <v>185</v>
      </c>
      <c r="G117">
        <v>0</v>
      </c>
      <c r="H117" t="s">
        <v>84</v>
      </c>
      <c r="J117" t="s">
        <v>70</v>
      </c>
      <c r="L117" t="s">
        <v>71</v>
      </c>
      <c r="O117" t="s">
        <v>88</v>
      </c>
      <c r="P117" t="s">
        <v>89</v>
      </c>
      <c r="X117" t="s">
        <v>77</v>
      </c>
      <c r="Z117" t="s">
        <v>72</v>
      </c>
      <c r="AB117">
        <v>5</v>
      </c>
      <c r="AC117">
        <v>748679.82</v>
      </c>
      <c r="AD117">
        <v>8930429.2300000004</v>
      </c>
      <c r="AE117">
        <v>189.47</v>
      </c>
      <c r="AF117">
        <v>748680.66</v>
      </c>
      <c r="AG117">
        <v>8930428.1699999999</v>
      </c>
      <c r="AH117">
        <v>185</v>
      </c>
      <c r="AI117">
        <v>4.67</v>
      </c>
      <c r="AJ117">
        <v>0</v>
      </c>
      <c r="AK117">
        <v>1.5</v>
      </c>
      <c r="AL117">
        <v>0.8</v>
      </c>
      <c r="AM117">
        <v>141.41999999999999</v>
      </c>
      <c r="AN117">
        <v>16.79</v>
      </c>
      <c r="AO117">
        <v>0</v>
      </c>
      <c r="AP117">
        <v>2.78</v>
      </c>
      <c r="AQ117">
        <v>0</v>
      </c>
      <c r="AR117">
        <v>0</v>
      </c>
      <c r="AS117">
        <v>0</v>
      </c>
      <c r="AT117">
        <v>0</v>
      </c>
      <c r="AU117">
        <v>0</v>
      </c>
      <c r="AV117">
        <v>0</v>
      </c>
      <c r="AW117">
        <v>0</v>
      </c>
      <c r="AX117">
        <v>0</v>
      </c>
      <c r="AY117">
        <v>0</v>
      </c>
      <c r="AZ117">
        <v>0</v>
      </c>
      <c r="BA117">
        <v>0</v>
      </c>
      <c r="BB117">
        <v>0</v>
      </c>
      <c r="BC117">
        <v>0</v>
      </c>
      <c r="BD117">
        <v>0</v>
      </c>
    </row>
    <row r="118" spans="1:56" x14ac:dyDescent="0.25">
      <c r="A118" s="23">
        <v>46304</v>
      </c>
      <c r="B118">
        <v>117</v>
      </c>
      <c r="C118" t="s">
        <v>82</v>
      </c>
      <c r="D118" t="s">
        <v>92</v>
      </c>
      <c r="E118">
        <v>2</v>
      </c>
      <c r="F118">
        <v>184</v>
      </c>
      <c r="G118">
        <v>0</v>
      </c>
      <c r="H118" t="s">
        <v>84</v>
      </c>
      <c r="I118" t="s">
        <v>78</v>
      </c>
      <c r="J118" t="s">
        <v>70</v>
      </c>
      <c r="K118" t="s">
        <v>79</v>
      </c>
      <c r="L118" t="s">
        <v>71</v>
      </c>
      <c r="M118" t="s">
        <v>81</v>
      </c>
      <c r="O118" t="s">
        <v>88</v>
      </c>
      <c r="P118" t="s">
        <v>27</v>
      </c>
      <c r="Q118" t="s">
        <v>73</v>
      </c>
      <c r="R118" t="s">
        <v>76</v>
      </c>
      <c r="S118" t="s">
        <v>74</v>
      </c>
      <c r="T118" t="s">
        <v>75</v>
      </c>
      <c r="X118" t="s">
        <v>77</v>
      </c>
      <c r="Z118" t="s">
        <v>72</v>
      </c>
      <c r="AA118" t="s">
        <v>93</v>
      </c>
      <c r="AB118">
        <v>5</v>
      </c>
      <c r="AC118">
        <v>748678.87</v>
      </c>
      <c r="AD118">
        <v>8930425.1500000004</v>
      </c>
      <c r="AE118">
        <v>189.74</v>
      </c>
      <c r="AF118">
        <v>748678.87</v>
      </c>
      <c r="AG118">
        <v>8930425.1500000004</v>
      </c>
      <c r="AH118">
        <v>184.4</v>
      </c>
      <c r="AI118">
        <v>5.34</v>
      </c>
      <c r="AJ118">
        <v>0.6</v>
      </c>
      <c r="AK118">
        <v>2.97</v>
      </c>
      <c r="AL118">
        <v>2.58</v>
      </c>
      <c r="AM118">
        <v>0</v>
      </c>
      <c r="AN118">
        <v>0</v>
      </c>
      <c r="AO118">
        <v>358</v>
      </c>
      <c r="AP118">
        <v>2.78</v>
      </c>
      <c r="AQ118">
        <v>0</v>
      </c>
      <c r="AR118">
        <v>0</v>
      </c>
      <c r="AS118">
        <v>0</v>
      </c>
      <c r="AT118">
        <v>0</v>
      </c>
      <c r="AU118">
        <v>0</v>
      </c>
      <c r="AV118">
        <v>0</v>
      </c>
      <c r="AW118">
        <v>0</v>
      </c>
      <c r="AX118">
        <v>0</v>
      </c>
      <c r="AY118">
        <v>2.5</v>
      </c>
      <c r="AZ118">
        <v>41.35</v>
      </c>
      <c r="BA118">
        <v>0</v>
      </c>
      <c r="BB118">
        <v>0</v>
      </c>
      <c r="BC118">
        <v>0</v>
      </c>
      <c r="BD118">
        <v>0</v>
      </c>
    </row>
    <row r="119" spans="1:56" x14ac:dyDescent="0.25">
      <c r="A119" s="23">
        <v>46304</v>
      </c>
      <c r="B119">
        <v>118</v>
      </c>
      <c r="C119" t="s">
        <v>82</v>
      </c>
      <c r="D119" t="s">
        <v>92</v>
      </c>
      <c r="E119">
        <v>2</v>
      </c>
      <c r="F119">
        <v>184</v>
      </c>
      <c r="G119">
        <v>0</v>
      </c>
      <c r="H119" t="s">
        <v>84</v>
      </c>
      <c r="I119" t="s">
        <v>78</v>
      </c>
      <c r="J119" t="s">
        <v>70</v>
      </c>
      <c r="K119" t="s">
        <v>79</v>
      </c>
      <c r="L119" t="s">
        <v>71</v>
      </c>
      <c r="M119" t="s">
        <v>81</v>
      </c>
      <c r="O119" t="s">
        <v>88</v>
      </c>
      <c r="P119" t="s">
        <v>27</v>
      </c>
      <c r="Q119" t="s">
        <v>73</v>
      </c>
      <c r="R119" t="s">
        <v>76</v>
      </c>
      <c r="S119" t="s">
        <v>74</v>
      </c>
      <c r="T119" t="s">
        <v>75</v>
      </c>
      <c r="X119" t="s">
        <v>77</v>
      </c>
      <c r="Z119" t="s">
        <v>72</v>
      </c>
      <c r="AA119" t="s">
        <v>93</v>
      </c>
      <c r="AB119">
        <v>5</v>
      </c>
      <c r="AC119">
        <v>748680.93</v>
      </c>
      <c r="AD119">
        <v>8930426.7300000004</v>
      </c>
      <c r="AE119">
        <v>189.27</v>
      </c>
      <c r="AF119">
        <v>748680.93</v>
      </c>
      <c r="AG119">
        <v>8930426.7300000004</v>
      </c>
      <c r="AH119">
        <v>184.4</v>
      </c>
      <c r="AI119">
        <v>4.87</v>
      </c>
      <c r="AJ119">
        <v>0.6</v>
      </c>
      <c r="AK119">
        <v>2.97</v>
      </c>
      <c r="AL119">
        <v>2.58</v>
      </c>
      <c r="AM119">
        <v>0</v>
      </c>
      <c r="AN119">
        <v>0</v>
      </c>
      <c r="AO119">
        <v>358</v>
      </c>
      <c r="AP119">
        <v>2.78</v>
      </c>
      <c r="AQ119">
        <v>0</v>
      </c>
      <c r="AR119">
        <v>0</v>
      </c>
      <c r="AS119">
        <v>0</v>
      </c>
      <c r="AT119">
        <v>0</v>
      </c>
      <c r="AU119">
        <v>0</v>
      </c>
      <c r="AV119">
        <v>0</v>
      </c>
      <c r="AW119">
        <v>0</v>
      </c>
      <c r="AX119">
        <v>0</v>
      </c>
      <c r="AY119">
        <v>2.5</v>
      </c>
      <c r="AZ119">
        <v>34.506999999999998</v>
      </c>
      <c r="BA119">
        <v>0</v>
      </c>
      <c r="BB119">
        <v>0</v>
      </c>
      <c r="BC119">
        <v>0</v>
      </c>
      <c r="BD119">
        <v>0</v>
      </c>
    </row>
    <row r="120" spans="1:56" x14ac:dyDescent="0.25">
      <c r="A120" s="23">
        <v>46304</v>
      </c>
      <c r="B120">
        <v>119</v>
      </c>
      <c r="C120" t="s">
        <v>82</v>
      </c>
      <c r="D120" t="s">
        <v>92</v>
      </c>
      <c r="E120">
        <v>2</v>
      </c>
      <c r="F120">
        <v>184</v>
      </c>
      <c r="G120">
        <v>0</v>
      </c>
      <c r="H120" t="s">
        <v>84</v>
      </c>
      <c r="I120" t="s">
        <v>78</v>
      </c>
      <c r="J120" t="s">
        <v>70</v>
      </c>
      <c r="K120" t="s">
        <v>79</v>
      </c>
      <c r="L120" t="s">
        <v>71</v>
      </c>
      <c r="M120" t="s">
        <v>81</v>
      </c>
      <c r="O120" t="s">
        <v>88</v>
      </c>
      <c r="P120" t="s">
        <v>27</v>
      </c>
      <c r="Q120" t="s">
        <v>73</v>
      </c>
      <c r="R120" t="s">
        <v>76</v>
      </c>
      <c r="S120" t="s">
        <v>74</v>
      </c>
      <c r="T120" t="s">
        <v>75</v>
      </c>
      <c r="X120" t="s">
        <v>77</v>
      </c>
      <c r="Z120" t="s">
        <v>72</v>
      </c>
      <c r="AA120" t="s">
        <v>93</v>
      </c>
      <c r="AB120">
        <v>5</v>
      </c>
      <c r="AC120">
        <v>748683.22</v>
      </c>
      <c r="AD120">
        <v>8930428.5999999996</v>
      </c>
      <c r="AE120">
        <v>189.06</v>
      </c>
      <c r="AF120">
        <v>748683.22</v>
      </c>
      <c r="AG120">
        <v>8930428.5999999996</v>
      </c>
      <c r="AH120">
        <v>184.4</v>
      </c>
      <c r="AI120">
        <v>4.66</v>
      </c>
      <c r="AJ120">
        <v>0.6</v>
      </c>
      <c r="AK120">
        <v>2.97</v>
      </c>
      <c r="AL120">
        <v>2.58</v>
      </c>
      <c r="AM120">
        <v>0</v>
      </c>
      <c r="AN120">
        <v>0</v>
      </c>
      <c r="AO120">
        <v>358</v>
      </c>
      <c r="AP120">
        <v>2.79</v>
      </c>
      <c r="AQ120">
        <v>0</v>
      </c>
      <c r="AR120">
        <v>0</v>
      </c>
      <c r="AS120">
        <v>0</v>
      </c>
      <c r="AT120">
        <v>0</v>
      </c>
      <c r="AU120">
        <v>0</v>
      </c>
      <c r="AV120">
        <v>0</v>
      </c>
      <c r="AW120">
        <v>0</v>
      </c>
      <c r="AX120">
        <v>0</v>
      </c>
      <c r="AY120">
        <v>2.5</v>
      </c>
      <c r="AZ120">
        <v>31.45</v>
      </c>
      <c r="BA120">
        <v>0</v>
      </c>
      <c r="BB120">
        <v>0</v>
      </c>
      <c r="BC120">
        <v>0</v>
      </c>
      <c r="BD120">
        <v>0</v>
      </c>
    </row>
    <row r="121" spans="1:56" x14ac:dyDescent="0.25">
      <c r="A121" s="23">
        <v>46304</v>
      </c>
      <c r="B121">
        <v>120</v>
      </c>
      <c r="C121" t="s">
        <v>82</v>
      </c>
      <c r="D121" t="s">
        <v>92</v>
      </c>
      <c r="E121">
        <v>2</v>
      </c>
      <c r="F121">
        <v>184</v>
      </c>
      <c r="G121">
        <v>0</v>
      </c>
      <c r="H121" t="s">
        <v>84</v>
      </c>
      <c r="I121" t="s">
        <v>78</v>
      </c>
      <c r="J121" t="s">
        <v>70</v>
      </c>
      <c r="K121" t="s">
        <v>79</v>
      </c>
      <c r="L121" t="s">
        <v>71</v>
      </c>
      <c r="M121" t="s">
        <v>81</v>
      </c>
      <c r="O121" t="s">
        <v>88</v>
      </c>
      <c r="P121" t="s">
        <v>27</v>
      </c>
      <c r="Q121" t="s">
        <v>73</v>
      </c>
      <c r="R121" t="s">
        <v>76</v>
      </c>
      <c r="S121" t="s">
        <v>74</v>
      </c>
      <c r="T121" t="s">
        <v>75</v>
      </c>
      <c r="X121" t="s">
        <v>77</v>
      </c>
      <c r="Z121" t="s">
        <v>72</v>
      </c>
      <c r="AA121" t="s">
        <v>93</v>
      </c>
      <c r="AB121">
        <v>5</v>
      </c>
      <c r="AC121">
        <v>748685.34</v>
      </c>
      <c r="AD121">
        <v>8930430.6899999995</v>
      </c>
      <c r="AE121">
        <v>189.08</v>
      </c>
      <c r="AF121">
        <v>748685.34</v>
      </c>
      <c r="AG121">
        <v>8930430.6899999995</v>
      </c>
      <c r="AH121">
        <v>184.4</v>
      </c>
      <c r="AI121">
        <v>4.68</v>
      </c>
      <c r="AJ121">
        <v>0.6</v>
      </c>
      <c r="AK121">
        <v>2.97</v>
      </c>
      <c r="AL121">
        <v>2.58</v>
      </c>
      <c r="AM121">
        <v>0</v>
      </c>
      <c r="AN121">
        <v>0</v>
      </c>
      <c r="AO121">
        <v>358</v>
      </c>
      <c r="AP121">
        <v>2.79</v>
      </c>
      <c r="AQ121">
        <v>0</v>
      </c>
      <c r="AR121">
        <v>0</v>
      </c>
      <c r="AS121">
        <v>0</v>
      </c>
      <c r="AT121">
        <v>0</v>
      </c>
      <c r="AU121">
        <v>0</v>
      </c>
      <c r="AV121">
        <v>0</v>
      </c>
      <c r="AW121">
        <v>0</v>
      </c>
      <c r="AX121">
        <v>0</v>
      </c>
      <c r="AY121">
        <v>2.5</v>
      </c>
      <c r="AZ121">
        <v>31.741</v>
      </c>
      <c r="BA121">
        <v>0</v>
      </c>
      <c r="BB121">
        <v>0</v>
      </c>
      <c r="BC121">
        <v>0</v>
      </c>
      <c r="BD121">
        <v>0</v>
      </c>
    </row>
    <row r="122" spans="1:56" x14ac:dyDescent="0.25">
      <c r="A122" s="23">
        <v>46304</v>
      </c>
      <c r="B122">
        <v>121</v>
      </c>
      <c r="C122" t="s">
        <v>82</v>
      </c>
      <c r="D122" t="s">
        <v>92</v>
      </c>
      <c r="E122">
        <v>2</v>
      </c>
      <c r="F122">
        <v>184</v>
      </c>
      <c r="G122">
        <v>0</v>
      </c>
      <c r="H122" t="s">
        <v>84</v>
      </c>
      <c r="I122" t="s">
        <v>78</v>
      </c>
      <c r="J122" t="s">
        <v>70</v>
      </c>
      <c r="K122" t="s">
        <v>79</v>
      </c>
      <c r="L122" t="s">
        <v>71</v>
      </c>
      <c r="M122" t="s">
        <v>81</v>
      </c>
      <c r="O122" t="s">
        <v>88</v>
      </c>
      <c r="P122" t="s">
        <v>27</v>
      </c>
      <c r="Q122" t="s">
        <v>73</v>
      </c>
      <c r="R122" t="s">
        <v>76</v>
      </c>
      <c r="S122" t="s">
        <v>74</v>
      </c>
      <c r="T122" t="s">
        <v>75</v>
      </c>
      <c r="X122" t="s">
        <v>77</v>
      </c>
      <c r="Z122" t="s">
        <v>72</v>
      </c>
      <c r="AA122" t="s">
        <v>94</v>
      </c>
      <c r="AB122">
        <v>5</v>
      </c>
      <c r="AC122">
        <v>748687.14</v>
      </c>
      <c r="AD122">
        <v>8930433.0399999991</v>
      </c>
      <c r="AE122">
        <v>189.21</v>
      </c>
      <c r="AF122">
        <v>748687.14</v>
      </c>
      <c r="AG122">
        <v>8930433.0399999991</v>
      </c>
      <c r="AH122">
        <v>184.4</v>
      </c>
      <c r="AI122">
        <v>4.8099999999999996</v>
      </c>
      <c r="AJ122">
        <v>0.6</v>
      </c>
      <c r="AK122">
        <v>2.97</v>
      </c>
      <c r="AL122">
        <v>2.58</v>
      </c>
      <c r="AM122">
        <v>0</v>
      </c>
      <c r="AN122">
        <v>0</v>
      </c>
      <c r="AO122">
        <v>358</v>
      </c>
      <c r="AP122">
        <v>2.79</v>
      </c>
      <c r="AQ122">
        <v>0</v>
      </c>
      <c r="AR122">
        <v>0</v>
      </c>
      <c r="AS122">
        <v>0</v>
      </c>
      <c r="AT122">
        <v>0</v>
      </c>
      <c r="AU122">
        <v>0</v>
      </c>
      <c r="AV122">
        <v>0</v>
      </c>
      <c r="AW122">
        <v>0</v>
      </c>
      <c r="AX122">
        <v>0</v>
      </c>
      <c r="AY122">
        <v>3.3</v>
      </c>
      <c r="AZ122">
        <v>21.986000000000001</v>
      </c>
      <c r="BA122">
        <v>0</v>
      </c>
      <c r="BB122">
        <v>0</v>
      </c>
      <c r="BC122">
        <v>0</v>
      </c>
      <c r="BD122">
        <v>0</v>
      </c>
    </row>
    <row r="123" spans="1:56" x14ac:dyDescent="0.25">
      <c r="A123" s="23">
        <v>46304</v>
      </c>
      <c r="B123">
        <v>122</v>
      </c>
      <c r="C123" t="s">
        <v>82</v>
      </c>
      <c r="D123" t="s">
        <v>92</v>
      </c>
      <c r="E123">
        <v>2</v>
      </c>
      <c r="F123">
        <v>184</v>
      </c>
      <c r="G123">
        <v>0</v>
      </c>
      <c r="H123" t="s">
        <v>84</v>
      </c>
      <c r="I123" t="s">
        <v>28</v>
      </c>
      <c r="J123" t="s">
        <v>70</v>
      </c>
      <c r="K123" t="s">
        <v>79</v>
      </c>
      <c r="L123" t="s">
        <v>71</v>
      </c>
      <c r="M123" t="s">
        <v>81</v>
      </c>
      <c r="O123" t="s">
        <v>88</v>
      </c>
      <c r="P123" t="s">
        <v>27</v>
      </c>
      <c r="Q123" t="s">
        <v>73</v>
      </c>
      <c r="R123" t="s">
        <v>76</v>
      </c>
      <c r="S123" t="s">
        <v>74</v>
      </c>
      <c r="T123" t="s">
        <v>75</v>
      </c>
      <c r="X123" t="s">
        <v>77</v>
      </c>
      <c r="Z123" t="s">
        <v>72</v>
      </c>
      <c r="AA123" t="s">
        <v>93</v>
      </c>
      <c r="AB123">
        <v>5</v>
      </c>
      <c r="AC123">
        <v>748688.75</v>
      </c>
      <c r="AD123">
        <v>8930435.5299999993</v>
      </c>
      <c r="AE123">
        <v>189.41</v>
      </c>
      <c r="AF123">
        <v>748688.75</v>
      </c>
      <c r="AG123">
        <v>8930435.5299999993</v>
      </c>
      <c r="AH123">
        <v>184.4</v>
      </c>
      <c r="AI123">
        <v>5.01</v>
      </c>
      <c r="AJ123">
        <v>0.6</v>
      </c>
      <c r="AK123">
        <v>2.97</v>
      </c>
      <c r="AL123">
        <v>2.58</v>
      </c>
      <c r="AM123">
        <v>0</v>
      </c>
      <c r="AN123">
        <v>0</v>
      </c>
      <c r="AO123">
        <v>358</v>
      </c>
      <c r="AP123">
        <v>2.79</v>
      </c>
      <c r="AQ123">
        <v>0</v>
      </c>
      <c r="AR123">
        <v>0</v>
      </c>
      <c r="AS123">
        <v>0</v>
      </c>
      <c r="AT123">
        <v>0</v>
      </c>
      <c r="AU123">
        <v>0</v>
      </c>
      <c r="AV123">
        <v>0</v>
      </c>
      <c r="AW123">
        <v>0</v>
      </c>
      <c r="AX123">
        <v>0</v>
      </c>
      <c r="AY123">
        <v>2.5</v>
      </c>
      <c r="AZ123">
        <v>36.545999999999999</v>
      </c>
      <c r="BA123">
        <v>0</v>
      </c>
      <c r="BB123">
        <v>0</v>
      </c>
      <c r="BC123">
        <v>0</v>
      </c>
      <c r="BD123">
        <v>0</v>
      </c>
    </row>
    <row r="124" spans="1:56" x14ac:dyDescent="0.25">
      <c r="A124" s="23">
        <v>46304</v>
      </c>
      <c r="B124">
        <v>123</v>
      </c>
      <c r="C124" t="s">
        <v>82</v>
      </c>
      <c r="D124" t="s">
        <v>92</v>
      </c>
      <c r="E124">
        <v>2</v>
      </c>
      <c r="F124">
        <v>184</v>
      </c>
      <c r="G124">
        <v>0</v>
      </c>
      <c r="H124" t="s">
        <v>84</v>
      </c>
      <c r="I124" t="s">
        <v>28</v>
      </c>
      <c r="J124" t="s">
        <v>70</v>
      </c>
      <c r="K124" t="s">
        <v>79</v>
      </c>
      <c r="L124" t="s">
        <v>71</v>
      </c>
      <c r="M124" t="s">
        <v>81</v>
      </c>
      <c r="O124" t="s">
        <v>88</v>
      </c>
      <c r="P124" t="s">
        <v>27</v>
      </c>
      <c r="Q124" t="s">
        <v>73</v>
      </c>
      <c r="R124" t="s">
        <v>76</v>
      </c>
      <c r="S124" t="s">
        <v>74</v>
      </c>
      <c r="T124" t="s">
        <v>75</v>
      </c>
      <c r="X124" t="s">
        <v>77</v>
      </c>
      <c r="Z124" t="s">
        <v>72</v>
      </c>
      <c r="AA124" t="s">
        <v>93</v>
      </c>
      <c r="AB124">
        <v>5</v>
      </c>
      <c r="AC124">
        <v>748690.15</v>
      </c>
      <c r="AD124">
        <v>8930438.1500000004</v>
      </c>
      <c r="AE124">
        <v>189.62</v>
      </c>
      <c r="AF124">
        <v>748690.15</v>
      </c>
      <c r="AG124">
        <v>8930438.1500000004</v>
      </c>
      <c r="AH124">
        <v>184.4</v>
      </c>
      <c r="AI124">
        <v>5.22</v>
      </c>
      <c r="AJ124">
        <v>0.6</v>
      </c>
      <c r="AK124">
        <v>2.97</v>
      </c>
      <c r="AL124">
        <v>2.58</v>
      </c>
      <c r="AM124">
        <v>0</v>
      </c>
      <c r="AN124">
        <v>0</v>
      </c>
      <c r="AO124">
        <v>358</v>
      </c>
      <c r="AP124">
        <v>2.79</v>
      </c>
      <c r="AQ124">
        <v>0</v>
      </c>
      <c r="AR124">
        <v>0</v>
      </c>
      <c r="AS124">
        <v>0</v>
      </c>
      <c r="AT124">
        <v>0</v>
      </c>
      <c r="AU124">
        <v>0</v>
      </c>
      <c r="AV124">
        <v>0</v>
      </c>
      <c r="AW124">
        <v>0</v>
      </c>
      <c r="AX124">
        <v>0</v>
      </c>
      <c r="AY124">
        <v>2.5</v>
      </c>
      <c r="AZ124">
        <v>39.603000000000002</v>
      </c>
      <c r="BA124">
        <v>0</v>
      </c>
      <c r="BB124">
        <v>0</v>
      </c>
      <c r="BC124">
        <v>0</v>
      </c>
      <c r="BD124">
        <v>0</v>
      </c>
    </row>
    <row r="125" spans="1:56" x14ac:dyDescent="0.25">
      <c r="A125" s="23">
        <v>46304</v>
      </c>
      <c r="B125">
        <v>124</v>
      </c>
      <c r="C125" t="s">
        <v>82</v>
      </c>
      <c r="D125" t="s">
        <v>92</v>
      </c>
      <c r="E125">
        <v>2</v>
      </c>
      <c r="F125">
        <v>184</v>
      </c>
      <c r="G125">
        <v>0</v>
      </c>
      <c r="H125" t="s">
        <v>84</v>
      </c>
      <c r="I125" t="s">
        <v>28</v>
      </c>
      <c r="J125" t="s">
        <v>70</v>
      </c>
      <c r="K125" t="s">
        <v>79</v>
      </c>
      <c r="L125" t="s">
        <v>71</v>
      </c>
      <c r="M125" t="s">
        <v>81</v>
      </c>
      <c r="O125" t="s">
        <v>88</v>
      </c>
      <c r="P125" t="s">
        <v>27</v>
      </c>
      <c r="Q125" t="s">
        <v>73</v>
      </c>
      <c r="R125" t="s">
        <v>76</v>
      </c>
      <c r="S125" t="s">
        <v>74</v>
      </c>
      <c r="T125" t="s">
        <v>75</v>
      </c>
      <c r="X125" t="s">
        <v>77</v>
      </c>
      <c r="Z125" t="s">
        <v>72</v>
      </c>
      <c r="AA125" t="s">
        <v>93</v>
      </c>
      <c r="AB125">
        <v>5</v>
      </c>
      <c r="AC125">
        <v>748691.28</v>
      </c>
      <c r="AD125">
        <v>8930440.9000000004</v>
      </c>
      <c r="AE125">
        <v>189.6</v>
      </c>
      <c r="AF125">
        <v>748691.28</v>
      </c>
      <c r="AG125">
        <v>8930440.9000000004</v>
      </c>
      <c r="AH125">
        <v>184.4</v>
      </c>
      <c r="AI125">
        <v>5.2</v>
      </c>
      <c r="AJ125">
        <v>0.6</v>
      </c>
      <c r="AK125">
        <v>2.97</v>
      </c>
      <c r="AL125">
        <v>2.58</v>
      </c>
      <c r="AM125">
        <v>0</v>
      </c>
      <c r="AN125">
        <v>0</v>
      </c>
      <c r="AO125">
        <v>358</v>
      </c>
      <c r="AP125">
        <v>2.81</v>
      </c>
      <c r="AQ125">
        <v>0</v>
      </c>
      <c r="AR125">
        <v>0</v>
      </c>
      <c r="AS125">
        <v>0</v>
      </c>
      <c r="AT125">
        <v>0</v>
      </c>
      <c r="AU125">
        <v>0</v>
      </c>
      <c r="AV125">
        <v>0</v>
      </c>
      <c r="AW125">
        <v>0</v>
      </c>
      <c r="AX125">
        <v>0</v>
      </c>
      <c r="AY125">
        <v>2.5</v>
      </c>
      <c r="AZ125">
        <v>39.311999999999998</v>
      </c>
      <c r="BA125">
        <v>0</v>
      </c>
      <c r="BB125">
        <v>0</v>
      </c>
      <c r="BC125">
        <v>0</v>
      </c>
      <c r="BD125">
        <v>0</v>
      </c>
    </row>
    <row r="126" spans="1:56" x14ac:dyDescent="0.25">
      <c r="A126" s="23">
        <v>46304</v>
      </c>
      <c r="B126">
        <v>125</v>
      </c>
      <c r="C126" t="s">
        <v>82</v>
      </c>
      <c r="D126" t="s">
        <v>92</v>
      </c>
      <c r="E126">
        <v>2</v>
      </c>
      <c r="F126">
        <v>184</v>
      </c>
      <c r="G126">
        <v>0</v>
      </c>
      <c r="H126" t="s">
        <v>84</v>
      </c>
      <c r="I126" t="s">
        <v>28</v>
      </c>
      <c r="J126" t="s">
        <v>70</v>
      </c>
      <c r="K126" t="s">
        <v>79</v>
      </c>
      <c r="L126" t="s">
        <v>71</v>
      </c>
      <c r="M126" t="s">
        <v>81</v>
      </c>
      <c r="O126" t="s">
        <v>88</v>
      </c>
      <c r="P126" t="s">
        <v>27</v>
      </c>
      <c r="Q126" t="s">
        <v>73</v>
      </c>
      <c r="R126" t="s">
        <v>76</v>
      </c>
      <c r="S126" t="s">
        <v>74</v>
      </c>
      <c r="T126" t="s">
        <v>75</v>
      </c>
      <c r="X126" t="s">
        <v>77</v>
      </c>
      <c r="Z126" t="s">
        <v>72</v>
      </c>
      <c r="AA126" t="s">
        <v>93</v>
      </c>
      <c r="AB126">
        <v>5</v>
      </c>
      <c r="AC126">
        <v>748692.19</v>
      </c>
      <c r="AD126">
        <v>8930443.7200000007</v>
      </c>
      <c r="AE126">
        <v>189.6</v>
      </c>
      <c r="AF126">
        <v>748692.19</v>
      </c>
      <c r="AG126">
        <v>8930443.7200000007</v>
      </c>
      <c r="AH126">
        <v>184.4</v>
      </c>
      <c r="AI126">
        <v>5.2</v>
      </c>
      <c r="AJ126">
        <v>0.6</v>
      </c>
      <c r="AK126">
        <v>2.97</v>
      </c>
      <c r="AL126">
        <v>2.58</v>
      </c>
      <c r="AM126">
        <v>0</v>
      </c>
      <c r="AN126">
        <v>0</v>
      </c>
      <c r="AO126">
        <v>358</v>
      </c>
      <c r="AP126">
        <v>2.82</v>
      </c>
      <c r="AQ126">
        <v>0</v>
      </c>
      <c r="AR126">
        <v>0</v>
      </c>
      <c r="AS126">
        <v>0</v>
      </c>
      <c r="AT126">
        <v>0</v>
      </c>
      <c r="AU126">
        <v>0</v>
      </c>
      <c r="AV126">
        <v>0</v>
      </c>
      <c r="AW126">
        <v>0</v>
      </c>
      <c r="AX126">
        <v>0</v>
      </c>
      <c r="AY126">
        <v>2.5</v>
      </c>
      <c r="AZ126">
        <v>39.311999999999998</v>
      </c>
      <c r="BA126">
        <v>0</v>
      </c>
      <c r="BB126">
        <v>0</v>
      </c>
      <c r="BC126">
        <v>0</v>
      </c>
      <c r="BD126">
        <v>0</v>
      </c>
    </row>
    <row r="127" spans="1:56" x14ac:dyDescent="0.25">
      <c r="A127" s="23">
        <v>46304</v>
      </c>
      <c r="B127">
        <v>126</v>
      </c>
      <c r="C127" t="s">
        <v>82</v>
      </c>
      <c r="D127" t="s">
        <v>92</v>
      </c>
      <c r="E127">
        <v>2</v>
      </c>
      <c r="F127">
        <v>184</v>
      </c>
      <c r="G127">
        <v>0</v>
      </c>
      <c r="H127" t="s">
        <v>84</v>
      </c>
      <c r="I127" t="s">
        <v>28</v>
      </c>
      <c r="J127" t="s">
        <v>70</v>
      </c>
      <c r="K127" t="s">
        <v>79</v>
      </c>
      <c r="L127" t="s">
        <v>71</v>
      </c>
      <c r="M127" t="s">
        <v>81</v>
      </c>
      <c r="O127" t="s">
        <v>88</v>
      </c>
      <c r="P127" t="s">
        <v>27</v>
      </c>
      <c r="Q127" t="s">
        <v>73</v>
      </c>
      <c r="R127" t="s">
        <v>76</v>
      </c>
      <c r="S127" t="s">
        <v>74</v>
      </c>
      <c r="T127" t="s">
        <v>75</v>
      </c>
      <c r="X127" t="s">
        <v>77</v>
      </c>
      <c r="Z127" t="s">
        <v>72</v>
      </c>
      <c r="AA127" t="s">
        <v>93</v>
      </c>
      <c r="AB127">
        <v>5</v>
      </c>
      <c r="AC127">
        <v>748693.25</v>
      </c>
      <c r="AD127">
        <v>8930446.4700000007</v>
      </c>
      <c r="AE127">
        <v>189.69</v>
      </c>
      <c r="AF127">
        <v>748693.25</v>
      </c>
      <c r="AG127">
        <v>8930446.4700000007</v>
      </c>
      <c r="AH127">
        <v>184.4</v>
      </c>
      <c r="AI127">
        <v>5.29</v>
      </c>
      <c r="AJ127">
        <v>0.6</v>
      </c>
      <c r="AK127">
        <v>2.97</v>
      </c>
      <c r="AL127">
        <v>2.58</v>
      </c>
      <c r="AM127">
        <v>0</v>
      </c>
      <c r="AN127">
        <v>0</v>
      </c>
      <c r="AO127">
        <v>358</v>
      </c>
      <c r="AP127">
        <v>2.82</v>
      </c>
      <c r="AQ127">
        <v>0</v>
      </c>
      <c r="AR127">
        <v>0</v>
      </c>
      <c r="AS127">
        <v>0</v>
      </c>
      <c r="AT127">
        <v>0</v>
      </c>
      <c r="AU127">
        <v>0</v>
      </c>
      <c r="AV127">
        <v>0</v>
      </c>
      <c r="AW127">
        <v>0</v>
      </c>
      <c r="AX127">
        <v>0</v>
      </c>
      <c r="AY127">
        <v>2.5</v>
      </c>
      <c r="AZ127">
        <v>40.622</v>
      </c>
      <c r="BA127">
        <v>0</v>
      </c>
      <c r="BB127">
        <v>0</v>
      </c>
      <c r="BC127">
        <v>0</v>
      </c>
      <c r="BD127">
        <v>0</v>
      </c>
    </row>
    <row r="128" spans="1:56" x14ac:dyDescent="0.25">
      <c r="A128" s="23">
        <v>46304</v>
      </c>
      <c r="B128">
        <v>127</v>
      </c>
      <c r="C128" t="s">
        <v>82</v>
      </c>
      <c r="D128" t="s">
        <v>92</v>
      </c>
      <c r="E128">
        <v>2</v>
      </c>
      <c r="F128">
        <v>184</v>
      </c>
      <c r="G128">
        <v>0</v>
      </c>
      <c r="H128" t="s">
        <v>84</v>
      </c>
      <c r="I128" t="s">
        <v>28</v>
      </c>
      <c r="J128" t="s">
        <v>70</v>
      </c>
      <c r="K128" t="s">
        <v>79</v>
      </c>
      <c r="L128" t="s">
        <v>71</v>
      </c>
      <c r="M128" t="s">
        <v>81</v>
      </c>
      <c r="O128" t="s">
        <v>88</v>
      </c>
      <c r="P128" t="s">
        <v>27</v>
      </c>
      <c r="Q128" t="s">
        <v>73</v>
      </c>
      <c r="R128" t="s">
        <v>76</v>
      </c>
      <c r="S128" t="s">
        <v>74</v>
      </c>
      <c r="T128" t="s">
        <v>75</v>
      </c>
      <c r="X128" t="s">
        <v>77</v>
      </c>
      <c r="Z128" t="s">
        <v>72</v>
      </c>
      <c r="AA128" t="s">
        <v>93</v>
      </c>
      <c r="AB128">
        <v>5</v>
      </c>
      <c r="AC128">
        <v>748694.77</v>
      </c>
      <c r="AD128">
        <v>8930449.0199999996</v>
      </c>
      <c r="AE128">
        <v>189.71</v>
      </c>
      <c r="AF128">
        <v>748694.77</v>
      </c>
      <c r="AG128">
        <v>8930449.0199999996</v>
      </c>
      <c r="AH128">
        <v>184.4</v>
      </c>
      <c r="AI128">
        <v>5.31</v>
      </c>
      <c r="AJ128">
        <v>0.6</v>
      </c>
      <c r="AK128">
        <v>2.97</v>
      </c>
      <c r="AL128">
        <v>2.58</v>
      </c>
      <c r="AM128">
        <v>0</v>
      </c>
      <c r="AN128">
        <v>0</v>
      </c>
      <c r="AO128">
        <v>358</v>
      </c>
      <c r="AP128">
        <v>2.82</v>
      </c>
      <c r="AQ128">
        <v>0</v>
      </c>
      <c r="AR128">
        <v>0</v>
      </c>
      <c r="AS128">
        <v>0</v>
      </c>
      <c r="AT128">
        <v>0</v>
      </c>
      <c r="AU128">
        <v>0</v>
      </c>
      <c r="AV128">
        <v>0</v>
      </c>
      <c r="AW128">
        <v>0</v>
      </c>
      <c r="AX128">
        <v>0</v>
      </c>
      <c r="AY128">
        <v>2.5</v>
      </c>
      <c r="AZ128">
        <v>40.914000000000001</v>
      </c>
      <c r="BA128">
        <v>0</v>
      </c>
      <c r="BB128">
        <v>0</v>
      </c>
      <c r="BC128">
        <v>0</v>
      </c>
      <c r="BD128">
        <v>0</v>
      </c>
    </row>
    <row r="129" spans="1:56" x14ac:dyDescent="0.25">
      <c r="A129" s="23">
        <v>46304</v>
      </c>
      <c r="B129">
        <v>128</v>
      </c>
      <c r="C129" t="s">
        <v>82</v>
      </c>
      <c r="D129" t="s">
        <v>92</v>
      </c>
      <c r="E129">
        <v>2</v>
      </c>
      <c r="F129">
        <v>184</v>
      </c>
      <c r="G129">
        <v>0</v>
      </c>
      <c r="H129" t="s">
        <v>84</v>
      </c>
      <c r="I129" t="s">
        <v>28</v>
      </c>
      <c r="J129" t="s">
        <v>70</v>
      </c>
      <c r="K129" t="s">
        <v>79</v>
      </c>
      <c r="L129" t="s">
        <v>71</v>
      </c>
      <c r="M129" t="s">
        <v>81</v>
      </c>
      <c r="O129" t="s">
        <v>88</v>
      </c>
      <c r="P129" t="s">
        <v>27</v>
      </c>
      <c r="Q129" t="s">
        <v>73</v>
      </c>
      <c r="R129" t="s">
        <v>76</v>
      </c>
      <c r="S129" t="s">
        <v>74</v>
      </c>
      <c r="T129" t="s">
        <v>75</v>
      </c>
      <c r="X129" t="s">
        <v>77</v>
      </c>
      <c r="Z129" t="s">
        <v>72</v>
      </c>
      <c r="AA129" t="s">
        <v>93</v>
      </c>
      <c r="AB129">
        <v>5</v>
      </c>
      <c r="AC129">
        <v>748696.29</v>
      </c>
      <c r="AD129">
        <v>8930451.5800000001</v>
      </c>
      <c r="AE129">
        <v>189.81</v>
      </c>
      <c r="AF129">
        <v>748696.29</v>
      </c>
      <c r="AG129">
        <v>8930451.5800000001</v>
      </c>
      <c r="AH129">
        <v>184.4</v>
      </c>
      <c r="AI129">
        <v>5.41</v>
      </c>
      <c r="AJ129">
        <v>0.6</v>
      </c>
      <c r="AK129">
        <v>2.97</v>
      </c>
      <c r="AL129">
        <v>2.58</v>
      </c>
      <c r="AM129">
        <v>0</v>
      </c>
      <c r="AN129">
        <v>0</v>
      </c>
      <c r="AO129">
        <v>358</v>
      </c>
      <c r="AP129">
        <v>2.83</v>
      </c>
      <c r="AQ129">
        <v>0</v>
      </c>
      <c r="AR129">
        <v>0</v>
      </c>
      <c r="AS129">
        <v>0</v>
      </c>
      <c r="AT129">
        <v>0</v>
      </c>
      <c r="AU129">
        <v>0</v>
      </c>
      <c r="AV129">
        <v>0</v>
      </c>
      <c r="AW129">
        <v>0</v>
      </c>
      <c r="AX129">
        <v>0</v>
      </c>
      <c r="AY129">
        <v>2.5</v>
      </c>
      <c r="AZ129">
        <v>42.37</v>
      </c>
      <c r="BA129">
        <v>0</v>
      </c>
      <c r="BB129">
        <v>0</v>
      </c>
      <c r="BC129">
        <v>0</v>
      </c>
      <c r="BD129">
        <v>0</v>
      </c>
    </row>
    <row r="130" spans="1:56" x14ac:dyDescent="0.25">
      <c r="A130" s="23">
        <v>46304</v>
      </c>
      <c r="B130">
        <v>129</v>
      </c>
      <c r="C130" t="s">
        <v>82</v>
      </c>
      <c r="D130" t="s">
        <v>92</v>
      </c>
      <c r="E130">
        <v>2</v>
      </c>
      <c r="F130">
        <v>184</v>
      </c>
      <c r="G130">
        <v>0</v>
      </c>
      <c r="H130" t="s">
        <v>84</v>
      </c>
      <c r="I130" t="s">
        <v>28</v>
      </c>
      <c r="J130" t="s">
        <v>70</v>
      </c>
      <c r="K130" t="s">
        <v>79</v>
      </c>
      <c r="L130" t="s">
        <v>71</v>
      </c>
      <c r="M130" t="s">
        <v>81</v>
      </c>
      <c r="O130" t="s">
        <v>88</v>
      </c>
      <c r="P130" t="s">
        <v>27</v>
      </c>
      <c r="Q130" t="s">
        <v>73</v>
      </c>
      <c r="R130" t="s">
        <v>76</v>
      </c>
      <c r="S130" t="s">
        <v>74</v>
      </c>
      <c r="T130" t="s">
        <v>75</v>
      </c>
      <c r="X130" t="s">
        <v>77</v>
      </c>
      <c r="Z130" t="s">
        <v>72</v>
      </c>
      <c r="AA130" t="s">
        <v>93</v>
      </c>
      <c r="AB130">
        <v>5</v>
      </c>
      <c r="AC130">
        <v>748697.81</v>
      </c>
      <c r="AD130">
        <v>8930454.1300000008</v>
      </c>
      <c r="AE130">
        <v>189.83</v>
      </c>
      <c r="AF130">
        <v>748697.81</v>
      </c>
      <c r="AG130">
        <v>8930454.1300000008</v>
      </c>
      <c r="AH130">
        <v>184.4</v>
      </c>
      <c r="AI130">
        <v>5.43</v>
      </c>
      <c r="AJ130">
        <v>0.6</v>
      </c>
      <c r="AK130">
        <v>2.97</v>
      </c>
      <c r="AL130">
        <v>2.58</v>
      </c>
      <c r="AM130">
        <v>0</v>
      </c>
      <c r="AN130">
        <v>0</v>
      </c>
      <c r="AO130">
        <v>358</v>
      </c>
      <c r="AP130">
        <v>2.83</v>
      </c>
      <c r="AQ130">
        <v>0</v>
      </c>
      <c r="AR130">
        <v>0</v>
      </c>
      <c r="AS130">
        <v>0</v>
      </c>
      <c r="AT130">
        <v>0</v>
      </c>
      <c r="AU130">
        <v>0</v>
      </c>
      <c r="AV130">
        <v>0</v>
      </c>
      <c r="AW130">
        <v>0</v>
      </c>
      <c r="AX130">
        <v>0</v>
      </c>
      <c r="AY130">
        <v>2.5</v>
      </c>
      <c r="AZ130">
        <v>42.661000000000001</v>
      </c>
      <c r="BA130">
        <v>0</v>
      </c>
      <c r="BB130">
        <v>0</v>
      </c>
      <c r="BC130">
        <v>0</v>
      </c>
      <c r="BD130">
        <v>0</v>
      </c>
    </row>
    <row r="131" spans="1:56" x14ac:dyDescent="0.25">
      <c r="A131" s="23">
        <v>46304</v>
      </c>
      <c r="B131">
        <v>130</v>
      </c>
      <c r="C131" t="s">
        <v>82</v>
      </c>
      <c r="D131" t="s">
        <v>92</v>
      </c>
      <c r="E131">
        <v>2</v>
      </c>
      <c r="F131">
        <v>184</v>
      </c>
      <c r="G131">
        <v>0</v>
      </c>
      <c r="H131" t="s">
        <v>84</v>
      </c>
      <c r="I131" t="s">
        <v>28</v>
      </c>
      <c r="J131" t="s">
        <v>70</v>
      </c>
      <c r="K131" t="s">
        <v>79</v>
      </c>
      <c r="L131" t="s">
        <v>71</v>
      </c>
      <c r="M131" t="s">
        <v>81</v>
      </c>
      <c r="O131" t="s">
        <v>88</v>
      </c>
      <c r="P131" t="s">
        <v>27</v>
      </c>
      <c r="Q131" t="s">
        <v>73</v>
      </c>
      <c r="R131" t="s">
        <v>76</v>
      </c>
      <c r="S131" t="s">
        <v>74</v>
      </c>
      <c r="T131" t="s">
        <v>75</v>
      </c>
      <c r="X131" t="s">
        <v>77</v>
      </c>
      <c r="Z131" t="s">
        <v>72</v>
      </c>
      <c r="AA131" t="s">
        <v>93</v>
      </c>
      <c r="AB131">
        <v>5</v>
      </c>
      <c r="AC131">
        <v>748699.3</v>
      </c>
      <c r="AD131">
        <v>8930456.6899999995</v>
      </c>
      <c r="AE131">
        <v>189.86</v>
      </c>
      <c r="AF131">
        <v>748699.3</v>
      </c>
      <c r="AG131">
        <v>8930456.6899999995</v>
      </c>
      <c r="AH131">
        <v>184.4</v>
      </c>
      <c r="AI131">
        <v>5.46</v>
      </c>
      <c r="AJ131">
        <v>0.6</v>
      </c>
      <c r="AK131">
        <v>2.97</v>
      </c>
      <c r="AL131">
        <v>2.58</v>
      </c>
      <c r="AM131">
        <v>0</v>
      </c>
      <c r="AN131">
        <v>0</v>
      </c>
      <c r="AO131">
        <v>358</v>
      </c>
      <c r="AP131">
        <v>2.94</v>
      </c>
      <c r="AQ131">
        <v>0.1</v>
      </c>
      <c r="AR131">
        <v>0.02</v>
      </c>
      <c r="AS131">
        <v>0.01</v>
      </c>
      <c r="AT131">
        <v>2.81</v>
      </c>
      <c r="AU131">
        <v>1.03</v>
      </c>
      <c r="AV131">
        <v>0.1</v>
      </c>
      <c r="AW131">
        <v>0.19</v>
      </c>
      <c r="AX131">
        <v>1.6</v>
      </c>
      <c r="AY131">
        <v>2.5</v>
      </c>
      <c r="AZ131">
        <v>43.097999999999999</v>
      </c>
      <c r="BA131">
        <v>0</v>
      </c>
      <c r="BB131">
        <v>0</v>
      </c>
      <c r="BC131">
        <v>0</v>
      </c>
      <c r="BD131">
        <v>0</v>
      </c>
    </row>
    <row r="132" spans="1:56" x14ac:dyDescent="0.25">
      <c r="A132" s="23">
        <v>46304</v>
      </c>
      <c r="B132">
        <v>131</v>
      </c>
      <c r="C132" t="s">
        <v>82</v>
      </c>
      <c r="D132" t="s">
        <v>92</v>
      </c>
      <c r="E132">
        <v>2</v>
      </c>
      <c r="F132">
        <v>184</v>
      </c>
      <c r="G132">
        <v>0</v>
      </c>
      <c r="H132" t="s">
        <v>84</v>
      </c>
      <c r="I132" t="s">
        <v>28</v>
      </c>
      <c r="J132" t="s">
        <v>70</v>
      </c>
      <c r="K132" t="s">
        <v>79</v>
      </c>
      <c r="L132" t="s">
        <v>71</v>
      </c>
      <c r="M132" t="s">
        <v>81</v>
      </c>
      <c r="O132" t="s">
        <v>88</v>
      </c>
      <c r="P132" t="s">
        <v>27</v>
      </c>
      <c r="Q132" t="s">
        <v>73</v>
      </c>
      <c r="R132" t="s">
        <v>76</v>
      </c>
      <c r="S132" t="s">
        <v>74</v>
      </c>
      <c r="T132" t="s">
        <v>75</v>
      </c>
      <c r="X132" t="s">
        <v>77</v>
      </c>
      <c r="Z132" t="s">
        <v>72</v>
      </c>
      <c r="AA132" t="s">
        <v>93</v>
      </c>
      <c r="AB132">
        <v>5</v>
      </c>
      <c r="AC132">
        <v>748700.17</v>
      </c>
      <c r="AD132">
        <v>8930459.5299999993</v>
      </c>
      <c r="AE132">
        <v>189.91</v>
      </c>
      <c r="AF132">
        <v>748700.17</v>
      </c>
      <c r="AG132">
        <v>8930459.5299999993</v>
      </c>
      <c r="AH132">
        <v>184.4</v>
      </c>
      <c r="AI132">
        <v>5.51</v>
      </c>
      <c r="AJ132">
        <v>0.6</v>
      </c>
      <c r="AK132">
        <v>2.97</v>
      </c>
      <c r="AL132">
        <v>2.58</v>
      </c>
      <c r="AM132">
        <v>0</v>
      </c>
      <c r="AN132">
        <v>0</v>
      </c>
      <c r="AO132">
        <v>358</v>
      </c>
      <c r="AP132">
        <v>2.96</v>
      </c>
      <c r="AQ132">
        <v>0.11</v>
      </c>
      <c r="AR132">
        <v>0.02</v>
      </c>
      <c r="AS132">
        <v>0.02</v>
      </c>
      <c r="AT132">
        <v>3.34</v>
      </c>
      <c r="AU132">
        <v>1.17</v>
      </c>
      <c r="AV132">
        <v>0.12</v>
      </c>
      <c r="AW132">
        <v>0.21</v>
      </c>
      <c r="AX132">
        <v>1.95</v>
      </c>
      <c r="AY132">
        <v>2.5</v>
      </c>
      <c r="AZ132">
        <v>43.826000000000001</v>
      </c>
      <c r="BA132">
        <v>0</v>
      </c>
      <c r="BB132">
        <v>0</v>
      </c>
      <c r="BC132">
        <v>0</v>
      </c>
      <c r="BD132">
        <v>0</v>
      </c>
    </row>
    <row r="133" spans="1:56" x14ac:dyDescent="0.25">
      <c r="A133" s="23">
        <v>46304</v>
      </c>
      <c r="B133">
        <v>132</v>
      </c>
      <c r="C133" t="s">
        <v>82</v>
      </c>
      <c r="D133" t="s">
        <v>92</v>
      </c>
      <c r="E133">
        <v>2</v>
      </c>
      <c r="F133">
        <v>184</v>
      </c>
      <c r="G133">
        <v>0</v>
      </c>
      <c r="H133" t="s">
        <v>84</v>
      </c>
      <c r="I133" t="s">
        <v>28</v>
      </c>
      <c r="J133" t="s">
        <v>70</v>
      </c>
      <c r="K133" t="s">
        <v>79</v>
      </c>
      <c r="L133" t="s">
        <v>71</v>
      </c>
      <c r="M133" t="s">
        <v>81</v>
      </c>
      <c r="O133" t="s">
        <v>88</v>
      </c>
      <c r="P133" t="s">
        <v>27</v>
      </c>
      <c r="Q133" t="s">
        <v>73</v>
      </c>
      <c r="R133" t="s">
        <v>76</v>
      </c>
      <c r="S133" t="s">
        <v>74</v>
      </c>
      <c r="T133" t="s">
        <v>75</v>
      </c>
      <c r="X133" t="s">
        <v>77</v>
      </c>
      <c r="Z133" t="s">
        <v>72</v>
      </c>
      <c r="AA133" t="s">
        <v>93</v>
      </c>
      <c r="AB133">
        <v>5</v>
      </c>
      <c r="AC133">
        <v>748700.97</v>
      </c>
      <c r="AD133">
        <v>8930462.3900000006</v>
      </c>
      <c r="AE133">
        <v>190.02</v>
      </c>
      <c r="AF133">
        <v>748700.97</v>
      </c>
      <c r="AG133">
        <v>8930462.3900000006</v>
      </c>
      <c r="AH133">
        <v>184.4</v>
      </c>
      <c r="AI133">
        <v>5.62</v>
      </c>
      <c r="AJ133">
        <v>0.6</v>
      </c>
      <c r="AK133">
        <v>2.97</v>
      </c>
      <c r="AL133">
        <v>2.58</v>
      </c>
      <c r="AM133">
        <v>0</v>
      </c>
      <c r="AN133">
        <v>0</v>
      </c>
      <c r="AO133">
        <v>358</v>
      </c>
      <c r="AP133">
        <v>3.03</v>
      </c>
      <c r="AQ133">
        <v>0.18</v>
      </c>
      <c r="AR133">
        <v>0.03</v>
      </c>
      <c r="AS133">
        <v>0.02</v>
      </c>
      <c r="AT133">
        <v>5.35</v>
      </c>
      <c r="AU133">
        <v>1.85</v>
      </c>
      <c r="AV133">
        <v>0.21</v>
      </c>
      <c r="AW133">
        <v>0.33</v>
      </c>
      <c r="AX133">
        <v>3.08</v>
      </c>
      <c r="AY133">
        <v>2.5</v>
      </c>
      <c r="AZ133">
        <v>45.427</v>
      </c>
      <c r="BA133">
        <v>0</v>
      </c>
      <c r="BB133">
        <v>0</v>
      </c>
      <c r="BC133">
        <v>0</v>
      </c>
      <c r="BD133">
        <v>0</v>
      </c>
    </row>
    <row r="134" spans="1:56" x14ac:dyDescent="0.25">
      <c r="A134" s="23">
        <v>46304</v>
      </c>
      <c r="B134">
        <v>133</v>
      </c>
      <c r="C134" t="s">
        <v>82</v>
      </c>
      <c r="D134" t="s">
        <v>92</v>
      </c>
      <c r="E134">
        <v>2</v>
      </c>
      <c r="F134">
        <v>184</v>
      </c>
      <c r="G134">
        <v>1</v>
      </c>
      <c r="H134" t="s">
        <v>84</v>
      </c>
      <c r="I134" t="s">
        <v>91</v>
      </c>
      <c r="J134" t="s">
        <v>85</v>
      </c>
      <c r="K134" t="s">
        <v>86</v>
      </c>
      <c r="L134" t="s">
        <v>71</v>
      </c>
      <c r="M134" t="s">
        <v>87</v>
      </c>
      <c r="O134" t="s">
        <v>88</v>
      </c>
      <c r="P134" t="s">
        <v>27</v>
      </c>
      <c r="Q134" t="s">
        <v>73</v>
      </c>
      <c r="R134" t="s">
        <v>76</v>
      </c>
      <c r="S134" t="s">
        <v>74</v>
      </c>
      <c r="T134" t="s">
        <v>75</v>
      </c>
      <c r="X134" t="s">
        <v>77</v>
      </c>
      <c r="Z134" t="s">
        <v>72</v>
      </c>
      <c r="AA134" t="s">
        <v>93</v>
      </c>
      <c r="AB134">
        <v>5</v>
      </c>
      <c r="AC134">
        <v>748701.76</v>
      </c>
      <c r="AD134">
        <v>8930465.25</v>
      </c>
      <c r="AE134">
        <v>190.2</v>
      </c>
      <c r="AF134">
        <v>748701.76</v>
      </c>
      <c r="AG134">
        <v>8930465.25</v>
      </c>
      <c r="AH134">
        <v>184.4</v>
      </c>
      <c r="AI134">
        <v>5.8</v>
      </c>
      <c r="AJ134">
        <v>0.6</v>
      </c>
      <c r="AK134">
        <v>2.97</v>
      </c>
      <c r="AL134">
        <v>2.58</v>
      </c>
      <c r="AM134">
        <v>0</v>
      </c>
      <c r="AN134">
        <v>0</v>
      </c>
      <c r="AO134">
        <v>358</v>
      </c>
      <c r="AP134">
        <v>3.18</v>
      </c>
      <c r="AQ134">
        <v>0.35</v>
      </c>
      <c r="AR134">
        <v>0.05</v>
      </c>
      <c r="AS134">
        <v>0.05</v>
      </c>
      <c r="AT134">
        <v>10.42</v>
      </c>
      <c r="AU134">
        <v>4</v>
      </c>
      <c r="AV134">
        <v>0.38</v>
      </c>
      <c r="AW134">
        <v>0.69</v>
      </c>
      <c r="AX134">
        <v>5.93</v>
      </c>
      <c r="AY134">
        <v>2.5</v>
      </c>
      <c r="AZ134">
        <v>48.048000000000002</v>
      </c>
      <c r="BA134">
        <v>0</v>
      </c>
      <c r="BB134">
        <v>0</v>
      </c>
      <c r="BC134">
        <v>0</v>
      </c>
      <c r="BD134">
        <v>0</v>
      </c>
    </row>
    <row r="135" spans="1:56" x14ac:dyDescent="0.25">
      <c r="A135" s="23">
        <v>46304</v>
      </c>
      <c r="B135">
        <v>134</v>
      </c>
      <c r="C135" t="s">
        <v>82</v>
      </c>
      <c r="D135" t="s">
        <v>92</v>
      </c>
      <c r="E135">
        <v>2</v>
      </c>
      <c r="F135">
        <v>184</v>
      </c>
      <c r="G135">
        <v>1</v>
      </c>
      <c r="H135" t="s">
        <v>84</v>
      </c>
      <c r="I135" t="s">
        <v>91</v>
      </c>
      <c r="J135" t="s">
        <v>85</v>
      </c>
      <c r="K135" t="s">
        <v>86</v>
      </c>
      <c r="L135" t="s">
        <v>71</v>
      </c>
      <c r="M135" t="s">
        <v>87</v>
      </c>
      <c r="O135" t="s">
        <v>88</v>
      </c>
      <c r="P135" t="s">
        <v>27</v>
      </c>
      <c r="Q135" t="s">
        <v>73</v>
      </c>
      <c r="R135" t="s">
        <v>76</v>
      </c>
      <c r="S135" t="s">
        <v>74</v>
      </c>
      <c r="T135" t="s">
        <v>75</v>
      </c>
      <c r="X135" t="s">
        <v>77</v>
      </c>
      <c r="Z135" t="s">
        <v>72</v>
      </c>
      <c r="AA135" t="s">
        <v>93</v>
      </c>
      <c r="AB135">
        <v>5</v>
      </c>
      <c r="AC135">
        <v>748702.56</v>
      </c>
      <c r="AD135">
        <v>8930468.1099999994</v>
      </c>
      <c r="AE135">
        <v>190.14</v>
      </c>
      <c r="AF135">
        <v>748702.56</v>
      </c>
      <c r="AG135">
        <v>8930468.1099999994</v>
      </c>
      <c r="AH135">
        <v>184.4</v>
      </c>
      <c r="AI135">
        <v>5.74</v>
      </c>
      <c r="AJ135">
        <v>0.6</v>
      </c>
      <c r="AK135">
        <v>2.97</v>
      </c>
      <c r="AL135">
        <v>2.58</v>
      </c>
      <c r="AM135">
        <v>0</v>
      </c>
      <c r="AN135">
        <v>0</v>
      </c>
      <c r="AO135">
        <v>358</v>
      </c>
      <c r="AP135">
        <v>3.22</v>
      </c>
      <c r="AQ135">
        <v>0.4</v>
      </c>
      <c r="AR135">
        <v>0.06</v>
      </c>
      <c r="AS135">
        <v>0.05</v>
      </c>
      <c r="AT135">
        <v>11.63</v>
      </c>
      <c r="AU135">
        <v>4.5</v>
      </c>
      <c r="AV135">
        <v>0.43</v>
      </c>
      <c r="AW135">
        <v>0.77</v>
      </c>
      <c r="AX135">
        <v>6.68</v>
      </c>
      <c r="AY135">
        <v>2.5</v>
      </c>
      <c r="AZ135">
        <v>47.173999999999999</v>
      </c>
      <c r="BA135">
        <v>0</v>
      </c>
      <c r="BB135">
        <v>0</v>
      </c>
      <c r="BC135">
        <v>0</v>
      </c>
      <c r="BD135">
        <v>0</v>
      </c>
    </row>
    <row r="136" spans="1:56" x14ac:dyDescent="0.25">
      <c r="A136" s="23">
        <v>46304</v>
      </c>
      <c r="B136">
        <v>135</v>
      </c>
      <c r="C136" t="s">
        <v>82</v>
      </c>
      <c r="D136" t="s">
        <v>92</v>
      </c>
      <c r="E136">
        <v>2</v>
      </c>
      <c r="F136">
        <v>184</v>
      </c>
      <c r="G136">
        <v>1</v>
      </c>
      <c r="H136" t="s">
        <v>84</v>
      </c>
      <c r="I136" t="s">
        <v>91</v>
      </c>
      <c r="J136" t="s">
        <v>85</v>
      </c>
      <c r="K136" t="s">
        <v>86</v>
      </c>
      <c r="L136" t="s">
        <v>71</v>
      </c>
      <c r="M136" t="s">
        <v>87</v>
      </c>
      <c r="O136" t="s">
        <v>88</v>
      </c>
      <c r="P136" t="s">
        <v>27</v>
      </c>
      <c r="Q136" t="s">
        <v>73</v>
      </c>
      <c r="R136" t="s">
        <v>76</v>
      </c>
      <c r="S136" t="s">
        <v>74</v>
      </c>
      <c r="T136" t="s">
        <v>75</v>
      </c>
      <c r="X136" t="s">
        <v>77</v>
      </c>
      <c r="Z136" t="s">
        <v>72</v>
      </c>
      <c r="AA136" t="s">
        <v>93</v>
      </c>
      <c r="AB136">
        <v>5</v>
      </c>
      <c r="AC136">
        <v>748703.35</v>
      </c>
      <c r="AD136">
        <v>8930470.9700000007</v>
      </c>
      <c r="AE136">
        <v>190</v>
      </c>
      <c r="AF136">
        <v>748703.35</v>
      </c>
      <c r="AG136">
        <v>8930470.9700000007</v>
      </c>
      <c r="AH136">
        <v>184.4</v>
      </c>
      <c r="AI136">
        <v>5.6</v>
      </c>
      <c r="AJ136">
        <v>0.6</v>
      </c>
      <c r="AK136">
        <v>2.97</v>
      </c>
      <c r="AL136">
        <v>2.58</v>
      </c>
      <c r="AM136">
        <v>0</v>
      </c>
      <c r="AN136">
        <v>0</v>
      </c>
      <c r="AO136">
        <v>358</v>
      </c>
      <c r="AP136">
        <v>3.28</v>
      </c>
      <c r="AQ136">
        <v>0.41</v>
      </c>
      <c r="AR136">
        <v>0.06</v>
      </c>
      <c r="AS136">
        <v>0.05</v>
      </c>
      <c r="AT136">
        <v>12.14</v>
      </c>
      <c r="AU136">
        <v>4.3</v>
      </c>
      <c r="AV136">
        <v>0.47</v>
      </c>
      <c r="AW136">
        <v>0.78</v>
      </c>
      <c r="AX136">
        <v>7.22</v>
      </c>
      <c r="AY136">
        <v>2.5</v>
      </c>
      <c r="AZ136">
        <v>45.136000000000003</v>
      </c>
      <c r="BA136">
        <v>0</v>
      </c>
      <c r="BB136">
        <v>0</v>
      </c>
      <c r="BC136">
        <v>0</v>
      </c>
      <c r="BD136">
        <v>0</v>
      </c>
    </row>
    <row r="137" spans="1:56" x14ac:dyDescent="0.25">
      <c r="A137" s="23">
        <v>46304</v>
      </c>
      <c r="B137">
        <v>136</v>
      </c>
      <c r="C137" t="s">
        <v>82</v>
      </c>
      <c r="D137" t="s">
        <v>92</v>
      </c>
      <c r="E137">
        <v>2</v>
      </c>
      <c r="F137">
        <v>184</v>
      </c>
      <c r="G137">
        <v>1</v>
      </c>
      <c r="H137" t="s">
        <v>84</v>
      </c>
      <c r="I137" t="s">
        <v>91</v>
      </c>
      <c r="J137" t="s">
        <v>85</v>
      </c>
      <c r="K137" t="s">
        <v>86</v>
      </c>
      <c r="L137" t="s">
        <v>71</v>
      </c>
      <c r="M137" t="s">
        <v>87</v>
      </c>
      <c r="O137" t="s">
        <v>88</v>
      </c>
      <c r="P137" t="s">
        <v>27</v>
      </c>
      <c r="Q137" t="s">
        <v>73</v>
      </c>
      <c r="R137" t="s">
        <v>76</v>
      </c>
      <c r="S137" t="s">
        <v>74</v>
      </c>
      <c r="T137" t="s">
        <v>75</v>
      </c>
      <c r="X137" t="s">
        <v>77</v>
      </c>
      <c r="Z137" t="s">
        <v>72</v>
      </c>
      <c r="AA137" t="s">
        <v>93</v>
      </c>
      <c r="AB137">
        <v>5</v>
      </c>
      <c r="AC137">
        <v>748704.14</v>
      </c>
      <c r="AD137">
        <v>8930473.8399999999</v>
      </c>
      <c r="AE137">
        <v>189.89</v>
      </c>
      <c r="AF137">
        <v>748704.14</v>
      </c>
      <c r="AG137">
        <v>8930473.8399999999</v>
      </c>
      <c r="AH137">
        <v>184.4</v>
      </c>
      <c r="AI137">
        <v>5.49</v>
      </c>
      <c r="AJ137">
        <v>0.6</v>
      </c>
      <c r="AK137">
        <v>2.97</v>
      </c>
      <c r="AL137">
        <v>2.58</v>
      </c>
      <c r="AM137">
        <v>0</v>
      </c>
      <c r="AN137">
        <v>0</v>
      </c>
      <c r="AO137">
        <v>358</v>
      </c>
      <c r="AP137">
        <v>3.31</v>
      </c>
      <c r="AQ137">
        <v>0.44</v>
      </c>
      <c r="AR137">
        <v>0.06</v>
      </c>
      <c r="AS137">
        <v>0.05</v>
      </c>
      <c r="AT137">
        <v>13.11</v>
      </c>
      <c r="AU137">
        <v>4.68</v>
      </c>
      <c r="AV137">
        <v>0.49</v>
      </c>
      <c r="AW137">
        <v>0.84</v>
      </c>
      <c r="AX137">
        <v>7.83</v>
      </c>
      <c r="AY137">
        <v>2.5</v>
      </c>
      <c r="AZ137">
        <v>43.533999999999999</v>
      </c>
      <c r="BA137">
        <v>0</v>
      </c>
      <c r="BB137">
        <v>0</v>
      </c>
      <c r="BC137">
        <v>0</v>
      </c>
      <c r="BD137">
        <v>0</v>
      </c>
    </row>
    <row r="138" spans="1:56" x14ac:dyDescent="0.25">
      <c r="A138" s="23">
        <v>46304</v>
      </c>
      <c r="B138">
        <v>137</v>
      </c>
      <c r="C138" t="s">
        <v>82</v>
      </c>
      <c r="D138" t="s">
        <v>92</v>
      </c>
      <c r="E138">
        <v>2</v>
      </c>
      <c r="F138">
        <v>184</v>
      </c>
      <c r="G138">
        <v>1</v>
      </c>
      <c r="H138" t="s">
        <v>84</v>
      </c>
      <c r="I138" t="s">
        <v>91</v>
      </c>
      <c r="J138" t="s">
        <v>85</v>
      </c>
      <c r="K138" t="s">
        <v>86</v>
      </c>
      <c r="L138" t="s">
        <v>71</v>
      </c>
      <c r="M138" t="s">
        <v>87</v>
      </c>
      <c r="O138" t="s">
        <v>88</v>
      </c>
      <c r="P138" t="s">
        <v>27</v>
      </c>
      <c r="Q138" t="s">
        <v>73</v>
      </c>
      <c r="R138" t="s">
        <v>76</v>
      </c>
      <c r="S138" t="s">
        <v>74</v>
      </c>
      <c r="T138" t="s">
        <v>75</v>
      </c>
      <c r="X138" t="s">
        <v>77</v>
      </c>
      <c r="Z138" t="s">
        <v>72</v>
      </c>
      <c r="AA138" t="s">
        <v>93</v>
      </c>
      <c r="AB138">
        <v>5</v>
      </c>
      <c r="AC138">
        <v>748704.94</v>
      </c>
      <c r="AD138">
        <v>8930476.6999999993</v>
      </c>
      <c r="AE138">
        <v>190.01</v>
      </c>
      <c r="AF138">
        <v>748704.94</v>
      </c>
      <c r="AG138">
        <v>8930476.6999999993</v>
      </c>
      <c r="AH138">
        <v>184.4</v>
      </c>
      <c r="AI138">
        <v>5.61</v>
      </c>
      <c r="AJ138">
        <v>0.6</v>
      </c>
      <c r="AK138">
        <v>2.97</v>
      </c>
      <c r="AL138">
        <v>2.58</v>
      </c>
      <c r="AM138">
        <v>0</v>
      </c>
      <c r="AN138">
        <v>0</v>
      </c>
      <c r="AO138">
        <v>358</v>
      </c>
      <c r="AP138">
        <v>3.34</v>
      </c>
      <c r="AQ138">
        <v>0.46</v>
      </c>
      <c r="AR138">
        <v>7.0000000000000007E-2</v>
      </c>
      <c r="AS138">
        <v>0.06</v>
      </c>
      <c r="AT138">
        <v>13.7</v>
      </c>
      <c r="AU138">
        <v>4.93</v>
      </c>
      <c r="AV138">
        <v>0.52</v>
      </c>
      <c r="AW138">
        <v>0.87</v>
      </c>
      <c r="AX138">
        <v>8.2899999999999991</v>
      </c>
      <c r="AY138">
        <v>2.5</v>
      </c>
      <c r="AZ138">
        <v>45.281999999999996</v>
      </c>
      <c r="BA138">
        <v>0</v>
      </c>
      <c r="BB138">
        <v>0</v>
      </c>
      <c r="BC138">
        <v>0</v>
      </c>
      <c r="BD138">
        <v>0</v>
      </c>
    </row>
    <row r="139" spans="1:56" x14ac:dyDescent="0.25">
      <c r="A139" s="23">
        <v>46304</v>
      </c>
      <c r="B139">
        <v>138</v>
      </c>
      <c r="C139" t="s">
        <v>82</v>
      </c>
      <c r="D139" t="s">
        <v>92</v>
      </c>
      <c r="E139">
        <v>2</v>
      </c>
      <c r="F139">
        <v>184</v>
      </c>
      <c r="G139">
        <v>1</v>
      </c>
      <c r="H139" t="s">
        <v>84</v>
      </c>
      <c r="I139" t="s">
        <v>91</v>
      </c>
      <c r="J139" t="s">
        <v>85</v>
      </c>
      <c r="K139" t="s">
        <v>86</v>
      </c>
      <c r="L139" t="s">
        <v>71</v>
      </c>
      <c r="M139" t="s">
        <v>87</v>
      </c>
      <c r="O139" t="s">
        <v>88</v>
      </c>
      <c r="P139" t="s">
        <v>27</v>
      </c>
      <c r="Q139" t="s">
        <v>73</v>
      </c>
      <c r="R139" t="s">
        <v>76</v>
      </c>
      <c r="S139" t="s">
        <v>74</v>
      </c>
      <c r="T139" t="s">
        <v>75</v>
      </c>
      <c r="X139" t="s">
        <v>77</v>
      </c>
      <c r="Z139" t="s">
        <v>72</v>
      </c>
      <c r="AA139" t="s">
        <v>93</v>
      </c>
      <c r="AB139">
        <v>5</v>
      </c>
      <c r="AC139">
        <v>748705.77</v>
      </c>
      <c r="AD139">
        <v>8930479.5500000007</v>
      </c>
      <c r="AE139">
        <v>189.96</v>
      </c>
      <c r="AF139">
        <v>748705.77</v>
      </c>
      <c r="AG139">
        <v>8930479.5500000007</v>
      </c>
      <c r="AH139">
        <v>184.4</v>
      </c>
      <c r="AI139">
        <v>5.56</v>
      </c>
      <c r="AJ139">
        <v>0.6</v>
      </c>
      <c r="AK139">
        <v>2.97</v>
      </c>
      <c r="AL139">
        <v>2.58</v>
      </c>
      <c r="AM139">
        <v>0</v>
      </c>
      <c r="AN139">
        <v>0</v>
      </c>
      <c r="AO139">
        <v>358</v>
      </c>
      <c r="AP139">
        <v>3.32</v>
      </c>
      <c r="AQ139">
        <v>0.56000000000000005</v>
      </c>
      <c r="AR139">
        <v>0.09</v>
      </c>
      <c r="AS139">
        <v>7.0000000000000007E-2</v>
      </c>
      <c r="AT139">
        <v>16.07</v>
      </c>
      <c r="AU139">
        <v>4.9800000000000004</v>
      </c>
      <c r="AV139">
        <v>0.48</v>
      </c>
      <c r="AW139">
        <v>1.2</v>
      </c>
      <c r="AX139">
        <v>4.2</v>
      </c>
      <c r="AY139">
        <v>2.5</v>
      </c>
      <c r="AZ139">
        <v>44.554000000000002</v>
      </c>
      <c r="BA139">
        <v>0</v>
      </c>
      <c r="BB139">
        <v>0</v>
      </c>
      <c r="BC139">
        <v>0</v>
      </c>
      <c r="BD139">
        <v>0</v>
      </c>
    </row>
    <row r="140" spans="1:56" x14ac:dyDescent="0.25">
      <c r="A140" s="23">
        <v>46304</v>
      </c>
      <c r="B140">
        <v>139</v>
      </c>
      <c r="C140" t="s">
        <v>82</v>
      </c>
      <c r="D140" t="s">
        <v>92</v>
      </c>
      <c r="E140">
        <v>2</v>
      </c>
      <c r="F140">
        <v>184</v>
      </c>
      <c r="G140">
        <v>1</v>
      </c>
      <c r="H140" t="s">
        <v>84</v>
      </c>
      <c r="I140" t="s">
        <v>91</v>
      </c>
      <c r="J140" t="s">
        <v>85</v>
      </c>
      <c r="K140" t="s">
        <v>86</v>
      </c>
      <c r="L140" t="s">
        <v>71</v>
      </c>
      <c r="M140" t="s">
        <v>87</v>
      </c>
      <c r="O140" t="s">
        <v>88</v>
      </c>
      <c r="P140" t="s">
        <v>27</v>
      </c>
      <c r="Q140" t="s">
        <v>73</v>
      </c>
      <c r="R140" t="s">
        <v>76</v>
      </c>
      <c r="S140" t="s">
        <v>74</v>
      </c>
      <c r="T140" t="s">
        <v>75</v>
      </c>
      <c r="X140" t="s">
        <v>77</v>
      </c>
      <c r="Z140" t="s">
        <v>72</v>
      </c>
      <c r="AA140" t="s">
        <v>93</v>
      </c>
      <c r="AB140">
        <v>5</v>
      </c>
      <c r="AC140">
        <v>748706.74</v>
      </c>
      <c r="AD140">
        <v>8930482.3499999996</v>
      </c>
      <c r="AE140">
        <v>189.96</v>
      </c>
      <c r="AF140">
        <v>748706.74</v>
      </c>
      <c r="AG140">
        <v>8930482.3499999996</v>
      </c>
      <c r="AH140">
        <v>184.4</v>
      </c>
      <c r="AI140">
        <v>5.56</v>
      </c>
      <c r="AJ140">
        <v>0.6</v>
      </c>
      <c r="AK140">
        <v>2.97</v>
      </c>
      <c r="AL140">
        <v>2.58</v>
      </c>
      <c r="AM140">
        <v>0</v>
      </c>
      <c r="AN140">
        <v>0</v>
      </c>
      <c r="AO140">
        <v>358</v>
      </c>
      <c r="AP140">
        <v>3.3</v>
      </c>
      <c r="AQ140">
        <v>0.65</v>
      </c>
      <c r="AR140">
        <v>0.1</v>
      </c>
      <c r="AS140">
        <v>0.08</v>
      </c>
      <c r="AT140">
        <v>18.07</v>
      </c>
      <c r="AU140">
        <v>4.96</v>
      </c>
      <c r="AV140">
        <v>0.44</v>
      </c>
      <c r="AW140">
        <v>1.46</v>
      </c>
      <c r="AX140">
        <v>0</v>
      </c>
      <c r="AY140">
        <v>2.5</v>
      </c>
      <c r="AZ140">
        <v>44.554000000000002</v>
      </c>
      <c r="BA140">
        <v>0</v>
      </c>
      <c r="BB140">
        <v>0</v>
      </c>
      <c r="BC140">
        <v>0</v>
      </c>
      <c r="BD140">
        <v>0</v>
      </c>
    </row>
    <row r="141" spans="1:56" x14ac:dyDescent="0.25">
      <c r="A141" s="23">
        <v>46304</v>
      </c>
      <c r="B141">
        <v>140</v>
      </c>
      <c r="C141" t="s">
        <v>82</v>
      </c>
      <c r="D141" t="s">
        <v>92</v>
      </c>
      <c r="E141">
        <v>2</v>
      </c>
      <c r="F141">
        <v>184</v>
      </c>
      <c r="G141">
        <v>1</v>
      </c>
      <c r="H141" t="s">
        <v>84</v>
      </c>
      <c r="I141" t="s">
        <v>91</v>
      </c>
      <c r="J141" t="s">
        <v>85</v>
      </c>
      <c r="K141" t="s">
        <v>86</v>
      </c>
      <c r="L141" t="s">
        <v>71</v>
      </c>
      <c r="M141" t="s">
        <v>87</v>
      </c>
      <c r="O141" t="s">
        <v>88</v>
      </c>
      <c r="P141" t="s">
        <v>27</v>
      </c>
      <c r="Q141" t="s">
        <v>73</v>
      </c>
      <c r="R141" t="s">
        <v>76</v>
      </c>
      <c r="S141" t="s">
        <v>74</v>
      </c>
      <c r="T141" t="s">
        <v>75</v>
      </c>
      <c r="X141" t="s">
        <v>77</v>
      </c>
      <c r="Z141" t="s">
        <v>72</v>
      </c>
      <c r="AA141" t="s">
        <v>93</v>
      </c>
      <c r="AB141">
        <v>5</v>
      </c>
      <c r="AC141">
        <v>748707.85</v>
      </c>
      <c r="AD141">
        <v>8930485.1099999994</v>
      </c>
      <c r="AE141">
        <v>189.94</v>
      </c>
      <c r="AF141">
        <v>748707.85</v>
      </c>
      <c r="AG141">
        <v>8930485.1099999994</v>
      </c>
      <c r="AH141">
        <v>184.4</v>
      </c>
      <c r="AI141">
        <v>5.54</v>
      </c>
      <c r="AJ141">
        <v>0.6</v>
      </c>
      <c r="AK141">
        <v>2.97</v>
      </c>
      <c r="AL141">
        <v>2.58</v>
      </c>
      <c r="AM141">
        <v>0</v>
      </c>
      <c r="AN141">
        <v>0</v>
      </c>
      <c r="AO141">
        <v>358</v>
      </c>
      <c r="AP141">
        <v>3.3</v>
      </c>
      <c r="AQ141">
        <v>0.65</v>
      </c>
      <c r="AR141">
        <v>0.1</v>
      </c>
      <c r="AS141">
        <v>0.08</v>
      </c>
      <c r="AT141">
        <v>18.16</v>
      </c>
      <c r="AU141">
        <v>5</v>
      </c>
      <c r="AV141">
        <v>0.44</v>
      </c>
      <c r="AW141">
        <v>1.48</v>
      </c>
      <c r="AX141">
        <v>0.28000000000000003</v>
      </c>
      <c r="AY141">
        <v>2.5</v>
      </c>
      <c r="AZ141">
        <v>44.262</v>
      </c>
      <c r="BA141">
        <v>0</v>
      </c>
      <c r="BB141">
        <v>0</v>
      </c>
      <c r="BC141">
        <v>0</v>
      </c>
      <c r="BD141">
        <v>0</v>
      </c>
    </row>
    <row r="142" spans="1:56" x14ac:dyDescent="0.25">
      <c r="A142" s="23">
        <v>46304</v>
      </c>
      <c r="B142">
        <v>141</v>
      </c>
      <c r="C142" t="s">
        <v>82</v>
      </c>
      <c r="D142" t="s">
        <v>92</v>
      </c>
      <c r="E142">
        <v>2</v>
      </c>
      <c r="F142">
        <v>184</v>
      </c>
      <c r="G142">
        <v>1</v>
      </c>
      <c r="H142" t="s">
        <v>84</v>
      </c>
      <c r="I142" t="s">
        <v>91</v>
      </c>
      <c r="J142" t="s">
        <v>85</v>
      </c>
      <c r="K142" t="s">
        <v>86</v>
      </c>
      <c r="L142" t="s">
        <v>71</v>
      </c>
      <c r="M142" t="s">
        <v>87</v>
      </c>
      <c r="O142" t="s">
        <v>88</v>
      </c>
      <c r="P142" t="s">
        <v>27</v>
      </c>
      <c r="Q142" t="s">
        <v>73</v>
      </c>
      <c r="R142" t="s">
        <v>76</v>
      </c>
      <c r="S142" t="s">
        <v>74</v>
      </c>
      <c r="T142" t="s">
        <v>75</v>
      </c>
      <c r="X142" t="s">
        <v>77</v>
      </c>
      <c r="Z142" t="s">
        <v>72</v>
      </c>
      <c r="AA142" t="s">
        <v>93</v>
      </c>
      <c r="AB142">
        <v>5</v>
      </c>
      <c r="AC142">
        <v>748709.16</v>
      </c>
      <c r="AD142">
        <v>8930487.7699999996</v>
      </c>
      <c r="AE142">
        <v>189.92</v>
      </c>
      <c r="AF142">
        <v>748709.16</v>
      </c>
      <c r="AG142">
        <v>8930487.7699999996</v>
      </c>
      <c r="AH142">
        <v>184.4</v>
      </c>
      <c r="AI142">
        <v>5.52</v>
      </c>
      <c r="AJ142">
        <v>0.6</v>
      </c>
      <c r="AK142">
        <v>2.97</v>
      </c>
      <c r="AL142">
        <v>2.58</v>
      </c>
      <c r="AM142">
        <v>0</v>
      </c>
      <c r="AN142">
        <v>0</v>
      </c>
      <c r="AO142">
        <v>358</v>
      </c>
      <c r="AP142">
        <v>3.31</v>
      </c>
      <c r="AQ142">
        <v>0.65</v>
      </c>
      <c r="AR142">
        <v>0.1</v>
      </c>
      <c r="AS142">
        <v>0.08</v>
      </c>
      <c r="AT142">
        <v>18.809999999999999</v>
      </c>
      <c r="AU142">
        <v>5.03</v>
      </c>
      <c r="AV142">
        <v>0.42</v>
      </c>
      <c r="AW142">
        <v>1.54</v>
      </c>
      <c r="AX142">
        <v>0.34</v>
      </c>
      <c r="AY142">
        <v>2.5</v>
      </c>
      <c r="AZ142">
        <v>43.970999999999997</v>
      </c>
      <c r="BA142">
        <v>0</v>
      </c>
      <c r="BB142">
        <v>0</v>
      </c>
      <c r="BC142">
        <v>0</v>
      </c>
      <c r="BD142">
        <v>0</v>
      </c>
    </row>
    <row r="143" spans="1:56" x14ac:dyDescent="0.25">
      <c r="A143" s="23">
        <v>46304</v>
      </c>
      <c r="B143">
        <v>142</v>
      </c>
      <c r="C143" t="s">
        <v>82</v>
      </c>
      <c r="D143" t="s">
        <v>92</v>
      </c>
      <c r="E143">
        <v>2</v>
      </c>
      <c r="F143">
        <v>184</v>
      </c>
      <c r="G143">
        <v>1</v>
      </c>
      <c r="H143" t="s">
        <v>84</v>
      </c>
      <c r="I143" t="s">
        <v>91</v>
      </c>
      <c r="J143" t="s">
        <v>85</v>
      </c>
      <c r="K143" t="s">
        <v>86</v>
      </c>
      <c r="L143" t="s">
        <v>71</v>
      </c>
      <c r="M143" t="s">
        <v>87</v>
      </c>
      <c r="O143" t="s">
        <v>88</v>
      </c>
      <c r="P143" t="s">
        <v>27</v>
      </c>
      <c r="Q143" t="s">
        <v>73</v>
      </c>
      <c r="R143" t="s">
        <v>76</v>
      </c>
      <c r="S143" t="s">
        <v>74</v>
      </c>
      <c r="T143" t="s">
        <v>75</v>
      </c>
      <c r="X143" t="s">
        <v>77</v>
      </c>
      <c r="Z143" t="s">
        <v>72</v>
      </c>
      <c r="AA143" t="s">
        <v>93</v>
      </c>
      <c r="AB143">
        <v>5</v>
      </c>
      <c r="AC143">
        <v>748710.64</v>
      </c>
      <c r="AD143">
        <v>8930490.3499999996</v>
      </c>
      <c r="AE143">
        <v>189.9</v>
      </c>
      <c r="AF143">
        <v>748710.64</v>
      </c>
      <c r="AG143">
        <v>8930490.3499999996</v>
      </c>
      <c r="AH143">
        <v>184.4</v>
      </c>
      <c r="AI143">
        <v>5.5</v>
      </c>
      <c r="AJ143">
        <v>0.6</v>
      </c>
      <c r="AK143">
        <v>2.97</v>
      </c>
      <c r="AL143">
        <v>2.58</v>
      </c>
      <c r="AM143">
        <v>0</v>
      </c>
      <c r="AN143">
        <v>0</v>
      </c>
      <c r="AO143">
        <v>358</v>
      </c>
      <c r="AP143">
        <v>3.31</v>
      </c>
      <c r="AQ143">
        <v>0.65</v>
      </c>
      <c r="AR143">
        <v>0.11</v>
      </c>
      <c r="AS143">
        <v>0.08</v>
      </c>
      <c r="AT143">
        <v>19.55</v>
      </c>
      <c r="AU143">
        <v>5.09</v>
      </c>
      <c r="AV143">
        <v>0.4</v>
      </c>
      <c r="AW143">
        <v>1.64</v>
      </c>
      <c r="AX143">
        <v>1.19</v>
      </c>
      <c r="AY143">
        <v>2.5</v>
      </c>
      <c r="AZ143">
        <v>43.68</v>
      </c>
      <c r="BA143">
        <v>0</v>
      </c>
      <c r="BB143">
        <v>0</v>
      </c>
      <c r="BC143">
        <v>0</v>
      </c>
      <c r="BD143">
        <v>0</v>
      </c>
    </row>
    <row r="144" spans="1:56" x14ac:dyDescent="0.25">
      <c r="A144" s="23">
        <v>46304</v>
      </c>
      <c r="B144">
        <v>143</v>
      </c>
      <c r="C144" t="s">
        <v>82</v>
      </c>
      <c r="D144" t="s">
        <v>92</v>
      </c>
      <c r="E144">
        <v>2</v>
      </c>
      <c r="F144">
        <v>184</v>
      </c>
      <c r="G144">
        <v>1</v>
      </c>
      <c r="H144" t="s">
        <v>84</v>
      </c>
      <c r="I144" t="s">
        <v>91</v>
      </c>
      <c r="J144" t="s">
        <v>85</v>
      </c>
      <c r="K144" t="s">
        <v>86</v>
      </c>
      <c r="L144" t="s">
        <v>71</v>
      </c>
      <c r="M144" t="s">
        <v>87</v>
      </c>
      <c r="O144" t="s">
        <v>88</v>
      </c>
      <c r="P144" t="s">
        <v>27</v>
      </c>
      <c r="Q144" t="s">
        <v>73</v>
      </c>
      <c r="R144" t="s">
        <v>76</v>
      </c>
      <c r="S144" t="s">
        <v>74</v>
      </c>
      <c r="T144" t="s">
        <v>75</v>
      </c>
      <c r="X144" t="s">
        <v>77</v>
      </c>
      <c r="Z144" t="s">
        <v>72</v>
      </c>
      <c r="AA144" t="s">
        <v>93</v>
      </c>
      <c r="AB144">
        <v>5</v>
      </c>
      <c r="AC144">
        <v>748712.24</v>
      </c>
      <c r="AD144">
        <v>8930492.8499999996</v>
      </c>
      <c r="AE144">
        <v>190</v>
      </c>
      <c r="AF144">
        <v>748712.24</v>
      </c>
      <c r="AG144">
        <v>8930492.8499999996</v>
      </c>
      <c r="AH144">
        <v>184.4</v>
      </c>
      <c r="AI144">
        <v>5.6</v>
      </c>
      <c r="AJ144">
        <v>0.6</v>
      </c>
      <c r="AK144">
        <v>2.97</v>
      </c>
      <c r="AL144">
        <v>2.58</v>
      </c>
      <c r="AM144">
        <v>0</v>
      </c>
      <c r="AN144">
        <v>0</v>
      </c>
      <c r="AO144">
        <v>358</v>
      </c>
      <c r="AP144">
        <v>3.32</v>
      </c>
      <c r="AQ144">
        <v>0.68</v>
      </c>
      <c r="AR144">
        <v>0.11</v>
      </c>
      <c r="AS144">
        <v>0.09</v>
      </c>
      <c r="AT144">
        <v>20.22</v>
      </c>
      <c r="AU144">
        <v>5.33</v>
      </c>
      <c r="AV144">
        <v>0.36</v>
      </c>
      <c r="AW144">
        <v>1.87</v>
      </c>
      <c r="AX144">
        <v>7.49</v>
      </c>
      <c r="AY144">
        <v>2.5</v>
      </c>
      <c r="AZ144">
        <v>45.136000000000003</v>
      </c>
      <c r="BA144">
        <v>0</v>
      </c>
      <c r="BB144">
        <v>0</v>
      </c>
      <c r="BC144">
        <v>0</v>
      </c>
      <c r="BD144">
        <v>0</v>
      </c>
    </row>
    <row r="145" spans="1:56" x14ac:dyDescent="0.25">
      <c r="A145" s="23">
        <v>46304</v>
      </c>
      <c r="B145">
        <v>144</v>
      </c>
      <c r="C145" t="s">
        <v>82</v>
      </c>
      <c r="D145" t="s">
        <v>92</v>
      </c>
      <c r="E145">
        <v>2</v>
      </c>
      <c r="F145">
        <v>184</v>
      </c>
      <c r="G145">
        <v>1</v>
      </c>
      <c r="H145" t="s">
        <v>84</v>
      </c>
      <c r="I145" t="s">
        <v>91</v>
      </c>
      <c r="J145" t="s">
        <v>85</v>
      </c>
      <c r="K145" t="s">
        <v>86</v>
      </c>
      <c r="L145" t="s">
        <v>71</v>
      </c>
      <c r="M145" t="s">
        <v>87</v>
      </c>
      <c r="O145" t="s">
        <v>88</v>
      </c>
      <c r="P145" t="s">
        <v>27</v>
      </c>
      <c r="Q145" t="s">
        <v>73</v>
      </c>
      <c r="R145" t="s">
        <v>76</v>
      </c>
      <c r="S145" t="s">
        <v>74</v>
      </c>
      <c r="T145" t="s">
        <v>75</v>
      </c>
      <c r="X145" t="s">
        <v>77</v>
      </c>
      <c r="Z145" t="s">
        <v>72</v>
      </c>
      <c r="AA145" t="s">
        <v>93</v>
      </c>
      <c r="AB145">
        <v>5</v>
      </c>
      <c r="AC145">
        <v>748714.04</v>
      </c>
      <c r="AD145">
        <v>8930495.2100000009</v>
      </c>
      <c r="AE145">
        <v>189.93</v>
      </c>
      <c r="AF145">
        <v>748714.04</v>
      </c>
      <c r="AG145">
        <v>8930495.2100000009</v>
      </c>
      <c r="AH145">
        <v>184.4</v>
      </c>
      <c r="AI145">
        <v>5.53</v>
      </c>
      <c r="AJ145">
        <v>0.6</v>
      </c>
      <c r="AK145">
        <v>2.97</v>
      </c>
      <c r="AL145">
        <v>2.58</v>
      </c>
      <c r="AM145">
        <v>0</v>
      </c>
      <c r="AN145">
        <v>0</v>
      </c>
      <c r="AO145">
        <v>358</v>
      </c>
      <c r="AP145">
        <v>3.31</v>
      </c>
      <c r="AQ145">
        <v>0.69</v>
      </c>
      <c r="AR145">
        <v>0.12</v>
      </c>
      <c r="AS145">
        <v>0.09</v>
      </c>
      <c r="AT145">
        <v>20.3</v>
      </c>
      <c r="AU145">
        <v>5.41</v>
      </c>
      <c r="AV145">
        <v>0.36</v>
      </c>
      <c r="AW145">
        <v>1.93</v>
      </c>
      <c r="AX145">
        <v>9.26</v>
      </c>
      <c r="AY145">
        <v>2.5</v>
      </c>
      <c r="AZ145">
        <v>44.116999999999997</v>
      </c>
      <c r="BA145">
        <v>0</v>
      </c>
      <c r="BB145">
        <v>0</v>
      </c>
      <c r="BC145">
        <v>0</v>
      </c>
      <c r="BD145">
        <v>0</v>
      </c>
    </row>
    <row r="146" spans="1:56" x14ac:dyDescent="0.25">
      <c r="A146" s="23">
        <v>46304</v>
      </c>
      <c r="B146">
        <v>145</v>
      </c>
      <c r="C146" t="s">
        <v>82</v>
      </c>
      <c r="D146" t="s">
        <v>92</v>
      </c>
      <c r="E146">
        <v>2</v>
      </c>
      <c r="F146">
        <v>184</v>
      </c>
      <c r="G146">
        <v>1</v>
      </c>
      <c r="H146" t="s">
        <v>84</v>
      </c>
      <c r="I146" t="s">
        <v>91</v>
      </c>
      <c r="J146" t="s">
        <v>85</v>
      </c>
      <c r="K146" t="s">
        <v>86</v>
      </c>
      <c r="L146" t="s">
        <v>71</v>
      </c>
      <c r="M146" t="s">
        <v>87</v>
      </c>
      <c r="O146" t="s">
        <v>88</v>
      </c>
      <c r="P146" t="s">
        <v>27</v>
      </c>
      <c r="Q146" t="s">
        <v>73</v>
      </c>
      <c r="R146" t="s">
        <v>76</v>
      </c>
      <c r="S146" t="s">
        <v>74</v>
      </c>
      <c r="T146" t="s">
        <v>75</v>
      </c>
      <c r="X146" t="s">
        <v>77</v>
      </c>
      <c r="Z146" t="s">
        <v>72</v>
      </c>
      <c r="AA146" t="s">
        <v>93</v>
      </c>
      <c r="AB146">
        <v>5</v>
      </c>
      <c r="AC146">
        <v>748715.97</v>
      </c>
      <c r="AD146">
        <v>8930497.4600000009</v>
      </c>
      <c r="AE146">
        <v>189.85</v>
      </c>
      <c r="AF146">
        <v>748715.97</v>
      </c>
      <c r="AG146">
        <v>8930497.4600000009</v>
      </c>
      <c r="AH146">
        <v>184.4</v>
      </c>
      <c r="AI146">
        <v>5.45</v>
      </c>
      <c r="AJ146">
        <v>0.6</v>
      </c>
      <c r="AK146">
        <v>2.97</v>
      </c>
      <c r="AL146">
        <v>2.58</v>
      </c>
      <c r="AM146">
        <v>0</v>
      </c>
      <c r="AN146">
        <v>0</v>
      </c>
      <c r="AO146">
        <v>358</v>
      </c>
      <c r="AP146">
        <v>3.31</v>
      </c>
      <c r="AQ146">
        <v>0.69</v>
      </c>
      <c r="AR146">
        <v>0.12</v>
      </c>
      <c r="AS146">
        <v>0.09</v>
      </c>
      <c r="AT146">
        <v>20.3</v>
      </c>
      <c r="AU146">
        <v>5.41</v>
      </c>
      <c r="AV146">
        <v>0.36</v>
      </c>
      <c r="AW146">
        <v>1.93</v>
      </c>
      <c r="AX146">
        <v>9.26</v>
      </c>
      <c r="AY146">
        <v>2.5</v>
      </c>
      <c r="AZ146">
        <v>42.951999999999998</v>
      </c>
      <c r="BA146">
        <v>0</v>
      </c>
      <c r="BB146">
        <v>0</v>
      </c>
      <c r="BC146">
        <v>0</v>
      </c>
      <c r="BD146">
        <v>0</v>
      </c>
    </row>
    <row r="147" spans="1:56" x14ac:dyDescent="0.25">
      <c r="A147" s="23">
        <v>46304</v>
      </c>
      <c r="B147">
        <v>146</v>
      </c>
      <c r="C147" t="s">
        <v>82</v>
      </c>
      <c r="D147" t="s">
        <v>92</v>
      </c>
      <c r="E147">
        <v>2</v>
      </c>
      <c r="F147">
        <v>184</v>
      </c>
      <c r="G147">
        <v>1</v>
      </c>
      <c r="H147" t="s">
        <v>84</v>
      </c>
      <c r="I147" t="s">
        <v>91</v>
      </c>
      <c r="J147" t="s">
        <v>85</v>
      </c>
      <c r="K147" t="s">
        <v>86</v>
      </c>
      <c r="L147" t="s">
        <v>71</v>
      </c>
      <c r="M147" t="s">
        <v>87</v>
      </c>
      <c r="O147" t="s">
        <v>88</v>
      </c>
      <c r="P147" t="s">
        <v>27</v>
      </c>
      <c r="Q147" t="s">
        <v>73</v>
      </c>
      <c r="R147" t="s">
        <v>76</v>
      </c>
      <c r="S147" t="s">
        <v>74</v>
      </c>
      <c r="T147" t="s">
        <v>75</v>
      </c>
      <c r="X147" t="s">
        <v>77</v>
      </c>
      <c r="Z147" t="s">
        <v>72</v>
      </c>
      <c r="AA147" t="s">
        <v>93</v>
      </c>
      <c r="AB147">
        <v>5</v>
      </c>
      <c r="AC147">
        <v>748718.03</v>
      </c>
      <c r="AD147">
        <v>8930499.5999999996</v>
      </c>
      <c r="AE147">
        <v>189.9</v>
      </c>
      <c r="AF147">
        <v>748718.03</v>
      </c>
      <c r="AG147">
        <v>8930499.5999999996</v>
      </c>
      <c r="AH147">
        <v>184.4</v>
      </c>
      <c r="AI147">
        <v>5.5</v>
      </c>
      <c r="AJ147">
        <v>0.6</v>
      </c>
      <c r="AK147">
        <v>2.97</v>
      </c>
      <c r="AL147">
        <v>2.58</v>
      </c>
      <c r="AM147">
        <v>0</v>
      </c>
      <c r="AN147">
        <v>0</v>
      </c>
      <c r="AO147">
        <v>358</v>
      </c>
      <c r="AP147">
        <v>3.32</v>
      </c>
      <c r="AQ147">
        <v>0.66</v>
      </c>
      <c r="AR147">
        <v>0.11</v>
      </c>
      <c r="AS147">
        <v>0.09</v>
      </c>
      <c r="AT147">
        <v>20.18</v>
      </c>
      <c r="AU147">
        <v>5.33</v>
      </c>
      <c r="AV147">
        <v>0.34</v>
      </c>
      <c r="AW147">
        <v>1.93</v>
      </c>
      <c r="AX147">
        <v>5.73</v>
      </c>
      <c r="AY147">
        <v>2.5</v>
      </c>
      <c r="AZ147">
        <v>43.68</v>
      </c>
      <c r="BA147">
        <v>0</v>
      </c>
      <c r="BB147">
        <v>0</v>
      </c>
      <c r="BC147">
        <v>0</v>
      </c>
      <c r="BD147">
        <v>0</v>
      </c>
    </row>
    <row r="148" spans="1:56" x14ac:dyDescent="0.25">
      <c r="A148" s="23">
        <v>46304</v>
      </c>
      <c r="B148">
        <v>147</v>
      </c>
      <c r="C148" t="s">
        <v>82</v>
      </c>
      <c r="D148" t="s">
        <v>92</v>
      </c>
      <c r="E148">
        <v>2</v>
      </c>
      <c r="F148">
        <v>184</v>
      </c>
      <c r="G148">
        <v>1</v>
      </c>
      <c r="H148" t="s">
        <v>84</v>
      </c>
      <c r="I148" t="s">
        <v>91</v>
      </c>
      <c r="J148" t="s">
        <v>85</v>
      </c>
      <c r="K148" t="s">
        <v>86</v>
      </c>
      <c r="L148" t="s">
        <v>71</v>
      </c>
      <c r="M148" t="s">
        <v>87</v>
      </c>
      <c r="O148" t="s">
        <v>88</v>
      </c>
      <c r="P148" t="s">
        <v>27</v>
      </c>
      <c r="Q148" t="s">
        <v>73</v>
      </c>
      <c r="R148" t="s">
        <v>76</v>
      </c>
      <c r="S148" t="s">
        <v>74</v>
      </c>
      <c r="T148" t="s">
        <v>75</v>
      </c>
      <c r="X148" t="s">
        <v>77</v>
      </c>
      <c r="Z148" t="s">
        <v>72</v>
      </c>
      <c r="AA148" t="s">
        <v>93</v>
      </c>
      <c r="AB148">
        <v>5</v>
      </c>
      <c r="AC148">
        <v>748720.2</v>
      </c>
      <c r="AD148">
        <v>8930501.6199999992</v>
      </c>
      <c r="AE148">
        <v>190.05</v>
      </c>
      <c r="AF148">
        <v>748720.2</v>
      </c>
      <c r="AG148">
        <v>8930501.6199999992</v>
      </c>
      <c r="AH148">
        <v>184.4</v>
      </c>
      <c r="AI148">
        <v>5.65</v>
      </c>
      <c r="AJ148">
        <v>0.6</v>
      </c>
      <c r="AK148">
        <v>2.97</v>
      </c>
      <c r="AL148">
        <v>2.58</v>
      </c>
      <c r="AM148">
        <v>0</v>
      </c>
      <c r="AN148">
        <v>0</v>
      </c>
      <c r="AO148">
        <v>358</v>
      </c>
      <c r="AP148">
        <v>3.33</v>
      </c>
      <c r="AQ148">
        <v>0.6</v>
      </c>
      <c r="AR148">
        <v>0.1</v>
      </c>
      <c r="AS148">
        <v>0.08</v>
      </c>
      <c r="AT148">
        <v>19.3</v>
      </c>
      <c r="AU148">
        <v>5.08</v>
      </c>
      <c r="AV148">
        <v>0.32</v>
      </c>
      <c r="AW148">
        <v>1.89</v>
      </c>
      <c r="AX148">
        <v>0.65</v>
      </c>
      <c r="AY148">
        <v>2.5</v>
      </c>
      <c r="AZ148">
        <v>45.863999999999997</v>
      </c>
      <c r="BA148">
        <v>0</v>
      </c>
      <c r="BB148">
        <v>0</v>
      </c>
      <c r="BC148">
        <v>0</v>
      </c>
      <c r="BD148">
        <v>0</v>
      </c>
    </row>
    <row r="149" spans="1:56" x14ac:dyDescent="0.25">
      <c r="A149" s="23">
        <v>46304</v>
      </c>
      <c r="B149">
        <v>148</v>
      </c>
      <c r="C149" t="s">
        <v>82</v>
      </c>
      <c r="D149" t="s">
        <v>92</v>
      </c>
      <c r="E149">
        <v>2</v>
      </c>
      <c r="F149">
        <v>184</v>
      </c>
      <c r="G149">
        <v>1</v>
      </c>
      <c r="H149" t="s">
        <v>84</v>
      </c>
      <c r="I149" t="s">
        <v>91</v>
      </c>
      <c r="J149" t="s">
        <v>85</v>
      </c>
      <c r="K149" t="s">
        <v>86</v>
      </c>
      <c r="L149" t="s">
        <v>71</v>
      </c>
      <c r="M149" t="s">
        <v>87</v>
      </c>
      <c r="O149" t="s">
        <v>88</v>
      </c>
      <c r="P149" t="s">
        <v>27</v>
      </c>
      <c r="Q149" t="s">
        <v>73</v>
      </c>
      <c r="R149" t="s">
        <v>76</v>
      </c>
      <c r="S149" t="s">
        <v>74</v>
      </c>
      <c r="T149" t="s">
        <v>75</v>
      </c>
      <c r="X149" t="s">
        <v>77</v>
      </c>
      <c r="Z149" t="s">
        <v>72</v>
      </c>
      <c r="AA149" t="s">
        <v>93</v>
      </c>
      <c r="AB149">
        <v>5</v>
      </c>
      <c r="AC149">
        <v>748722.54</v>
      </c>
      <c r="AD149">
        <v>8930503.4600000009</v>
      </c>
      <c r="AE149">
        <v>190.1</v>
      </c>
      <c r="AF149">
        <v>748722.54</v>
      </c>
      <c r="AG149">
        <v>8930503.4600000009</v>
      </c>
      <c r="AH149">
        <v>184.4</v>
      </c>
      <c r="AI149">
        <v>5.7</v>
      </c>
      <c r="AJ149">
        <v>0.6</v>
      </c>
      <c r="AK149">
        <v>2.97</v>
      </c>
      <c r="AL149">
        <v>2.58</v>
      </c>
      <c r="AM149">
        <v>0</v>
      </c>
      <c r="AN149">
        <v>0</v>
      </c>
      <c r="AO149">
        <v>358</v>
      </c>
      <c r="AP149">
        <v>3.33</v>
      </c>
      <c r="AQ149">
        <v>0.57999999999999996</v>
      </c>
      <c r="AR149">
        <v>0.1</v>
      </c>
      <c r="AS149">
        <v>0.08</v>
      </c>
      <c r="AT149">
        <v>18.809999999999999</v>
      </c>
      <c r="AU149">
        <v>5</v>
      </c>
      <c r="AV149">
        <v>0.31</v>
      </c>
      <c r="AW149">
        <v>1.88</v>
      </c>
      <c r="AX149">
        <v>0.34</v>
      </c>
      <c r="AY149">
        <v>2.5</v>
      </c>
      <c r="AZ149">
        <v>46.591999999999999</v>
      </c>
      <c r="BA149">
        <v>0</v>
      </c>
      <c r="BB149">
        <v>0</v>
      </c>
      <c r="BC149">
        <v>0</v>
      </c>
      <c r="BD149">
        <v>0</v>
      </c>
    </row>
    <row r="150" spans="1:56" x14ac:dyDescent="0.25">
      <c r="A150" s="23">
        <v>46304</v>
      </c>
      <c r="B150">
        <v>149</v>
      </c>
      <c r="C150" t="s">
        <v>82</v>
      </c>
      <c r="D150" t="s">
        <v>92</v>
      </c>
      <c r="E150">
        <v>2</v>
      </c>
      <c r="F150">
        <v>184</v>
      </c>
      <c r="G150">
        <v>1</v>
      </c>
      <c r="H150" t="s">
        <v>84</v>
      </c>
      <c r="I150" t="s">
        <v>91</v>
      </c>
      <c r="J150" t="s">
        <v>85</v>
      </c>
      <c r="K150" t="s">
        <v>86</v>
      </c>
      <c r="L150" t="s">
        <v>71</v>
      </c>
      <c r="M150" t="s">
        <v>87</v>
      </c>
      <c r="O150" t="s">
        <v>88</v>
      </c>
      <c r="P150" t="s">
        <v>27</v>
      </c>
      <c r="Q150" t="s">
        <v>73</v>
      </c>
      <c r="R150" t="s">
        <v>76</v>
      </c>
      <c r="S150" t="s">
        <v>74</v>
      </c>
      <c r="T150" t="s">
        <v>75</v>
      </c>
      <c r="X150" t="s">
        <v>77</v>
      </c>
      <c r="Z150" t="s">
        <v>72</v>
      </c>
      <c r="AA150" t="s">
        <v>93</v>
      </c>
      <c r="AB150">
        <v>5</v>
      </c>
      <c r="AC150">
        <v>748724.95</v>
      </c>
      <c r="AD150">
        <v>8930505.1799999997</v>
      </c>
      <c r="AE150">
        <v>190.05</v>
      </c>
      <c r="AF150">
        <v>748724.95</v>
      </c>
      <c r="AG150">
        <v>8930505.1799999997</v>
      </c>
      <c r="AH150">
        <v>184.4</v>
      </c>
      <c r="AI150">
        <v>5.65</v>
      </c>
      <c r="AJ150">
        <v>0.6</v>
      </c>
      <c r="AK150">
        <v>2.97</v>
      </c>
      <c r="AL150">
        <v>2.58</v>
      </c>
      <c r="AM150">
        <v>0</v>
      </c>
      <c r="AN150">
        <v>0</v>
      </c>
      <c r="AO150">
        <v>358</v>
      </c>
      <c r="AP150">
        <v>3.33</v>
      </c>
      <c r="AQ150">
        <v>0.57999999999999996</v>
      </c>
      <c r="AR150">
        <v>0.1</v>
      </c>
      <c r="AS150">
        <v>0.08</v>
      </c>
      <c r="AT150">
        <v>18.579999999999998</v>
      </c>
      <c r="AU150">
        <v>4.97</v>
      </c>
      <c r="AV150">
        <v>0.31</v>
      </c>
      <c r="AW150">
        <v>1.87</v>
      </c>
      <c r="AX150">
        <v>0.09</v>
      </c>
      <c r="AY150">
        <v>2.5</v>
      </c>
      <c r="AZ150">
        <v>45.863999999999997</v>
      </c>
      <c r="BA150">
        <v>0</v>
      </c>
      <c r="BB150">
        <v>0</v>
      </c>
      <c r="BC150">
        <v>0</v>
      </c>
      <c r="BD150">
        <v>0</v>
      </c>
    </row>
    <row r="151" spans="1:56" x14ac:dyDescent="0.25">
      <c r="A151" s="23">
        <v>46304</v>
      </c>
      <c r="B151">
        <v>150</v>
      </c>
      <c r="C151" t="s">
        <v>82</v>
      </c>
      <c r="D151" t="s">
        <v>92</v>
      </c>
      <c r="E151">
        <v>2</v>
      </c>
      <c r="F151">
        <v>184</v>
      </c>
      <c r="G151">
        <v>1</v>
      </c>
      <c r="H151" t="s">
        <v>84</v>
      </c>
      <c r="I151" t="s">
        <v>91</v>
      </c>
      <c r="J151" t="s">
        <v>85</v>
      </c>
      <c r="K151" t="s">
        <v>86</v>
      </c>
      <c r="L151" t="s">
        <v>71</v>
      </c>
      <c r="M151" t="s">
        <v>87</v>
      </c>
      <c r="O151" t="s">
        <v>88</v>
      </c>
      <c r="P151" t="s">
        <v>27</v>
      </c>
      <c r="Q151" t="s">
        <v>73</v>
      </c>
      <c r="R151" t="s">
        <v>76</v>
      </c>
      <c r="S151" t="s">
        <v>74</v>
      </c>
      <c r="T151" t="s">
        <v>75</v>
      </c>
      <c r="X151" t="s">
        <v>77</v>
      </c>
      <c r="Z151" t="s">
        <v>72</v>
      </c>
      <c r="AA151" t="s">
        <v>93</v>
      </c>
      <c r="AB151">
        <v>5</v>
      </c>
      <c r="AC151">
        <v>748727.48</v>
      </c>
      <c r="AD151">
        <v>8930506.75</v>
      </c>
      <c r="AE151">
        <v>190.01</v>
      </c>
      <c r="AF151">
        <v>748727.48</v>
      </c>
      <c r="AG151">
        <v>8930506.75</v>
      </c>
      <c r="AH151">
        <v>184.4</v>
      </c>
      <c r="AI151">
        <v>5.61</v>
      </c>
      <c r="AJ151">
        <v>0.6</v>
      </c>
      <c r="AK151">
        <v>2.97</v>
      </c>
      <c r="AL151">
        <v>2.58</v>
      </c>
      <c r="AM151">
        <v>0</v>
      </c>
      <c r="AN151">
        <v>0</v>
      </c>
      <c r="AO151">
        <v>358</v>
      </c>
      <c r="AP151">
        <v>3.32</v>
      </c>
      <c r="AQ151">
        <v>0.57999999999999996</v>
      </c>
      <c r="AR151">
        <v>0.1</v>
      </c>
      <c r="AS151">
        <v>0.08</v>
      </c>
      <c r="AT151">
        <v>18.63</v>
      </c>
      <c r="AU151">
        <v>4.97</v>
      </c>
      <c r="AV151">
        <v>0.31</v>
      </c>
      <c r="AW151">
        <v>1.86</v>
      </c>
      <c r="AX151">
        <v>0.27</v>
      </c>
      <c r="AY151">
        <v>2.5</v>
      </c>
      <c r="AZ151">
        <v>45.281999999999996</v>
      </c>
      <c r="BA151">
        <v>0</v>
      </c>
      <c r="BB151">
        <v>0</v>
      </c>
      <c r="BC151">
        <v>0</v>
      </c>
      <c r="BD151">
        <v>0</v>
      </c>
    </row>
    <row r="152" spans="1:56" x14ac:dyDescent="0.25">
      <c r="A152" s="23">
        <v>46304</v>
      </c>
      <c r="B152">
        <v>151</v>
      </c>
      <c r="C152" t="s">
        <v>82</v>
      </c>
      <c r="D152" t="s">
        <v>92</v>
      </c>
      <c r="E152">
        <v>2</v>
      </c>
      <c r="F152">
        <v>184</v>
      </c>
      <c r="G152">
        <v>1</v>
      </c>
      <c r="H152" t="s">
        <v>84</v>
      </c>
      <c r="I152" t="s">
        <v>91</v>
      </c>
      <c r="J152" t="s">
        <v>85</v>
      </c>
      <c r="K152" t="s">
        <v>86</v>
      </c>
      <c r="L152" t="s">
        <v>71</v>
      </c>
      <c r="M152" t="s">
        <v>87</v>
      </c>
      <c r="O152" t="s">
        <v>88</v>
      </c>
      <c r="P152" t="s">
        <v>27</v>
      </c>
      <c r="Q152" t="s">
        <v>73</v>
      </c>
      <c r="R152" t="s">
        <v>76</v>
      </c>
      <c r="S152" t="s">
        <v>74</v>
      </c>
      <c r="T152" t="s">
        <v>75</v>
      </c>
      <c r="X152" t="s">
        <v>77</v>
      </c>
      <c r="Z152" t="s">
        <v>72</v>
      </c>
      <c r="AA152" t="s">
        <v>93</v>
      </c>
      <c r="AB152">
        <v>5</v>
      </c>
      <c r="AC152">
        <v>748730.06</v>
      </c>
      <c r="AD152">
        <v>8930508.2200000007</v>
      </c>
      <c r="AE152">
        <v>189.99</v>
      </c>
      <c r="AF152">
        <v>748730.06</v>
      </c>
      <c r="AG152">
        <v>8930508.2200000007</v>
      </c>
      <c r="AH152">
        <v>184.4</v>
      </c>
      <c r="AI152">
        <v>5.59</v>
      </c>
      <c r="AJ152">
        <v>0.6</v>
      </c>
      <c r="AK152">
        <v>2.97</v>
      </c>
      <c r="AL152">
        <v>2.58</v>
      </c>
      <c r="AM152">
        <v>0</v>
      </c>
      <c r="AN152">
        <v>0</v>
      </c>
      <c r="AO152">
        <v>358</v>
      </c>
      <c r="AP152">
        <v>3.29</v>
      </c>
      <c r="AQ152">
        <v>0.56999999999999995</v>
      </c>
      <c r="AR152">
        <v>0.09</v>
      </c>
      <c r="AS152">
        <v>7.0000000000000007E-2</v>
      </c>
      <c r="AT152">
        <v>17.82</v>
      </c>
      <c r="AU152">
        <v>4.95</v>
      </c>
      <c r="AV152">
        <v>0.33</v>
      </c>
      <c r="AW152">
        <v>1.77</v>
      </c>
      <c r="AX152">
        <v>4.09</v>
      </c>
      <c r="AY152">
        <v>2.5</v>
      </c>
      <c r="AZ152">
        <v>44.99</v>
      </c>
      <c r="BA152">
        <v>0</v>
      </c>
      <c r="BB152">
        <v>0</v>
      </c>
      <c r="BC152">
        <v>0</v>
      </c>
      <c r="BD152">
        <v>0</v>
      </c>
    </row>
    <row r="153" spans="1:56" x14ac:dyDescent="0.25">
      <c r="A153" s="23">
        <v>46304</v>
      </c>
      <c r="B153">
        <v>152</v>
      </c>
      <c r="C153" t="s">
        <v>82</v>
      </c>
      <c r="D153" t="s">
        <v>92</v>
      </c>
      <c r="E153">
        <v>2</v>
      </c>
      <c r="F153">
        <v>184</v>
      </c>
      <c r="G153">
        <v>1</v>
      </c>
      <c r="H153" t="s">
        <v>84</v>
      </c>
      <c r="I153" t="s">
        <v>91</v>
      </c>
      <c r="J153" t="s">
        <v>85</v>
      </c>
      <c r="K153" t="s">
        <v>86</v>
      </c>
      <c r="L153" t="s">
        <v>71</v>
      </c>
      <c r="M153" t="s">
        <v>87</v>
      </c>
      <c r="O153" t="s">
        <v>88</v>
      </c>
      <c r="P153" t="s">
        <v>27</v>
      </c>
      <c r="Q153" t="s">
        <v>73</v>
      </c>
      <c r="R153" t="s">
        <v>76</v>
      </c>
      <c r="S153" t="s">
        <v>74</v>
      </c>
      <c r="T153" t="s">
        <v>75</v>
      </c>
      <c r="X153" t="s">
        <v>77</v>
      </c>
      <c r="Z153" t="s">
        <v>72</v>
      </c>
      <c r="AA153" t="s">
        <v>93</v>
      </c>
      <c r="AB153">
        <v>5</v>
      </c>
      <c r="AC153">
        <v>748732.64</v>
      </c>
      <c r="AD153">
        <v>8930509.6799999997</v>
      </c>
      <c r="AE153">
        <v>190.1</v>
      </c>
      <c r="AF153">
        <v>748732.64</v>
      </c>
      <c r="AG153">
        <v>8930509.6799999997</v>
      </c>
      <c r="AH153">
        <v>184.4</v>
      </c>
      <c r="AI153">
        <v>5.7</v>
      </c>
      <c r="AJ153">
        <v>0.6</v>
      </c>
      <c r="AK153">
        <v>2.97</v>
      </c>
      <c r="AL153">
        <v>2.58</v>
      </c>
      <c r="AM153">
        <v>0</v>
      </c>
      <c r="AN153">
        <v>0</v>
      </c>
      <c r="AO153">
        <v>358</v>
      </c>
      <c r="AP153">
        <v>3.28</v>
      </c>
      <c r="AQ153">
        <v>0.56000000000000005</v>
      </c>
      <c r="AR153">
        <v>0.09</v>
      </c>
      <c r="AS153">
        <v>7.0000000000000007E-2</v>
      </c>
      <c r="AT153">
        <v>17.38</v>
      </c>
      <c r="AU153">
        <v>5.0199999999999996</v>
      </c>
      <c r="AV153">
        <v>0.33</v>
      </c>
      <c r="AW153">
        <v>1.71</v>
      </c>
      <c r="AX153">
        <v>4.97</v>
      </c>
      <c r="AY153">
        <v>2.5</v>
      </c>
      <c r="AZ153">
        <v>46.591999999999999</v>
      </c>
      <c r="BA153">
        <v>0</v>
      </c>
      <c r="BB153">
        <v>0</v>
      </c>
      <c r="BC153">
        <v>0</v>
      </c>
      <c r="BD153">
        <v>0</v>
      </c>
    </row>
    <row r="154" spans="1:56" x14ac:dyDescent="0.25">
      <c r="A154" s="23">
        <v>46304</v>
      </c>
      <c r="B154">
        <v>153</v>
      </c>
      <c r="C154" t="s">
        <v>82</v>
      </c>
      <c r="D154" t="s">
        <v>92</v>
      </c>
      <c r="E154">
        <v>2</v>
      </c>
      <c r="F154">
        <v>184</v>
      </c>
      <c r="G154">
        <v>1</v>
      </c>
      <c r="H154" t="s">
        <v>84</v>
      </c>
      <c r="I154" t="s">
        <v>91</v>
      </c>
      <c r="J154" t="s">
        <v>85</v>
      </c>
      <c r="K154" t="s">
        <v>86</v>
      </c>
      <c r="L154" t="s">
        <v>71</v>
      </c>
      <c r="M154" t="s">
        <v>87</v>
      </c>
      <c r="O154" t="s">
        <v>88</v>
      </c>
      <c r="P154" t="s">
        <v>27</v>
      </c>
      <c r="Q154" t="s">
        <v>73</v>
      </c>
      <c r="R154" t="s">
        <v>76</v>
      </c>
      <c r="S154" t="s">
        <v>74</v>
      </c>
      <c r="T154" t="s">
        <v>75</v>
      </c>
      <c r="X154" t="s">
        <v>77</v>
      </c>
      <c r="Z154" t="s">
        <v>72</v>
      </c>
      <c r="AA154" t="s">
        <v>93</v>
      </c>
      <c r="AB154">
        <v>5</v>
      </c>
      <c r="AC154">
        <v>748735.22</v>
      </c>
      <c r="AD154">
        <v>8930511.1500000004</v>
      </c>
      <c r="AE154">
        <v>190.25</v>
      </c>
      <c r="AF154">
        <v>748735.22</v>
      </c>
      <c r="AG154">
        <v>8930511.1500000004</v>
      </c>
      <c r="AH154">
        <v>184.4</v>
      </c>
      <c r="AI154">
        <v>5.85</v>
      </c>
      <c r="AJ154">
        <v>0.6</v>
      </c>
      <c r="AK154">
        <v>2.97</v>
      </c>
      <c r="AL154">
        <v>2.58</v>
      </c>
      <c r="AM154">
        <v>0</v>
      </c>
      <c r="AN154">
        <v>0</v>
      </c>
      <c r="AO154">
        <v>358</v>
      </c>
      <c r="AP154">
        <v>3.3</v>
      </c>
      <c r="AQ154">
        <v>0.56000000000000005</v>
      </c>
      <c r="AR154">
        <v>0.09</v>
      </c>
      <c r="AS154">
        <v>7.0000000000000007E-2</v>
      </c>
      <c r="AT154">
        <v>17.7</v>
      </c>
      <c r="AU154">
        <v>5.1100000000000003</v>
      </c>
      <c r="AV154">
        <v>0.32</v>
      </c>
      <c r="AW154">
        <v>1.77</v>
      </c>
      <c r="AX154">
        <v>1.66</v>
      </c>
      <c r="AY154">
        <v>2.5</v>
      </c>
      <c r="AZ154">
        <v>48.776000000000003</v>
      </c>
      <c r="BA154">
        <v>0</v>
      </c>
      <c r="BB154">
        <v>0</v>
      </c>
      <c r="BC154">
        <v>0</v>
      </c>
      <c r="BD154">
        <v>0</v>
      </c>
    </row>
    <row r="155" spans="1:56" x14ac:dyDescent="0.25">
      <c r="A155" s="23">
        <v>46304</v>
      </c>
      <c r="B155">
        <v>154</v>
      </c>
      <c r="C155" t="s">
        <v>82</v>
      </c>
      <c r="D155" t="s">
        <v>92</v>
      </c>
      <c r="E155">
        <v>2</v>
      </c>
      <c r="F155">
        <v>184</v>
      </c>
      <c r="G155">
        <v>1</v>
      </c>
      <c r="H155" t="s">
        <v>84</v>
      </c>
      <c r="I155" t="s">
        <v>91</v>
      </c>
      <c r="J155" t="s">
        <v>85</v>
      </c>
      <c r="K155" t="s">
        <v>86</v>
      </c>
      <c r="L155" t="s">
        <v>71</v>
      </c>
      <c r="M155" t="s">
        <v>87</v>
      </c>
      <c r="O155" t="s">
        <v>88</v>
      </c>
      <c r="P155" t="s">
        <v>27</v>
      </c>
      <c r="Q155" t="s">
        <v>73</v>
      </c>
      <c r="R155" t="s">
        <v>76</v>
      </c>
      <c r="S155" t="s">
        <v>74</v>
      </c>
      <c r="T155" t="s">
        <v>75</v>
      </c>
      <c r="X155" t="s">
        <v>77</v>
      </c>
      <c r="Z155" t="s">
        <v>72</v>
      </c>
      <c r="AA155" t="s">
        <v>93</v>
      </c>
      <c r="AB155">
        <v>5</v>
      </c>
      <c r="AC155">
        <v>748737.81</v>
      </c>
      <c r="AD155">
        <v>8930512.6099999994</v>
      </c>
      <c r="AE155">
        <v>190.36</v>
      </c>
      <c r="AF155">
        <v>748737.81</v>
      </c>
      <c r="AG155">
        <v>8930512.6099999994</v>
      </c>
      <c r="AH155">
        <v>184.4</v>
      </c>
      <c r="AI155">
        <v>5.96</v>
      </c>
      <c r="AJ155">
        <v>0.6</v>
      </c>
      <c r="AK155">
        <v>2.97</v>
      </c>
      <c r="AL155">
        <v>2.58</v>
      </c>
      <c r="AM155">
        <v>0</v>
      </c>
      <c r="AN155">
        <v>0</v>
      </c>
      <c r="AO155">
        <v>358</v>
      </c>
      <c r="AP155">
        <v>3.31</v>
      </c>
      <c r="AQ155">
        <v>0.56000000000000005</v>
      </c>
      <c r="AR155">
        <v>0.09</v>
      </c>
      <c r="AS155">
        <v>7.0000000000000007E-2</v>
      </c>
      <c r="AT155">
        <v>17.87</v>
      </c>
      <c r="AU155">
        <v>5.14</v>
      </c>
      <c r="AV155">
        <v>0.31</v>
      </c>
      <c r="AW155">
        <v>1.8</v>
      </c>
      <c r="AX155">
        <v>0.47</v>
      </c>
      <c r="AY155">
        <v>2.5</v>
      </c>
      <c r="AZ155">
        <v>50.378</v>
      </c>
      <c r="BA155">
        <v>0</v>
      </c>
      <c r="BB155">
        <v>0</v>
      </c>
      <c r="BC155">
        <v>0</v>
      </c>
      <c r="BD155">
        <v>0</v>
      </c>
    </row>
    <row r="156" spans="1:56" x14ac:dyDescent="0.25">
      <c r="A156" s="23">
        <v>46304</v>
      </c>
      <c r="B156">
        <v>155</v>
      </c>
      <c r="C156" t="s">
        <v>82</v>
      </c>
      <c r="D156" t="s">
        <v>92</v>
      </c>
      <c r="E156">
        <v>2</v>
      </c>
      <c r="F156">
        <v>184</v>
      </c>
      <c r="G156">
        <v>1</v>
      </c>
      <c r="H156" t="s">
        <v>84</v>
      </c>
      <c r="I156" t="s">
        <v>91</v>
      </c>
      <c r="J156" t="s">
        <v>85</v>
      </c>
      <c r="K156" t="s">
        <v>86</v>
      </c>
      <c r="L156" t="s">
        <v>71</v>
      </c>
      <c r="M156" t="s">
        <v>87</v>
      </c>
      <c r="O156" t="s">
        <v>88</v>
      </c>
      <c r="P156" t="s">
        <v>27</v>
      </c>
      <c r="Q156" t="s">
        <v>73</v>
      </c>
      <c r="R156" t="s">
        <v>76</v>
      </c>
      <c r="S156" t="s">
        <v>74</v>
      </c>
      <c r="T156" t="s">
        <v>75</v>
      </c>
      <c r="X156" t="s">
        <v>77</v>
      </c>
      <c r="Z156" t="s">
        <v>72</v>
      </c>
      <c r="AA156" t="s">
        <v>93</v>
      </c>
      <c r="AB156">
        <v>5</v>
      </c>
      <c r="AC156">
        <v>748740.39</v>
      </c>
      <c r="AD156">
        <v>8930514.0800000001</v>
      </c>
      <c r="AE156">
        <v>190.4</v>
      </c>
      <c r="AF156">
        <v>748740.39</v>
      </c>
      <c r="AG156">
        <v>8930514.0800000001</v>
      </c>
      <c r="AH156">
        <v>184.4</v>
      </c>
      <c r="AI156">
        <v>6</v>
      </c>
      <c r="AJ156">
        <v>0.6</v>
      </c>
      <c r="AK156">
        <v>2.97</v>
      </c>
      <c r="AL156">
        <v>2.58</v>
      </c>
      <c r="AM156">
        <v>0</v>
      </c>
      <c r="AN156">
        <v>0</v>
      </c>
      <c r="AO156">
        <v>358</v>
      </c>
      <c r="AP156">
        <v>3.31</v>
      </c>
      <c r="AQ156">
        <v>0.56999999999999995</v>
      </c>
      <c r="AR156">
        <v>0.09</v>
      </c>
      <c r="AS156">
        <v>7.0000000000000007E-2</v>
      </c>
      <c r="AT156">
        <v>18.27</v>
      </c>
      <c r="AU156">
        <v>5.27</v>
      </c>
      <c r="AV156">
        <v>0.31</v>
      </c>
      <c r="AW156">
        <v>1.84</v>
      </c>
      <c r="AX156">
        <v>0.72</v>
      </c>
      <c r="AY156">
        <v>2.5</v>
      </c>
      <c r="AZ156">
        <v>50.96</v>
      </c>
      <c r="BA156">
        <v>0</v>
      </c>
      <c r="BB156">
        <v>0</v>
      </c>
      <c r="BC156">
        <v>0</v>
      </c>
      <c r="BD156">
        <v>0</v>
      </c>
    </row>
    <row r="157" spans="1:56" x14ac:dyDescent="0.25">
      <c r="A157" s="23">
        <v>46304</v>
      </c>
      <c r="B157">
        <v>156</v>
      </c>
      <c r="C157" t="s">
        <v>82</v>
      </c>
      <c r="D157" t="s">
        <v>92</v>
      </c>
      <c r="E157">
        <v>2</v>
      </c>
      <c r="F157">
        <v>184</v>
      </c>
      <c r="G157">
        <v>1</v>
      </c>
      <c r="H157" t="s">
        <v>84</v>
      </c>
      <c r="I157" t="s">
        <v>91</v>
      </c>
      <c r="J157" t="s">
        <v>85</v>
      </c>
      <c r="K157" t="s">
        <v>86</v>
      </c>
      <c r="L157" t="s">
        <v>71</v>
      </c>
      <c r="M157" t="s">
        <v>87</v>
      </c>
      <c r="O157" t="s">
        <v>88</v>
      </c>
      <c r="P157" t="s">
        <v>27</v>
      </c>
      <c r="Q157" t="s">
        <v>73</v>
      </c>
      <c r="R157" t="s">
        <v>76</v>
      </c>
      <c r="S157" t="s">
        <v>74</v>
      </c>
      <c r="T157" t="s">
        <v>75</v>
      </c>
      <c r="X157" t="s">
        <v>77</v>
      </c>
      <c r="Z157" t="s">
        <v>72</v>
      </c>
      <c r="AA157" t="s">
        <v>93</v>
      </c>
      <c r="AB157">
        <v>5</v>
      </c>
      <c r="AC157">
        <v>748742.98</v>
      </c>
      <c r="AD157">
        <v>8930515.5399999991</v>
      </c>
      <c r="AE157">
        <v>190.38</v>
      </c>
      <c r="AF157">
        <v>748742.98</v>
      </c>
      <c r="AG157">
        <v>8930515.5399999991</v>
      </c>
      <c r="AH157">
        <v>184.4</v>
      </c>
      <c r="AI157">
        <v>5.98</v>
      </c>
      <c r="AJ157">
        <v>0.6</v>
      </c>
      <c r="AK157">
        <v>2.97</v>
      </c>
      <c r="AL157">
        <v>2.58</v>
      </c>
      <c r="AM157">
        <v>0</v>
      </c>
      <c r="AN157">
        <v>0</v>
      </c>
      <c r="AO157">
        <v>358</v>
      </c>
      <c r="AP157">
        <v>3.3</v>
      </c>
      <c r="AQ157">
        <v>0.6</v>
      </c>
      <c r="AR157">
        <v>0.09</v>
      </c>
      <c r="AS157">
        <v>0.08</v>
      </c>
      <c r="AT157">
        <v>18.940000000000001</v>
      </c>
      <c r="AU157">
        <v>5.53</v>
      </c>
      <c r="AV157">
        <v>0.31</v>
      </c>
      <c r="AW157">
        <v>1.9</v>
      </c>
      <c r="AX157">
        <v>0.82</v>
      </c>
      <c r="AY157">
        <v>2.5</v>
      </c>
      <c r="AZ157">
        <v>50.668999999999997</v>
      </c>
      <c r="BA157">
        <v>0</v>
      </c>
      <c r="BB157">
        <v>0</v>
      </c>
      <c r="BC157">
        <v>0</v>
      </c>
      <c r="BD157">
        <v>0</v>
      </c>
    </row>
    <row r="158" spans="1:56" x14ac:dyDescent="0.25">
      <c r="A158" s="23">
        <v>46304</v>
      </c>
      <c r="B158">
        <v>157</v>
      </c>
      <c r="C158" t="s">
        <v>82</v>
      </c>
      <c r="D158" t="s">
        <v>92</v>
      </c>
      <c r="E158">
        <v>2</v>
      </c>
      <c r="F158">
        <v>184</v>
      </c>
      <c r="G158">
        <v>1</v>
      </c>
      <c r="H158" t="s">
        <v>84</v>
      </c>
      <c r="I158" t="s">
        <v>91</v>
      </c>
      <c r="J158" t="s">
        <v>85</v>
      </c>
      <c r="K158" t="s">
        <v>86</v>
      </c>
      <c r="L158" t="s">
        <v>71</v>
      </c>
      <c r="M158" t="s">
        <v>87</v>
      </c>
      <c r="O158" t="s">
        <v>88</v>
      </c>
      <c r="P158" t="s">
        <v>27</v>
      </c>
      <c r="Q158" t="s">
        <v>73</v>
      </c>
      <c r="R158" t="s">
        <v>76</v>
      </c>
      <c r="S158" t="s">
        <v>74</v>
      </c>
      <c r="T158" t="s">
        <v>75</v>
      </c>
      <c r="X158" t="s">
        <v>77</v>
      </c>
      <c r="Z158" t="s">
        <v>72</v>
      </c>
      <c r="AA158" t="s">
        <v>93</v>
      </c>
      <c r="AB158">
        <v>5</v>
      </c>
      <c r="AC158">
        <v>748745.56</v>
      </c>
      <c r="AD158">
        <v>8930517</v>
      </c>
      <c r="AE158">
        <v>190.36</v>
      </c>
      <c r="AF158">
        <v>748745.56</v>
      </c>
      <c r="AG158">
        <v>8930517</v>
      </c>
      <c r="AH158">
        <v>184.4</v>
      </c>
      <c r="AI158">
        <v>5.96</v>
      </c>
      <c r="AJ158">
        <v>0.6</v>
      </c>
      <c r="AK158">
        <v>2.97</v>
      </c>
      <c r="AL158">
        <v>2.58</v>
      </c>
      <c r="AM158">
        <v>0</v>
      </c>
      <c r="AN158">
        <v>0</v>
      </c>
      <c r="AO158">
        <v>358</v>
      </c>
      <c r="AP158">
        <v>3.3</v>
      </c>
      <c r="AQ158">
        <v>0.59</v>
      </c>
      <c r="AR158">
        <v>0.09</v>
      </c>
      <c r="AS158">
        <v>0.08</v>
      </c>
      <c r="AT158">
        <v>18.79</v>
      </c>
      <c r="AU158">
        <v>5.5</v>
      </c>
      <c r="AV158">
        <v>0.31</v>
      </c>
      <c r="AW158">
        <v>1.89</v>
      </c>
      <c r="AX158">
        <v>0.56000000000000005</v>
      </c>
      <c r="AY158">
        <v>2.5</v>
      </c>
      <c r="AZ158">
        <v>50.378</v>
      </c>
      <c r="BA158">
        <v>0</v>
      </c>
      <c r="BB158">
        <v>0</v>
      </c>
      <c r="BC158">
        <v>0</v>
      </c>
      <c r="BD158">
        <v>0</v>
      </c>
    </row>
    <row r="159" spans="1:56" x14ac:dyDescent="0.25">
      <c r="A159" s="23">
        <v>46304</v>
      </c>
      <c r="B159">
        <v>158</v>
      </c>
      <c r="C159" t="s">
        <v>82</v>
      </c>
      <c r="D159" t="s">
        <v>83</v>
      </c>
      <c r="E159">
        <v>2</v>
      </c>
      <c r="F159">
        <v>184</v>
      </c>
      <c r="G159">
        <v>1</v>
      </c>
      <c r="H159" t="s">
        <v>84</v>
      </c>
      <c r="I159" t="s">
        <v>91</v>
      </c>
      <c r="J159" t="s">
        <v>85</v>
      </c>
      <c r="K159" t="s">
        <v>86</v>
      </c>
      <c r="L159" t="s">
        <v>71</v>
      </c>
      <c r="M159" t="s">
        <v>87</v>
      </c>
      <c r="O159" t="s">
        <v>88</v>
      </c>
      <c r="P159" t="s">
        <v>27</v>
      </c>
      <c r="Q159" t="s">
        <v>73</v>
      </c>
      <c r="R159" t="s">
        <v>76</v>
      </c>
      <c r="S159" t="s">
        <v>74</v>
      </c>
      <c r="T159" t="s">
        <v>75</v>
      </c>
      <c r="X159" t="s">
        <v>77</v>
      </c>
      <c r="Z159" t="s">
        <v>72</v>
      </c>
      <c r="AA159" t="s">
        <v>93</v>
      </c>
      <c r="AB159">
        <v>5</v>
      </c>
      <c r="AC159">
        <v>748748.15</v>
      </c>
      <c r="AD159">
        <v>8930518.4700000007</v>
      </c>
      <c r="AE159">
        <v>190.29</v>
      </c>
      <c r="AF159">
        <v>748748.15</v>
      </c>
      <c r="AG159">
        <v>8930518.4700000007</v>
      </c>
      <c r="AH159">
        <v>184.4</v>
      </c>
      <c r="AI159">
        <v>5.89</v>
      </c>
      <c r="AJ159">
        <v>0.6</v>
      </c>
      <c r="AK159">
        <v>2.97</v>
      </c>
      <c r="AL159">
        <v>2.58</v>
      </c>
      <c r="AM159">
        <v>0</v>
      </c>
      <c r="AN159">
        <v>0</v>
      </c>
      <c r="AO159">
        <v>358</v>
      </c>
      <c r="AP159">
        <v>3.3</v>
      </c>
      <c r="AQ159">
        <v>0.59</v>
      </c>
      <c r="AR159">
        <v>0.09</v>
      </c>
      <c r="AS159">
        <v>0.08</v>
      </c>
      <c r="AT159">
        <v>18.510000000000002</v>
      </c>
      <c r="AU159">
        <v>5.49</v>
      </c>
      <c r="AV159">
        <v>0.31</v>
      </c>
      <c r="AW159">
        <v>1.9</v>
      </c>
      <c r="AX159">
        <v>0.42</v>
      </c>
      <c r="AY159">
        <v>2.5</v>
      </c>
      <c r="AZ159">
        <v>49.357999999999997</v>
      </c>
      <c r="BA159">
        <v>0</v>
      </c>
      <c r="BB159">
        <v>0</v>
      </c>
      <c r="BC159">
        <v>0</v>
      </c>
      <c r="BD159">
        <v>0</v>
      </c>
    </row>
    <row r="160" spans="1:56" x14ac:dyDescent="0.25">
      <c r="A160" s="23">
        <v>46304</v>
      </c>
      <c r="B160">
        <v>159</v>
      </c>
      <c r="C160" t="s">
        <v>82</v>
      </c>
      <c r="D160" t="s">
        <v>83</v>
      </c>
      <c r="E160">
        <v>2</v>
      </c>
      <c r="F160">
        <v>184</v>
      </c>
      <c r="G160">
        <v>1</v>
      </c>
      <c r="H160" t="s">
        <v>84</v>
      </c>
      <c r="I160" t="s">
        <v>91</v>
      </c>
      <c r="J160" t="s">
        <v>85</v>
      </c>
      <c r="K160" t="s">
        <v>86</v>
      </c>
      <c r="L160" t="s">
        <v>71</v>
      </c>
      <c r="M160" t="s">
        <v>87</v>
      </c>
      <c r="O160" t="s">
        <v>88</v>
      </c>
      <c r="P160" t="s">
        <v>27</v>
      </c>
      <c r="Q160" t="s">
        <v>73</v>
      </c>
      <c r="R160" t="s">
        <v>76</v>
      </c>
      <c r="S160" t="s">
        <v>74</v>
      </c>
      <c r="T160" t="s">
        <v>75</v>
      </c>
      <c r="X160" t="s">
        <v>77</v>
      </c>
      <c r="Z160" t="s">
        <v>72</v>
      </c>
      <c r="AA160" t="s">
        <v>93</v>
      </c>
      <c r="AB160">
        <v>5</v>
      </c>
      <c r="AC160">
        <v>748750.73</v>
      </c>
      <c r="AD160">
        <v>8930519.9299999997</v>
      </c>
      <c r="AE160">
        <v>190.27</v>
      </c>
      <c r="AF160">
        <v>748750.73</v>
      </c>
      <c r="AG160">
        <v>8930519.9299999997</v>
      </c>
      <c r="AH160">
        <v>184.4</v>
      </c>
      <c r="AI160">
        <v>5.87</v>
      </c>
      <c r="AJ160">
        <v>0.6</v>
      </c>
      <c r="AK160">
        <v>2.97</v>
      </c>
      <c r="AL160">
        <v>2.58</v>
      </c>
      <c r="AM160">
        <v>0</v>
      </c>
      <c r="AN160">
        <v>0</v>
      </c>
      <c r="AO160">
        <v>358</v>
      </c>
      <c r="AP160">
        <v>3.26</v>
      </c>
      <c r="AQ160">
        <v>0.53</v>
      </c>
      <c r="AR160">
        <v>0.08</v>
      </c>
      <c r="AS160">
        <v>7.0000000000000007E-2</v>
      </c>
      <c r="AT160">
        <v>17.09</v>
      </c>
      <c r="AU160">
        <v>5.49</v>
      </c>
      <c r="AV160">
        <v>0.27</v>
      </c>
      <c r="AW160">
        <v>1.87</v>
      </c>
      <c r="AX160">
        <v>0.23</v>
      </c>
      <c r="AY160">
        <v>2.5</v>
      </c>
      <c r="AZ160">
        <v>49.067</v>
      </c>
      <c r="BA160">
        <v>0</v>
      </c>
      <c r="BB160">
        <v>0</v>
      </c>
      <c r="BC160">
        <v>0</v>
      </c>
      <c r="BD160">
        <v>0</v>
      </c>
    </row>
    <row r="161" spans="1:56" x14ac:dyDescent="0.25">
      <c r="A161" s="23">
        <v>46304</v>
      </c>
      <c r="B161">
        <v>160</v>
      </c>
      <c r="C161" t="s">
        <v>82</v>
      </c>
      <c r="D161" t="s">
        <v>83</v>
      </c>
      <c r="E161">
        <v>2</v>
      </c>
      <c r="F161">
        <v>184</v>
      </c>
      <c r="G161">
        <v>1</v>
      </c>
      <c r="H161" t="s">
        <v>84</v>
      </c>
      <c r="I161" t="s">
        <v>91</v>
      </c>
      <c r="J161" t="s">
        <v>85</v>
      </c>
      <c r="K161" t="s">
        <v>86</v>
      </c>
      <c r="L161" t="s">
        <v>71</v>
      </c>
      <c r="M161" t="s">
        <v>87</v>
      </c>
      <c r="O161" t="s">
        <v>88</v>
      </c>
      <c r="P161" t="s">
        <v>27</v>
      </c>
      <c r="Q161" t="s">
        <v>73</v>
      </c>
      <c r="R161" t="s">
        <v>76</v>
      </c>
      <c r="S161" t="s">
        <v>74</v>
      </c>
      <c r="T161" t="s">
        <v>75</v>
      </c>
      <c r="X161" t="s">
        <v>77</v>
      </c>
      <c r="Z161" t="s">
        <v>72</v>
      </c>
      <c r="AA161" t="s">
        <v>93</v>
      </c>
      <c r="AB161">
        <v>5</v>
      </c>
      <c r="AC161">
        <v>748753.31</v>
      </c>
      <c r="AD161">
        <v>8930521.4000000004</v>
      </c>
      <c r="AE161">
        <v>190.23</v>
      </c>
      <c r="AF161">
        <v>748753.31</v>
      </c>
      <c r="AG161">
        <v>8930521.4000000004</v>
      </c>
      <c r="AH161">
        <v>184.4</v>
      </c>
      <c r="AI161">
        <v>5.83</v>
      </c>
      <c r="AJ161">
        <v>0.6</v>
      </c>
      <c r="AK161">
        <v>2.97</v>
      </c>
      <c r="AL161">
        <v>2.58</v>
      </c>
      <c r="AM161">
        <v>0</v>
      </c>
      <c r="AN161">
        <v>0</v>
      </c>
      <c r="AO161">
        <v>358</v>
      </c>
      <c r="AP161">
        <v>3.27</v>
      </c>
      <c r="AQ161">
        <v>0.51</v>
      </c>
      <c r="AR161">
        <v>0.08</v>
      </c>
      <c r="AS161">
        <v>7.0000000000000007E-2</v>
      </c>
      <c r="AT161">
        <v>17.22</v>
      </c>
      <c r="AU161">
        <v>5.66</v>
      </c>
      <c r="AV161">
        <v>0.25</v>
      </c>
      <c r="AW161">
        <v>1.95</v>
      </c>
      <c r="AX161">
        <v>0.51</v>
      </c>
      <c r="AY161">
        <v>2.5</v>
      </c>
      <c r="AZ161">
        <v>48.484999999999999</v>
      </c>
      <c r="BA161">
        <v>0</v>
      </c>
      <c r="BB161">
        <v>0</v>
      </c>
      <c r="BC161">
        <v>0</v>
      </c>
      <c r="BD161">
        <v>0</v>
      </c>
    </row>
    <row r="162" spans="1:56" x14ac:dyDescent="0.25">
      <c r="A162" s="23">
        <v>46304</v>
      </c>
      <c r="B162">
        <v>161</v>
      </c>
      <c r="C162" t="s">
        <v>82</v>
      </c>
      <c r="D162" t="s">
        <v>83</v>
      </c>
      <c r="E162">
        <v>2</v>
      </c>
      <c r="F162">
        <v>184</v>
      </c>
      <c r="G162">
        <v>1</v>
      </c>
      <c r="H162" t="s">
        <v>84</v>
      </c>
      <c r="I162" t="s">
        <v>91</v>
      </c>
      <c r="J162" t="s">
        <v>85</v>
      </c>
      <c r="K162" t="s">
        <v>86</v>
      </c>
      <c r="L162" t="s">
        <v>71</v>
      </c>
      <c r="M162" t="s">
        <v>87</v>
      </c>
      <c r="O162" t="s">
        <v>88</v>
      </c>
      <c r="P162" t="s">
        <v>27</v>
      </c>
      <c r="Q162" t="s">
        <v>73</v>
      </c>
      <c r="R162" t="s">
        <v>76</v>
      </c>
      <c r="S162" t="s">
        <v>74</v>
      </c>
      <c r="T162" t="s">
        <v>75</v>
      </c>
      <c r="X162" t="s">
        <v>77</v>
      </c>
      <c r="Z162" t="s">
        <v>72</v>
      </c>
      <c r="AA162" t="s">
        <v>93</v>
      </c>
      <c r="AB162">
        <v>5</v>
      </c>
      <c r="AC162">
        <v>748755.9</v>
      </c>
      <c r="AD162">
        <v>8930522.8599999994</v>
      </c>
      <c r="AE162">
        <v>190.37</v>
      </c>
      <c r="AF162">
        <v>748755.9</v>
      </c>
      <c r="AG162">
        <v>8930522.8599999994</v>
      </c>
      <c r="AH162">
        <v>184.4</v>
      </c>
      <c r="AI162">
        <v>5.97</v>
      </c>
      <c r="AJ162">
        <v>0.6</v>
      </c>
      <c r="AK162">
        <v>2.97</v>
      </c>
      <c r="AL162">
        <v>2.58</v>
      </c>
      <c r="AM162">
        <v>0</v>
      </c>
      <c r="AN162">
        <v>0</v>
      </c>
      <c r="AO162">
        <v>358</v>
      </c>
      <c r="AP162">
        <v>3.23</v>
      </c>
      <c r="AQ162">
        <v>0.45</v>
      </c>
      <c r="AR162">
        <v>7.0000000000000007E-2</v>
      </c>
      <c r="AS162">
        <v>0.06</v>
      </c>
      <c r="AT162">
        <v>15</v>
      </c>
      <c r="AU162">
        <v>4.95</v>
      </c>
      <c r="AV162">
        <v>0.22</v>
      </c>
      <c r="AW162">
        <v>1.72</v>
      </c>
      <c r="AX162">
        <v>0.23</v>
      </c>
      <c r="AY162">
        <v>2.5</v>
      </c>
      <c r="AZ162">
        <v>50.523000000000003</v>
      </c>
      <c r="BA162">
        <v>0</v>
      </c>
      <c r="BB162">
        <v>0</v>
      </c>
      <c r="BC162">
        <v>0</v>
      </c>
      <c r="BD162">
        <v>0</v>
      </c>
    </row>
    <row r="163" spans="1:56" x14ac:dyDescent="0.25">
      <c r="A163" s="23">
        <v>46304</v>
      </c>
      <c r="B163">
        <v>162</v>
      </c>
      <c r="C163" t="s">
        <v>82</v>
      </c>
      <c r="D163" t="s">
        <v>83</v>
      </c>
      <c r="E163">
        <v>2</v>
      </c>
      <c r="F163">
        <v>184</v>
      </c>
      <c r="G163">
        <v>1</v>
      </c>
      <c r="H163" t="s">
        <v>84</v>
      </c>
      <c r="I163" t="s">
        <v>91</v>
      </c>
      <c r="J163" t="s">
        <v>85</v>
      </c>
      <c r="K163" t="s">
        <v>86</v>
      </c>
      <c r="L163" t="s">
        <v>71</v>
      </c>
      <c r="M163" t="s">
        <v>87</v>
      </c>
      <c r="O163" t="s">
        <v>88</v>
      </c>
      <c r="P163" t="s">
        <v>27</v>
      </c>
      <c r="Q163" t="s">
        <v>73</v>
      </c>
      <c r="R163" t="s">
        <v>76</v>
      </c>
      <c r="S163" t="s">
        <v>74</v>
      </c>
      <c r="T163" t="s">
        <v>75</v>
      </c>
      <c r="X163" t="s">
        <v>77</v>
      </c>
      <c r="Z163" t="s">
        <v>72</v>
      </c>
      <c r="AA163" t="s">
        <v>93</v>
      </c>
      <c r="AB163">
        <v>5</v>
      </c>
      <c r="AC163">
        <v>748758.48</v>
      </c>
      <c r="AD163">
        <v>8930524.3200000003</v>
      </c>
      <c r="AE163">
        <v>190.49</v>
      </c>
      <c r="AF163">
        <v>748758.48</v>
      </c>
      <c r="AG163">
        <v>8930524.3200000003</v>
      </c>
      <c r="AH163">
        <v>184.4</v>
      </c>
      <c r="AI163">
        <v>6.09</v>
      </c>
      <c r="AJ163">
        <v>0.6</v>
      </c>
      <c r="AK163">
        <v>2.97</v>
      </c>
      <c r="AL163">
        <v>2.58</v>
      </c>
      <c r="AM163">
        <v>0</v>
      </c>
      <c r="AN163">
        <v>0</v>
      </c>
      <c r="AO163">
        <v>358</v>
      </c>
      <c r="AP163">
        <v>3.14</v>
      </c>
      <c r="AQ163">
        <v>0.28999999999999998</v>
      </c>
      <c r="AR163">
        <v>0.04</v>
      </c>
      <c r="AS163">
        <v>0.04</v>
      </c>
      <c r="AT163">
        <v>9.4700000000000006</v>
      </c>
      <c r="AU163">
        <v>3.14</v>
      </c>
      <c r="AV163">
        <v>0.14000000000000001</v>
      </c>
      <c r="AW163">
        <v>1.1000000000000001</v>
      </c>
      <c r="AX163">
        <v>0</v>
      </c>
      <c r="AY163">
        <v>2.5</v>
      </c>
      <c r="AZ163">
        <v>52.27</v>
      </c>
      <c r="BA163">
        <v>0</v>
      </c>
      <c r="BB163">
        <v>0</v>
      </c>
      <c r="BC163">
        <v>0</v>
      </c>
      <c r="BD163">
        <v>0</v>
      </c>
    </row>
    <row r="164" spans="1:56" x14ac:dyDescent="0.25">
      <c r="A164" s="23">
        <v>46304</v>
      </c>
      <c r="B164">
        <v>163</v>
      </c>
      <c r="C164" t="s">
        <v>82</v>
      </c>
      <c r="D164" t="s">
        <v>83</v>
      </c>
      <c r="E164">
        <v>2</v>
      </c>
      <c r="F164">
        <v>184</v>
      </c>
      <c r="G164">
        <v>1</v>
      </c>
      <c r="H164" t="s">
        <v>84</v>
      </c>
      <c r="I164" t="s">
        <v>91</v>
      </c>
      <c r="J164" t="s">
        <v>70</v>
      </c>
      <c r="K164" t="s">
        <v>86</v>
      </c>
      <c r="L164" t="s">
        <v>71</v>
      </c>
      <c r="M164" t="s">
        <v>87</v>
      </c>
      <c r="O164" t="s">
        <v>88</v>
      </c>
      <c r="P164" t="s">
        <v>27</v>
      </c>
      <c r="Q164" t="s">
        <v>73</v>
      </c>
      <c r="R164" t="s">
        <v>76</v>
      </c>
      <c r="S164" t="s">
        <v>74</v>
      </c>
      <c r="T164" t="s">
        <v>75</v>
      </c>
      <c r="X164" t="s">
        <v>77</v>
      </c>
      <c r="Z164" t="s">
        <v>72</v>
      </c>
      <c r="AA164" t="s">
        <v>93</v>
      </c>
      <c r="AB164">
        <v>5</v>
      </c>
      <c r="AC164">
        <v>748761.07</v>
      </c>
      <c r="AD164">
        <v>8930525.7899999991</v>
      </c>
      <c r="AE164">
        <v>190.48</v>
      </c>
      <c r="AF164">
        <v>748761.07</v>
      </c>
      <c r="AG164">
        <v>8930525.7899999991</v>
      </c>
      <c r="AH164">
        <v>184.4</v>
      </c>
      <c r="AI164">
        <v>6.08</v>
      </c>
      <c r="AJ164">
        <v>0.6</v>
      </c>
      <c r="AK164">
        <v>2.97</v>
      </c>
      <c r="AL164">
        <v>2.58</v>
      </c>
      <c r="AM164">
        <v>0</v>
      </c>
      <c r="AN164">
        <v>0</v>
      </c>
      <c r="AO164">
        <v>358</v>
      </c>
      <c r="AP164">
        <v>3.15</v>
      </c>
      <c r="AQ164">
        <v>0.22</v>
      </c>
      <c r="AR164">
        <v>0.03</v>
      </c>
      <c r="AS164">
        <v>0.03</v>
      </c>
      <c r="AT164">
        <v>7.35</v>
      </c>
      <c r="AU164">
        <v>2.4700000000000002</v>
      </c>
      <c r="AV164">
        <v>0.11</v>
      </c>
      <c r="AW164">
        <v>0.87</v>
      </c>
      <c r="AX164">
        <v>0</v>
      </c>
      <c r="AY164">
        <v>2.5</v>
      </c>
      <c r="AZ164">
        <v>52.125</v>
      </c>
      <c r="BA164">
        <v>0</v>
      </c>
      <c r="BB164">
        <v>0</v>
      </c>
      <c r="BC164">
        <v>0</v>
      </c>
      <c r="BD164">
        <v>0</v>
      </c>
    </row>
    <row r="165" spans="1:56" x14ac:dyDescent="0.25">
      <c r="A165" s="23">
        <v>46304</v>
      </c>
      <c r="B165">
        <v>164</v>
      </c>
      <c r="C165" t="s">
        <v>82</v>
      </c>
      <c r="D165" t="s">
        <v>83</v>
      </c>
      <c r="E165">
        <v>2</v>
      </c>
      <c r="F165">
        <v>184</v>
      </c>
      <c r="G165">
        <v>1</v>
      </c>
      <c r="H165" t="s">
        <v>84</v>
      </c>
      <c r="I165" t="s">
        <v>78</v>
      </c>
      <c r="J165" t="s">
        <v>70</v>
      </c>
      <c r="K165" t="s">
        <v>86</v>
      </c>
      <c r="L165" t="s">
        <v>71</v>
      </c>
      <c r="M165" t="s">
        <v>87</v>
      </c>
      <c r="O165" t="s">
        <v>88</v>
      </c>
      <c r="P165" t="s">
        <v>27</v>
      </c>
      <c r="Q165" t="s">
        <v>73</v>
      </c>
      <c r="R165" t="s">
        <v>76</v>
      </c>
      <c r="S165" t="s">
        <v>74</v>
      </c>
      <c r="T165" t="s">
        <v>75</v>
      </c>
      <c r="X165" t="s">
        <v>77</v>
      </c>
      <c r="Z165" t="s">
        <v>72</v>
      </c>
      <c r="AA165" t="s">
        <v>93</v>
      </c>
      <c r="AB165">
        <v>5</v>
      </c>
      <c r="AC165">
        <v>748763.65</v>
      </c>
      <c r="AD165">
        <v>8930527.25</v>
      </c>
      <c r="AE165">
        <v>190.54</v>
      </c>
      <c r="AF165">
        <v>748763.65</v>
      </c>
      <c r="AG165">
        <v>8930527.25</v>
      </c>
      <c r="AH165">
        <v>184.4</v>
      </c>
      <c r="AI165">
        <v>6.14</v>
      </c>
      <c r="AJ165">
        <v>0.6</v>
      </c>
      <c r="AK165">
        <v>2.97</v>
      </c>
      <c r="AL165">
        <v>2.58</v>
      </c>
      <c r="AM165">
        <v>0</v>
      </c>
      <c r="AN165">
        <v>0</v>
      </c>
      <c r="AO165">
        <v>358</v>
      </c>
      <c r="AP165">
        <v>3.16</v>
      </c>
      <c r="AQ165">
        <v>0.19</v>
      </c>
      <c r="AR165">
        <v>0.03</v>
      </c>
      <c r="AS165">
        <v>0.03</v>
      </c>
      <c r="AT165">
        <v>6.45</v>
      </c>
      <c r="AU165">
        <v>2.16</v>
      </c>
      <c r="AV165">
        <v>0.09</v>
      </c>
      <c r="AW165">
        <v>0.78</v>
      </c>
      <c r="AX165">
        <v>0</v>
      </c>
      <c r="AY165">
        <v>2.5</v>
      </c>
      <c r="AZ165">
        <v>52.997999999999998</v>
      </c>
      <c r="BA165">
        <v>0</v>
      </c>
      <c r="BB165">
        <v>0</v>
      </c>
      <c r="BC165">
        <v>0</v>
      </c>
      <c r="BD165">
        <v>0</v>
      </c>
    </row>
    <row r="166" spans="1:56" x14ac:dyDescent="0.25">
      <c r="A166" s="23">
        <v>46304</v>
      </c>
      <c r="B166">
        <v>165</v>
      </c>
      <c r="C166" t="s">
        <v>82</v>
      </c>
      <c r="D166" t="s">
        <v>83</v>
      </c>
      <c r="E166">
        <v>2</v>
      </c>
      <c r="F166">
        <v>184</v>
      </c>
      <c r="G166">
        <v>0</v>
      </c>
      <c r="H166" t="s">
        <v>84</v>
      </c>
      <c r="I166" t="s">
        <v>78</v>
      </c>
      <c r="J166" t="s">
        <v>70</v>
      </c>
      <c r="K166" t="s">
        <v>86</v>
      </c>
      <c r="L166" t="s">
        <v>71</v>
      </c>
      <c r="M166" t="s">
        <v>87</v>
      </c>
      <c r="O166" t="s">
        <v>88</v>
      </c>
      <c r="P166" t="s">
        <v>27</v>
      </c>
      <c r="Q166" t="s">
        <v>73</v>
      </c>
      <c r="R166" t="s">
        <v>76</v>
      </c>
      <c r="S166" t="s">
        <v>74</v>
      </c>
      <c r="T166" t="s">
        <v>75</v>
      </c>
      <c r="X166" t="s">
        <v>77</v>
      </c>
      <c r="Z166" t="s">
        <v>72</v>
      </c>
      <c r="AA166" t="s">
        <v>93</v>
      </c>
      <c r="AB166">
        <v>5</v>
      </c>
      <c r="AC166">
        <v>748766.23</v>
      </c>
      <c r="AD166">
        <v>8930528.7200000007</v>
      </c>
      <c r="AE166">
        <v>190.52</v>
      </c>
      <c r="AF166">
        <v>748766.23</v>
      </c>
      <c r="AG166">
        <v>8930528.7200000007</v>
      </c>
      <c r="AH166">
        <v>184.4</v>
      </c>
      <c r="AI166">
        <v>6.12</v>
      </c>
      <c r="AJ166">
        <v>0.6</v>
      </c>
      <c r="AK166">
        <v>2.97</v>
      </c>
      <c r="AL166">
        <v>2.58</v>
      </c>
      <c r="AM166">
        <v>0</v>
      </c>
      <c r="AN166">
        <v>0</v>
      </c>
      <c r="AO166">
        <v>358</v>
      </c>
      <c r="AP166">
        <v>3.16</v>
      </c>
      <c r="AQ166">
        <v>0.16</v>
      </c>
      <c r="AR166">
        <v>0.02</v>
      </c>
      <c r="AS166">
        <v>0.02</v>
      </c>
      <c r="AT166">
        <v>5.31</v>
      </c>
      <c r="AU166">
        <v>1.87</v>
      </c>
      <c r="AV166">
        <v>0.06</v>
      </c>
      <c r="AW166">
        <v>0.68</v>
      </c>
      <c r="AX166">
        <v>0</v>
      </c>
      <c r="AY166">
        <v>2.5</v>
      </c>
      <c r="AZ166">
        <v>52.707000000000001</v>
      </c>
      <c r="BA166">
        <v>0</v>
      </c>
      <c r="BB166">
        <v>0</v>
      </c>
      <c r="BC166">
        <v>0</v>
      </c>
      <c r="BD166">
        <v>0</v>
      </c>
    </row>
    <row r="167" spans="1:56" x14ac:dyDescent="0.25">
      <c r="A167" s="23">
        <v>46304</v>
      </c>
      <c r="B167">
        <v>166</v>
      </c>
      <c r="C167" t="s">
        <v>82</v>
      </c>
      <c r="D167" t="s">
        <v>83</v>
      </c>
      <c r="E167">
        <v>2</v>
      </c>
      <c r="F167">
        <v>184</v>
      </c>
      <c r="G167">
        <v>0</v>
      </c>
      <c r="H167" t="s">
        <v>84</v>
      </c>
      <c r="I167" t="s">
        <v>78</v>
      </c>
      <c r="J167" t="s">
        <v>85</v>
      </c>
      <c r="K167" t="s">
        <v>86</v>
      </c>
      <c r="L167" t="s">
        <v>71</v>
      </c>
      <c r="M167" t="s">
        <v>87</v>
      </c>
      <c r="O167" t="s">
        <v>88</v>
      </c>
      <c r="P167" t="s">
        <v>27</v>
      </c>
      <c r="Q167" t="s">
        <v>73</v>
      </c>
      <c r="R167" t="s">
        <v>76</v>
      </c>
      <c r="S167" t="s">
        <v>74</v>
      </c>
      <c r="T167" t="s">
        <v>75</v>
      </c>
      <c r="X167" t="s">
        <v>77</v>
      </c>
      <c r="Z167" t="s">
        <v>72</v>
      </c>
      <c r="AA167" t="s">
        <v>93</v>
      </c>
      <c r="AB167">
        <v>5</v>
      </c>
      <c r="AC167">
        <v>748768.98</v>
      </c>
      <c r="AD167">
        <v>8930529.8399999999</v>
      </c>
      <c r="AE167">
        <v>190.77</v>
      </c>
      <c r="AF167">
        <v>748768.98</v>
      </c>
      <c r="AG167">
        <v>8930529.8399999999</v>
      </c>
      <c r="AH167">
        <v>184.4</v>
      </c>
      <c r="AI167">
        <v>6.37</v>
      </c>
      <c r="AJ167">
        <v>0.6</v>
      </c>
      <c r="AK167">
        <v>2.97</v>
      </c>
      <c r="AL167">
        <v>2.58</v>
      </c>
      <c r="AM167">
        <v>0</v>
      </c>
      <c r="AN167">
        <v>0</v>
      </c>
      <c r="AO167">
        <v>358</v>
      </c>
      <c r="AP167">
        <v>3.18</v>
      </c>
      <c r="AQ167">
        <v>0.24</v>
      </c>
      <c r="AR167">
        <v>0.03</v>
      </c>
      <c r="AS167">
        <v>0.03</v>
      </c>
      <c r="AT167">
        <v>7.75</v>
      </c>
      <c r="AU167">
        <v>3.38</v>
      </c>
      <c r="AV167">
        <v>0.03</v>
      </c>
      <c r="AW167">
        <v>0.49</v>
      </c>
      <c r="AX167">
        <v>0</v>
      </c>
      <c r="AY167">
        <v>2.5</v>
      </c>
      <c r="AZ167">
        <v>56.347000000000001</v>
      </c>
      <c r="BA167">
        <v>0</v>
      </c>
      <c r="BB167">
        <v>0</v>
      </c>
      <c r="BC167">
        <v>0</v>
      </c>
      <c r="BD167">
        <v>0</v>
      </c>
    </row>
    <row r="168" spans="1:56" x14ac:dyDescent="0.25">
      <c r="A168" s="23">
        <v>46304</v>
      </c>
      <c r="B168">
        <v>167</v>
      </c>
      <c r="C168" t="s">
        <v>82</v>
      </c>
      <c r="D168" t="s">
        <v>83</v>
      </c>
      <c r="E168">
        <v>2</v>
      </c>
      <c r="F168">
        <v>184</v>
      </c>
      <c r="G168">
        <v>0</v>
      </c>
      <c r="H168" t="s">
        <v>84</v>
      </c>
      <c r="I168" t="s">
        <v>78</v>
      </c>
      <c r="J168" t="s">
        <v>85</v>
      </c>
      <c r="K168" t="s">
        <v>86</v>
      </c>
      <c r="L168" t="s">
        <v>71</v>
      </c>
      <c r="M168" t="s">
        <v>87</v>
      </c>
      <c r="O168" t="s">
        <v>88</v>
      </c>
      <c r="P168" t="s">
        <v>27</v>
      </c>
      <c r="Q168" t="s">
        <v>73</v>
      </c>
      <c r="R168" t="s">
        <v>76</v>
      </c>
      <c r="S168" t="s">
        <v>74</v>
      </c>
      <c r="T168" t="s">
        <v>75</v>
      </c>
      <c r="X168" t="s">
        <v>77</v>
      </c>
      <c r="Z168" t="s">
        <v>72</v>
      </c>
      <c r="AA168" t="s">
        <v>94</v>
      </c>
      <c r="AB168">
        <v>5</v>
      </c>
      <c r="AC168">
        <v>748771.86</v>
      </c>
      <c r="AD168">
        <v>8930530.5399999991</v>
      </c>
      <c r="AE168">
        <v>193.33</v>
      </c>
      <c r="AF168">
        <v>748771.86</v>
      </c>
      <c r="AG168">
        <v>8930530.5399999991</v>
      </c>
      <c r="AH168">
        <v>184.4</v>
      </c>
      <c r="AI168">
        <v>8.93</v>
      </c>
      <c r="AJ168">
        <v>0.6</v>
      </c>
      <c r="AK168">
        <v>2.97</v>
      </c>
      <c r="AL168">
        <v>2.58</v>
      </c>
      <c r="AM168">
        <v>0</v>
      </c>
      <c r="AN168">
        <v>0</v>
      </c>
      <c r="AO168">
        <v>358</v>
      </c>
      <c r="AP168">
        <v>3.23</v>
      </c>
      <c r="AQ168">
        <v>0.36</v>
      </c>
      <c r="AR168">
        <v>0.05</v>
      </c>
      <c r="AS168">
        <v>0.04</v>
      </c>
      <c r="AT168">
        <v>11.32</v>
      </c>
      <c r="AU168">
        <v>5.22</v>
      </c>
      <c r="AV168">
        <v>0.02</v>
      </c>
      <c r="AW168">
        <v>0.37</v>
      </c>
      <c r="AX168">
        <v>0</v>
      </c>
      <c r="AY168">
        <v>3.3</v>
      </c>
      <c r="AZ168">
        <v>81.972999999999999</v>
      </c>
      <c r="BA168">
        <v>0</v>
      </c>
      <c r="BB168">
        <v>0</v>
      </c>
      <c r="BC168">
        <v>0</v>
      </c>
      <c r="BD168">
        <v>0</v>
      </c>
    </row>
    <row r="169" spans="1:56" x14ac:dyDescent="0.25">
      <c r="A169" s="23">
        <v>46304</v>
      </c>
      <c r="B169">
        <v>168</v>
      </c>
      <c r="C169" t="s">
        <v>82</v>
      </c>
      <c r="D169" t="s">
        <v>83</v>
      </c>
      <c r="E169">
        <v>2</v>
      </c>
      <c r="F169">
        <v>184</v>
      </c>
      <c r="G169">
        <v>0</v>
      </c>
      <c r="H169" t="s">
        <v>84</v>
      </c>
      <c r="I169" t="s">
        <v>78</v>
      </c>
      <c r="J169" t="s">
        <v>85</v>
      </c>
      <c r="K169" t="s">
        <v>86</v>
      </c>
      <c r="L169" t="s">
        <v>71</v>
      </c>
      <c r="M169" t="s">
        <v>87</v>
      </c>
      <c r="O169" t="s">
        <v>88</v>
      </c>
      <c r="P169" t="s">
        <v>27</v>
      </c>
      <c r="Q169" t="s">
        <v>73</v>
      </c>
      <c r="R169" t="s">
        <v>76</v>
      </c>
      <c r="S169" t="s">
        <v>74</v>
      </c>
      <c r="T169" t="s">
        <v>75</v>
      </c>
      <c r="X169" t="s">
        <v>77</v>
      </c>
      <c r="Z169" t="s">
        <v>72</v>
      </c>
      <c r="AA169" t="s">
        <v>94</v>
      </c>
      <c r="AB169">
        <v>5</v>
      </c>
      <c r="AC169">
        <v>748774.75</v>
      </c>
      <c r="AD169">
        <v>8930531.2300000004</v>
      </c>
      <c r="AE169">
        <v>194.47</v>
      </c>
      <c r="AF169">
        <v>748774.75</v>
      </c>
      <c r="AG169">
        <v>8930531.2300000004</v>
      </c>
      <c r="AH169">
        <v>184.4</v>
      </c>
      <c r="AI169">
        <v>10.07</v>
      </c>
      <c r="AJ169">
        <v>0.6</v>
      </c>
      <c r="AK169">
        <v>2.97</v>
      </c>
      <c r="AL169">
        <v>2.58</v>
      </c>
      <c r="AM169">
        <v>0</v>
      </c>
      <c r="AN169">
        <v>0</v>
      </c>
      <c r="AO169">
        <v>358</v>
      </c>
      <c r="AP169">
        <v>3.25</v>
      </c>
      <c r="AQ169">
        <v>0.4</v>
      </c>
      <c r="AR169">
        <v>0.05</v>
      </c>
      <c r="AS169">
        <v>0.04</v>
      </c>
      <c r="AT169">
        <v>12.65</v>
      </c>
      <c r="AU169">
        <v>5.83</v>
      </c>
      <c r="AV169">
        <v>0.01</v>
      </c>
      <c r="AW169">
        <v>0.18</v>
      </c>
      <c r="AX169">
        <v>0</v>
      </c>
      <c r="AY169">
        <v>3.3</v>
      </c>
      <c r="AZ169">
        <v>98.570999999999998</v>
      </c>
      <c r="BA169">
        <v>0</v>
      </c>
      <c r="BB169">
        <v>0</v>
      </c>
      <c r="BC169">
        <v>0</v>
      </c>
      <c r="BD169">
        <v>0</v>
      </c>
    </row>
    <row r="170" spans="1:56" x14ac:dyDescent="0.25">
      <c r="A170" s="23">
        <v>46304</v>
      </c>
      <c r="B170">
        <v>169</v>
      </c>
      <c r="C170" t="s">
        <v>82</v>
      </c>
      <c r="D170" t="s">
        <v>83</v>
      </c>
      <c r="E170">
        <v>2</v>
      </c>
      <c r="F170">
        <v>184</v>
      </c>
      <c r="G170">
        <v>0</v>
      </c>
      <c r="H170" t="s">
        <v>84</v>
      </c>
      <c r="I170" t="s">
        <v>78</v>
      </c>
      <c r="J170" t="s">
        <v>85</v>
      </c>
      <c r="K170" t="s">
        <v>86</v>
      </c>
      <c r="L170" t="s">
        <v>71</v>
      </c>
      <c r="M170" t="s">
        <v>87</v>
      </c>
      <c r="O170" t="s">
        <v>88</v>
      </c>
      <c r="P170" t="s">
        <v>27</v>
      </c>
      <c r="Q170" t="s">
        <v>73</v>
      </c>
      <c r="R170" t="s">
        <v>76</v>
      </c>
      <c r="S170" t="s">
        <v>74</v>
      </c>
      <c r="T170" t="s">
        <v>75</v>
      </c>
      <c r="X170" t="s">
        <v>77</v>
      </c>
      <c r="Z170" t="s">
        <v>72</v>
      </c>
      <c r="AA170" t="s">
        <v>94</v>
      </c>
      <c r="AB170">
        <v>5</v>
      </c>
      <c r="AC170">
        <v>748777.65</v>
      </c>
      <c r="AD170">
        <v>8930531.8499999996</v>
      </c>
      <c r="AE170">
        <v>194.61</v>
      </c>
      <c r="AF170">
        <v>748777.65</v>
      </c>
      <c r="AG170">
        <v>8930531.8499999996</v>
      </c>
      <c r="AH170">
        <v>184.4</v>
      </c>
      <c r="AI170">
        <v>10.210000000000001</v>
      </c>
      <c r="AJ170">
        <v>0.6</v>
      </c>
      <c r="AK170">
        <v>2.97</v>
      </c>
      <c r="AL170">
        <v>2.58</v>
      </c>
      <c r="AM170">
        <v>0</v>
      </c>
      <c r="AN170">
        <v>0</v>
      </c>
      <c r="AO170">
        <v>358</v>
      </c>
      <c r="AP170">
        <v>3.25</v>
      </c>
      <c r="AQ170">
        <v>0.4</v>
      </c>
      <c r="AR170">
        <v>0.05</v>
      </c>
      <c r="AS170">
        <v>0.04</v>
      </c>
      <c r="AT170">
        <v>12.74</v>
      </c>
      <c r="AU170">
        <v>5.86</v>
      </c>
      <c r="AV170">
        <v>0</v>
      </c>
      <c r="AW170">
        <v>0.03</v>
      </c>
      <c r="AX170">
        <v>0</v>
      </c>
      <c r="AY170">
        <v>3.3</v>
      </c>
      <c r="AZ170">
        <v>100.61</v>
      </c>
      <c r="BA170">
        <v>0</v>
      </c>
      <c r="BB170">
        <v>0</v>
      </c>
      <c r="BC170">
        <v>0</v>
      </c>
      <c r="BD170">
        <v>0</v>
      </c>
    </row>
    <row r="171" spans="1:56" x14ac:dyDescent="0.25">
      <c r="A171" s="23">
        <v>46304</v>
      </c>
      <c r="B171">
        <v>170</v>
      </c>
      <c r="C171" t="s">
        <v>82</v>
      </c>
      <c r="D171" t="s">
        <v>83</v>
      </c>
      <c r="E171">
        <v>2</v>
      </c>
      <c r="F171">
        <v>184</v>
      </c>
      <c r="G171">
        <v>0</v>
      </c>
      <c r="H171" t="s">
        <v>84</v>
      </c>
      <c r="I171" t="s">
        <v>78</v>
      </c>
      <c r="J171" t="s">
        <v>85</v>
      </c>
      <c r="K171" t="s">
        <v>86</v>
      </c>
      <c r="L171" t="s">
        <v>71</v>
      </c>
      <c r="M171" t="s">
        <v>87</v>
      </c>
      <c r="O171" t="s">
        <v>88</v>
      </c>
      <c r="P171" t="s">
        <v>27</v>
      </c>
      <c r="Q171" t="s">
        <v>73</v>
      </c>
      <c r="R171" t="s">
        <v>76</v>
      </c>
      <c r="S171" t="s">
        <v>74</v>
      </c>
      <c r="T171" t="s">
        <v>75</v>
      </c>
      <c r="X171" t="s">
        <v>77</v>
      </c>
      <c r="Z171" t="s">
        <v>72</v>
      </c>
      <c r="AA171" t="s">
        <v>94</v>
      </c>
      <c r="AB171">
        <v>5</v>
      </c>
      <c r="AC171">
        <v>748780.55</v>
      </c>
      <c r="AD171">
        <v>8930532.5</v>
      </c>
      <c r="AE171">
        <v>194.62</v>
      </c>
      <c r="AF171">
        <v>748780.55</v>
      </c>
      <c r="AG171">
        <v>8930532.5</v>
      </c>
      <c r="AH171">
        <v>184.4</v>
      </c>
      <c r="AI171">
        <v>10.220000000000001</v>
      </c>
      <c r="AJ171">
        <v>0.6</v>
      </c>
      <c r="AK171">
        <v>2.97</v>
      </c>
      <c r="AL171">
        <v>2.58</v>
      </c>
      <c r="AM171">
        <v>0</v>
      </c>
      <c r="AN171">
        <v>0</v>
      </c>
      <c r="AO171">
        <v>358</v>
      </c>
      <c r="AP171">
        <v>3.26</v>
      </c>
      <c r="AQ171">
        <v>0.41</v>
      </c>
      <c r="AR171">
        <v>0.06</v>
      </c>
      <c r="AS171">
        <v>0.04</v>
      </c>
      <c r="AT171">
        <v>12.85</v>
      </c>
      <c r="AU171">
        <v>5.92</v>
      </c>
      <c r="AV171">
        <v>0</v>
      </c>
      <c r="AW171">
        <v>0</v>
      </c>
      <c r="AX171">
        <v>0</v>
      </c>
      <c r="AY171">
        <v>3.3</v>
      </c>
      <c r="AZ171">
        <v>100.755</v>
      </c>
      <c r="BA171">
        <v>0</v>
      </c>
      <c r="BB171">
        <v>0</v>
      </c>
      <c r="BC171">
        <v>0</v>
      </c>
      <c r="BD171">
        <v>0</v>
      </c>
    </row>
    <row r="172" spans="1:56" x14ac:dyDescent="0.25">
      <c r="A172" s="23">
        <v>46304</v>
      </c>
      <c r="B172">
        <v>171</v>
      </c>
      <c r="C172" t="s">
        <v>82</v>
      </c>
      <c r="D172" t="s">
        <v>83</v>
      </c>
      <c r="E172">
        <v>2</v>
      </c>
      <c r="F172">
        <v>184</v>
      </c>
      <c r="G172">
        <v>1</v>
      </c>
      <c r="H172" t="s">
        <v>95</v>
      </c>
      <c r="I172" t="s">
        <v>78</v>
      </c>
      <c r="J172" t="s">
        <v>85</v>
      </c>
      <c r="K172" t="s">
        <v>86</v>
      </c>
      <c r="L172" t="s">
        <v>71</v>
      </c>
      <c r="M172" t="s">
        <v>87</v>
      </c>
      <c r="O172" t="s">
        <v>88</v>
      </c>
      <c r="P172" t="s">
        <v>27</v>
      </c>
      <c r="Q172" t="s">
        <v>73</v>
      </c>
      <c r="R172" t="s">
        <v>76</v>
      </c>
      <c r="S172" t="s">
        <v>74</v>
      </c>
      <c r="T172" t="s">
        <v>75</v>
      </c>
      <c r="X172" t="s">
        <v>77</v>
      </c>
      <c r="Z172" t="s">
        <v>72</v>
      </c>
      <c r="AA172" t="s">
        <v>94</v>
      </c>
      <c r="AB172">
        <v>5</v>
      </c>
      <c r="AC172">
        <v>748783.45</v>
      </c>
      <c r="AD172">
        <v>8930533.1699999999</v>
      </c>
      <c r="AE172">
        <v>194.75</v>
      </c>
      <c r="AF172">
        <v>748783.45</v>
      </c>
      <c r="AG172">
        <v>8930533.1699999999</v>
      </c>
      <c r="AH172">
        <v>184.4</v>
      </c>
      <c r="AI172">
        <v>10.35</v>
      </c>
      <c r="AJ172">
        <v>0.6</v>
      </c>
      <c r="AK172">
        <v>2.97</v>
      </c>
      <c r="AL172">
        <v>2.58</v>
      </c>
      <c r="AM172">
        <v>0</v>
      </c>
      <c r="AN172">
        <v>0</v>
      </c>
      <c r="AO172">
        <v>358</v>
      </c>
      <c r="AP172">
        <v>3.26</v>
      </c>
      <c r="AQ172">
        <v>0.41</v>
      </c>
      <c r="AR172">
        <v>0.06</v>
      </c>
      <c r="AS172">
        <v>0.05</v>
      </c>
      <c r="AT172">
        <v>13.4</v>
      </c>
      <c r="AU172">
        <v>5.94</v>
      </c>
      <c r="AV172">
        <v>0.03</v>
      </c>
      <c r="AW172">
        <v>0.17</v>
      </c>
      <c r="AX172">
        <v>0</v>
      </c>
      <c r="AY172">
        <v>3.3</v>
      </c>
      <c r="AZ172">
        <v>102.648</v>
      </c>
      <c r="BA172">
        <v>0</v>
      </c>
      <c r="BB172">
        <v>0</v>
      </c>
      <c r="BC172">
        <v>0</v>
      </c>
      <c r="BD172">
        <v>0</v>
      </c>
    </row>
    <row r="173" spans="1:56" x14ac:dyDescent="0.25">
      <c r="A173" s="23">
        <v>46304</v>
      </c>
      <c r="B173">
        <v>172</v>
      </c>
      <c r="C173" t="s">
        <v>82</v>
      </c>
      <c r="D173" t="s">
        <v>83</v>
      </c>
      <c r="E173">
        <v>2</v>
      </c>
      <c r="F173">
        <v>184</v>
      </c>
      <c r="G173">
        <v>1</v>
      </c>
      <c r="H173" t="s">
        <v>95</v>
      </c>
      <c r="I173" t="s">
        <v>78</v>
      </c>
      <c r="J173" t="s">
        <v>85</v>
      </c>
      <c r="K173" t="s">
        <v>86</v>
      </c>
      <c r="L173" t="s">
        <v>71</v>
      </c>
      <c r="M173" t="s">
        <v>87</v>
      </c>
      <c r="O173" t="s">
        <v>88</v>
      </c>
      <c r="P173" t="s">
        <v>27</v>
      </c>
      <c r="Q173" t="s">
        <v>73</v>
      </c>
      <c r="R173" t="s">
        <v>76</v>
      </c>
      <c r="S173" t="s">
        <v>74</v>
      </c>
      <c r="T173" t="s">
        <v>75</v>
      </c>
      <c r="X173" t="s">
        <v>77</v>
      </c>
      <c r="Z173" t="s">
        <v>72</v>
      </c>
      <c r="AA173" t="s">
        <v>94</v>
      </c>
      <c r="AB173">
        <v>5</v>
      </c>
      <c r="AC173">
        <v>748786.34</v>
      </c>
      <c r="AD173">
        <v>8930533.8399999999</v>
      </c>
      <c r="AE173">
        <v>194.62</v>
      </c>
      <c r="AF173">
        <v>748786.34</v>
      </c>
      <c r="AG173">
        <v>8930533.8399999999</v>
      </c>
      <c r="AH173">
        <v>184.4</v>
      </c>
      <c r="AI173">
        <v>10.220000000000001</v>
      </c>
      <c r="AJ173">
        <v>0.6</v>
      </c>
      <c r="AK173">
        <v>2.97</v>
      </c>
      <c r="AL173">
        <v>2.58</v>
      </c>
      <c r="AM173">
        <v>0</v>
      </c>
      <c r="AN173">
        <v>0</v>
      </c>
      <c r="AO173">
        <v>358</v>
      </c>
      <c r="AP173">
        <v>3.27</v>
      </c>
      <c r="AQ173">
        <v>0.41</v>
      </c>
      <c r="AR173">
        <v>0.06</v>
      </c>
      <c r="AS173">
        <v>0.05</v>
      </c>
      <c r="AT173">
        <v>14.33</v>
      </c>
      <c r="AU173">
        <v>5.94</v>
      </c>
      <c r="AV173">
        <v>0.08</v>
      </c>
      <c r="AW173">
        <v>0.47</v>
      </c>
      <c r="AX173">
        <v>0</v>
      </c>
      <c r="AY173">
        <v>3.3</v>
      </c>
      <c r="AZ173">
        <v>100.755</v>
      </c>
      <c r="BA173">
        <v>0</v>
      </c>
      <c r="BB173">
        <v>0</v>
      </c>
      <c r="BC173">
        <v>0</v>
      </c>
      <c r="BD173">
        <v>0</v>
      </c>
    </row>
    <row r="174" spans="1:56" x14ac:dyDescent="0.25">
      <c r="A174" s="23">
        <v>46304</v>
      </c>
      <c r="B174">
        <v>173</v>
      </c>
      <c r="C174" t="s">
        <v>82</v>
      </c>
      <c r="D174" t="s">
        <v>83</v>
      </c>
      <c r="E174">
        <v>2</v>
      </c>
      <c r="F174">
        <v>184</v>
      </c>
      <c r="G174">
        <v>1</v>
      </c>
      <c r="H174" t="s">
        <v>95</v>
      </c>
      <c r="I174" t="s">
        <v>78</v>
      </c>
      <c r="J174" t="s">
        <v>85</v>
      </c>
      <c r="K174" t="s">
        <v>86</v>
      </c>
      <c r="L174" t="s">
        <v>71</v>
      </c>
      <c r="M174" t="s">
        <v>87</v>
      </c>
      <c r="O174" t="s">
        <v>88</v>
      </c>
      <c r="P174" t="s">
        <v>27</v>
      </c>
      <c r="Q174" t="s">
        <v>73</v>
      </c>
      <c r="R174" t="s">
        <v>76</v>
      </c>
      <c r="S174" t="s">
        <v>74</v>
      </c>
      <c r="T174" t="s">
        <v>75</v>
      </c>
      <c r="X174" t="s">
        <v>77</v>
      </c>
      <c r="Z174" t="s">
        <v>72</v>
      </c>
      <c r="AA174" t="s">
        <v>94</v>
      </c>
      <c r="AB174">
        <v>5</v>
      </c>
      <c r="AC174">
        <v>748789.23</v>
      </c>
      <c r="AD174">
        <v>8930534.5099999998</v>
      </c>
      <c r="AE174">
        <v>194.61</v>
      </c>
      <c r="AF174">
        <v>748789.23</v>
      </c>
      <c r="AG174">
        <v>8930534.5099999998</v>
      </c>
      <c r="AH174">
        <v>184.4</v>
      </c>
      <c r="AI174">
        <v>10.210000000000001</v>
      </c>
      <c r="AJ174">
        <v>0.6</v>
      </c>
      <c r="AK174">
        <v>2.97</v>
      </c>
      <c r="AL174">
        <v>2.58</v>
      </c>
      <c r="AM174">
        <v>0</v>
      </c>
      <c r="AN174">
        <v>0</v>
      </c>
      <c r="AO174">
        <v>358</v>
      </c>
      <c r="AP174">
        <v>3.28</v>
      </c>
      <c r="AQ174">
        <v>0.42</v>
      </c>
      <c r="AR174">
        <v>0.06</v>
      </c>
      <c r="AS174">
        <v>0.06</v>
      </c>
      <c r="AT174">
        <v>15.34</v>
      </c>
      <c r="AU174">
        <v>5.85</v>
      </c>
      <c r="AV174">
        <v>0.14000000000000001</v>
      </c>
      <c r="AW174">
        <v>0.77</v>
      </c>
      <c r="AX174">
        <v>0</v>
      </c>
      <c r="AY174">
        <v>3.3</v>
      </c>
      <c r="AZ174">
        <v>100.61</v>
      </c>
      <c r="BA174">
        <v>0</v>
      </c>
      <c r="BB174">
        <v>0</v>
      </c>
      <c r="BC174">
        <v>0</v>
      </c>
      <c r="BD174">
        <v>0</v>
      </c>
    </row>
    <row r="175" spans="1:56" x14ac:dyDescent="0.25">
      <c r="A175" s="23">
        <v>46304</v>
      </c>
      <c r="B175">
        <v>174</v>
      </c>
      <c r="C175" t="s">
        <v>82</v>
      </c>
      <c r="D175" t="s">
        <v>83</v>
      </c>
      <c r="E175">
        <v>2</v>
      </c>
      <c r="F175">
        <v>184</v>
      </c>
      <c r="G175">
        <v>1</v>
      </c>
      <c r="H175" t="s">
        <v>95</v>
      </c>
      <c r="I175" t="s">
        <v>78</v>
      </c>
      <c r="J175" t="s">
        <v>85</v>
      </c>
      <c r="K175" t="s">
        <v>86</v>
      </c>
      <c r="L175" t="s">
        <v>71</v>
      </c>
      <c r="M175" t="s">
        <v>87</v>
      </c>
      <c r="O175" t="s">
        <v>88</v>
      </c>
      <c r="P175" t="s">
        <v>27</v>
      </c>
      <c r="Q175" t="s">
        <v>73</v>
      </c>
      <c r="R175" t="s">
        <v>76</v>
      </c>
      <c r="S175" t="s">
        <v>74</v>
      </c>
      <c r="T175" t="s">
        <v>75</v>
      </c>
      <c r="X175" t="s">
        <v>77</v>
      </c>
      <c r="Z175" t="s">
        <v>72</v>
      </c>
      <c r="AA175" t="s">
        <v>94</v>
      </c>
      <c r="AB175">
        <v>5</v>
      </c>
      <c r="AC175">
        <v>748792.13</v>
      </c>
      <c r="AD175">
        <v>8930535.1400000006</v>
      </c>
      <c r="AE175">
        <v>194.65</v>
      </c>
      <c r="AF175">
        <v>748792.13</v>
      </c>
      <c r="AG175">
        <v>8930535.1400000006</v>
      </c>
      <c r="AH175">
        <v>184.4</v>
      </c>
      <c r="AI175">
        <v>10.25</v>
      </c>
      <c r="AJ175">
        <v>0.6</v>
      </c>
      <c r="AK175">
        <v>2.97</v>
      </c>
      <c r="AL175">
        <v>2.58</v>
      </c>
      <c r="AM175">
        <v>0</v>
      </c>
      <c r="AN175">
        <v>0</v>
      </c>
      <c r="AO175">
        <v>358</v>
      </c>
      <c r="AP175">
        <v>3.29</v>
      </c>
      <c r="AQ175">
        <v>0.42</v>
      </c>
      <c r="AR175">
        <v>0.06</v>
      </c>
      <c r="AS175">
        <v>0.06</v>
      </c>
      <c r="AT175">
        <v>16.260000000000002</v>
      </c>
      <c r="AU175">
        <v>5.65</v>
      </c>
      <c r="AV175">
        <v>0.2</v>
      </c>
      <c r="AW175">
        <v>1</v>
      </c>
      <c r="AX175">
        <v>0</v>
      </c>
      <c r="AY175">
        <v>3.3</v>
      </c>
      <c r="AZ175">
        <v>101.19199999999999</v>
      </c>
      <c r="BA175">
        <v>0</v>
      </c>
      <c r="BB175">
        <v>0</v>
      </c>
      <c r="BC175">
        <v>0</v>
      </c>
      <c r="BD175">
        <v>0</v>
      </c>
    </row>
    <row r="176" spans="1:56" x14ac:dyDescent="0.25">
      <c r="A176" s="23">
        <v>46304</v>
      </c>
      <c r="B176">
        <v>175</v>
      </c>
      <c r="C176" t="s">
        <v>82</v>
      </c>
      <c r="D176" t="s">
        <v>83</v>
      </c>
      <c r="E176">
        <v>2</v>
      </c>
      <c r="F176">
        <v>184</v>
      </c>
      <c r="G176">
        <v>1</v>
      </c>
      <c r="H176" t="s">
        <v>95</v>
      </c>
      <c r="I176" t="s">
        <v>28</v>
      </c>
      <c r="J176" t="s">
        <v>85</v>
      </c>
      <c r="K176" t="s">
        <v>86</v>
      </c>
      <c r="L176" t="s">
        <v>71</v>
      </c>
      <c r="M176" t="s">
        <v>87</v>
      </c>
      <c r="O176" t="s">
        <v>88</v>
      </c>
      <c r="P176" t="s">
        <v>27</v>
      </c>
      <c r="Q176" t="s">
        <v>73</v>
      </c>
      <c r="R176" t="s">
        <v>76</v>
      </c>
      <c r="S176" t="s">
        <v>74</v>
      </c>
      <c r="T176" t="s">
        <v>75</v>
      </c>
      <c r="X176" t="s">
        <v>77</v>
      </c>
      <c r="Z176" t="s">
        <v>72</v>
      </c>
      <c r="AA176" t="s">
        <v>94</v>
      </c>
      <c r="AB176">
        <v>5</v>
      </c>
      <c r="AC176">
        <v>748795.05</v>
      </c>
      <c r="AD176">
        <v>8930535.7100000009</v>
      </c>
      <c r="AE176">
        <v>194.64</v>
      </c>
      <c r="AF176">
        <v>748795.05</v>
      </c>
      <c r="AG176">
        <v>8930535.7100000009</v>
      </c>
      <c r="AH176">
        <v>184.4</v>
      </c>
      <c r="AI176">
        <v>10.24</v>
      </c>
      <c r="AJ176">
        <v>0.6</v>
      </c>
      <c r="AK176">
        <v>2.97</v>
      </c>
      <c r="AL176">
        <v>2.58</v>
      </c>
      <c r="AM176">
        <v>0</v>
      </c>
      <c r="AN176">
        <v>0</v>
      </c>
      <c r="AO176">
        <v>358</v>
      </c>
      <c r="AP176">
        <v>3.28</v>
      </c>
      <c r="AQ176">
        <v>0.42</v>
      </c>
      <c r="AR176">
        <v>0.06</v>
      </c>
      <c r="AS176">
        <v>0.06</v>
      </c>
      <c r="AT176">
        <v>16.899999999999999</v>
      </c>
      <c r="AU176">
        <v>5.57</v>
      </c>
      <c r="AV176">
        <v>0.25</v>
      </c>
      <c r="AW176">
        <v>1.26</v>
      </c>
      <c r="AX176">
        <v>0</v>
      </c>
      <c r="AY176">
        <v>3.3</v>
      </c>
      <c r="AZ176">
        <v>101.04600000000001</v>
      </c>
      <c r="BA176">
        <v>0</v>
      </c>
      <c r="BB176">
        <v>0</v>
      </c>
      <c r="BC176">
        <v>0</v>
      </c>
      <c r="BD176">
        <v>0</v>
      </c>
    </row>
    <row r="177" spans="1:56" x14ac:dyDescent="0.25">
      <c r="A177" s="23">
        <v>46304</v>
      </c>
      <c r="B177">
        <v>176</v>
      </c>
      <c r="C177" t="s">
        <v>82</v>
      </c>
      <c r="D177" t="s">
        <v>83</v>
      </c>
      <c r="E177">
        <v>2</v>
      </c>
      <c r="F177">
        <v>184</v>
      </c>
      <c r="G177">
        <v>1</v>
      </c>
      <c r="H177" t="s">
        <v>96</v>
      </c>
      <c r="I177" t="s">
        <v>28</v>
      </c>
      <c r="J177" t="s">
        <v>85</v>
      </c>
      <c r="K177" t="s">
        <v>86</v>
      </c>
      <c r="L177" t="s">
        <v>71</v>
      </c>
      <c r="M177" t="s">
        <v>87</v>
      </c>
      <c r="O177" t="s">
        <v>88</v>
      </c>
      <c r="P177" t="s">
        <v>27</v>
      </c>
      <c r="Q177" t="s">
        <v>73</v>
      </c>
      <c r="R177" t="s">
        <v>76</v>
      </c>
      <c r="S177" t="s">
        <v>74</v>
      </c>
      <c r="T177" t="s">
        <v>75</v>
      </c>
      <c r="X177" t="s">
        <v>77</v>
      </c>
      <c r="Z177" t="s">
        <v>72</v>
      </c>
      <c r="AA177" t="s">
        <v>94</v>
      </c>
      <c r="AB177">
        <v>5</v>
      </c>
      <c r="AC177">
        <v>748797.97</v>
      </c>
      <c r="AD177">
        <v>8930536.2699999996</v>
      </c>
      <c r="AE177">
        <v>194.62</v>
      </c>
      <c r="AF177">
        <v>748797.97</v>
      </c>
      <c r="AG177">
        <v>8930536.2699999996</v>
      </c>
      <c r="AH177">
        <v>184.4</v>
      </c>
      <c r="AI177">
        <v>10.220000000000001</v>
      </c>
      <c r="AJ177">
        <v>0.6</v>
      </c>
      <c r="AK177">
        <v>2.97</v>
      </c>
      <c r="AL177">
        <v>2.58</v>
      </c>
      <c r="AM177">
        <v>0</v>
      </c>
      <c r="AN177">
        <v>0</v>
      </c>
      <c r="AO177">
        <v>358</v>
      </c>
      <c r="AP177">
        <v>3.27</v>
      </c>
      <c r="AQ177">
        <v>0.41</v>
      </c>
      <c r="AR177">
        <v>0.06</v>
      </c>
      <c r="AS177">
        <v>0.06</v>
      </c>
      <c r="AT177">
        <v>17.3</v>
      </c>
      <c r="AU177">
        <v>5.52</v>
      </c>
      <c r="AV177">
        <v>0.28000000000000003</v>
      </c>
      <c r="AW177">
        <v>1.43</v>
      </c>
      <c r="AX177">
        <v>0.01</v>
      </c>
      <c r="AY177">
        <v>3.3</v>
      </c>
      <c r="AZ177">
        <v>100.755</v>
      </c>
      <c r="BA177">
        <v>0</v>
      </c>
      <c r="BB177">
        <v>0</v>
      </c>
      <c r="BC177">
        <v>0</v>
      </c>
      <c r="BD177">
        <v>0</v>
      </c>
    </row>
    <row r="178" spans="1:56" x14ac:dyDescent="0.25">
      <c r="A178" s="23">
        <v>46304</v>
      </c>
      <c r="B178">
        <v>177</v>
      </c>
      <c r="C178" t="s">
        <v>82</v>
      </c>
      <c r="D178" t="s">
        <v>83</v>
      </c>
      <c r="E178">
        <v>2</v>
      </c>
      <c r="F178">
        <v>184</v>
      </c>
      <c r="G178">
        <v>1</v>
      </c>
      <c r="H178" t="s">
        <v>96</v>
      </c>
      <c r="I178" t="s">
        <v>28</v>
      </c>
      <c r="J178" t="s">
        <v>85</v>
      </c>
      <c r="K178" t="s">
        <v>86</v>
      </c>
      <c r="L178" t="s">
        <v>71</v>
      </c>
      <c r="M178" t="s">
        <v>87</v>
      </c>
      <c r="O178" t="s">
        <v>88</v>
      </c>
      <c r="P178" t="s">
        <v>27</v>
      </c>
      <c r="Q178" t="s">
        <v>73</v>
      </c>
      <c r="R178" t="s">
        <v>76</v>
      </c>
      <c r="S178" t="s">
        <v>74</v>
      </c>
      <c r="T178" t="s">
        <v>75</v>
      </c>
      <c r="X178" t="s">
        <v>77</v>
      </c>
      <c r="Z178" t="s">
        <v>72</v>
      </c>
      <c r="AA178" t="s">
        <v>94</v>
      </c>
      <c r="AB178">
        <v>5</v>
      </c>
      <c r="AC178">
        <v>748800.88</v>
      </c>
      <c r="AD178">
        <v>8930536.8300000001</v>
      </c>
      <c r="AE178">
        <v>194.77</v>
      </c>
      <c r="AF178">
        <v>748800.88</v>
      </c>
      <c r="AG178">
        <v>8930536.8300000001</v>
      </c>
      <c r="AH178">
        <v>184.4</v>
      </c>
      <c r="AI178">
        <v>10.37</v>
      </c>
      <c r="AJ178">
        <v>0.6</v>
      </c>
      <c r="AK178">
        <v>2.97</v>
      </c>
      <c r="AL178">
        <v>2.58</v>
      </c>
      <c r="AM178">
        <v>0</v>
      </c>
      <c r="AN178">
        <v>0</v>
      </c>
      <c r="AO178">
        <v>358</v>
      </c>
      <c r="AP178">
        <v>3.29</v>
      </c>
      <c r="AQ178">
        <v>0.4</v>
      </c>
      <c r="AR178">
        <v>0.05</v>
      </c>
      <c r="AS178">
        <v>0.06</v>
      </c>
      <c r="AT178">
        <v>17.25</v>
      </c>
      <c r="AU178">
        <v>5.49</v>
      </c>
      <c r="AV178">
        <v>0.31</v>
      </c>
      <c r="AW178">
        <v>1.28</v>
      </c>
      <c r="AX178">
        <v>3.14</v>
      </c>
      <c r="AY178">
        <v>3.3</v>
      </c>
      <c r="AZ178">
        <v>102.93899999999999</v>
      </c>
      <c r="BA178">
        <v>0</v>
      </c>
      <c r="BB178">
        <v>0</v>
      </c>
      <c r="BC178">
        <v>0</v>
      </c>
      <c r="BD178">
        <v>0</v>
      </c>
    </row>
    <row r="179" spans="1:56" x14ac:dyDescent="0.25">
      <c r="A179" s="23">
        <v>46304</v>
      </c>
      <c r="B179">
        <v>178</v>
      </c>
      <c r="C179" t="s">
        <v>82</v>
      </c>
      <c r="D179" t="s">
        <v>83</v>
      </c>
      <c r="E179">
        <v>2</v>
      </c>
      <c r="F179">
        <v>185</v>
      </c>
      <c r="G179">
        <v>1</v>
      </c>
      <c r="H179" t="s">
        <v>96</v>
      </c>
      <c r="I179" t="s">
        <v>28</v>
      </c>
      <c r="J179" t="s">
        <v>85</v>
      </c>
      <c r="K179" t="s">
        <v>86</v>
      </c>
      <c r="L179" t="s">
        <v>71</v>
      </c>
      <c r="M179" t="s">
        <v>87</v>
      </c>
      <c r="O179" t="s">
        <v>88</v>
      </c>
      <c r="P179" t="s">
        <v>27</v>
      </c>
      <c r="Q179" t="s">
        <v>73</v>
      </c>
      <c r="R179" t="s">
        <v>76</v>
      </c>
      <c r="S179" t="s">
        <v>74</v>
      </c>
      <c r="T179" t="s">
        <v>75</v>
      </c>
      <c r="X179" t="s">
        <v>77</v>
      </c>
      <c r="Z179" t="s">
        <v>72</v>
      </c>
      <c r="AA179" t="s">
        <v>94</v>
      </c>
      <c r="AB179">
        <v>5</v>
      </c>
      <c r="AC179">
        <v>748802.9</v>
      </c>
      <c r="AD179">
        <v>8930535.2100000009</v>
      </c>
      <c r="AE179">
        <v>194.77</v>
      </c>
      <c r="AF179">
        <v>748802.9</v>
      </c>
      <c r="AG179">
        <v>8930535.2100000009</v>
      </c>
      <c r="AH179">
        <v>184.6</v>
      </c>
      <c r="AI179">
        <v>10.17</v>
      </c>
      <c r="AJ179">
        <v>0.6</v>
      </c>
      <c r="AK179">
        <v>2.97</v>
      </c>
      <c r="AL179">
        <v>2.58</v>
      </c>
      <c r="AM179">
        <v>0</v>
      </c>
      <c r="AN179">
        <v>0</v>
      </c>
      <c r="AO179">
        <v>358</v>
      </c>
      <c r="AP179">
        <v>3.3</v>
      </c>
      <c r="AQ179">
        <v>0.39</v>
      </c>
      <c r="AR179">
        <v>0.05</v>
      </c>
      <c r="AS179">
        <v>0.06</v>
      </c>
      <c r="AT179">
        <v>17.21</v>
      </c>
      <c r="AU179">
        <v>5.48</v>
      </c>
      <c r="AV179">
        <v>0.32</v>
      </c>
      <c r="AW179">
        <v>1.22</v>
      </c>
      <c r="AX179">
        <v>4.2</v>
      </c>
      <c r="AY179">
        <v>3.3</v>
      </c>
      <c r="AZ179">
        <v>100.027</v>
      </c>
      <c r="BA179">
        <v>0</v>
      </c>
      <c r="BB179">
        <v>0</v>
      </c>
      <c r="BC179">
        <v>0</v>
      </c>
      <c r="BD179">
        <v>0</v>
      </c>
    </row>
    <row r="180" spans="1:56" x14ac:dyDescent="0.25">
      <c r="A180" s="23">
        <v>46304</v>
      </c>
      <c r="B180">
        <v>179</v>
      </c>
      <c r="C180" t="s">
        <v>82</v>
      </c>
      <c r="D180" t="s">
        <v>83</v>
      </c>
      <c r="E180">
        <v>2</v>
      </c>
      <c r="F180">
        <v>185</v>
      </c>
      <c r="G180">
        <v>1</v>
      </c>
      <c r="H180" t="s">
        <v>96</v>
      </c>
      <c r="I180" t="s">
        <v>28</v>
      </c>
      <c r="J180" t="s">
        <v>85</v>
      </c>
      <c r="K180" t="s">
        <v>86</v>
      </c>
      <c r="L180" t="s">
        <v>71</v>
      </c>
      <c r="M180" t="s">
        <v>87</v>
      </c>
      <c r="O180" t="s">
        <v>88</v>
      </c>
      <c r="P180" t="s">
        <v>27</v>
      </c>
      <c r="Q180" t="s">
        <v>73</v>
      </c>
      <c r="R180" t="s">
        <v>76</v>
      </c>
      <c r="S180" t="s">
        <v>74</v>
      </c>
      <c r="T180" t="s">
        <v>75</v>
      </c>
      <c r="X180" t="s">
        <v>77</v>
      </c>
      <c r="Z180" t="s">
        <v>72</v>
      </c>
      <c r="AA180" t="s">
        <v>94</v>
      </c>
      <c r="AB180">
        <v>5</v>
      </c>
      <c r="AC180">
        <v>748799.87</v>
      </c>
      <c r="AD180">
        <v>8930534.3800000008</v>
      </c>
      <c r="AE180">
        <v>194.84</v>
      </c>
      <c r="AF180">
        <v>748799.87</v>
      </c>
      <c r="AG180">
        <v>8930534.3800000008</v>
      </c>
      <c r="AH180">
        <v>184.65</v>
      </c>
      <c r="AI180">
        <v>10.199999999999999</v>
      </c>
      <c r="AJ180">
        <v>0.6</v>
      </c>
      <c r="AK180">
        <v>2.97</v>
      </c>
      <c r="AL180">
        <v>2.58</v>
      </c>
      <c r="AM180">
        <v>0</v>
      </c>
      <c r="AN180">
        <v>0</v>
      </c>
      <c r="AO180">
        <v>358</v>
      </c>
      <c r="AP180">
        <v>3.28</v>
      </c>
      <c r="AQ180">
        <v>0.4</v>
      </c>
      <c r="AR180">
        <v>0.06</v>
      </c>
      <c r="AS180">
        <v>0.06</v>
      </c>
      <c r="AT180">
        <v>17.3</v>
      </c>
      <c r="AU180">
        <v>5.49</v>
      </c>
      <c r="AV180">
        <v>0.3</v>
      </c>
      <c r="AW180">
        <v>1.34</v>
      </c>
      <c r="AX180">
        <v>1.97</v>
      </c>
      <c r="AY180">
        <v>3.3</v>
      </c>
      <c r="AZ180">
        <v>100.464</v>
      </c>
      <c r="BA180">
        <v>0</v>
      </c>
      <c r="BB180">
        <v>0</v>
      </c>
      <c r="BC180">
        <v>0</v>
      </c>
      <c r="BD180">
        <v>0</v>
      </c>
    </row>
    <row r="181" spans="1:56" x14ac:dyDescent="0.25">
      <c r="A181" s="23">
        <v>46304</v>
      </c>
      <c r="B181">
        <v>180</v>
      </c>
      <c r="C181" t="s">
        <v>82</v>
      </c>
      <c r="D181" t="s">
        <v>83</v>
      </c>
      <c r="E181">
        <v>2</v>
      </c>
      <c r="F181">
        <v>185</v>
      </c>
      <c r="G181">
        <v>1</v>
      </c>
      <c r="H181" t="s">
        <v>96</v>
      </c>
      <c r="I181" t="s">
        <v>28</v>
      </c>
      <c r="J181" t="s">
        <v>85</v>
      </c>
      <c r="K181" t="s">
        <v>86</v>
      </c>
      <c r="L181" t="s">
        <v>71</v>
      </c>
      <c r="M181" t="s">
        <v>87</v>
      </c>
      <c r="O181" t="s">
        <v>88</v>
      </c>
      <c r="P181" t="s">
        <v>27</v>
      </c>
      <c r="Q181" t="s">
        <v>73</v>
      </c>
      <c r="R181" t="s">
        <v>76</v>
      </c>
      <c r="S181" t="s">
        <v>74</v>
      </c>
      <c r="T181" t="s">
        <v>75</v>
      </c>
      <c r="X181" t="s">
        <v>77</v>
      </c>
      <c r="Z181" t="s">
        <v>72</v>
      </c>
      <c r="AA181" t="s">
        <v>94</v>
      </c>
      <c r="AB181">
        <v>5</v>
      </c>
      <c r="AC181">
        <v>748797.36</v>
      </c>
      <c r="AD181">
        <v>8930533.5099999998</v>
      </c>
      <c r="AE181">
        <v>194.77</v>
      </c>
      <c r="AF181">
        <v>748797.36</v>
      </c>
      <c r="AG181">
        <v>8930533.5099999998</v>
      </c>
      <c r="AH181">
        <v>184.65</v>
      </c>
      <c r="AI181">
        <v>10.119999999999999</v>
      </c>
      <c r="AJ181">
        <v>0.6</v>
      </c>
      <c r="AK181">
        <v>2.97</v>
      </c>
      <c r="AL181">
        <v>2.58</v>
      </c>
      <c r="AM181">
        <v>0</v>
      </c>
      <c r="AN181">
        <v>0</v>
      </c>
      <c r="AO181">
        <v>358</v>
      </c>
      <c r="AP181">
        <v>3.27</v>
      </c>
      <c r="AQ181">
        <v>0.41</v>
      </c>
      <c r="AR181">
        <v>0.06</v>
      </c>
      <c r="AS181">
        <v>0.06</v>
      </c>
      <c r="AT181">
        <v>17.36</v>
      </c>
      <c r="AU181">
        <v>5.51</v>
      </c>
      <c r="AV181">
        <v>0.28000000000000003</v>
      </c>
      <c r="AW181">
        <v>1.44</v>
      </c>
      <c r="AX181">
        <v>0</v>
      </c>
      <c r="AY181">
        <v>3.3</v>
      </c>
      <c r="AZ181">
        <v>99.299000000000007</v>
      </c>
      <c r="BA181">
        <v>0</v>
      </c>
      <c r="BB181">
        <v>0</v>
      </c>
      <c r="BC181">
        <v>0</v>
      </c>
      <c r="BD181">
        <v>0</v>
      </c>
    </row>
    <row r="182" spans="1:56" x14ac:dyDescent="0.25">
      <c r="A182" s="23">
        <v>46304</v>
      </c>
      <c r="B182">
        <v>181</v>
      </c>
      <c r="C182" t="s">
        <v>82</v>
      </c>
      <c r="D182" t="s">
        <v>83</v>
      </c>
      <c r="E182">
        <v>2</v>
      </c>
      <c r="F182">
        <v>185</v>
      </c>
      <c r="G182">
        <v>1</v>
      </c>
      <c r="H182" t="s">
        <v>95</v>
      </c>
      <c r="I182" t="s">
        <v>91</v>
      </c>
      <c r="J182" t="s">
        <v>85</v>
      </c>
      <c r="K182" t="s">
        <v>86</v>
      </c>
      <c r="L182" t="s">
        <v>71</v>
      </c>
      <c r="M182" t="s">
        <v>87</v>
      </c>
      <c r="O182" t="s">
        <v>88</v>
      </c>
      <c r="P182" t="s">
        <v>27</v>
      </c>
      <c r="Q182" t="s">
        <v>73</v>
      </c>
      <c r="R182" t="s">
        <v>76</v>
      </c>
      <c r="S182" t="s">
        <v>74</v>
      </c>
      <c r="T182" t="s">
        <v>75</v>
      </c>
      <c r="X182" t="s">
        <v>77</v>
      </c>
      <c r="Z182" t="s">
        <v>72</v>
      </c>
      <c r="AA182" t="s">
        <v>94</v>
      </c>
      <c r="AB182">
        <v>5</v>
      </c>
      <c r="AC182">
        <v>748795.06</v>
      </c>
      <c r="AD182">
        <v>8930533.0800000001</v>
      </c>
      <c r="AE182">
        <v>194.83</v>
      </c>
      <c r="AF182">
        <v>748795.06</v>
      </c>
      <c r="AG182">
        <v>8930533.0800000001</v>
      </c>
      <c r="AH182">
        <v>184.61</v>
      </c>
      <c r="AI182">
        <v>10.220000000000001</v>
      </c>
      <c r="AJ182">
        <v>0.6</v>
      </c>
      <c r="AK182">
        <v>2.97</v>
      </c>
      <c r="AL182">
        <v>2.58</v>
      </c>
      <c r="AM182">
        <v>0</v>
      </c>
      <c r="AN182">
        <v>0</v>
      </c>
      <c r="AO182">
        <v>358</v>
      </c>
      <c r="AP182">
        <v>3.27</v>
      </c>
      <c r="AQ182">
        <v>0.41</v>
      </c>
      <c r="AR182">
        <v>0.06</v>
      </c>
      <c r="AS182">
        <v>0.06</v>
      </c>
      <c r="AT182">
        <v>17.16</v>
      </c>
      <c r="AU182">
        <v>5.54</v>
      </c>
      <c r="AV182">
        <v>0.27</v>
      </c>
      <c r="AW182">
        <v>1.36</v>
      </c>
      <c r="AX182">
        <v>0</v>
      </c>
      <c r="AY182">
        <v>3.3</v>
      </c>
      <c r="AZ182">
        <v>100.755</v>
      </c>
      <c r="BA182">
        <v>0</v>
      </c>
      <c r="BB182">
        <v>0</v>
      </c>
      <c r="BC182">
        <v>0</v>
      </c>
      <c r="BD182">
        <v>0</v>
      </c>
    </row>
    <row r="183" spans="1:56" x14ac:dyDescent="0.25">
      <c r="A183" s="23">
        <v>46304</v>
      </c>
      <c r="B183">
        <v>182</v>
      </c>
      <c r="C183" t="s">
        <v>82</v>
      </c>
      <c r="D183" t="s">
        <v>83</v>
      </c>
      <c r="E183">
        <v>2</v>
      </c>
      <c r="F183">
        <v>185</v>
      </c>
      <c r="G183">
        <v>1</v>
      </c>
      <c r="H183" t="s">
        <v>84</v>
      </c>
      <c r="I183" t="s">
        <v>91</v>
      </c>
      <c r="J183" t="s">
        <v>85</v>
      </c>
      <c r="K183" t="s">
        <v>86</v>
      </c>
      <c r="L183" t="s">
        <v>71</v>
      </c>
      <c r="M183" t="s">
        <v>87</v>
      </c>
      <c r="O183" t="s">
        <v>88</v>
      </c>
      <c r="P183" t="s">
        <v>27</v>
      </c>
      <c r="Q183" t="s">
        <v>73</v>
      </c>
      <c r="R183" t="s">
        <v>76</v>
      </c>
      <c r="S183" t="s">
        <v>74</v>
      </c>
      <c r="T183" t="s">
        <v>75</v>
      </c>
      <c r="X183" t="s">
        <v>77</v>
      </c>
      <c r="Z183" t="s">
        <v>72</v>
      </c>
      <c r="AA183" t="s">
        <v>94</v>
      </c>
      <c r="AB183">
        <v>5</v>
      </c>
      <c r="AC183">
        <v>748792.14</v>
      </c>
      <c r="AD183">
        <v>8930532.5199999996</v>
      </c>
      <c r="AE183">
        <v>194.86</v>
      </c>
      <c r="AF183">
        <v>748792.14</v>
      </c>
      <c r="AG183">
        <v>8930532.5199999996</v>
      </c>
      <c r="AH183">
        <v>184.59</v>
      </c>
      <c r="AI183">
        <v>10.28</v>
      </c>
      <c r="AJ183">
        <v>0.6</v>
      </c>
      <c r="AK183">
        <v>2.97</v>
      </c>
      <c r="AL183">
        <v>2.58</v>
      </c>
      <c r="AM183">
        <v>0</v>
      </c>
      <c r="AN183">
        <v>0</v>
      </c>
      <c r="AO183">
        <v>358</v>
      </c>
      <c r="AP183">
        <v>3.29</v>
      </c>
      <c r="AQ183">
        <v>0.42</v>
      </c>
      <c r="AR183">
        <v>0.06</v>
      </c>
      <c r="AS183">
        <v>0.06</v>
      </c>
      <c r="AT183">
        <v>16.46</v>
      </c>
      <c r="AU183">
        <v>5.62</v>
      </c>
      <c r="AV183">
        <v>0.22</v>
      </c>
      <c r="AW183">
        <v>1.07</v>
      </c>
      <c r="AX183">
        <v>0</v>
      </c>
      <c r="AY183">
        <v>3.3</v>
      </c>
      <c r="AZ183">
        <v>101.629</v>
      </c>
      <c r="BA183">
        <v>0</v>
      </c>
      <c r="BB183">
        <v>0</v>
      </c>
      <c r="BC183">
        <v>0</v>
      </c>
      <c r="BD183">
        <v>0</v>
      </c>
    </row>
    <row r="184" spans="1:56" x14ac:dyDescent="0.25">
      <c r="A184" s="23">
        <v>46304</v>
      </c>
      <c r="B184">
        <v>183</v>
      </c>
      <c r="C184" t="s">
        <v>82</v>
      </c>
      <c r="D184" t="s">
        <v>83</v>
      </c>
      <c r="E184">
        <v>2</v>
      </c>
      <c r="F184">
        <v>185</v>
      </c>
      <c r="G184">
        <v>1</v>
      </c>
      <c r="H184" t="s">
        <v>84</v>
      </c>
      <c r="I184" t="s">
        <v>78</v>
      </c>
      <c r="J184" t="s">
        <v>85</v>
      </c>
      <c r="K184" t="s">
        <v>86</v>
      </c>
      <c r="L184" t="s">
        <v>71</v>
      </c>
      <c r="M184" t="s">
        <v>87</v>
      </c>
      <c r="O184" t="s">
        <v>88</v>
      </c>
      <c r="P184" t="s">
        <v>27</v>
      </c>
      <c r="Q184" t="s">
        <v>73</v>
      </c>
      <c r="R184" t="s">
        <v>76</v>
      </c>
      <c r="S184" t="s">
        <v>74</v>
      </c>
      <c r="T184" t="s">
        <v>75</v>
      </c>
      <c r="X184" t="s">
        <v>77</v>
      </c>
      <c r="Z184" t="s">
        <v>72</v>
      </c>
      <c r="AA184" t="s">
        <v>94</v>
      </c>
      <c r="AB184">
        <v>5</v>
      </c>
      <c r="AC184">
        <v>748789.24</v>
      </c>
      <c r="AD184">
        <v>8930531.8599999994</v>
      </c>
      <c r="AE184">
        <v>194.72</v>
      </c>
      <c r="AF184">
        <v>748789.24</v>
      </c>
      <c r="AG184">
        <v>8930531.8599999994</v>
      </c>
      <c r="AH184">
        <v>184.61</v>
      </c>
      <c r="AI184">
        <v>10.119999999999999</v>
      </c>
      <c r="AJ184">
        <v>0.6</v>
      </c>
      <c r="AK184">
        <v>2.97</v>
      </c>
      <c r="AL184">
        <v>2.58</v>
      </c>
      <c r="AM184">
        <v>0</v>
      </c>
      <c r="AN184">
        <v>0</v>
      </c>
      <c r="AO184">
        <v>358</v>
      </c>
      <c r="AP184">
        <v>3.28</v>
      </c>
      <c r="AQ184">
        <v>0.42</v>
      </c>
      <c r="AR184">
        <v>0.06</v>
      </c>
      <c r="AS184">
        <v>0.06</v>
      </c>
      <c r="AT184">
        <v>15.41</v>
      </c>
      <c r="AU184">
        <v>5.86</v>
      </c>
      <c r="AV184">
        <v>0.15</v>
      </c>
      <c r="AW184">
        <v>0.8</v>
      </c>
      <c r="AX184">
        <v>0.09</v>
      </c>
      <c r="AY184">
        <v>3.3</v>
      </c>
      <c r="AZ184">
        <v>99.299000000000007</v>
      </c>
      <c r="BA184">
        <v>0</v>
      </c>
      <c r="BB184">
        <v>0</v>
      </c>
      <c r="BC184">
        <v>0</v>
      </c>
      <c r="BD184">
        <v>0</v>
      </c>
    </row>
    <row r="185" spans="1:56" x14ac:dyDescent="0.25">
      <c r="A185" s="23">
        <v>46304</v>
      </c>
      <c r="B185">
        <v>184</v>
      </c>
      <c r="C185" t="s">
        <v>82</v>
      </c>
      <c r="D185" t="s">
        <v>83</v>
      </c>
      <c r="E185">
        <v>2</v>
      </c>
      <c r="F185">
        <v>185</v>
      </c>
      <c r="G185">
        <v>1</v>
      </c>
      <c r="H185" t="s">
        <v>84</v>
      </c>
      <c r="I185" t="s">
        <v>78</v>
      </c>
      <c r="J185" t="s">
        <v>85</v>
      </c>
      <c r="K185" t="s">
        <v>86</v>
      </c>
      <c r="L185" t="s">
        <v>71</v>
      </c>
      <c r="M185" t="s">
        <v>87</v>
      </c>
      <c r="O185" t="s">
        <v>88</v>
      </c>
      <c r="P185" t="s">
        <v>27</v>
      </c>
      <c r="Q185" t="s">
        <v>73</v>
      </c>
      <c r="R185" t="s">
        <v>76</v>
      </c>
      <c r="S185" t="s">
        <v>74</v>
      </c>
      <c r="T185" t="s">
        <v>75</v>
      </c>
      <c r="X185" t="s">
        <v>77</v>
      </c>
      <c r="Z185" t="s">
        <v>72</v>
      </c>
      <c r="AA185" t="s">
        <v>94</v>
      </c>
      <c r="AB185">
        <v>5</v>
      </c>
      <c r="AC185">
        <v>748786.35</v>
      </c>
      <c r="AD185">
        <v>8930531.1899999995</v>
      </c>
      <c r="AE185">
        <v>194.73</v>
      </c>
      <c r="AF185">
        <v>748786.35</v>
      </c>
      <c r="AG185">
        <v>8930531.1899999995</v>
      </c>
      <c r="AH185">
        <v>184.63</v>
      </c>
      <c r="AI185">
        <v>10.1</v>
      </c>
      <c r="AJ185">
        <v>0.6</v>
      </c>
      <c r="AK185">
        <v>2.97</v>
      </c>
      <c r="AL185">
        <v>2.58</v>
      </c>
      <c r="AM185">
        <v>0</v>
      </c>
      <c r="AN185">
        <v>0</v>
      </c>
      <c r="AO185">
        <v>358</v>
      </c>
      <c r="AP185">
        <v>3.27</v>
      </c>
      <c r="AQ185">
        <v>0.42</v>
      </c>
      <c r="AR185">
        <v>0.06</v>
      </c>
      <c r="AS185">
        <v>0.05</v>
      </c>
      <c r="AT185">
        <v>14.24</v>
      </c>
      <c r="AU185">
        <v>5.99</v>
      </c>
      <c r="AV185">
        <v>0.09</v>
      </c>
      <c r="AW185">
        <v>0.56000000000000005</v>
      </c>
      <c r="AX185">
        <v>0.43</v>
      </c>
      <c r="AY185">
        <v>3.3</v>
      </c>
      <c r="AZ185">
        <v>99.007999999999996</v>
      </c>
      <c r="BA185">
        <v>0</v>
      </c>
      <c r="BB185">
        <v>0</v>
      </c>
      <c r="BC185">
        <v>0</v>
      </c>
      <c r="BD185">
        <v>0</v>
      </c>
    </row>
    <row r="186" spans="1:56" x14ac:dyDescent="0.25">
      <c r="A186" s="23">
        <v>46304</v>
      </c>
      <c r="B186">
        <v>185</v>
      </c>
      <c r="C186" t="s">
        <v>82</v>
      </c>
      <c r="D186" t="s">
        <v>83</v>
      </c>
      <c r="E186">
        <v>2</v>
      </c>
      <c r="F186">
        <v>185</v>
      </c>
      <c r="G186">
        <v>1</v>
      </c>
      <c r="H186" t="s">
        <v>84</v>
      </c>
      <c r="I186" t="s">
        <v>78</v>
      </c>
      <c r="J186" t="s">
        <v>85</v>
      </c>
      <c r="K186" t="s">
        <v>86</v>
      </c>
      <c r="L186" t="s">
        <v>71</v>
      </c>
      <c r="M186" t="s">
        <v>87</v>
      </c>
      <c r="O186" t="s">
        <v>88</v>
      </c>
      <c r="P186" t="s">
        <v>27</v>
      </c>
      <c r="Q186" t="s">
        <v>73</v>
      </c>
      <c r="R186" t="s">
        <v>76</v>
      </c>
      <c r="S186" t="s">
        <v>74</v>
      </c>
      <c r="T186" t="s">
        <v>75</v>
      </c>
      <c r="X186" t="s">
        <v>77</v>
      </c>
      <c r="Z186" t="s">
        <v>72</v>
      </c>
      <c r="AA186" t="s">
        <v>94</v>
      </c>
      <c r="AB186">
        <v>5</v>
      </c>
      <c r="AC186">
        <v>748782.76</v>
      </c>
      <c r="AD186">
        <v>8930530.4399999995</v>
      </c>
      <c r="AE186">
        <v>194.74</v>
      </c>
      <c r="AF186">
        <v>748782.76</v>
      </c>
      <c r="AG186">
        <v>8930530.4399999995</v>
      </c>
      <c r="AH186">
        <v>184.62</v>
      </c>
      <c r="AI186">
        <v>10.119999999999999</v>
      </c>
      <c r="AJ186">
        <v>0.6</v>
      </c>
      <c r="AK186">
        <v>2.97</v>
      </c>
      <c r="AL186">
        <v>2.58</v>
      </c>
      <c r="AM186">
        <v>0</v>
      </c>
      <c r="AN186">
        <v>0</v>
      </c>
      <c r="AO186">
        <v>358</v>
      </c>
      <c r="AP186">
        <v>3.26</v>
      </c>
      <c r="AQ186">
        <v>0.4</v>
      </c>
      <c r="AR186">
        <v>0.06</v>
      </c>
      <c r="AS186">
        <v>0.04</v>
      </c>
      <c r="AT186">
        <v>12.75</v>
      </c>
      <c r="AU186">
        <v>5.87</v>
      </c>
      <c r="AV186">
        <v>0.03</v>
      </c>
      <c r="AW186">
        <v>0.5</v>
      </c>
      <c r="AX186">
        <v>0.1</v>
      </c>
      <c r="AY186">
        <v>3.3</v>
      </c>
      <c r="AZ186">
        <v>99.299000000000007</v>
      </c>
      <c r="BA186">
        <v>0</v>
      </c>
      <c r="BB186">
        <v>0</v>
      </c>
      <c r="BC186">
        <v>0</v>
      </c>
      <c r="BD186">
        <v>0</v>
      </c>
    </row>
    <row r="187" spans="1:56" x14ac:dyDescent="0.25">
      <c r="A187" s="23">
        <v>46304</v>
      </c>
      <c r="B187">
        <v>186</v>
      </c>
      <c r="C187" t="s">
        <v>82</v>
      </c>
      <c r="D187" t="s">
        <v>83</v>
      </c>
      <c r="E187">
        <v>2</v>
      </c>
      <c r="F187">
        <v>185</v>
      </c>
      <c r="G187">
        <v>0</v>
      </c>
      <c r="H187" t="s">
        <v>84</v>
      </c>
      <c r="I187" t="s">
        <v>78</v>
      </c>
      <c r="J187" t="s">
        <v>85</v>
      </c>
      <c r="K187" t="s">
        <v>86</v>
      </c>
      <c r="L187" t="s">
        <v>71</v>
      </c>
      <c r="M187" t="s">
        <v>87</v>
      </c>
      <c r="O187" t="s">
        <v>88</v>
      </c>
      <c r="P187" t="s">
        <v>27</v>
      </c>
      <c r="Q187" t="s">
        <v>73</v>
      </c>
      <c r="R187" t="s">
        <v>76</v>
      </c>
      <c r="S187" t="s">
        <v>74</v>
      </c>
      <c r="T187" t="s">
        <v>75</v>
      </c>
      <c r="X187" t="s">
        <v>77</v>
      </c>
      <c r="Z187" t="s">
        <v>72</v>
      </c>
      <c r="AA187" t="s">
        <v>94</v>
      </c>
      <c r="AB187">
        <v>5</v>
      </c>
      <c r="AC187">
        <v>748779.7</v>
      </c>
      <c r="AD187">
        <v>8930529.8399999999</v>
      </c>
      <c r="AE187">
        <v>194.66</v>
      </c>
      <c r="AF187">
        <v>748779.7</v>
      </c>
      <c r="AG187">
        <v>8930529.8399999999</v>
      </c>
      <c r="AH187">
        <v>184.62</v>
      </c>
      <c r="AI187">
        <v>10.039999999999999</v>
      </c>
      <c r="AJ187">
        <v>0.6</v>
      </c>
      <c r="AK187">
        <v>2.97</v>
      </c>
      <c r="AL187">
        <v>2.58</v>
      </c>
      <c r="AM187">
        <v>0</v>
      </c>
      <c r="AN187">
        <v>0</v>
      </c>
      <c r="AO187">
        <v>358</v>
      </c>
      <c r="AP187">
        <v>3.25</v>
      </c>
      <c r="AQ187">
        <v>0.39</v>
      </c>
      <c r="AR187">
        <v>0.05</v>
      </c>
      <c r="AS187">
        <v>0.04</v>
      </c>
      <c r="AT187">
        <v>12.37</v>
      </c>
      <c r="AU187">
        <v>5.75</v>
      </c>
      <c r="AV187">
        <v>0.03</v>
      </c>
      <c r="AW187">
        <v>0.68</v>
      </c>
      <c r="AX187">
        <v>0</v>
      </c>
      <c r="AY187">
        <v>3.3</v>
      </c>
      <c r="AZ187">
        <v>98.134</v>
      </c>
      <c r="BA187">
        <v>0</v>
      </c>
      <c r="BB187">
        <v>0</v>
      </c>
      <c r="BC187">
        <v>0</v>
      </c>
      <c r="BD187">
        <v>0</v>
      </c>
    </row>
    <row r="188" spans="1:56" x14ac:dyDescent="0.25">
      <c r="A188" s="23">
        <v>46304</v>
      </c>
      <c r="B188">
        <v>187</v>
      </c>
      <c r="C188" t="s">
        <v>82</v>
      </c>
      <c r="D188" t="s">
        <v>83</v>
      </c>
      <c r="E188">
        <v>2</v>
      </c>
      <c r="F188">
        <v>185</v>
      </c>
      <c r="G188">
        <v>0</v>
      </c>
      <c r="H188" t="s">
        <v>84</v>
      </c>
      <c r="I188" t="s">
        <v>78</v>
      </c>
      <c r="J188" t="s">
        <v>85</v>
      </c>
      <c r="K188" t="s">
        <v>86</v>
      </c>
      <c r="L188" t="s">
        <v>71</v>
      </c>
      <c r="M188" t="s">
        <v>87</v>
      </c>
      <c r="O188" t="s">
        <v>88</v>
      </c>
      <c r="P188" t="s">
        <v>27</v>
      </c>
      <c r="Q188" t="s">
        <v>73</v>
      </c>
      <c r="R188" t="s">
        <v>76</v>
      </c>
      <c r="S188" t="s">
        <v>74</v>
      </c>
      <c r="T188" t="s">
        <v>75</v>
      </c>
      <c r="X188" t="s">
        <v>77</v>
      </c>
      <c r="Z188" t="s">
        <v>72</v>
      </c>
      <c r="AA188" t="s">
        <v>94</v>
      </c>
      <c r="AB188">
        <v>5</v>
      </c>
      <c r="AC188">
        <v>748776.64</v>
      </c>
      <c r="AD188">
        <v>8930529.2400000002</v>
      </c>
      <c r="AE188">
        <v>194.61</v>
      </c>
      <c r="AF188">
        <v>748776.64</v>
      </c>
      <c r="AG188">
        <v>8930529.2400000002</v>
      </c>
      <c r="AH188">
        <v>184.62</v>
      </c>
      <c r="AI188">
        <v>9.99</v>
      </c>
      <c r="AJ188">
        <v>0.6</v>
      </c>
      <c r="AK188">
        <v>2.97</v>
      </c>
      <c r="AL188">
        <v>2.58</v>
      </c>
      <c r="AM188">
        <v>0</v>
      </c>
      <c r="AN188">
        <v>0</v>
      </c>
      <c r="AO188">
        <v>358</v>
      </c>
      <c r="AP188">
        <v>3.24</v>
      </c>
      <c r="AQ188">
        <v>0.39</v>
      </c>
      <c r="AR188">
        <v>0.05</v>
      </c>
      <c r="AS188">
        <v>0.04</v>
      </c>
      <c r="AT188">
        <v>12.24</v>
      </c>
      <c r="AU188">
        <v>5.67</v>
      </c>
      <c r="AV188">
        <v>0.04</v>
      </c>
      <c r="AW188">
        <v>0.9</v>
      </c>
      <c r="AX188">
        <v>0</v>
      </c>
      <c r="AY188">
        <v>3.3</v>
      </c>
      <c r="AZ188">
        <v>97.406000000000006</v>
      </c>
      <c r="BA188">
        <v>0</v>
      </c>
      <c r="BB188">
        <v>0</v>
      </c>
      <c r="BC188">
        <v>0</v>
      </c>
      <c r="BD188">
        <v>0</v>
      </c>
    </row>
    <row r="189" spans="1:56" x14ac:dyDescent="0.25">
      <c r="A189" s="23">
        <v>46304</v>
      </c>
      <c r="B189">
        <v>188</v>
      </c>
      <c r="C189" t="s">
        <v>82</v>
      </c>
      <c r="D189" t="s">
        <v>83</v>
      </c>
      <c r="E189">
        <v>2</v>
      </c>
      <c r="F189">
        <v>185</v>
      </c>
      <c r="G189">
        <v>0</v>
      </c>
      <c r="H189" t="s">
        <v>84</v>
      </c>
      <c r="I189" t="s">
        <v>78</v>
      </c>
      <c r="J189" t="s">
        <v>85</v>
      </c>
      <c r="K189" t="s">
        <v>86</v>
      </c>
      <c r="L189" t="s">
        <v>71</v>
      </c>
      <c r="M189" t="s">
        <v>87</v>
      </c>
      <c r="O189" t="s">
        <v>88</v>
      </c>
      <c r="P189" t="s">
        <v>27</v>
      </c>
      <c r="Q189" t="s">
        <v>73</v>
      </c>
      <c r="R189" t="s">
        <v>76</v>
      </c>
      <c r="S189" t="s">
        <v>74</v>
      </c>
      <c r="T189" t="s">
        <v>75</v>
      </c>
      <c r="X189" t="s">
        <v>77</v>
      </c>
      <c r="Z189" t="s">
        <v>72</v>
      </c>
      <c r="AA189" t="s">
        <v>94</v>
      </c>
      <c r="AB189">
        <v>5</v>
      </c>
      <c r="AC189">
        <v>748773.71</v>
      </c>
      <c r="AD189">
        <v>8930528.6300000008</v>
      </c>
      <c r="AE189">
        <v>194.16</v>
      </c>
      <c r="AF189">
        <v>748773.71</v>
      </c>
      <c r="AG189">
        <v>8930528.6300000008</v>
      </c>
      <c r="AH189">
        <v>184.62</v>
      </c>
      <c r="AI189">
        <v>9.5500000000000007</v>
      </c>
      <c r="AJ189">
        <v>0.6</v>
      </c>
      <c r="AK189">
        <v>2.97</v>
      </c>
      <c r="AL189">
        <v>2.58</v>
      </c>
      <c r="AM189">
        <v>0</v>
      </c>
      <c r="AN189">
        <v>0</v>
      </c>
      <c r="AO189">
        <v>358</v>
      </c>
      <c r="AP189">
        <v>3.24</v>
      </c>
      <c r="AQ189">
        <v>0.39</v>
      </c>
      <c r="AR189">
        <v>0.05</v>
      </c>
      <c r="AS189">
        <v>0.04</v>
      </c>
      <c r="AT189">
        <v>12.06</v>
      </c>
      <c r="AU189">
        <v>5.6</v>
      </c>
      <c r="AV189">
        <v>0.05</v>
      </c>
      <c r="AW189">
        <v>1.04</v>
      </c>
      <c r="AX189">
        <v>0</v>
      </c>
      <c r="AY189">
        <v>3.3</v>
      </c>
      <c r="AZ189">
        <v>91</v>
      </c>
      <c r="BA189">
        <v>0</v>
      </c>
      <c r="BB189">
        <v>0</v>
      </c>
      <c r="BC189">
        <v>0</v>
      </c>
      <c r="BD189">
        <v>0</v>
      </c>
    </row>
    <row r="190" spans="1:56" x14ac:dyDescent="0.25">
      <c r="A190" s="23">
        <v>46304</v>
      </c>
      <c r="B190">
        <v>189</v>
      </c>
      <c r="C190" t="s">
        <v>82</v>
      </c>
      <c r="D190" t="s">
        <v>83</v>
      </c>
      <c r="E190">
        <v>2</v>
      </c>
      <c r="F190">
        <v>185</v>
      </c>
      <c r="G190">
        <v>0</v>
      </c>
      <c r="H190" t="s">
        <v>84</v>
      </c>
      <c r="I190" t="s">
        <v>78</v>
      </c>
      <c r="J190" t="s">
        <v>70</v>
      </c>
      <c r="K190" t="s">
        <v>86</v>
      </c>
      <c r="L190" t="s">
        <v>71</v>
      </c>
      <c r="M190" t="s">
        <v>87</v>
      </c>
      <c r="O190" t="s">
        <v>88</v>
      </c>
      <c r="P190" t="s">
        <v>27</v>
      </c>
      <c r="Q190" t="s">
        <v>73</v>
      </c>
      <c r="R190" t="s">
        <v>76</v>
      </c>
      <c r="S190" t="s">
        <v>74</v>
      </c>
      <c r="T190" t="s">
        <v>75</v>
      </c>
      <c r="X190" t="s">
        <v>77</v>
      </c>
      <c r="Z190" t="s">
        <v>72</v>
      </c>
      <c r="AA190" t="s">
        <v>93</v>
      </c>
      <c r="AB190">
        <v>5</v>
      </c>
      <c r="AC190">
        <v>748769</v>
      </c>
      <c r="AD190">
        <v>8930527.1300000008</v>
      </c>
      <c r="AE190">
        <v>190.38</v>
      </c>
      <c r="AF190">
        <v>748769</v>
      </c>
      <c r="AG190">
        <v>8930527.1300000008</v>
      </c>
      <c r="AH190">
        <v>184.53</v>
      </c>
      <c r="AI190">
        <v>5.85</v>
      </c>
      <c r="AJ190">
        <v>0.6</v>
      </c>
      <c r="AK190">
        <v>2.97</v>
      </c>
      <c r="AL190">
        <v>2.58</v>
      </c>
      <c r="AM190">
        <v>0</v>
      </c>
      <c r="AN190">
        <v>0</v>
      </c>
      <c r="AO190">
        <v>358</v>
      </c>
      <c r="AP190">
        <v>3.15</v>
      </c>
      <c r="AQ190">
        <v>0.2</v>
      </c>
      <c r="AR190">
        <v>0.03</v>
      </c>
      <c r="AS190">
        <v>0.02</v>
      </c>
      <c r="AT190">
        <v>6.16</v>
      </c>
      <c r="AU190">
        <v>2.81</v>
      </c>
      <c r="AV190">
        <v>0.01</v>
      </c>
      <c r="AW190">
        <v>0.2</v>
      </c>
      <c r="AX190">
        <v>0</v>
      </c>
      <c r="AY190">
        <v>2.5</v>
      </c>
      <c r="AZ190">
        <v>48.776000000000003</v>
      </c>
      <c r="BA190">
        <v>0</v>
      </c>
      <c r="BB190">
        <v>0</v>
      </c>
      <c r="BC190">
        <v>0</v>
      </c>
      <c r="BD190">
        <v>0</v>
      </c>
    </row>
    <row r="191" spans="1:56" x14ac:dyDescent="0.25">
      <c r="A191" s="23">
        <v>46304</v>
      </c>
      <c r="B191">
        <v>190</v>
      </c>
      <c r="C191" t="s">
        <v>82</v>
      </c>
      <c r="D191" t="s">
        <v>83</v>
      </c>
      <c r="E191">
        <v>2</v>
      </c>
      <c r="F191">
        <v>185</v>
      </c>
      <c r="G191">
        <v>0</v>
      </c>
      <c r="H191" t="s">
        <v>84</v>
      </c>
      <c r="I191" t="s">
        <v>78</v>
      </c>
      <c r="J191" t="s">
        <v>70</v>
      </c>
      <c r="K191" t="s">
        <v>86</v>
      </c>
      <c r="L191" t="s">
        <v>71</v>
      </c>
      <c r="M191" t="s">
        <v>87</v>
      </c>
      <c r="O191" t="s">
        <v>88</v>
      </c>
      <c r="P191" t="s">
        <v>27</v>
      </c>
      <c r="Q191" t="s">
        <v>73</v>
      </c>
      <c r="R191" t="s">
        <v>76</v>
      </c>
      <c r="S191" t="s">
        <v>74</v>
      </c>
      <c r="T191" t="s">
        <v>75</v>
      </c>
      <c r="X191" t="s">
        <v>77</v>
      </c>
      <c r="Z191" t="s">
        <v>72</v>
      </c>
      <c r="AA191" t="s">
        <v>93</v>
      </c>
      <c r="AB191">
        <v>5</v>
      </c>
      <c r="AC191">
        <v>748766.35</v>
      </c>
      <c r="AD191">
        <v>8930525.8200000003</v>
      </c>
      <c r="AE191">
        <v>190.25</v>
      </c>
      <c r="AF191">
        <v>748766.35</v>
      </c>
      <c r="AG191">
        <v>8930525.8200000003</v>
      </c>
      <c r="AH191">
        <v>184.52</v>
      </c>
      <c r="AI191">
        <v>5.73</v>
      </c>
      <c r="AJ191">
        <v>0.6</v>
      </c>
      <c r="AK191">
        <v>2.97</v>
      </c>
      <c r="AL191">
        <v>2.58</v>
      </c>
      <c r="AM191">
        <v>0</v>
      </c>
      <c r="AN191">
        <v>0</v>
      </c>
      <c r="AO191">
        <v>358</v>
      </c>
      <c r="AP191">
        <v>3.1</v>
      </c>
      <c r="AQ191">
        <v>0.08</v>
      </c>
      <c r="AR191">
        <v>0.01</v>
      </c>
      <c r="AS191">
        <v>0.01</v>
      </c>
      <c r="AT191">
        <v>2.68</v>
      </c>
      <c r="AU191">
        <v>1.1000000000000001</v>
      </c>
      <c r="AV191">
        <v>0.02</v>
      </c>
      <c r="AW191">
        <v>0.22</v>
      </c>
      <c r="AX191">
        <v>0</v>
      </c>
      <c r="AY191">
        <v>2.5</v>
      </c>
      <c r="AZ191">
        <v>47.029000000000003</v>
      </c>
      <c r="BA191">
        <v>0</v>
      </c>
      <c r="BB191">
        <v>0</v>
      </c>
      <c r="BC191">
        <v>0</v>
      </c>
      <c r="BD191">
        <v>0</v>
      </c>
    </row>
    <row r="192" spans="1:56" x14ac:dyDescent="0.25">
      <c r="A192" s="23">
        <v>46304</v>
      </c>
      <c r="B192">
        <v>191</v>
      </c>
      <c r="C192" t="s">
        <v>82</v>
      </c>
      <c r="D192" t="s">
        <v>83</v>
      </c>
      <c r="E192">
        <v>2</v>
      </c>
      <c r="F192">
        <v>185</v>
      </c>
      <c r="G192">
        <v>0</v>
      </c>
      <c r="H192" t="s">
        <v>84</v>
      </c>
      <c r="I192" t="s">
        <v>78</v>
      </c>
      <c r="J192" t="s">
        <v>70</v>
      </c>
      <c r="K192" t="s">
        <v>86</v>
      </c>
      <c r="L192" t="s">
        <v>71</v>
      </c>
      <c r="M192" t="s">
        <v>87</v>
      </c>
      <c r="O192" t="s">
        <v>88</v>
      </c>
      <c r="P192" t="s">
        <v>27</v>
      </c>
      <c r="Q192" t="s">
        <v>73</v>
      </c>
      <c r="R192" t="s">
        <v>76</v>
      </c>
      <c r="S192" t="s">
        <v>74</v>
      </c>
      <c r="T192" t="s">
        <v>75</v>
      </c>
      <c r="X192" t="s">
        <v>77</v>
      </c>
      <c r="Z192" t="s">
        <v>72</v>
      </c>
      <c r="AA192" t="s">
        <v>93</v>
      </c>
      <c r="AB192">
        <v>5</v>
      </c>
      <c r="AC192">
        <v>748763.77</v>
      </c>
      <c r="AD192">
        <v>8930524.3499999996</v>
      </c>
      <c r="AE192">
        <v>190.32</v>
      </c>
      <c r="AF192">
        <v>748763.77</v>
      </c>
      <c r="AG192">
        <v>8930524.3499999996</v>
      </c>
      <c r="AH192">
        <v>184.51</v>
      </c>
      <c r="AI192">
        <v>5.81</v>
      </c>
      <c r="AJ192">
        <v>0.6</v>
      </c>
      <c r="AK192">
        <v>2.97</v>
      </c>
      <c r="AL192">
        <v>2.58</v>
      </c>
      <c r="AM192">
        <v>0</v>
      </c>
      <c r="AN192">
        <v>0</v>
      </c>
      <c r="AO192">
        <v>358</v>
      </c>
      <c r="AP192">
        <v>3.1</v>
      </c>
      <c r="AQ192">
        <v>0.08</v>
      </c>
      <c r="AR192">
        <v>0.01</v>
      </c>
      <c r="AS192">
        <v>0.01</v>
      </c>
      <c r="AT192">
        <v>2.6</v>
      </c>
      <c r="AU192">
        <v>0.88</v>
      </c>
      <c r="AV192">
        <v>0.04</v>
      </c>
      <c r="AW192">
        <v>0.31</v>
      </c>
      <c r="AX192">
        <v>0</v>
      </c>
      <c r="AY192">
        <v>2.5</v>
      </c>
      <c r="AZ192">
        <v>48.194000000000003</v>
      </c>
      <c r="BA192">
        <v>0</v>
      </c>
      <c r="BB192">
        <v>0</v>
      </c>
      <c r="BC192">
        <v>0</v>
      </c>
      <c r="BD192">
        <v>0</v>
      </c>
    </row>
    <row r="193" spans="1:56" x14ac:dyDescent="0.25">
      <c r="A193" s="23">
        <v>46304</v>
      </c>
      <c r="B193">
        <v>192</v>
      </c>
      <c r="C193" t="s">
        <v>82</v>
      </c>
      <c r="D193" t="s">
        <v>83</v>
      </c>
      <c r="E193">
        <v>2</v>
      </c>
      <c r="F193">
        <v>184</v>
      </c>
      <c r="G193">
        <v>1</v>
      </c>
      <c r="H193" t="s">
        <v>84</v>
      </c>
      <c r="I193" t="s">
        <v>78</v>
      </c>
      <c r="J193" t="s">
        <v>70</v>
      </c>
      <c r="K193" t="s">
        <v>86</v>
      </c>
      <c r="L193" t="s">
        <v>71</v>
      </c>
      <c r="M193" t="s">
        <v>87</v>
      </c>
      <c r="O193" t="s">
        <v>88</v>
      </c>
      <c r="P193" t="s">
        <v>27</v>
      </c>
      <c r="Q193" t="s">
        <v>73</v>
      </c>
      <c r="R193" t="s">
        <v>76</v>
      </c>
      <c r="S193" t="s">
        <v>74</v>
      </c>
      <c r="T193" t="s">
        <v>75</v>
      </c>
      <c r="X193" t="s">
        <v>77</v>
      </c>
      <c r="Z193" t="s">
        <v>72</v>
      </c>
      <c r="AA193" t="s">
        <v>93</v>
      </c>
      <c r="AB193">
        <v>5</v>
      </c>
      <c r="AC193">
        <v>748761.18</v>
      </c>
      <c r="AD193">
        <v>8930522.8900000006</v>
      </c>
      <c r="AE193">
        <v>190.25</v>
      </c>
      <c r="AF193">
        <v>748761.18</v>
      </c>
      <c r="AG193">
        <v>8930522.8900000006</v>
      </c>
      <c r="AH193">
        <v>184.49</v>
      </c>
      <c r="AI193">
        <v>5.75</v>
      </c>
      <c r="AJ193">
        <v>0.6</v>
      </c>
      <c r="AK193">
        <v>2.97</v>
      </c>
      <c r="AL193">
        <v>2.58</v>
      </c>
      <c r="AM193">
        <v>0</v>
      </c>
      <c r="AN193">
        <v>0</v>
      </c>
      <c r="AO193">
        <v>358</v>
      </c>
      <c r="AP193">
        <v>3.12</v>
      </c>
      <c r="AQ193">
        <v>0.15</v>
      </c>
      <c r="AR193">
        <v>0.02</v>
      </c>
      <c r="AS193">
        <v>0.02</v>
      </c>
      <c r="AT193">
        <v>4.9400000000000004</v>
      </c>
      <c r="AU193">
        <v>1.66</v>
      </c>
      <c r="AV193">
        <v>7.0000000000000007E-2</v>
      </c>
      <c r="AW193">
        <v>0.57999999999999996</v>
      </c>
      <c r="AX193">
        <v>0</v>
      </c>
      <c r="AY193">
        <v>2.5</v>
      </c>
      <c r="AZ193">
        <v>47.32</v>
      </c>
      <c r="BA193">
        <v>0</v>
      </c>
      <c r="BB193">
        <v>0</v>
      </c>
      <c r="BC193">
        <v>0</v>
      </c>
      <c r="BD193">
        <v>0</v>
      </c>
    </row>
    <row r="194" spans="1:56" x14ac:dyDescent="0.25">
      <c r="A194" s="23">
        <v>46304</v>
      </c>
      <c r="B194">
        <v>193</v>
      </c>
      <c r="C194" t="s">
        <v>82</v>
      </c>
      <c r="D194" t="s">
        <v>83</v>
      </c>
      <c r="E194">
        <v>2</v>
      </c>
      <c r="F194">
        <v>184</v>
      </c>
      <c r="G194">
        <v>1</v>
      </c>
      <c r="H194" t="s">
        <v>84</v>
      </c>
      <c r="I194" t="s">
        <v>91</v>
      </c>
      <c r="J194" t="s">
        <v>70</v>
      </c>
      <c r="K194" t="s">
        <v>86</v>
      </c>
      <c r="L194" t="s">
        <v>71</v>
      </c>
      <c r="M194" t="s">
        <v>87</v>
      </c>
      <c r="O194" t="s">
        <v>88</v>
      </c>
      <c r="P194" t="s">
        <v>27</v>
      </c>
      <c r="Q194" t="s">
        <v>73</v>
      </c>
      <c r="R194" t="s">
        <v>76</v>
      </c>
      <c r="S194" t="s">
        <v>74</v>
      </c>
      <c r="T194" t="s">
        <v>75</v>
      </c>
      <c r="X194" t="s">
        <v>77</v>
      </c>
      <c r="Z194" t="s">
        <v>72</v>
      </c>
      <c r="AA194" t="s">
        <v>93</v>
      </c>
      <c r="AB194">
        <v>5</v>
      </c>
      <c r="AC194">
        <v>748758.6</v>
      </c>
      <c r="AD194">
        <v>8930521.4199999999</v>
      </c>
      <c r="AE194">
        <v>190.16</v>
      </c>
      <c r="AF194">
        <v>748758.6</v>
      </c>
      <c r="AG194">
        <v>8930521.4199999999</v>
      </c>
      <c r="AH194">
        <v>184.49</v>
      </c>
      <c r="AI194">
        <v>5.67</v>
      </c>
      <c r="AJ194">
        <v>0.6</v>
      </c>
      <c r="AK194">
        <v>2.97</v>
      </c>
      <c r="AL194">
        <v>2.58</v>
      </c>
      <c r="AM194">
        <v>0</v>
      </c>
      <c r="AN194">
        <v>0</v>
      </c>
      <c r="AO194">
        <v>358</v>
      </c>
      <c r="AP194">
        <v>3.1</v>
      </c>
      <c r="AQ194">
        <v>0.22</v>
      </c>
      <c r="AR194">
        <v>0.03</v>
      </c>
      <c r="AS194">
        <v>0.03</v>
      </c>
      <c r="AT194">
        <v>7.37</v>
      </c>
      <c r="AU194">
        <v>2.44</v>
      </c>
      <c r="AV194">
        <v>0.11</v>
      </c>
      <c r="AW194">
        <v>0.85</v>
      </c>
      <c r="AX194">
        <v>0</v>
      </c>
      <c r="AY194">
        <v>2.5</v>
      </c>
      <c r="AZ194">
        <v>46.155000000000001</v>
      </c>
      <c r="BA194">
        <v>0</v>
      </c>
      <c r="BB194">
        <v>0</v>
      </c>
      <c r="BC194">
        <v>0</v>
      </c>
      <c r="BD194">
        <v>0</v>
      </c>
    </row>
    <row r="195" spans="1:56" x14ac:dyDescent="0.25">
      <c r="A195" s="23">
        <v>46304</v>
      </c>
      <c r="B195">
        <v>194</v>
      </c>
      <c r="C195" t="s">
        <v>82</v>
      </c>
      <c r="D195" t="s">
        <v>83</v>
      </c>
      <c r="E195">
        <v>2</v>
      </c>
      <c r="F195">
        <v>184</v>
      </c>
      <c r="G195">
        <v>1</v>
      </c>
      <c r="H195" t="s">
        <v>84</v>
      </c>
      <c r="I195" t="s">
        <v>91</v>
      </c>
      <c r="J195" t="s">
        <v>85</v>
      </c>
      <c r="K195" t="s">
        <v>86</v>
      </c>
      <c r="L195" t="s">
        <v>71</v>
      </c>
      <c r="M195" t="s">
        <v>87</v>
      </c>
      <c r="O195" t="s">
        <v>88</v>
      </c>
      <c r="P195" t="s">
        <v>27</v>
      </c>
      <c r="Q195" t="s">
        <v>73</v>
      </c>
      <c r="R195" t="s">
        <v>76</v>
      </c>
      <c r="S195" t="s">
        <v>74</v>
      </c>
      <c r="T195" t="s">
        <v>75</v>
      </c>
      <c r="X195" t="s">
        <v>77</v>
      </c>
      <c r="Z195" t="s">
        <v>72</v>
      </c>
      <c r="AA195" t="s">
        <v>93</v>
      </c>
      <c r="AB195">
        <v>5</v>
      </c>
      <c r="AC195">
        <v>748756.01</v>
      </c>
      <c r="AD195">
        <v>8930519.9600000009</v>
      </c>
      <c r="AE195">
        <v>190.06</v>
      </c>
      <c r="AF195">
        <v>748756.01</v>
      </c>
      <c r="AG195">
        <v>8930519.9600000009</v>
      </c>
      <c r="AH195">
        <v>184.49</v>
      </c>
      <c r="AI195">
        <v>5.57</v>
      </c>
      <c r="AJ195">
        <v>0.6</v>
      </c>
      <c r="AK195">
        <v>2.97</v>
      </c>
      <c r="AL195">
        <v>2.58</v>
      </c>
      <c r="AM195">
        <v>0</v>
      </c>
      <c r="AN195">
        <v>0</v>
      </c>
      <c r="AO195">
        <v>358</v>
      </c>
      <c r="AP195">
        <v>3.13</v>
      </c>
      <c r="AQ195">
        <v>0.3</v>
      </c>
      <c r="AR195">
        <v>0.04</v>
      </c>
      <c r="AS195">
        <v>0.04</v>
      </c>
      <c r="AT195">
        <v>9.98</v>
      </c>
      <c r="AU195">
        <v>3.26</v>
      </c>
      <c r="AV195">
        <v>0.16</v>
      </c>
      <c r="AW195">
        <v>1.0900000000000001</v>
      </c>
      <c r="AX195">
        <v>0</v>
      </c>
      <c r="AY195">
        <v>2.5</v>
      </c>
      <c r="AZ195">
        <v>44.698999999999998</v>
      </c>
      <c r="BA195">
        <v>0</v>
      </c>
      <c r="BB195">
        <v>0</v>
      </c>
      <c r="BC195">
        <v>0</v>
      </c>
      <c r="BD195">
        <v>0</v>
      </c>
    </row>
    <row r="196" spans="1:56" x14ac:dyDescent="0.25">
      <c r="A196" s="23">
        <v>46304</v>
      </c>
      <c r="B196">
        <v>195</v>
      </c>
      <c r="C196" t="s">
        <v>82</v>
      </c>
      <c r="D196" t="s">
        <v>83</v>
      </c>
      <c r="E196">
        <v>2</v>
      </c>
      <c r="F196">
        <v>184</v>
      </c>
      <c r="G196">
        <v>1</v>
      </c>
      <c r="H196" t="s">
        <v>84</v>
      </c>
      <c r="I196" t="s">
        <v>91</v>
      </c>
      <c r="J196" t="s">
        <v>85</v>
      </c>
      <c r="K196" t="s">
        <v>86</v>
      </c>
      <c r="L196" t="s">
        <v>71</v>
      </c>
      <c r="M196" t="s">
        <v>87</v>
      </c>
      <c r="O196" t="s">
        <v>88</v>
      </c>
      <c r="P196" t="s">
        <v>27</v>
      </c>
      <c r="Q196" t="s">
        <v>73</v>
      </c>
      <c r="R196" t="s">
        <v>76</v>
      </c>
      <c r="S196" t="s">
        <v>74</v>
      </c>
      <c r="T196" t="s">
        <v>75</v>
      </c>
      <c r="X196" t="s">
        <v>77</v>
      </c>
      <c r="Z196" t="s">
        <v>72</v>
      </c>
      <c r="AA196" t="s">
        <v>93</v>
      </c>
      <c r="AB196">
        <v>5</v>
      </c>
      <c r="AC196">
        <v>748753.43</v>
      </c>
      <c r="AD196">
        <v>8930518.5</v>
      </c>
      <c r="AE196">
        <v>190.12</v>
      </c>
      <c r="AF196">
        <v>748753.43</v>
      </c>
      <c r="AG196">
        <v>8930518.5</v>
      </c>
      <c r="AH196">
        <v>184.49</v>
      </c>
      <c r="AI196">
        <v>5.63</v>
      </c>
      <c r="AJ196">
        <v>0.6</v>
      </c>
      <c r="AK196">
        <v>2.97</v>
      </c>
      <c r="AL196">
        <v>2.58</v>
      </c>
      <c r="AM196">
        <v>0</v>
      </c>
      <c r="AN196">
        <v>0</v>
      </c>
      <c r="AO196">
        <v>358</v>
      </c>
      <c r="AP196">
        <v>3.18</v>
      </c>
      <c r="AQ196">
        <v>0.38</v>
      </c>
      <c r="AR196">
        <v>0.05</v>
      </c>
      <c r="AS196">
        <v>0.05</v>
      </c>
      <c r="AT196">
        <v>12.44</v>
      </c>
      <c r="AU196">
        <v>4.03</v>
      </c>
      <c r="AV196">
        <v>0.21</v>
      </c>
      <c r="AW196">
        <v>1.29</v>
      </c>
      <c r="AX196">
        <v>0</v>
      </c>
      <c r="AY196">
        <v>2.5</v>
      </c>
      <c r="AZ196">
        <v>45.573</v>
      </c>
      <c r="BA196">
        <v>0</v>
      </c>
      <c r="BB196">
        <v>0</v>
      </c>
      <c r="BC196">
        <v>0</v>
      </c>
      <c r="BD196">
        <v>0</v>
      </c>
    </row>
    <row r="197" spans="1:56" x14ac:dyDescent="0.25">
      <c r="A197" s="23">
        <v>46304</v>
      </c>
      <c r="B197">
        <v>196</v>
      </c>
      <c r="C197" t="s">
        <v>82</v>
      </c>
      <c r="D197" t="s">
        <v>83</v>
      </c>
      <c r="E197">
        <v>2</v>
      </c>
      <c r="F197">
        <v>184</v>
      </c>
      <c r="G197">
        <v>1</v>
      </c>
      <c r="H197" t="s">
        <v>84</v>
      </c>
      <c r="I197" t="s">
        <v>91</v>
      </c>
      <c r="J197" t="s">
        <v>85</v>
      </c>
      <c r="K197" t="s">
        <v>86</v>
      </c>
      <c r="L197" t="s">
        <v>71</v>
      </c>
      <c r="M197" t="s">
        <v>87</v>
      </c>
      <c r="O197" t="s">
        <v>88</v>
      </c>
      <c r="P197" t="s">
        <v>27</v>
      </c>
      <c r="Q197" t="s">
        <v>73</v>
      </c>
      <c r="R197" t="s">
        <v>76</v>
      </c>
      <c r="S197" t="s">
        <v>74</v>
      </c>
      <c r="T197" t="s">
        <v>75</v>
      </c>
      <c r="X197" t="s">
        <v>77</v>
      </c>
      <c r="Z197" t="s">
        <v>72</v>
      </c>
      <c r="AA197" t="s">
        <v>93</v>
      </c>
      <c r="AB197">
        <v>5</v>
      </c>
      <c r="AC197">
        <v>748750.84</v>
      </c>
      <c r="AD197">
        <v>8930517.0299999993</v>
      </c>
      <c r="AE197">
        <v>190.13</v>
      </c>
      <c r="AF197">
        <v>748750.84</v>
      </c>
      <c r="AG197">
        <v>8930517.0299999993</v>
      </c>
      <c r="AH197">
        <v>184.49</v>
      </c>
      <c r="AI197">
        <v>5.64</v>
      </c>
      <c r="AJ197">
        <v>0.6</v>
      </c>
      <c r="AK197">
        <v>2.97</v>
      </c>
      <c r="AL197">
        <v>2.58</v>
      </c>
      <c r="AM197">
        <v>0</v>
      </c>
      <c r="AN197">
        <v>0</v>
      </c>
      <c r="AO197">
        <v>358</v>
      </c>
      <c r="AP197">
        <v>3.23</v>
      </c>
      <c r="AQ197">
        <v>0.48</v>
      </c>
      <c r="AR197">
        <v>7.0000000000000007E-2</v>
      </c>
      <c r="AS197">
        <v>0.06</v>
      </c>
      <c r="AT197">
        <v>15.35</v>
      </c>
      <c r="AU197">
        <v>4.83</v>
      </c>
      <c r="AV197">
        <v>0.26</v>
      </c>
      <c r="AW197">
        <v>1.57</v>
      </c>
      <c r="AX197">
        <v>0.02</v>
      </c>
      <c r="AY197">
        <v>2.5</v>
      </c>
      <c r="AZ197">
        <v>45.718000000000004</v>
      </c>
      <c r="BA197">
        <v>0</v>
      </c>
      <c r="BB197">
        <v>0</v>
      </c>
      <c r="BC197">
        <v>0</v>
      </c>
      <c r="BD197">
        <v>0</v>
      </c>
    </row>
    <row r="198" spans="1:56" x14ac:dyDescent="0.25">
      <c r="A198" s="23">
        <v>46304</v>
      </c>
      <c r="B198">
        <v>197</v>
      </c>
      <c r="C198" t="s">
        <v>82</v>
      </c>
      <c r="D198" t="s">
        <v>83</v>
      </c>
      <c r="E198">
        <v>2</v>
      </c>
      <c r="F198">
        <v>184</v>
      </c>
      <c r="G198">
        <v>1</v>
      </c>
      <c r="H198" t="s">
        <v>84</v>
      </c>
      <c r="I198" t="s">
        <v>91</v>
      </c>
      <c r="J198" t="s">
        <v>85</v>
      </c>
      <c r="K198" t="s">
        <v>86</v>
      </c>
      <c r="L198" t="s">
        <v>71</v>
      </c>
      <c r="M198" t="s">
        <v>87</v>
      </c>
      <c r="O198" t="s">
        <v>88</v>
      </c>
      <c r="P198" t="s">
        <v>27</v>
      </c>
      <c r="Q198" t="s">
        <v>73</v>
      </c>
      <c r="R198" t="s">
        <v>76</v>
      </c>
      <c r="S198" t="s">
        <v>74</v>
      </c>
      <c r="T198" t="s">
        <v>75</v>
      </c>
      <c r="X198" t="s">
        <v>77</v>
      </c>
      <c r="Z198" t="s">
        <v>72</v>
      </c>
      <c r="AA198" t="s">
        <v>93</v>
      </c>
      <c r="AB198">
        <v>5</v>
      </c>
      <c r="AC198">
        <v>748748.26</v>
      </c>
      <c r="AD198">
        <v>8930515.5700000003</v>
      </c>
      <c r="AE198">
        <v>190.2</v>
      </c>
      <c r="AF198">
        <v>748748.26</v>
      </c>
      <c r="AG198">
        <v>8930515.5700000003</v>
      </c>
      <c r="AH198">
        <v>184.49</v>
      </c>
      <c r="AI198">
        <v>5.71</v>
      </c>
      <c r="AJ198">
        <v>0.6</v>
      </c>
      <c r="AK198">
        <v>2.97</v>
      </c>
      <c r="AL198">
        <v>2.58</v>
      </c>
      <c r="AM198">
        <v>0</v>
      </c>
      <c r="AN198">
        <v>0</v>
      </c>
      <c r="AO198">
        <v>358</v>
      </c>
      <c r="AP198">
        <v>3.27</v>
      </c>
      <c r="AQ198">
        <v>0.55000000000000004</v>
      </c>
      <c r="AR198">
        <v>0.08</v>
      </c>
      <c r="AS198">
        <v>7.0000000000000007E-2</v>
      </c>
      <c r="AT198">
        <v>17.29</v>
      </c>
      <c r="AU198">
        <v>5.0999999999999996</v>
      </c>
      <c r="AV198">
        <v>0.28999999999999998</v>
      </c>
      <c r="AW198">
        <v>1.76</v>
      </c>
      <c r="AX198">
        <v>0.1</v>
      </c>
      <c r="AY198">
        <v>2.5</v>
      </c>
      <c r="AZ198">
        <v>46.738</v>
      </c>
      <c r="BA198">
        <v>0</v>
      </c>
      <c r="BB198">
        <v>0</v>
      </c>
      <c r="BC198">
        <v>0</v>
      </c>
      <c r="BD198">
        <v>0</v>
      </c>
    </row>
    <row r="199" spans="1:56" x14ac:dyDescent="0.25">
      <c r="A199" s="23">
        <v>46304</v>
      </c>
      <c r="B199">
        <v>198</v>
      </c>
      <c r="C199" t="s">
        <v>82</v>
      </c>
      <c r="D199" t="s">
        <v>92</v>
      </c>
      <c r="E199">
        <v>2</v>
      </c>
      <c r="F199">
        <v>184</v>
      </c>
      <c r="G199">
        <v>1</v>
      </c>
      <c r="H199" t="s">
        <v>84</v>
      </c>
      <c r="I199" t="s">
        <v>91</v>
      </c>
      <c r="J199" t="s">
        <v>85</v>
      </c>
      <c r="K199" t="s">
        <v>86</v>
      </c>
      <c r="L199" t="s">
        <v>71</v>
      </c>
      <c r="M199" t="s">
        <v>87</v>
      </c>
      <c r="O199" t="s">
        <v>88</v>
      </c>
      <c r="P199" t="s">
        <v>27</v>
      </c>
      <c r="Q199" t="s">
        <v>73</v>
      </c>
      <c r="R199" t="s">
        <v>76</v>
      </c>
      <c r="S199" t="s">
        <v>74</v>
      </c>
      <c r="T199" t="s">
        <v>75</v>
      </c>
      <c r="X199" t="s">
        <v>77</v>
      </c>
      <c r="Z199" t="s">
        <v>72</v>
      </c>
      <c r="AA199" t="s">
        <v>93</v>
      </c>
      <c r="AB199">
        <v>5</v>
      </c>
      <c r="AC199">
        <v>748745.68</v>
      </c>
      <c r="AD199">
        <v>8930514.0999999996</v>
      </c>
      <c r="AE199">
        <v>190.17</v>
      </c>
      <c r="AF199">
        <v>748745.68</v>
      </c>
      <c r="AG199">
        <v>8930514.0999999996</v>
      </c>
      <c r="AH199">
        <v>184.49</v>
      </c>
      <c r="AI199">
        <v>5.68</v>
      </c>
      <c r="AJ199">
        <v>0.6</v>
      </c>
      <c r="AK199">
        <v>2.97</v>
      </c>
      <c r="AL199">
        <v>2.58</v>
      </c>
      <c r="AM199">
        <v>0</v>
      </c>
      <c r="AN199">
        <v>0</v>
      </c>
      <c r="AO199">
        <v>358</v>
      </c>
      <c r="AP199">
        <v>3.29</v>
      </c>
      <c r="AQ199">
        <v>0.59</v>
      </c>
      <c r="AR199">
        <v>0.09</v>
      </c>
      <c r="AS199">
        <v>7.0000000000000007E-2</v>
      </c>
      <c r="AT199">
        <v>18.329999999999998</v>
      </c>
      <c r="AU199">
        <v>5.39</v>
      </c>
      <c r="AV199">
        <v>0.31</v>
      </c>
      <c r="AW199">
        <v>1.86</v>
      </c>
      <c r="AX199">
        <v>0.2</v>
      </c>
      <c r="AY199">
        <v>2.5</v>
      </c>
      <c r="AZ199">
        <v>46.301000000000002</v>
      </c>
      <c r="BA199">
        <v>0</v>
      </c>
      <c r="BB199">
        <v>0</v>
      </c>
      <c r="BC199">
        <v>0</v>
      </c>
      <c r="BD199">
        <v>0</v>
      </c>
    </row>
    <row r="200" spans="1:56" x14ac:dyDescent="0.25">
      <c r="A200" s="23">
        <v>46304</v>
      </c>
      <c r="B200">
        <v>199</v>
      </c>
      <c r="C200" t="s">
        <v>82</v>
      </c>
      <c r="D200" t="s">
        <v>92</v>
      </c>
      <c r="E200">
        <v>2</v>
      </c>
      <c r="F200">
        <v>184</v>
      </c>
      <c r="G200">
        <v>1</v>
      </c>
      <c r="H200" t="s">
        <v>84</v>
      </c>
      <c r="I200" t="s">
        <v>91</v>
      </c>
      <c r="J200" t="s">
        <v>85</v>
      </c>
      <c r="K200" t="s">
        <v>86</v>
      </c>
      <c r="L200" t="s">
        <v>71</v>
      </c>
      <c r="M200" t="s">
        <v>87</v>
      </c>
      <c r="O200" t="s">
        <v>88</v>
      </c>
      <c r="P200" t="s">
        <v>27</v>
      </c>
      <c r="Q200" t="s">
        <v>73</v>
      </c>
      <c r="R200" t="s">
        <v>76</v>
      </c>
      <c r="S200" t="s">
        <v>74</v>
      </c>
      <c r="T200" t="s">
        <v>75</v>
      </c>
      <c r="X200" t="s">
        <v>77</v>
      </c>
      <c r="Z200" t="s">
        <v>72</v>
      </c>
      <c r="AA200" t="s">
        <v>93</v>
      </c>
      <c r="AB200">
        <v>5</v>
      </c>
      <c r="AC200">
        <v>748743.09</v>
      </c>
      <c r="AD200">
        <v>8930512.6400000006</v>
      </c>
      <c r="AE200">
        <v>190.13</v>
      </c>
      <c r="AF200">
        <v>748743.09</v>
      </c>
      <c r="AG200">
        <v>8930512.6400000006</v>
      </c>
      <c r="AH200">
        <v>184.49</v>
      </c>
      <c r="AI200">
        <v>5.64</v>
      </c>
      <c r="AJ200">
        <v>0.6</v>
      </c>
      <c r="AK200">
        <v>2.97</v>
      </c>
      <c r="AL200">
        <v>2.58</v>
      </c>
      <c r="AM200">
        <v>0</v>
      </c>
      <c r="AN200">
        <v>0</v>
      </c>
      <c r="AO200">
        <v>358</v>
      </c>
      <c r="AP200">
        <v>3.29</v>
      </c>
      <c r="AQ200">
        <v>0.59</v>
      </c>
      <c r="AR200">
        <v>0.09</v>
      </c>
      <c r="AS200">
        <v>0.08</v>
      </c>
      <c r="AT200">
        <v>18.559999999999999</v>
      </c>
      <c r="AU200">
        <v>5.45</v>
      </c>
      <c r="AV200">
        <v>0.31</v>
      </c>
      <c r="AW200">
        <v>1.88</v>
      </c>
      <c r="AX200">
        <v>0.21</v>
      </c>
      <c r="AY200">
        <v>2.5</v>
      </c>
      <c r="AZ200">
        <v>45.718000000000004</v>
      </c>
      <c r="BA200">
        <v>0</v>
      </c>
      <c r="BB200">
        <v>0</v>
      </c>
      <c r="BC200">
        <v>0</v>
      </c>
      <c r="BD200">
        <v>0</v>
      </c>
    </row>
    <row r="201" spans="1:56" x14ac:dyDescent="0.25">
      <c r="A201" s="23">
        <v>46304</v>
      </c>
      <c r="B201">
        <v>200</v>
      </c>
      <c r="C201" t="s">
        <v>82</v>
      </c>
      <c r="D201" t="s">
        <v>92</v>
      </c>
      <c r="E201">
        <v>2</v>
      </c>
      <c r="F201">
        <v>184</v>
      </c>
      <c r="G201">
        <v>1</v>
      </c>
      <c r="H201" t="s">
        <v>84</v>
      </c>
      <c r="I201" t="s">
        <v>91</v>
      </c>
      <c r="J201" t="s">
        <v>85</v>
      </c>
      <c r="K201" t="s">
        <v>86</v>
      </c>
      <c r="L201" t="s">
        <v>71</v>
      </c>
      <c r="M201" t="s">
        <v>87</v>
      </c>
      <c r="O201" t="s">
        <v>88</v>
      </c>
      <c r="P201" t="s">
        <v>27</v>
      </c>
      <c r="Q201" t="s">
        <v>73</v>
      </c>
      <c r="R201" t="s">
        <v>76</v>
      </c>
      <c r="S201" t="s">
        <v>74</v>
      </c>
      <c r="T201" t="s">
        <v>75</v>
      </c>
      <c r="X201" t="s">
        <v>77</v>
      </c>
      <c r="Z201" t="s">
        <v>72</v>
      </c>
      <c r="AA201" t="s">
        <v>93</v>
      </c>
      <c r="AB201">
        <v>5</v>
      </c>
      <c r="AC201">
        <v>748740.51</v>
      </c>
      <c r="AD201">
        <v>8930511.1799999997</v>
      </c>
      <c r="AE201">
        <v>190.13</v>
      </c>
      <c r="AF201">
        <v>748740.51</v>
      </c>
      <c r="AG201">
        <v>8930511.1799999997</v>
      </c>
      <c r="AH201">
        <v>184.49</v>
      </c>
      <c r="AI201">
        <v>5.64</v>
      </c>
      <c r="AJ201">
        <v>0.6</v>
      </c>
      <c r="AK201">
        <v>2.97</v>
      </c>
      <c r="AL201">
        <v>2.58</v>
      </c>
      <c r="AM201">
        <v>0</v>
      </c>
      <c r="AN201">
        <v>0</v>
      </c>
      <c r="AO201">
        <v>358</v>
      </c>
      <c r="AP201">
        <v>3.3</v>
      </c>
      <c r="AQ201">
        <v>0.57999999999999996</v>
      </c>
      <c r="AR201">
        <v>0.09</v>
      </c>
      <c r="AS201">
        <v>7.0000000000000007E-2</v>
      </c>
      <c r="AT201">
        <v>18.13</v>
      </c>
      <c r="AU201">
        <v>5.31</v>
      </c>
      <c r="AV201">
        <v>0.32</v>
      </c>
      <c r="AW201">
        <v>1.82</v>
      </c>
      <c r="AX201">
        <v>1.37</v>
      </c>
      <c r="AY201">
        <v>2.5</v>
      </c>
      <c r="AZ201">
        <v>45.718000000000004</v>
      </c>
      <c r="BA201">
        <v>0</v>
      </c>
      <c r="BB201">
        <v>0</v>
      </c>
      <c r="BC201">
        <v>0</v>
      </c>
      <c r="BD201">
        <v>0</v>
      </c>
    </row>
    <row r="202" spans="1:56" x14ac:dyDescent="0.25">
      <c r="A202" s="23">
        <v>46304</v>
      </c>
      <c r="B202">
        <v>201</v>
      </c>
      <c r="C202" t="s">
        <v>82</v>
      </c>
      <c r="D202" t="s">
        <v>92</v>
      </c>
      <c r="E202">
        <v>2</v>
      </c>
      <c r="F202">
        <v>184</v>
      </c>
      <c r="G202">
        <v>1</v>
      </c>
      <c r="H202" t="s">
        <v>84</v>
      </c>
      <c r="I202" t="s">
        <v>91</v>
      </c>
      <c r="J202" t="s">
        <v>85</v>
      </c>
      <c r="K202" t="s">
        <v>86</v>
      </c>
      <c r="L202" t="s">
        <v>71</v>
      </c>
      <c r="M202" t="s">
        <v>87</v>
      </c>
      <c r="O202" t="s">
        <v>88</v>
      </c>
      <c r="P202" t="s">
        <v>27</v>
      </c>
      <c r="Q202" t="s">
        <v>73</v>
      </c>
      <c r="R202" t="s">
        <v>76</v>
      </c>
      <c r="S202" t="s">
        <v>74</v>
      </c>
      <c r="T202" t="s">
        <v>75</v>
      </c>
      <c r="X202" t="s">
        <v>77</v>
      </c>
      <c r="Z202" t="s">
        <v>72</v>
      </c>
      <c r="AA202" t="s">
        <v>93</v>
      </c>
      <c r="AB202">
        <v>5</v>
      </c>
      <c r="AC202">
        <v>748737.92</v>
      </c>
      <c r="AD202">
        <v>8930509.7100000009</v>
      </c>
      <c r="AE202">
        <v>190.13</v>
      </c>
      <c r="AF202">
        <v>748737.92</v>
      </c>
      <c r="AG202">
        <v>8930509.7100000009</v>
      </c>
      <c r="AH202">
        <v>184.49</v>
      </c>
      <c r="AI202">
        <v>5.64</v>
      </c>
      <c r="AJ202">
        <v>0.6</v>
      </c>
      <c r="AK202">
        <v>2.97</v>
      </c>
      <c r="AL202">
        <v>2.58</v>
      </c>
      <c r="AM202">
        <v>0</v>
      </c>
      <c r="AN202">
        <v>0</v>
      </c>
      <c r="AO202">
        <v>358</v>
      </c>
      <c r="AP202">
        <v>3.28</v>
      </c>
      <c r="AQ202">
        <v>0.56000000000000005</v>
      </c>
      <c r="AR202">
        <v>0.09</v>
      </c>
      <c r="AS202">
        <v>7.0000000000000007E-2</v>
      </c>
      <c r="AT202">
        <v>17.39</v>
      </c>
      <c r="AU202">
        <v>5.0199999999999996</v>
      </c>
      <c r="AV202">
        <v>0.33</v>
      </c>
      <c r="AW202">
        <v>1.71</v>
      </c>
      <c r="AX202">
        <v>4.91</v>
      </c>
      <c r="AY202">
        <v>2.5</v>
      </c>
      <c r="AZ202">
        <v>45.718000000000004</v>
      </c>
      <c r="BA202">
        <v>0</v>
      </c>
      <c r="BB202">
        <v>0</v>
      </c>
      <c r="BC202">
        <v>0</v>
      </c>
      <c r="BD202">
        <v>0</v>
      </c>
    </row>
    <row r="203" spans="1:56" x14ac:dyDescent="0.25">
      <c r="A203" s="23">
        <v>46304</v>
      </c>
      <c r="B203">
        <v>202</v>
      </c>
      <c r="C203" t="s">
        <v>82</v>
      </c>
      <c r="D203" t="s">
        <v>92</v>
      </c>
      <c r="E203">
        <v>2</v>
      </c>
      <c r="F203">
        <v>184</v>
      </c>
      <c r="G203">
        <v>1</v>
      </c>
      <c r="H203" t="s">
        <v>84</v>
      </c>
      <c r="I203" t="s">
        <v>91</v>
      </c>
      <c r="J203" t="s">
        <v>85</v>
      </c>
      <c r="K203" t="s">
        <v>86</v>
      </c>
      <c r="L203" t="s">
        <v>71</v>
      </c>
      <c r="M203" t="s">
        <v>87</v>
      </c>
      <c r="O203" t="s">
        <v>88</v>
      </c>
      <c r="P203" t="s">
        <v>27</v>
      </c>
      <c r="Q203" t="s">
        <v>73</v>
      </c>
      <c r="R203" t="s">
        <v>76</v>
      </c>
      <c r="S203" t="s">
        <v>74</v>
      </c>
      <c r="T203" t="s">
        <v>75</v>
      </c>
      <c r="X203" t="s">
        <v>77</v>
      </c>
      <c r="Z203" t="s">
        <v>72</v>
      </c>
      <c r="AA203" t="s">
        <v>93</v>
      </c>
      <c r="AB203">
        <v>5</v>
      </c>
      <c r="AC203">
        <v>748735.34</v>
      </c>
      <c r="AD203">
        <v>8930508.25</v>
      </c>
      <c r="AE203">
        <v>190.08</v>
      </c>
      <c r="AF203">
        <v>748735.34</v>
      </c>
      <c r="AG203">
        <v>8930508.25</v>
      </c>
      <c r="AH203">
        <v>184.49</v>
      </c>
      <c r="AI203">
        <v>5.59</v>
      </c>
      <c r="AJ203">
        <v>0.6</v>
      </c>
      <c r="AK203">
        <v>2.97</v>
      </c>
      <c r="AL203">
        <v>2.58</v>
      </c>
      <c r="AM203">
        <v>0</v>
      </c>
      <c r="AN203">
        <v>0</v>
      </c>
      <c r="AO203">
        <v>358</v>
      </c>
      <c r="AP203">
        <v>3.26</v>
      </c>
      <c r="AQ203">
        <v>0.56999999999999995</v>
      </c>
      <c r="AR203">
        <v>0.09</v>
      </c>
      <c r="AS203">
        <v>7.0000000000000007E-2</v>
      </c>
      <c r="AT203">
        <v>17.149999999999999</v>
      </c>
      <c r="AU203">
        <v>4.95</v>
      </c>
      <c r="AV203">
        <v>0.34</v>
      </c>
      <c r="AW203">
        <v>1.67</v>
      </c>
      <c r="AX203">
        <v>7.97</v>
      </c>
      <c r="AY203">
        <v>2.5</v>
      </c>
      <c r="AZ203">
        <v>44.99</v>
      </c>
      <c r="BA203">
        <v>0</v>
      </c>
      <c r="BB203">
        <v>0</v>
      </c>
      <c r="BC203">
        <v>0</v>
      </c>
      <c r="BD203">
        <v>0</v>
      </c>
    </row>
    <row r="204" spans="1:56" x14ac:dyDescent="0.25">
      <c r="A204" s="23">
        <v>46304</v>
      </c>
      <c r="B204">
        <v>203</v>
      </c>
      <c r="C204" t="s">
        <v>82</v>
      </c>
      <c r="D204" t="s">
        <v>92</v>
      </c>
      <c r="E204">
        <v>2</v>
      </c>
      <c r="F204">
        <v>184</v>
      </c>
      <c r="G204">
        <v>1</v>
      </c>
      <c r="H204" t="s">
        <v>84</v>
      </c>
      <c r="I204" t="s">
        <v>91</v>
      </c>
      <c r="J204" t="s">
        <v>85</v>
      </c>
      <c r="K204" t="s">
        <v>86</v>
      </c>
      <c r="L204" t="s">
        <v>71</v>
      </c>
      <c r="M204" t="s">
        <v>87</v>
      </c>
      <c r="O204" t="s">
        <v>88</v>
      </c>
      <c r="P204" t="s">
        <v>27</v>
      </c>
      <c r="Q204" t="s">
        <v>73</v>
      </c>
      <c r="R204" t="s">
        <v>76</v>
      </c>
      <c r="S204" t="s">
        <v>74</v>
      </c>
      <c r="T204" t="s">
        <v>75</v>
      </c>
      <c r="X204" t="s">
        <v>77</v>
      </c>
      <c r="Z204" t="s">
        <v>72</v>
      </c>
      <c r="AA204" t="s">
        <v>93</v>
      </c>
      <c r="AB204">
        <v>5</v>
      </c>
      <c r="AC204">
        <v>748732.76</v>
      </c>
      <c r="AD204">
        <v>8930506.7899999991</v>
      </c>
      <c r="AE204">
        <v>189.93</v>
      </c>
      <c r="AF204">
        <v>748732.76</v>
      </c>
      <c r="AG204">
        <v>8930506.7899999991</v>
      </c>
      <c r="AH204">
        <v>184.49</v>
      </c>
      <c r="AI204">
        <v>5.44</v>
      </c>
      <c r="AJ204">
        <v>0.6</v>
      </c>
      <c r="AK204">
        <v>2.97</v>
      </c>
      <c r="AL204">
        <v>2.58</v>
      </c>
      <c r="AM204">
        <v>0</v>
      </c>
      <c r="AN204">
        <v>0</v>
      </c>
      <c r="AO204">
        <v>358</v>
      </c>
      <c r="AP204">
        <v>3.26</v>
      </c>
      <c r="AQ204">
        <v>0.56999999999999995</v>
      </c>
      <c r="AR204">
        <v>0.09</v>
      </c>
      <c r="AS204">
        <v>7.0000000000000007E-2</v>
      </c>
      <c r="AT204">
        <v>17.100000000000001</v>
      </c>
      <c r="AU204">
        <v>4.93</v>
      </c>
      <c r="AV204">
        <v>0.34</v>
      </c>
      <c r="AW204">
        <v>1.66</v>
      </c>
      <c r="AX204">
        <v>8.2899999999999991</v>
      </c>
      <c r="AY204">
        <v>2.5</v>
      </c>
      <c r="AZ204">
        <v>42.805999999999997</v>
      </c>
      <c r="BA204">
        <v>0</v>
      </c>
      <c r="BB204">
        <v>0</v>
      </c>
      <c r="BC204">
        <v>0</v>
      </c>
      <c r="BD204">
        <v>0</v>
      </c>
    </row>
    <row r="205" spans="1:56" x14ac:dyDescent="0.25">
      <c r="A205" s="23">
        <v>46304</v>
      </c>
      <c r="B205">
        <v>204</v>
      </c>
      <c r="C205" t="s">
        <v>82</v>
      </c>
      <c r="D205" t="s">
        <v>92</v>
      </c>
      <c r="E205">
        <v>2</v>
      </c>
      <c r="F205">
        <v>184</v>
      </c>
      <c r="G205">
        <v>1</v>
      </c>
      <c r="H205" t="s">
        <v>84</v>
      </c>
      <c r="I205" t="s">
        <v>91</v>
      </c>
      <c r="J205" t="s">
        <v>85</v>
      </c>
      <c r="K205" t="s">
        <v>86</v>
      </c>
      <c r="L205" t="s">
        <v>71</v>
      </c>
      <c r="M205" t="s">
        <v>87</v>
      </c>
      <c r="O205" t="s">
        <v>88</v>
      </c>
      <c r="P205" t="s">
        <v>27</v>
      </c>
      <c r="Q205" t="s">
        <v>73</v>
      </c>
      <c r="R205" t="s">
        <v>76</v>
      </c>
      <c r="S205" t="s">
        <v>74</v>
      </c>
      <c r="T205" t="s">
        <v>75</v>
      </c>
      <c r="X205" t="s">
        <v>77</v>
      </c>
      <c r="Z205" t="s">
        <v>72</v>
      </c>
      <c r="AA205" t="s">
        <v>93</v>
      </c>
      <c r="AB205">
        <v>5</v>
      </c>
      <c r="AC205">
        <v>748730.17</v>
      </c>
      <c r="AD205">
        <v>8930505.3200000003</v>
      </c>
      <c r="AE205">
        <v>189.96</v>
      </c>
      <c r="AF205">
        <v>748730.17</v>
      </c>
      <c r="AG205">
        <v>8930505.3200000003</v>
      </c>
      <c r="AH205">
        <v>184.48</v>
      </c>
      <c r="AI205">
        <v>5.48</v>
      </c>
      <c r="AJ205">
        <v>0.6</v>
      </c>
      <c r="AK205">
        <v>2.97</v>
      </c>
      <c r="AL205">
        <v>2.58</v>
      </c>
      <c r="AM205">
        <v>0</v>
      </c>
      <c r="AN205">
        <v>0</v>
      </c>
      <c r="AO205">
        <v>358</v>
      </c>
      <c r="AP205">
        <v>3.29</v>
      </c>
      <c r="AQ205">
        <v>0.56999999999999995</v>
      </c>
      <c r="AR205">
        <v>0.09</v>
      </c>
      <c r="AS205">
        <v>7.0000000000000007E-2</v>
      </c>
      <c r="AT205">
        <v>17.760000000000002</v>
      </c>
      <c r="AU205">
        <v>4.9400000000000004</v>
      </c>
      <c r="AV205">
        <v>0.33</v>
      </c>
      <c r="AW205">
        <v>1.76</v>
      </c>
      <c r="AX205">
        <v>4.53</v>
      </c>
      <c r="AY205">
        <v>2.5</v>
      </c>
      <c r="AZ205">
        <v>43.389000000000003</v>
      </c>
      <c r="BA205">
        <v>0</v>
      </c>
      <c r="BB205">
        <v>0</v>
      </c>
      <c r="BC205">
        <v>0</v>
      </c>
      <c r="BD205">
        <v>0</v>
      </c>
    </row>
    <row r="206" spans="1:56" x14ac:dyDescent="0.25">
      <c r="A206" s="23">
        <v>46304</v>
      </c>
      <c r="B206">
        <v>205</v>
      </c>
      <c r="C206" t="s">
        <v>82</v>
      </c>
      <c r="D206" t="s">
        <v>92</v>
      </c>
      <c r="E206">
        <v>2</v>
      </c>
      <c r="F206">
        <v>184</v>
      </c>
      <c r="G206">
        <v>1</v>
      </c>
      <c r="H206" t="s">
        <v>84</v>
      </c>
      <c r="I206" t="s">
        <v>91</v>
      </c>
      <c r="J206" t="s">
        <v>85</v>
      </c>
      <c r="K206" t="s">
        <v>86</v>
      </c>
      <c r="L206" t="s">
        <v>71</v>
      </c>
      <c r="M206" t="s">
        <v>87</v>
      </c>
      <c r="O206" t="s">
        <v>88</v>
      </c>
      <c r="P206" t="s">
        <v>27</v>
      </c>
      <c r="Q206" t="s">
        <v>73</v>
      </c>
      <c r="R206" t="s">
        <v>76</v>
      </c>
      <c r="S206" t="s">
        <v>74</v>
      </c>
      <c r="T206" t="s">
        <v>75</v>
      </c>
      <c r="X206" t="s">
        <v>77</v>
      </c>
      <c r="Z206" t="s">
        <v>72</v>
      </c>
      <c r="AA206" t="s">
        <v>93</v>
      </c>
      <c r="AB206">
        <v>5</v>
      </c>
      <c r="AC206">
        <v>748727.62</v>
      </c>
      <c r="AD206">
        <v>8930503.8000000007</v>
      </c>
      <c r="AE206">
        <v>190.07</v>
      </c>
      <c r="AF206">
        <v>748727.62</v>
      </c>
      <c r="AG206">
        <v>8930503.8000000007</v>
      </c>
      <c r="AH206">
        <v>184.47</v>
      </c>
      <c r="AI206">
        <v>5.6</v>
      </c>
      <c r="AJ206">
        <v>0.6</v>
      </c>
      <c r="AK206">
        <v>2.97</v>
      </c>
      <c r="AL206">
        <v>2.58</v>
      </c>
      <c r="AM206">
        <v>0</v>
      </c>
      <c r="AN206">
        <v>0</v>
      </c>
      <c r="AO206">
        <v>358</v>
      </c>
      <c r="AP206">
        <v>3.33</v>
      </c>
      <c r="AQ206">
        <v>0.57999999999999996</v>
      </c>
      <c r="AR206">
        <v>0.1</v>
      </c>
      <c r="AS206">
        <v>0.08</v>
      </c>
      <c r="AT206">
        <v>18.579999999999998</v>
      </c>
      <c r="AU206">
        <v>4.97</v>
      </c>
      <c r="AV206">
        <v>0.31</v>
      </c>
      <c r="AW206">
        <v>1.87</v>
      </c>
      <c r="AX206">
        <v>0.11</v>
      </c>
      <c r="AY206">
        <v>2.5</v>
      </c>
      <c r="AZ206">
        <v>45.136000000000003</v>
      </c>
      <c r="BA206">
        <v>0</v>
      </c>
      <c r="BB206">
        <v>0</v>
      </c>
      <c r="BC206">
        <v>0</v>
      </c>
      <c r="BD206">
        <v>0</v>
      </c>
    </row>
    <row r="207" spans="1:56" x14ac:dyDescent="0.25">
      <c r="A207" s="23">
        <v>46304</v>
      </c>
      <c r="B207">
        <v>206</v>
      </c>
      <c r="C207" t="s">
        <v>82</v>
      </c>
      <c r="D207" t="s">
        <v>92</v>
      </c>
      <c r="E207">
        <v>2</v>
      </c>
      <c r="F207">
        <v>184</v>
      </c>
      <c r="G207">
        <v>1</v>
      </c>
      <c r="H207" t="s">
        <v>84</v>
      </c>
      <c r="I207" t="s">
        <v>91</v>
      </c>
      <c r="J207" t="s">
        <v>85</v>
      </c>
      <c r="K207" t="s">
        <v>86</v>
      </c>
      <c r="L207" t="s">
        <v>71</v>
      </c>
      <c r="M207" t="s">
        <v>87</v>
      </c>
      <c r="O207" t="s">
        <v>88</v>
      </c>
      <c r="P207" t="s">
        <v>27</v>
      </c>
      <c r="Q207" t="s">
        <v>73</v>
      </c>
      <c r="R207" t="s">
        <v>76</v>
      </c>
      <c r="S207" t="s">
        <v>74</v>
      </c>
      <c r="T207" t="s">
        <v>75</v>
      </c>
      <c r="X207" t="s">
        <v>77</v>
      </c>
      <c r="Z207" t="s">
        <v>72</v>
      </c>
      <c r="AA207" t="s">
        <v>93</v>
      </c>
      <c r="AB207">
        <v>5</v>
      </c>
      <c r="AC207">
        <v>748725.14</v>
      </c>
      <c r="AD207">
        <v>8930502.1699999999</v>
      </c>
      <c r="AE207">
        <v>190.08</v>
      </c>
      <c r="AF207">
        <v>748725.14</v>
      </c>
      <c r="AG207">
        <v>8930502.1699999999</v>
      </c>
      <c r="AH207">
        <v>184.46</v>
      </c>
      <c r="AI207">
        <v>5.62</v>
      </c>
      <c r="AJ207">
        <v>0.6</v>
      </c>
      <c r="AK207">
        <v>2.97</v>
      </c>
      <c r="AL207">
        <v>2.58</v>
      </c>
      <c r="AM207">
        <v>0</v>
      </c>
      <c r="AN207">
        <v>0</v>
      </c>
      <c r="AO207">
        <v>358</v>
      </c>
      <c r="AP207">
        <v>3.33</v>
      </c>
      <c r="AQ207">
        <v>0.57999999999999996</v>
      </c>
      <c r="AR207">
        <v>0.1</v>
      </c>
      <c r="AS207">
        <v>0.08</v>
      </c>
      <c r="AT207">
        <v>18.59</v>
      </c>
      <c r="AU207">
        <v>4.97</v>
      </c>
      <c r="AV207">
        <v>0.31</v>
      </c>
      <c r="AW207">
        <v>1.87</v>
      </c>
      <c r="AX207">
        <v>0.13</v>
      </c>
      <c r="AY207">
        <v>2.5</v>
      </c>
      <c r="AZ207">
        <v>45.427</v>
      </c>
      <c r="BA207">
        <v>0</v>
      </c>
      <c r="BB207">
        <v>0</v>
      </c>
      <c r="BC207">
        <v>0</v>
      </c>
      <c r="BD207">
        <v>0</v>
      </c>
    </row>
    <row r="208" spans="1:56" x14ac:dyDescent="0.25">
      <c r="A208" s="23">
        <v>46304</v>
      </c>
      <c r="B208">
        <v>207</v>
      </c>
      <c r="C208" t="s">
        <v>82</v>
      </c>
      <c r="D208" t="s">
        <v>92</v>
      </c>
      <c r="E208">
        <v>2</v>
      </c>
      <c r="F208">
        <v>184</v>
      </c>
      <c r="G208">
        <v>1</v>
      </c>
      <c r="H208" t="s">
        <v>84</v>
      </c>
      <c r="I208" t="s">
        <v>91</v>
      </c>
      <c r="J208" t="s">
        <v>85</v>
      </c>
      <c r="K208" t="s">
        <v>86</v>
      </c>
      <c r="L208" t="s">
        <v>71</v>
      </c>
      <c r="M208" t="s">
        <v>87</v>
      </c>
      <c r="O208" t="s">
        <v>88</v>
      </c>
      <c r="P208" t="s">
        <v>27</v>
      </c>
      <c r="Q208" t="s">
        <v>73</v>
      </c>
      <c r="R208" t="s">
        <v>76</v>
      </c>
      <c r="S208" t="s">
        <v>74</v>
      </c>
      <c r="T208" t="s">
        <v>75</v>
      </c>
      <c r="X208" t="s">
        <v>77</v>
      </c>
      <c r="Z208" t="s">
        <v>72</v>
      </c>
      <c r="AA208" t="s">
        <v>93</v>
      </c>
      <c r="AB208">
        <v>5</v>
      </c>
      <c r="AC208">
        <v>748722.76</v>
      </c>
      <c r="AD208">
        <v>8930500.4000000004</v>
      </c>
      <c r="AE208">
        <v>190.05</v>
      </c>
      <c r="AF208">
        <v>748722.76</v>
      </c>
      <c r="AG208">
        <v>8930500.4000000004</v>
      </c>
      <c r="AH208">
        <v>184.46</v>
      </c>
      <c r="AI208">
        <v>5.59</v>
      </c>
      <c r="AJ208">
        <v>0.6</v>
      </c>
      <c r="AK208">
        <v>2.97</v>
      </c>
      <c r="AL208">
        <v>2.58</v>
      </c>
      <c r="AM208">
        <v>0</v>
      </c>
      <c r="AN208">
        <v>0</v>
      </c>
      <c r="AO208">
        <v>358</v>
      </c>
      <c r="AP208">
        <v>3.33</v>
      </c>
      <c r="AQ208">
        <v>0.59</v>
      </c>
      <c r="AR208">
        <v>0.1</v>
      </c>
      <c r="AS208">
        <v>0.08</v>
      </c>
      <c r="AT208">
        <v>19.350000000000001</v>
      </c>
      <c r="AU208">
        <v>5.05</v>
      </c>
      <c r="AV208">
        <v>0.33</v>
      </c>
      <c r="AW208">
        <v>1.8</v>
      </c>
      <c r="AX208">
        <v>3.51</v>
      </c>
      <c r="AY208">
        <v>2.5</v>
      </c>
      <c r="AZ208">
        <v>44.99</v>
      </c>
      <c r="BA208">
        <v>0</v>
      </c>
      <c r="BB208">
        <v>0</v>
      </c>
      <c r="BC208">
        <v>0</v>
      </c>
      <c r="BD208">
        <v>0</v>
      </c>
    </row>
    <row r="209" spans="1:56" x14ac:dyDescent="0.25">
      <c r="A209" s="23">
        <v>46304</v>
      </c>
      <c r="B209">
        <v>208</v>
      </c>
      <c r="C209" t="s">
        <v>82</v>
      </c>
      <c r="D209" t="s">
        <v>92</v>
      </c>
      <c r="E209">
        <v>2</v>
      </c>
      <c r="F209">
        <v>184</v>
      </c>
      <c r="G209">
        <v>1</v>
      </c>
      <c r="H209" t="s">
        <v>84</v>
      </c>
      <c r="I209" t="s">
        <v>91</v>
      </c>
      <c r="J209" t="s">
        <v>85</v>
      </c>
      <c r="K209" t="s">
        <v>86</v>
      </c>
      <c r="L209" t="s">
        <v>71</v>
      </c>
      <c r="M209" t="s">
        <v>87</v>
      </c>
      <c r="O209" t="s">
        <v>88</v>
      </c>
      <c r="P209" t="s">
        <v>27</v>
      </c>
      <c r="Q209" t="s">
        <v>73</v>
      </c>
      <c r="R209" t="s">
        <v>76</v>
      </c>
      <c r="S209" t="s">
        <v>74</v>
      </c>
      <c r="T209" t="s">
        <v>75</v>
      </c>
      <c r="X209" t="s">
        <v>77</v>
      </c>
      <c r="Z209" t="s">
        <v>72</v>
      </c>
      <c r="AA209" t="s">
        <v>93</v>
      </c>
      <c r="AB209">
        <v>5</v>
      </c>
      <c r="AC209">
        <v>748720.54</v>
      </c>
      <c r="AD209">
        <v>8930498.4199999999</v>
      </c>
      <c r="AE209">
        <v>189.83</v>
      </c>
      <c r="AF209">
        <v>748720.54</v>
      </c>
      <c r="AG209">
        <v>8930498.4199999999</v>
      </c>
      <c r="AH209">
        <v>184.47</v>
      </c>
      <c r="AI209">
        <v>5.36</v>
      </c>
      <c r="AJ209">
        <v>0.6</v>
      </c>
      <c r="AK209">
        <v>2.97</v>
      </c>
      <c r="AL209">
        <v>2.58</v>
      </c>
      <c r="AM209">
        <v>0</v>
      </c>
      <c r="AN209">
        <v>0</v>
      </c>
      <c r="AO209">
        <v>358</v>
      </c>
      <c r="AP209">
        <v>3.33</v>
      </c>
      <c r="AQ209">
        <v>0.63</v>
      </c>
      <c r="AR209">
        <v>0.1</v>
      </c>
      <c r="AS209">
        <v>0.09</v>
      </c>
      <c r="AT209">
        <v>20.399999999999999</v>
      </c>
      <c r="AU209">
        <v>5.25</v>
      </c>
      <c r="AV209">
        <v>0.35</v>
      </c>
      <c r="AW209">
        <v>1.78</v>
      </c>
      <c r="AX209">
        <v>8.49</v>
      </c>
      <c r="AY209">
        <v>2.5</v>
      </c>
      <c r="AZ209">
        <v>41.642000000000003</v>
      </c>
      <c r="BA209">
        <v>0</v>
      </c>
      <c r="BB209">
        <v>0</v>
      </c>
      <c r="BC209">
        <v>0</v>
      </c>
      <c r="BD209">
        <v>0</v>
      </c>
    </row>
    <row r="210" spans="1:56" x14ac:dyDescent="0.25">
      <c r="A210" s="23">
        <v>46304</v>
      </c>
      <c r="B210">
        <v>209</v>
      </c>
      <c r="C210" t="s">
        <v>82</v>
      </c>
      <c r="D210" t="s">
        <v>92</v>
      </c>
      <c r="E210">
        <v>2</v>
      </c>
      <c r="F210">
        <v>184</v>
      </c>
      <c r="G210">
        <v>1</v>
      </c>
      <c r="H210" t="s">
        <v>84</v>
      </c>
      <c r="I210" t="s">
        <v>91</v>
      </c>
      <c r="J210" t="s">
        <v>85</v>
      </c>
      <c r="K210" t="s">
        <v>86</v>
      </c>
      <c r="L210" t="s">
        <v>71</v>
      </c>
      <c r="M210" t="s">
        <v>87</v>
      </c>
      <c r="O210" t="s">
        <v>88</v>
      </c>
      <c r="P210" t="s">
        <v>27</v>
      </c>
      <c r="Q210" t="s">
        <v>73</v>
      </c>
      <c r="R210" t="s">
        <v>76</v>
      </c>
      <c r="S210" t="s">
        <v>74</v>
      </c>
      <c r="T210" t="s">
        <v>75</v>
      </c>
      <c r="X210" t="s">
        <v>77</v>
      </c>
      <c r="Z210" t="s">
        <v>72</v>
      </c>
      <c r="AA210" t="s">
        <v>94</v>
      </c>
      <c r="AB210">
        <v>5</v>
      </c>
      <c r="AC210">
        <v>748718.43</v>
      </c>
      <c r="AD210">
        <v>8930496.3399999999</v>
      </c>
      <c r="AE210">
        <v>189.64</v>
      </c>
      <c r="AF210">
        <v>748718.43</v>
      </c>
      <c r="AG210">
        <v>8930496.3399999999</v>
      </c>
      <c r="AH210">
        <v>184.48</v>
      </c>
      <c r="AI210">
        <v>5.17</v>
      </c>
      <c r="AJ210">
        <v>0.6</v>
      </c>
      <c r="AK210">
        <v>2.97</v>
      </c>
      <c r="AL210">
        <v>2.58</v>
      </c>
      <c r="AM210">
        <v>0</v>
      </c>
      <c r="AN210">
        <v>0</v>
      </c>
      <c r="AO210">
        <v>358</v>
      </c>
      <c r="AP210">
        <v>3.32</v>
      </c>
      <c r="AQ210">
        <v>0.68</v>
      </c>
      <c r="AR210">
        <v>0.12</v>
      </c>
      <c r="AS210">
        <v>0.09</v>
      </c>
      <c r="AT210">
        <v>20.329999999999998</v>
      </c>
      <c r="AU210">
        <v>5.4</v>
      </c>
      <c r="AV210">
        <v>0.36</v>
      </c>
      <c r="AW210">
        <v>1.92</v>
      </c>
      <c r="AX210">
        <v>9.24</v>
      </c>
      <c r="AY210">
        <v>3.3</v>
      </c>
      <c r="AZ210">
        <v>27.227</v>
      </c>
      <c r="BA210">
        <v>0</v>
      </c>
      <c r="BB210">
        <v>0</v>
      </c>
      <c r="BC210">
        <v>0</v>
      </c>
      <c r="BD210">
        <v>0</v>
      </c>
    </row>
    <row r="211" spans="1:56" x14ac:dyDescent="0.25">
      <c r="A211" s="23">
        <v>46304</v>
      </c>
      <c r="B211">
        <v>210</v>
      </c>
      <c r="C211" t="s">
        <v>82</v>
      </c>
      <c r="D211" t="s">
        <v>92</v>
      </c>
      <c r="E211">
        <v>2</v>
      </c>
      <c r="F211">
        <v>184</v>
      </c>
      <c r="G211">
        <v>1</v>
      </c>
      <c r="H211" t="s">
        <v>84</v>
      </c>
      <c r="I211" t="s">
        <v>91</v>
      </c>
      <c r="J211" t="s">
        <v>85</v>
      </c>
      <c r="K211" t="s">
        <v>86</v>
      </c>
      <c r="L211" t="s">
        <v>71</v>
      </c>
      <c r="M211" t="s">
        <v>87</v>
      </c>
      <c r="O211" t="s">
        <v>88</v>
      </c>
      <c r="P211" t="s">
        <v>27</v>
      </c>
      <c r="Q211" t="s">
        <v>73</v>
      </c>
      <c r="R211" t="s">
        <v>76</v>
      </c>
      <c r="S211" t="s">
        <v>74</v>
      </c>
      <c r="T211" t="s">
        <v>75</v>
      </c>
      <c r="X211" t="s">
        <v>77</v>
      </c>
      <c r="Z211" t="s">
        <v>72</v>
      </c>
      <c r="AA211" t="s">
        <v>93</v>
      </c>
      <c r="AB211">
        <v>5</v>
      </c>
      <c r="AC211">
        <v>748716.46</v>
      </c>
      <c r="AD211">
        <v>8930494.1199999992</v>
      </c>
      <c r="AE211">
        <v>189.68</v>
      </c>
      <c r="AF211">
        <v>748716.46</v>
      </c>
      <c r="AG211">
        <v>8930494.1199999992</v>
      </c>
      <c r="AH211">
        <v>184.48</v>
      </c>
      <c r="AI211">
        <v>5.19</v>
      </c>
      <c r="AJ211">
        <v>0.6</v>
      </c>
      <c r="AK211">
        <v>2.97</v>
      </c>
      <c r="AL211">
        <v>2.58</v>
      </c>
      <c r="AM211">
        <v>0</v>
      </c>
      <c r="AN211">
        <v>0</v>
      </c>
      <c r="AO211">
        <v>358</v>
      </c>
      <c r="AP211">
        <v>3.31</v>
      </c>
      <c r="AQ211">
        <v>0.69</v>
      </c>
      <c r="AR211">
        <v>0.12</v>
      </c>
      <c r="AS211">
        <v>0.09</v>
      </c>
      <c r="AT211">
        <v>20.3</v>
      </c>
      <c r="AU211">
        <v>5.41</v>
      </c>
      <c r="AV211">
        <v>0.36</v>
      </c>
      <c r="AW211">
        <v>1.93</v>
      </c>
      <c r="AX211">
        <v>9.26</v>
      </c>
      <c r="AY211">
        <v>2.5</v>
      </c>
      <c r="AZ211">
        <v>39.165999999999997</v>
      </c>
      <c r="BA211">
        <v>0</v>
      </c>
      <c r="BB211">
        <v>0</v>
      </c>
      <c r="BC211">
        <v>0</v>
      </c>
      <c r="BD211">
        <v>0</v>
      </c>
    </row>
    <row r="212" spans="1:56" x14ac:dyDescent="0.25">
      <c r="A212" s="23">
        <v>46304</v>
      </c>
      <c r="B212">
        <v>211</v>
      </c>
      <c r="C212" t="s">
        <v>82</v>
      </c>
      <c r="D212" t="s">
        <v>92</v>
      </c>
      <c r="E212">
        <v>2</v>
      </c>
      <c r="F212">
        <v>184</v>
      </c>
      <c r="G212">
        <v>1</v>
      </c>
      <c r="H212" t="s">
        <v>84</v>
      </c>
      <c r="I212" t="s">
        <v>91</v>
      </c>
      <c r="J212" t="s">
        <v>85</v>
      </c>
      <c r="K212" t="s">
        <v>86</v>
      </c>
      <c r="L212" t="s">
        <v>71</v>
      </c>
      <c r="M212" t="s">
        <v>87</v>
      </c>
      <c r="O212" t="s">
        <v>88</v>
      </c>
      <c r="P212" t="s">
        <v>27</v>
      </c>
      <c r="Q212" t="s">
        <v>73</v>
      </c>
      <c r="R212" t="s">
        <v>76</v>
      </c>
      <c r="S212" t="s">
        <v>74</v>
      </c>
      <c r="T212" t="s">
        <v>75</v>
      </c>
      <c r="X212" t="s">
        <v>77</v>
      </c>
      <c r="Z212" t="s">
        <v>72</v>
      </c>
      <c r="AA212" t="s">
        <v>93</v>
      </c>
      <c r="AB212">
        <v>5</v>
      </c>
      <c r="AC212">
        <v>748714.65</v>
      </c>
      <c r="AD212">
        <v>8930491.7599999998</v>
      </c>
      <c r="AE212">
        <v>189.75</v>
      </c>
      <c r="AF212">
        <v>748714.65</v>
      </c>
      <c r="AG212">
        <v>8930491.7599999998</v>
      </c>
      <c r="AH212">
        <v>184.49</v>
      </c>
      <c r="AI212">
        <v>5.27</v>
      </c>
      <c r="AJ212">
        <v>0.6</v>
      </c>
      <c r="AK212">
        <v>2.97</v>
      </c>
      <c r="AL212">
        <v>2.58</v>
      </c>
      <c r="AM212">
        <v>0</v>
      </c>
      <c r="AN212">
        <v>0</v>
      </c>
      <c r="AO212">
        <v>358</v>
      </c>
      <c r="AP212">
        <v>3.31</v>
      </c>
      <c r="AQ212">
        <v>0.69</v>
      </c>
      <c r="AR212">
        <v>0.12</v>
      </c>
      <c r="AS212">
        <v>0.09</v>
      </c>
      <c r="AT212">
        <v>20.260000000000002</v>
      </c>
      <c r="AU212">
        <v>5.44</v>
      </c>
      <c r="AV212">
        <v>0.36</v>
      </c>
      <c r="AW212">
        <v>1.94</v>
      </c>
      <c r="AX212">
        <v>9.24</v>
      </c>
      <c r="AY212">
        <v>2.5</v>
      </c>
      <c r="AZ212">
        <v>40.331000000000003</v>
      </c>
      <c r="BA212">
        <v>0</v>
      </c>
      <c r="BB212">
        <v>0</v>
      </c>
      <c r="BC212">
        <v>0</v>
      </c>
      <c r="BD212">
        <v>0</v>
      </c>
    </row>
    <row r="213" spans="1:56" x14ac:dyDescent="0.25">
      <c r="A213" s="23">
        <v>46304</v>
      </c>
      <c r="B213">
        <v>212</v>
      </c>
      <c r="C213" t="s">
        <v>82</v>
      </c>
      <c r="D213" t="s">
        <v>92</v>
      </c>
      <c r="E213">
        <v>2</v>
      </c>
      <c r="F213">
        <v>184</v>
      </c>
      <c r="G213">
        <v>1</v>
      </c>
      <c r="H213" t="s">
        <v>84</v>
      </c>
      <c r="I213" t="s">
        <v>91</v>
      </c>
      <c r="J213" t="s">
        <v>85</v>
      </c>
      <c r="K213" t="s">
        <v>86</v>
      </c>
      <c r="L213" t="s">
        <v>71</v>
      </c>
      <c r="M213" t="s">
        <v>87</v>
      </c>
      <c r="O213" t="s">
        <v>88</v>
      </c>
      <c r="P213" t="s">
        <v>27</v>
      </c>
      <c r="Q213" t="s">
        <v>73</v>
      </c>
      <c r="R213" t="s">
        <v>76</v>
      </c>
      <c r="S213" t="s">
        <v>74</v>
      </c>
      <c r="T213" t="s">
        <v>75</v>
      </c>
      <c r="X213" t="s">
        <v>77</v>
      </c>
      <c r="Z213" t="s">
        <v>72</v>
      </c>
      <c r="AA213" t="s">
        <v>93</v>
      </c>
      <c r="AB213">
        <v>5</v>
      </c>
      <c r="AC213">
        <v>748713.01</v>
      </c>
      <c r="AD213">
        <v>8930489.2899999991</v>
      </c>
      <c r="AE213">
        <v>189.76</v>
      </c>
      <c r="AF213">
        <v>748713.01</v>
      </c>
      <c r="AG213">
        <v>8930489.2899999991</v>
      </c>
      <c r="AH213">
        <v>184.5</v>
      </c>
      <c r="AI213">
        <v>5.26</v>
      </c>
      <c r="AJ213">
        <v>0.6</v>
      </c>
      <c r="AK213">
        <v>2.97</v>
      </c>
      <c r="AL213">
        <v>2.58</v>
      </c>
      <c r="AM213">
        <v>0</v>
      </c>
      <c r="AN213">
        <v>0</v>
      </c>
      <c r="AO213">
        <v>358</v>
      </c>
      <c r="AP213">
        <v>3.32</v>
      </c>
      <c r="AQ213">
        <v>0.7</v>
      </c>
      <c r="AR213">
        <v>0.11</v>
      </c>
      <c r="AS213">
        <v>0.09</v>
      </c>
      <c r="AT213">
        <v>19.48</v>
      </c>
      <c r="AU213">
        <v>5.87</v>
      </c>
      <c r="AV213">
        <v>0.35</v>
      </c>
      <c r="AW213">
        <v>1.98</v>
      </c>
      <c r="AX213">
        <v>8.89</v>
      </c>
      <c r="AY213">
        <v>2.5</v>
      </c>
      <c r="AZ213">
        <v>40.186</v>
      </c>
      <c r="BA213">
        <v>0</v>
      </c>
      <c r="BB213">
        <v>0</v>
      </c>
      <c r="BC213">
        <v>0</v>
      </c>
      <c r="BD213">
        <v>0</v>
      </c>
    </row>
    <row r="214" spans="1:56" x14ac:dyDescent="0.25">
      <c r="A214" s="23">
        <v>46304</v>
      </c>
      <c r="B214">
        <v>213</v>
      </c>
      <c r="C214" t="s">
        <v>82</v>
      </c>
      <c r="D214" t="s">
        <v>92</v>
      </c>
      <c r="E214">
        <v>2</v>
      </c>
      <c r="F214">
        <v>185</v>
      </c>
      <c r="G214">
        <v>1</v>
      </c>
      <c r="H214" t="s">
        <v>84</v>
      </c>
      <c r="I214" t="s">
        <v>91</v>
      </c>
      <c r="J214" t="s">
        <v>85</v>
      </c>
      <c r="K214" t="s">
        <v>86</v>
      </c>
      <c r="L214" t="s">
        <v>71</v>
      </c>
      <c r="M214" t="s">
        <v>87</v>
      </c>
      <c r="O214" t="s">
        <v>88</v>
      </c>
      <c r="P214" t="s">
        <v>27</v>
      </c>
      <c r="Q214" t="s">
        <v>73</v>
      </c>
      <c r="R214" t="s">
        <v>76</v>
      </c>
      <c r="S214" t="s">
        <v>74</v>
      </c>
      <c r="T214" t="s">
        <v>75</v>
      </c>
      <c r="X214" t="s">
        <v>77</v>
      </c>
      <c r="Z214" t="s">
        <v>72</v>
      </c>
      <c r="AA214" t="s">
        <v>93</v>
      </c>
      <c r="AB214">
        <v>5</v>
      </c>
      <c r="AC214">
        <v>748711.51</v>
      </c>
      <c r="AD214">
        <v>8930486.7200000007</v>
      </c>
      <c r="AE214">
        <v>189.74</v>
      </c>
      <c r="AF214">
        <v>748711.51</v>
      </c>
      <c r="AG214">
        <v>8930486.7200000007</v>
      </c>
      <c r="AH214">
        <v>184.51</v>
      </c>
      <c r="AI214">
        <v>5.22</v>
      </c>
      <c r="AJ214">
        <v>0.6</v>
      </c>
      <c r="AK214">
        <v>2.97</v>
      </c>
      <c r="AL214">
        <v>2.58</v>
      </c>
      <c r="AM214">
        <v>0</v>
      </c>
      <c r="AN214">
        <v>0</v>
      </c>
      <c r="AO214">
        <v>358</v>
      </c>
      <c r="AP214">
        <v>3.32</v>
      </c>
      <c r="AQ214">
        <v>0.69</v>
      </c>
      <c r="AR214">
        <v>0.11</v>
      </c>
      <c r="AS214">
        <v>0.08</v>
      </c>
      <c r="AT214">
        <v>19.05</v>
      </c>
      <c r="AU214">
        <v>5.96</v>
      </c>
      <c r="AV214">
        <v>0.36</v>
      </c>
      <c r="AW214">
        <v>1.95</v>
      </c>
      <c r="AX214">
        <v>8.01</v>
      </c>
      <c r="AY214">
        <v>2.5</v>
      </c>
      <c r="AZ214">
        <v>39.603000000000002</v>
      </c>
      <c r="BA214">
        <v>0</v>
      </c>
      <c r="BB214">
        <v>0</v>
      </c>
      <c r="BC214">
        <v>0</v>
      </c>
      <c r="BD214">
        <v>0</v>
      </c>
    </row>
    <row r="215" spans="1:56" x14ac:dyDescent="0.25">
      <c r="A215" s="23">
        <v>46304</v>
      </c>
      <c r="B215">
        <v>214</v>
      </c>
      <c r="C215" t="s">
        <v>82</v>
      </c>
      <c r="D215" t="s">
        <v>92</v>
      </c>
      <c r="E215">
        <v>2</v>
      </c>
      <c r="F215">
        <v>185</v>
      </c>
      <c r="G215">
        <v>1</v>
      </c>
      <c r="H215" t="s">
        <v>84</v>
      </c>
      <c r="I215" t="s">
        <v>91</v>
      </c>
      <c r="J215" t="s">
        <v>85</v>
      </c>
      <c r="K215" t="s">
        <v>86</v>
      </c>
      <c r="L215" t="s">
        <v>71</v>
      </c>
      <c r="M215" t="s">
        <v>87</v>
      </c>
      <c r="O215" t="s">
        <v>88</v>
      </c>
      <c r="P215" t="s">
        <v>27</v>
      </c>
      <c r="Q215" t="s">
        <v>73</v>
      </c>
      <c r="R215" t="s">
        <v>76</v>
      </c>
      <c r="S215" t="s">
        <v>74</v>
      </c>
      <c r="T215" t="s">
        <v>75</v>
      </c>
      <c r="X215" t="s">
        <v>77</v>
      </c>
      <c r="Z215" t="s">
        <v>72</v>
      </c>
      <c r="AA215" t="s">
        <v>93</v>
      </c>
      <c r="AB215">
        <v>5</v>
      </c>
      <c r="AC215">
        <v>748710.21</v>
      </c>
      <c r="AD215">
        <v>8930484.0600000005</v>
      </c>
      <c r="AE215">
        <v>189.86</v>
      </c>
      <c r="AF215">
        <v>748710.21</v>
      </c>
      <c r="AG215">
        <v>8930484.0600000005</v>
      </c>
      <c r="AH215">
        <v>184.53</v>
      </c>
      <c r="AI215">
        <v>5.33</v>
      </c>
      <c r="AJ215">
        <v>0.6</v>
      </c>
      <c r="AK215">
        <v>2.97</v>
      </c>
      <c r="AL215">
        <v>2.58</v>
      </c>
      <c r="AM215">
        <v>0</v>
      </c>
      <c r="AN215">
        <v>0</v>
      </c>
      <c r="AO215">
        <v>358</v>
      </c>
      <c r="AP215">
        <v>3.31</v>
      </c>
      <c r="AQ215">
        <v>0.68</v>
      </c>
      <c r="AR215">
        <v>0.1</v>
      </c>
      <c r="AS215">
        <v>0.08</v>
      </c>
      <c r="AT215">
        <v>18.68</v>
      </c>
      <c r="AU215">
        <v>5.58</v>
      </c>
      <c r="AV215">
        <v>0.39</v>
      </c>
      <c r="AW215">
        <v>1.76</v>
      </c>
      <c r="AX215">
        <v>4.9400000000000004</v>
      </c>
      <c r="AY215">
        <v>2.5</v>
      </c>
      <c r="AZ215">
        <v>41.204999999999998</v>
      </c>
      <c r="BA215">
        <v>0</v>
      </c>
      <c r="BB215">
        <v>0</v>
      </c>
      <c r="BC215">
        <v>0</v>
      </c>
      <c r="BD215">
        <v>0</v>
      </c>
    </row>
    <row r="216" spans="1:56" x14ac:dyDescent="0.25">
      <c r="A216" s="23">
        <v>46304</v>
      </c>
      <c r="B216">
        <v>215</v>
      </c>
      <c r="C216" t="s">
        <v>82</v>
      </c>
      <c r="D216" t="s">
        <v>92</v>
      </c>
      <c r="E216">
        <v>2</v>
      </c>
      <c r="F216">
        <v>185</v>
      </c>
      <c r="G216">
        <v>1</v>
      </c>
      <c r="H216" t="s">
        <v>84</v>
      </c>
      <c r="I216" t="s">
        <v>91</v>
      </c>
      <c r="J216" t="s">
        <v>85</v>
      </c>
      <c r="K216" t="s">
        <v>86</v>
      </c>
      <c r="L216" t="s">
        <v>71</v>
      </c>
      <c r="M216" t="s">
        <v>87</v>
      </c>
      <c r="O216" t="s">
        <v>88</v>
      </c>
      <c r="P216" t="s">
        <v>27</v>
      </c>
      <c r="Q216" t="s">
        <v>73</v>
      </c>
      <c r="R216" t="s">
        <v>76</v>
      </c>
      <c r="S216" t="s">
        <v>74</v>
      </c>
      <c r="T216" t="s">
        <v>75</v>
      </c>
      <c r="X216" t="s">
        <v>77</v>
      </c>
      <c r="Z216" t="s">
        <v>72</v>
      </c>
      <c r="AA216" t="s">
        <v>93</v>
      </c>
      <c r="AB216">
        <v>5</v>
      </c>
      <c r="AC216">
        <v>748709.09</v>
      </c>
      <c r="AD216">
        <v>8930481.3000000007</v>
      </c>
      <c r="AE216">
        <v>189.93</v>
      </c>
      <c r="AF216">
        <v>748709.09</v>
      </c>
      <c r="AG216">
        <v>8930481.3000000007</v>
      </c>
      <c r="AH216">
        <v>184.54</v>
      </c>
      <c r="AI216">
        <v>5.38</v>
      </c>
      <c r="AJ216">
        <v>0.6</v>
      </c>
      <c r="AK216">
        <v>2.97</v>
      </c>
      <c r="AL216">
        <v>2.58</v>
      </c>
      <c r="AM216">
        <v>0</v>
      </c>
      <c r="AN216">
        <v>0</v>
      </c>
      <c r="AO216">
        <v>358</v>
      </c>
      <c r="AP216">
        <v>3.31</v>
      </c>
      <c r="AQ216">
        <v>0.64</v>
      </c>
      <c r="AR216">
        <v>0.1</v>
      </c>
      <c r="AS216">
        <v>0.08</v>
      </c>
      <c r="AT216">
        <v>17.75</v>
      </c>
      <c r="AU216">
        <v>5.22</v>
      </c>
      <c r="AV216">
        <v>0.43</v>
      </c>
      <c r="AW216">
        <v>1.52</v>
      </c>
      <c r="AX216">
        <v>3.03</v>
      </c>
      <c r="AY216">
        <v>2.5</v>
      </c>
      <c r="AZ216">
        <v>41.933</v>
      </c>
      <c r="BA216">
        <v>0</v>
      </c>
      <c r="BB216">
        <v>0</v>
      </c>
      <c r="BC216">
        <v>0</v>
      </c>
      <c r="BD216">
        <v>0</v>
      </c>
    </row>
    <row r="217" spans="1:56" x14ac:dyDescent="0.25">
      <c r="A217" s="23">
        <v>46304</v>
      </c>
      <c r="B217">
        <v>216</v>
      </c>
      <c r="C217" t="s">
        <v>82</v>
      </c>
      <c r="D217" t="s">
        <v>92</v>
      </c>
      <c r="E217">
        <v>2</v>
      </c>
      <c r="F217">
        <v>185</v>
      </c>
      <c r="G217">
        <v>1</v>
      </c>
      <c r="H217" t="s">
        <v>84</v>
      </c>
      <c r="I217" t="s">
        <v>91</v>
      </c>
      <c r="J217" t="s">
        <v>85</v>
      </c>
      <c r="K217" t="s">
        <v>86</v>
      </c>
      <c r="L217" t="s">
        <v>71</v>
      </c>
      <c r="M217" t="s">
        <v>87</v>
      </c>
      <c r="O217" t="s">
        <v>88</v>
      </c>
      <c r="P217" t="s">
        <v>27</v>
      </c>
      <c r="Q217" t="s">
        <v>73</v>
      </c>
      <c r="R217" t="s">
        <v>76</v>
      </c>
      <c r="S217" t="s">
        <v>74</v>
      </c>
      <c r="T217" t="s">
        <v>75</v>
      </c>
      <c r="X217" t="s">
        <v>77</v>
      </c>
      <c r="Z217" t="s">
        <v>72</v>
      </c>
      <c r="AA217" t="s">
        <v>94</v>
      </c>
      <c r="AB217">
        <v>5</v>
      </c>
      <c r="AC217">
        <v>748708.14</v>
      </c>
      <c r="AD217">
        <v>8930478.4900000002</v>
      </c>
      <c r="AE217">
        <v>190</v>
      </c>
      <c r="AF217">
        <v>748708.14</v>
      </c>
      <c r="AG217">
        <v>8930478.4900000002</v>
      </c>
      <c r="AH217">
        <v>184.55</v>
      </c>
      <c r="AI217">
        <v>5.45</v>
      </c>
      <c r="AJ217">
        <v>0.6</v>
      </c>
      <c r="AK217">
        <v>2.97</v>
      </c>
      <c r="AL217">
        <v>2.58</v>
      </c>
      <c r="AM217">
        <v>0</v>
      </c>
      <c r="AN217">
        <v>0</v>
      </c>
      <c r="AO217">
        <v>358</v>
      </c>
      <c r="AP217">
        <v>3.34</v>
      </c>
      <c r="AQ217">
        <v>0.48</v>
      </c>
      <c r="AR217">
        <v>7.0000000000000007E-2</v>
      </c>
      <c r="AS217">
        <v>0.06</v>
      </c>
      <c r="AT217">
        <v>14.07</v>
      </c>
      <c r="AU217">
        <v>4.97</v>
      </c>
      <c r="AV217">
        <v>0.51</v>
      </c>
      <c r="AW217">
        <v>0.95</v>
      </c>
      <c r="AX217">
        <v>7.72</v>
      </c>
      <c r="AY217">
        <v>3.3</v>
      </c>
      <c r="AZ217">
        <v>31.303999999999998</v>
      </c>
      <c r="BA217">
        <v>0</v>
      </c>
      <c r="BB217">
        <v>0</v>
      </c>
      <c r="BC217">
        <v>0</v>
      </c>
      <c r="BD217">
        <v>0</v>
      </c>
    </row>
    <row r="218" spans="1:56" x14ac:dyDescent="0.25">
      <c r="A218" s="23">
        <v>46304</v>
      </c>
      <c r="B218">
        <v>217</v>
      </c>
      <c r="C218" t="s">
        <v>82</v>
      </c>
      <c r="D218" t="s">
        <v>92</v>
      </c>
      <c r="E218">
        <v>2</v>
      </c>
      <c r="F218">
        <v>185</v>
      </c>
      <c r="G218">
        <v>1</v>
      </c>
      <c r="H218" t="s">
        <v>84</v>
      </c>
      <c r="I218" t="s">
        <v>91</v>
      </c>
      <c r="J218" t="s">
        <v>85</v>
      </c>
      <c r="K218" t="s">
        <v>86</v>
      </c>
      <c r="L218" t="s">
        <v>71</v>
      </c>
      <c r="M218" t="s">
        <v>87</v>
      </c>
      <c r="O218" t="s">
        <v>88</v>
      </c>
      <c r="P218" t="s">
        <v>27</v>
      </c>
      <c r="Q218" t="s">
        <v>73</v>
      </c>
      <c r="R218" t="s">
        <v>76</v>
      </c>
      <c r="S218" t="s">
        <v>74</v>
      </c>
      <c r="T218" t="s">
        <v>75</v>
      </c>
      <c r="X218" t="s">
        <v>77</v>
      </c>
      <c r="Z218" t="s">
        <v>72</v>
      </c>
      <c r="AA218" t="s">
        <v>93</v>
      </c>
      <c r="AB218">
        <v>5</v>
      </c>
      <c r="AC218">
        <v>748707.32</v>
      </c>
      <c r="AD218">
        <v>8930475.6400000006</v>
      </c>
      <c r="AE218">
        <v>189.98</v>
      </c>
      <c r="AF218">
        <v>748707.32</v>
      </c>
      <c r="AG218">
        <v>8930475.6400000006</v>
      </c>
      <c r="AH218">
        <v>184.56</v>
      </c>
      <c r="AI218">
        <v>5.42</v>
      </c>
      <c r="AJ218">
        <v>0.6</v>
      </c>
      <c r="AK218">
        <v>2.97</v>
      </c>
      <c r="AL218">
        <v>2.58</v>
      </c>
      <c r="AM218">
        <v>0</v>
      </c>
      <c r="AN218">
        <v>0</v>
      </c>
      <c r="AO218">
        <v>358</v>
      </c>
      <c r="AP218">
        <v>3.35</v>
      </c>
      <c r="AQ218">
        <v>0.46</v>
      </c>
      <c r="AR218">
        <v>7.0000000000000007E-2</v>
      </c>
      <c r="AS218">
        <v>0.06</v>
      </c>
      <c r="AT218">
        <v>13.65</v>
      </c>
      <c r="AU218">
        <v>4.95</v>
      </c>
      <c r="AV218">
        <v>0.53</v>
      </c>
      <c r="AW218">
        <v>0.88</v>
      </c>
      <c r="AX218">
        <v>8.41</v>
      </c>
      <c r="AY218">
        <v>2.5</v>
      </c>
      <c r="AZ218">
        <v>42.515000000000001</v>
      </c>
      <c r="BA218">
        <v>0</v>
      </c>
      <c r="BB218">
        <v>0</v>
      </c>
      <c r="BC218">
        <v>0</v>
      </c>
      <c r="BD218">
        <v>0</v>
      </c>
    </row>
    <row r="219" spans="1:56" x14ac:dyDescent="0.25">
      <c r="A219" s="23">
        <v>46304</v>
      </c>
      <c r="B219">
        <v>218</v>
      </c>
      <c r="C219" t="s">
        <v>82</v>
      </c>
      <c r="D219" t="s">
        <v>92</v>
      </c>
      <c r="E219">
        <v>2</v>
      </c>
      <c r="F219">
        <v>185</v>
      </c>
      <c r="G219">
        <v>1</v>
      </c>
      <c r="H219" t="s">
        <v>84</v>
      </c>
      <c r="I219" t="s">
        <v>91</v>
      </c>
      <c r="J219" t="s">
        <v>85</v>
      </c>
      <c r="K219" t="s">
        <v>86</v>
      </c>
      <c r="L219" t="s">
        <v>71</v>
      </c>
      <c r="M219" t="s">
        <v>87</v>
      </c>
      <c r="O219" t="s">
        <v>88</v>
      </c>
      <c r="P219" t="s">
        <v>27</v>
      </c>
      <c r="Q219" t="s">
        <v>73</v>
      </c>
      <c r="R219" t="s">
        <v>76</v>
      </c>
      <c r="S219" t="s">
        <v>74</v>
      </c>
      <c r="T219" t="s">
        <v>75</v>
      </c>
      <c r="X219" t="s">
        <v>77</v>
      </c>
      <c r="Z219" t="s">
        <v>72</v>
      </c>
      <c r="AA219" t="s">
        <v>93</v>
      </c>
      <c r="AB219">
        <v>5</v>
      </c>
      <c r="AC219">
        <v>748706.53</v>
      </c>
      <c r="AD219">
        <v>8930472.7799999993</v>
      </c>
      <c r="AE219">
        <v>189.93</v>
      </c>
      <c r="AF219">
        <v>748706.53</v>
      </c>
      <c r="AG219">
        <v>8930472.7799999993</v>
      </c>
      <c r="AH219">
        <v>184.57</v>
      </c>
      <c r="AI219">
        <v>5.36</v>
      </c>
      <c r="AJ219">
        <v>0.6</v>
      </c>
      <c r="AK219">
        <v>2.97</v>
      </c>
      <c r="AL219">
        <v>2.58</v>
      </c>
      <c r="AM219">
        <v>0</v>
      </c>
      <c r="AN219">
        <v>0</v>
      </c>
      <c r="AO219">
        <v>358</v>
      </c>
      <c r="AP219">
        <v>3.35</v>
      </c>
      <c r="AQ219">
        <v>0.46</v>
      </c>
      <c r="AR219">
        <v>7.0000000000000007E-2</v>
      </c>
      <c r="AS219">
        <v>0.06</v>
      </c>
      <c r="AT219">
        <v>13.63</v>
      </c>
      <c r="AU219">
        <v>4.9400000000000004</v>
      </c>
      <c r="AV219">
        <v>0.52</v>
      </c>
      <c r="AW219">
        <v>0.88</v>
      </c>
      <c r="AX219">
        <v>8.39</v>
      </c>
      <c r="AY219">
        <v>2.5</v>
      </c>
      <c r="AZ219">
        <v>41.642000000000003</v>
      </c>
      <c r="BA219">
        <v>0</v>
      </c>
      <c r="BB219">
        <v>0</v>
      </c>
      <c r="BC219">
        <v>0</v>
      </c>
      <c r="BD219">
        <v>0</v>
      </c>
    </row>
    <row r="220" spans="1:56" x14ac:dyDescent="0.25">
      <c r="A220" s="23">
        <v>46304</v>
      </c>
      <c r="B220">
        <v>219</v>
      </c>
      <c r="C220" t="s">
        <v>82</v>
      </c>
      <c r="D220" t="s">
        <v>92</v>
      </c>
      <c r="E220">
        <v>2</v>
      </c>
      <c r="F220">
        <v>185</v>
      </c>
      <c r="G220">
        <v>1</v>
      </c>
      <c r="H220" t="s">
        <v>84</v>
      </c>
      <c r="I220" t="s">
        <v>91</v>
      </c>
      <c r="J220" t="s">
        <v>85</v>
      </c>
      <c r="K220" t="s">
        <v>86</v>
      </c>
      <c r="L220" t="s">
        <v>71</v>
      </c>
      <c r="M220" t="s">
        <v>87</v>
      </c>
      <c r="O220" t="s">
        <v>88</v>
      </c>
      <c r="P220" t="s">
        <v>27</v>
      </c>
      <c r="Q220" t="s">
        <v>73</v>
      </c>
      <c r="R220" t="s">
        <v>76</v>
      </c>
      <c r="S220" t="s">
        <v>74</v>
      </c>
      <c r="T220" t="s">
        <v>75</v>
      </c>
      <c r="X220" t="s">
        <v>77</v>
      </c>
      <c r="Z220" t="s">
        <v>72</v>
      </c>
      <c r="AA220" t="s">
        <v>93</v>
      </c>
      <c r="AB220">
        <v>5</v>
      </c>
      <c r="AC220">
        <v>748705.73</v>
      </c>
      <c r="AD220">
        <v>8930469.9100000001</v>
      </c>
      <c r="AE220">
        <v>190.03</v>
      </c>
      <c r="AF220">
        <v>748705.73</v>
      </c>
      <c r="AG220">
        <v>8930469.9100000001</v>
      </c>
      <c r="AH220">
        <v>184.57</v>
      </c>
      <c r="AI220">
        <v>5.46</v>
      </c>
      <c r="AJ220">
        <v>0.6</v>
      </c>
      <c r="AK220">
        <v>2.97</v>
      </c>
      <c r="AL220">
        <v>2.58</v>
      </c>
      <c r="AM220">
        <v>0</v>
      </c>
      <c r="AN220">
        <v>0</v>
      </c>
      <c r="AO220">
        <v>358</v>
      </c>
      <c r="AP220">
        <v>3.32</v>
      </c>
      <c r="AQ220">
        <v>0.46</v>
      </c>
      <c r="AR220">
        <v>7.0000000000000007E-2</v>
      </c>
      <c r="AS220">
        <v>0.06</v>
      </c>
      <c r="AT220">
        <v>13.49</v>
      </c>
      <c r="AU220">
        <v>5.09</v>
      </c>
      <c r="AV220">
        <v>0.51</v>
      </c>
      <c r="AW220">
        <v>0.87</v>
      </c>
      <c r="AX220">
        <v>8.0500000000000007</v>
      </c>
      <c r="AY220">
        <v>2.5</v>
      </c>
      <c r="AZ220">
        <v>43.097999999999999</v>
      </c>
      <c r="BA220">
        <v>0</v>
      </c>
      <c r="BB220">
        <v>0</v>
      </c>
      <c r="BC220">
        <v>0</v>
      </c>
      <c r="BD220">
        <v>0</v>
      </c>
    </row>
    <row r="221" spans="1:56" x14ac:dyDescent="0.25">
      <c r="A221" s="23">
        <v>46304</v>
      </c>
      <c r="B221">
        <v>220</v>
      </c>
      <c r="C221" t="s">
        <v>82</v>
      </c>
      <c r="D221" t="s">
        <v>92</v>
      </c>
      <c r="E221">
        <v>2</v>
      </c>
      <c r="F221">
        <v>185</v>
      </c>
      <c r="G221">
        <v>1</v>
      </c>
      <c r="H221" t="s">
        <v>84</v>
      </c>
      <c r="I221" t="s">
        <v>91</v>
      </c>
      <c r="J221" t="s">
        <v>85</v>
      </c>
      <c r="K221" t="s">
        <v>86</v>
      </c>
      <c r="L221" t="s">
        <v>71</v>
      </c>
      <c r="M221" t="s">
        <v>87</v>
      </c>
      <c r="O221" t="s">
        <v>88</v>
      </c>
      <c r="P221" t="s">
        <v>27</v>
      </c>
      <c r="Q221" t="s">
        <v>73</v>
      </c>
      <c r="R221" t="s">
        <v>76</v>
      </c>
      <c r="S221" t="s">
        <v>74</v>
      </c>
      <c r="T221" t="s">
        <v>75</v>
      </c>
      <c r="X221" t="s">
        <v>77</v>
      </c>
      <c r="Z221" t="s">
        <v>72</v>
      </c>
      <c r="AA221" t="s">
        <v>93</v>
      </c>
      <c r="AB221">
        <v>5</v>
      </c>
      <c r="AC221">
        <v>748704.94</v>
      </c>
      <c r="AD221">
        <v>8930467.0500000007</v>
      </c>
      <c r="AE221">
        <v>190.06</v>
      </c>
      <c r="AF221">
        <v>748704.94</v>
      </c>
      <c r="AG221">
        <v>8930467.0500000007</v>
      </c>
      <c r="AH221">
        <v>184.57</v>
      </c>
      <c r="AI221">
        <v>5.5</v>
      </c>
      <c r="AJ221">
        <v>0.6</v>
      </c>
      <c r="AK221">
        <v>2.97</v>
      </c>
      <c r="AL221">
        <v>2.58</v>
      </c>
      <c r="AM221">
        <v>0</v>
      </c>
      <c r="AN221">
        <v>0</v>
      </c>
      <c r="AO221">
        <v>358</v>
      </c>
      <c r="AP221">
        <v>3.26</v>
      </c>
      <c r="AQ221">
        <v>0.42</v>
      </c>
      <c r="AR221">
        <v>0.06</v>
      </c>
      <c r="AS221">
        <v>0.06</v>
      </c>
      <c r="AT221">
        <v>12.4</v>
      </c>
      <c r="AU221">
        <v>4.84</v>
      </c>
      <c r="AV221">
        <v>0.46</v>
      </c>
      <c r="AW221">
        <v>0.81</v>
      </c>
      <c r="AX221">
        <v>7.18</v>
      </c>
      <c r="AY221">
        <v>2.5</v>
      </c>
      <c r="AZ221">
        <v>43.68</v>
      </c>
      <c r="BA221">
        <v>0</v>
      </c>
      <c r="BB221">
        <v>0</v>
      </c>
      <c r="BC221">
        <v>0</v>
      </c>
      <c r="BD221">
        <v>0</v>
      </c>
    </row>
    <row r="222" spans="1:56" x14ac:dyDescent="0.25">
      <c r="A222" s="23">
        <v>46304</v>
      </c>
      <c r="B222">
        <v>221</v>
      </c>
      <c r="C222" t="s">
        <v>82</v>
      </c>
      <c r="D222" t="s">
        <v>92</v>
      </c>
      <c r="E222">
        <v>2</v>
      </c>
      <c r="F222">
        <v>185</v>
      </c>
      <c r="G222">
        <v>1</v>
      </c>
      <c r="H222" t="s">
        <v>84</v>
      </c>
      <c r="I222" t="s">
        <v>91</v>
      </c>
      <c r="J222" t="s">
        <v>85</v>
      </c>
      <c r="K222" t="s">
        <v>79</v>
      </c>
      <c r="L222" t="s">
        <v>71</v>
      </c>
      <c r="M222" t="s">
        <v>81</v>
      </c>
      <c r="O222" t="s">
        <v>88</v>
      </c>
      <c r="P222" t="s">
        <v>27</v>
      </c>
      <c r="Q222" t="s">
        <v>73</v>
      </c>
      <c r="R222" t="s">
        <v>76</v>
      </c>
      <c r="S222" t="s">
        <v>74</v>
      </c>
      <c r="T222" t="s">
        <v>75</v>
      </c>
      <c r="X222" t="s">
        <v>77</v>
      </c>
      <c r="Z222" t="s">
        <v>72</v>
      </c>
      <c r="AA222" t="s">
        <v>94</v>
      </c>
      <c r="AB222">
        <v>5</v>
      </c>
      <c r="AC222">
        <v>748704.15</v>
      </c>
      <c r="AD222">
        <v>8930464.1899999995</v>
      </c>
      <c r="AE222">
        <v>190.06</v>
      </c>
      <c r="AF222">
        <v>748704.15</v>
      </c>
      <c r="AG222">
        <v>8930464.1899999995</v>
      </c>
      <c r="AH222">
        <v>184.57</v>
      </c>
      <c r="AI222">
        <v>5.5</v>
      </c>
      <c r="AJ222">
        <v>0.6</v>
      </c>
      <c r="AK222">
        <v>2.97</v>
      </c>
      <c r="AL222">
        <v>2.58</v>
      </c>
      <c r="AM222">
        <v>0</v>
      </c>
      <c r="AN222">
        <v>0</v>
      </c>
      <c r="AO222">
        <v>358</v>
      </c>
      <c r="AP222">
        <v>3.25</v>
      </c>
      <c r="AQ222">
        <v>0.42</v>
      </c>
      <c r="AR222">
        <v>0.06</v>
      </c>
      <c r="AS222">
        <v>0.06</v>
      </c>
      <c r="AT222">
        <v>12.27</v>
      </c>
      <c r="AU222">
        <v>4.8099999999999996</v>
      </c>
      <c r="AV222">
        <v>0.46</v>
      </c>
      <c r="AW222">
        <v>0.79</v>
      </c>
      <c r="AX222">
        <v>7.15</v>
      </c>
      <c r="AY222">
        <v>3.3</v>
      </c>
      <c r="AZ222">
        <v>32.031999999999996</v>
      </c>
      <c r="BA222">
        <v>0</v>
      </c>
      <c r="BB222">
        <v>0</v>
      </c>
      <c r="BC222">
        <v>0</v>
      </c>
      <c r="BD222">
        <v>0</v>
      </c>
    </row>
    <row r="223" spans="1:56" x14ac:dyDescent="0.25">
      <c r="A223" s="23">
        <v>46304</v>
      </c>
      <c r="B223">
        <v>222</v>
      </c>
      <c r="C223" t="s">
        <v>82</v>
      </c>
      <c r="D223" t="s">
        <v>92</v>
      </c>
      <c r="E223">
        <v>2</v>
      </c>
      <c r="F223">
        <v>185</v>
      </c>
      <c r="G223">
        <v>0</v>
      </c>
      <c r="H223" t="s">
        <v>84</v>
      </c>
      <c r="I223" t="s">
        <v>28</v>
      </c>
      <c r="J223" t="s">
        <v>85</v>
      </c>
      <c r="K223" t="s">
        <v>79</v>
      </c>
      <c r="L223" t="s">
        <v>71</v>
      </c>
      <c r="M223" t="s">
        <v>81</v>
      </c>
      <c r="O223" t="s">
        <v>88</v>
      </c>
      <c r="P223" t="s">
        <v>27</v>
      </c>
      <c r="Q223" t="s">
        <v>73</v>
      </c>
      <c r="R223" t="s">
        <v>76</v>
      </c>
      <c r="S223" t="s">
        <v>74</v>
      </c>
      <c r="T223" t="s">
        <v>75</v>
      </c>
      <c r="X223" t="s">
        <v>77</v>
      </c>
      <c r="Z223" t="s">
        <v>72</v>
      </c>
      <c r="AA223" t="s">
        <v>93</v>
      </c>
      <c r="AB223">
        <v>5</v>
      </c>
      <c r="AC223">
        <v>748703.35</v>
      </c>
      <c r="AD223">
        <v>8930461.3300000001</v>
      </c>
      <c r="AE223">
        <v>189.96</v>
      </c>
      <c r="AF223">
        <v>748703.35</v>
      </c>
      <c r="AG223">
        <v>8930461.3300000001</v>
      </c>
      <c r="AH223">
        <v>184.54</v>
      </c>
      <c r="AI223">
        <v>5.42</v>
      </c>
      <c r="AJ223">
        <v>0.6</v>
      </c>
      <c r="AK223">
        <v>2.97</v>
      </c>
      <c r="AL223">
        <v>2.58</v>
      </c>
      <c r="AM223">
        <v>0</v>
      </c>
      <c r="AN223">
        <v>0</v>
      </c>
      <c r="AO223">
        <v>358</v>
      </c>
      <c r="AP223">
        <v>3.11</v>
      </c>
      <c r="AQ223">
        <v>0.28999999999999998</v>
      </c>
      <c r="AR223">
        <v>0.05</v>
      </c>
      <c r="AS223">
        <v>0.04</v>
      </c>
      <c r="AT223">
        <v>8.43</v>
      </c>
      <c r="AU223">
        <v>3.29</v>
      </c>
      <c r="AV223">
        <v>0.31</v>
      </c>
      <c r="AW223">
        <v>0.56000000000000005</v>
      </c>
      <c r="AX223">
        <v>4.84</v>
      </c>
      <c r="AY223">
        <v>2.5</v>
      </c>
      <c r="AZ223">
        <v>42.515000000000001</v>
      </c>
      <c r="BA223">
        <v>0</v>
      </c>
      <c r="BB223">
        <v>0</v>
      </c>
      <c r="BC223">
        <v>0</v>
      </c>
      <c r="BD223">
        <v>0</v>
      </c>
    </row>
    <row r="224" spans="1:56" x14ac:dyDescent="0.25">
      <c r="A224" s="23">
        <v>46304</v>
      </c>
      <c r="B224">
        <v>223</v>
      </c>
      <c r="C224" t="s">
        <v>82</v>
      </c>
      <c r="D224" t="s">
        <v>92</v>
      </c>
      <c r="E224">
        <v>2</v>
      </c>
      <c r="F224">
        <v>185</v>
      </c>
      <c r="G224">
        <v>0</v>
      </c>
      <c r="H224" t="s">
        <v>84</v>
      </c>
      <c r="I224" t="s">
        <v>28</v>
      </c>
      <c r="J224" t="s">
        <v>70</v>
      </c>
      <c r="K224" t="s">
        <v>79</v>
      </c>
      <c r="L224" t="s">
        <v>71</v>
      </c>
      <c r="M224" t="s">
        <v>81</v>
      </c>
      <c r="O224" t="s">
        <v>88</v>
      </c>
      <c r="P224" t="s">
        <v>27</v>
      </c>
      <c r="Q224" t="s">
        <v>73</v>
      </c>
      <c r="R224" t="s">
        <v>76</v>
      </c>
      <c r="S224" t="s">
        <v>74</v>
      </c>
      <c r="T224" t="s">
        <v>75</v>
      </c>
      <c r="X224" t="s">
        <v>77</v>
      </c>
      <c r="Z224" t="s">
        <v>72</v>
      </c>
      <c r="AA224" t="s">
        <v>93</v>
      </c>
      <c r="AB224">
        <v>5</v>
      </c>
      <c r="AC224">
        <v>748702.56</v>
      </c>
      <c r="AD224">
        <v>8930458.4700000007</v>
      </c>
      <c r="AE224">
        <v>189.83</v>
      </c>
      <c r="AF224">
        <v>748702.56</v>
      </c>
      <c r="AG224">
        <v>8930458.4700000007</v>
      </c>
      <c r="AH224">
        <v>184.52</v>
      </c>
      <c r="AI224">
        <v>5.3</v>
      </c>
      <c r="AJ224">
        <v>0.6</v>
      </c>
      <c r="AK224">
        <v>2.97</v>
      </c>
      <c r="AL224">
        <v>2.58</v>
      </c>
      <c r="AM224">
        <v>0</v>
      </c>
      <c r="AN224">
        <v>0</v>
      </c>
      <c r="AO224">
        <v>358</v>
      </c>
      <c r="AP224">
        <v>3.04</v>
      </c>
      <c r="AQ224">
        <v>0.22</v>
      </c>
      <c r="AR224">
        <v>0.04</v>
      </c>
      <c r="AS224">
        <v>0.03</v>
      </c>
      <c r="AT224">
        <v>6.05</v>
      </c>
      <c r="AU224">
        <v>2.29</v>
      </c>
      <c r="AV224">
        <v>0.19</v>
      </c>
      <c r="AW224">
        <v>0.47</v>
      </c>
      <c r="AX224">
        <v>3.13</v>
      </c>
      <c r="AY224">
        <v>2.5</v>
      </c>
      <c r="AZ224">
        <v>40.768000000000001</v>
      </c>
      <c r="BA224">
        <v>0</v>
      </c>
      <c r="BB224">
        <v>0</v>
      </c>
      <c r="BC224">
        <v>0</v>
      </c>
      <c r="BD224">
        <v>0</v>
      </c>
    </row>
    <row r="225" spans="1:56" x14ac:dyDescent="0.25">
      <c r="A225" s="23">
        <v>46304</v>
      </c>
      <c r="B225">
        <v>224</v>
      </c>
      <c r="C225" t="s">
        <v>82</v>
      </c>
      <c r="D225" t="s">
        <v>92</v>
      </c>
      <c r="E225">
        <v>2</v>
      </c>
      <c r="F225">
        <v>185</v>
      </c>
      <c r="G225">
        <v>0</v>
      </c>
      <c r="H225" t="s">
        <v>84</v>
      </c>
      <c r="I225" t="s">
        <v>28</v>
      </c>
      <c r="J225" t="s">
        <v>70</v>
      </c>
      <c r="K225" t="s">
        <v>79</v>
      </c>
      <c r="L225" t="s">
        <v>71</v>
      </c>
      <c r="M225" t="s">
        <v>81</v>
      </c>
      <c r="O225" t="s">
        <v>88</v>
      </c>
      <c r="P225" t="s">
        <v>27</v>
      </c>
      <c r="Q225" t="s">
        <v>73</v>
      </c>
      <c r="R225" t="s">
        <v>76</v>
      </c>
      <c r="S225" t="s">
        <v>74</v>
      </c>
      <c r="T225" t="s">
        <v>75</v>
      </c>
      <c r="X225" t="s">
        <v>77</v>
      </c>
      <c r="Z225" t="s">
        <v>72</v>
      </c>
      <c r="AA225" t="s">
        <v>93</v>
      </c>
      <c r="AB225">
        <v>5</v>
      </c>
      <c r="AC225">
        <v>748701.64</v>
      </c>
      <c r="AD225">
        <v>8930455.6500000004</v>
      </c>
      <c r="AE225">
        <v>189.84</v>
      </c>
      <c r="AF225">
        <v>748701.64</v>
      </c>
      <c r="AG225">
        <v>8930455.6500000004</v>
      </c>
      <c r="AH225">
        <v>184.52</v>
      </c>
      <c r="AI225">
        <v>5.32</v>
      </c>
      <c r="AJ225">
        <v>0.6</v>
      </c>
      <c r="AK225">
        <v>2.97</v>
      </c>
      <c r="AL225">
        <v>2.58</v>
      </c>
      <c r="AM225">
        <v>0</v>
      </c>
      <c r="AN225">
        <v>0</v>
      </c>
      <c r="AO225">
        <v>358</v>
      </c>
      <c r="AP225">
        <v>2.92</v>
      </c>
      <c r="AQ225">
        <v>0.09</v>
      </c>
      <c r="AR225">
        <v>0.01</v>
      </c>
      <c r="AS225">
        <v>0.01</v>
      </c>
      <c r="AT225">
        <v>2.42</v>
      </c>
      <c r="AU225">
        <v>0.91</v>
      </c>
      <c r="AV225">
        <v>7.0000000000000007E-2</v>
      </c>
      <c r="AW225">
        <v>0.2</v>
      </c>
      <c r="AX225">
        <v>1.19</v>
      </c>
      <c r="AY225">
        <v>2.5</v>
      </c>
      <c r="AZ225">
        <v>41.058999999999997</v>
      </c>
      <c r="BA225">
        <v>0</v>
      </c>
      <c r="BB225">
        <v>0</v>
      </c>
      <c r="BC225">
        <v>0</v>
      </c>
      <c r="BD225">
        <v>0</v>
      </c>
    </row>
    <row r="226" spans="1:56" x14ac:dyDescent="0.25">
      <c r="A226" s="23">
        <v>46304</v>
      </c>
      <c r="B226">
        <v>225</v>
      </c>
      <c r="C226" t="s">
        <v>82</v>
      </c>
      <c r="D226" t="s">
        <v>92</v>
      </c>
      <c r="E226">
        <v>2</v>
      </c>
      <c r="F226">
        <v>185</v>
      </c>
      <c r="G226">
        <v>0</v>
      </c>
      <c r="H226" t="s">
        <v>84</v>
      </c>
      <c r="I226" t="s">
        <v>28</v>
      </c>
      <c r="J226" t="s">
        <v>70</v>
      </c>
      <c r="K226" t="s">
        <v>79</v>
      </c>
      <c r="L226" t="s">
        <v>71</v>
      </c>
      <c r="M226" t="s">
        <v>81</v>
      </c>
      <c r="O226" t="s">
        <v>88</v>
      </c>
      <c r="P226" t="s">
        <v>27</v>
      </c>
      <c r="Q226" t="s">
        <v>73</v>
      </c>
      <c r="R226" t="s">
        <v>76</v>
      </c>
      <c r="S226" t="s">
        <v>74</v>
      </c>
      <c r="T226" t="s">
        <v>75</v>
      </c>
      <c r="X226" t="s">
        <v>77</v>
      </c>
      <c r="Z226" t="s">
        <v>72</v>
      </c>
      <c r="AA226" t="s">
        <v>93</v>
      </c>
      <c r="AB226">
        <v>5</v>
      </c>
      <c r="AC226">
        <v>748700.18</v>
      </c>
      <c r="AD226">
        <v>8930453.0700000003</v>
      </c>
      <c r="AE226">
        <v>189.8</v>
      </c>
      <c r="AF226">
        <v>748700.18</v>
      </c>
      <c r="AG226">
        <v>8930453.0700000003</v>
      </c>
      <c r="AH226">
        <v>184.5</v>
      </c>
      <c r="AI226">
        <v>5.3</v>
      </c>
      <c r="AJ226">
        <v>0.6</v>
      </c>
      <c r="AK226">
        <v>2.97</v>
      </c>
      <c r="AL226">
        <v>2.58</v>
      </c>
      <c r="AM226">
        <v>0</v>
      </c>
      <c r="AN226">
        <v>0</v>
      </c>
      <c r="AO226">
        <v>358</v>
      </c>
      <c r="AP226">
        <v>2.84</v>
      </c>
      <c r="AQ226">
        <v>0</v>
      </c>
      <c r="AR226">
        <v>0</v>
      </c>
      <c r="AS226">
        <v>0</v>
      </c>
      <c r="AT226">
        <v>0.21</v>
      </c>
      <c r="AU226">
        <v>0.08</v>
      </c>
      <c r="AV226">
        <v>0</v>
      </c>
      <c r="AW226">
        <v>0.02</v>
      </c>
      <c r="AX226">
        <v>0</v>
      </c>
      <c r="AY226">
        <v>2.5</v>
      </c>
      <c r="AZ226">
        <v>40.768000000000001</v>
      </c>
      <c r="BA226">
        <v>0</v>
      </c>
      <c r="BB226">
        <v>0</v>
      </c>
      <c r="BC226">
        <v>0</v>
      </c>
      <c r="BD226">
        <v>0</v>
      </c>
    </row>
    <row r="227" spans="1:56" x14ac:dyDescent="0.25">
      <c r="A227" s="23">
        <v>46304</v>
      </c>
      <c r="B227">
        <v>226</v>
      </c>
      <c r="C227" t="s">
        <v>82</v>
      </c>
      <c r="D227" t="s">
        <v>92</v>
      </c>
      <c r="E227">
        <v>2</v>
      </c>
      <c r="F227">
        <v>185</v>
      </c>
      <c r="G227">
        <v>0</v>
      </c>
      <c r="H227" t="s">
        <v>84</v>
      </c>
      <c r="I227" t="s">
        <v>28</v>
      </c>
      <c r="J227" t="s">
        <v>70</v>
      </c>
      <c r="K227" t="s">
        <v>79</v>
      </c>
      <c r="L227" t="s">
        <v>71</v>
      </c>
      <c r="M227" t="s">
        <v>81</v>
      </c>
      <c r="O227" t="s">
        <v>88</v>
      </c>
      <c r="P227" t="s">
        <v>27</v>
      </c>
      <c r="Q227" t="s">
        <v>73</v>
      </c>
      <c r="R227" t="s">
        <v>76</v>
      </c>
      <c r="S227" t="s">
        <v>74</v>
      </c>
      <c r="T227" t="s">
        <v>75</v>
      </c>
      <c r="X227" t="s">
        <v>77</v>
      </c>
      <c r="Z227" t="s">
        <v>72</v>
      </c>
      <c r="AA227" t="s">
        <v>93</v>
      </c>
      <c r="AB227">
        <v>5</v>
      </c>
      <c r="AC227">
        <v>748698.66</v>
      </c>
      <c r="AD227">
        <v>8930450.5099999998</v>
      </c>
      <c r="AE227">
        <v>189.78</v>
      </c>
      <c r="AF227">
        <v>748698.66</v>
      </c>
      <c r="AG227">
        <v>8930450.5099999998</v>
      </c>
      <c r="AH227">
        <v>184.5</v>
      </c>
      <c r="AI227">
        <v>5.28</v>
      </c>
      <c r="AJ227">
        <v>0.6</v>
      </c>
      <c r="AK227">
        <v>2.97</v>
      </c>
      <c r="AL227">
        <v>2.58</v>
      </c>
      <c r="AM227">
        <v>0</v>
      </c>
      <c r="AN227">
        <v>0</v>
      </c>
      <c r="AO227">
        <v>358</v>
      </c>
      <c r="AP227">
        <v>2.83</v>
      </c>
      <c r="AQ227">
        <v>0</v>
      </c>
      <c r="AR227">
        <v>0</v>
      </c>
      <c r="AS227">
        <v>0</v>
      </c>
      <c r="AT227">
        <v>0.12</v>
      </c>
      <c r="AU227">
        <v>0.05</v>
      </c>
      <c r="AV227">
        <v>0</v>
      </c>
      <c r="AW227">
        <v>0.01</v>
      </c>
      <c r="AX227">
        <v>0</v>
      </c>
      <c r="AY227">
        <v>2.5</v>
      </c>
      <c r="AZ227">
        <v>40.476999999999997</v>
      </c>
      <c r="BA227">
        <v>0</v>
      </c>
      <c r="BB227">
        <v>0</v>
      </c>
      <c r="BC227">
        <v>0</v>
      </c>
      <c r="BD227">
        <v>0</v>
      </c>
    </row>
    <row r="228" spans="1:56" x14ac:dyDescent="0.25">
      <c r="A228" s="23">
        <v>46304</v>
      </c>
      <c r="B228">
        <v>227</v>
      </c>
      <c r="C228" t="s">
        <v>82</v>
      </c>
      <c r="D228" t="s">
        <v>92</v>
      </c>
      <c r="E228">
        <v>2</v>
      </c>
      <c r="F228">
        <v>185</v>
      </c>
      <c r="G228">
        <v>0</v>
      </c>
      <c r="H228" t="s">
        <v>84</v>
      </c>
      <c r="I228" t="s">
        <v>28</v>
      </c>
      <c r="J228" t="s">
        <v>70</v>
      </c>
      <c r="K228" t="s">
        <v>79</v>
      </c>
      <c r="L228" t="s">
        <v>71</v>
      </c>
      <c r="M228" t="s">
        <v>81</v>
      </c>
      <c r="O228" t="s">
        <v>88</v>
      </c>
      <c r="P228" t="s">
        <v>27</v>
      </c>
      <c r="Q228" t="s">
        <v>73</v>
      </c>
      <c r="R228" t="s">
        <v>76</v>
      </c>
      <c r="S228" t="s">
        <v>74</v>
      </c>
      <c r="T228" t="s">
        <v>75</v>
      </c>
      <c r="X228" t="s">
        <v>77</v>
      </c>
      <c r="Z228" t="s">
        <v>72</v>
      </c>
      <c r="AA228" t="s">
        <v>93</v>
      </c>
      <c r="AB228">
        <v>5</v>
      </c>
      <c r="AC228">
        <v>748697.14</v>
      </c>
      <c r="AD228">
        <v>8930447.9600000009</v>
      </c>
      <c r="AE228">
        <v>189.68</v>
      </c>
      <c r="AF228">
        <v>748697.14</v>
      </c>
      <c r="AG228">
        <v>8930447.9600000009</v>
      </c>
      <c r="AH228">
        <v>184.5</v>
      </c>
      <c r="AI228">
        <v>5.18</v>
      </c>
      <c r="AJ228">
        <v>0.6</v>
      </c>
      <c r="AK228">
        <v>2.97</v>
      </c>
      <c r="AL228">
        <v>2.58</v>
      </c>
      <c r="AM228">
        <v>0</v>
      </c>
      <c r="AN228">
        <v>0</v>
      </c>
      <c r="AO228">
        <v>358</v>
      </c>
      <c r="AP228">
        <v>2.82</v>
      </c>
      <c r="AQ228">
        <v>0</v>
      </c>
      <c r="AR228">
        <v>0</v>
      </c>
      <c r="AS228">
        <v>0</v>
      </c>
      <c r="AT228">
        <v>0</v>
      </c>
      <c r="AU228">
        <v>0</v>
      </c>
      <c r="AV228">
        <v>0</v>
      </c>
      <c r="AW228">
        <v>0</v>
      </c>
      <c r="AX228">
        <v>0</v>
      </c>
      <c r="AY228">
        <v>2.5</v>
      </c>
      <c r="AZ228">
        <v>39.021000000000001</v>
      </c>
      <c r="BA228">
        <v>0</v>
      </c>
      <c r="BB228">
        <v>0</v>
      </c>
      <c r="BC228">
        <v>0</v>
      </c>
      <c r="BD228">
        <v>0</v>
      </c>
    </row>
    <row r="229" spans="1:56" x14ac:dyDescent="0.25">
      <c r="A229" s="23">
        <v>46304</v>
      </c>
      <c r="B229">
        <v>228</v>
      </c>
      <c r="C229" t="s">
        <v>82</v>
      </c>
      <c r="D229" t="s">
        <v>92</v>
      </c>
      <c r="E229">
        <v>2</v>
      </c>
      <c r="F229">
        <v>185</v>
      </c>
      <c r="G229">
        <v>0</v>
      </c>
      <c r="H229" t="s">
        <v>84</v>
      </c>
      <c r="I229" t="s">
        <v>28</v>
      </c>
      <c r="J229" t="s">
        <v>70</v>
      </c>
      <c r="K229" t="s">
        <v>79</v>
      </c>
      <c r="L229" t="s">
        <v>71</v>
      </c>
      <c r="M229" t="s">
        <v>81</v>
      </c>
      <c r="O229" t="s">
        <v>88</v>
      </c>
      <c r="P229" t="s">
        <v>27</v>
      </c>
      <c r="Q229" t="s">
        <v>73</v>
      </c>
      <c r="R229" t="s">
        <v>76</v>
      </c>
      <c r="S229" t="s">
        <v>74</v>
      </c>
      <c r="T229" t="s">
        <v>75</v>
      </c>
      <c r="X229" t="s">
        <v>77</v>
      </c>
      <c r="Z229" t="s">
        <v>72</v>
      </c>
      <c r="AA229" t="s">
        <v>93</v>
      </c>
      <c r="AB229">
        <v>5</v>
      </c>
      <c r="AC229">
        <v>748695.62</v>
      </c>
      <c r="AD229">
        <v>8930445.4100000001</v>
      </c>
      <c r="AE229">
        <v>189.64</v>
      </c>
      <c r="AF229">
        <v>748695.62</v>
      </c>
      <c r="AG229">
        <v>8930445.4100000001</v>
      </c>
      <c r="AH229">
        <v>184.5</v>
      </c>
      <c r="AI229">
        <v>5.14</v>
      </c>
      <c r="AJ229">
        <v>0.6</v>
      </c>
      <c r="AK229">
        <v>2.97</v>
      </c>
      <c r="AL229">
        <v>2.58</v>
      </c>
      <c r="AM229">
        <v>0</v>
      </c>
      <c r="AN229">
        <v>0</v>
      </c>
      <c r="AO229">
        <v>358</v>
      </c>
      <c r="AP229">
        <v>2.82</v>
      </c>
      <c r="AQ229">
        <v>0</v>
      </c>
      <c r="AR229">
        <v>0</v>
      </c>
      <c r="AS229">
        <v>0</v>
      </c>
      <c r="AT229">
        <v>0</v>
      </c>
      <c r="AU229">
        <v>0</v>
      </c>
      <c r="AV229">
        <v>0</v>
      </c>
      <c r="AW229">
        <v>0</v>
      </c>
      <c r="AX229">
        <v>0</v>
      </c>
      <c r="AY229">
        <v>2.5</v>
      </c>
      <c r="AZ229">
        <v>38.438000000000002</v>
      </c>
      <c r="BA229">
        <v>0</v>
      </c>
      <c r="BB229">
        <v>0</v>
      </c>
      <c r="BC229">
        <v>0</v>
      </c>
      <c r="BD229">
        <v>0</v>
      </c>
    </row>
    <row r="230" spans="1:56" x14ac:dyDescent="0.25">
      <c r="A230" s="23">
        <v>46304</v>
      </c>
      <c r="B230">
        <v>229</v>
      </c>
      <c r="C230" t="s">
        <v>82</v>
      </c>
      <c r="D230" t="s">
        <v>92</v>
      </c>
      <c r="E230">
        <v>2</v>
      </c>
      <c r="F230">
        <v>185</v>
      </c>
      <c r="G230">
        <v>0</v>
      </c>
      <c r="H230" t="s">
        <v>84</v>
      </c>
      <c r="I230" t="s">
        <v>28</v>
      </c>
      <c r="J230" t="s">
        <v>70</v>
      </c>
      <c r="K230" t="s">
        <v>79</v>
      </c>
      <c r="L230" t="s">
        <v>71</v>
      </c>
      <c r="M230" t="s">
        <v>81</v>
      </c>
      <c r="O230" t="s">
        <v>88</v>
      </c>
      <c r="P230" t="s">
        <v>27</v>
      </c>
      <c r="Q230" t="s">
        <v>73</v>
      </c>
      <c r="R230" t="s">
        <v>76</v>
      </c>
      <c r="S230" t="s">
        <v>74</v>
      </c>
      <c r="T230" t="s">
        <v>75</v>
      </c>
      <c r="X230" t="s">
        <v>77</v>
      </c>
      <c r="Z230" t="s">
        <v>72</v>
      </c>
      <c r="AA230" t="s">
        <v>93</v>
      </c>
      <c r="AB230">
        <v>5</v>
      </c>
      <c r="AC230">
        <v>748694.56</v>
      </c>
      <c r="AD230">
        <v>8930442.6600000001</v>
      </c>
      <c r="AE230">
        <v>189.57</v>
      </c>
      <c r="AF230">
        <v>748694.56</v>
      </c>
      <c r="AG230">
        <v>8930442.6600000001</v>
      </c>
      <c r="AH230">
        <v>184.53</v>
      </c>
      <c r="AI230">
        <v>5.03</v>
      </c>
      <c r="AJ230">
        <v>0.6</v>
      </c>
      <c r="AK230">
        <v>2.97</v>
      </c>
      <c r="AL230">
        <v>2.58</v>
      </c>
      <c r="AM230">
        <v>0</v>
      </c>
      <c r="AN230">
        <v>0</v>
      </c>
      <c r="AO230">
        <v>358</v>
      </c>
      <c r="AP230">
        <v>2.82</v>
      </c>
      <c r="AQ230">
        <v>0</v>
      </c>
      <c r="AR230">
        <v>0</v>
      </c>
      <c r="AS230">
        <v>0</v>
      </c>
      <c r="AT230">
        <v>0</v>
      </c>
      <c r="AU230">
        <v>0</v>
      </c>
      <c r="AV230">
        <v>0</v>
      </c>
      <c r="AW230">
        <v>0</v>
      </c>
      <c r="AX230">
        <v>0</v>
      </c>
      <c r="AY230">
        <v>2.5</v>
      </c>
      <c r="AZ230">
        <v>36.837000000000003</v>
      </c>
      <c r="BA230">
        <v>0</v>
      </c>
      <c r="BB230">
        <v>0</v>
      </c>
      <c r="BC230">
        <v>0</v>
      </c>
      <c r="BD230">
        <v>0</v>
      </c>
    </row>
    <row r="231" spans="1:56" x14ac:dyDescent="0.25">
      <c r="A231" s="23">
        <v>46304</v>
      </c>
      <c r="B231">
        <v>230</v>
      </c>
      <c r="C231" t="s">
        <v>82</v>
      </c>
      <c r="D231" t="s">
        <v>92</v>
      </c>
      <c r="E231">
        <v>2</v>
      </c>
      <c r="F231">
        <v>185</v>
      </c>
      <c r="G231">
        <v>0</v>
      </c>
      <c r="H231" t="s">
        <v>84</v>
      </c>
      <c r="I231" t="s">
        <v>28</v>
      </c>
      <c r="J231" t="s">
        <v>70</v>
      </c>
      <c r="K231" t="s">
        <v>79</v>
      </c>
      <c r="L231" t="s">
        <v>71</v>
      </c>
      <c r="M231" t="s">
        <v>81</v>
      </c>
      <c r="O231" t="s">
        <v>88</v>
      </c>
      <c r="P231" t="s">
        <v>27</v>
      </c>
      <c r="Q231" t="s">
        <v>73</v>
      </c>
      <c r="R231" t="s">
        <v>76</v>
      </c>
      <c r="S231" t="s">
        <v>74</v>
      </c>
      <c r="T231" t="s">
        <v>75</v>
      </c>
      <c r="X231" t="s">
        <v>77</v>
      </c>
      <c r="Z231" t="s">
        <v>72</v>
      </c>
      <c r="AA231" t="s">
        <v>93</v>
      </c>
      <c r="AB231">
        <v>5</v>
      </c>
      <c r="AC231">
        <v>748693.63</v>
      </c>
      <c r="AD231">
        <v>8930439.8399999999</v>
      </c>
      <c r="AE231">
        <v>189.49</v>
      </c>
      <c r="AF231">
        <v>748693.63</v>
      </c>
      <c r="AG231">
        <v>8930439.8399999999</v>
      </c>
      <c r="AH231">
        <v>184.56</v>
      </c>
      <c r="AI231">
        <v>4.9400000000000004</v>
      </c>
      <c r="AJ231">
        <v>0.6</v>
      </c>
      <c r="AK231">
        <v>2.97</v>
      </c>
      <c r="AL231">
        <v>2.58</v>
      </c>
      <c r="AM231">
        <v>0</v>
      </c>
      <c r="AN231">
        <v>0</v>
      </c>
      <c r="AO231">
        <v>358</v>
      </c>
      <c r="AP231">
        <v>2.8</v>
      </c>
      <c r="AQ231">
        <v>0</v>
      </c>
      <c r="AR231">
        <v>0</v>
      </c>
      <c r="AS231">
        <v>0</v>
      </c>
      <c r="AT231">
        <v>0</v>
      </c>
      <c r="AU231">
        <v>0</v>
      </c>
      <c r="AV231">
        <v>0</v>
      </c>
      <c r="AW231">
        <v>0</v>
      </c>
      <c r="AX231">
        <v>0</v>
      </c>
      <c r="AY231">
        <v>2.5</v>
      </c>
      <c r="AZ231">
        <v>35.526000000000003</v>
      </c>
      <c r="BA231">
        <v>0</v>
      </c>
      <c r="BB231">
        <v>0</v>
      </c>
      <c r="BC231">
        <v>0</v>
      </c>
      <c r="BD231">
        <v>0</v>
      </c>
    </row>
    <row r="232" spans="1:56" x14ac:dyDescent="0.25">
      <c r="A232" s="23">
        <v>46304</v>
      </c>
      <c r="B232">
        <v>231</v>
      </c>
      <c r="C232" t="s">
        <v>82</v>
      </c>
      <c r="D232" t="s">
        <v>92</v>
      </c>
      <c r="E232">
        <v>2</v>
      </c>
      <c r="F232">
        <v>185</v>
      </c>
      <c r="G232">
        <v>0</v>
      </c>
      <c r="H232" t="s">
        <v>84</v>
      </c>
      <c r="I232" t="s">
        <v>28</v>
      </c>
      <c r="J232" t="s">
        <v>70</v>
      </c>
      <c r="K232" t="s">
        <v>79</v>
      </c>
      <c r="L232" t="s">
        <v>71</v>
      </c>
      <c r="M232" t="s">
        <v>81</v>
      </c>
      <c r="O232" t="s">
        <v>88</v>
      </c>
      <c r="P232" t="s">
        <v>27</v>
      </c>
      <c r="Q232" t="s">
        <v>73</v>
      </c>
      <c r="R232" t="s">
        <v>76</v>
      </c>
      <c r="S232" t="s">
        <v>74</v>
      </c>
      <c r="T232" t="s">
        <v>75</v>
      </c>
      <c r="X232" t="s">
        <v>77</v>
      </c>
      <c r="Z232" t="s">
        <v>72</v>
      </c>
      <c r="AA232" t="s">
        <v>93</v>
      </c>
      <c r="AB232">
        <v>5</v>
      </c>
      <c r="AC232">
        <v>748692.51</v>
      </c>
      <c r="AD232">
        <v>8930437.0899999999</v>
      </c>
      <c r="AE232">
        <v>189.43</v>
      </c>
      <c r="AF232">
        <v>748692.51</v>
      </c>
      <c r="AG232">
        <v>8930437.0899999999</v>
      </c>
      <c r="AH232">
        <v>184.57</v>
      </c>
      <c r="AI232">
        <v>4.8600000000000003</v>
      </c>
      <c r="AJ232">
        <v>0.6</v>
      </c>
      <c r="AK232">
        <v>2.97</v>
      </c>
      <c r="AL232">
        <v>2.58</v>
      </c>
      <c r="AM232">
        <v>0</v>
      </c>
      <c r="AN232">
        <v>0</v>
      </c>
      <c r="AO232">
        <v>358</v>
      </c>
      <c r="AP232">
        <v>2.79</v>
      </c>
      <c r="AQ232">
        <v>0</v>
      </c>
      <c r="AR232">
        <v>0</v>
      </c>
      <c r="AS232">
        <v>0</v>
      </c>
      <c r="AT232">
        <v>0</v>
      </c>
      <c r="AU232">
        <v>0</v>
      </c>
      <c r="AV232">
        <v>0</v>
      </c>
      <c r="AW232">
        <v>0</v>
      </c>
      <c r="AX232">
        <v>0</v>
      </c>
      <c r="AY232">
        <v>2.5</v>
      </c>
      <c r="AZ232">
        <v>34.362000000000002</v>
      </c>
      <c r="BA232">
        <v>0</v>
      </c>
      <c r="BB232">
        <v>0</v>
      </c>
      <c r="BC232">
        <v>0</v>
      </c>
      <c r="BD232">
        <v>0</v>
      </c>
    </row>
    <row r="233" spans="1:56" x14ac:dyDescent="0.25">
      <c r="A233" s="23">
        <v>46304</v>
      </c>
      <c r="B233">
        <v>232</v>
      </c>
      <c r="C233" t="s">
        <v>82</v>
      </c>
      <c r="D233" t="s">
        <v>92</v>
      </c>
      <c r="E233">
        <v>2</v>
      </c>
      <c r="F233">
        <v>185</v>
      </c>
      <c r="G233">
        <v>0</v>
      </c>
      <c r="H233" t="s">
        <v>84</v>
      </c>
      <c r="I233" t="s">
        <v>28</v>
      </c>
      <c r="J233" t="s">
        <v>70</v>
      </c>
      <c r="K233" t="s">
        <v>79</v>
      </c>
      <c r="L233" t="s">
        <v>71</v>
      </c>
      <c r="M233" t="s">
        <v>87</v>
      </c>
      <c r="O233" t="s">
        <v>88</v>
      </c>
      <c r="P233" t="s">
        <v>27</v>
      </c>
      <c r="Q233" t="s">
        <v>73</v>
      </c>
      <c r="R233" t="s">
        <v>76</v>
      </c>
      <c r="S233" t="s">
        <v>74</v>
      </c>
      <c r="T233" t="s">
        <v>75</v>
      </c>
      <c r="X233" t="s">
        <v>77</v>
      </c>
      <c r="Z233" t="s">
        <v>72</v>
      </c>
      <c r="AA233" t="s">
        <v>94</v>
      </c>
      <c r="AB233">
        <v>5</v>
      </c>
      <c r="AC233">
        <v>748691.1</v>
      </c>
      <c r="AD233">
        <v>8930434.4800000004</v>
      </c>
      <c r="AE233">
        <v>189.26</v>
      </c>
      <c r="AF233">
        <v>748691.1</v>
      </c>
      <c r="AG233">
        <v>8930434.4800000004</v>
      </c>
      <c r="AH233">
        <v>184.6</v>
      </c>
      <c r="AI233">
        <v>4.66</v>
      </c>
      <c r="AJ233">
        <v>0.6</v>
      </c>
      <c r="AK233">
        <v>2.97</v>
      </c>
      <c r="AL233">
        <v>2.58</v>
      </c>
      <c r="AM233">
        <v>0</v>
      </c>
      <c r="AN233">
        <v>0</v>
      </c>
      <c r="AO233">
        <v>358</v>
      </c>
      <c r="AP233">
        <v>2.79</v>
      </c>
      <c r="AQ233">
        <v>0</v>
      </c>
      <c r="AR233">
        <v>0</v>
      </c>
      <c r="AS233">
        <v>0</v>
      </c>
      <c r="AT233">
        <v>0</v>
      </c>
      <c r="AU233">
        <v>0</v>
      </c>
      <c r="AV233">
        <v>0</v>
      </c>
      <c r="AW233">
        <v>0</v>
      </c>
      <c r="AX233">
        <v>0</v>
      </c>
      <c r="AY233">
        <v>3.3</v>
      </c>
      <c r="AZ233">
        <v>19.802</v>
      </c>
      <c r="BA233">
        <v>0</v>
      </c>
      <c r="BB233">
        <v>0</v>
      </c>
      <c r="BC233">
        <v>0</v>
      </c>
      <c r="BD233">
        <v>0</v>
      </c>
    </row>
    <row r="234" spans="1:56" x14ac:dyDescent="0.25">
      <c r="A234" s="23">
        <v>46304</v>
      </c>
      <c r="B234">
        <v>233</v>
      </c>
      <c r="C234" t="s">
        <v>82</v>
      </c>
      <c r="D234" t="s">
        <v>92</v>
      </c>
      <c r="E234">
        <v>2</v>
      </c>
      <c r="F234">
        <v>185</v>
      </c>
      <c r="G234">
        <v>0</v>
      </c>
      <c r="H234" t="s">
        <v>84</v>
      </c>
      <c r="I234" t="s">
        <v>28</v>
      </c>
      <c r="J234" t="s">
        <v>70</v>
      </c>
      <c r="K234" t="s">
        <v>79</v>
      </c>
      <c r="L234" t="s">
        <v>71</v>
      </c>
      <c r="M234" t="s">
        <v>87</v>
      </c>
      <c r="O234" t="s">
        <v>88</v>
      </c>
      <c r="P234" t="s">
        <v>27</v>
      </c>
      <c r="Q234" t="s">
        <v>73</v>
      </c>
      <c r="R234" t="s">
        <v>76</v>
      </c>
      <c r="S234" t="s">
        <v>74</v>
      </c>
      <c r="T234" t="s">
        <v>75</v>
      </c>
      <c r="X234" t="s">
        <v>77</v>
      </c>
      <c r="Z234" t="s">
        <v>72</v>
      </c>
      <c r="AA234" t="s">
        <v>93</v>
      </c>
      <c r="AB234">
        <v>5</v>
      </c>
      <c r="AC234">
        <v>748689.96</v>
      </c>
      <c r="AD234">
        <v>8930432.5800000001</v>
      </c>
      <c r="AE234">
        <v>189.12</v>
      </c>
      <c r="AF234">
        <v>748689.96</v>
      </c>
      <c r="AG234">
        <v>8930432.5800000001</v>
      </c>
      <c r="AH234">
        <v>184.63</v>
      </c>
      <c r="AI234">
        <v>4.49</v>
      </c>
      <c r="AJ234">
        <v>0.6</v>
      </c>
      <c r="AK234">
        <v>2.97</v>
      </c>
      <c r="AL234">
        <v>2.58</v>
      </c>
      <c r="AM234">
        <v>0</v>
      </c>
      <c r="AN234">
        <v>0</v>
      </c>
      <c r="AO234">
        <v>358</v>
      </c>
      <c r="AP234">
        <v>2.79</v>
      </c>
      <c r="AQ234">
        <v>0</v>
      </c>
      <c r="AR234">
        <v>0</v>
      </c>
      <c r="AS234">
        <v>0</v>
      </c>
      <c r="AT234">
        <v>0</v>
      </c>
      <c r="AU234">
        <v>0</v>
      </c>
      <c r="AV234">
        <v>0</v>
      </c>
      <c r="AW234">
        <v>0</v>
      </c>
      <c r="AX234">
        <v>0</v>
      </c>
      <c r="AY234">
        <v>2.5</v>
      </c>
      <c r="AZ234">
        <v>28.974</v>
      </c>
      <c r="BA234">
        <v>0</v>
      </c>
      <c r="BB234">
        <v>0</v>
      </c>
      <c r="BC234">
        <v>0</v>
      </c>
      <c r="BD234">
        <v>0</v>
      </c>
    </row>
    <row r="235" spans="1:56" x14ac:dyDescent="0.25">
      <c r="A235" s="23">
        <v>46304</v>
      </c>
      <c r="B235">
        <v>234</v>
      </c>
      <c r="C235" t="s">
        <v>82</v>
      </c>
      <c r="D235" t="s">
        <v>92</v>
      </c>
      <c r="E235">
        <v>2</v>
      </c>
      <c r="F235">
        <v>185</v>
      </c>
      <c r="G235">
        <v>0</v>
      </c>
      <c r="H235" t="s">
        <v>84</v>
      </c>
      <c r="I235" t="s">
        <v>28</v>
      </c>
      <c r="J235" t="s">
        <v>70</v>
      </c>
      <c r="K235" t="s">
        <v>79</v>
      </c>
      <c r="L235" t="s">
        <v>71</v>
      </c>
      <c r="M235" t="s">
        <v>87</v>
      </c>
      <c r="O235" t="s">
        <v>88</v>
      </c>
      <c r="P235" t="s">
        <v>27</v>
      </c>
      <c r="Q235" t="s">
        <v>73</v>
      </c>
      <c r="R235" t="s">
        <v>76</v>
      </c>
      <c r="S235" t="s">
        <v>74</v>
      </c>
      <c r="T235" t="s">
        <v>75</v>
      </c>
      <c r="X235" t="s">
        <v>77</v>
      </c>
      <c r="Z235" t="s">
        <v>72</v>
      </c>
      <c r="AA235" t="s">
        <v>93</v>
      </c>
      <c r="AB235">
        <v>5</v>
      </c>
      <c r="AC235">
        <v>748688.02</v>
      </c>
      <c r="AD235">
        <v>8930430.25</v>
      </c>
      <c r="AE235">
        <v>189.03</v>
      </c>
      <c r="AF235">
        <v>748688.02</v>
      </c>
      <c r="AG235">
        <v>8930430.25</v>
      </c>
      <c r="AH235">
        <v>184.62</v>
      </c>
      <c r="AI235">
        <v>4.41</v>
      </c>
      <c r="AJ235">
        <v>0.6</v>
      </c>
      <c r="AK235">
        <v>2.97</v>
      </c>
      <c r="AL235">
        <v>2.58</v>
      </c>
      <c r="AM235">
        <v>0</v>
      </c>
      <c r="AN235">
        <v>0</v>
      </c>
      <c r="AO235">
        <v>358</v>
      </c>
      <c r="AP235">
        <v>2.79</v>
      </c>
      <c r="AQ235">
        <v>0</v>
      </c>
      <c r="AR235">
        <v>0</v>
      </c>
      <c r="AS235">
        <v>0</v>
      </c>
      <c r="AT235">
        <v>0</v>
      </c>
      <c r="AU235">
        <v>0</v>
      </c>
      <c r="AV235">
        <v>0</v>
      </c>
      <c r="AW235">
        <v>0</v>
      </c>
      <c r="AX235">
        <v>0</v>
      </c>
      <c r="AY235">
        <v>2.5</v>
      </c>
      <c r="AZ235">
        <v>27.81</v>
      </c>
      <c r="BA235">
        <v>0</v>
      </c>
      <c r="BB235">
        <v>0</v>
      </c>
      <c r="BC235">
        <v>0</v>
      </c>
      <c r="BD235">
        <v>0</v>
      </c>
    </row>
    <row r="236" spans="1:56" x14ac:dyDescent="0.25">
      <c r="A236" s="23">
        <v>46304</v>
      </c>
      <c r="B236">
        <v>235</v>
      </c>
      <c r="C236" t="s">
        <v>82</v>
      </c>
      <c r="D236" t="s">
        <v>92</v>
      </c>
      <c r="E236">
        <v>2</v>
      </c>
      <c r="F236">
        <v>185</v>
      </c>
      <c r="G236">
        <v>0</v>
      </c>
      <c r="H236" t="s">
        <v>84</v>
      </c>
      <c r="I236" t="s">
        <v>28</v>
      </c>
      <c r="J236" t="s">
        <v>70</v>
      </c>
      <c r="K236" t="s">
        <v>79</v>
      </c>
      <c r="L236" t="s">
        <v>71</v>
      </c>
      <c r="M236" t="s">
        <v>87</v>
      </c>
      <c r="O236" t="s">
        <v>88</v>
      </c>
      <c r="P236" t="s">
        <v>27</v>
      </c>
      <c r="Q236" t="s">
        <v>73</v>
      </c>
      <c r="R236" t="s">
        <v>76</v>
      </c>
      <c r="S236" t="s">
        <v>74</v>
      </c>
      <c r="T236" t="s">
        <v>75</v>
      </c>
      <c r="X236" t="s">
        <v>77</v>
      </c>
      <c r="Z236" t="s">
        <v>72</v>
      </c>
      <c r="AA236" t="s">
        <v>93</v>
      </c>
      <c r="AB236">
        <v>5</v>
      </c>
      <c r="AC236">
        <v>748685.74</v>
      </c>
      <c r="AD236">
        <v>8930427.9399999995</v>
      </c>
      <c r="AE236">
        <v>189.01</v>
      </c>
      <c r="AF236">
        <v>748685.74</v>
      </c>
      <c r="AG236">
        <v>8930427.9399999995</v>
      </c>
      <c r="AH236">
        <v>184.61</v>
      </c>
      <c r="AI236">
        <v>4.4000000000000004</v>
      </c>
      <c r="AJ236">
        <v>0.6</v>
      </c>
      <c r="AK236">
        <v>2.97</v>
      </c>
      <c r="AL236">
        <v>2.58</v>
      </c>
      <c r="AM236">
        <v>0</v>
      </c>
      <c r="AN236">
        <v>0</v>
      </c>
      <c r="AO236">
        <v>358</v>
      </c>
      <c r="AP236">
        <v>2.78</v>
      </c>
      <c r="AQ236">
        <v>0</v>
      </c>
      <c r="AR236">
        <v>0</v>
      </c>
      <c r="AS236">
        <v>0</v>
      </c>
      <c r="AT236">
        <v>0</v>
      </c>
      <c r="AU236">
        <v>0</v>
      </c>
      <c r="AV236">
        <v>0</v>
      </c>
      <c r="AW236">
        <v>0</v>
      </c>
      <c r="AX236">
        <v>0</v>
      </c>
      <c r="AY236">
        <v>2.5</v>
      </c>
      <c r="AZ236">
        <v>27.664000000000001</v>
      </c>
      <c r="BA236">
        <v>0</v>
      </c>
      <c r="BB236">
        <v>0</v>
      </c>
      <c r="BC236">
        <v>0</v>
      </c>
      <c r="BD236">
        <v>0</v>
      </c>
    </row>
    <row r="237" spans="1:56" x14ac:dyDescent="0.25">
      <c r="A237" s="23">
        <v>46304</v>
      </c>
      <c r="B237">
        <v>236</v>
      </c>
      <c r="C237" t="s">
        <v>82</v>
      </c>
      <c r="D237" t="s">
        <v>92</v>
      </c>
      <c r="E237">
        <v>2</v>
      </c>
      <c r="F237">
        <v>185</v>
      </c>
      <c r="G237">
        <v>0</v>
      </c>
      <c r="H237" t="s">
        <v>84</v>
      </c>
      <c r="I237" t="s">
        <v>78</v>
      </c>
      <c r="J237" t="s">
        <v>70</v>
      </c>
      <c r="K237" t="s">
        <v>79</v>
      </c>
      <c r="L237" t="s">
        <v>71</v>
      </c>
      <c r="M237" t="s">
        <v>87</v>
      </c>
      <c r="O237" t="s">
        <v>88</v>
      </c>
      <c r="P237" t="s">
        <v>27</v>
      </c>
      <c r="Q237" t="s">
        <v>73</v>
      </c>
      <c r="R237" t="s">
        <v>76</v>
      </c>
      <c r="S237" t="s">
        <v>74</v>
      </c>
      <c r="T237" t="s">
        <v>75</v>
      </c>
      <c r="X237" t="s">
        <v>77</v>
      </c>
      <c r="Z237" t="s">
        <v>72</v>
      </c>
      <c r="AA237" t="s">
        <v>93</v>
      </c>
      <c r="AB237">
        <v>5</v>
      </c>
      <c r="AC237">
        <v>748683.15</v>
      </c>
      <c r="AD237">
        <v>8930425.8699999992</v>
      </c>
      <c r="AE237">
        <v>189.08</v>
      </c>
      <c r="AF237">
        <v>748683.15</v>
      </c>
      <c r="AG237">
        <v>8930425.8699999992</v>
      </c>
      <c r="AH237">
        <v>184.6</v>
      </c>
      <c r="AI237">
        <v>4.4800000000000004</v>
      </c>
      <c r="AJ237">
        <v>0.6</v>
      </c>
      <c r="AK237">
        <v>2.97</v>
      </c>
      <c r="AL237">
        <v>2.58</v>
      </c>
      <c r="AM237">
        <v>0</v>
      </c>
      <c r="AN237">
        <v>0</v>
      </c>
      <c r="AO237">
        <v>358</v>
      </c>
      <c r="AP237">
        <v>2.78</v>
      </c>
      <c r="AQ237">
        <v>0</v>
      </c>
      <c r="AR237">
        <v>0</v>
      </c>
      <c r="AS237">
        <v>0</v>
      </c>
      <c r="AT237">
        <v>0</v>
      </c>
      <c r="AU237">
        <v>0</v>
      </c>
      <c r="AV237">
        <v>0</v>
      </c>
      <c r="AW237">
        <v>0</v>
      </c>
      <c r="AX237">
        <v>0</v>
      </c>
      <c r="AY237">
        <v>2.5</v>
      </c>
      <c r="AZ237">
        <v>28.829000000000001</v>
      </c>
      <c r="BA237">
        <v>0</v>
      </c>
      <c r="BB237">
        <v>0</v>
      </c>
      <c r="BC237">
        <v>0</v>
      </c>
      <c r="BD237">
        <v>0</v>
      </c>
    </row>
    <row r="238" spans="1:56" x14ac:dyDescent="0.25">
      <c r="A238" s="23">
        <v>46304</v>
      </c>
      <c r="B238">
        <v>237</v>
      </c>
      <c r="C238" t="s">
        <v>82</v>
      </c>
      <c r="D238" t="s">
        <v>92</v>
      </c>
      <c r="E238">
        <v>2</v>
      </c>
      <c r="F238">
        <v>185</v>
      </c>
      <c r="G238">
        <v>0</v>
      </c>
      <c r="H238" t="s">
        <v>84</v>
      </c>
      <c r="I238" t="s">
        <v>78</v>
      </c>
      <c r="J238" t="s">
        <v>70</v>
      </c>
      <c r="K238" t="s">
        <v>79</v>
      </c>
      <c r="L238" t="s">
        <v>71</v>
      </c>
      <c r="M238" t="s">
        <v>81</v>
      </c>
      <c r="O238" t="s">
        <v>88</v>
      </c>
      <c r="P238" t="s">
        <v>27</v>
      </c>
      <c r="Q238" t="s">
        <v>73</v>
      </c>
      <c r="R238" t="s">
        <v>76</v>
      </c>
      <c r="S238" t="s">
        <v>74</v>
      </c>
      <c r="T238" t="s">
        <v>75</v>
      </c>
      <c r="X238" t="s">
        <v>77</v>
      </c>
      <c r="Z238" t="s">
        <v>72</v>
      </c>
      <c r="AA238" t="s">
        <v>93</v>
      </c>
      <c r="AB238">
        <v>5</v>
      </c>
      <c r="AC238">
        <v>748680.43</v>
      </c>
      <c r="AD238">
        <v>8930424.1899999995</v>
      </c>
      <c r="AE238">
        <v>189.39</v>
      </c>
      <c r="AF238">
        <v>748680.43</v>
      </c>
      <c r="AG238">
        <v>8930424.1899999995</v>
      </c>
      <c r="AH238">
        <v>184.57</v>
      </c>
      <c r="AI238">
        <v>4.82</v>
      </c>
      <c r="AJ238">
        <v>0.6</v>
      </c>
      <c r="AK238">
        <v>2.97</v>
      </c>
      <c r="AL238">
        <v>2.58</v>
      </c>
      <c r="AM238">
        <v>0</v>
      </c>
      <c r="AN238">
        <v>0</v>
      </c>
      <c r="AO238">
        <v>358</v>
      </c>
      <c r="AP238">
        <v>2.78</v>
      </c>
      <c r="AQ238">
        <v>0</v>
      </c>
      <c r="AR238">
        <v>0</v>
      </c>
      <c r="AS238">
        <v>0</v>
      </c>
      <c r="AT238">
        <v>0</v>
      </c>
      <c r="AU238">
        <v>0</v>
      </c>
      <c r="AV238">
        <v>0</v>
      </c>
      <c r="AW238">
        <v>0</v>
      </c>
      <c r="AX238">
        <v>0</v>
      </c>
      <c r="AY238">
        <v>2.5</v>
      </c>
      <c r="AZ238">
        <v>33.779000000000003</v>
      </c>
      <c r="BA238">
        <v>0</v>
      </c>
      <c r="BB238">
        <v>0</v>
      </c>
      <c r="BC238">
        <v>0</v>
      </c>
      <c r="BD238">
        <v>0</v>
      </c>
    </row>
    <row r="239" spans="1:56" x14ac:dyDescent="0.25">
      <c r="A239" s="23">
        <v>46304</v>
      </c>
      <c r="B239">
        <v>238</v>
      </c>
      <c r="C239" t="s">
        <v>82</v>
      </c>
      <c r="D239" t="s">
        <v>92</v>
      </c>
      <c r="E239">
        <v>2</v>
      </c>
      <c r="F239">
        <v>185</v>
      </c>
      <c r="G239">
        <v>0</v>
      </c>
      <c r="H239" t="s">
        <v>84</v>
      </c>
      <c r="I239" t="s">
        <v>78</v>
      </c>
      <c r="J239" t="s">
        <v>70</v>
      </c>
      <c r="K239" t="s">
        <v>79</v>
      </c>
      <c r="L239" t="s">
        <v>71</v>
      </c>
      <c r="M239" t="s">
        <v>81</v>
      </c>
      <c r="O239" t="s">
        <v>88</v>
      </c>
      <c r="P239" t="s">
        <v>27</v>
      </c>
      <c r="Q239" t="s">
        <v>73</v>
      </c>
      <c r="R239" t="s">
        <v>76</v>
      </c>
      <c r="S239" t="s">
        <v>74</v>
      </c>
      <c r="T239" t="s">
        <v>75</v>
      </c>
      <c r="X239" t="s">
        <v>77</v>
      </c>
      <c r="Z239" t="s">
        <v>72</v>
      </c>
      <c r="AA239" t="s">
        <v>93</v>
      </c>
      <c r="AB239">
        <v>5</v>
      </c>
      <c r="AC239">
        <v>748677.86</v>
      </c>
      <c r="AD239">
        <v>8930422.9700000007</v>
      </c>
      <c r="AE239">
        <v>189.97</v>
      </c>
      <c r="AF239">
        <v>748677.86</v>
      </c>
      <c r="AG239">
        <v>8930422.9700000007</v>
      </c>
      <c r="AH239">
        <v>184.55</v>
      </c>
      <c r="AI239">
        <v>5.43</v>
      </c>
      <c r="AJ239">
        <v>0.6</v>
      </c>
      <c r="AK239">
        <v>2.97</v>
      </c>
      <c r="AL239">
        <v>2.58</v>
      </c>
      <c r="AM239">
        <v>0</v>
      </c>
      <c r="AN239">
        <v>0</v>
      </c>
      <c r="AO239">
        <v>358</v>
      </c>
      <c r="AP239">
        <v>2.79</v>
      </c>
      <c r="AQ239">
        <v>0</v>
      </c>
      <c r="AR239">
        <v>0</v>
      </c>
      <c r="AS239">
        <v>0</v>
      </c>
      <c r="AT239">
        <v>0</v>
      </c>
      <c r="AU239">
        <v>0</v>
      </c>
      <c r="AV239">
        <v>0</v>
      </c>
      <c r="AW239">
        <v>0</v>
      </c>
      <c r="AX239">
        <v>0</v>
      </c>
      <c r="AY239">
        <v>2.5</v>
      </c>
      <c r="AZ239">
        <v>42.661000000000001</v>
      </c>
      <c r="BA239">
        <v>0</v>
      </c>
      <c r="BB239">
        <v>0</v>
      </c>
      <c r="BC239">
        <v>0</v>
      </c>
      <c r="BD239">
        <v>0</v>
      </c>
    </row>
    <row r="240" spans="1:56" x14ac:dyDescent="0.25">
      <c r="A240" s="23">
        <v>46304</v>
      </c>
      <c r="B240">
        <v>239</v>
      </c>
      <c r="C240" t="s">
        <v>82</v>
      </c>
      <c r="D240" t="s">
        <v>92</v>
      </c>
      <c r="E240">
        <v>2</v>
      </c>
      <c r="F240">
        <v>185</v>
      </c>
      <c r="G240">
        <v>0</v>
      </c>
      <c r="H240" t="s">
        <v>84</v>
      </c>
      <c r="I240" t="s">
        <v>28</v>
      </c>
      <c r="J240" t="s">
        <v>70</v>
      </c>
      <c r="K240" t="s">
        <v>79</v>
      </c>
      <c r="L240" t="s">
        <v>71</v>
      </c>
      <c r="M240" t="s">
        <v>81</v>
      </c>
      <c r="O240" t="s">
        <v>88</v>
      </c>
      <c r="P240" t="s">
        <v>27</v>
      </c>
      <c r="Q240" t="s">
        <v>73</v>
      </c>
      <c r="R240" t="s">
        <v>76</v>
      </c>
      <c r="S240" t="s">
        <v>74</v>
      </c>
      <c r="T240" t="s">
        <v>75</v>
      </c>
      <c r="X240" t="s">
        <v>77</v>
      </c>
      <c r="Z240" t="s">
        <v>72</v>
      </c>
      <c r="AA240" t="s">
        <v>93</v>
      </c>
      <c r="AB240">
        <v>5</v>
      </c>
      <c r="AC240">
        <v>748697.01</v>
      </c>
      <c r="AD240">
        <v>8930443.1300000008</v>
      </c>
      <c r="AE240">
        <v>189.67</v>
      </c>
      <c r="AF240">
        <v>748697.01</v>
      </c>
      <c r="AG240">
        <v>8930443.1300000008</v>
      </c>
      <c r="AH240">
        <v>184.67</v>
      </c>
      <c r="AI240">
        <v>5</v>
      </c>
      <c r="AJ240">
        <v>0.6</v>
      </c>
      <c r="AK240">
        <v>2.97</v>
      </c>
      <c r="AL240">
        <v>2.58</v>
      </c>
      <c r="AM240">
        <v>0</v>
      </c>
      <c r="AN240">
        <v>0</v>
      </c>
      <c r="AO240">
        <v>358</v>
      </c>
      <c r="AP240">
        <v>2.82</v>
      </c>
      <c r="AQ240">
        <v>0</v>
      </c>
      <c r="AR240">
        <v>0</v>
      </c>
      <c r="AS240">
        <v>0</v>
      </c>
      <c r="AT240">
        <v>0</v>
      </c>
      <c r="AU240">
        <v>0</v>
      </c>
      <c r="AV240">
        <v>0</v>
      </c>
      <c r="AW240">
        <v>0</v>
      </c>
      <c r="AX240">
        <v>0</v>
      </c>
      <c r="AY240">
        <v>2.5</v>
      </c>
      <c r="AZ240">
        <v>36.4</v>
      </c>
      <c r="BA240">
        <v>0</v>
      </c>
      <c r="BB240">
        <v>0</v>
      </c>
      <c r="BC240">
        <v>0</v>
      </c>
      <c r="BD240">
        <v>0</v>
      </c>
    </row>
    <row r="241" spans="1:56" x14ac:dyDescent="0.25">
      <c r="A241" s="23">
        <v>46304</v>
      </c>
      <c r="B241">
        <v>240</v>
      </c>
      <c r="C241" t="s">
        <v>82</v>
      </c>
      <c r="D241" t="s">
        <v>92</v>
      </c>
      <c r="E241">
        <v>2</v>
      </c>
      <c r="F241">
        <v>185</v>
      </c>
      <c r="G241">
        <v>0</v>
      </c>
      <c r="H241" t="s">
        <v>84</v>
      </c>
      <c r="I241" t="s">
        <v>28</v>
      </c>
      <c r="J241" t="s">
        <v>70</v>
      </c>
      <c r="K241" t="s">
        <v>79</v>
      </c>
      <c r="L241" t="s">
        <v>71</v>
      </c>
      <c r="M241" t="s">
        <v>81</v>
      </c>
      <c r="O241" t="s">
        <v>88</v>
      </c>
      <c r="P241" t="s">
        <v>27</v>
      </c>
      <c r="Q241" t="s">
        <v>73</v>
      </c>
      <c r="R241" t="s">
        <v>76</v>
      </c>
      <c r="S241" t="s">
        <v>74</v>
      </c>
      <c r="T241" t="s">
        <v>75</v>
      </c>
      <c r="X241" t="s">
        <v>77</v>
      </c>
      <c r="Z241" t="s">
        <v>72</v>
      </c>
      <c r="AA241" t="s">
        <v>93</v>
      </c>
      <c r="AB241">
        <v>5</v>
      </c>
      <c r="AC241">
        <v>748698.37</v>
      </c>
      <c r="AD241">
        <v>8930445.3300000001</v>
      </c>
      <c r="AE241">
        <v>189.72</v>
      </c>
      <c r="AF241">
        <v>748698.37</v>
      </c>
      <c r="AG241">
        <v>8930445.3300000001</v>
      </c>
      <c r="AH241">
        <v>184.67</v>
      </c>
      <c r="AI241">
        <v>5.0599999999999996</v>
      </c>
      <c r="AJ241">
        <v>0.6</v>
      </c>
      <c r="AK241">
        <v>2.97</v>
      </c>
      <c r="AL241">
        <v>2.58</v>
      </c>
      <c r="AM241">
        <v>0</v>
      </c>
      <c r="AN241">
        <v>0</v>
      </c>
      <c r="AO241">
        <v>358</v>
      </c>
      <c r="AP241">
        <v>2.83</v>
      </c>
      <c r="AQ241">
        <v>0.01</v>
      </c>
      <c r="AR241">
        <v>0</v>
      </c>
      <c r="AS241">
        <v>0</v>
      </c>
      <c r="AT241">
        <v>0.3</v>
      </c>
      <c r="AU241">
        <v>0.16</v>
      </c>
      <c r="AV241">
        <v>0.01</v>
      </c>
      <c r="AW241">
        <v>0.02</v>
      </c>
      <c r="AX241">
        <v>0</v>
      </c>
      <c r="AY241">
        <v>2.5</v>
      </c>
      <c r="AZ241">
        <v>37.274000000000001</v>
      </c>
      <c r="BA241">
        <v>0</v>
      </c>
      <c r="BB241">
        <v>0</v>
      </c>
      <c r="BC241">
        <v>0</v>
      </c>
      <c r="BD241">
        <v>0</v>
      </c>
    </row>
    <row r="242" spans="1:56" x14ac:dyDescent="0.25">
      <c r="A242" s="23">
        <v>46304</v>
      </c>
      <c r="B242">
        <v>241</v>
      </c>
      <c r="C242" t="s">
        <v>82</v>
      </c>
      <c r="D242" t="s">
        <v>92</v>
      </c>
      <c r="E242">
        <v>2</v>
      </c>
      <c r="F242">
        <v>185</v>
      </c>
      <c r="G242">
        <v>0</v>
      </c>
      <c r="H242" t="s">
        <v>84</v>
      </c>
      <c r="I242" t="s">
        <v>28</v>
      </c>
      <c r="J242" t="s">
        <v>70</v>
      </c>
      <c r="K242" t="s">
        <v>79</v>
      </c>
      <c r="L242" t="s">
        <v>71</v>
      </c>
      <c r="M242" t="s">
        <v>81</v>
      </c>
      <c r="O242" t="s">
        <v>88</v>
      </c>
      <c r="P242" t="s">
        <v>27</v>
      </c>
      <c r="Q242" t="s">
        <v>73</v>
      </c>
      <c r="R242" t="s">
        <v>76</v>
      </c>
      <c r="S242" t="s">
        <v>74</v>
      </c>
      <c r="T242" t="s">
        <v>75</v>
      </c>
      <c r="X242" t="s">
        <v>77</v>
      </c>
      <c r="Z242" t="s">
        <v>72</v>
      </c>
      <c r="AA242" t="s">
        <v>93</v>
      </c>
      <c r="AB242">
        <v>5</v>
      </c>
      <c r="AC242">
        <v>748699.94</v>
      </c>
      <c r="AD242">
        <v>8930447.8900000006</v>
      </c>
      <c r="AE242">
        <v>189.74</v>
      </c>
      <c r="AF242">
        <v>748699.94</v>
      </c>
      <c r="AG242">
        <v>8930447.8900000006</v>
      </c>
      <c r="AH242">
        <v>184.67</v>
      </c>
      <c r="AI242">
        <v>5.07</v>
      </c>
      <c r="AJ242">
        <v>0.6</v>
      </c>
      <c r="AK242">
        <v>2.97</v>
      </c>
      <c r="AL242">
        <v>2.58</v>
      </c>
      <c r="AM242">
        <v>0</v>
      </c>
      <c r="AN242">
        <v>0</v>
      </c>
      <c r="AO242">
        <v>358</v>
      </c>
      <c r="AP242">
        <v>2.89</v>
      </c>
      <c r="AQ242">
        <v>0.06</v>
      </c>
      <c r="AR242">
        <v>0.01</v>
      </c>
      <c r="AS242">
        <v>0.01</v>
      </c>
      <c r="AT242">
        <v>2.4900000000000002</v>
      </c>
      <c r="AU242">
        <v>1.34</v>
      </c>
      <c r="AV242">
        <v>0.1</v>
      </c>
      <c r="AW242">
        <v>0.16</v>
      </c>
      <c r="AX242">
        <v>0</v>
      </c>
      <c r="AY242">
        <v>2.5</v>
      </c>
      <c r="AZ242">
        <v>37.418999999999997</v>
      </c>
      <c r="BA242">
        <v>0</v>
      </c>
      <c r="BB242">
        <v>0</v>
      </c>
      <c r="BC242">
        <v>0</v>
      </c>
      <c r="BD242">
        <v>0</v>
      </c>
    </row>
    <row r="243" spans="1:56" x14ac:dyDescent="0.25">
      <c r="A243" s="23">
        <v>46304</v>
      </c>
      <c r="B243">
        <v>242</v>
      </c>
      <c r="C243" t="s">
        <v>82</v>
      </c>
      <c r="D243" t="s">
        <v>92</v>
      </c>
      <c r="E243">
        <v>2</v>
      </c>
      <c r="F243">
        <v>185</v>
      </c>
      <c r="G243">
        <v>0</v>
      </c>
      <c r="H243" t="s">
        <v>84</v>
      </c>
      <c r="I243" t="s">
        <v>28</v>
      </c>
      <c r="J243" t="s">
        <v>70</v>
      </c>
      <c r="K243" t="s">
        <v>79</v>
      </c>
      <c r="L243" t="s">
        <v>71</v>
      </c>
      <c r="M243" t="s">
        <v>81</v>
      </c>
      <c r="O243" t="s">
        <v>88</v>
      </c>
      <c r="P243" t="s">
        <v>27</v>
      </c>
      <c r="Q243" t="s">
        <v>73</v>
      </c>
      <c r="R243" t="s">
        <v>76</v>
      </c>
      <c r="S243" t="s">
        <v>74</v>
      </c>
      <c r="T243" t="s">
        <v>75</v>
      </c>
      <c r="X243" t="s">
        <v>77</v>
      </c>
      <c r="Z243" t="s">
        <v>72</v>
      </c>
      <c r="AA243" t="s">
        <v>93</v>
      </c>
      <c r="AB243">
        <v>5</v>
      </c>
      <c r="AC243">
        <v>748701.38</v>
      </c>
      <c r="AD243">
        <v>8930450.5199999996</v>
      </c>
      <c r="AE243">
        <v>189.77</v>
      </c>
      <c r="AF243">
        <v>748701.38</v>
      </c>
      <c r="AG243">
        <v>8930450.5199999996</v>
      </c>
      <c r="AH243">
        <v>184.66</v>
      </c>
      <c r="AI243">
        <v>5.0999999999999996</v>
      </c>
      <c r="AJ243">
        <v>0.6</v>
      </c>
      <c r="AK243">
        <v>2.97</v>
      </c>
      <c r="AL243">
        <v>2.58</v>
      </c>
      <c r="AM243">
        <v>0</v>
      </c>
      <c r="AN243">
        <v>0</v>
      </c>
      <c r="AO243">
        <v>358</v>
      </c>
      <c r="AP243">
        <v>2.85</v>
      </c>
      <c r="AQ243">
        <v>0.01</v>
      </c>
      <c r="AR243">
        <v>0</v>
      </c>
      <c r="AS243">
        <v>0</v>
      </c>
      <c r="AT243">
        <v>0.66</v>
      </c>
      <c r="AU243">
        <v>0.28999999999999998</v>
      </c>
      <c r="AV243">
        <v>0.01</v>
      </c>
      <c r="AW243">
        <v>7.0000000000000007E-2</v>
      </c>
      <c r="AX243">
        <v>0.03</v>
      </c>
      <c r="AY243">
        <v>2.5</v>
      </c>
      <c r="AZ243">
        <v>37.856000000000002</v>
      </c>
      <c r="BA243">
        <v>0</v>
      </c>
      <c r="BB243">
        <v>0</v>
      </c>
      <c r="BC243">
        <v>0</v>
      </c>
      <c r="BD243">
        <v>0</v>
      </c>
    </row>
    <row r="244" spans="1:56" x14ac:dyDescent="0.25">
      <c r="A244" s="23">
        <v>46304</v>
      </c>
      <c r="B244">
        <v>243</v>
      </c>
      <c r="C244" t="s">
        <v>82</v>
      </c>
      <c r="D244" t="s">
        <v>92</v>
      </c>
      <c r="E244">
        <v>2</v>
      </c>
      <c r="F244">
        <v>185</v>
      </c>
      <c r="G244">
        <v>0</v>
      </c>
      <c r="H244" t="s">
        <v>84</v>
      </c>
      <c r="I244" t="s">
        <v>28</v>
      </c>
      <c r="J244" t="s">
        <v>70</v>
      </c>
      <c r="K244" t="s">
        <v>79</v>
      </c>
      <c r="L244" t="s">
        <v>71</v>
      </c>
      <c r="M244" t="s">
        <v>81</v>
      </c>
      <c r="O244" t="s">
        <v>88</v>
      </c>
      <c r="P244" t="s">
        <v>27</v>
      </c>
      <c r="Q244" t="s">
        <v>73</v>
      </c>
      <c r="R244" t="s">
        <v>76</v>
      </c>
      <c r="S244" t="s">
        <v>74</v>
      </c>
      <c r="T244" t="s">
        <v>75</v>
      </c>
      <c r="X244" t="s">
        <v>77</v>
      </c>
      <c r="Z244" t="s">
        <v>72</v>
      </c>
      <c r="AA244" t="s">
        <v>93</v>
      </c>
      <c r="AB244">
        <v>5</v>
      </c>
      <c r="AC244">
        <v>748702.65</v>
      </c>
      <c r="AD244">
        <v>8930453.2400000002</v>
      </c>
      <c r="AE244">
        <v>189.81</v>
      </c>
      <c r="AF244">
        <v>748702.65</v>
      </c>
      <c r="AG244">
        <v>8930453.2400000002</v>
      </c>
      <c r="AH244">
        <v>184.66</v>
      </c>
      <c r="AI244">
        <v>5.15</v>
      </c>
      <c r="AJ244">
        <v>0.6</v>
      </c>
      <c r="AK244">
        <v>2.97</v>
      </c>
      <c r="AL244">
        <v>2.58</v>
      </c>
      <c r="AM244">
        <v>0</v>
      </c>
      <c r="AN244">
        <v>0</v>
      </c>
      <c r="AO244">
        <v>358</v>
      </c>
      <c r="AP244">
        <v>2.89</v>
      </c>
      <c r="AQ244">
        <v>0.06</v>
      </c>
      <c r="AR244">
        <v>0.01</v>
      </c>
      <c r="AS244">
        <v>0.01</v>
      </c>
      <c r="AT244">
        <v>1.83</v>
      </c>
      <c r="AU244">
        <v>0.7</v>
      </c>
      <c r="AV244">
        <v>0.04</v>
      </c>
      <c r="AW244">
        <v>0.16</v>
      </c>
      <c r="AX244">
        <v>0.68</v>
      </c>
      <c r="AY244">
        <v>2.5</v>
      </c>
      <c r="AZ244">
        <v>38.584000000000003</v>
      </c>
      <c r="BA244">
        <v>0</v>
      </c>
      <c r="BB244">
        <v>0</v>
      </c>
      <c r="BC244">
        <v>0</v>
      </c>
      <c r="BD244">
        <v>0</v>
      </c>
    </row>
    <row r="245" spans="1:56" x14ac:dyDescent="0.25">
      <c r="A245" s="23">
        <v>46304</v>
      </c>
      <c r="B245">
        <v>244</v>
      </c>
      <c r="C245" t="s">
        <v>82</v>
      </c>
      <c r="D245" t="s">
        <v>92</v>
      </c>
      <c r="E245">
        <v>2</v>
      </c>
      <c r="F245">
        <v>185</v>
      </c>
      <c r="G245">
        <v>0</v>
      </c>
      <c r="H245" t="s">
        <v>84</v>
      </c>
      <c r="I245" t="s">
        <v>28</v>
      </c>
      <c r="J245" t="s">
        <v>70</v>
      </c>
      <c r="K245" t="s">
        <v>79</v>
      </c>
      <c r="L245" t="s">
        <v>71</v>
      </c>
      <c r="M245" t="s">
        <v>81</v>
      </c>
      <c r="O245" t="s">
        <v>88</v>
      </c>
      <c r="P245" t="s">
        <v>27</v>
      </c>
      <c r="Q245" t="s">
        <v>73</v>
      </c>
      <c r="R245" t="s">
        <v>76</v>
      </c>
      <c r="S245" t="s">
        <v>74</v>
      </c>
      <c r="T245" t="s">
        <v>75</v>
      </c>
      <c r="X245" t="s">
        <v>77</v>
      </c>
      <c r="Z245" t="s">
        <v>72</v>
      </c>
      <c r="AA245" t="s">
        <v>94</v>
      </c>
      <c r="AB245">
        <v>5</v>
      </c>
      <c r="AC245">
        <v>748703.83</v>
      </c>
      <c r="AD245">
        <v>8930456.3499999996</v>
      </c>
      <c r="AE245">
        <v>189.76</v>
      </c>
      <c r="AF245">
        <v>748703.83</v>
      </c>
      <c r="AG245">
        <v>8930456.3499999996</v>
      </c>
      <c r="AH245">
        <v>184.66</v>
      </c>
      <c r="AI245">
        <v>5.0999999999999996</v>
      </c>
      <c r="AJ245">
        <v>0.6</v>
      </c>
      <c r="AK245">
        <v>2.97</v>
      </c>
      <c r="AL245">
        <v>2.58</v>
      </c>
      <c r="AM245">
        <v>0</v>
      </c>
      <c r="AN245">
        <v>0</v>
      </c>
      <c r="AO245">
        <v>358</v>
      </c>
      <c r="AP245">
        <v>3.03</v>
      </c>
      <c r="AQ245">
        <v>0.2</v>
      </c>
      <c r="AR245">
        <v>0.03</v>
      </c>
      <c r="AS245">
        <v>0.03</v>
      </c>
      <c r="AT245">
        <v>5.57</v>
      </c>
      <c r="AU245">
        <v>2.1</v>
      </c>
      <c r="AV245">
        <v>0.17</v>
      </c>
      <c r="AW245">
        <v>0.44</v>
      </c>
      <c r="AX245">
        <v>2.82</v>
      </c>
      <c r="AY245">
        <v>3.3</v>
      </c>
      <c r="AZ245">
        <v>26.207999999999998</v>
      </c>
      <c r="BA245">
        <v>0</v>
      </c>
      <c r="BB245">
        <v>0</v>
      </c>
      <c r="BC245">
        <v>0</v>
      </c>
      <c r="BD245">
        <v>0</v>
      </c>
    </row>
    <row r="246" spans="1:56" x14ac:dyDescent="0.25">
      <c r="A246" s="23">
        <v>46304</v>
      </c>
      <c r="B246">
        <v>245</v>
      </c>
      <c r="C246" t="s">
        <v>82</v>
      </c>
      <c r="D246" t="s">
        <v>92</v>
      </c>
      <c r="E246">
        <v>2</v>
      </c>
      <c r="F246">
        <v>185</v>
      </c>
      <c r="G246">
        <v>1</v>
      </c>
      <c r="H246" t="s">
        <v>84</v>
      </c>
      <c r="I246" t="s">
        <v>91</v>
      </c>
      <c r="J246" t="s">
        <v>85</v>
      </c>
      <c r="K246" t="s">
        <v>79</v>
      </c>
      <c r="L246" t="s">
        <v>71</v>
      </c>
      <c r="M246" t="s">
        <v>81</v>
      </c>
      <c r="O246" t="s">
        <v>88</v>
      </c>
      <c r="P246" t="s">
        <v>27</v>
      </c>
      <c r="Q246" t="s">
        <v>73</v>
      </c>
      <c r="R246" t="s">
        <v>76</v>
      </c>
      <c r="S246" t="s">
        <v>74</v>
      </c>
      <c r="T246" t="s">
        <v>75</v>
      </c>
      <c r="X246" t="s">
        <v>77</v>
      </c>
      <c r="Z246" t="s">
        <v>72</v>
      </c>
      <c r="AA246" t="s">
        <v>93</v>
      </c>
      <c r="AB246">
        <v>5</v>
      </c>
      <c r="AC246">
        <v>748704.77</v>
      </c>
      <c r="AD246">
        <v>8930459.4100000001</v>
      </c>
      <c r="AE246">
        <v>189.83</v>
      </c>
      <c r="AF246">
        <v>748704.77</v>
      </c>
      <c r="AG246">
        <v>8930459.4100000001</v>
      </c>
      <c r="AH246">
        <v>184.66</v>
      </c>
      <c r="AI246">
        <v>5.17</v>
      </c>
      <c r="AJ246">
        <v>0.6</v>
      </c>
      <c r="AK246">
        <v>2.97</v>
      </c>
      <c r="AL246">
        <v>2.58</v>
      </c>
      <c r="AM246">
        <v>0</v>
      </c>
      <c r="AN246">
        <v>0</v>
      </c>
      <c r="AO246">
        <v>358</v>
      </c>
      <c r="AP246">
        <v>3.14</v>
      </c>
      <c r="AQ246">
        <v>0.31</v>
      </c>
      <c r="AR246">
        <v>0.05</v>
      </c>
      <c r="AS246">
        <v>0.04</v>
      </c>
      <c r="AT246">
        <v>8.7200000000000006</v>
      </c>
      <c r="AU246">
        <v>3.33</v>
      </c>
      <c r="AV246">
        <v>0.28999999999999998</v>
      </c>
      <c r="AW246">
        <v>0.65</v>
      </c>
      <c r="AX246">
        <v>4.67</v>
      </c>
      <c r="AY246">
        <v>2.5</v>
      </c>
      <c r="AZ246">
        <v>38.875</v>
      </c>
      <c r="BA246">
        <v>0</v>
      </c>
      <c r="BB246">
        <v>0</v>
      </c>
      <c r="BC246">
        <v>0</v>
      </c>
      <c r="BD246">
        <v>0</v>
      </c>
    </row>
    <row r="247" spans="1:56" x14ac:dyDescent="0.25">
      <c r="A247" s="23">
        <v>46304</v>
      </c>
      <c r="B247">
        <v>246</v>
      </c>
      <c r="C247" t="s">
        <v>82</v>
      </c>
      <c r="D247" t="s">
        <v>92</v>
      </c>
      <c r="E247">
        <v>2</v>
      </c>
      <c r="F247">
        <v>185</v>
      </c>
      <c r="G247">
        <v>1</v>
      </c>
      <c r="H247" t="s">
        <v>84</v>
      </c>
      <c r="I247" t="s">
        <v>91</v>
      </c>
      <c r="J247" t="s">
        <v>85</v>
      </c>
      <c r="K247" t="s">
        <v>79</v>
      </c>
      <c r="L247" t="s">
        <v>71</v>
      </c>
      <c r="M247" t="s">
        <v>81</v>
      </c>
      <c r="O247" t="s">
        <v>88</v>
      </c>
      <c r="P247" t="s">
        <v>27</v>
      </c>
      <c r="Q247" t="s">
        <v>73</v>
      </c>
      <c r="R247" t="s">
        <v>76</v>
      </c>
      <c r="S247" t="s">
        <v>74</v>
      </c>
      <c r="T247" t="s">
        <v>75</v>
      </c>
      <c r="X247" t="s">
        <v>77</v>
      </c>
      <c r="Z247" t="s">
        <v>72</v>
      </c>
      <c r="AA247" t="s">
        <v>93</v>
      </c>
      <c r="AB247">
        <v>5</v>
      </c>
      <c r="AC247">
        <v>748705.43</v>
      </c>
      <c r="AD247">
        <v>8930462.1999999993</v>
      </c>
      <c r="AE247">
        <v>189.91</v>
      </c>
      <c r="AF247">
        <v>748705.43</v>
      </c>
      <c r="AG247">
        <v>8930462.1999999993</v>
      </c>
      <c r="AH247">
        <v>184.67</v>
      </c>
      <c r="AI247">
        <v>5.25</v>
      </c>
      <c r="AJ247">
        <v>0.6</v>
      </c>
      <c r="AK247">
        <v>2.97</v>
      </c>
      <c r="AL247">
        <v>2.58</v>
      </c>
      <c r="AM247">
        <v>0</v>
      </c>
      <c r="AN247">
        <v>0</v>
      </c>
      <c r="AO247">
        <v>358</v>
      </c>
      <c r="AP247">
        <v>3.23</v>
      </c>
      <c r="AQ247">
        <v>0.4</v>
      </c>
      <c r="AR247">
        <v>0.06</v>
      </c>
      <c r="AS247">
        <v>0.05</v>
      </c>
      <c r="AT247">
        <v>11.61</v>
      </c>
      <c r="AU247">
        <v>4.55</v>
      </c>
      <c r="AV247">
        <v>0.43</v>
      </c>
      <c r="AW247">
        <v>0.79</v>
      </c>
      <c r="AX247">
        <v>6.7</v>
      </c>
      <c r="AY247">
        <v>2.5</v>
      </c>
      <c r="AZ247">
        <v>40.04</v>
      </c>
      <c r="BA247">
        <v>0</v>
      </c>
      <c r="BB247">
        <v>0</v>
      </c>
      <c r="BC247">
        <v>0</v>
      </c>
      <c r="BD247">
        <v>0</v>
      </c>
    </row>
    <row r="248" spans="1:56" x14ac:dyDescent="0.25">
      <c r="A248" s="23">
        <v>46304</v>
      </c>
      <c r="B248">
        <v>247</v>
      </c>
      <c r="C248" t="s">
        <v>82</v>
      </c>
      <c r="D248" t="s">
        <v>92</v>
      </c>
      <c r="E248">
        <v>2</v>
      </c>
      <c r="F248">
        <v>185</v>
      </c>
      <c r="G248">
        <v>1</v>
      </c>
      <c r="H248" t="s">
        <v>84</v>
      </c>
      <c r="I248" t="s">
        <v>91</v>
      </c>
      <c r="J248" t="s">
        <v>85</v>
      </c>
      <c r="K248" t="s">
        <v>79</v>
      </c>
      <c r="L248" t="s">
        <v>71</v>
      </c>
      <c r="M248" t="s">
        <v>81</v>
      </c>
      <c r="O248" t="s">
        <v>88</v>
      </c>
      <c r="P248" t="s">
        <v>27</v>
      </c>
      <c r="Q248" t="s">
        <v>73</v>
      </c>
      <c r="R248" t="s">
        <v>76</v>
      </c>
      <c r="S248" t="s">
        <v>74</v>
      </c>
      <c r="T248" t="s">
        <v>75</v>
      </c>
      <c r="X248" t="s">
        <v>77</v>
      </c>
      <c r="Z248" t="s">
        <v>72</v>
      </c>
      <c r="AA248" t="s">
        <v>94</v>
      </c>
      <c r="AB248">
        <v>5</v>
      </c>
      <c r="AC248">
        <v>748705.94</v>
      </c>
      <c r="AD248">
        <v>8930465.1500000004</v>
      </c>
      <c r="AE248">
        <v>189.99</v>
      </c>
      <c r="AF248">
        <v>748705.94</v>
      </c>
      <c r="AG248">
        <v>8930465.1500000004</v>
      </c>
      <c r="AH248">
        <v>184.67</v>
      </c>
      <c r="AI248">
        <v>5.32</v>
      </c>
      <c r="AJ248">
        <v>0.6</v>
      </c>
      <c r="AK248">
        <v>2.97</v>
      </c>
      <c r="AL248">
        <v>2.58</v>
      </c>
      <c r="AM248">
        <v>0</v>
      </c>
      <c r="AN248">
        <v>0</v>
      </c>
      <c r="AO248">
        <v>358</v>
      </c>
      <c r="AP248">
        <v>3.23</v>
      </c>
      <c r="AQ248">
        <v>0.4</v>
      </c>
      <c r="AR248">
        <v>0.06</v>
      </c>
      <c r="AS248">
        <v>0.05</v>
      </c>
      <c r="AT248">
        <v>11.72</v>
      </c>
      <c r="AU248">
        <v>4.59</v>
      </c>
      <c r="AV248">
        <v>0.43</v>
      </c>
      <c r="AW248">
        <v>0.81</v>
      </c>
      <c r="AX248">
        <v>6.78</v>
      </c>
      <c r="AY248">
        <v>3.3</v>
      </c>
      <c r="AZ248">
        <v>29.411000000000001</v>
      </c>
      <c r="BA248">
        <v>0</v>
      </c>
      <c r="BB248">
        <v>0</v>
      </c>
      <c r="BC248">
        <v>0</v>
      </c>
      <c r="BD248">
        <v>0</v>
      </c>
    </row>
    <row r="249" spans="1:56" x14ac:dyDescent="0.25">
      <c r="A249" s="23">
        <v>46304</v>
      </c>
      <c r="B249">
        <v>248</v>
      </c>
      <c r="C249" t="s">
        <v>82</v>
      </c>
      <c r="D249" t="s">
        <v>92</v>
      </c>
      <c r="E249">
        <v>2</v>
      </c>
      <c r="F249">
        <v>185</v>
      </c>
      <c r="G249">
        <v>1</v>
      </c>
      <c r="H249" t="s">
        <v>84</v>
      </c>
      <c r="I249" t="s">
        <v>91</v>
      </c>
      <c r="J249" t="s">
        <v>85</v>
      </c>
      <c r="K249" t="s">
        <v>86</v>
      </c>
      <c r="L249" t="s">
        <v>71</v>
      </c>
      <c r="M249" t="s">
        <v>87</v>
      </c>
      <c r="O249" t="s">
        <v>88</v>
      </c>
      <c r="P249" t="s">
        <v>27</v>
      </c>
      <c r="Q249" t="s">
        <v>73</v>
      </c>
      <c r="R249" t="s">
        <v>76</v>
      </c>
      <c r="S249" t="s">
        <v>74</v>
      </c>
      <c r="T249" t="s">
        <v>75</v>
      </c>
      <c r="X249" t="s">
        <v>77</v>
      </c>
      <c r="Z249" t="s">
        <v>72</v>
      </c>
      <c r="AA249" t="s">
        <v>93</v>
      </c>
      <c r="AB249">
        <v>5</v>
      </c>
      <c r="AC249">
        <v>748712.48</v>
      </c>
      <c r="AD249">
        <v>8930484.4399999995</v>
      </c>
      <c r="AE249">
        <v>189.74</v>
      </c>
      <c r="AF249">
        <v>748712.48</v>
      </c>
      <c r="AG249">
        <v>8930484.4399999995</v>
      </c>
      <c r="AH249">
        <v>184.66</v>
      </c>
      <c r="AI249">
        <v>5.08</v>
      </c>
      <c r="AJ249">
        <v>0.6</v>
      </c>
      <c r="AK249">
        <v>2.97</v>
      </c>
      <c r="AL249">
        <v>2.58</v>
      </c>
      <c r="AM249">
        <v>0</v>
      </c>
      <c r="AN249">
        <v>0</v>
      </c>
      <c r="AO249">
        <v>358</v>
      </c>
      <c r="AP249">
        <v>3.33</v>
      </c>
      <c r="AQ249">
        <v>0.7</v>
      </c>
      <c r="AR249">
        <v>0.11</v>
      </c>
      <c r="AS249">
        <v>0.09</v>
      </c>
      <c r="AT249">
        <v>19.14</v>
      </c>
      <c r="AU249">
        <v>6.06</v>
      </c>
      <c r="AV249">
        <v>0.35</v>
      </c>
      <c r="AW249">
        <v>1.99</v>
      </c>
      <c r="AX249">
        <v>8.75</v>
      </c>
      <c r="AY249">
        <v>2.5</v>
      </c>
      <c r="AZ249">
        <v>37.564999999999998</v>
      </c>
      <c r="BA249">
        <v>0</v>
      </c>
      <c r="BB249">
        <v>0</v>
      </c>
      <c r="BC249">
        <v>0</v>
      </c>
      <c r="BD249">
        <v>0</v>
      </c>
    </row>
    <row r="250" spans="1:56" x14ac:dyDescent="0.25">
      <c r="A250" s="23">
        <v>46304</v>
      </c>
      <c r="B250">
        <v>249</v>
      </c>
      <c r="C250" t="s">
        <v>82</v>
      </c>
      <c r="D250" t="s">
        <v>92</v>
      </c>
      <c r="E250">
        <v>2</v>
      </c>
      <c r="F250">
        <v>185</v>
      </c>
      <c r="G250">
        <v>1</v>
      </c>
      <c r="H250" t="s">
        <v>84</v>
      </c>
      <c r="I250" t="s">
        <v>91</v>
      </c>
      <c r="J250" t="s">
        <v>85</v>
      </c>
      <c r="K250" t="s">
        <v>86</v>
      </c>
      <c r="L250" t="s">
        <v>71</v>
      </c>
      <c r="M250" t="s">
        <v>87</v>
      </c>
      <c r="O250" t="s">
        <v>88</v>
      </c>
      <c r="P250" t="s">
        <v>27</v>
      </c>
      <c r="Q250" t="s">
        <v>73</v>
      </c>
      <c r="R250" t="s">
        <v>76</v>
      </c>
      <c r="S250" t="s">
        <v>74</v>
      </c>
      <c r="T250" t="s">
        <v>75</v>
      </c>
      <c r="X250" t="s">
        <v>77</v>
      </c>
      <c r="Z250" t="s">
        <v>72</v>
      </c>
      <c r="AA250" t="s">
        <v>93</v>
      </c>
      <c r="AB250">
        <v>5</v>
      </c>
      <c r="AC250">
        <v>748714.2</v>
      </c>
      <c r="AD250">
        <v>8930486.4399999995</v>
      </c>
      <c r="AE250">
        <v>189.59</v>
      </c>
      <c r="AF250">
        <v>748714.2</v>
      </c>
      <c r="AG250">
        <v>8930486.4399999995</v>
      </c>
      <c r="AH250">
        <v>184.67</v>
      </c>
      <c r="AI250">
        <v>4.92</v>
      </c>
      <c r="AJ250">
        <v>0.6</v>
      </c>
      <c r="AK250">
        <v>2.97</v>
      </c>
      <c r="AL250">
        <v>2.58</v>
      </c>
      <c r="AM250">
        <v>0</v>
      </c>
      <c r="AN250">
        <v>0</v>
      </c>
      <c r="AO250">
        <v>358</v>
      </c>
      <c r="AP250">
        <v>3.33</v>
      </c>
      <c r="AQ250">
        <v>0.7</v>
      </c>
      <c r="AR250">
        <v>0.11</v>
      </c>
      <c r="AS250">
        <v>0.09</v>
      </c>
      <c r="AT250">
        <v>19.12</v>
      </c>
      <c r="AU250">
        <v>6.05</v>
      </c>
      <c r="AV250">
        <v>0.35</v>
      </c>
      <c r="AW250">
        <v>1.98</v>
      </c>
      <c r="AX250">
        <v>8.64</v>
      </c>
      <c r="AY250">
        <v>2.5</v>
      </c>
      <c r="AZ250">
        <v>35.234999999999999</v>
      </c>
      <c r="BA250">
        <v>0</v>
      </c>
      <c r="BB250">
        <v>0</v>
      </c>
      <c r="BC250">
        <v>0</v>
      </c>
      <c r="BD250">
        <v>0</v>
      </c>
    </row>
    <row r="251" spans="1:56" x14ac:dyDescent="0.25">
      <c r="A251" s="23">
        <v>46304</v>
      </c>
      <c r="B251">
        <v>250</v>
      </c>
      <c r="C251" t="s">
        <v>82</v>
      </c>
      <c r="D251" t="s">
        <v>92</v>
      </c>
      <c r="E251">
        <v>2</v>
      </c>
      <c r="F251">
        <v>185</v>
      </c>
      <c r="G251">
        <v>1</v>
      </c>
      <c r="H251" t="s">
        <v>84</v>
      </c>
      <c r="I251" t="s">
        <v>91</v>
      </c>
      <c r="J251" t="s">
        <v>85</v>
      </c>
      <c r="K251" t="s">
        <v>86</v>
      </c>
      <c r="L251" t="s">
        <v>71</v>
      </c>
      <c r="M251" t="s">
        <v>87</v>
      </c>
      <c r="O251" t="s">
        <v>88</v>
      </c>
      <c r="P251" t="s">
        <v>27</v>
      </c>
      <c r="Q251" t="s">
        <v>73</v>
      </c>
      <c r="R251" t="s">
        <v>76</v>
      </c>
      <c r="S251" t="s">
        <v>74</v>
      </c>
      <c r="T251" t="s">
        <v>75</v>
      </c>
      <c r="X251" t="s">
        <v>77</v>
      </c>
      <c r="Z251" t="s">
        <v>72</v>
      </c>
      <c r="AA251" t="s">
        <v>93</v>
      </c>
      <c r="AB251">
        <v>5</v>
      </c>
      <c r="AC251">
        <v>748715.58</v>
      </c>
      <c r="AD251">
        <v>8930488.4600000009</v>
      </c>
      <c r="AE251">
        <v>189.59</v>
      </c>
      <c r="AF251">
        <v>748715.58</v>
      </c>
      <c r="AG251">
        <v>8930488.4600000009</v>
      </c>
      <c r="AH251">
        <v>184.64</v>
      </c>
      <c r="AI251">
        <v>4.95</v>
      </c>
      <c r="AJ251">
        <v>0.6</v>
      </c>
      <c r="AK251">
        <v>2.97</v>
      </c>
      <c r="AL251">
        <v>2.58</v>
      </c>
      <c r="AM251">
        <v>0</v>
      </c>
      <c r="AN251">
        <v>0</v>
      </c>
      <c r="AO251">
        <v>358</v>
      </c>
      <c r="AP251">
        <v>3.33</v>
      </c>
      <c r="AQ251">
        <v>0.7</v>
      </c>
      <c r="AR251">
        <v>0.11</v>
      </c>
      <c r="AS251">
        <v>0.09</v>
      </c>
      <c r="AT251">
        <v>19.23</v>
      </c>
      <c r="AU251">
        <v>6.01</v>
      </c>
      <c r="AV251">
        <v>0.35</v>
      </c>
      <c r="AW251">
        <v>1.99</v>
      </c>
      <c r="AX251">
        <v>8.7899999999999991</v>
      </c>
      <c r="AY251">
        <v>2.5</v>
      </c>
      <c r="AZ251">
        <v>35.671999999999997</v>
      </c>
      <c r="BA251">
        <v>0</v>
      </c>
      <c r="BB251">
        <v>0</v>
      </c>
      <c r="BC251">
        <v>0</v>
      </c>
      <c r="BD251">
        <v>0</v>
      </c>
    </row>
    <row r="252" spans="1:56" x14ac:dyDescent="0.25">
      <c r="A252" s="23">
        <v>46304</v>
      </c>
      <c r="B252">
        <v>251</v>
      </c>
      <c r="C252" t="s">
        <v>82</v>
      </c>
      <c r="D252" t="s">
        <v>92</v>
      </c>
      <c r="E252">
        <v>2</v>
      </c>
      <c r="F252">
        <v>185</v>
      </c>
      <c r="G252">
        <v>1</v>
      </c>
      <c r="H252" t="s">
        <v>84</v>
      </c>
      <c r="I252" t="s">
        <v>91</v>
      </c>
      <c r="J252" t="s">
        <v>85</v>
      </c>
      <c r="K252" t="s">
        <v>86</v>
      </c>
      <c r="L252" t="s">
        <v>71</v>
      </c>
      <c r="M252" t="s">
        <v>87</v>
      </c>
      <c r="O252" t="s">
        <v>88</v>
      </c>
      <c r="P252" t="s">
        <v>27</v>
      </c>
      <c r="Q252" t="s">
        <v>73</v>
      </c>
      <c r="R252" t="s">
        <v>76</v>
      </c>
      <c r="S252" t="s">
        <v>74</v>
      </c>
      <c r="T252" t="s">
        <v>75</v>
      </c>
      <c r="X252" t="s">
        <v>77</v>
      </c>
      <c r="Z252" t="s">
        <v>72</v>
      </c>
      <c r="AA252" t="s">
        <v>93</v>
      </c>
      <c r="AB252">
        <v>5</v>
      </c>
      <c r="AC252">
        <v>748717.26</v>
      </c>
      <c r="AD252">
        <v>8930490.9000000004</v>
      </c>
      <c r="AE252">
        <v>189.53</v>
      </c>
      <c r="AF252">
        <v>748717.26</v>
      </c>
      <c r="AG252">
        <v>8930490.9000000004</v>
      </c>
      <c r="AH252">
        <v>184.62</v>
      </c>
      <c r="AI252">
        <v>4.91</v>
      </c>
      <c r="AJ252">
        <v>0.6</v>
      </c>
      <c r="AK252">
        <v>2.97</v>
      </c>
      <c r="AL252">
        <v>2.58</v>
      </c>
      <c r="AM252">
        <v>0</v>
      </c>
      <c r="AN252">
        <v>0</v>
      </c>
      <c r="AO252">
        <v>358</v>
      </c>
      <c r="AP252">
        <v>3.32</v>
      </c>
      <c r="AQ252">
        <v>0.69</v>
      </c>
      <c r="AR252">
        <v>0.11</v>
      </c>
      <c r="AS252">
        <v>0.09</v>
      </c>
      <c r="AT252">
        <v>20.03</v>
      </c>
      <c r="AU252">
        <v>5.56</v>
      </c>
      <c r="AV252">
        <v>0.36</v>
      </c>
      <c r="AW252">
        <v>1.95</v>
      </c>
      <c r="AX252">
        <v>9.14</v>
      </c>
      <c r="AY252">
        <v>2.5</v>
      </c>
      <c r="AZ252">
        <v>35.090000000000003</v>
      </c>
      <c r="BA252">
        <v>0</v>
      </c>
      <c r="BB252">
        <v>0</v>
      </c>
      <c r="BC252">
        <v>0</v>
      </c>
      <c r="BD252">
        <v>0</v>
      </c>
    </row>
    <row r="253" spans="1:56" x14ac:dyDescent="0.25">
      <c r="A253" s="23">
        <v>46304</v>
      </c>
      <c r="B253">
        <v>252</v>
      </c>
      <c r="C253" t="s">
        <v>82</v>
      </c>
      <c r="D253" t="s">
        <v>92</v>
      </c>
      <c r="E253">
        <v>2</v>
      </c>
      <c r="F253">
        <v>185</v>
      </c>
      <c r="G253">
        <v>1</v>
      </c>
      <c r="H253" t="s">
        <v>84</v>
      </c>
      <c r="I253" t="s">
        <v>91</v>
      </c>
      <c r="J253" t="s">
        <v>85</v>
      </c>
      <c r="K253" t="s">
        <v>86</v>
      </c>
      <c r="L253" t="s">
        <v>71</v>
      </c>
      <c r="M253" t="s">
        <v>87</v>
      </c>
      <c r="O253" t="s">
        <v>88</v>
      </c>
      <c r="P253" t="s">
        <v>27</v>
      </c>
      <c r="Q253" t="s">
        <v>73</v>
      </c>
      <c r="R253" t="s">
        <v>76</v>
      </c>
      <c r="S253" t="s">
        <v>74</v>
      </c>
      <c r="T253" t="s">
        <v>75</v>
      </c>
      <c r="X253" t="s">
        <v>77</v>
      </c>
      <c r="Z253" t="s">
        <v>72</v>
      </c>
      <c r="AA253" t="s">
        <v>93</v>
      </c>
      <c r="AB253">
        <v>5</v>
      </c>
      <c r="AC253">
        <v>748719.11</v>
      </c>
      <c r="AD253">
        <v>8930493.2100000009</v>
      </c>
      <c r="AE253">
        <v>189.48</v>
      </c>
      <c r="AF253">
        <v>748719.11</v>
      </c>
      <c r="AG253">
        <v>8930493.2100000009</v>
      </c>
      <c r="AH253">
        <v>184.6</v>
      </c>
      <c r="AI253">
        <v>4.88</v>
      </c>
      <c r="AJ253">
        <v>0.6</v>
      </c>
      <c r="AK253">
        <v>2.97</v>
      </c>
      <c r="AL253">
        <v>2.58</v>
      </c>
      <c r="AM253">
        <v>0</v>
      </c>
      <c r="AN253">
        <v>0</v>
      </c>
      <c r="AO253">
        <v>358</v>
      </c>
      <c r="AP253">
        <v>3.32</v>
      </c>
      <c r="AQ253">
        <v>0.67</v>
      </c>
      <c r="AR253">
        <v>0.11</v>
      </c>
      <c r="AS253">
        <v>0.09</v>
      </c>
      <c r="AT253">
        <v>20.38</v>
      </c>
      <c r="AU253">
        <v>5.36</v>
      </c>
      <c r="AV253">
        <v>0.36</v>
      </c>
      <c r="AW253">
        <v>1.87</v>
      </c>
      <c r="AX253">
        <v>9.2100000000000009</v>
      </c>
      <c r="AY253">
        <v>2.5</v>
      </c>
      <c r="AZ253">
        <v>34.652999999999999</v>
      </c>
      <c r="BA253">
        <v>0</v>
      </c>
      <c r="BB253">
        <v>0</v>
      </c>
      <c r="BC253">
        <v>0</v>
      </c>
      <c r="BD253">
        <v>0</v>
      </c>
    </row>
    <row r="254" spans="1:56" x14ac:dyDescent="0.25">
      <c r="A254" s="23">
        <v>46304</v>
      </c>
      <c r="B254">
        <v>253</v>
      </c>
      <c r="C254" t="s">
        <v>82</v>
      </c>
      <c r="D254" t="s">
        <v>92</v>
      </c>
      <c r="E254">
        <v>2</v>
      </c>
      <c r="F254">
        <v>185</v>
      </c>
      <c r="G254">
        <v>1</v>
      </c>
      <c r="H254" t="s">
        <v>84</v>
      </c>
      <c r="I254" t="s">
        <v>91</v>
      </c>
      <c r="J254" t="s">
        <v>85</v>
      </c>
      <c r="K254" t="s">
        <v>86</v>
      </c>
      <c r="L254" t="s">
        <v>71</v>
      </c>
      <c r="M254" t="s">
        <v>87</v>
      </c>
      <c r="O254" t="s">
        <v>88</v>
      </c>
      <c r="P254" t="s">
        <v>27</v>
      </c>
      <c r="Q254" t="s">
        <v>73</v>
      </c>
      <c r="R254" t="s">
        <v>76</v>
      </c>
      <c r="S254" t="s">
        <v>74</v>
      </c>
      <c r="T254" t="s">
        <v>75</v>
      </c>
      <c r="X254" t="s">
        <v>77</v>
      </c>
      <c r="Z254" t="s">
        <v>72</v>
      </c>
      <c r="AA254" t="s">
        <v>94</v>
      </c>
      <c r="AB254">
        <v>5</v>
      </c>
      <c r="AC254">
        <v>748721.14</v>
      </c>
      <c r="AD254">
        <v>8930495.3800000008</v>
      </c>
      <c r="AE254">
        <v>189.56</v>
      </c>
      <c r="AF254">
        <v>748721.14</v>
      </c>
      <c r="AG254">
        <v>8930495.3800000008</v>
      </c>
      <c r="AH254">
        <v>184.58</v>
      </c>
      <c r="AI254">
        <v>4.99</v>
      </c>
      <c r="AJ254">
        <v>0.6</v>
      </c>
      <c r="AK254">
        <v>2.97</v>
      </c>
      <c r="AL254">
        <v>2.58</v>
      </c>
      <c r="AM254">
        <v>0</v>
      </c>
      <c r="AN254">
        <v>0</v>
      </c>
      <c r="AO254">
        <v>358</v>
      </c>
      <c r="AP254">
        <v>3.33</v>
      </c>
      <c r="AQ254">
        <v>0.61</v>
      </c>
      <c r="AR254">
        <v>0.1</v>
      </c>
      <c r="AS254">
        <v>0.09</v>
      </c>
      <c r="AT254">
        <v>20.57</v>
      </c>
      <c r="AU254">
        <v>5.23</v>
      </c>
      <c r="AV254">
        <v>0.36</v>
      </c>
      <c r="AW254">
        <v>1.73</v>
      </c>
      <c r="AX254">
        <v>9.11</v>
      </c>
      <c r="AY254">
        <v>3.3</v>
      </c>
      <c r="AZ254">
        <v>24.606000000000002</v>
      </c>
      <c r="BA254">
        <v>0</v>
      </c>
      <c r="BB254">
        <v>0</v>
      </c>
      <c r="BC254">
        <v>0</v>
      </c>
      <c r="BD254">
        <v>0</v>
      </c>
    </row>
    <row r="255" spans="1:56" x14ac:dyDescent="0.25">
      <c r="A255" s="23">
        <v>46304</v>
      </c>
      <c r="B255">
        <v>254</v>
      </c>
      <c r="C255" t="s">
        <v>82</v>
      </c>
      <c r="D255" t="s">
        <v>92</v>
      </c>
      <c r="E255">
        <v>2</v>
      </c>
      <c r="F255">
        <v>185</v>
      </c>
      <c r="G255">
        <v>1</v>
      </c>
      <c r="H255" t="s">
        <v>84</v>
      </c>
      <c r="I255" t="s">
        <v>91</v>
      </c>
      <c r="J255" t="s">
        <v>85</v>
      </c>
      <c r="K255" t="s">
        <v>86</v>
      </c>
      <c r="L255" t="s">
        <v>71</v>
      </c>
      <c r="M255" t="s">
        <v>87</v>
      </c>
      <c r="O255" t="s">
        <v>88</v>
      </c>
      <c r="P255" t="s">
        <v>27</v>
      </c>
      <c r="Q255" t="s">
        <v>73</v>
      </c>
      <c r="R255" t="s">
        <v>76</v>
      </c>
      <c r="S255" t="s">
        <v>74</v>
      </c>
      <c r="T255" t="s">
        <v>75</v>
      </c>
      <c r="X255" t="s">
        <v>77</v>
      </c>
      <c r="Z255" t="s">
        <v>72</v>
      </c>
      <c r="AA255" t="s">
        <v>93</v>
      </c>
      <c r="AB255">
        <v>5</v>
      </c>
      <c r="AC255">
        <v>748723.3</v>
      </c>
      <c r="AD255">
        <v>8930497.4199999999</v>
      </c>
      <c r="AE255">
        <v>189.8</v>
      </c>
      <c r="AF255">
        <v>748723.3</v>
      </c>
      <c r="AG255">
        <v>8930497.4199999999</v>
      </c>
      <c r="AH255">
        <v>184.56</v>
      </c>
      <c r="AI255">
        <v>5.24</v>
      </c>
      <c r="AJ255">
        <v>0.6</v>
      </c>
      <c r="AK255">
        <v>2.97</v>
      </c>
      <c r="AL255">
        <v>2.58</v>
      </c>
      <c r="AM255">
        <v>0</v>
      </c>
      <c r="AN255">
        <v>0</v>
      </c>
      <c r="AO255">
        <v>358</v>
      </c>
      <c r="AP255">
        <v>3.33</v>
      </c>
      <c r="AQ255">
        <v>0.6</v>
      </c>
      <c r="AR255">
        <v>0.1</v>
      </c>
      <c r="AS255">
        <v>0.08</v>
      </c>
      <c r="AT255">
        <v>20.63</v>
      </c>
      <c r="AU255">
        <v>5.19</v>
      </c>
      <c r="AV255">
        <v>0.36</v>
      </c>
      <c r="AW255">
        <v>1.68</v>
      </c>
      <c r="AX255">
        <v>9.08</v>
      </c>
      <c r="AY255">
        <v>2.5</v>
      </c>
      <c r="AZ255">
        <v>39.893999999999998</v>
      </c>
      <c r="BA255">
        <v>0</v>
      </c>
      <c r="BB255">
        <v>0</v>
      </c>
      <c r="BC255">
        <v>0</v>
      </c>
      <c r="BD255">
        <v>0</v>
      </c>
    </row>
    <row r="256" spans="1:56" x14ac:dyDescent="0.25">
      <c r="A256" s="23">
        <v>46304</v>
      </c>
      <c r="B256">
        <v>255</v>
      </c>
      <c r="C256" t="s">
        <v>82</v>
      </c>
      <c r="D256" t="s">
        <v>92</v>
      </c>
      <c r="E256">
        <v>2</v>
      </c>
      <c r="F256">
        <v>185</v>
      </c>
      <c r="G256">
        <v>1</v>
      </c>
      <c r="H256" t="s">
        <v>84</v>
      </c>
      <c r="I256" t="s">
        <v>91</v>
      </c>
      <c r="J256" t="s">
        <v>85</v>
      </c>
      <c r="K256" t="s">
        <v>86</v>
      </c>
      <c r="L256" t="s">
        <v>71</v>
      </c>
      <c r="M256" t="s">
        <v>87</v>
      </c>
      <c r="O256" t="s">
        <v>88</v>
      </c>
      <c r="P256" t="s">
        <v>27</v>
      </c>
      <c r="Q256" t="s">
        <v>73</v>
      </c>
      <c r="R256" t="s">
        <v>76</v>
      </c>
      <c r="S256" t="s">
        <v>74</v>
      </c>
      <c r="T256" t="s">
        <v>75</v>
      </c>
      <c r="X256" t="s">
        <v>77</v>
      </c>
      <c r="Z256" t="s">
        <v>72</v>
      </c>
      <c r="AA256" t="s">
        <v>93</v>
      </c>
      <c r="AB256">
        <v>5</v>
      </c>
      <c r="AC256">
        <v>748725.59</v>
      </c>
      <c r="AD256">
        <v>8930499.2899999991</v>
      </c>
      <c r="AE256">
        <v>189.91</v>
      </c>
      <c r="AF256">
        <v>748725.59</v>
      </c>
      <c r="AG256">
        <v>8930499.2899999991</v>
      </c>
      <c r="AH256">
        <v>184.56</v>
      </c>
      <c r="AI256">
        <v>5.35</v>
      </c>
      <c r="AJ256">
        <v>0.6</v>
      </c>
      <c r="AK256">
        <v>2.97</v>
      </c>
      <c r="AL256">
        <v>2.58</v>
      </c>
      <c r="AM256">
        <v>0</v>
      </c>
      <c r="AN256">
        <v>0</v>
      </c>
      <c r="AO256">
        <v>358</v>
      </c>
      <c r="AP256">
        <v>3.33</v>
      </c>
      <c r="AQ256">
        <v>0.59</v>
      </c>
      <c r="AR256">
        <v>0.1</v>
      </c>
      <c r="AS256">
        <v>0.08</v>
      </c>
      <c r="AT256">
        <v>20.03</v>
      </c>
      <c r="AU256">
        <v>5.12</v>
      </c>
      <c r="AV256">
        <v>0.34</v>
      </c>
      <c r="AW256">
        <v>1.74</v>
      </c>
      <c r="AX256">
        <v>6.45</v>
      </c>
      <c r="AY256">
        <v>2.5</v>
      </c>
      <c r="AZ256">
        <v>41.496000000000002</v>
      </c>
      <c r="BA256">
        <v>0</v>
      </c>
      <c r="BB256">
        <v>0</v>
      </c>
      <c r="BC256">
        <v>0</v>
      </c>
      <c r="BD256">
        <v>0</v>
      </c>
    </row>
    <row r="257" spans="1:56" x14ac:dyDescent="0.25">
      <c r="A257" s="23">
        <v>46304</v>
      </c>
      <c r="B257">
        <v>256</v>
      </c>
      <c r="C257" t="s">
        <v>82</v>
      </c>
      <c r="D257" t="s">
        <v>92</v>
      </c>
      <c r="E257">
        <v>2</v>
      </c>
      <c r="F257">
        <v>185</v>
      </c>
      <c r="G257">
        <v>1</v>
      </c>
      <c r="H257" t="s">
        <v>84</v>
      </c>
      <c r="I257" t="s">
        <v>91</v>
      </c>
      <c r="J257" t="s">
        <v>85</v>
      </c>
      <c r="K257" t="s">
        <v>86</v>
      </c>
      <c r="L257" t="s">
        <v>71</v>
      </c>
      <c r="M257" t="s">
        <v>87</v>
      </c>
      <c r="O257" t="s">
        <v>88</v>
      </c>
      <c r="P257" t="s">
        <v>27</v>
      </c>
      <c r="Q257" t="s">
        <v>73</v>
      </c>
      <c r="R257" t="s">
        <v>76</v>
      </c>
      <c r="S257" t="s">
        <v>74</v>
      </c>
      <c r="T257" t="s">
        <v>75</v>
      </c>
      <c r="X257" t="s">
        <v>77</v>
      </c>
      <c r="Z257" t="s">
        <v>72</v>
      </c>
      <c r="AA257" t="s">
        <v>93</v>
      </c>
      <c r="AB257">
        <v>5</v>
      </c>
      <c r="AC257">
        <v>748728.03</v>
      </c>
      <c r="AD257">
        <v>8930500.9900000002</v>
      </c>
      <c r="AE257">
        <v>189.98</v>
      </c>
      <c r="AF257">
        <v>748728.03</v>
      </c>
      <c r="AG257">
        <v>8930500.9900000002</v>
      </c>
      <c r="AH257">
        <v>184.56</v>
      </c>
      <c r="AI257">
        <v>5.42</v>
      </c>
      <c r="AJ257">
        <v>0.6</v>
      </c>
      <c r="AK257">
        <v>2.97</v>
      </c>
      <c r="AL257">
        <v>2.58</v>
      </c>
      <c r="AM257">
        <v>0</v>
      </c>
      <c r="AN257">
        <v>0</v>
      </c>
      <c r="AO257">
        <v>358</v>
      </c>
      <c r="AP257">
        <v>3.33</v>
      </c>
      <c r="AQ257">
        <v>0.57999999999999996</v>
      </c>
      <c r="AR257">
        <v>0.1</v>
      </c>
      <c r="AS257">
        <v>0.08</v>
      </c>
      <c r="AT257">
        <v>18.989999999999998</v>
      </c>
      <c r="AU257">
        <v>5.01</v>
      </c>
      <c r="AV257">
        <v>0.32</v>
      </c>
      <c r="AW257">
        <v>1.83</v>
      </c>
      <c r="AX257">
        <v>2</v>
      </c>
      <c r="AY257">
        <v>2.5</v>
      </c>
      <c r="AZ257">
        <v>42.515000000000001</v>
      </c>
      <c r="BA257">
        <v>0</v>
      </c>
      <c r="BB257">
        <v>0</v>
      </c>
      <c r="BC257">
        <v>0</v>
      </c>
      <c r="BD257">
        <v>0</v>
      </c>
    </row>
    <row r="258" spans="1:56" x14ac:dyDescent="0.25">
      <c r="A258" s="23">
        <v>46304</v>
      </c>
      <c r="B258">
        <v>257</v>
      </c>
      <c r="C258" t="s">
        <v>82</v>
      </c>
      <c r="D258" t="s">
        <v>92</v>
      </c>
      <c r="E258">
        <v>2</v>
      </c>
      <c r="F258">
        <v>185</v>
      </c>
      <c r="G258">
        <v>1</v>
      </c>
      <c r="H258" t="s">
        <v>84</v>
      </c>
      <c r="I258" t="s">
        <v>91</v>
      </c>
      <c r="J258" t="s">
        <v>85</v>
      </c>
      <c r="K258" t="s">
        <v>86</v>
      </c>
      <c r="L258" t="s">
        <v>71</v>
      </c>
      <c r="M258" t="s">
        <v>87</v>
      </c>
      <c r="O258" t="s">
        <v>88</v>
      </c>
      <c r="P258" t="s">
        <v>27</v>
      </c>
      <c r="Q258" t="s">
        <v>73</v>
      </c>
      <c r="R258" t="s">
        <v>76</v>
      </c>
      <c r="S258" t="s">
        <v>74</v>
      </c>
      <c r="T258" t="s">
        <v>75</v>
      </c>
      <c r="X258" t="s">
        <v>77</v>
      </c>
      <c r="Z258" t="s">
        <v>72</v>
      </c>
      <c r="AA258" t="s">
        <v>93</v>
      </c>
      <c r="AB258">
        <v>5</v>
      </c>
      <c r="AC258">
        <v>748730.56</v>
      </c>
      <c r="AD258">
        <v>8930502.5500000007</v>
      </c>
      <c r="AE258">
        <v>189.92</v>
      </c>
      <c r="AF258">
        <v>748730.56</v>
      </c>
      <c r="AG258">
        <v>8930502.5500000007</v>
      </c>
      <c r="AH258">
        <v>184.58</v>
      </c>
      <c r="AI258">
        <v>5.35</v>
      </c>
      <c r="AJ258">
        <v>0.6</v>
      </c>
      <c r="AK258">
        <v>2.97</v>
      </c>
      <c r="AL258">
        <v>2.58</v>
      </c>
      <c r="AM258">
        <v>0</v>
      </c>
      <c r="AN258">
        <v>0</v>
      </c>
      <c r="AO258">
        <v>358</v>
      </c>
      <c r="AP258">
        <v>3.28</v>
      </c>
      <c r="AQ258">
        <v>0.56999999999999995</v>
      </c>
      <c r="AR258">
        <v>0.09</v>
      </c>
      <c r="AS258">
        <v>7.0000000000000007E-2</v>
      </c>
      <c r="AT258">
        <v>17.59</v>
      </c>
      <c r="AU258">
        <v>4.9400000000000004</v>
      </c>
      <c r="AV258">
        <v>0.33</v>
      </c>
      <c r="AW258">
        <v>1.73</v>
      </c>
      <c r="AX258">
        <v>5.49</v>
      </c>
      <c r="AY258">
        <v>2.5</v>
      </c>
      <c r="AZ258">
        <v>41.496000000000002</v>
      </c>
      <c r="BA258">
        <v>0</v>
      </c>
      <c r="BB258">
        <v>0</v>
      </c>
      <c r="BC258">
        <v>0</v>
      </c>
      <c r="BD258">
        <v>0</v>
      </c>
    </row>
    <row r="259" spans="1:56" x14ac:dyDescent="0.25">
      <c r="A259" s="23">
        <v>46304</v>
      </c>
      <c r="B259">
        <v>258</v>
      </c>
      <c r="C259" t="s">
        <v>82</v>
      </c>
      <c r="D259" t="s">
        <v>92</v>
      </c>
      <c r="E259">
        <v>2</v>
      </c>
      <c r="F259">
        <v>185</v>
      </c>
      <c r="G259">
        <v>1</v>
      </c>
      <c r="H259" t="s">
        <v>84</v>
      </c>
      <c r="I259" t="s">
        <v>91</v>
      </c>
      <c r="J259" t="s">
        <v>85</v>
      </c>
      <c r="K259" t="s">
        <v>86</v>
      </c>
      <c r="L259" t="s">
        <v>71</v>
      </c>
      <c r="M259" t="s">
        <v>87</v>
      </c>
      <c r="O259" t="s">
        <v>88</v>
      </c>
      <c r="P259" t="s">
        <v>27</v>
      </c>
      <c r="Q259" t="s">
        <v>73</v>
      </c>
      <c r="R259" t="s">
        <v>76</v>
      </c>
      <c r="S259" t="s">
        <v>74</v>
      </c>
      <c r="T259" t="s">
        <v>75</v>
      </c>
      <c r="X259" t="s">
        <v>77</v>
      </c>
      <c r="Z259" t="s">
        <v>72</v>
      </c>
      <c r="AA259" t="s">
        <v>93</v>
      </c>
      <c r="AB259">
        <v>5</v>
      </c>
      <c r="AC259">
        <v>748733.13</v>
      </c>
      <c r="AD259">
        <v>8930504.0299999993</v>
      </c>
      <c r="AE259">
        <v>189.81</v>
      </c>
      <c r="AF259">
        <v>748733.13</v>
      </c>
      <c r="AG259">
        <v>8930504.0299999993</v>
      </c>
      <c r="AH259">
        <v>184.59</v>
      </c>
      <c r="AI259">
        <v>5.22</v>
      </c>
      <c r="AJ259">
        <v>0.6</v>
      </c>
      <c r="AK259">
        <v>2.97</v>
      </c>
      <c r="AL259">
        <v>2.58</v>
      </c>
      <c r="AM259">
        <v>0</v>
      </c>
      <c r="AN259">
        <v>0</v>
      </c>
      <c r="AO259">
        <v>358</v>
      </c>
      <c r="AP259">
        <v>3.26</v>
      </c>
      <c r="AQ259">
        <v>0.56999999999999995</v>
      </c>
      <c r="AR259">
        <v>0.09</v>
      </c>
      <c r="AS259">
        <v>7.0000000000000007E-2</v>
      </c>
      <c r="AT259">
        <v>17.100000000000001</v>
      </c>
      <c r="AU259">
        <v>4.93</v>
      </c>
      <c r="AV259">
        <v>0.34</v>
      </c>
      <c r="AW259">
        <v>1.66</v>
      </c>
      <c r="AX259">
        <v>8.2899999999999991</v>
      </c>
      <c r="AY259">
        <v>2.5</v>
      </c>
      <c r="AZ259">
        <v>39.603000000000002</v>
      </c>
      <c r="BA259">
        <v>0</v>
      </c>
      <c r="BB259">
        <v>0</v>
      </c>
      <c r="BC259">
        <v>0</v>
      </c>
      <c r="BD259">
        <v>0</v>
      </c>
    </row>
    <row r="260" spans="1:56" x14ac:dyDescent="0.25">
      <c r="A260" s="23">
        <v>46304</v>
      </c>
      <c r="B260">
        <v>259</v>
      </c>
      <c r="C260" t="s">
        <v>82</v>
      </c>
      <c r="D260" t="s">
        <v>92</v>
      </c>
      <c r="E260">
        <v>2</v>
      </c>
      <c r="F260">
        <v>185</v>
      </c>
      <c r="G260">
        <v>1</v>
      </c>
      <c r="H260" t="s">
        <v>84</v>
      </c>
      <c r="I260" t="s">
        <v>91</v>
      </c>
      <c r="J260" t="s">
        <v>85</v>
      </c>
      <c r="K260" t="s">
        <v>86</v>
      </c>
      <c r="L260" t="s">
        <v>71</v>
      </c>
      <c r="M260" t="s">
        <v>87</v>
      </c>
      <c r="O260" t="s">
        <v>88</v>
      </c>
      <c r="P260" t="s">
        <v>27</v>
      </c>
      <c r="Q260" t="s">
        <v>73</v>
      </c>
      <c r="R260" t="s">
        <v>76</v>
      </c>
      <c r="S260" t="s">
        <v>74</v>
      </c>
      <c r="T260" t="s">
        <v>75</v>
      </c>
      <c r="X260" t="s">
        <v>77</v>
      </c>
      <c r="Z260" t="s">
        <v>72</v>
      </c>
      <c r="AA260" t="s">
        <v>93</v>
      </c>
      <c r="AB260">
        <v>5</v>
      </c>
      <c r="AC260">
        <v>748735.71</v>
      </c>
      <c r="AD260">
        <v>8930505.4900000002</v>
      </c>
      <c r="AE260">
        <v>189.85</v>
      </c>
      <c r="AF260">
        <v>748735.71</v>
      </c>
      <c r="AG260">
        <v>8930505.4900000002</v>
      </c>
      <c r="AH260">
        <v>184.61</v>
      </c>
      <c r="AI260">
        <v>5.24</v>
      </c>
      <c r="AJ260">
        <v>0.6</v>
      </c>
      <c r="AK260">
        <v>2.97</v>
      </c>
      <c r="AL260">
        <v>2.58</v>
      </c>
      <c r="AM260">
        <v>0</v>
      </c>
      <c r="AN260">
        <v>0</v>
      </c>
      <c r="AO260">
        <v>358</v>
      </c>
      <c r="AP260">
        <v>3.26</v>
      </c>
      <c r="AQ260">
        <v>0.56999999999999995</v>
      </c>
      <c r="AR260">
        <v>0.09</v>
      </c>
      <c r="AS260">
        <v>7.0000000000000007E-2</v>
      </c>
      <c r="AT260">
        <v>17.100000000000001</v>
      </c>
      <c r="AU260">
        <v>4.93</v>
      </c>
      <c r="AV260">
        <v>0.34</v>
      </c>
      <c r="AW260">
        <v>1.66</v>
      </c>
      <c r="AX260">
        <v>8.2899999999999991</v>
      </c>
      <c r="AY260">
        <v>2.5</v>
      </c>
      <c r="AZ260">
        <v>39.893999999999998</v>
      </c>
      <c r="BA260">
        <v>0</v>
      </c>
      <c r="BB260">
        <v>0</v>
      </c>
      <c r="BC260">
        <v>0</v>
      </c>
      <c r="BD260">
        <v>0</v>
      </c>
    </row>
    <row r="261" spans="1:56" x14ac:dyDescent="0.25">
      <c r="A261" s="23">
        <v>46304</v>
      </c>
      <c r="B261">
        <v>260</v>
      </c>
      <c r="C261" t="s">
        <v>82</v>
      </c>
      <c r="D261" t="s">
        <v>92</v>
      </c>
      <c r="E261">
        <v>2</v>
      </c>
      <c r="F261">
        <v>185</v>
      </c>
      <c r="G261">
        <v>1</v>
      </c>
      <c r="H261" t="s">
        <v>84</v>
      </c>
      <c r="I261" t="s">
        <v>91</v>
      </c>
      <c r="J261" t="s">
        <v>85</v>
      </c>
      <c r="K261" t="s">
        <v>86</v>
      </c>
      <c r="L261" t="s">
        <v>71</v>
      </c>
      <c r="M261" t="s">
        <v>87</v>
      </c>
      <c r="O261" t="s">
        <v>88</v>
      </c>
      <c r="P261" t="s">
        <v>27</v>
      </c>
      <c r="Q261" t="s">
        <v>73</v>
      </c>
      <c r="R261" t="s">
        <v>76</v>
      </c>
      <c r="S261" t="s">
        <v>74</v>
      </c>
      <c r="T261" t="s">
        <v>75</v>
      </c>
      <c r="X261" t="s">
        <v>77</v>
      </c>
      <c r="Z261" t="s">
        <v>72</v>
      </c>
      <c r="AA261" t="s">
        <v>93</v>
      </c>
      <c r="AB261">
        <v>5</v>
      </c>
      <c r="AC261">
        <v>748738.3</v>
      </c>
      <c r="AD261">
        <v>8930506.9600000009</v>
      </c>
      <c r="AE261">
        <v>189.89</v>
      </c>
      <c r="AF261">
        <v>748738.3</v>
      </c>
      <c r="AG261">
        <v>8930506.9600000009</v>
      </c>
      <c r="AH261">
        <v>184.62</v>
      </c>
      <c r="AI261">
        <v>5.27</v>
      </c>
      <c r="AJ261">
        <v>0.6</v>
      </c>
      <c r="AK261">
        <v>2.97</v>
      </c>
      <c r="AL261">
        <v>2.58</v>
      </c>
      <c r="AM261">
        <v>0</v>
      </c>
      <c r="AN261">
        <v>0</v>
      </c>
      <c r="AO261">
        <v>358</v>
      </c>
      <c r="AP261">
        <v>3.26</v>
      </c>
      <c r="AQ261">
        <v>0.56999999999999995</v>
      </c>
      <c r="AR261">
        <v>0.09</v>
      </c>
      <c r="AS261">
        <v>7.0000000000000007E-2</v>
      </c>
      <c r="AT261">
        <v>17.100000000000001</v>
      </c>
      <c r="AU261">
        <v>4.93</v>
      </c>
      <c r="AV261">
        <v>0.34</v>
      </c>
      <c r="AW261">
        <v>1.66</v>
      </c>
      <c r="AX261">
        <v>8.2899999999999991</v>
      </c>
      <c r="AY261">
        <v>2.5</v>
      </c>
      <c r="AZ261">
        <v>40.331000000000003</v>
      </c>
      <c r="BA261">
        <v>0</v>
      </c>
      <c r="BB261">
        <v>0</v>
      </c>
      <c r="BC261">
        <v>0</v>
      </c>
      <c r="BD261">
        <v>0</v>
      </c>
    </row>
    <row r="262" spans="1:56" x14ac:dyDescent="0.25">
      <c r="A262" s="23">
        <v>46304</v>
      </c>
      <c r="B262">
        <v>261</v>
      </c>
      <c r="C262" t="s">
        <v>82</v>
      </c>
      <c r="D262" t="s">
        <v>92</v>
      </c>
      <c r="E262">
        <v>2</v>
      </c>
      <c r="F262">
        <v>185</v>
      </c>
      <c r="G262">
        <v>1</v>
      </c>
      <c r="H262" t="s">
        <v>84</v>
      </c>
      <c r="I262" t="s">
        <v>91</v>
      </c>
      <c r="J262" t="s">
        <v>85</v>
      </c>
      <c r="K262" t="s">
        <v>86</v>
      </c>
      <c r="L262" t="s">
        <v>71</v>
      </c>
      <c r="M262" t="s">
        <v>87</v>
      </c>
      <c r="O262" t="s">
        <v>88</v>
      </c>
      <c r="P262" t="s">
        <v>27</v>
      </c>
      <c r="Q262" t="s">
        <v>73</v>
      </c>
      <c r="R262" t="s">
        <v>76</v>
      </c>
      <c r="S262" t="s">
        <v>74</v>
      </c>
      <c r="T262" t="s">
        <v>75</v>
      </c>
      <c r="X262" t="s">
        <v>77</v>
      </c>
      <c r="Z262" t="s">
        <v>72</v>
      </c>
      <c r="AA262" t="s">
        <v>93</v>
      </c>
      <c r="AB262">
        <v>5</v>
      </c>
      <c r="AC262">
        <v>748740.88</v>
      </c>
      <c r="AD262">
        <v>8930508.4199999999</v>
      </c>
      <c r="AE262">
        <v>189.96</v>
      </c>
      <c r="AF262">
        <v>748740.88</v>
      </c>
      <c r="AG262">
        <v>8930508.4199999999</v>
      </c>
      <c r="AH262">
        <v>184.63</v>
      </c>
      <c r="AI262">
        <v>5.33</v>
      </c>
      <c r="AJ262">
        <v>0.6</v>
      </c>
      <c r="AK262">
        <v>2.97</v>
      </c>
      <c r="AL262">
        <v>2.58</v>
      </c>
      <c r="AM262">
        <v>0</v>
      </c>
      <c r="AN262">
        <v>0</v>
      </c>
      <c r="AO262">
        <v>358</v>
      </c>
      <c r="AP262">
        <v>3.3</v>
      </c>
      <c r="AQ262">
        <v>0.56000000000000005</v>
      </c>
      <c r="AR262">
        <v>0.08</v>
      </c>
      <c r="AS262">
        <v>0.06</v>
      </c>
      <c r="AT262">
        <v>17.38</v>
      </c>
      <c r="AU262">
        <v>5.2</v>
      </c>
      <c r="AV262">
        <v>0.33</v>
      </c>
      <c r="AW262">
        <v>1.67</v>
      </c>
      <c r="AX262">
        <v>6.77</v>
      </c>
      <c r="AY262">
        <v>2.5</v>
      </c>
      <c r="AZ262">
        <v>41.204999999999998</v>
      </c>
      <c r="BA262">
        <v>0</v>
      </c>
      <c r="BB262">
        <v>0</v>
      </c>
      <c r="BC262">
        <v>0</v>
      </c>
      <c r="BD262">
        <v>0</v>
      </c>
    </row>
    <row r="263" spans="1:56" x14ac:dyDescent="0.25">
      <c r="A263" s="23">
        <v>46304</v>
      </c>
      <c r="B263">
        <v>262</v>
      </c>
      <c r="C263" t="s">
        <v>82</v>
      </c>
      <c r="D263" t="s">
        <v>92</v>
      </c>
      <c r="E263">
        <v>2</v>
      </c>
      <c r="F263">
        <v>185</v>
      </c>
      <c r="G263">
        <v>1</v>
      </c>
      <c r="H263" t="s">
        <v>84</v>
      </c>
      <c r="I263" t="s">
        <v>91</v>
      </c>
      <c r="J263" t="s">
        <v>85</v>
      </c>
      <c r="K263" t="s">
        <v>86</v>
      </c>
      <c r="L263" t="s">
        <v>71</v>
      </c>
      <c r="M263" t="s">
        <v>87</v>
      </c>
      <c r="O263" t="s">
        <v>88</v>
      </c>
      <c r="P263" t="s">
        <v>27</v>
      </c>
      <c r="Q263" t="s">
        <v>73</v>
      </c>
      <c r="R263" t="s">
        <v>76</v>
      </c>
      <c r="S263" t="s">
        <v>74</v>
      </c>
      <c r="T263" t="s">
        <v>75</v>
      </c>
      <c r="X263" t="s">
        <v>77</v>
      </c>
      <c r="Z263" t="s">
        <v>72</v>
      </c>
      <c r="AA263" t="s">
        <v>93</v>
      </c>
      <c r="AB263">
        <v>5</v>
      </c>
      <c r="AC263">
        <v>748743.46</v>
      </c>
      <c r="AD263">
        <v>8930509.8900000006</v>
      </c>
      <c r="AE263">
        <v>190.07</v>
      </c>
      <c r="AF263">
        <v>748743.46</v>
      </c>
      <c r="AG263">
        <v>8930509.8900000006</v>
      </c>
      <c r="AH263">
        <v>184.63</v>
      </c>
      <c r="AI263">
        <v>5.44</v>
      </c>
      <c r="AJ263">
        <v>0.6</v>
      </c>
      <c r="AK263">
        <v>2.97</v>
      </c>
      <c r="AL263">
        <v>2.58</v>
      </c>
      <c r="AM263">
        <v>0</v>
      </c>
      <c r="AN263">
        <v>0</v>
      </c>
      <c r="AO263">
        <v>358</v>
      </c>
      <c r="AP263">
        <v>3.3</v>
      </c>
      <c r="AQ263">
        <v>0.56999999999999995</v>
      </c>
      <c r="AR263">
        <v>0.08</v>
      </c>
      <c r="AS263">
        <v>7.0000000000000007E-2</v>
      </c>
      <c r="AT263">
        <v>17.82</v>
      </c>
      <c r="AU263">
        <v>5.35</v>
      </c>
      <c r="AV263">
        <v>0.32</v>
      </c>
      <c r="AW263">
        <v>1.79</v>
      </c>
      <c r="AX263">
        <v>3.66</v>
      </c>
      <c r="AY263">
        <v>2.5</v>
      </c>
      <c r="AZ263">
        <v>42.805999999999997</v>
      </c>
      <c r="BA263">
        <v>0</v>
      </c>
      <c r="BB263">
        <v>0</v>
      </c>
      <c r="BC263">
        <v>0</v>
      </c>
      <c r="BD263">
        <v>0</v>
      </c>
    </row>
    <row r="264" spans="1:56" x14ac:dyDescent="0.25">
      <c r="A264" s="23">
        <v>46304</v>
      </c>
      <c r="B264">
        <v>263</v>
      </c>
      <c r="C264" t="s">
        <v>82</v>
      </c>
      <c r="D264" t="s">
        <v>83</v>
      </c>
      <c r="E264">
        <v>2</v>
      </c>
      <c r="F264">
        <v>185</v>
      </c>
      <c r="G264">
        <v>1</v>
      </c>
      <c r="H264" t="s">
        <v>84</v>
      </c>
      <c r="I264" t="s">
        <v>91</v>
      </c>
      <c r="J264" t="s">
        <v>85</v>
      </c>
      <c r="K264" t="s">
        <v>86</v>
      </c>
      <c r="L264" t="s">
        <v>71</v>
      </c>
      <c r="M264" t="s">
        <v>87</v>
      </c>
      <c r="O264" t="s">
        <v>88</v>
      </c>
      <c r="P264" t="s">
        <v>27</v>
      </c>
      <c r="Q264" t="s">
        <v>73</v>
      </c>
      <c r="R264" t="s">
        <v>76</v>
      </c>
      <c r="S264" t="s">
        <v>74</v>
      </c>
      <c r="T264" t="s">
        <v>75</v>
      </c>
      <c r="X264" t="s">
        <v>77</v>
      </c>
      <c r="Z264" t="s">
        <v>72</v>
      </c>
      <c r="AA264" t="s">
        <v>93</v>
      </c>
      <c r="AB264">
        <v>5</v>
      </c>
      <c r="AC264">
        <v>748746.05</v>
      </c>
      <c r="AD264">
        <v>8930511.3499999996</v>
      </c>
      <c r="AE264">
        <v>190.16</v>
      </c>
      <c r="AF264">
        <v>748746.05</v>
      </c>
      <c r="AG264">
        <v>8930511.3499999996</v>
      </c>
      <c r="AH264">
        <v>184.63</v>
      </c>
      <c r="AI264">
        <v>5.53</v>
      </c>
      <c r="AJ264">
        <v>0.6</v>
      </c>
      <c r="AK264">
        <v>2.97</v>
      </c>
      <c r="AL264">
        <v>2.58</v>
      </c>
      <c r="AM264">
        <v>0</v>
      </c>
      <c r="AN264">
        <v>0</v>
      </c>
      <c r="AO264">
        <v>358</v>
      </c>
      <c r="AP264">
        <v>3.27</v>
      </c>
      <c r="AQ264">
        <v>0.54</v>
      </c>
      <c r="AR264">
        <v>0.08</v>
      </c>
      <c r="AS264">
        <v>7.0000000000000007E-2</v>
      </c>
      <c r="AT264">
        <v>17</v>
      </c>
      <c r="AU264">
        <v>5.04</v>
      </c>
      <c r="AV264">
        <v>0.28999999999999998</v>
      </c>
      <c r="AW264">
        <v>1.74</v>
      </c>
      <c r="AX264">
        <v>0.75</v>
      </c>
      <c r="AY264">
        <v>2.5</v>
      </c>
      <c r="AZ264">
        <v>44.116999999999997</v>
      </c>
      <c r="BA264">
        <v>0</v>
      </c>
      <c r="BB264">
        <v>0</v>
      </c>
      <c r="BC264">
        <v>0</v>
      </c>
      <c r="BD264">
        <v>0</v>
      </c>
    </row>
    <row r="265" spans="1:56" x14ac:dyDescent="0.25">
      <c r="A265" s="23">
        <v>46304</v>
      </c>
      <c r="B265">
        <v>264</v>
      </c>
      <c r="C265" t="s">
        <v>82</v>
      </c>
      <c r="D265" t="s">
        <v>83</v>
      </c>
      <c r="E265">
        <v>2</v>
      </c>
      <c r="F265">
        <v>185</v>
      </c>
      <c r="G265">
        <v>1</v>
      </c>
      <c r="H265" t="s">
        <v>84</v>
      </c>
      <c r="I265" t="s">
        <v>91</v>
      </c>
      <c r="J265" t="s">
        <v>85</v>
      </c>
      <c r="K265" t="s">
        <v>86</v>
      </c>
      <c r="L265" t="s">
        <v>71</v>
      </c>
      <c r="M265" t="s">
        <v>87</v>
      </c>
      <c r="O265" t="s">
        <v>88</v>
      </c>
      <c r="P265" t="s">
        <v>27</v>
      </c>
      <c r="Q265" t="s">
        <v>73</v>
      </c>
      <c r="R265" t="s">
        <v>76</v>
      </c>
      <c r="S265" t="s">
        <v>74</v>
      </c>
      <c r="T265" t="s">
        <v>75</v>
      </c>
      <c r="X265" t="s">
        <v>77</v>
      </c>
      <c r="Z265" t="s">
        <v>72</v>
      </c>
      <c r="AA265" t="s">
        <v>93</v>
      </c>
      <c r="AB265">
        <v>5</v>
      </c>
      <c r="AC265">
        <v>748748.63</v>
      </c>
      <c r="AD265">
        <v>8930512.8100000005</v>
      </c>
      <c r="AE265">
        <v>190.15</v>
      </c>
      <c r="AF265">
        <v>748748.63</v>
      </c>
      <c r="AG265">
        <v>8930512.8100000005</v>
      </c>
      <c r="AH265">
        <v>184.63</v>
      </c>
      <c r="AI265">
        <v>5.52</v>
      </c>
      <c r="AJ265">
        <v>0.6</v>
      </c>
      <c r="AK265">
        <v>2.97</v>
      </c>
      <c r="AL265">
        <v>2.58</v>
      </c>
      <c r="AM265">
        <v>0</v>
      </c>
      <c r="AN265">
        <v>0</v>
      </c>
      <c r="AO265">
        <v>358</v>
      </c>
      <c r="AP265">
        <v>3.21</v>
      </c>
      <c r="AQ265">
        <v>0.47</v>
      </c>
      <c r="AR265">
        <v>7.0000000000000007E-2</v>
      </c>
      <c r="AS265">
        <v>0.06</v>
      </c>
      <c r="AT265">
        <v>14.66</v>
      </c>
      <c r="AU265">
        <v>4.3499999999999996</v>
      </c>
      <c r="AV265">
        <v>0.25</v>
      </c>
      <c r="AW265">
        <v>1.49</v>
      </c>
      <c r="AX265">
        <v>0</v>
      </c>
      <c r="AY265">
        <v>2.5</v>
      </c>
      <c r="AZ265">
        <v>43.970999999999997</v>
      </c>
      <c r="BA265">
        <v>0</v>
      </c>
      <c r="BB265">
        <v>0</v>
      </c>
      <c r="BC265">
        <v>0</v>
      </c>
      <c r="BD265">
        <v>0</v>
      </c>
    </row>
    <row r="266" spans="1:56" x14ac:dyDescent="0.25">
      <c r="A266" s="23">
        <v>46304</v>
      </c>
      <c r="B266">
        <v>265</v>
      </c>
      <c r="C266" t="s">
        <v>82</v>
      </c>
      <c r="D266" t="s">
        <v>83</v>
      </c>
      <c r="E266">
        <v>2</v>
      </c>
      <c r="F266">
        <v>185</v>
      </c>
      <c r="G266">
        <v>1</v>
      </c>
      <c r="H266" t="s">
        <v>84</v>
      </c>
      <c r="I266" t="s">
        <v>91</v>
      </c>
      <c r="J266" t="s">
        <v>85</v>
      </c>
      <c r="K266" t="s">
        <v>86</v>
      </c>
      <c r="L266" t="s">
        <v>71</v>
      </c>
      <c r="M266" t="s">
        <v>87</v>
      </c>
      <c r="O266" t="s">
        <v>88</v>
      </c>
      <c r="P266" t="s">
        <v>27</v>
      </c>
      <c r="Q266" t="s">
        <v>73</v>
      </c>
      <c r="R266" t="s">
        <v>76</v>
      </c>
      <c r="S266" t="s">
        <v>74</v>
      </c>
      <c r="T266" t="s">
        <v>75</v>
      </c>
      <c r="X266" t="s">
        <v>77</v>
      </c>
      <c r="Z266" t="s">
        <v>72</v>
      </c>
      <c r="AA266" t="s">
        <v>93</v>
      </c>
      <c r="AB266">
        <v>5</v>
      </c>
      <c r="AC266">
        <v>748751.22</v>
      </c>
      <c r="AD266">
        <v>8930514.2799999993</v>
      </c>
      <c r="AE266">
        <v>190.11</v>
      </c>
      <c r="AF266">
        <v>748751.22</v>
      </c>
      <c r="AG266">
        <v>8930514.2799999993</v>
      </c>
      <c r="AH266">
        <v>184.64</v>
      </c>
      <c r="AI266">
        <v>5.47</v>
      </c>
      <c r="AJ266">
        <v>0.6</v>
      </c>
      <c r="AK266">
        <v>2.97</v>
      </c>
      <c r="AL266">
        <v>2.58</v>
      </c>
      <c r="AM266">
        <v>0</v>
      </c>
      <c r="AN266">
        <v>0</v>
      </c>
      <c r="AO266">
        <v>358</v>
      </c>
      <c r="AP266">
        <v>3.17</v>
      </c>
      <c r="AQ266">
        <v>0.37</v>
      </c>
      <c r="AR266">
        <v>0.05</v>
      </c>
      <c r="AS266">
        <v>0.05</v>
      </c>
      <c r="AT266">
        <v>11.97</v>
      </c>
      <c r="AU266">
        <v>3.8</v>
      </c>
      <c r="AV266">
        <v>0.2</v>
      </c>
      <c r="AW266">
        <v>1.23</v>
      </c>
      <c r="AX266">
        <v>0</v>
      </c>
      <c r="AY266">
        <v>2.5</v>
      </c>
      <c r="AZ266">
        <v>43.243000000000002</v>
      </c>
      <c r="BA266">
        <v>0</v>
      </c>
      <c r="BB266">
        <v>0</v>
      </c>
      <c r="BC266">
        <v>0</v>
      </c>
      <c r="BD266">
        <v>0</v>
      </c>
    </row>
    <row r="267" spans="1:56" x14ac:dyDescent="0.25">
      <c r="A267" s="23">
        <v>46304</v>
      </c>
      <c r="B267">
        <v>266</v>
      </c>
      <c r="C267" t="s">
        <v>82</v>
      </c>
      <c r="D267" t="s">
        <v>83</v>
      </c>
      <c r="E267">
        <v>2</v>
      </c>
      <c r="F267">
        <v>185</v>
      </c>
      <c r="G267">
        <v>1</v>
      </c>
      <c r="H267" t="s">
        <v>84</v>
      </c>
      <c r="I267" t="s">
        <v>91</v>
      </c>
      <c r="J267" t="s">
        <v>85</v>
      </c>
      <c r="K267" t="s">
        <v>86</v>
      </c>
      <c r="L267" t="s">
        <v>71</v>
      </c>
      <c r="M267" t="s">
        <v>87</v>
      </c>
      <c r="O267" t="s">
        <v>88</v>
      </c>
      <c r="P267" t="s">
        <v>27</v>
      </c>
      <c r="Q267" t="s">
        <v>73</v>
      </c>
      <c r="R267" t="s">
        <v>76</v>
      </c>
      <c r="S267" t="s">
        <v>74</v>
      </c>
      <c r="T267" t="s">
        <v>75</v>
      </c>
      <c r="X267" t="s">
        <v>77</v>
      </c>
      <c r="Z267" t="s">
        <v>72</v>
      </c>
      <c r="AA267" t="s">
        <v>93</v>
      </c>
      <c r="AB267">
        <v>5</v>
      </c>
      <c r="AC267">
        <v>748753.8</v>
      </c>
      <c r="AD267">
        <v>8930515.7400000002</v>
      </c>
      <c r="AE267">
        <v>190.06</v>
      </c>
      <c r="AF267">
        <v>748753.8</v>
      </c>
      <c r="AG267">
        <v>8930515.7400000002</v>
      </c>
      <c r="AH267">
        <v>184.66</v>
      </c>
      <c r="AI267">
        <v>5.4</v>
      </c>
      <c r="AJ267">
        <v>0.6</v>
      </c>
      <c r="AK267">
        <v>2.97</v>
      </c>
      <c r="AL267">
        <v>2.58</v>
      </c>
      <c r="AM267">
        <v>0</v>
      </c>
      <c r="AN267">
        <v>0</v>
      </c>
      <c r="AO267">
        <v>358</v>
      </c>
      <c r="AP267">
        <v>3.13</v>
      </c>
      <c r="AQ267">
        <v>0.28999999999999998</v>
      </c>
      <c r="AR267">
        <v>0.04</v>
      </c>
      <c r="AS267">
        <v>0.04</v>
      </c>
      <c r="AT267">
        <v>9.39</v>
      </c>
      <c r="AU267">
        <v>3.03</v>
      </c>
      <c r="AV267">
        <v>0.16</v>
      </c>
      <c r="AW267">
        <v>0.96</v>
      </c>
      <c r="AX267">
        <v>0</v>
      </c>
      <c r="AY267">
        <v>2.5</v>
      </c>
      <c r="AZ267">
        <v>42.223999999999997</v>
      </c>
      <c r="BA267">
        <v>0</v>
      </c>
      <c r="BB267">
        <v>0</v>
      </c>
      <c r="BC267">
        <v>0</v>
      </c>
      <c r="BD267">
        <v>0</v>
      </c>
    </row>
    <row r="268" spans="1:56" x14ac:dyDescent="0.25">
      <c r="A268" s="23">
        <v>46304</v>
      </c>
      <c r="B268">
        <v>267</v>
      </c>
      <c r="C268" t="s">
        <v>82</v>
      </c>
      <c r="D268" t="s">
        <v>83</v>
      </c>
      <c r="E268">
        <v>2</v>
      </c>
      <c r="F268">
        <v>185</v>
      </c>
      <c r="G268">
        <v>1</v>
      </c>
      <c r="H268" t="s">
        <v>84</v>
      </c>
      <c r="I268" t="s">
        <v>91</v>
      </c>
      <c r="J268" t="s">
        <v>70</v>
      </c>
      <c r="K268" t="s">
        <v>86</v>
      </c>
      <c r="L268" t="s">
        <v>71</v>
      </c>
      <c r="M268" t="s">
        <v>87</v>
      </c>
      <c r="O268" t="s">
        <v>88</v>
      </c>
      <c r="P268" t="s">
        <v>27</v>
      </c>
      <c r="Q268" t="s">
        <v>73</v>
      </c>
      <c r="R268" t="s">
        <v>76</v>
      </c>
      <c r="S268" t="s">
        <v>74</v>
      </c>
      <c r="T268" t="s">
        <v>75</v>
      </c>
      <c r="X268" t="s">
        <v>77</v>
      </c>
      <c r="Z268" t="s">
        <v>72</v>
      </c>
      <c r="AA268" t="s">
        <v>93</v>
      </c>
      <c r="AB268">
        <v>5</v>
      </c>
      <c r="AC268">
        <v>748755.96</v>
      </c>
      <c r="AD268">
        <v>8930517.1099999994</v>
      </c>
      <c r="AE268">
        <v>189.9</v>
      </c>
      <c r="AF268">
        <v>748755.96</v>
      </c>
      <c r="AG268">
        <v>8930517.1099999994</v>
      </c>
      <c r="AH268">
        <v>184.66</v>
      </c>
      <c r="AI268">
        <v>5.24</v>
      </c>
      <c r="AJ268">
        <v>0.6</v>
      </c>
      <c r="AK268">
        <v>2.97</v>
      </c>
      <c r="AL268">
        <v>2.58</v>
      </c>
      <c r="AM268">
        <v>0</v>
      </c>
      <c r="AN268">
        <v>0</v>
      </c>
      <c r="AO268">
        <v>358</v>
      </c>
      <c r="AP268">
        <v>3.1</v>
      </c>
      <c r="AQ268">
        <v>0.23</v>
      </c>
      <c r="AR268">
        <v>0.03</v>
      </c>
      <c r="AS268">
        <v>0.03</v>
      </c>
      <c r="AT268">
        <v>7.5</v>
      </c>
      <c r="AU268">
        <v>2.42</v>
      </c>
      <c r="AV268">
        <v>0.13</v>
      </c>
      <c r="AW268">
        <v>0.77</v>
      </c>
      <c r="AX268">
        <v>0</v>
      </c>
      <c r="AY268">
        <v>2.5</v>
      </c>
      <c r="AZ268">
        <v>39.893999999999998</v>
      </c>
      <c r="BA268">
        <v>0</v>
      </c>
      <c r="BB268">
        <v>0</v>
      </c>
      <c r="BC268">
        <v>0</v>
      </c>
      <c r="BD268">
        <v>0</v>
      </c>
    </row>
    <row r="269" spans="1:56" x14ac:dyDescent="0.25">
      <c r="A269" s="23">
        <v>46304</v>
      </c>
      <c r="B269">
        <v>268</v>
      </c>
      <c r="C269" t="s">
        <v>82</v>
      </c>
      <c r="D269" t="s">
        <v>83</v>
      </c>
      <c r="E269">
        <v>2</v>
      </c>
      <c r="F269">
        <v>185</v>
      </c>
      <c r="G269">
        <v>1</v>
      </c>
      <c r="H269" t="s">
        <v>84</v>
      </c>
      <c r="I269" t="s">
        <v>78</v>
      </c>
      <c r="J269" t="s">
        <v>70</v>
      </c>
      <c r="K269" t="s">
        <v>86</v>
      </c>
      <c r="L269" t="s">
        <v>71</v>
      </c>
      <c r="M269" t="s">
        <v>87</v>
      </c>
      <c r="O269" t="s">
        <v>88</v>
      </c>
      <c r="P269" t="s">
        <v>27</v>
      </c>
      <c r="Q269" t="s">
        <v>73</v>
      </c>
      <c r="R269" t="s">
        <v>76</v>
      </c>
      <c r="S269" t="s">
        <v>74</v>
      </c>
      <c r="T269" t="s">
        <v>75</v>
      </c>
      <c r="X269" t="s">
        <v>77</v>
      </c>
      <c r="Z269" t="s">
        <v>72</v>
      </c>
      <c r="AA269" t="s">
        <v>93</v>
      </c>
      <c r="AB269">
        <v>5</v>
      </c>
      <c r="AC269">
        <v>748758.52</v>
      </c>
      <c r="AD269">
        <v>8930518.7599999998</v>
      </c>
      <c r="AE269">
        <v>190.07</v>
      </c>
      <c r="AF269">
        <v>748758.52</v>
      </c>
      <c r="AG269">
        <v>8930518.7599999998</v>
      </c>
      <c r="AH269">
        <v>184.66</v>
      </c>
      <c r="AI269">
        <v>5.41</v>
      </c>
      <c r="AJ269">
        <v>0.6</v>
      </c>
      <c r="AK269">
        <v>2.97</v>
      </c>
      <c r="AL269">
        <v>2.58</v>
      </c>
      <c r="AM269">
        <v>0</v>
      </c>
      <c r="AN269">
        <v>0</v>
      </c>
      <c r="AO269">
        <v>358</v>
      </c>
      <c r="AP269">
        <v>3.06</v>
      </c>
      <c r="AQ269">
        <v>0.15</v>
      </c>
      <c r="AR269">
        <v>0.02</v>
      </c>
      <c r="AS269">
        <v>0.02</v>
      </c>
      <c r="AT269">
        <v>5.0199999999999996</v>
      </c>
      <c r="AU269">
        <v>1.63</v>
      </c>
      <c r="AV269">
        <v>0.08</v>
      </c>
      <c r="AW269">
        <v>0.53</v>
      </c>
      <c r="AX269">
        <v>0</v>
      </c>
      <c r="AY269">
        <v>2.5</v>
      </c>
      <c r="AZ269">
        <v>42.37</v>
      </c>
      <c r="BA269">
        <v>0</v>
      </c>
      <c r="BB269">
        <v>0</v>
      </c>
      <c r="BC269">
        <v>0</v>
      </c>
      <c r="BD269">
        <v>0</v>
      </c>
    </row>
    <row r="270" spans="1:56" x14ac:dyDescent="0.25">
      <c r="A270" s="23">
        <v>46304</v>
      </c>
      <c r="B270">
        <v>269</v>
      </c>
      <c r="C270" t="s">
        <v>82</v>
      </c>
      <c r="D270" t="s">
        <v>83</v>
      </c>
      <c r="E270">
        <v>2</v>
      </c>
      <c r="F270">
        <v>185</v>
      </c>
      <c r="G270">
        <v>0</v>
      </c>
      <c r="H270" t="s">
        <v>84</v>
      </c>
      <c r="I270" t="s">
        <v>78</v>
      </c>
      <c r="J270" t="s">
        <v>70</v>
      </c>
      <c r="K270" t="s">
        <v>86</v>
      </c>
      <c r="L270" t="s">
        <v>71</v>
      </c>
      <c r="M270" t="s">
        <v>87</v>
      </c>
      <c r="O270" t="s">
        <v>88</v>
      </c>
      <c r="P270" t="s">
        <v>27</v>
      </c>
      <c r="Q270" t="s">
        <v>73</v>
      </c>
      <c r="R270" t="s">
        <v>76</v>
      </c>
      <c r="S270" t="s">
        <v>74</v>
      </c>
      <c r="T270" t="s">
        <v>75</v>
      </c>
      <c r="X270" t="s">
        <v>77</v>
      </c>
      <c r="Z270" t="s">
        <v>72</v>
      </c>
      <c r="AA270" t="s">
        <v>93</v>
      </c>
      <c r="AB270">
        <v>5</v>
      </c>
      <c r="AC270">
        <v>748761.04</v>
      </c>
      <c r="AD270">
        <v>8930520.3800000008</v>
      </c>
      <c r="AE270">
        <v>190.09</v>
      </c>
      <c r="AF270">
        <v>748761.04</v>
      </c>
      <c r="AG270">
        <v>8930520.3800000008</v>
      </c>
      <c r="AH270">
        <v>184.66</v>
      </c>
      <c r="AI270">
        <v>5.43</v>
      </c>
      <c r="AJ270">
        <v>0.6</v>
      </c>
      <c r="AK270">
        <v>2.97</v>
      </c>
      <c r="AL270">
        <v>2.58</v>
      </c>
      <c r="AM270">
        <v>0</v>
      </c>
      <c r="AN270">
        <v>0</v>
      </c>
      <c r="AO270">
        <v>358</v>
      </c>
      <c r="AP270">
        <v>3.08</v>
      </c>
      <c r="AQ270">
        <v>0.09</v>
      </c>
      <c r="AR270">
        <v>0.01</v>
      </c>
      <c r="AS270">
        <v>0.01</v>
      </c>
      <c r="AT270">
        <v>2.89</v>
      </c>
      <c r="AU270">
        <v>0.96</v>
      </c>
      <c r="AV270">
        <v>0.04</v>
      </c>
      <c r="AW270">
        <v>0.33</v>
      </c>
      <c r="AX270">
        <v>0</v>
      </c>
      <c r="AY270">
        <v>2.5</v>
      </c>
      <c r="AZ270">
        <v>42.661000000000001</v>
      </c>
      <c r="BA270">
        <v>0</v>
      </c>
      <c r="BB270">
        <v>0</v>
      </c>
      <c r="BC270">
        <v>0</v>
      </c>
      <c r="BD270">
        <v>0</v>
      </c>
    </row>
    <row r="271" spans="1:56" x14ac:dyDescent="0.25">
      <c r="A271" s="23">
        <v>46304</v>
      </c>
      <c r="B271">
        <v>270</v>
      </c>
      <c r="C271" t="s">
        <v>82</v>
      </c>
      <c r="D271" t="s">
        <v>83</v>
      </c>
      <c r="E271">
        <v>2</v>
      </c>
      <c r="F271">
        <v>185</v>
      </c>
      <c r="G271">
        <v>0</v>
      </c>
      <c r="H271" t="s">
        <v>84</v>
      </c>
      <c r="I271" t="s">
        <v>78</v>
      </c>
      <c r="J271" t="s">
        <v>70</v>
      </c>
      <c r="K271" t="s">
        <v>86</v>
      </c>
      <c r="L271" t="s">
        <v>71</v>
      </c>
      <c r="M271" t="s">
        <v>87</v>
      </c>
      <c r="O271" t="s">
        <v>88</v>
      </c>
      <c r="P271" t="s">
        <v>27</v>
      </c>
      <c r="Q271" t="s">
        <v>73</v>
      </c>
      <c r="R271" t="s">
        <v>76</v>
      </c>
      <c r="S271" t="s">
        <v>74</v>
      </c>
      <c r="T271" t="s">
        <v>75</v>
      </c>
      <c r="X271" t="s">
        <v>77</v>
      </c>
      <c r="Z271" t="s">
        <v>72</v>
      </c>
      <c r="AA271" t="s">
        <v>93</v>
      </c>
      <c r="AB271">
        <v>5</v>
      </c>
      <c r="AC271">
        <v>748763.58</v>
      </c>
      <c r="AD271">
        <v>8930522.0199999996</v>
      </c>
      <c r="AE271">
        <v>190.11</v>
      </c>
      <c r="AF271">
        <v>748763.58</v>
      </c>
      <c r="AG271">
        <v>8930522.0199999996</v>
      </c>
      <c r="AH271">
        <v>184.66</v>
      </c>
      <c r="AI271">
        <v>5.45</v>
      </c>
      <c r="AJ271">
        <v>0.6</v>
      </c>
      <c r="AK271">
        <v>2.97</v>
      </c>
      <c r="AL271">
        <v>2.58</v>
      </c>
      <c r="AM271">
        <v>0</v>
      </c>
      <c r="AN271">
        <v>0</v>
      </c>
      <c r="AO271">
        <v>358</v>
      </c>
      <c r="AP271">
        <v>3.08</v>
      </c>
      <c r="AQ271">
        <v>0.03</v>
      </c>
      <c r="AR271">
        <v>0</v>
      </c>
      <c r="AS271">
        <v>0</v>
      </c>
      <c r="AT271">
        <v>1.03</v>
      </c>
      <c r="AU271">
        <v>0.35</v>
      </c>
      <c r="AV271">
        <v>0.01</v>
      </c>
      <c r="AW271">
        <v>0.12</v>
      </c>
      <c r="AX271">
        <v>0</v>
      </c>
      <c r="AY271">
        <v>2.5</v>
      </c>
      <c r="AZ271">
        <v>42.951999999999998</v>
      </c>
      <c r="BA271">
        <v>0</v>
      </c>
      <c r="BB271">
        <v>0</v>
      </c>
      <c r="BC271">
        <v>0</v>
      </c>
      <c r="BD271">
        <v>0</v>
      </c>
    </row>
    <row r="272" spans="1:56" x14ac:dyDescent="0.25">
      <c r="A272" s="23">
        <v>46304</v>
      </c>
      <c r="B272">
        <v>271</v>
      </c>
      <c r="C272" t="s">
        <v>82</v>
      </c>
      <c r="D272" t="s">
        <v>83</v>
      </c>
      <c r="E272">
        <v>2</v>
      </c>
      <c r="F272">
        <v>185</v>
      </c>
      <c r="G272">
        <v>0</v>
      </c>
      <c r="H272" t="s">
        <v>84</v>
      </c>
      <c r="I272" t="s">
        <v>78</v>
      </c>
      <c r="J272" t="s">
        <v>70</v>
      </c>
      <c r="K272" t="s">
        <v>86</v>
      </c>
      <c r="L272" t="s">
        <v>71</v>
      </c>
      <c r="M272" t="s">
        <v>87</v>
      </c>
      <c r="O272" t="s">
        <v>88</v>
      </c>
      <c r="P272" t="s">
        <v>27</v>
      </c>
      <c r="Q272" t="s">
        <v>73</v>
      </c>
      <c r="R272" t="s">
        <v>76</v>
      </c>
      <c r="S272" t="s">
        <v>74</v>
      </c>
      <c r="T272" t="s">
        <v>75</v>
      </c>
      <c r="X272" t="s">
        <v>77</v>
      </c>
      <c r="Z272" t="s">
        <v>72</v>
      </c>
      <c r="AA272" t="s">
        <v>93</v>
      </c>
      <c r="AB272">
        <v>5</v>
      </c>
      <c r="AC272">
        <v>748766.04</v>
      </c>
      <c r="AD272">
        <v>8930523.5999999996</v>
      </c>
      <c r="AE272">
        <v>190.11</v>
      </c>
      <c r="AF272">
        <v>748766.04</v>
      </c>
      <c r="AG272">
        <v>8930523.5999999996</v>
      </c>
      <c r="AH272">
        <v>184.66</v>
      </c>
      <c r="AI272">
        <v>5.45</v>
      </c>
      <c r="AJ272">
        <v>0.6</v>
      </c>
      <c r="AK272">
        <v>2.97</v>
      </c>
      <c r="AL272">
        <v>2.58</v>
      </c>
      <c r="AM272">
        <v>0</v>
      </c>
      <c r="AN272">
        <v>0</v>
      </c>
      <c r="AO272">
        <v>358</v>
      </c>
      <c r="AP272">
        <v>3.09</v>
      </c>
      <c r="AQ272">
        <v>0.04</v>
      </c>
      <c r="AR272">
        <v>0.01</v>
      </c>
      <c r="AS272">
        <v>0</v>
      </c>
      <c r="AT272">
        <v>1.22</v>
      </c>
      <c r="AU272">
        <v>0.52</v>
      </c>
      <c r="AV272">
        <v>0.01</v>
      </c>
      <c r="AW272">
        <v>0.06</v>
      </c>
      <c r="AX272">
        <v>0</v>
      </c>
      <c r="AY272">
        <v>2.5</v>
      </c>
      <c r="AZ272">
        <v>42.951999999999998</v>
      </c>
      <c r="BA272">
        <v>0</v>
      </c>
      <c r="BB272">
        <v>0</v>
      </c>
      <c r="BC272">
        <v>0</v>
      </c>
      <c r="BD272">
        <v>0</v>
      </c>
    </row>
    <row r="273" spans="1:56" x14ac:dyDescent="0.25">
      <c r="A273" s="23">
        <v>46304</v>
      </c>
      <c r="B273">
        <v>272</v>
      </c>
      <c r="C273" t="s">
        <v>82</v>
      </c>
      <c r="D273" t="s">
        <v>83</v>
      </c>
      <c r="E273">
        <v>2</v>
      </c>
      <c r="F273">
        <v>185</v>
      </c>
      <c r="G273">
        <v>0</v>
      </c>
      <c r="H273" t="s">
        <v>84</v>
      </c>
      <c r="I273" t="s">
        <v>78</v>
      </c>
      <c r="J273" t="s">
        <v>85</v>
      </c>
      <c r="K273" t="s">
        <v>86</v>
      </c>
      <c r="L273" t="s">
        <v>71</v>
      </c>
      <c r="M273" t="s">
        <v>87</v>
      </c>
      <c r="O273" t="s">
        <v>88</v>
      </c>
      <c r="P273" t="s">
        <v>27</v>
      </c>
      <c r="Q273" t="s">
        <v>73</v>
      </c>
      <c r="R273" t="s">
        <v>76</v>
      </c>
      <c r="S273" t="s">
        <v>74</v>
      </c>
      <c r="T273" t="s">
        <v>75</v>
      </c>
      <c r="X273" t="s">
        <v>77</v>
      </c>
      <c r="Z273" t="s">
        <v>72</v>
      </c>
      <c r="AA273" t="s">
        <v>93</v>
      </c>
      <c r="AB273">
        <v>5</v>
      </c>
      <c r="AC273">
        <v>748768.53</v>
      </c>
      <c r="AD273">
        <v>8930525.1600000001</v>
      </c>
      <c r="AE273">
        <v>190.14</v>
      </c>
      <c r="AF273">
        <v>748768.53</v>
      </c>
      <c r="AG273">
        <v>8930525.1600000001</v>
      </c>
      <c r="AH273">
        <v>184.66</v>
      </c>
      <c r="AI273">
        <v>5.48</v>
      </c>
      <c r="AJ273">
        <v>0.6</v>
      </c>
      <c r="AK273">
        <v>2.97</v>
      </c>
      <c r="AL273">
        <v>2.58</v>
      </c>
      <c r="AM273">
        <v>0</v>
      </c>
      <c r="AN273">
        <v>0</v>
      </c>
      <c r="AO273">
        <v>358</v>
      </c>
      <c r="AP273">
        <v>3.18</v>
      </c>
      <c r="AQ273">
        <v>0.27</v>
      </c>
      <c r="AR273">
        <v>0.04</v>
      </c>
      <c r="AS273">
        <v>0.03</v>
      </c>
      <c r="AT273">
        <v>8.7799999999999994</v>
      </c>
      <c r="AU273">
        <v>3.45</v>
      </c>
      <c r="AV273">
        <v>0.08</v>
      </c>
      <c r="AW273">
        <v>0.65</v>
      </c>
      <c r="AX273">
        <v>0</v>
      </c>
      <c r="AY273">
        <v>2.5</v>
      </c>
      <c r="AZ273">
        <v>43.389000000000003</v>
      </c>
      <c r="BA273">
        <v>0</v>
      </c>
      <c r="BB273">
        <v>0</v>
      </c>
      <c r="BC273">
        <v>0</v>
      </c>
      <c r="BD273">
        <v>0</v>
      </c>
    </row>
    <row r="274" spans="1:56" x14ac:dyDescent="0.25">
      <c r="A274" s="23">
        <v>46304</v>
      </c>
      <c r="B274">
        <v>273</v>
      </c>
      <c r="C274" t="s">
        <v>82</v>
      </c>
      <c r="D274" t="s">
        <v>83</v>
      </c>
      <c r="E274">
        <v>2</v>
      </c>
      <c r="F274">
        <v>185</v>
      </c>
      <c r="G274">
        <v>0</v>
      </c>
      <c r="H274" t="s">
        <v>84</v>
      </c>
      <c r="I274" t="s">
        <v>78</v>
      </c>
      <c r="J274" t="s">
        <v>85</v>
      </c>
      <c r="K274" t="s">
        <v>86</v>
      </c>
      <c r="L274" t="s">
        <v>71</v>
      </c>
      <c r="M274" t="s">
        <v>87</v>
      </c>
      <c r="O274" t="s">
        <v>88</v>
      </c>
      <c r="P274" t="s">
        <v>27</v>
      </c>
      <c r="Q274" t="s">
        <v>73</v>
      </c>
      <c r="R274" t="s">
        <v>76</v>
      </c>
      <c r="S274" t="s">
        <v>74</v>
      </c>
      <c r="T274" t="s">
        <v>75</v>
      </c>
      <c r="X274" t="s">
        <v>77</v>
      </c>
      <c r="Z274" t="s">
        <v>72</v>
      </c>
      <c r="AA274" t="s">
        <v>93</v>
      </c>
      <c r="AB274">
        <v>5</v>
      </c>
      <c r="AC274">
        <v>748771.53</v>
      </c>
      <c r="AD274">
        <v>8930527.2599999998</v>
      </c>
      <c r="AE274">
        <v>191.22</v>
      </c>
      <c r="AF274">
        <v>748771.53</v>
      </c>
      <c r="AG274">
        <v>8930527.2599999998</v>
      </c>
      <c r="AH274">
        <v>184.68</v>
      </c>
      <c r="AI274">
        <v>6.54</v>
      </c>
      <c r="AJ274">
        <v>0.6</v>
      </c>
      <c r="AK274">
        <v>2.97</v>
      </c>
      <c r="AL274">
        <v>2.58</v>
      </c>
      <c r="AM274">
        <v>0</v>
      </c>
      <c r="AN274">
        <v>0</v>
      </c>
      <c r="AO274">
        <v>358</v>
      </c>
      <c r="AP274">
        <v>3.22</v>
      </c>
      <c r="AQ274">
        <v>0.35</v>
      </c>
      <c r="AR274">
        <v>0.05</v>
      </c>
      <c r="AS274">
        <v>0.03</v>
      </c>
      <c r="AT274">
        <v>10.39</v>
      </c>
      <c r="AU274">
        <v>4.87</v>
      </c>
      <c r="AV274">
        <v>0.02</v>
      </c>
      <c r="AW274">
        <v>0.51</v>
      </c>
      <c r="AX274">
        <v>0</v>
      </c>
      <c r="AY274">
        <v>2.5</v>
      </c>
      <c r="AZ274">
        <v>58.822000000000003</v>
      </c>
      <c r="BA274">
        <v>0</v>
      </c>
      <c r="BB274">
        <v>0</v>
      </c>
      <c r="BC274">
        <v>0</v>
      </c>
      <c r="BD274">
        <v>0</v>
      </c>
    </row>
    <row r="275" spans="1:56" x14ac:dyDescent="0.25">
      <c r="A275" s="23">
        <v>46304</v>
      </c>
      <c r="B275">
        <v>274</v>
      </c>
      <c r="C275" t="s">
        <v>82</v>
      </c>
      <c r="D275" t="s">
        <v>92</v>
      </c>
      <c r="E275">
        <v>2</v>
      </c>
      <c r="F275">
        <v>185</v>
      </c>
      <c r="G275">
        <v>1</v>
      </c>
      <c r="H275" t="s">
        <v>84</v>
      </c>
      <c r="I275" t="s">
        <v>91</v>
      </c>
      <c r="J275" t="s">
        <v>85</v>
      </c>
      <c r="K275" t="s">
        <v>86</v>
      </c>
      <c r="L275" t="s">
        <v>71</v>
      </c>
      <c r="M275" t="s">
        <v>87</v>
      </c>
      <c r="O275" t="s">
        <v>88</v>
      </c>
      <c r="P275" t="s">
        <v>27</v>
      </c>
      <c r="Q275" t="s">
        <v>73</v>
      </c>
      <c r="R275" t="s">
        <v>76</v>
      </c>
      <c r="S275" t="s">
        <v>74</v>
      </c>
      <c r="T275" t="s">
        <v>75</v>
      </c>
      <c r="X275" t="s">
        <v>77</v>
      </c>
      <c r="Z275" t="s">
        <v>72</v>
      </c>
      <c r="AA275" t="s">
        <v>93</v>
      </c>
      <c r="AB275">
        <v>5</v>
      </c>
      <c r="AC275">
        <v>748737.98</v>
      </c>
      <c r="AD275">
        <v>8930504.9399999995</v>
      </c>
      <c r="AE275">
        <v>189.84</v>
      </c>
      <c r="AF275">
        <v>748737.98</v>
      </c>
      <c r="AG275">
        <v>8930504.9399999995</v>
      </c>
      <c r="AH275">
        <v>184.68</v>
      </c>
      <c r="AI275">
        <v>5.16</v>
      </c>
      <c r="AJ275">
        <v>0.6</v>
      </c>
      <c r="AK275">
        <v>2.97</v>
      </c>
      <c r="AL275">
        <v>2.58</v>
      </c>
      <c r="AM275">
        <v>0</v>
      </c>
      <c r="AN275">
        <v>0</v>
      </c>
      <c r="AO275">
        <v>358</v>
      </c>
      <c r="AP275">
        <v>3.27</v>
      </c>
      <c r="AQ275">
        <v>0.56000000000000005</v>
      </c>
      <c r="AR275">
        <v>0.08</v>
      </c>
      <c r="AS275">
        <v>7.0000000000000007E-2</v>
      </c>
      <c r="AT275">
        <v>17.190000000000001</v>
      </c>
      <c r="AU275">
        <v>5.0199999999999996</v>
      </c>
      <c r="AV275">
        <v>0.34</v>
      </c>
      <c r="AW275">
        <v>1.66</v>
      </c>
      <c r="AX275">
        <v>7.9</v>
      </c>
      <c r="AY275">
        <v>2.5</v>
      </c>
      <c r="AZ275">
        <v>38.729999999999997</v>
      </c>
      <c r="BA275">
        <v>0</v>
      </c>
      <c r="BB275">
        <v>0</v>
      </c>
      <c r="BC275">
        <v>0</v>
      </c>
      <c r="BD275">
        <v>0</v>
      </c>
    </row>
    <row r="276" spans="1:56" x14ac:dyDescent="0.25">
      <c r="A276" s="23">
        <v>46304</v>
      </c>
      <c r="B276">
        <v>275</v>
      </c>
      <c r="C276" t="s">
        <v>82</v>
      </c>
      <c r="D276" t="s">
        <v>92</v>
      </c>
      <c r="E276">
        <v>2</v>
      </c>
      <c r="F276">
        <v>185</v>
      </c>
      <c r="G276">
        <v>1</v>
      </c>
      <c r="H276" t="s">
        <v>84</v>
      </c>
      <c r="I276" t="s">
        <v>91</v>
      </c>
      <c r="J276" t="s">
        <v>85</v>
      </c>
      <c r="K276" t="s">
        <v>86</v>
      </c>
      <c r="L276" t="s">
        <v>71</v>
      </c>
      <c r="M276" t="s">
        <v>87</v>
      </c>
      <c r="O276" t="s">
        <v>88</v>
      </c>
      <c r="P276" t="s">
        <v>27</v>
      </c>
      <c r="Q276" t="s">
        <v>73</v>
      </c>
      <c r="R276" t="s">
        <v>76</v>
      </c>
      <c r="S276" t="s">
        <v>74</v>
      </c>
      <c r="T276" t="s">
        <v>75</v>
      </c>
      <c r="X276" t="s">
        <v>77</v>
      </c>
      <c r="Z276" t="s">
        <v>72</v>
      </c>
      <c r="AA276" t="s">
        <v>93</v>
      </c>
      <c r="AB276">
        <v>5</v>
      </c>
      <c r="AC276">
        <v>748735.52</v>
      </c>
      <c r="AD276">
        <v>8930503.0500000007</v>
      </c>
      <c r="AE276">
        <v>189.75</v>
      </c>
      <c r="AF276">
        <v>748735.52</v>
      </c>
      <c r="AG276">
        <v>8930503.0500000007</v>
      </c>
      <c r="AH276">
        <v>184.68</v>
      </c>
      <c r="AI276">
        <v>5.07</v>
      </c>
      <c r="AJ276">
        <v>0.6</v>
      </c>
      <c r="AK276">
        <v>2.97</v>
      </c>
      <c r="AL276">
        <v>2.58</v>
      </c>
      <c r="AM276">
        <v>0</v>
      </c>
      <c r="AN276">
        <v>0</v>
      </c>
      <c r="AO276">
        <v>358</v>
      </c>
      <c r="AP276">
        <v>3.26</v>
      </c>
      <c r="AQ276">
        <v>0.56999999999999995</v>
      </c>
      <c r="AR276">
        <v>0.09</v>
      </c>
      <c r="AS276">
        <v>7.0000000000000007E-2</v>
      </c>
      <c r="AT276">
        <v>17.100000000000001</v>
      </c>
      <c r="AU276">
        <v>4.93</v>
      </c>
      <c r="AV276">
        <v>0.34</v>
      </c>
      <c r="AW276">
        <v>1.66</v>
      </c>
      <c r="AX276">
        <v>8.2899999999999991</v>
      </c>
      <c r="AY276">
        <v>2.5</v>
      </c>
      <c r="AZ276">
        <v>37.418999999999997</v>
      </c>
      <c r="BA276">
        <v>0</v>
      </c>
      <c r="BB276">
        <v>0</v>
      </c>
      <c r="BC276">
        <v>0</v>
      </c>
      <c r="BD276">
        <v>0</v>
      </c>
    </row>
    <row r="277" spans="1:56" x14ac:dyDescent="0.25">
      <c r="A277" s="23">
        <v>46304</v>
      </c>
      <c r="B277">
        <v>276</v>
      </c>
      <c r="C277" t="s">
        <v>82</v>
      </c>
      <c r="D277" t="s">
        <v>92</v>
      </c>
      <c r="E277">
        <v>2</v>
      </c>
      <c r="F277">
        <v>185</v>
      </c>
      <c r="G277">
        <v>1</v>
      </c>
      <c r="H277" t="s">
        <v>84</v>
      </c>
      <c r="I277" t="s">
        <v>91</v>
      </c>
      <c r="J277" t="s">
        <v>85</v>
      </c>
      <c r="K277" t="s">
        <v>86</v>
      </c>
      <c r="L277" t="s">
        <v>71</v>
      </c>
      <c r="M277" t="s">
        <v>87</v>
      </c>
      <c r="O277" t="s">
        <v>88</v>
      </c>
      <c r="P277" t="s">
        <v>27</v>
      </c>
      <c r="Q277" t="s">
        <v>73</v>
      </c>
      <c r="R277" t="s">
        <v>76</v>
      </c>
      <c r="S277" t="s">
        <v>74</v>
      </c>
      <c r="T277" t="s">
        <v>75</v>
      </c>
      <c r="X277" t="s">
        <v>77</v>
      </c>
      <c r="Z277" t="s">
        <v>72</v>
      </c>
      <c r="AA277" t="s">
        <v>93</v>
      </c>
      <c r="AB277">
        <v>5</v>
      </c>
      <c r="AC277">
        <v>748733.26</v>
      </c>
      <c r="AD277">
        <v>8930501.3300000001</v>
      </c>
      <c r="AE277">
        <v>189.78</v>
      </c>
      <c r="AF277">
        <v>748733.26</v>
      </c>
      <c r="AG277">
        <v>8930501.3300000001</v>
      </c>
      <c r="AH277">
        <v>184.68</v>
      </c>
      <c r="AI277">
        <v>5.0999999999999996</v>
      </c>
      <c r="AJ277">
        <v>0.6</v>
      </c>
      <c r="AK277">
        <v>2.97</v>
      </c>
      <c r="AL277">
        <v>2.58</v>
      </c>
      <c r="AM277">
        <v>0</v>
      </c>
      <c r="AN277">
        <v>0</v>
      </c>
      <c r="AO277">
        <v>358</v>
      </c>
      <c r="AP277">
        <v>3.27</v>
      </c>
      <c r="AQ277">
        <v>0.57999999999999996</v>
      </c>
      <c r="AR277">
        <v>0.09</v>
      </c>
      <c r="AS277">
        <v>7.0000000000000007E-2</v>
      </c>
      <c r="AT277">
        <v>18.579999999999998</v>
      </c>
      <c r="AU277">
        <v>5.08</v>
      </c>
      <c r="AV277">
        <v>0.35</v>
      </c>
      <c r="AW277">
        <v>1.66</v>
      </c>
      <c r="AX277">
        <v>8.68</v>
      </c>
      <c r="AY277">
        <v>2.5</v>
      </c>
      <c r="AZ277">
        <v>37.856000000000002</v>
      </c>
      <c r="BA277">
        <v>0</v>
      </c>
      <c r="BB277">
        <v>0</v>
      </c>
      <c r="BC277">
        <v>0</v>
      </c>
      <c r="BD277">
        <v>0</v>
      </c>
    </row>
    <row r="278" spans="1:56" x14ac:dyDescent="0.25">
      <c r="A278" s="23">
        <v>46304</v>
      </c>
      <c r="B278">
        <v>277</v>
      </c>
      <c r="C278" t="s">
        <v>82</v>
      </c>
      <c r="D278" t="s">
        <v>92</v>
      </c>
      <c r="E278">
        <v>2</v>
      </c>
      <c r="F278">
        <v>185</v>
      </c>
      <c r="G278">
        <v>1</v>
      </c>
      <c r="H278" t="s">
        <v>84</v>
      </c>
      <c r="I278" t="s">
        <v>91</v>
      </c>
      <c r="J278" t="s">
        <v>85</v>
      </c>
      <c r="K278" t="s">
        <v>86</v>
      </c>
      <c r="L278" t="s">
        <v>71</v>
      </c>
      <c r="M278" t="s">
        <v>87</v>
      </c>
      <c r="O278" t="s">
        <v>88</v>
      </c>
      <c r="P278" t="s">
        <v>27</v>
      </c>
      <c r="Q278" t="s">
        <v>73</v>
      </c>
      <c r="R278" t="s">
        <v>76</v>
      </c>
      <c r="S278" t="s">
        <v>74</v>
      </c>
      <c r="T278" t="s">
        <v>75</v>
      </c>
      <c r="X278" t="s">
        <v>77</v>
      </c>
      <c r="Z278" t="s">
        <v>72</v>
      </c>
      <c r="AA278" t="s">
        <v>94</v>
      </c>
      <c r="AB278">
        <v>5</v>
      </c>
      <c r="AC278">
        <v>748730.9</v>
      </c>
      <c r="AD278">
        <v>8930499.5199999996</v>
      </c>
      <c r="AE278">
        <v>189.85</v>
      </c>
      <c r="AF278">
        <v>748730.9</v>
      </c>
      <c r="AG278">
        <v>8930499.5199999996</v>
      </c>
      <c r="AH278">
        <v>184.68</v>
      </c>
      <c r="AI278">
        <v>5.17</v>
      </c>
      <c r="AJ278">
        <v>0.6</v>
      </c>
      <c r="AK278">
        <v>2.97</v>
      </c>
      <c r="AL278">
        <v>2.58</v>
      </c>
      <c r="AM278">
        <v>0</v>
      </c>
      <c r="AN278">
        <v>0</v>
      </c>
      <c r="AO278">
        <v>358</v>
      </c>
      <c r="AP278">
        <v>3.28</v>
      </c>
      <c r="AQ278">
        <v>0.57999999999999996</v>
      </c>
      <c r="AR278">
        <v>0.09</v>
      </c>
      <c r="AS278">
        <v>0.08</v>
      </c>
      <c r="AT278">
        <v>19.23</v>
      </c>
      <c r="AU278">
        <v>5.1100000000000003</v>
      </c>
      <c r="AV278">
        <v>0.35</v>
      </c>
      <c r="AW278">
        <v>1.67</v>
      </c>
      <c r="AX278">
        <v>8.25</v>
      </c>
      <c r="AY278">
        <v>3.3</v>
      </c>
      <c r="AZ278">
        <v>27.227</v>
      </c>
      <c r="BA278">
        <v>0</v>
      </c>
      <c r="BB278">
        <v>0</v>
      </c>
      <c r="BC278">
        <v>0</v>
      </c>
      <c r="BD278">
        <v>0</v>
      </c>
    </row>
    <row r="279" spans="1:56" x14ac:dyDescent="0.25">
      <c r="A279" s="23">
        <v>46304</v>
      </c>
      <c r="B279">
        <v>278</v>
      </c>
      <c r="C279" t="s">
        <v>82</v>
      </c>
      <c r="D279" t="s">
        <v>92</v>
      </c>
      <c r="E279">
        <v>2</v>
      </c>
      <c r="F279">
        <v>185</v>
      </c>
      <c r="G279">
        <v>1</v>
      </c>
      <c r="H279" t="s">
        <v>84</v>
      </c>
      <c r="I279" t="s">
        <v>91</v>
      </c>
      <c r="J279" t="s">
        <v>85</v>
      </c>
      <c r="K279" t="s">
        <v>86</v>
      </c>
      <c r="L279" t="s">
        <v>71</v>
      </c>
      <c r="M279" t="s">
        <v>87</v>
      </c>
      <c r="O279" t="s">
        <v>88</v>
      </c>
      <c r="P279" t="s">
        <v>27</v>
      </c>
      <c r="Q279" t="s">
        <v>73</v>
      </c>
      <c r="R279" t="s">
        <v>76</v>
      </c>
      <c r="S279" t="s">
        <v>74</v>
      </c>
      <c r="T279" t="s">
        <v>75</v>
      </c>
      <c r="X279" t="s">
        <v>77</v>
      </c>
      <c r="Z279" t="s">
        <v>72</v>
      </c>
      <c r="AA279" t="s">
        <v>93</v>
      </c>
      <c r="AB279">
        <v>5</v>
      </c>
      <c r="AC279">
        <v>748728.62</v>
      </c>
      <c r="AD279">
        <v>8930497.7799999993</v>
      </c>
      <c r="AE279">
        <v>189.77</v>
      </c>
      <c r="AF279">
        <v>748728.62</v>
      </c>
      <c r="AG279">
        <v>8930497.7799999993</v>
      </c>
      <c r="AH279">
        <v>184.68</v>
      </c>
      <c r="AI279">
        <v>5.09</v>
      </c>
      <c r="AJ279">
        <v>0.6</v>
      </c>
      <c r="AK279">
        <v>2.97</v>
      </c>
      <c r="AL279">
        <v>2.58</v>
      </c>
      <c r="AM279">
        <v>0</v>
      </c>
      <c r="AN279">
        <v>0</v>
      </c>
      <c r="AO279">
        <v>358</v>
      </c>
      <c r="AP279">
        <v>3.31</v>
      </c>
      <c r="AQ279">
        <v>0.6</v>
      </c>
      <c r="AR279">
        <v>0.09</v>
      </c>
      <c r="AS279">
        <v>0.08</v>
      </c>
      <c r="AT279">
        <v>20.43</v>
      </c>
      <c r="AU279">
        <v>5.2</v>
      </c>
      <c r="AV279">
        <v>0.36</v>
      </c>
      <c r="AW279">
        <v>1.67</v>
      </c>
      <c r="AX279">
        <v>9.0399999999999991</v>
      </c>
      <c r="AY279">
        <v>2.5</v>
      </c>
      <c r="AZ279">
        <v>37.71</v>
      </c>
      <c r="BA279">
        <v>0</v>
      </c>
      <c r="BB279">
        <v>0</v>
      </c>
      <c r="BC279">
        <v>0</v>
      </c>
      <c r="BD279">
        <v>0</v>
      </c>
    </row>
    <row r="280" spans="1:56" x14ac:dyDescent="0.25">
      <c r="A280" s="23">
        <v>46304</v>
      </c>
      <c r="B280">
        <v>279</v>
      </c>
      <c r="C280" t="s">
        <v>82</v>
      </c>
      <c r="D280" t="s">
        <v>92</v>
      </c>
      <c r="E280">
        <v>2</v>
      </c>
      <c r="F280">
        <v>185</v>
      </c>
      <c r="G280">
        <v>1</v>
      </c>
      <c r="H280" t="s">
        <v>84</v>
      </c>
      <c r="I280" t="s">
        <v>91</v>
      </c>
      <c r="J280" t="s">
        <v>85</v>
      </c>
      <c r="K280" t="s">
        <v>86</v>
      </c>
      <c r="L280" t="s">
        <v>71</v>
      </c>
      <c r="M280" t="s">
        <v>87</v>
      </c>
      <c r="O280" t="s">
        <v>88</v>
      </c>
      <c r="P280" t="s">
        <v>27</v>
      </c>
      <c r="Q280" t="s">
        <v>73</v>
      </c>
      <c r="R280" t="s">
        <v>76</v>
      </c>
      <c r="S280" t="s">
        <v>74</v>
      </c>
      <c r="T280" t="s">
        <v>75</v>
      </c>
      <c r="X280" t="s">
        <v>77</v>
      </c>
      <c r="Z280" t="s">
        <v>72</v>
      </c>
      <c r="AA280" t="s">
        <v>93</v>
      </c>
      <c r="AB280">
        <v>5</v>
      </c>
      <c r="AC280">
        <v>748726.35</v>
      </c>
      <c r="AD280">
        <v>8930496.0500000007</v>
      </c>
      <c r="AE280">
        <v>189.65</v>
      </c>
      <c r="AF280">
        <v>748726.35</v>
      </c>
      <c r="AG280">
        <v>8930496.0500000007</v>
      </c>
      <c r="AH280">
        <v>184.68</v>
      </c>
      <c r="AI280">
        <v>4.97</v>
      </c>
      <c r="AJ280">
        <v>0.6</v>
      </c>
      <c r="AK280">
        <v>2.97</v>
      </c>
      <c r="AL280">
        <v>2.58</v>
      </c>
      <c r="AM280">
        <v>0</v>
      </c>
      <c r="AN280">
        <v>0</v>
      </c>
      <c r="AO280">
        <v>358</v>
      </c>
      <c r="AP280">
        <v>3.33</v>
      </c>
      <c r="AQ280">
        <v>0.6</v>
      </c>
      <c r="AR280">
        <v>0.1</v>
      </c>
      <c r="AS280">
        <v>0.08</v>
      </c>
      <c r="AT280">
        <v>20.63</v>
      </c>
      <c r="AU280">
        <v>5.19</v>
      </c>
      <c r="AV280">
        <v>0.36</v>
      </c>
      <c r="AW280">
        <v>1.68</v>
      </c>
      <c r="AX280">
        <v>9.08</v>
      </c>
      <c r="AY280">
        <v>2.5</v>
      </c>
      <c r="AZ280">
        <v>35.963000000000001</v>
      </c>
      <c r="BA280">
        <v>0</v>
      </c>
      <c r="BB280">
        <v>0</v>
      </c>
      <c r="BC280">
        <v>0</v>
      </c>
      <c r="BD280">
        <v>0</v>
      </c>
    </row>
    <row r="281" spans="1:56" x14ac:dyDescent="0.25">
      <c r="A281" s="23">
        <v>46304</v>
      </c>
      <c r="B281">
        <v>280</v>
      </c>
      <c r="C281" t="s">
        <v>82</v>
      </c>
      <c r="D281" t="s">
        <v>92</v>
      </c>
      <c r="E281">
        <v>2</v>
      </c>
      <c r="F281">
        <v>185</v>
      </c>
      <c r="G281">
        <v>1</v>
      </c>
      <c r="H281" t="s">
        <v>84</v>
      </c>
      <c r="I281" t="s">
        <v>91</v>
      </c>
      <c r="J281" t="s">
        <v>85</v>
      </c>
      <c r="K281" t="s">
        <v>86</v>
      </c>
      <c r="L281" t="s">
        <v>71</v>
      </c>
      <c r="M281" t="s">
        <v>87</v>
      </c>
      <c r="O281" t="s">
        <v>88</v>
      </c>
      <c r="P281" t="s">
        <v>27</v>
      </c>
      <c r="Q281" t="s">
        <v>73</v>
      </c>
      <c r="R281" t="s">
        <v>76</v>
      </c>
      <c r="S281" t="s">
        <v>74</v>
      </c>
      <c r="T281" t="s">
        <v>75</v>
      </c>
      <c r="X281" t="s">
        <v>77</v>
      </c>
      <c r="Z281" t="s">
        <v>72</v>
      </c>
      <c r="AA281" t="s">
        <v>93</v>
      </c>
      <c r="AB281">
        <v>5</v>
      </c>
      <c r="AC281">
        <v>748724.02</v>
      </c>
      <c r="AD281">
        <v>8930494.2699999996</v>
      </c>
      <c r="AE281">
        <v>189.55</v>
      </c>
      <c r="AF281">
        <v>748724.02</v>
      </c>
      <c r="AG281">
        <v>8930494.2699999996</v>
      </c>
      <c r="AH281">
        <v>184.68</v>
      </c>
      <c r="AI281">
        <v>4.87</v>
      </c>
      <c r="AJ281">
        <v>0.6</v>
      </c>
      <c r="AK281">
        <v>2.97</v>
      </c>
      <c r="AL281">
        <v>2.58</v>
      </c>
      <c r="AM281">
        <v>0</v>
      </c>
      <c r="AN281">
        <v>0</v>
      </c>
      <c r="AO281">
        <v>358</v>
      </c>
      <c r="AP281">
        <v>3.33</v>
      </c>
      <c r="AQ281">
        <v>0.6</v>
      </c>
      <c r="AR281">
        <v>0.1</v>
      </c>
      <c r="AS281">
        <v>0.08</v>
      </c>
      <c r="AT281">
        <v>20.61</v>
      </c>
      <c r="AU281">
        <v>5.2</v>
      </c>
      <c r="AV281">
        <v>0.36</v>
      </c>
      <c r="AW281">
        <v>1.68</v>
      </c>
      <c r="AX281">
        <v>8.9700000000000006</v>
      </c>
      <c r="AY281">
        <v>2.5</v>
      </c>
      <c r="AZ281">
        <v>34.506999999999998</v>
      </c>
      <c r="BA281">
        <v>0</v>
      </c>
      <c r="BB281">
        <v>0</v>
      </c>
      <c r="BC281">
        <v>0</v>
      </c>
      <c r="BD281">
        <v>0</v>
      </c>
    </row>
    <row r="282" spans="1:56" x14ac:dyDescent="0.25">
      <c r="A282" s="23">
        <v>46304</v>
      </c>
      <c r="B282">
        <v>281</v>
      </c>
      <c r="C282" t="s">
        <v>82</v>
      </c>
      <c r="D282" t="s">
        <v>92</v>
      </c>
      <c r="E282">
        <v>2</v>
      </c>
      <c r="F282">
        <v>185</v>
      </c>
      <c r="G282">
        <v>1</v>
      </c>
      <c r="H282" t="s">
        <v>84</v>
      </c>
      <c r="I282" t="s">
        <v>91</v>
      </c>
      <c r="J282" t="s">
        <v>85</v>
      </c>
      <c r="K282" t="s">
        <v>86</v>
      </c>
      <c r="L282" t="s">
        <v>71</v>
      </c>
      <c r="M282" t="s">
        <v>87</v>
      </c>
      <c r="O282" t="s">
        <v>88</v>
      </c>
      <c r="P282" t="s">
        <v>27</v>
      </c>
      <c r="Q282" t="s">
        <v>73</v>
      </c>
      <c r="R282" t="s">
        <v>76</v>
      </c>
      <c r="S282" t="s">
        <v>74</v>
      </c>
      <c r="T282" t="s">
        <v>75</v>
      </c>
      <c r="X282" t="s">
        <v>77</v>
      </c>
      <c r="Z282" t="s">
        <v>72</v>
      </c>
      <c r="AA282" t="s">
        <v>93</v>
      </c>
      <c r="AB282">
        <v>5</v>
      </c>
      <c r="AC282">
        <v>748721.65</v>
      </c>
      <c r="AD282">
        <v>8930492.4600000009</v>
      </c>
      <c r="AE282">
        <v>189.37</v>
      </c>
      <c r="AF282">
        <v>748721.65</v>
      </c>
      <c r="AG282">
        <v>8930492.4600000009</v>
      </c>
      <c r="AH282">
        <v>184.68</v>
      </c>
      <c r="AI282">
        <v>4.6900000000000004</v>
      </c>
      <c r="AJ282">
        <v>0.6</v>
      </c>
      <c r="AK282">
        <v>2.97</v>
      </c>
      <c r="AL282">
        <v>2.58</v>
      </c>
      <c r="AM282">
        <v>0</v>
      </c>
      <c r="AN282">
        <v>0</v>
      </c>
      <c r="AO282">
        <v>358</v>
      </c>
      <c r="AP282">
        <v>3.34</v>
      </c>
      <c r="AQ282">
        <v>0.66</v>
      </c>
      <c r="AR282">
        <v>0.1</v>
      </c>
      <c r="AS282">
        <v>0.09</v>
      </c>
      <c r="AT282">
        <v>20.55</v>
      </c>
      <c r="AU282">
        <v>5.51</v>
      </c>
      <c r="AV282">
        <v>0.36</v>
      </c>
      <c r="AW282">
        <v>1.81</v>
      </c>
      <c r="AX282">
        <v>8.5</v>
      </c>
      <c r="AY282">
        <v>2.5</v>
      </c>
      <c r="AZ282">
        <v>31.885999999999999</v>
      </c>
      <c r="BA282">
        <v>0</v>
      </c>
      <c r="BB282">
        <v>0</v>
      </c>
      <c r="BC282">
        <v>0</v>
      </c>
      <c r="BD282">
        <v>0</v>
      </c>
    </row>
    <row r="283" spans="1:56" x14ac:dyDescent="0.25">
      <c r="A283" s="23">
        <v>46304</v>
      </c>
      <c r="B283">
        <v>282</v>
      </c>
      <c r="C283" t="s">
        <v>82</v>
      </c>
      <c r="D283" t="s">
        <v>92</v>
      </c>
      <c r="E283">
        <v>2</v>
      </c>
      <c r="F283">
        <v>185</v>
      </c>
      <c r="G283">
        <v>1</v>
      </c>
      <c r="H283" t="s">
        <v>84</v>
      </c>
      <c r="I283" t="s">
        <v>91</v>
      </c>
      <c r="J283" t="s">
        <v>85</v>
      </c>
      <c r="K283" t="s">
        <v>86</v>
      </c>
      <c r="L283" t="s">
        <v>71</v>
      </c>
      <c r="M283" t="s">
        <v>87</v>
      </c>
      <c r="O283" t="s">
        <v>88</v>
      </c>
      <c r="P283" t="s">
        <v>27</v>
      </c>
      <c r="Q283" t="s">
        <v>73</v>
      </c>
      <c r="R283" t="s">
        <v>76</v>
      </c>
      <c r="S283" t="s">
        <v>74</v>
      </c>
      <c r="T283" t="s">
        <v>75</v>
      </c>
      <c r="X283" t="s">
        <v>77</v>
      </c>
      <c r="Z283" t="s">
        <v>72</v>
      </c>
      <c r="AA283" t="s">
        <v>93</v>
      </c>
      <c r="AB283">
        <v>5</v>
      </c>
      <c r="AC283">
        <v>748719.41</v>
      </c>
      <c r="AD283">
        <v>8930490.75</v>
      </c>
      <c r="AE283">
        <v>189.43</v>
      </c>
      <c r="AF283">
        <v>748719.41</v>
      </c>
      <c r="AG283">
        <v>8930490.75</v>
      </c>
      <c r="AH283">
        <v>184.68</v>
      </c>
      <c r="AI283">
        <v>4.75</v>
      </c>
      <c r="AJ283">
        <v>0.6</v>
      </c>
      <c r="AK283">
        <v>2.97</v>
      </c>
      <c r="AL283">
        <v>2.58</v>
      </c>
      <c r="AM283">
        <v>0</v>
      </c>
      <c r="AN283">
        <v>0</v>
      </c>
      <c r="AO283">
        <v>358</v>
      </c>
      <c r="AP283">
        <v>3.34</v>
      </c>
      <c r="AQ283">
        <v>0.7</v>
      </c>
      <c r="AR283">
        <v>0.11</v>
      </c>
      <c r="AS283">
        <v>0.09</v>
      </c>
      <c r="AT283">
        <v>19.829999999999998</v>
      </c>
      <c r="AU283">
        <v>5.89</v>
      </c>
      <c r="AV283">
        <v>0.36</v>
      </c>
      <c r="AW283">
        <v>1.95</v>
      </c>
      <c r="AX283">
        <v>8.3800000000000008</v>
      </c>
      <c r="AY283">
        <v>2.5</v>
      </c>
      <c r="AZ283">
        <v>32.76</v>
      </c>
      <c r="BA283">
        <v>0</v>
      </c>
      <c r="BB283">
        <v>0</v>
      </c>
      <c r="BC283">
        <v>0</v>
      </c>
      <c r="BD283">
        <v>0</v>
      </c>
    </row>
    <row r="284" spans="1:56" x14ac:dyDescent="0.25">
      <c r="A284" s="23">
        <v>46304</v>
      </c>
      <c r="B284">
        <v>283</v>
      </c>
      <c r="C284" t="s">
        <v>82</v>
      </c>
      <c r="D284" t="s">
        <v>92</v>
      </c>
      <c r="E284">
        <v>2</v>
      </c>
      <c r="F284">
        <v>180</v>
      </c>
      <c r="G284">
        <v>0</v>
      </c>
      <c r="H284" t="s">
        <v>84</v>
      </c>
      <c r="I284" t="s">
        <v>78</v>
      </c>
      <c r="J284" t="s">
        <v>70</v>
      </c>
      <c r="K284" t="s">
        <v>79</v>
      </c>
      <c r="L284" t="s">
        <v>71</v>
      </c>
      <c r="M284" t="s">
        <v>81</v>
      </c>
      <c r="O284" t="s">
        <v>88</v>
      </c>
      <c r="P284" t="s">
        <v>89</v>
      </c>
      <c r="X284" t="s">
        <v>77</v>
      </c>
      <c r="Z284" t="s">
        <v>72</v>
      </c>
      <c r="AB284">
        <v>5</v>
      </c>
      <c r="AC284">
        <v>748677.26</v>
      </c>
      <c r="AD284">
        <v>8930421.6799999997</v>
      </c>
      <c r="AE284">
        <v>190.2</v>
      </c>
      <c r="AF284">
        <v>748678.24</v>
      </c>
      <c r="AG284">
        <v>8930419.1799999997</v>
      </c>
      <c r="AH284">
        <v>180</v>
      </c>
      <c r="AI284">
        <v>10.55</v>
      </c>
      <c r="AJ284">
        <v>0</v>
      </c>
      <c r="AK284">
        <v>1.5</v>
      </c>
      <c r="AL284">
        <v>0.8</v>
      </c>
      <c r="AM284">
        <v>158.38999999999999</v>
      </c>
      <c r="AN284">
        <v>14.74</v>
      </c>
      <c r="AO284">
        <v>0</v>
      </c>
      <c r="AP284">
        <v>2.79</v>
      </c>
      <c r="AQ284">
        <v>0</v>
      </c>
      <c r="AR284">
        <v>0</v>
      </c>
      <c r="AS284">
        <v>0</v>
      </c>
      <c r="AT284">
        <v>0</v>
      </c>
      <c r="AU284">
        <v>0</v>
      </c>
      <c r="AV284">
        <v>0</v>
      </c>
      <c r="AW284">
        <v>0</v>
      </c>
      <c r="AX284">
        <v>0</v>
      </c>
      <c r="AY284">
        <v>0</v>
      </c>
      <c r="AZ284">
        <v>0</v>
      </c>
      <c r="BA284">
        <v>0</v>
      </c>
      <c r="BB284">
        <v>0</v>
      </c>
      <c r="BC284">
        <v>0</v>
      </c>
      <c r="BD284">
        <v>0</v>
      </c>
    </row>
    <row r="285" spans="1:56" x14ac:dyDescent="0.25">
      <c r="A285" s="23">
        <v>46304</v>
      </c>
      <c r="B285">
        <v>284</v>
      </c>
      <c r="C285" t="s">
        <v>82</v>
      </c>
      <c r="D285" t="s">
        <v>92</v>
      </c>
      <c r="E285">
        <v>0</v>
      </c>
      <c r="F285">
        <v>180</v>
      </c>
      <c r="G285">
        <v>0</v>
      </c>
      <c r="H285" t="s">
        <v>84</v>
      </c>
      <c r="J285" t="s">
        <v>70</v>
      </c>
      <c r="L285" t="s">
        <v>71</v>
      </c>
      <c r="O285" t="s">
        <v>88</v>
      </c>
      <c r="P285" t="s">
        <v>89</v>
      </c>
      <c r="X285" t="s">
        <v>77</v>
      </c>
      <c r="Z285" t="s">
        <v>72</v>
      </c>
      <c r="AB285">
        <v>5</v>
      </c>
      <c r="AC285">
        <v>748678.65</v>
      </c>
      <c r="AD285">
        <v>8930422.2300000004</v>
      </c>
      <c r="AE285">
        <v>189.73</v>
      </c>
      <c r="AF285">
        <v>748679.77</v>
      </c>
      <c r="AG285">
        <v>8930419.7899999991</v>
      </c>
      <c r="AH285">
        <v>180</v>
      </c>
      <c r="AI285">
        <v>10.1</v>
      </c>
      <c r="AJ285">
        <v>0</v>
      </c>
      <c r="AK285">
        <v>1.5</v>
      </c>
      <c r="AL285">
        <v>0.8</v>
      </c>
      <c r="AM285">
        <v>155.41</v>
      </c>
      <c r="AN285">
        <v>15.44</v>
      </c>
      <c r="AO285">
        <v>0</v>
      </c>
      <c r="AP285">
        <v>2.79</v>
      </c>
      <c r="AQ285">
        <v>0</v>
      </c>
      <c r="AR285">
        <v>0</v>
      </c>
      <c r="AS285">
        <v>0</v>
      </c>
      <c r="AT285">
        <v>0</v>
      </c>
      <c r="AU285">
        <v>0</v>
      </c>
      <c r="AV285">
        <v>0</v>
      </c>
      <c r="AW285">
        <v>0</v>
      </c>
      <c r="AX285">
        <v>0</v>
      </c>
      <c r="AY285">
        <v>0</v>
      </c>
      <c r="AZ285">
        <v>0</v>
      </c>
      <c r="BA285">
        <v>0</v>
      </c>
      <c r="BB285">
        <v>0</v>
      </c>
      <c r="BC285">
        <v>0</v>
      </c>
      <c r="BD285">
        <v>0</v>
      </c>
    </row>
    <row r="286" spans="1:56" x14ac:dyDescent="0.25">
      <c r="A286" s="23">
        <v>46304</v>
      </c>
      <c r="B286">
        <v>285</v>
      </c>
      <c r="C286" t="s">
        <v>82</v>
      </c>
      <c r="D286" t="s">
        <v>92</v>
      </c>
      <c r="E286">
        <v>0</v>
      </c>
      <c r="F286">
        <v>180</v>
      </c>
      <c r="G286">
        <v>0</v>
      </c>
      <c r="H286" t="s">
        <v>84</v>
      </c>
      <c r="J286" t="s">
        <v>70</v>
      </c>
      <c r="L286" t="s">
        <v>71</v>
      </c>
      <c r="O286" t="s">
        <v>88</v>
      </c>
      <c r="P286" t="s">
        <v>89</v>
      </c>
      <c r="X286" t="s">
        <v>77</v>
      </c>
      <c r="Z286" t="s">
        <v>72</v>
      </c>
      <c r="AB286">
        <v>5</v>
      </c>
      <c r="AC286">
        <v>748680.01</v>
      </c>
      <c r="AD286">
        <v>8930422.8599999994</v>
      </c>
      <c r="AE286">
        <v>189.4</v>
      </c>
      <c r="AF286">
        <v>748681.26</v>
      </c>
      <c r="AG286">
        <v>8930420.4700000007</v>
      </c>
      <c r="AH286">
        <v>180</v>
      </c>
      <c r="AI286">
        <v>9.7799999999999994</v>
      </c>
      <c r="AJ286">
        <v>0</v>
      </c>
      <c r="AK286">
        <v>1.5</v>
      </c>
      <c r="AL286">
        <v>0.8</v>
      </c>
      <c r="AM286">
        <v>152.38</v>
      </c>
      <c r="AN286">
        <v>15.99</v>
      </c>
      <c r="AO286">
        <v>0</v>
      </c>
      <c r="AP286">
        <v>2.79</v>
      </c>
      <c r="AQ286">
        <v>0</v>
      </c>
      <c r="AR286">
        <v>0</v>
      </c>
      <c r="AS286">
        <v>0</v>
      </c>
      <c r="AT286">
        <v>0</v>
      </c>
      <c r="AU286">
        <v>0</v>
      </c>
      <c r="AV286">
        <v>0</v>
      </c>
      <c r="AW286">
        <v>0</v>
      </c>
      <c r="AX286">
        <v>0</v>
      </c>
      <c r="AY286">
        <v>0</v>
      </c>
      <c r="AZ286">
        <v>0</v>
      </c>
      <c r="BA286">
        <v>0</v>
      </c>
      <c r="BB286">
        <v>0</v>
      </c>
      <c r="BC286">
        <v>0</v>
      </c>
      <c r="BD286">
        <v>0</v>
      </c>
    </row>
    <row r="287" spans="1:56" x14ac:dyDescent="0.25">
      <c r="A287" s="23">
        <v>46304</v>
      </c>
      <c r="B287">
        <v>286</v>
      </c>
      <c r="C287" t="s">
        <v>82</v>
      </c>
      <c r="D287" t="s">
        <v>92</v>
      </c>
      <c r="E287">
        <v>0</v>
      </c>
      <c r="F287">
        <v>180</v>
      </c>
      <c r="G287">
        <v>0</v>
      </c>
      <c r="H287" t="s">
        <v>84</v>
      </c>
      <c r="J287" t="s">
        <v>70</v>
      </c>
      <c r="L287" t="s">
        <v>71</v>
      </c>
      <c r="O287" t="s">
        <v>88</v>
      </c>
      <c r="P287" t="s">
        <v>89</v>
      </c>
      <c r="X287" t="s">
        <v>77</v>
      </c>
      <c r="Z287" t="s">
        <v>72</v>
      </c>
      <c r="AB287">
        <v>5</v>
      </c>
      <c r="AC287">
        <v>748681.34</v>
      </c>
      <c r="AD287">
        <v>8930423.5500000007</v>
      </c>
      <c r="AE287">
        <v>189.2</v>
      </c>
      <c r="AF287">
        <v>748682.72</v>
      </c>
      <c r="AG287">
        <v>8930421.2400000002</v>
      </c>
      <c r="AH287">
        <v>180</v>
      </c>
      <c r="AI287">
        <v>9.59</v>
      </c>
      <c r="AJ287">
        <v>0</v>
      </c>
      <c r="AK287">
        <v>1.5</v>
      </c>
      <c r="AL287">
        <v>0.8</v>
      </c>
      <c r="AM287">
        <v>149.22</v>
      </c>
      <c r="AN287">
        <v>16.3</v>
      </c>
      <c r="AO287">
        <v>0</v>
      </c>
      <c r="AP287">
        <v>2.79</v>
      </c>
      <c r="AQ287">
        <v>0</v>
      </c>
      <c r="AR287">
        <v>0</v>
      </c>
      <c r="AS287">
        <v>0</v>
      </c>
      <c r="AT287">
        <v>0</v>
      </c>
      <c r="AU287">
        <v>0</v>
      </c>
      <c r="AV287">
        <v>0</v>
      </c>
      <c r="AW287">
        <v>0</v>
      </c>
      <c r="AX287">
        <v>0</v>
      </c>
      <c r="AY287">
        <v>0</v>
      </c>
      <c r="AZ287">
        <v>0</v>
      </c>
      <c r="BA287">
        <v>0</v>
      </c>
      <c r="BB287">
        <v>0</v>
      </c>
      <c r="BC287">
        <v>0</v>
      </c>
      <c r="BD287">
        <v>0</v>
      </c>
    </row>
    <row r="288" spans="1:56" x14ac:dyDescent="0.25">
      <c r="A288" s="23">
        <v>46304</v>
      </c>
      <c r="B288">
        <v>287</v>
      </c>
      <c r="C288" t="s">
        <v>82</v>
      </c>
      <c r="D288" t="s">
        <v>92</v>
      </c>
      <c r="E288">
        <v>0</v>
      </c>
      <c r="F288">
        <v>180</v>
      </c>
      <c r="G288">
        <v>0</v>
      </c>
      <c r="H288" t="s">
        <v>84</v>
      </c>
      <c r="J288" t="s">
        <v>70</v>
      </c>
      <c r="L288" t="s">
        <v>71</v>
      </c>
      <c r="O288" t="s">
        <v>88</v>
      </c>
      <c r="P288" t="s">
        <v>89</v>
      </c>
      <c r="X288" t="s">
        <v>77</v>
      </c>
      <c r="Z288" t="s">
        <v>72</v>
      </c>
      <c r="AB288">
        <v>5</v>
      </c>
      <c r="AC288">
        <v>748682.63</v>
      </c>
      <c r="AD288">
        <v>8930424.3200000003</v>
      </c>
      <c r="AE288">
        <v>189.06</v>
      </c>
      <c r="AF288">
        <v>748684.13</v>
      </c>
      <c r="AG288">
        <v>8930422.0899999999</v>
      </c>
      <c r="AH288">
        <v>180</v>
      </c>
      <c r="AI288">
        <v>9.4499999999999993</v>
      </c>
      <c r="AJ288">
        <v>0</v>
      </c>
      <c r="AK288">
        <v>1.5</v>
      </c>
      <c r="AL288">
        <v>0.8</v>
      </c>
      <c r="AM288">
        <v>145.99</v>
      </c>
      <c r="AN288">
        <v>16.52</v>
      </c>
      <c r="AO288">
        <v>0</v>
      </c>
      <c r="AP288">
        <v>2.78</v>
      </c>
      <c r="AQ288">
        <v>0</v>
      </c>
      <c r="AR288">
        <v>0</v>
      </c>
      <c r="AS288">
        <v>0</v>
      </c>
      <c r="AT288">
        <v>0</v>
      </c>
      <c r="AU288">
        <v>0</v>
      </c>
      <c r="AV288">
        <v>0</v>
      </c>
      <c r="AW288">
        <v>0</v>
      </c>
      <c r="AX288">
        <v>0</v>
      </c>
      <c r="AY288">
        <v>0</v>
      </c>
      <c r="AZ288">
        <v>0</v>
      </c>
      <c r="BA288">
        <v>0</v>
      </c>
      <c r="BB288">
        <v>0</v>
      </c>
      <c r="BC288">
        <v>0</v>
      </c>
      <c r="BD288">
        <v>0</v>
      </c>
    </row>
    <row r="289" spans="1:56" x14ac:dyDescent="0.25">
      <c r="A289" s="23">
        <v>46304</v>
      </c>
      <c r="B289">
        <v>288</v>
      </c>
      <c r="C289" t="s">
        <v>82</v>
      </c>
      <c r="D289" t="s">
        <v>92</v>
      </c>
      <c r="E289">
        <v>0</v>
      </c>
      <c r="F289">
        <v>180</v>
      </c>
      <c r="G289">
        <v>0</v>
      </c>
      <c r="H289" t="s">
        <v>84</v>
      </c>
      <c r="J289" t="s">
        <v>70</v>
      </c>
      <c r="L289" t="s">
        <v>71</v>
      </c>
      <c r="O289" t="s">
        <v>88</v>
      </c>
      <c r="P289" t="s">
        <v>89</v>
      </c>
      <c r="X289" t="s">
        <v>77</v>
      </c>
      <c r="Z289" t="s">
        <v>72</v>
      </c>
      <c r="AB289">
        <v>5</v>
      </c>
      <c r="AC289">
        <v>748683.87</v>
      </c>
      <c r="AD289">
        <v>8930425.1600000001</v>
      </c>
      <c r="AE289">
        <v>189.06</v>
      </c>
      <c r="AF289">
        <v>748685.5</v>
      </c>
      <c r="AG289">
        <v>8930423.0199999996</v>
      </c>
      <c r="AH289">
        <v>180</v>
      </c>
      <c r="AI289">
        <v>9.4499999999999993</v>
      </c>
      <c r="AJ289">
        <v>0</v>
      </c>
      <c r="AK289">
        <v>1.5</v>
      </c>
      <c r="AL289">
        <v>0.8</v>
      </c>
      <c r="AM289">
        <v>142.80000000000001</v>
      </c>
      <c r="AN289">
        <v>16.54</v>
      </c>
      <c r="AO289">
        <v>0</v>
      </c>
      <c r="AP289">
        <v>2.78</v>
      </c>
      <c r="AQ289">
        <v>0</v>
      </c>
      <c r="AR289">
        <v>0</v>
      </c>
      <c r="AS289">
        <v>0</v>
      </c>
      <c r="AT289">
        <v>0</v>
      </c>
      <c r="AU289">
        <v>0</v>
      </c>
      <c r="AV289">
        <v>0</v>
      </c>
      <c r="AW289">
        <v>0</v>
      </c>
      <c r="AX289">
        <v>0</v>
      </c>
      <c r="AY289">
        <v>0</v>
      </c>
      <c r="AZ289">
        <v>0</v>
      </c>
      <c r="BA289">
        <v>0</v>
      </c>
      <c r="BB289">
        <v>0</v>
      </c>
      <c r="BC289">
        <v>0</v>
      </c>
      <c r="BD289">
        <v>0</v>
      </c>
    </row>
    <row r="290" spans="1:56" x14ac:dyDescent="0.25">
      <c r="A290" s="23">
        <v>46304</v>
      </c>
      <c r="B290">
        <v>289</v>
      </c>
      <c r="C290" t="s">
        <v>82</v>
      </c>
      <c r="D290" t="s">
        <v>92</v>
      </c>
      <c r="E290">
        <v>0</v>
      </c>
      <c r="F290">
        <v>180</v>
      </c>
      <c r="G290">
        <v>0</v>
      </c>
      <c r="H290" t="s">
        <v>84</v>
      </c>
      <c r="J290" t="s">
        <v>70</v>
      </c>
      <c r="L290" t="s">
        <v>71</v>
      </c>
      <c r="O290" t="s">
        <v>88</v>
      </c>
      <c r="P290" t="s">
        <v>89</v>
      </c>
      <c r="X290" t="s">
        <v>77</v>
      </c>
      <c r="Z290" t="s">
        <v>72</v>
      </c>
      <c r="AB290">
        <v>5</v>
      </c>
      <c r="AC290">
        <v>748685.07</v>
      </c>
      <c r="AD290">
        <v>8930426.0700000003</v>
      </c>
      <c r="AE290">
        <v>189</v>
      </c>
      <c r="AF290">
        <v>748686.81</v>
      </c>
      <c r="AG290">
        <v>8930424.0099999998</v>
      </c>
      <c r="AH290">
        <v>180</v>
      </c>
      <c r="AI290">
        <v>9.39</v>
      </c>
      <c r="AJ290">
        <v>0</v>
      </c>
      <c r="AK290">
        <v>1.5</v>
      </c>
      <c r="AL290">
        <v>0.8</v>
      </c>
      <c r="AM290">
        <v>139.71</v>
      </c>
      <c r="AN290">
        <v>16.66</v>
      </c>
      <c r="AO290">
        <v>0</v>
      </c>
      <c r="AP290">
        <v>2.78</v>
      </c>
      <c r="AQ290">
        <v>0</v>
      </c>
      <c r="AR290">
        <v>0</v>
      </c>
      <c r="AS290">
        <v>0</v>
      </c>
      <c r="AT290">
        <v>0</v>
      </c>
      <c r="AU290">
        <v>0</v>
      </c>
      <c r="AV290">
        <v>0</v>
      </c>
      <c r="AW290">
        <v>0</v>
      </c>
      <c r="AX290">
        <v>0</v>
      </c>
      <c r="AY290">
        <v>0</v>
      </c>
      <c r="AZ290">
        <v>0</v>
      </c>
      <c r="BA290">
        <v>0</v>
      </c>
      <c r="BB290">
        <v>0</v>
      </c>
      <c r="BC290">
        <v>0</v>
      </c>
      <c r="BD290">
        <v>0</v>
      </c>
    </row>
    <row r="291" spans="1:56" x14ac:dyDescent="0.25">
      <c r="A291" s="23">
        <v>46304</v>
      </c>
      <c r="B291">
        <v>290</v>
      </c>
      <c r="C291" t="s">
        <v>82</v>
      </c>
      <c r="D291" t="s">
        <v>92</v>
      </c>
      <c r="E291">
        <v>0</v>
      </c>
      <c r="F291">
        <v>180</v>
      </c>
      <c r="G291">
        <v>0</v>
      </c>
      <c r="H291" t="s">
        <v>84</v>
      </c>
      <c r="J291" t="s">
        <v>70</v>
      </c>
      <c r="L291" t="s">
        <v>71</v>
      </c>
      <c r="O291" t="s">
        <v>88</v>
      </c>
      <c r="P291" t="s">
        <v>89</v>
      </c>
      <c r="X291" t="s">
        <v>77</v>
      </c>
      <c r="Z291" t="s">
        <v>72</v>
      </c>
      <c r="AB291">
        <v>5</v>
      </c>
      <c r="AC291">
        <v>748686.21</v>
      </c>
      <c r="AD291">
        <v>8930427.0299999993</v>
      </c>
      <c r="AE291">
        <v>188.97</v>
      </c>
      <c r="AF291">
        <v>748688.05</v>
      </c>
      <c r="AG291">
        <v>8930425.0700000003</v>
      </c>
      <c r="AH291">
        <v>180</v>
      </c>
      <c r="AI291">
        <v>9.36</v>
      </c>
      <c r="AJ291">
        <v>0</v>
      </c>
      <c r="AK291">
        <v>1.5</v>
      </c>
      <c r="AL291">
        <v>0.8</v>
      </c>
      <c r="AM291">
        <v>136.80000000000001</v>
      </c>
      <c r="AN291">
        <v>16.649999999999999</v>
      </c>
      <c r="AO291">
        <v>0</v>
      </c>
      <c r="AP291">
        <v>2.78</v>
      </c>
      <c r="AQ291">
        <v>0</v>
      </c>
      <c r="AR291">
        <v>0</v>
      </c>
      <c r="AS291">
        <v>0</v>
      </c>
      <c r="AT291">
        <v>0</v>
      </c>
      <c r="AU291">
        <v>0</v>
      </c>
      <c r="AV291">
        <v>0</v>
      </c>
      <c r="AW291">
        <v>0</v>
      </c>
      <c r="AX291">
        <v>0</v>
      </c>
      <c r="AY291">
        <v>0</v>
      </c>
      <c r="AZ291">
        <v>0</v>
      </c>
      <c r="BA291">
        <v>0</v>
      </c>
      <c r="BB291">
        <v>0</v>
      </c>
      <c r="BC291">
        <v>0</v>
      </c>
      <c r="BD291">
        <v>0</v>
      </c>
    </row>
    <row r="292" spans="1:56" x14ac:dyDescent="0.25">
      <c r="A292" s="23">
        <v>46304</v>
      </c>
      <c r="B292">
        <v>291</v>
      </c>
      <c r="C292" t="s">
        <v>82</v>
      </c>
      <c r="D292" t="s">
        <v>92</v>
      </c>
      <c r="E292">
        <v>0</v>
      </c>
      <c r="F292">
        <v>180</v>
      </c>
      <c r="G292">
        <v>0</v>
      </c>
      <c r="H292" t="s">
        <v>84</v>
      </c>
      <c r="J292" t="s">
        <v>70</v>
      </c>
      <c r="L292" t="s">
        <v>71</v>
      </c>
      <c r="O292" t="s">
        <v>88</v>
      </c>
      <c r="P292" t="s">
        <v>89</v>
      </c>
      <c r="X292" t="s">
        <v>77</v>
      </c>
      <c r="Z292" t="s">
        <v>72</v>
      </c>
      <c r="AB292">
        <v>5</v>
      </c>
      <c r="AC292">
        <v>748687.31</v>
      </c>
      <c r="AD292">
        <v>8930428.0600000005</v>
      </c>
      <c r="AE292">
        <v>188.99</v>
      </c>
      <c r="AF292">
        <v>748689.23</v>
      </c>
      <c r="AG292">
        <v>8930426.1899999995</v>
      </c>
      <c r="AH292">
        <v>180</v>
      </c>
      <c r="AI292">
        <v>9.3800000000000008</v>
      </c>
      <c r="AJ292">
        <v>0</v>
      </c>
      <c r="AK292">
        <v>1.5</v>
      </c>
      <c r="AL292">
        <v>0.8</v>
      </c>
      <c r="AM292">
        <v>134.13999999999999</v>
      </c>
      <c r="AN292">
        <v>16.62</v>
      </c>
      <c r="AO292">
        <v>0</v>
      </c>
      <c r="AP292">
        <v>2.78</v>
      </c>
      <c r="AQ292">
        <v>0</v>
      </c>
      <c r="AR292">
        <v>0</v>
      </c>
      <c r="AS292">
        <v>0</v>
      </c>
      <c r="AT292">
        <v>0</v>
      </c>
      <c r="AU292">
        <v>0</v>
      </c>
      <c r="AV292">
        <v>0</v>
      </c>
      <c r="AW292">
        <v>0</v>
      </c>
      <c r="AX292">
        <v>0</v>
      </c>
      <c r="AY292">
        <v>0</v>
      </c>
      <c r="AZ292">
        <v>0</v>
      </c>
      <c r="BA292">
        <v>0</v>
      </c>
      <c r="BB292">
        <v>0</v>
      </c>
      <c r="BC292">
        <v>0</v>
      </c>
      <c r="BD292">
        <v>0</v>
      </c>
    </row>
    <row r="293" spans="1:56" x14ac:dyDescent="0.25">
      <c r="A293" s="23">
        <v>46304</v>
      </c>
      <c r="B293">
        <v>292</v>
      </c>
      <c r="C293" t="s">
        <v>82</v>
      </c>
      <c r="D293" t="s">
        <v>92</v>
      </c>
      <c r="E293">
        <v>0</v>
      </c>
      <c r="F293">
        <v>180</v>
      </c>
      <c r="G293">
        <v>0</v>
      </c>
      <c r="H293" t="s">
        <v>84</v>
      </c>
      <c r="J293" t="s">
        <v>70</v>
      </c>
      <c r="L293" t="s">
        <v>71</v>
      </c>
      <c r="O293" t="s">
        <v>88</v>
      </c>
      <c r="P293" t="s">
        <v>89</v>
      </c>
      <c r="X293" t="s">
        <v>77</v>
      </c>
      <c r="Z293" t="s">
        <v>72</v>
      </c>
      <c r="AB293">
        <v>5</v>
      </c>
      <c r="AC293">
        <v>748688.35</v>
      </c>
      <c r="AD293">
        <v>8930429.1400000006</v>
      </c>
      <c r="AE293">
        <v>189</v>
      </c>
      <c r="AF293">
        <v>748690.35</v>
      </c>
      <c r="AG293">
        <v>8930427.3499999996</v>
      </c>
      <c r="AH293">
        <v>180</v>
      </c>
      <c r="AI293">
        <v>9.39</v>
      </c>
      <c r="AJ293">
        <v>0</v>
      </c>
      <c r="AK293">
        <v>1.5</v>
      </c>
      <c r="AL293">
        <v>0.8</v>
      </c>
      <c r="AM293">
        <v>131.75</v>
      </c>
      <c r="AN293">
        <v>16.63</v>
      </c>
      <c r="AO293">
        <v>0</v>
      </c>
      <c r="AP293">
        <v>2.78</v>
      </c>
      <c r="AQ293">
        <v>0</v>
      </c>
      <c r="AR293">
        <v>0</v>
      </c>
      <c r="AS293">
        <v>0</v>
      </c>
      <c r="AT293">
        <v>0</v>
      </c>
      <c r="AU293">
        <v>0</v>
      </c>
      <c r="AV293">
        <v>0</v>
      </c>
      <c r="AW293">
        <v>0</v>
      </c>
      <c r="AX293">
        <v>0</v>
      </c>
      <c r="AY293">
        <v>0</v>
      </c>
      <c r="AZ293">
        <v>0</v>
      </c>
      <c r="BA293">
        <v>0</v>
      </c>
      <c r="BB293">
        <v>0</v>
      </c>
      <c r="BC293">
        <v>0</v>
      </c>
      <c r="BD293">
        <v>0</v>
      </c>
    </row>
    <row r="294" spans="1:56" x14ac:dyDescent="0.25">
      <c r="A294" s="23">
        <v>46304</v>
      </c>
      <c r="B294">
        <v>293</v>
      </c>
      <c r="C294" t="s">
        <v>82</v>
      </c>
      <c r="D294" t="s">
        <v>92</v>
      </c>
      <c r="E294">
        <v>0</v>
      </c>
      <c r="F294">
        <v>180</v>
      </c>
      <c r="G294">
        <v>0</v>
      </c>
      <c r="H294" t="s">
        <v>84</v>
      </c>
      <c r="J294" t="s">
        <v>70</v>
      </c>
      <c r="L294" t="s">
        <v>71</v>
      </c>
      <c r="O294" t="s">
        <v>88</v>
      </c>
      <c r="P294" t="s">
        <v>89</v>
      </c>
      <c r="X294" t="s">
        <v>77</v>
      </c>
      <c r="Z294" t="s">
        <v>72</v>
      </c>
      <c r="AB294">
        <v>5</v>
      </c>
      <c r="AC294">
        <v>748689.35</v>
      </c>
      <c r="AD294">
        <v>8930430.2599999998</v>
      </c>
      <c r="AE294">
        <v>189</v>
      </c>
      <c r="AF294">
        <v>748691.42</v>
      </c>
      <c r="AG294">
        <v>8930428.5399999991</v>
      </c>
      <c r="AH294">
        <v>180</v>
      </c>
      <c r="AI294">
        <v>9.39</v>
      </c>
      <c r="AJ294">
        <v>0</v>
      </c>
      <c r="AK294">
        <v>1.5</v>
      </c>
      <c r="AL294">
        <v>0.8</v>
      </c>
      <c r="AM294">
        <v>129.66999999999999</v>
      </c>
      <c r="AN294">
        <v>16.63</v>
      </c>
      <c r="AO294">
        <v>0</v>
      </c>
      <c r="AP294">
        <v>2.79</v>
      </c>
      <c r="AQ294">
        <v>0</v>
      </c>
      <c r="AR294">
        <v>0</v>
      </c>
      <c r="AS294">
        <v>0</v>
      </c>
      <c r="AT294">
        <v>0</v>
      </c>
      <c r="AU294">
        <v>0</v>
      </c>
      <c r="AV294">
        <v>0</v>
      </c>
      <c r="AW294">
        <v>0</v>
      </c>
      <c r="AX294">
        <v>0</v>
      </c>
      <c r="AY294">
        <v>0</v>
      </c>
      <c r="AZ294">
        <v>0</v>
      </c>
      <c r="BA294">
        <v>0</v>
      </c>
      <c r="BB294">
        <v>0</v>
      </c>
      <c r="BC294">
        <v>0</v>
      </c>
      <c r="BD294">
        <v>0</v>
      </c>
    </row>
    <row r="295" spans="1:56" x14ac:dyDescent="0.25">
      <c r="A295" s="23">
        <v>46304</v>
      </c>
      <c r="B295">
        <v>294</v>
      </c>
      <c r="C295" t="s">
        <v>82</v>
      </c>
      <c r="D295" t="s">
        <v>92</v>
      </c>
      <c r="E295">
        <v>0</v>
      </c>
      <c r="F295">
        <v>180</v>
      </c>
      <c r="G295">
        <v>0</v>
      </c>
      <c r="H295" t="s">
        <v>84</v>
      </c>
      <c r="J295" t="s">
        <v>70</v>
      </c>
      <c r="L295" t="s">
        <v>71</v>
      </c>
      <c r="O295" t="s">
        <v>88</v>
      </c>
      <c r="P295" t="s">
        <v>89</v>
      </c>
      <c r="X295" t="s">
        <v>77</v>
      </c>
      <c r="Z295" t="s">
        <v>72</v>
      </c>
      <c r="AB295">
        <v>5</v>
      </c>
      <c r="AC295">
        <v>748690.31</v>
      </c>
      <c r="AD295">
        <v>8930431.4100000001</v>
      </c>
      <c r="AE295">
        <v>189.06</v>
      </c>
      <c r="AF295">
        <v>748692.43</v>
      </c>
      <c r="AG295">
        <v>8930429.7599999998</v>
      </c>
      <c r="AH295">
        <v>180</v>
      </c>
      <c r="AI295">
        <v>9.4499999999999993</v>
      </c>
      <c r="AJ295">
        <v>0</v>
      </c>
      <c r="AK295">
        <v>1.5</v>
      </c>
      <c r="AL295">
        <v>0.8</v>
      </c>
      <c r="AM295">
        <v>127.89</v>
      </c>
      <c r="AN295">
        <v>16.489999999999998</v>
      </c>
      <c r="AO295">
        <v>0</v>
      </c>
      <c r="AP295">
        <v>2.79</v>
      </c>
      <c r="AQ295">
        <v>0</v>
      </c>
      <c r="AR295">
        <v>0</v>
      </c>
      <c r="AS295">
        <v>0</v>
      </c>
      <c r="AT295">
        <v>0</v>
      </c>
      <c r="AU295">
        <v>0</v>
      </c>
      <c r="AV295">
        <v>0</v>
      </c>
      <c r="AW295">
        <v>0</v>
      </c>
      <c r="AX295">
        <v>0</v>
      </c>
      <c r="AY295">
        <v>0</v>
      </c>
      <c r="AZ295">
        <v>0</v>
      </c>
      <c r="BA295">
        <v>0</v>
      </c>
      <c r="BB295">
        <v>0</v>
      </c>
      <c r="BC295">
        <v>0</v>
      </c>
      <c r="BD295">
        <v>0</v>
      </c>
    </row>
    <row r="296" spans="1:56" x14ac:dyDescent="0.25">
      <c r="A296" s="23">
        <v>46304</v>
      </c>
      <c r="B296">
        <v>295</v>
      </c>
      <c r="C296" t="s">
        <v>82</v>
      </c>
      <c r="D296" t="s">
        <v>92</v>
      </c>
      <c r="E296">
        <v>0</v>
      </c>
      <c r="F296">
        <v>180</v>
      </c>
      <c r="G296">
        <v>0</v>
      </c>
      <c r="H296" t="s">
        <v>84</v>
      </c>
      <c r="J296" t="s">
        <v>70</v>
      </c>
      <c r="L296" t="s">
        <v>71</v>
      </c>
      <c r="O296" t="s">
        <v>88</v>
      </c>
      <c r="P296" t="s">
        <v>89</v>
      </c>
      <c r="X296" t="s">
        <v>77</v>
      </c>
      <c r="Z296" t="s">
        <v>72</v>
      </c>
      <c r="AB296">
        <v>5</v>
      </c>
      <c r="AC296">
        <v>748691.23</v>
      </c>
      <c r="AD296">
        <v>8930432.5899999999</v>
      </c>
      <c r="AE296">
        <v>189.12</v>
      </c>
      <c r="AF296">
        <v>748693.39</v>
      </c>
      <c r="AG296">
        <v>8930431</v>
      </c>
      <c r="AH296">
        <v>180</v>
      </c>
      <c r="AI296">
        <v>9.51</v>
      </c>
      <c r="AJ296">
        <v>0</v>
      </c>
      <c r="AK296">
        <v>1.5</v>
      </c>
      <c r="AL296">
        <v>0.8</v>
      </c>
      <c r="AM296">
        <v>126.39</v>
      </c>
      <c r="AN296">
        <v>16.38</v>
      </c>
      <c r="AO296">
        <v>0</v>
      </c>
      <c r="AP296">
        <v>2.79</v>
      </c>
      <c r="AQ296">
        <v>0</v>
      </c>
      <c r="AR296">
        <v>0</v>
      </c>
      <c r="AS296">
        <v>0</v>
      </c>
      <c r="AT296">
        <v>0</v>
      </c>
      <c r="AU296">
        <v>0</v>
      </c>
      <c r="AV296">
        <v>0</v>
      </c>
      <c r="AW296">
        <v>0</v>
      </c>
      <c r="AX296">
        <v>0</v>
      </c>
      <c r="AY296">
        <v>0</v>
      </c>
      <c r="AZ296">
        <v>0</v>
      </c>
      <c r="BA296">
        <v>0</v>
      </c>
      <c r="BB296">
        <v>0</v>
      </c>
      <c r="BC296">
        <v>0</v>
      </c>
      <c r="BD296">
        <v>0</v>
      </c>
    </row>
    <row r="297" spans="1:56" x14ac:dyDescent="0.25">
      <c r="A297" s="23">
        <v>46304</v>
      </c>
      <c r="B297">
        <v>296</v>
      </c>
      <c r="C297" t="s">
        <v>82</v>
      </c>
      <c r="D297" t="s">
        <v>92</v>
      </c>
      <c r="E297">
        <v>0</v>
      </c>
      <c r="F297">
        <v>180</v>
      </c>
      <c r="G297">
        <v>0</v>
      </c>
      <c r="H297" t="s">
        <v>84</v>
      </c>
      <c r="J297" t="s">
        <v>70</v>
      </c>
      <c r="L297" t="s">
        <v>71</v>
      </c>
      <c r="O297" t="s">
        <v>88</v>
      </c>
      <c r="P297" t="s">
        <v>89</v>
      </c>
      <c r="X297" t="s">
        <v>77</v>
      </c>
      <c r="Z297" t="s">
        <v>72</v>
      </c>
      <c r="AB297">
        <v>5</v>
      </c>
      <c r="AC297">
        <v>748692.12</v>
      </c>
      <c r="AD297">
        <v>8930433.8000000007</v>
      </c>
      <c r="AE297">
        <v>189.2</v>
      </c>
      <c r="AF297">
        <v>748694.31</v>
      </c>
      <c r="AG297">
        <v>8930432.25</v>
      </c>
      <c r="AH297">
        <v>180</v>
      </c>
      <c r="AI297">
        <v>9.58</v>
      </c>
      <c r="AJ297">
        <v>0</v>
      </c>
      <c r="AK297">
        <v>1.5</v>
      </c>
      <c r="AL297">
        <v>0.8</v>
      </c>
      <c r="AM297">
        <v>125.16</v>
      </c>
      <c r="AN297">
        <v>16.25</v>
      </c>
      <c r="AO297">
        <v>0</v>
      </c>
      <c r="AP297">
        <v>2.79</v>
      </c>
      <c r="AQ297">
        <v>0</v>
      </c>
      <c r="AR297">
        <v>0</v>
      </c>
      <c r="AS297">
        <v>0</v>
      </c>
      <c r="AT297">
        <v>0</v>
      </c>
      <c r="AU297">
        <v>0</v>
      </c>
      <c r="AV297">
        <v>0</v>
      </c>
      <c r="AW297">
        <v>0</v>
      </c>
      <c r="AX297">
        <v>0</v>
      </c>
      <c r="AY297">
        <v>0</v>
      </c>
      <c r="AZ297">
        <v>0</v>
      </c>
      <c r="BA297">
        <v>0</v>
      </c>
      <c r="BB297">
        <v>0</v>
      </c>
      <c r="BC297">
        <v>0</v>
      </c>
      <c r="BD297">
        <v>0</v>
      </c>
    </row>
    <row r="298" spans="1:56" x14ac:dyDescent="0.25">
      <c r="A298" s="23">
        <v>46304</v>
      </c>
      <c r="B298">
        <v>297</v>
      </c>
      <c r="C298" t="s">
        <v>82</v>
      </c>
      <c r="D298" t="s">
        <v>92</v>
      </c>
      <c r="E298">
        <v>0</v>
      </c>
      <c r="F298">
        <v>180</v>
      </c>
      <c r="G298">
        <v>0</v>
      </c>
      <c r="H298" t="s">
        <v>84</v>
      </c>
      <c r="J298" t="s">
        <v>70</v>
      </c>
      <c r="L298" t="s">
        <v>71</v>
      </c>
      <c r="O298" t="s">
        <v>88</v>
      </c>
      <c r="P298" t="s">
        <v>89</v>
      </c>
      <c r="X298" t="s">
        <v>77</v>
      </c>
      <c r="Z298" t="s">
        <v>72</v>
      </c>
      <c r="AB298">
        <v>5</v>
      </c>
      <c r="AC298">
        <v>748692.98</v>
      </c>
      <c r="AD298">
        <v>8930435.0199999996</v>
      </c>
      <c r="AE298">
        <v>189.29</v>
      </c>
      <c r="AF298">
        <v>748695.2</v>
      </c>
      <c r="AG298">
        <v>8930433.5199999996</v>
      </c>
      <c r="AH298">
        <v>180</v>
      </c>
      <c r="AI298">
        <v>9.67</v>
      </c>
      <c r="AJ298">
        <v>0</v>
      </c>
      <c r="AK298">
        <v>1.5</v>
      </c>
      <c r="AL298">
        <v>0.8</v>
      </c>
      <c r="AM298">
        <v>124.17</v>
      </c>
      <c r="AN298">
        <v>16.100000000000001</v>
      </c>
      <c r="AO298">
        <v>0</v>
      </c>
      <c r="AP298">
        <v>2.79</v>
      </c>
      <c r="AQ298">
        <v>0</v>
      </c>
      <c r="AR298">
        <v>0</v>
      </c>
      <c r="AS298">
        <v>0</v>
      </c>
      <c r="AT298">
        <v>0</v>
      </c>
      <c r="AU298">
        <v>0</v>
      </c>
      <c r="AV298">
        <v>0</v>
      </c>
      <c r="AW298">
        <v>0</v>
      </c>
      <c r="AX298">
        <v>0</v>
      </c>
      <c r="AY298">
        <v>0</v>
      </c>
      <c r="AZ298">
        <v>0</v>
      </c>
      <c r="BA298">
        <v>0</v>
      </c>
      <c r="BB298">
        <v>0</v>
      </c>
      <c r="BC298">
        <v>0</v>
      </c>
      <c r="BD298">
        <v>0</v>
      </c>
    </row>
    <row r="299" spans="1:56" x14ac:dyDescent="0.25">
      <c r="A299" s="23">
        <v>46304</v>
      </c>
      <c r="B299">
        <v>298</v>
      </c>
      <c r="C299" t="s">
        <v>82</v>
      </c>
      <c r="D299" t="s">
        <v>92</v>
      </c>
      <c r="E299">
        <v>0</v>
      </c>
      <c r="F299">
        <v>180</v>
      </c>
      <c r="G299">
        <v>0</v>
      </c>
      <c r="H299" t="s">
        <v>84</v>
      </c>
      <c r="J299" t="s">
        <v>70</v>
      </c>
      <c r="L299" t="s">
        <v>71</v>
      </c>
      <c r="O299" t="s">
        <v>88</v>
      </c>
      <c r="P299" t="s">
        <v>89</v>
      </c>
      <c r="X299" t="s">
        <v>77</v>
      </c>
      <c r="Z299" t="s">
        <v>72</v>
      </c>
      <c r="AB299">
        <v>5</v>
      </c>
      <c r="AC299">
        <v>748693.82</v>
      </c>
      <c r="AD299">
        <v>8930436.2699999996</v>
      </c>
      <c r="AE299">
        <v>189.37</v>
      </c>
      <c r="AF299">
        <v>748696.07</v>
      </c>
      <c r="AG299">
        <v>8930434.7899999991</v>
      </c>
      <c r="AH299">
        <v>180</v>
      </c>
      <c r="AI299">
        <v>9.75</v>
      </c>
      <c r="AJ299">
        <v>0</v>
      </c>
      <c r="AK299">
        <v>1.5</v>
      </c>
      <c r="AL299">
        <v>0.8</v>
      </c>
      <c r="AM299">
        <v>123.34</v>
      </c>
      <c r="AN299">
        <v>15.98</v>
      </c>
      <c r="AO299">
        <v>0</v>
      </c>
      <c r="AP299">
        <v>2.79</v>
      </c>
      <c r="AQ299">
        <v>0</v>
      </c>
      <c r="AR299">
        <v>0</v>
      </c>
      <c r="AS299">
        <v>0</v>
      </c>
      <c r="AT299">
        <v>0</v>
      </c>
      <c r="AU299">
        <v>0</v>
      </c>
      <c r="AV299">
        <v>0</v>
      </c>
      <c r="AW299">
        <v>0</v>
      </c>
      <c r="AX299">
        <v>0</v>
      </c>
      <c r="AY299">
        <v>0</v>
      </c>
      <c r="AZ299">
        <v>0</v>
      </c>
      <c r="BA299">
        <v>0</v>
      </c>
      <c r="BB299">
        <v>0</v>
      </c>
      <c r="BC299">
        <v>0</v>
      </c>
      <c r="BD299">
        <v>0</v>
      </c>
    </row>
    <row r="300" spans="1:56" x14ac:dyDescent="0.25">
      <c r="A300" s="23">
        <v>46304</v>
      </c>
      <c r="B300">
        <v>299</v>
      </c>
      <c r="C300" t="s">
        <v>82</v>
      </c>
      <c r="D300" t="s">
        <v>92</v>
      </c>
      <c r="E300">
        <v>0</v>
      </c>
      <c r="F300">
        <v>180</v>
      </c>
      <c r="G300">
        <v>0</v>
      </c>
      <c r="H300" t="s">
        <v>84</v>
      </c>
      <c r="J300" t="s">
        <v>70</v>
      </c>
      <c r="L300" t="s">
        <v>71</v>
      </c>
      <c r="O300" t="s">
        <v>88</v>
      </c>
      <c r="P300" t="s">
        <v>89</v>
      </c>
      <c r="X300" t="s">
        <v>77</v>
      </c>
      <c r="Z300" t="s">
        <v>72</v>
      </c>
      <c r="AB300">
        <v>5</v>
      </c>
      <c r="AC300">
        <v>748694.65</v>
      </c>
      <c r="AD300">
        <v>8930437.5199999996</v>
      </c>
      <c r="AE300">
        <v>189.44</v>
      </c>
      <c r="AF300">
        <v>748696.91</v>
      </c>
      <c r="AG300">
        <v>8930436.0800000001</v>
      </c>
      <c r="AH300">
        <v>180</v>
      </c>
      <c r="AI300">
        <v>9.81</v>
      </c>
      <c r="AJ300">
        <v>0</v>
      </c>
      <c r="AK300">
        <v>1.5</v>
      </c>
      <c r="AL300">
        <v>0.8</v>
      </c>
      <c r="AM300">
        <v>122.47</v>
      </c>
      <c r="AN300">
        <v>15.84</v>
      </c>
      <c r="AO300">
        <v>0</v>
      </c>
      <c r="AP300">
        <v>2.79</v>
      </c>
      <c r="AQ300">
        <v>0</v>
      </c>
      <c r="AR300">
        <v>0</v>
      </c>
      <c r="AS300">
        <v>0</v>
      </c>
      <c r="AT300">
        <v>0</v>
      </c>
      <c r="AU300">
        <v>0</v>
      </c>
      <c r="AV300">
        <v>0</v>
      </c>
      <c r="AW300">
        <v>0</v>
      </c>
      <c r="AX300">
        <v>0</v>
      </c>
      <c r="AY300">
        <v>0</v>
      </c>
      <c r="AZ300">
        <v>0</v>
      </c>
      <c r="BA300">
        <v>0</v>
      </c>
      <c r="BB300">
        <v>0</v>
      </c>
      <c r="BC300">
        <v>0</v>
      </c>
      <c r="BD300">
        <v>0</v>
      </c>
    </row>
    <row r="301" spans="1:56" x14ac:dyDescent="0.25">
      <c r="A301" s="23">
        <v>46304</v>
      </c>
      <c r="B301">
        <v>300</v>
      </c>
      <c r="C301" t="s">
        <v>82</v>
      </c>
      <c r="D301" t="s">
        <v>92</v>
      </c>
      <c r="E301">
        <v>0</v>
      </c>
      <c r="F301">
        <v>180</v>
      </c>
      <c r="G301">
        <v>0</v>
      </c>
      <c r="H301" t="s">
        <v>84</v>
      </c>
      <c r="J301" t="s">
        <v>70</v>
      </c>
      <c r="L301" t="s">
        <v>71</v>
      </c>
      <c r="O301" t="s">
        <v>88</v>
      </c>
      <c r="P301" t="s">
        <v>89</v>
      </c>
      <c r="X301" t="s">
        <v>77</v>
      </c>
      <c r="Z301" t="s">
        <v>72</v>
      </c>
      <c r="AB301">
        <v>5</v>
      </c>
      <c r="AC301">
        <v>748695.45</v>
      </c>
      <c r="AD301">
        <v>8930438.7899999991</v>
      </c>
      <c r="AE301">
        <v>189.51</v>
      </c>
      <c r="AF301">
        <v>748697.72</v>
      </c>
      <c r="AG301">
        <v>8930437.3399999999</v>
      </c>
      <c r="AH301">
        <v>180</v>
      </c>
      <c r="AI301">
        <v>9.8800000000000008</v>
      </c>
      <c r="AJ301">
        <v>0</v>
      </c>
      <c r="AK301">
        <v>1.5</v>
      </c>
      <c r="AL301">
        <v>0.8</v>
      </c>
      <c r="AM301">
        <v>122.47</v>
      </c>
      <c r="AN301">
        <v>15.8</v>
      </c>
      <c r="AO301">
        <v>0</v>
      </c>
      <c r="AP301">
        <v>2.79</v>
      </c>
      <c r="AQ301">
        <v>0</v>
      </c>
      <c r="AR301">
        <v>0</v>
      </c>
      <c r="AS301">
        <v>0</v>
      </c>
      <c r="AT301">
        <v>0</v>
      </c>
      <c r="AU301">
        <v>0</v>
      </c>
      <c r="AV301">
        <v>0</v>
      </c>
      <c r="AW301">
        <v>0</v>
      </c>
      <c r="AX301">
        <v>0</v>
      </c>
      <c r="AY301">
        <v>0</v>
      </c>
      <c r="AZ301">
        <v>0</v>
      </c>
      <c r="BA301">
        <v>0</v>
      </c>
      <c r="BB301">
        <v>0</v>
      </c>
      <c r="BC301">
        <v>0</v>
      </c>
      <c r="BD301">
        <v>0</v>
      </c>
    </row>
    <row r="302" spans="1:56" x14ac:dyDescent="0.25">
      <c r="A302" s="23">
        <v>46304</v>
      </c>
      <c r="B302">
        <v>301</v>
      </c>
      <c r="C302" t="s">
        <v>82</v>
      </c>
      <c r="D302" t="s">
        <v>92</v>
      </c>
      <c r="E302">
        <v>0</v>
      </c>
      <c r="F302">
        <v>180</v>
      </c>
      <c r="G302">
        <v>0</v>
      </c>
      <c r="H302" t="s">
        <v>84</v>
      </c>
      <c r="J302" t="s">
        <v>70</v>
      </c>
      <c r="L302" t="s">
        <v>71</v>
      </c>
      <c r="O302" t="s">
        <v>88</v>
      </c>
      <c r="P302" t="s">
        <v>89</v>
      </c>
      <c r="X302" t="s">
        <v>77</v>
      </c>
      <c r="Z302" t="s">
        <v>72</v>
      </c>
      <c r="AB302">
        <v>5</v>
      </c>
      <c r="AC302">
        <v>748696.26</v>
      </c>
      <c r="AD302">
        <v>8930440.0500000007</v>
      </c>
      <c r="AE302">
        <v>189.58</v>
      </c>
      <c r="AF302">
        <v>748698.54</v>
      </c>
      <c r="AG302">
        <v>8930438.6300000008</v>
      </c>
      <c r="AH302">
        <v>180</v>
      </c>
      <c r="AI302">
        <v>9.9499999999999993</v>
      </c>
      <c r="AJ302">
        <v>0</v>
      </c>
      <c r="AK302">
        <v>1.5</v>
      </c>
      <c r="AL302">
        <v>0.8</v>
      </c>
      <c r="AM302">
        <v>122.05</v>
      </c>
      <c r="AN302">
        <v>15.65</v>
      </c>
      <c r="AO302">
        <v>0</v>
      </c>
      <c r="AP302">
        <v>2.79</v>
      </c>
      <c r="AQ302">
        <v>0</v>
      </c>
      <c r="AR302">
        <v>0</v>
      </c>
      <c r="AS302">
        <v>0</v>
      </c>
      <c r="AT302">
        <v>0</v>
      </c>
      <c r="AU302">
        <v>0</v>
      </c>
      <c r="AV302">
        <v>0</v>
      </c>
      <c r="AW302">
        <v>0</v>
      </c>
      <c r="AX302">
        <v>0</v>
      </c>
      <c r="AY302">
        <v>0</v>
      </c>
      <c r="AZ302">
        <v>0</v>
      </c>
      <c r="BA302">
        <v>0</v>
      </c>
      <c r="BB302">
        <v>0</v>
      </c>
      <c r="BC302">
        <v>0</v>
      </c>
      <c r="BD302">
        <v>0</v>
      </c>
    </row>
    <row r="303" spans="1:56" x14ac:dyDescent="0.25">
      <c r="A303" s="23">
        <v>46304</v>
      </c>
      <c r="B303">
        <v>302</v>
      </c>
      <c r="C303" t="s">
        <v>82</v>
      </c>
      <c r="D303" t="s">
        <v>92</v>
      </c>
      <c r="E303">
        <v>0</v>
      </c>
      <c r="F303">
        <v>180</v>
      </c>
      <c r="G303">
        <v>0</v>
      </c>
      <c r="H303" t="s">
        <v>84</v>
      </c>
      <c r="J303" t="s">
        <v>70</v>
      </c>
      <c r="L303" t="s">
        <v>71</v>
      </c>
      <c r="O303" t="s">
        <v>88</v>
      </c>
      <c r="P303" t="s">
        <v>89</v>
      </c>
      <c r="X303" t="s">
        <v>77</v>
      </c>
      <c r="Z303" t="s">
        <v>72</v>
      </c>
      <c r="AB303">
        <v>5</v>
      </c>
      <c r="AC303">
        <v>748697.05</v>
      </c>
      <c r="AD303">
        <v>8930441.3200000003</v>
      </c>
      <c r="AE303">
        <v>189.65</v>
      </c>
      <c r="AF303">
        <v>748699.34</v>
      </c>
      <c r="AG303">
        <v>8930439.9100000001</v>
      </c>
      <c r="AH303">
        <v>180</v>
      </c>
      <c r="AI303">
        <v>10.02</v>
      </c>
      <c r="AJ303">
        <v>0</v>
      </c>
      <c r="AK303">
        <v>1.5</v>
      </c>
      <c r="AL303">
        <v>0.8</v>
      </c>
      <c r="AM303">
        <v>121.84</v>
      </c>
      <c r="AN303">
        <v>15.55</v>
      </c>
      <c r="AO303">
        <v>0</v>
      </c>
      <c r="AP303">
        <v>2.81</v>
      </c>
      <c r="AQ303">
        <v>0</v>
      </c>
      <c r="AR303">
        <v>0</v>
      </c>
      <c r="AS303">
        <v>0</v>
      </c>
      <c r="AT303">
        <v>0</v>
      </c>
      <c r="AU303">
        <v>0</v>
      </c>
      <c r="AV303">
        <v>0</v>
      </c>
      <c r="AW303">
        <v>0</v>
      </c>
      <c r="AX303">
        <v>0</v>
      </c>
      <c r="AY303">
        <v>0</v>
      </c>
      <c r="AZ303">
        <v>0</v>
      </c>
      <c r="BA303">
        <v>0</v>
      </c>
      <c r="BB303">
        <v>0</v>
      </c>
      <c r="BC303">
        <v>0</v>
      </c>
      <c r="BD303">
        <v>0</v>
      </c>
    </row>
    <row r="304" spans="1:56" x14ac:dyDescent="0.25">
      <c r="A304" s="23">
        <v>46304</v>
      </c>
      <c r="B304">
        <v>303</v>
      </c>
      <c r="C304" t="s">
        <v>82</v>
      </c>
      <c r="D304" t="s">
        <v>92</v>
      </c>
      <c r="E304">
        <v>0</v>
      </c>
      <c r="F304">
        <v>180</v>
      </c>
      <c r="G304">
        <v>0</v>
      </c>
      <c r="H304" t="s">
        <v>84</v>
      </c>
      <c r="J304" t="s">
        <v>70</v>
      </c>
      <c r="L304" t="s">
        <v>71</v>
      </c>
      <c r="O304" t="s">
        <v>88</v>
      </c>
      <c r="P304" t="s">
        <v>89</v>
      </c>
      <c r="X304" t="s">
        <v>77</v>
      </c>
      <c r="Z304" t="s">
        <v>72</v>
      </c>
      <c r="AB304">
        <v>5</v>
      </c>
      <c r="AC304">
        <v>748697.85</v>
      </c>
      <c r="AD304">
        <v>8930442.5999999996</v>
      </c>
      <c r="AE304">
        <v>189.68</v>
      </c>
      <c r="AF304">
        <v>748700.13</v>
      </c>
      <c r="AG304">
        <v>8930441.1799999997</v>
      </c>
      <c r="AH304">
        <v>180</v>
      </c>
      <c r="AI304">
        <v>10.050000000000001</v>
      </c>
      <c r="AJ304">
        <v>0</v>
      </c>
      <c r="AK304">
        <v>1.5</v>
      </c>
      <c r="AL304">
        <v>0.8</v>
      </c>
      <c r="AM304">
        <v>121.84</v>
      </c>
      <c r="AN304">
        <v>15.49</v>
      </c>
      <c r="AO304">
        <v>0</v>
      </c>
      <c r="AP304">
        <v>2.81</v>
      </c>
      <c r="AQ304">
        <v>0</v>
      </c>
      <c r="AR304">
        <v>0</v>
      </c>
      <c r="AS304">
        <v>0</v>
      </c>
      <c r="AT304">
        <v>0</v>
      </c>
      <c r="AU304">
        <v>0</v>
      </c>
      <c r="AV304">
        <v>0</v>
      </c>
      <c r="AW304">
        <v>0</v>
      </c>
      <c r="AX304">
        <v>0</v>
      </c>
      <c r="AY304">
        <v>0</v>
      </c>
      <c r="AZ304">
        <v>0</v>
      </c>
      <c r="BA304">
        <v>0</v>
      </c>
      <c r="BB304">
        <v>0</v>
      </c>
      <c r="BC304">
        <v>0</v>
      </c>
      <c r="BD304">
        <v>0</v>
      </c>
    </row>
    <row r="305" spans="1:56" x14ac:dyDescent="0.25">
      <c r="A305" s="23">
        <v>46304</v>
      </c>
      <c r="B305">
        <v>304</v>
      </c>
      <c r="C305" t="s">
        <v>82</v>
      </c>
      <c r="D305" t="s">
        <v>92</v>
      </c>
      <c r="E305">
        <v>0</v>
      </c>
      <c r="F305">
        <v>180</v>
      </c>
      <c r="G305">
        <v>0</v>
      </c>
      <c r="H305" t="s">
        <v>84</v>
      </c>
      <c r="J305" t="s">
        <v>70</v>
      </c>
      <c r="L305" t="s">
        <v>71</v>
      </c>
      <c r="O305" t="s">
        <v>88</v>
      </c>
      <c r="P305" t="s">
        <v>89</v>
      </c>
      <c r="X305" t="s">
        <v>77</v>
      </c>
      <c r="Z305" t="s">
        <v>72</v>
      </c>
      <c r="AB305">
        <v>5</v>
      </c>
      <c r="AC305">
        <v>748698.64</v>
      </c>
      <c r="AD305">
        <v>8930443.8699999992</v>
      </c>
      <c r="AE305">
        <v>189.7</v>
      </c>
      <c r="AF305">
        <v>748700.92</v>
      </c>
      <c r="AG305">
        <v>8930442.4600000009</v>
      </c>
      <c r="AH305">
        <v>180</v>
      </c>
      <c r="AI305">
        <v>10.06</v>
      </c>
      <c r="AJ305">
        <v>0</v>
      </c>
      <c r="AK305">
        <v>1.5</v>
      </c>
      <c r="AL305">
        <v>0.8</v>
      </c>
      <c r="AM305">
        <v>121.84</v>
      </c>
      <c r="AN305">
        <v>15.46</v>
      </c>
      <c r="AO305">
        <v>0</v>
      </c>
      <c r="AP305">
        <v>2.82</v>
      </c>
      <c r="AQ305">
        <v>0</v>
      </c>
      <c r="AR305">
        <v>0</v>
      </c>
      <c r="AS305">
        <v>0</v>
      </c>
      <c r="AT305">
        <v>0</v>
      </c>
      <c r="AU305">
        <v>0</v>
      </c>
      <c r="AV305">
        <v>0</v>
      </c>
      <c r="AW305">
        <v>0</v>
      </c>
      <c r="AX305">
        <v>0</v>
      </c>
      <c r="AY305">
        <v>0</v>
      </c>
      <c r="AZ305">
        <v>0</v>
      </c>
      <c r="BA305">
        <v>0</v>
      </c>
      <c r="BB305">
        <v>0</v>
      </c>
      <c r="BC305">
        <v>0</v>
      </c>
      <c r="BD305">
        <v>0</v>
      </c>
    </row>
    <row r="306" spans="1:56" x14ac:dyDescent="0.25">
      <c r="A306" s="23">
        <v>46304</v>
      </c>
      <c r="B306">
        <v>305</v>
      </c>
      <c r="C306" t="s">
        <v>82</v>
      </c>
      <c r="D306" t="s">
        <v>92</v>
      </c>
      <c r="E306">
        <v>2</v>
      </c>
      <c r="F306">
        <v>180</v>
      </c>
      <c r="G306">
        <v>1</v>
      </c>
      <c r="H306" t="s">
        <v>84</v>
      </c>
      <c r="J306" t="s">
        <v>70</v>
      </c>
      <c r="L306" t="s">
        <v>71</v>
      </c>
      <c r="O306" t="s">
        <v>88</v>
      </c>
      <c r="P306" t="s">
        <v>89</v>
      </c>
      <c r="X306" t="s">
        <v>77</v>
      </c>
      <c r="Z306" t="s">
        <v>72</v>
      </c>
      <c r="AB306">
        <v>5</v>
      </c>
      <c r="AC306">
        <v>748699.42</v>
      </c>
      <c r="AD306">
        <v>8930445.1500000004</v>
      </c>
      <c r="AE306">
        <v>189.75</v>
      </c>
      <c r="AF306">
        <v>748701.72</v>
      </c>
      <c r="AG306">
        <v>8930443.7400000002</v>
      </c>
      <c r="AH306">
        <v>180</v>
      </c>
      <c r="AI306">
        <v>10.119999999999999</v>
      </c>
      <c r="AJ306">
        <v>0</v>
      </c>
      <c r="AK306">
        <v>1.5</v>
      </c>
      <c r="AL306">
        <v>0.8</v>
      </c>
      <c r="AM306">
        <v>121.47</v>
      </c>
      <c r="AN306">
        <v>15.41</v>
      </c>
      <c r="AO306">
        <v>0</v>
      </c>
      <c r="AP306">
        <v>2.83</v>
      </c>
      <c r="AQ306">
        <v>0.01</v>
      </c>
      <c r="AR306">
        <v>0</v>
      </c>
      <c r="AS306">
        <v>0</v>
      </c>
      <c r="AT306">
        <v>0.3</v>
      </c>
      <c r="AU306">
        <v>0.16</v>
      </c>
      <c r="AV306">
        <v>0.01</v>
      </c>
      <c r="AW306">
        <v>0.02</v>
      </c>
      <c r="AX306">
        <v>0</v>
      </c>
      <c r="AY306">
        <v>0</v>
      </c>
      <c r="AZ306">
        <v>0</v>
      </c>
      <c r="BA306">
        <v>0</v>
      </c>
      <c r="BB306">
        <v>0</v>
      </c>
      <c r="BC306">
        <v>0</v>
      </c>
      <c r="BD306">
        <v>0</v>
      </c>
    </row>
    <row r="307" spans="1:56" x14ac:dyDescent="0.25">
      <c r="A307" s="23">
        <v>46304</v>
      </c>
      <c r="B307">
        <v>306</v>
      </c>
      <c r="C307" t="s">
        <v>82</v>
      </c>
      <c r="D307" t="s">
        <v>92</v>
      </c>
      <c r="E307">
        <v>0</v>
      </c>
      <c r="F307">
        <v>180</v>
      </c>
      <c r="G307">
        <v>1</v>
      </c>
      <c r="H307" t="s">
        <v>84</v>
      </c>
      <c r="J307" t="s">
        <v>70</v>
      </c>
      <c r="L307" t="s">
        <v>71</v>
      </c>
      <c r="O307" t="s">
        <v>88</v>
      </c>
      <c r="P307" t="s">
        <v>89</v>
      </c>
      <c r="X307" t="s">
        <v>77</v>
      </c>
      <c r="Z307" t="s">
        <v>72</v>
      </c>
      <c r="AB307">
        <v>5</v>
      </c>
      <c r="AC307">
        <v>748700.21</v>
      </c>
      <c r="AD307">
        <v>8930446.4199999999</v>
      </c>
      <c r="AE307">
        <v>189.76</v>
      </c>
      <c r="AF307">
        <v>748702.51</v>
      </c>
      <c r="AG307">
        <v>8930445.0299999993</v>
      </c>
      <c r="AH307">
        <v>180</v>
      </c>
      <c r="AI307">
        <v>10.130000000000001</v>
      </c>
      <c r="AJ307">
        <v>0</v>
      </c>
      <c r="AK307">
        <v>1.5</v>
      </c>
      <c r="AL307">
        <v>0.8</v>
      </c>
      <c r="AM307">
        <v>121.24</v>
      </c>
      <c r="AN307">
        <v>15.35</v>
      </c>
      <c r="AO307">
        <v>0</v>
      </c>
      <c r="AP307">
        <v>2.86</v>
      </c>
      <c r="AQ307">
        <v>0.03</v>
      </c>
      <c r="AR307">
        <v>0.01</v>
      </c>
      <c r="AS307">
        <v>0</v>
      </c>
      <c r="AT307">
        <v>1.3</v>
      </c>
      <c r="AU307">
        <v>0.7</v>
      </c>
      <c r="AV307">
        <v>0.05</v>
      </c>
      <c r="AW307">
        <v>0.08</v>
      </c>
      <c r="AX307">
        <v>0</v>
      </c>
      <c r="AY307">
        <v>0</v>
      </c>
      <c r="AZ307">
        <v>0</v>
      </c>
      <c r="BA307">
        <v>0</v>
      </c>
      <c r="BB307">
        <v>0</v>
      </c>
      <c r="BC307">
        <v>0</v>
      </c>
      <c r="BD307">
        <v>0</v>
      </c>
    </row>
    <row r="308" spans="1:56" x14ac:dyDescent="0.25">
      <c r="A308" s="23">
        <v>46304</v>
      </c>
      <c r="B308">
        <v>307</v>
      </c>
      <c r="C308" t="s">
        <v>82</v>
      </c>
      <c r="D308" t="s">
        <v>92</v>
      </c>
      <c r="E308">
        <v>0</v>
      </c>
      <c r="F308">
        <v>180</v>
      </c>
      <c r="G308">
        <v>1</v>
      </c>
      <c r="H308" t="s">
        <v>84</v>
      </c>
      <c r="J308" t="s">
        <v>70</v>
      </c>
      <c r="L308" t="s">
        <v>71</v>
      </c>
      <c r="O308" t="s">
        <v>88</v>
      </c>
      <c r="P308" t="s">
        <v>89</v>
      </c>
      <c r="X308" t="s">
        <v>77</v>
      </c>
      <c r="Z308" t="s">
        <v>72</v>
      </c>
      <c r="AB308">
        <v>5</v>
      </c>
      <c r="AC308">
        <v>748701.01</v>
      </c>
      <c r="AD308">
        <v>8930447.6999999993</v>
      </c>
      <c r="AE308">
        <v>189.72</v>
      </c>
      <c r="AF308">
        <v>748703.31</v>
      </c>
      <c r="AG308">
        <v>8930446.3599999994</v>
      </c>
      <c r="AH308">
        <v>180</v>
      </c>
      <c r="AI308">
        <v>10.08</v>
      </c>
      <c r="AJ308">
        <v>0</v>
      </c>
      <c r="AK308">
        <v>1.5</v>
      </c>
      <c r="AL308">
        <v>0.8</v>
      </c>
      <c r="AM308">
        <v>120.08</v>
      </c>
      <c r="AN308">
        <v>15.31</v>
      </c>
      <c r="AO308">
        <v>0</v>
      </c>
      <c r="AP308">
        <v>2.89</v>
      </c>
      <c r="AQ308">
        <v>0.06</v>
      </c>
      <c r="AR308">
        <v>0.01</v>
      </c>
      <c r="AS308">
        <v>0.01</v>
      </c>
      <c r="AT308">
        <v>2.4900000000000002</v>
      </c>
      <c r="AU308">
        <v>1.34</v>
      </c>
      <c r="AV308">
        <v>0.1</v>
      </c>
      <c r="AW308">
        <v>0.16</v>
      </c>
      <c r="AX308">
        <v>0</v>
      </c>
      <c r="AY308">
        <v>0</v>
      </c>
      <c r="AZ308">
        <v>0</v>
      </c>
      <c r="BA308">
        <v>0</v>
      </c>
      <c r="BB308">
        <v>0</v>
      </c>
      <c r="BC308">
        <v>0</v>
      </c>
      <c r="BD308">
        <v>0</v>
      </c>
    </row>
    <row r="309" spans="1:56" x14ac:dyDescent="0.25">
      <c r="A309" s="23">
        <v>46304</v>
      </c>
      <c r="B309">
        <v>308</v>
      </c>
      <c r="C309" t="s">
        <v>82</v>
      </c>
      <c r="D309" t="s">
        <v>92</v>
      </c>
      <c r="E309">
        <v>0</v>
      </c>
      <c r="F309">
        <v>180</v>
      </c>
      <c r="G309">
        <v>1</v>
      </c>
      <c r="H309" t="s">
        <v>84</v>
      </c>
      <c r="J309" t="s">
        <v>70</v>
      </c>
      <c r="L309" t="s">
        <v>71</v>
      </c>
      <c r="O309" t="s">
        <v>88</v>
      </c>
      <c r="P309" t="s">
        <v>89</v>
      </c>
      <c r="X309" t="s">
        <v>77</v>
      </c>
      <c r="Z309" t="s">
        <v>72</v>
      </c>
      <c r="AB309">
        <v>5</v>
      </c>
      <c r="AC309">
        <v>748701.77</v>
      </c>
      <c r="AD309">
        <v>8930448.9900000002</v>
      </c>
      <c r="AE309">
        <v>189.72</v>
      </c>
      <c r="AF309">
        <v>748704.14</v>
      </c>
      <c r="AG309">
        <v>8930447.8100000005</v>
      </c>
      <c r="AH309">
        <v>180</v>
      </c>
      <c r="AI309">
        <v>10.08</v>
      </c>
      <c r="AJ309">
        <v>0</v>
      </c>
      <c r="AK309">
        <v>1.5</v>
      </c>
      <c r="AL309">
        <v>0.8</v>
      </c>
      <c r="AM309">
        <v>116.54</v>
      </c>
      <c r="AN309">
        <v>15.27</v>
      </c>
      <c r="AO309">
        <v>0</v>
      </c>
      <c r="AP309">
        <v>2.91</v>
      </c>
      <c r="AQ309">
        <v>0.09</v>
      </c>
      <c r="AR309">
        <v>0.01</v>
      </c>
      <c r="AS309">
        <v>0.01</v>
      </c>
      <c r="AT309">
        <v>3.4</v>
      </c>
      <c r="AU309">
        <v>1.83</v>
      </c>
      <c r="AV309">
        <v>0.13</v>
      </c>
      <c r="AW309">
        <v>0.22</v>
      </c>
      <c r="AX309">
        <v>0</v>
      </c>
      <c r="AY309">
        <v>0</v>
      </c>
      <c r="AZ309">
        <v>0</v>
      </c>
      <c r="BA309">
        <v>0</v>
      </c>
      <c r="BB309">
        <v>0</v>
      </c>
      <c r="BC309">
        <v>0</v>
      </c>
      <c r="BD309">
        <v>0</v>
      </c>
    </row>
    <row r="310" spans="1:56" x14ac:dyDescent="0.25">
      <c r="A310" s="23">
        <v>46304</v>
      </c>
      <c r="B310">
        <v>309</v>
      </c>
      <c r="C310" t="s">
        <v>82</v>
      </c>
      <c r="D310" t="s">
        <v>92</v>
      </c>
      <c r="E310">
        <v>0</v>
      </c>
      <c r="F310">
        <v>180</v>
      </c>
      <c r="G310">
        <v>1</v>
      </c>
      <c r="H310" t="s">
        <v>84</v>
      </c>
      <c r="J310" t="s">
        <v>70</v>
      </c>
      <c r="L310" t="s">
        <v>71</v>
      </c>
      <c r="O310" t="s">
        <v>88</v>
      </c>
      <c r="P310" t="s">
        <v>89</v>
      </c>
      <c r="X310" t="s">
        <v>77</v>
      </c>
      <c r="Z310" t="s">
        <v>72</v>
      </c>
      <c r="AB310">
        <v>5</v>
      </c>
      <c r="AC310">
        <v>748702.43</v>
      </c>
      <c r="AD310">
        <v>8930450.3399999999</v>
      </c>
      <c r="AE310">
        <v>189.76</v>
      </c>
      <c r="AF310">
        <v>748704.81</v>
      </c>
      <c r="AG310">
        <v>8930449.1500000004</v>
      </c>
      <c r="AH310">
        <v>180</v>
      </c>
      <c r="AI310">
        <v>10.119999999999999</v>
      </c>
      <c r="AJ310">
        <v>0</v>
      </c>
      <c r="AK310">
        <v>1.5</v>
      </c>
      <c r="AL310">
        <v>0.8</v>
      </c>
      <c r="AM310">
        <v>116.54</v>
      </c>
      <c r="AN310">
        <v>15.26</v>
      </c>
      <c r="AO310">
        <v>0</v>
      </c>
      <c r="AP310">
        <v>2.94</v>
      </c>
      <c r="AQ310">
        <v>0.1</v>
      </c>
      <c r="AR310">
        <v>0.02</v>
      </c>
      <c r="AS310">
        <v>0.01</v>
      </c>
      <c r="AT310">
        <v>4.45</v>
      </c>
      <c r="AU310">
        <v>2.14</v>
      </c>
      <c r="AV310">
        <v>0.12</v>
      </c>
      <c r="AW310">
        <v>0.38</v>
      </c>
      <c r="AX310">
        <v>0.15</v>
      </c>
      <c r="AY310">
        <v>0</v>
      </c>
      <c r="AZ310">
        <v>0</v>
      </c>
      <c r="BA310">
        <v>0</v>
      </c>
      <c r="BB310">
        <v>0</v>
      </c>
      <c r="BC310">
        <v>0</v>
      </c>
      <c r="BD310">
        <v>0</v>
      </c>
    </row>
    <row r="311" spans="1:56" x14ac:dyDescent="0.25">
      <c r="A311" s="23">
        <v>46304</v>
      </c>
      <c r="B311">
        <v>310</v>
      </c>
      <c r="C311" t="s">
        <v>82</v>
      </c>
      <c r="D311" t="s">
        <v>92</v>
      </c>
      <c r="E311">
        <v>0</v>
      </c>
      <c r="F311">
        <v>180</v>
      </c>
      <c r="G311">
        <v>0</v>
      </c>
      <c r="H311" t="s">
        <v>84</v>
      </c>
      <c r="J311" t="s">
        <v>70</v>
      </c>
      <c r="L311" t="s">
        <v>71</v>
      </c>
      <c r="O311" t="s">
        <v>88</v>
      </c>
      <c r="P311" t="s">
        <v>89</v>
      </c>
      <c r="X311" t="s">
        <v>77</v>
      </c>
      <c r="Z311" t="s">
        <v>72</v>
      </c>
      <c r="AB311">
        <v>5</v>
      </c>
      <c r="AC311">
        <v>748703.09</v>
      </c>
      <c r="AD311">
        <v>8930451.6799999997</v>
      </c>
      <c r="AE311">
        <v>189.76</v>
      </c>
      <c r="AF311">
        <v>748705.57</v>
      </c>
      <c r="AG311">
        <v>8930450.6600000001</v>
      </c>
      <c r="AH311">
        <v>180</v>
      </c>
      <c r="AI311">
        <v>10.119999999999999</v>
      </c>
      <c r="AJ311">
        <v>0</v>
      </c>
      <c r="AK311">
        <v>1.5</v>
      </c>
      <c r="AL311">
        <v>0.8</v>
      </c>
      <c r="AM311">
        <v>112.49</v>
      </c>
      <c r="AN311">
        <v>15.34</v>
      </c>
      <c r="AO311">
        <v>0</v>
      </c>
      <c r="AP311">
        <v>2.94</v>
      </c>
      <c r="AQ311">
        <v>0.1</v>
      </c>
      <c r="AR311">
        <v>0.02</v>
      </c>
      <c r="AS311">
        <v>0.01</v>
      </c>
      <c r="AT311">
        <v>4.45</v>
      </c>
      <c r="AU311">
        <v>2.14</v>
      </c>
      <c r="AV311">
        <v>0.12</v>
      </c>
      <c r="AW311">
        <v>0.38</v>
      </c>
      <c r="AX311">
        <v>0.15</v>
      </c>
      <c r="AY311">
        <v>0</v>
      </c>
      <c r="AZ311">
        <v>0</v>
      </c>
      <c r="BA311">
        <v>0</v>
      </c>
      <c r="BB311">
        <v>0</v>
      </c>
      <c r="BC311">
        <v>0</v>
      </c>
      <c r="BD311">
        <v>0</v>
      </c>
    </row>
    <row r="312" spans="1:56" x14ac:dyDescent="0.25">
      <c r="A312" s="23">
        <v>46304</v>
      </c>
      <c r="B312">
        <v>311</v>
      </c>
      <c r="C312" t="s">
        <v>82</v>
      </c>
      <c r="D312" t="s">
        <v>92</v>
      </c>
      <c r="E312">
        <v>0</v>
      </c>
      <c r="F312">
        <v>180</v>
      </c>
      <c r="G312">
        <v>0</v>
      </c>
      <c r="H312" t="s">
        <v>84</v>
      </c>
      <c r="J312" t="s">
        <v>70</v>
      </c>
      <c r="L312" t="s">
        <v>71</v>
      </c>
      <c r="O312" t="s">
        <v>88</v>
      </c>
      <c r="P312" t="s">
        <v>89</v>
      </c>
      <c r="X312" t="s">
        <v>77</v>
      </c>
      <c r="Z312" t="s">
        <v>72</v>
      </c>
      <c r="AB312">
        <v>5</v>
      </c>
      <c r="AC312">
        <v>748703.67</v>
      </c>
      <c r="AD312">
        <v>8930453.0700000003</v>
      </c>
      <c r="AE312">
        <v>189.76</v>
      </c>
      <c r="AF312">
        <v>748706.14</v>
      </c>
      <c r="AG312">
        <v>8930452.0700000003</v>
      </c>
      <c r="AH312">
        <v>180</v>
      </c>
      <c r="AI312">
        <v>10.119999999999999</v>
      </c>
      <c r="AJ312">
        <v>0</v>
      </c>
      <c r="AK312">
        <v>1.5</v>
      </c>
      <c r="AL312">
        <v>0.8</v>
      </c>
      <c r="AM312">
        <v>112</v>
      </c>
      <c r="AN312">
        <v>15.29</v>
      </c>
      <c r="AO312">
        <v>0</v>
      </c>
      <c r="AP312">
        <v>2.95</v>
      </c>
      <c r="AQ312">
        <v>0.1</v>
      </c>
      <c r="AR312">
        <v>0.02</v>
      </c>
      <c r="AS312">
        <v>0.01</v>
      </c>
      <c r="AT312">
        <v>4.54</v>
      </c>
      <c r="AU312">
        <v>1.8</v>
      </c>
      <c r="AV312">
        <v>7.0000000000000007E-2</v>
      </c>
      <c r="AW312">
        <v>0.48</v>
      </c>
      <c r="AX312">
        <v>0.73</v>
      </c>
      <c r="AY312">
        <v>0</v>
      </c>
      <c r="AZ312">
        <v>0</v>
      </c>
      <c r="BA312">
        <v>0</v>
      </c>
      <c r="BB312">
        <v>0</v>
      </c>
      <c r="BC312">
        <v>0</v>
      </c>
      <c r="BD312">
        <v>0</v>
      </c>
    </row>
    <row r="313" spans="1:56" x14ac:dyDescent="0.25">
      <c r="A313" s="23">
        <v>46304</v>
      </c>
      <c r="B313">
        <v>312</v>
      </c>
      <c r="C313" t="s">
        <v>82</v>
      </c>
      <c r="D313" t="s">
        <v>92</v>
      </c>
      <c r="E313">
        <v>0</v>
      </c>
      <c r="F313">
        <v>180</v>
      </c>
      <c r="G313">
        <v>0</v>
      </c>
      <c r="H313" t="s">
        <v>84</v>
      </c>
      <c r="J313" t="s">
        <v>70</v>
      </c>
      <c r="L313" t="s">
        <v>71</v>
      </c>
      <c r="O313" t="s">
        <v>88</v>
      </c>
      <c r="P313" t="s">
        <v>89</v>
      </c>
      <c r="X313" t="s">
        <v>77</v>
      </c>
      <c r="Z313" t="s">
        <v>72</v>
      </c>
      <c r="AB313">
        <v>5</v>
      </c>
      <c r="AC313">
        <v>748704.24</v>
      </c>
      <c r="AD313">
        <v>8930454.4600000009</v>
      </c>
      <c r="AE313">
        <v>189.76</v>
      </c>
      <c r="AF313">
        <v>748706.74</v>
      </c>
      <c r="AG313">
        <v>8930453.5500000007</v>
      </c>
      <c r="AH313">
        <v>180</v>
      </c>
      <c r="AI313">
        <v>10.119999999999999</v>
      </c>
      <c r="AJ313">
        <v>0</v>
      </c>
      <c r="AK313">
        <v>1.5</v>
      </c>
      <c r="AL313">
        <v>0.8</v>
      </c>
      <c r="AM313">
        <v>109.88</v>
      </c>
      <c r="AN313">
        <v>15.28</v>
      </c>
      <c r="AO313">
        <v>0</v>
      </c>
      <c r="AP313">
        <v>2.95</v>
      </c>
      <c r="AQ313">
        <v>0.1</v>
      </c>
      <c r="AR313">
        <v>0.02</v>
      </c>
      <c r="AS313">
        <v>0.01</v>
      </c>
      <c r="AT313">
        <v>4.54</v>
      </c>
      <c r="AU313">
        <v>1.8</v>
      </c>
      <c r="AV313">
        <v>7.0000000000000007E-2</v>
      </c>
      <c r="AW313">
        <v>0.48</v>
      </c>
      <c r="AX313">
        <v>0.73</v>
      </c>
      <c r="AY313">
        <v>0</v>
      </c>
      <c r="AZ313">
        <v>0</v>
      </c>
      <c r="BA313">
        <v>0</v>
      </c>
      <c r="BB313">
        <v>0</v>
      </c>
      <c r="BC313">
        <v>0</v>
      </c>
      <c r="BD313">
        <v>0</v>
      </c>
    </row>
    <row r="314" spans="1:56" x14ac:dyDescent="0.25">
      <c r="A314" s="23">
        <v>46304</v>
      </c>
      <c r="B314">
        <v>313</v>
      </c>
      <c r="C314" t="s">
        <v>82</v>
      </c>
      <c r="D314" t="s">
        <v>92</v>
      </c>
      <c r="E314">
        <v>0</v>
      </c>
      <c r="F314">
        <v>180</v>
      </c>
      <c r="G314">
        <v>0</v>
      </c>
      <c r="H314" t="s">
        <v>84</v>
      </c>
      <c r="J314" t="s">
        <v>70</v>
      </c>
      <c r="L314" t="s">
        <v>71</v>
      </c>
      <c r="O314" t="s">
        <v>88</v>
      </c>
      <c r="P314" t="s">
        <v>89</v>
      </c>
      <c r="X314" t="s">
        <v>77</v>
      </c>
      <c r="Z314" t="s">
        <v>72</v>
      </c>
      <c r="AB314">
        <v>5</v>
      </c>
      <c r="AC314">
        <v>748704.76</v>
      </c>
      <c r="AD314">
        <v>8930455.8699999992</v>
      </c>
      <c r="AE314">
        <v>189.73</v>
      </c>
      <c r="AF314">
        <v>748707.29</v>
      </c>
      <c r="AG314">
        <v>8930455.0600000005</v>
      </c>
      <c r="AH314">
        <v>180</v>
      </c>
      <c r="AI314">
        <v>10.08</v>
      </c>
      <c r="AJ314">
        <v>0</v>
      </c>
      <c r="AK314">
        <v>1.5</v>
      </c>
      <c r="AL314">
        <v>0.8</v>
      </c>
      <c r="AM314">
        <v>107.61</v>
      </c>
      <c r="AN314">
        <v>15.26</v>
      </c>
      <c r="AO314">
        <v>0</v>
      </c>
      <c r="AP314">
        <v>2.97</v>
      </c>
      <c r="AQ314">
        <v>0.12</v>
      </c>
      <c r="AR314">
        <v>0.03</v>
      </c>
      <c r="AS314">
        <v>0.02</v>
      </c>
      <c r="AT314">
        <v>4.53</v>
      </c>
      <c r="AU314">
        <v>1.76</v>
      </c>
      <c r="AV314">
        <v>0.1</v>
      </c>
      <c r="AW314">
        <v>0.43</v>
      </c>
      <c r="AX314">
        <v>1.35</v>
      </c>
      <c r="AY314">
        <v>0</v>
      </c>
      <c r="AZ314">
        <v>0</v>
      </c>
      <c r="BA314">
        <v>0</v>
      </c>
      <c r="BB314">
        <v>0</v>
      </c>
      <c r="BC314">
        <v>0</v>
      </c>
      <c r="BD314">
        <v>0</v>
      </c>
    </row>
    <row r="315" spans="1:56" x14ac:dyDescent="0.25">
      <c r="A315" s="23">
        <v>46304</v>
      </c>
      <c r="B315">
        <v>314</v>
      </c>
      <c r="C315" t="s">
        <v>82</v>
      </c>
      <c r="D315" t="s">
        <v>92</v>
      </c>
      <c r="E315">
        <v>0</v>
      </c>
      <c r="F315">
        <v>180</v>
      </c>
      <c r="G315">
        <v>0</v>
      </c>
      <c r="H315" t="s">
        <v>84</v>
      </c>
      <c r="J315" t="s">
        <v>70</v>
      </c>
      <c r="L315" t="s">
        <v>71</v>
      </c>
      <c r="O315" t="s">
        <v>88</v>
      </c>
      <c r="P315" t="s">
        <v>89</v>
      </c>
      <c r="X315" t="s">
        <v>77</v>
      </c>
      <c r="Z315" t="s">
        <v>72</v>
      </c>
      <c r="AB315">
        <v>5</v>
      </c>
      <c r="AC315">
        <v>748705.2</v>
      </c>
      <c r="AD315">
        <v>8930457.3000000007</v>
      </c>
      <c r="AE315">
        <v>189.71</v>
      </c>
      <c r="AF315">
        <v>748707.74</v>
      </c>
      <c r="AG315">
        <v>8930456.5</v>
      </c>
      <c r="AH315">
        <v>180</v>
      </c>
      <c r="AI315">
        <v>10.07</v>
      </c>
      <c r="AJ315">
        <v>0</v>
      </c>
      <c r="AK315">
        <v>1.5</v>
      </c>
      <c r="AL315">
        <v>0.8</v>
      </c>
      <c r="AM315">
        <v>107.53</v>
      </c>
      <c r="AN315">
        <v>15.33</v>
      </c>
      <c r="AO315">
        <v>0</v>
      </c>
      <c r="AP315">
        <v>3.03</v>
      </c>
      <c r="AQ315">
        <v>0.2</v>
      </c>
      <c r="AR315">
        <v>0.03</v>
      </c>
      <c r="AS315">
        <v>0.03</v>
      </c>
      <c r="AT315">
        <v>5.8</v>
      </c>
      <c r="AU315">
        <v>2.21</v>
      </c>
      <c r="AV315">
        <v>0.16</v>
      </c>
      <c r="AW315">
        <v>0.49</v>
      </c>
      <c r="AX315">
        <v>2.6</v>
      </c>
      <c r="AY315">
        <v>0</v>
      </c>
      <c r="AZ315">
        <v>0</v>
      </c>
      <c r="BA315">
        <v>0</v>
      </c>
      <c r="BB315">
        <v>0</v>
      </c>
      <c r="BC315">
        <v>0</v>
      </c>
      <c r="BD315">
        <v>0</v>
      </c>
    </row>
    <row r="316" spans="1:56" x14ac:dyDescent="0.25">
      <c r="A316" s="23">
        <v>46304</v>
      </c>
      <c r="B316">
        <v>315</v>
      </c>
      <c r="C316" t="s">
        <v>82</v>
      </c>
      <c r="D316" t="s">
        <v>92</v>
      </c>
      <c r="E316">
        <v>0</v>
      </c>
      <c r="F316">
        <v>180</v>
      </c>
      <c r="G316">
        <v>0</v>
      </c>
      <c r="H316" t="s">
        <v>84</v>
      </c>
      <c r="J316" t="s">
        <v>85</v>
      </c>
      <c r="L316" t="s">
        <v>71</v>
      </c>
      <c r="O316" t="s">
        <v>88</v>
      </c>
      <c r="P316" t="s">
        <v>89</v>
      </c>
      <c r="X316" t="s">
        <v>77</v>
      </c>
      <c r="Z316" t="s">
        <v>72</v>
      </c>
      <c r="AB316">
        <v>5</v>
      </c>
      <c r="AC316">
        <v>748705.65</v>
      </c>
      <c r="AD316">
        <v>8930458.7300000004</v>
      </c>
      <c r="AE316">
        <v>189.75</v>
      </c>
      <c r="AF316">
        <v>748708.24</v>
      </c>
      <c r="AG316">
        <v>8930458.1199999992</v>
      </c>
      <c r="AH316">
        <v>180</v>
      </c>
      <c r="AI316">
        <v>10.11</v>
      </c>
      <c r="AJ316">
        <v>0</v>
      </c>
      <c r="AK316">
        <v>1.5</v>
      </c>
      <c r="AL316">
        <v>0.8</v>
      </c>
      <c r="AM316">
        <v>103.34</v>
      </c>
      <c r="AN316">
        <v>15.3</v>
      </c>
      <c r="AO316">
        <v>0</v>
      </c>
      <c r="AP316">
        <v>3.25</v>
      </c>
      <c r="AQ316">
        <v>0.42</v>
      </c>
      <c r="AR316">
        <v>7.0000000000000007E-2</v>
      </c>
      <c r="AS316">
        <v>0.06</v>
      </c>
      <c r="AT316">
        <v>11.7</v>
      </c>
      <c r="AU316">
        <v>4.49</v>
      </c>
      <c r="AV316">
        <v>0.39</v>
      </c>
      <c r="AW316">
        <v>0.86</v>
      </c>
      <c r="AX316">
        <v>6.27</v>
      </c>
      <c r="AY316">
        <v>0</v>
      </c>
      <c r="AZ316">
        <v>0</v>
      </c>
      <c r="BA316">
        <v>0</v>
      </c>
      <c r="BB316">
        <v>0</v>
      </c>
      <c r="BC316">
        <v>0</v>
      </c>
      <c r="BD316">
        <v>0</v>
      </c>
    </row>
    <row r="317" spans="1:56" x14ac:dyDescent="0.25">
      <c r="A317" s="23">
        <v>46304</v>
      </c>
      <c r="B317">
        <v>316</v>
      </c>
      <c r="C317" t="s">
        <v>82</v>
      </c>
      <c r="D317" t="s">
        <v>92</v>
      </c>
      <c r="E317">
        <v>0</v>
      </c>
      <c r="F317">
        <v>180</v>
      </c>
      <c r="G317">
        <v>0</v>
      </c>
      <c r="H317" t="s">
        <v>84</v>
      </c>
      <c r="J317" t="s">
        <v>85</v>
      </c>
      <c r="L317" t="s">
        <v>71</v>
      </c>
      <c r="O317" t="s">
        <v>88</v>
      </c>
      <c r="P317" t="s">
        <v>89</v>
      </c>
      <c r="X317" t="s">
        <v>77</v>
      </c>
      <c r="Z317" t="s">
        <v>72</v>
      </c>
      <c r="AB317">
        <v>5</v>
      </c>
      <c r="AC317">
        <v>748705.98</v>
      </c>
      <c r="AD317">
        <v>8930460.1899999995</v>
      </c>
      <c r="AE317">
        <v>189.8</v>
      </c>
      <c r="AF317">
        <v>748708.59</v>
      </c>
      <c r="AG317">
        <v>8930459.5800000001</v>
      </c>
      <c r="AH317">
        <v>180</v>
      </c>
      <c r="AI317">
        <v>10.16</v>
      </c>
      <c r="AJ317">
        <v>0</v>
      </c>
      <c r="AK317">
        <v>1.5</v>
      </c>
      <c r="AL317">
        <v>0.8</v>
      </c>
      <c r="AM317">
        <v>103.34</v>
      </c>
      <c r="AN317">
        <v>15.3</v>
      </c>
      <c r="AO317">
        <v>0</v>
      </c>
      <c r="AP317">
        <v>3.25</v>
      </c>
      <c r="AQ317">
        <v>0.42</v>
      </c>
      <c r="AR317">
        <v>7.0000000000000007E-2</v>
      </c>
      <c r="AS317">
        <v>0.06</v>
      </c>
      <c r="AT317">
        <v>11.7</v>
      </c>
      <c r="AU317">
        <v>4.49</v>
      </c>
      <c r="AV317">
        <v>0.39</v>
      </c>
      <c r="AW317">
        <v>0.86</v>
      </c>
      <c r="AX317">
        <v>6.27</v>
      </c>
      <c r="AY317">
        <v>0</v>
      </c>
      <c r="AZ317">
        <v>0</v>
      </c>
      <c r="BA317">
        <v>0</v>
      </c>
      <c r="BB317">
        <v>0</v>
      </c>
      <c r="BC317">
        <v>0</v>
      </c>
      <c r="BD317">
        <v>0</v>
      </c>
    </row>
    <row r="318" spans="1:56" x14ac:dyDescent="0.25">
      <c r="A318" s="23">
        <v>46304</v>
      </c>
      <c r="B318">
        <v>317</v>
      </c>
      <c r="C318" t="s">
        <v>82</v>
      </c>
      <c r="D318" t="s">
        <v>92</v>
      </c>
      <c r="E318">
        <v>0</v>
      </c>
      <c r="F318">
        <v>180</v>
      </c>
      <c r="G318">
        <v>0</v>
      </c>
      <c r="H318" t="s">
        <v>84</v>
      </c>
      <c r="J318" t="s">
        <v>85</v>
      </c>
      <c r="L318" t="s">
        <v>71</v>
      </c>
      <c r="O318" t="s">
        <v>88</v>
      </c>
      <c r="P318" t="s">
        <v>89</v>
      </c>
      <c r="X318" t="s">
        <v>77</v>
      </c>
      <c r="Z318" t="s">
        <v>72</v>
      </c>
      <c r="AB318">
        <v>5</v>
      </c>
      <c r="AC318">
        <v>748706.33</v>
      </c>
      <c r="AD318">
        <v>8930461.6500000004</v>
      </c>
      <c r="AE318">
        <v>189.84</v>
      </c>
      <c r="AF318">
        <v>748708.96</v>
      </c>
      <c r="AG318">
        <v>8930461.1300000008</v>
      </c>
      <c r="AH318">
        <v>180</v>
      </c>
      <c r="AI318">
        <v>10.199999999999999</v>
      </c>
      <c r="AJ318">
        <v>0</v>
      </c>
      <c r="AK318">
        <v>1.5</v>
      </c>
      <c r="AL318">
        <v>0.8</v>
      </c>
      <c r="AM318">
        <v>101.27</v>
      </c>
      <c r="AN318">
        <v>15.26</v>
      </c>
      <c r="AO318">
        <v>0</v>
      </c>
      <c r="AP318">
        <v>3.23</v>
      </c>
      <c r="AQ318">
        <v>0.4</v>
      </c>
      <c r="AR318">
        <v>0.06</v>
      </c>
      <c r="AS318">
        <v>0.05</v>
      </c>
      <c r="AT318">
        <v>11.61</v>
      </c>
      <c r="AU318">
        <v>4.55</v>
      </c>
      <c r="AV318">
        <v>0.43</v>
      </c>
      <c r="AW318">
        <v>0.79</v>
      </c>
      <c r="AX318">
        <v>6.7</v>
      </c>
      <c r="AY318">
        <v>0</v>
      </c>
      <c r="AZ318">
        <v>0</v>
      </c>
      <c r="BA318">
        <v>0</v>
      </c>
      <c r="BB318">
        <v>0</v>
      </c>
      <c r="BC318">
        <v>0</v>
      </c>
      <c r="BD318">
        <v>0</v>
      </c>
    </row>
    <row r="319" spans="1:56" x14ac:dyDescent="0.25">
      <c r="A319" s="23">
        <v>46304</v>
      </c>
      <c r="B319">
        <v>318</v>
      </c>
      <c r="C319" t="s">
        <v>82</v>
      </c>
      <c r="D319" t="s">
        <v>92</v>
      </c>
      <c r="E319">
        <v>0</v>
      </c>
      <c r="F319">
        <v>180</v>
      </c>
      <c r="G319">
        <v>0</v>
      </c>
      <c r="H319" t="s">
        <v>84</v>
      </c>
      <c r="J319" t="s">
        <v>85</v>
      </c>
      <c r="L319" t="s">
        <v>71</v>
      </c>
      <c r="O319" t="s">
        <v>88</v>
      </c>
      <c r="P319" t="s">
        <v>89</v>
      </c>
      <c r="X319" t="s">
        <v>77</v>
      </c>
      <c r="Z319" t="s">
        <v>72</v>
      </c>
      <c r="AB319">
        <v>5</v>
      </c>
      <c r="AC319">
        <v>748706.62</v>
      </c>
      <c r="AD319">
        <v>8930463.1199999992</v>
      </c>
      <c r="AE319">
        <v>189.91</v>
      </c>
      <c r="AF319">
        <v>748709.27</v>
      </c>
      <c r="AG319">
        <v>8930462.6999999993</v>
      </c>
      <c r="AH319">
        <v>180</v>
      </c>
      <c r="AI319">
        <v>10.27</v>
      </c>
      <c r="AJ319">
        <v>0</v>
      </c>
      <c r="AK319">
        <v>1.5</v>
      </c>
      <c r="AL319">
        <v>0.8</v>
      </c>
      <c r="AM319">
        <v>99.17</v>
      </c>
      <c r="AN319">
        <v>15.14</v>
      </c>
      <c r="AO319">
        <v>0</v>
      </c>
      <c r="AP319">
        <v>3.23</v>
      </c>
      <c r="AQ319">
        <v>0.4</v>
      </c>
      <c r="AR319">
        <v>0.06</v>
      </c>
      <c r="AS319">
        <v>0.05</v>
      </c>
      <c r="AT319">
        <v>11.72</v>
      </c>
      <c r="AU319">
        <v>4.59</v>
      </c>
      <c r="AV319">
        <v>0.43</v>
      </c>
      <c r="AW319">
        <v>0.81</v>
      </c>
      <c r="AX319">
        <v>6.78</v>
      </c>
      <c r="AY319">
        <v>0</v>
      </c>
      <c r="AZ319">
        <v>0</v>
      </c>
      <c r="BA319">
        <v>0</v>
      </c>
      <c r="BB319">
        <v>0</v>
      </c>
      <c r="BC319">
        <v>0</v>
      </c>
      <c r="BD319">
        <v>0</v>
      </c>
    </row>
    <row r="320" spans="1:56" x14ac:dyDescent="0.25">
      <c r="A320" s="23">
        <v>46304</v>
      </c>
      <c r="B320">
        <v>319</v>
      </c>
      <c r="C320" t="s">
        <v>82</v>
      </c>
      <c r="D320" t="s">
        <v>92</v>
      </c>
      <c r="E320">
        <v>0</v>
      </c>
      <c r="F320">
        <v>180</v>
      </c>
      <c r="G320">
        <v>1</v>
      </c>
      <c r="H320" t="s">
        <v>84</v>
      </c>
      <c r="J320" t="s">
        <v>85</v>
      </c>
      <c r="L320" t="s">
        <v>71</v>
      </c>
      <c r="O320" t="s">
        <v>88</v>
      </c>
      <c r="P320" t="s">
        <v>89</v>
      </c>
      <c r="X320" t="s">
        <v>77</v>
      </c>
      <c r="Z320" t="s">
        <v>72</v>
      </c>
      <c r="AB320">
        <v>5</v>
      </c>
      <c r="AC320">
        <v>748706.86</v>
      </c>
      <c r="AD320">
        <v>8930464.6099999994</v>
      </c>
      <c r="AE320">
        <v>189.95</v>
      </c>
      <c r="AF320">
        <v>748709.51</v>
      </c>
      <c r="AG320">
        <v>8930464.1799999997</v>
      </c>
      <c r="AH320">
        <v>180</v>
      </c>
      <c r="AI320">
        <v>10.31</v>
      </c>
      <c r="AJ320">
        <v>0</v>
      </c>
      <c r="AK320">
        <v>1.5</v>
      </c>
      <c r="AL320">
        <v>0.8</v>
      </c>
      <c r="AM320">
        <v>99.17</v>
      </c>
      <c r="AN320">
        <v>15.06</v>
      </c>
      <c r="AO320">
        <v>0</v>
      </c>
      <c r="AP320">
        <v>3.23</v>
      </c>
      <c r="AQ320">
        <v>0.4</v>
      </c>
      <c r="AR320">
        <v>0.06</v>
      </c>
      <c r="AS320">
        <v>0.05</v>
      </c>
      <c r="AT320">
        <v>11.72</v>
      </c>
      <c r="AU320">
        <v>4.59</v>
      </c>
      <c r="AV320">
        <v>0.43</v>
      </c>
      <c r="AW320">
        <v>0.81</v>
      </c>
      <c r="AX320">
        <v>6.78</v>
      </c>
      <c r="AY320">
        <v>0</v>
      </c>
      <c r="AZ320">
        <v>0</v>
      </c>
      <c r="BA320">
        <v>0</v>
      </c>
      <c r="BB320">
        <v>0</v>
      </c>
      <c r="BC320">
        <v>0</v>
      </c>
      <c r="BD320">
        <v>0</v>
      </c>
    </row>
    <row r="321" spans="1:56" x14ac:dyDescent="0.25">
      <c r="A321" s="23">
        <v>46304</v>
      </c>
      <c r="B321">
        <v>320</v>
      </c>
      <c r="C321" t="s">
        <v>82</v>
      </c>
      <c r="D321" t="s">
        <v>92</v>
      </c>
      <c r="E321">
        <v>2</v>
      </c>
      <c r="F321">
        <v>180</v>
      </c>
      <c r="G321">
        <v>1</v>
      </c>
      <c r="H321" t="s">
        <v>84</v>
      </c>
      <c r="I321" t="s">
        <v>91</v>
      </c>
      <c r="J321" t="s">
        <v>85</v>
      </c>
      <c r="K321" t="s">
        <v>79</v>
      </c>
      <c r="L321" t="s">
        <v>71</v>
      </c>
      <c r="M321" t="s">
        <v>81</v>
      </c>
      <c r="O321" t="s">
        <v>88</v>
      </c>
      <c r="P321" t="s">
        <v>89</v>
      </c>
      <c r="X321" t="s">
        <v>77</v>
      </c>
      <c r="Z321" t="s">
        <v>72</v>
      </c>
      <c r="AB321">
        <v>5</v>
      </c>
      <c r="AC321">
        <v>748707.11</v>
      </c>
      <c r="AD321">
        <v>8930466.0899999999</v>
      </c>
      <c r="AE321">
        <v>189.99</v>
      </c>
      <c r="AF321">
        <v>748709.77</v>
      </c>
      <c r="AG321">
        <v>8930465.8300000001</v>
      </c>
      <c r="AH321">
        <v>180</v>
      </c>
      <c r="AI321">
        <v>10.34</v>
      </c>
      <c r="AJ321">
        <v>0</v>
      </c>
      <c r="AK321">
        <v>1.5</v>
      </c>
      <c r="AL321">
        <v>0.8</v>
      </c>
      <c r="AM321">
        <v>95.39</v>
      </c>
      <c r="AN321">
        <v>15.02</v>
      </c>
      <c r="AO321">
        <v>0</v>
      </c>
      <c r="AP321">
        <v>3.23</v>
      </c>
      <c r="AQ321">
        <v>0.4</v>
      </c>
      <c r="AR321">
        <v>0.06</v>
      </c>
      <c r="AS321">
        <v>0.05</v>
      </c>
      <c r="AT321">
        <v>11.72</v>
      </c>
      <c r="AU321">
        <v>4.59</v>
      </c>
      <c r="AV321">
        <v>0.43</v>
      </c>
      <c r="AW321">
        <v>0.81</v>
      </c>
      <c r="AX321">
        <v>6.78</v>
      </c>
      <c r="AY321">
        <v>0</v>
      </c>
      <c r="AZ321">
        <v>0</v>
      </c>
      <c r="BA321">
        <v>0</v>
      </c>
      <c r="BB321">
        <v>0</v>
      </c>
      <c r="BC321">
        <v>0</v>
      </c>
      <c r="BD321">
        <v>0</v>
      </c>
    </row>
    <row r="322" spans="1:56" x14ac:dyDescent="0.25">
      <c r="A322" s="23">
        <v>46304</v>
      </c>
      <c r="B322">
        <v>321</v>
      </c>
      <c r="C322" t="s">
        <v>82</v>
      </c>
      <c r="D322" t="s">
        <v>92</v>
      </c>
      <c r="E322">
        <v>2</v>
      </c>
      <c r="F322">
        <v>180</v>
      </c>
      <c r="G322">
        <v>1</v>
      </c>
      <c r="H322" t="s">
        <v>84</v>
      </c>
      <c r="I322" t="s">
        <v>91</v>
      </c>
      <c r="J322" t="s">
        <v>85</v>
      </c>
      <c r="K322" t="s">
        <v>79</v>
      </c>
      <c r="L322" t="s">
        <v>71</v>
      </c>
      <c r="M322" t="s">
        <v>81</v>
      </c>
      <c r="O322" t="s">
        <v>88</v>
      </c>
      <c r="P322" t="s">
        <v>89</v>
      </c>
      <c r="X322" t="s">
        <v>77</v>
      </c>
      <c r="Z322" t="s">
        <v>72</v>
      </c>
      <c r="AB322">
        <v>5</v>
      </c>
      <c r="AC322">
        <v>748707.25</v>
      </c>
      <c r="AD322">
        <v>8930467.5800000001</v>
      </c>
      <c r="AE322">
        <v>190.02</v>
      </c>
      <c r="AF322">
        <v>748709.91</v>
      </c>
      <c r="AG322">
        <v>8930467.3399999999</v>
      </c>
      <c r="AH322">
        <v>180</v>
      </c>
      <c r="AI322">
        <v>10.37</v>
      </c>
      <c r="AJ322">
        <v>0</v>
      </c>
      <c r="AK322">
        <v>1.5</v>
      </c>
      <c r="AL322">
        <v>0.8</v>
      </c>
      <c r="AM322">
        <v>95.09</v>
      </c>
      <c r="AN322">
        <v>14.93</v>
      </c>
      <c r="AO322">
        <v>0</v>
      </c>
      <c r="AP322">
        <v>3.23</v>
      </c>
      <c r="AQ322">
        <v>0.4</v>
      </c>
      <c r="AR322">
        <v>0.06</v>
      </c>
      <c r="AS322">
        <v>0.05</v>
      </c>
      <c r="AT322">
        <v>11.77</v>
      </c>
      <c r="AU322">
        <v>4.6100000000000003</v>
      </c>
      <c r="AV322">
        <v>0.42</v>
      </c>
      <c r="AW322">
        <v>0.83</v>
      </c>
      <c r="AX322">
        <v>6.83</v>
      </c>
      <c r="AY322">
        <v>0</v>
      </c>
      <c r="AZ322">
        <v>0</v>
      </c>
      <c r="BA322">
        <v>0</v>
      </c>
      <c r="BB322">
        <v>0</v>
      </c>
      <c r="BC322">
        <v>0</v>
      </c>
      <c r="BD322">
        <v>0</v>
      </c>
    </row>
    <row r="323" spans="1:56" x14ac:dyDescent="0.25">
      <c r="A323" s="23">
        <v>46304</v>
      </c>
      <c r="B323">
        <v>322</v>
      </c>
      <c r="C323" t="s">
        <v>82</v>
      </c>
      <c r="D323" t="s">
        <v>92</v>
      </c>
      <c r="E323">
        <v>2</v>
      </c>
      <c r="F323">
        <v>180</v>
      </c>
      <c r="G323">
        <v>1</v>
      </c>
      <c r="H323" t="s">
        <v>84</v>
      </c>
      <c r="I323" t="s">
        <v>91</v>
      </c>
      <c r="J323" t="s">
        <v>85</v>
      </c>
      <c r="K323" t="s">
        <v>86</v>
      </c>
      <c r="L323" t="s">
        <v>71</v>
      </c>
      <c r="M323" t="s">
        <v>87</v>
      </c>
      <c r="O323" t="s">
        <v>88</v>
      </c>
      <c r="P323" t="s">
        <v>89</v>
      </c>
      <c r="X323" t="s">
        <v>77</v>
      </c>
      <c r="Z323" t="s">
        <v>72</v>
      </c>
      <c r="AB323">
        <v>5</v>
      </c>
      <c r="AC323">
        <v>748707.38</v>
      </c>
      <c r="AD323">
        <v>8930469.0700000003</v>
      </c>
      <c r="AE323">
        <v>190.02</v>
      </c>
      <c r="AF323">
        <v>748710</v>
      </c>
      <c r="AG323">
        <v>8930468.3800000008</v>
      </c>
      <c r="AH323">
        <v>180</v>
      </c>
      <c r="AI323">
        <v>10.38</v>
      </c>
      <c r="AJ323">
        <v>0</v>
      </c>
      <c r="AK323">
        <v>1.5</v>
      </c>
      <c r="AL323">
        <v>0.8</v>
      </c>
      <c r="AM323">
        <v>104.8</v>
      </c>
      <c r="AN323">
        <v>15.15</v>
      </c>
      <c r="AO323">
        <v>0</v>
      </c>
      <c r="AP323">
        <v>3.23</v>
      </c>
      <c r="AQ323">
        <v>0.41</v>
      </c>
      <c r="AR323">
        <v>0.06</v>
      </c>
      <c r="AS323">
        <v>0.05</v>
      </c>
      <c r="AT323">
        <v>11.83</v>
      </c>
      <c r="AU323">
        <v>4.6399999999999997</v>
      </c>
      <c r="AV323">
        <v>0.42</v>
      </c>
      <c r="AW323">
        <v>0.85</v>
      </c>
      <c r="AX323">
        <v>6.88</v>
      </c>
      <c r="AY323">
        <v>0</v>
      </c>
      <c r="AZ323">
        <v>0</v>
      </c>
      <c r="BA323">
        <v>0</v>
      </c>
      <c r="BB323">
        <v>0</v>
      </c>
      <c r="BC323">
        <v>0</v>
      </c>
      <c r="BD323">
        <v>0</v>
      </c>
    </row>
    <row r="324" spans="1:56" x14ac:dyDescent="0.25">
      <c r="A324" s="23">
        <v>46304</v>
      </c>
      <c r="B324">
        <v>323</v>
      </c>
      <c r="C324" t="s">
        <v>82</v>
      </c>
      <c r="D324" t="s">
        <v>92</v>
      </c>
      <c r="E324">
        <v>2</v>
      </c>
      <c r="F324">
        <v>180</v>
      </c>
      <c r="G324">
        <v>1</v>
      </c>
      <c r="H324" t="s">
        <v>84</v>
      </c>
      <c r="I324" t="s">
        <v>91</v>
      </c>
      <c r="J324" t="s">
        <v>85</v>
      </c>
      <c r="K324" t="s">
        <v>86</v>
      </c>
      <c r="L324" t="s">
        <v>71</v>
      </c>
      <c r="M324" t="s">
        <v>87</v>
      </c>
      <c r="O324" t="s">
        <v>88</v>
      </c>
      <c r="P324" t="s">
        <v>89</v>
      </c>
      <c r="X324" t="s">
        <v>77</v>
      </c>
      <c r="Z324" t="s">
        <v>72</v>
      </c>
      <c r="AB324">
        <v>5</v>
      </c>
      <c r="AC324">
        <v>748707.76</v>
      </c>
      <c r="AD324">
        <v>8930470.5199999996</v>
      </c>
      <c r="AE324">
        <v>189.96</v>
      </c>
      <c r="AF324">
        <v>748710.31</v>
      </c>
      <c r="AG324">
        <v>8930469.7200000007</v>
      </c>
      <c r="AH324">
        <v>180</v>
      </c>
      <c r="AI324">
        <v>10.31</v>
      </c>
      <c r="AJ324">
        <v>0</v>
      </c>
      <c r="AK324">
        <v>1.5</v>
      </c>
      <c r="AL324">
        <v>0.8</v>
      </c>
      <c r="AM324">
        <v>107.44</v>
      </c>
      <c r="AN324">
        <v>15.03</v>
      </c>
      <c r="AO324">
        <v>0</v>
      </c>
      <c r="AP324">
        <v>3.23</v>
      </c>
      <c r="AQ324">
        <v>0.4</v>
      </c>
      <c r="AR324">
        <v>0.06</v>
      </c>
      <c r="AS324">
        <v>0.05</v>
      </c>
      <c r="AT324">
        <v>11.72</v>
      </c>
      <c r="AU324">
        <v>4.54</v>
      </c>
      <c r="AV324">
        <v>0.41</v>
      </c>
      <c r="AW324">
        <v>0.85</v>
      </c>
      <c r="AX324">
        <v>6.88</v>
      </c>
      <c r="AY324">
        <v>0</v>
      </c>
      <c r="AZ324">
        <v>0</v>
      </c>
      <c r="BA324">
        <v>0</v>
      </c>
      <c r="BB324">
        <v>0</v>
      </c>
      <c r="BC324">
        <v>0</v>
      </c>
      <c r="BD324">
        <v>0</v>
      </c>
    </row>
    <row r="325" spans="1:56" x14ac:dyDescent="0.25">
      <c r="A325" s="23">
        <v>46304</v>
      </c>
      <c r="B325">
        <v>324</v>
      </c>
      <c r="C325" t="s">
        <v>82</v>
      </c>
      <c r="D325" t="s">
        <v>92</v>
      </c>
      <c r="E325">
        <v>2</v>
      </c>
      <c r="F325">
        <v>180</v>
      </c>
      <c r="G325">
        <v>1</v>
      </c>
      <c r="H325" t="s">
        <v>84</v>
      </c>
      <c r="I325" t="s">
        <v>91</v>
      </c>
      <c r="J325" t="s">
        <v>85</v>
      </c>
      <c r="K325" t="s">
        <v>86</v>
      </c>
      <c r="L325" t="s">
        <v>71</v>
      </c>
      <c r="M325" t="s">
        <v>87</v>
      </c>
      <c r="O325" t="s">
        <v>88</v>
      </c>
      <c r="P325" t="s">
        <v>89</v>
      </c>
      <c r="X325" t="s">
        <v>77</v>
      </c>
      <c r="Z325" t="s">
        <v>72</v>
      </c>
      <c r="AB325">
        <v>5</v>
      </c>
      <c r="AC325">
        <v>748708.21</v>
      </c>
      <c r="AD325">
        <v>8930471.9499999993</v>
      </c>
      <c r="AE325">
        <v>189.95</v>
      </c>
      <c r="AF325">
        <v>748710.77</v>
      </c>
      <c r="AG325">
        <v>8930471.1699999999</v>
      </c>
      <c r="AH325">
        <v>180</v>
      </c>
      <c r="AI325">
        <v>10.31</v>
      </c>
      <c r="AJ325">
        <v>0</v>
      </c>
      <c r="AK325">
        <v>1.5</v>
      </c>
      <c r="AL325">
        <v>0.8</v>
      </c>
      <c r="AM325">
        <v>106.97</v>
      </c>
      <c r="AN325">
        <v>15.05</v>
      </c>
      <c r="AO325">
        <v>0</v>
      </c>
      <c r="AP325">
        <v>3.24</v>
      </c>
      <c r="AQ325">
        <v>0.43</v>
      </c>
      <c r="AR325">
        <v>7.0000000000000007E-2</v>
      </c>
      <c r="AS325">
        <v>0.05</v>
      </c>
      <c r="AT325">
        <v>11.97</v>
      </c>
      <c r="AU325">
        <v>4.45</v>
      </c>
      <c r="AV325">
        <v>0.36</v>
      </c>
      <c r="AW325">
        <v>1.08</v>
      </c>
      <c r="AX325">
        <v>7.26</v>
      </c>
      <c r="AY325">
        <v>0</v>
      </c>
      <c r="AZ325">
        <v>0</v>
      </c>
      <c r="BA325">
        <v>0</v>
      </c>
      <c r="BB325">
        <v>0</v>
      </c>
      <c r="BC325">
        <v>0</v>
      </c>
      <c r="BD325">
        <v>0</v>
      </c>
    </row>
    <row r="326" spans="1:56" x14ac:dyDescent="0.25">
      <c r="A326" s="23">
        <v>46304</v>
      </c>
      <c r="B326">
        <v>325</v>
      </c>
      <c r="C326" t="s">
        <v>82</v>
      </c>
      <c r="D326" t="s">
        <v>92</v>
      </c>
      <c r="E326">
        <v>2</v>
      </c>
      <c r="F326">
        <v>180</v>
      </c>
      <c r="G326">
        <v>1</v>
      </c>
      <c r="H326" t="s">
        <v>84</v>
      </c>
      <c r="I326" t="s">
        <v>91</v>
      </c>
      <c r="J326" t="s">
        <v>85</v>
      </c>
      <c r="K326" t="s">
        <v>86</v>
      </c>
      <c r="L326" t="s">
        <v>71</v>
      </c>
      <c r="M326" t="s">
        <v>87</v>
      </c>
      <c r="O326" t="s">
        <v>88</v>
      </c>
      <c r="P326" t="s">
        <v>89</v>
      </c>
      <c r="X326" t="s">
        <v>77</v>
      </c>
      <c r="Z326" t="s">
        <v>72</v>
      </c>
      <c r="AB326">
        <v>5</v>
      </c>
      <c r="AC326">
        <v>748708.65</v>
      </c>
      <c r="AD326">
        <v>8930473.3900000006</v>
      </c>
      <c r="AE326">
        <v>189.94</v>
      </c>
      <c r="AF326">
        <v>748711.21</v>
      </c>
      <c r="AG326">
        <v>8930472.5999999996</v>
      </c>
      <c r="AH326">
        <v>180</v>
      </c>
      <c r="AI326">
        <v>10.29</v>
      </c>
      <c r="AJ326">
        <v>0</v>
      </c>
      <c r="AK326">
        <v>1.5</v>
      </c>
      <c r="AL326">
        <v>0.8</v>
      </c>
      <c r="AM326">
        <v>107.14</v>
      </c>
      <c r="AN326">
        <v>15.07</v>
      </c>
      <c r="AO326">
        <v>0</v>
      </c>
      <c r="AP326">
        <v>3.25</v>
      </c>
      <c r="AQ326">
        <v>0.45</v>
      </c>
      <c r="AR326">
        <v>7.0000000000000007E-2</v>
      </c>
      <c r="AS326">
        <v>0.06</v>
      </c>
      <c r="AT326">
        <v>12.35</v>
      </c>
      <c r="AU326">
        <v>4.63</v>
      </c>
      <c r="AV326">
        <v>0.34</v>
      </c>
      <c r="AW326">
        <v>1.2</v>
      </c>
      <c r="AX326">
        <v>7.5</v>
      </c>
      <c r="AY326">
        <v>0</v>
      </c>
      <c r="AZ326">
        <v>0</v>
      </c>
      <c r="BA326">
        <v>0</v>
      </c>
      <c r="BB326">
        <v>0</v>
      </c>
      <c r="BC326">
        <v>0</v>
      </c>
      <c r="BD326">
        <v>0</v>
      </c>
    </row>
    <row r="327" spans="1:56" x14ac:dyDescent="0.25">
      <c r="A327" s="23">
        <v>46304</v>
      </c>
      <c r="B327">
        <v>326</v>
      </c>
      <c r="C327" t="s">
        <v>82</v>
      </c>
      <c r="D327" t="s">
        <v>92</v>
      </c>
      <c r="E327">
        <v>2</v>
      </c>
      <c r="F327">
        <v>180</v>
      </c>
      <c r="G327">
        <v>1</v>
      </c>
      <c r="H327" t="s">
        <v>84</v>
      </c>
      <c r="I327" t="s">
        <v>91</v>
      </c>
      <c r="J327" t="s">
        <v>85</v>
      </c>
      <c r="K327" t="s">
        <v>86</v>
      </c>
      <c r="L327" t="s">
        <v>71</v>
      </c>
      <c r="M327" t="s">
        <v>87</v>
      </c>
      <c r="O327" t="s">
        <v>88</v>
      </c>
      <c r="P327" t="s">
        <v>89</v>
      </c>
      <c r="X327" t="s">
        <v>77</v>
      </c>
      <c r="Z327" t="s">
        <v>72</v>
      </c>
      <c r="AB327">
        <v>5</v>
      </c>
      <c r="AC327">
        <v>748709.09</v>
      </c>
      <c r="AD327">
        <v>8930474.8200000003</v>
      </c>
      <c r="AE327">
        <v>189.95</v>
      </c>
      <c r="AF327">
        <v>748711.64</v>
      </c>
      <c r="AG327">
        <v>8930474</v>
      </c>
      <c r="AH327">
        <v>180</v>
      </c>
      <c r="AI327">
        <v>10.3</v>
      </c>
      <c r="AJ327">
        <v>0</v>
      </c>
      <c r="AK327">
        <v>1.5</v>
      </c>
      <c r="AL327">
        <v>0.8</v>
      </c>
      <c r="AM327">
        <v>107.87</v>
      </c>
      <c r="AN327">
        <v>15.06</v>
      </c>
      <c r="AO327">
        <v>0</v>
      </c>
      <c r="AP327">
        <v>3.26</v>
      </c>
      <c r="AQ327">
        <v>0.48</v>
      </c>
      <c r="AR327">
        <v>0.08</v>
      </c>
      <c r="AS327">
        <v>0.06</v>
      </c>
      <c r="AT327">
        <v>12.9</v>
      </c>
      <c r="AU327">
        <v>4.87</v>
      </c>
      <c r="AV327">
        <v>0.33</v>
      </c>
      <c r="AW327">
        <v>1.35</v>
      </c>
      <c r="AX327">
        <v>7.85</v>
      </c>
      <c r="AY327">
        <v>0</v>
      </c>
      <c r="AZ327">
        <v>0</v>
      </c>
      <c r="BA327">
        <v>0</v>
      </c>
      <c r="BB327">
        <v>0</v>
      </c>
      <c r="BC327">
        <v>0</v>
      </c>
      <c r="BD327">
        <v>0</v>
      </c>
    </row>
    <row r="328" spans="1:56" x14ac:dyDescent="0.25">
      <c r="A328" s="23">
        <v>46304</v>
      </c>
      <c r="B328">
        <v>327</v>
      </c>
      <c r="C328" t="s">
        <v>82</v>
      </c>
      <c r="D328" t="s">
        <v>92</v>
      </c>
      <c r="E328">
        <v>2</v>
      </c>
      <c r="F328">
        <v>180</v>
      </c>
      <c r="G328">
        <v>1</v>
      </c>
      <c r="H328" t="s">
        <v>84</v>
      </c>
      <c r="I328" t="s">
        <v>91</v>
      </c>
      <c r="J328" t="s">
        <v>85</v>
      </c>
      <c r="K328" t="s">
        <v>86</v>
      </c>
      <c r="L328" t="s">
        <v>71</v>
      </c>
      <c r="M328" t="s">
        <v>87</v>
      </c>
      <c r="O328" t="s">
        <v>88</v>
      </c>
      <c r="P328" t="s">
        <v>89</v>
      </c>
      <c r="X328" t="s">
        <v>77</v>
      </c>
      <c r="Z328" t="s">
        <v>72</v>
      </c>
      <c r="AB328">
        <v>5</v>
      </c>
      <c r="AC328">
        <v>748709.55</v>
      </c>
      <c r="AD328">
        <v>8930476.25</v>
      </c>
      <c r="AE328">
        <v>189.97</v>
      </c>
      <c r="AF328">
        <v>748712.09</v>
      </c>
      <c r="AG328">
        <v>8930475.4199999999</v>
      </c>
      <c r="AH328">
        <v>180</v>
      </c>
      <c r="AI328">
        <v>10.32</v>
      </c>
      <c r="AJ328">
        <v>0</v>
      </c>
      <c r="AK328">
        <v>1.5</v>
      </c>
      <c r="AL328">
        <v>0.8</v>
      </c>
      <c r="AM328">
        <v>108.08</v>
      </c>
      <c r="AN328">
        <v>15.02</v>
      </c>
      <c r="AO328">
        <v>0</v>
      </c>
      <c r="AP328">
        <v>3.27</v>
      </c>
      <c r="AQ328">
        <v>0.51</v>
      </c>
      <c r="AR328">
        <v>0.08</v>
      </c>
      <c r="AS328">
        <v>0.06</v>
      </c>
      <c r="AT328">
        <v>13.62</v>
      </c>
      <c r="AU328">
        <v>5.18</v>
      </c>
      <c r="AV328">
        <v>0.32</v>
      </c>
      <c r="AW328">
        <v>1.51</v>
      </c>
      <c r="AX328">
        <v>8.2899999999999991</v>
      </c>
      <c r="AY328">
        <v>0</v>
      </c>
      <c r="AZ328">
        <v>0</v>
      </c>
      <c r="BA328">
        <v>0</v>
      </c>
      <c r="BB328">
        <v>0</v>
      </c>
      <c r="BC328">
        <v>0</v>
      </c>
      <c r="BD328">
        <v>0</v>
      </c>
    </row>
    <row r="329" spans="1:56" x14ac:dyDescent="0.25">
      <c r="A329" s="23">
        <v>46304</v>
      </c>
      <c r="B329">
        <v>328</v>
      </c>
      <c r="C329" t="s">
        <v>82</v>
      </c>
      <c r="D329" t="s">
        <v>92</v>
      </c>
      <c r="E329">
        <v>2</v>
      </c>
      <c r="F329">
        <v>180</v>
      </c>
      <c r="G329">
        <v>1</v>
      </c>
      <c r="H329" t="s">
        <v>84</v>
      </c>
      <c r="I329" t="s">
        <v>91</v>
      </c>
      <c r="J329" t="s">
        <v>85</v>
      </c>
      <c r="K329" t="s">
        <v>86</v>
      </c>
      <c r="L329" t="s">
        <v>71</v>
      </c>
      <c r="M329" t="s">
        <v>87</v>
      </c>
      <c r="O329" t="s">
        <v>88</v>
      </c>
      <c r="P329" t="s">
        <v>89</v>
      </c>
      <c r="X329" t="s">
        <v>77</v>
      </c>
      <c r="Z329" t="s">
        <v>72</v>
      </c>
      <c r="AB329">
        <v>5</v>
      </c>
      <c r="AC329">
        <v>748710.01</v>
      </c>
      <c r="AD329">
        <v>8930477.6799999997</v>
      </c>
      <c r="AE329">
        <v>189.96</v>
      </c>
      <c r="AF329">
        <v>748712.52</v>
      </c>
      <c r="AG329">
        <v>8930476.7300000004</v>
      </c>
      <c r="AH329">
        <v>180</v>
      </c>
      <c r="AI329">
        <v>10.31</v>
      </c>
      <c r="AJ329">
        <v>0</v>
      </c>
      <c r="AK329">
        <v>1.5</v>
      </c>
      <c r="AL329">
        <v>0.8</v>
      </c>
      <c r="AM329">
        <v>110.64</v>
      </c>
      <c r="AN329">
        <v>15.07</v>
      </c>
      <c r="AO329">
        <v>0</v>
      </c>
      <c r="AP329">
        <v>3.27</v>
      </c>
      <c r="AQ329">
        <v>0.51</v>
      </c>
      <c r="AR329">
        <v>0.08</v>
      </c>
      <c r="AS329">
        <v>0.06</v>
      </c>
      <c r="AT329">
        <v>13.62</v>
      </c>
      <c r="AU329">
        <v>5.18</v>
      </c>
      <c r="AV329">
        <v>0.32</v>
      </c>
      <c r="AW329">
        <v>1.51</v>
      </c>
      <c r="AX329">
        <v>8.2899999999999991</v>
      </c>
      <c r="AY329">
        <v>0</v>
      </c>
      <c r="AZ329">
        <v>0</v>
      </c>
      <c r="BA329">
        <v>0</v>
      </c>
      <c r="BB329">
        <v>0</v>
      </c>
      <c r="BC329">
        <v>0</v>
      </c>
      <c r="BD329">
        <v>0</v>
      </c>
    </row>
    <row r="330" spans="1:56" x14ac:dyDescent="0.25">
      <c r="A330" s="23">
        <v>46304</v>
      </c>
      <c r="B330">
        <v>329</v>
      </c>
      <c r="C330" t="s">
        <v>82</v>
      </c>
      <c r="D330" t="s">
        <v>92</v>
      </c>
      <c r="E330">
        <v>2</v>
      </c>
      <c r="F330">
        <v>180</v>
      </c>
      <c r="G330">
        <v>1</v>
      </c>
      <c r="H330" t="s">
        <v>84</v>
      </c>
      <c r="I330" t="s">
        <v>91</v>
      </c>
      <c r="J330" t="s">
        <v>85</v>
      </c>
      <c r="K330" t="s">
        <v>86</v>
      </c>
      <c r="L330" t="s">
        <v>71</v>
      </c>
      <c r="M330" t="s">
        <v>87</v>
      </c>
      <c r="O330" t="s">
        <v>88</v>
      </c>
      <c r="P330" t="s">
        <v>89</v>
      </c>
      <c r="X330" t="s">
        <v>77</v>
      </c>
      <c r="Z330" t="s">
        <v>72</v>
      </c>
      <c r="AB330">
        <v>5</v>
      </c>
      <c r="AC330">
        <v>748710.54</v>
      </c>
      <c r="AD330">
        <v>8930479.0800000001</v>
      </c>
      <c r="AE330">
        <v>189.9</v>
      </c>
      <c r="AF330">
        <v>748712.98</v>
      </c>
      <c r="AG330">
        <v>8930477.9700000007</v>
      </c>
      <c r="AH330">
        <v>180</v>
      </c>
      <c r="AI330">
        <v>10.26</v>
      </c>
      <c r="AJ330">
        <v>0</v>
      </c>
      <c r="AK330">
        <v>1.5</v>
      </c>
      <c r="AL330">
        <v>0.8</v>
      </c>
      <c r="AM330">
        <v>114.44</v>
      </c>
      <c r="AN330">
        <v>15.16</v>
      </c>
      <c r="AO330">
        <v>0</v>
      </c>
      <c r="AP330">
        <v>3.27</v>
      </c>
      <c r="AQ330">
        <v>0.51</v>
      </c>
      <c r="AR330">
        <v>0.08</v>
      </c>
      <c r="AS330">
        <v>0.06</v>
      </c>
      <c r="AT330">
        <v>13.62</v>
      </c>
      <c r="AU330">
        <v>5.18</v>
      </c>
      <c r="AV330">
        <v>0.32</v>
      </c>
      <c r="AW330">
        <v>1.51</v>
      </c>
      <c r="AX330">
        <v>8.2899999999999991</v>
      </c>
      <c r="AY330">
        <v>0</v>
      </c>
      <c r="AZ330">
        <v>0</v>
      </c>
      <c r="BA330">
        <v>0</v>
      </c>
      <c r="BB330">
        <v>0</v>
      </c>
      <c r="BC330">
        <v>0</v>
      </c>
      <c r="BD330">
        <v>0</v>
      </c>
    </row>
    <row r="331" spans="1:56" x14ac:dyDescent="0.25">
      <c r="A331" s="23">
        <v>46304</v>
      </c>
      <c r="B331">
        <v>330</v>
      </c>
      <c r="C331" t="s">
        <v>82</v>
      </c>
      <c r="D331" t="s">
        <v>92</v>
      </c>
      <c r="E331">
        <v>2</v>
      </c>
      <c r="F331">
        <v>180</v>
      </c>
      <c r="G331">
        <v>1</v>
      </c>
      <c r="H331" t="s">
        <v>84</v>
      </c>
      <c r="I331" t="s">
        <v>91</v>
      </c>
      <c r="J331" t="s">
        <v>85</v>
      </c>
      <c r="K331" t="s">
        <v>86</v>
      </c>
      <c r="L331" t="s">
        <v>71</v>
      </c>
      <c r="M331" t="s">
        <v>87</v>
      </c>
      <c r="O331" t="s">
        <v>88</v>
      </c>
      <c r="P331" t="s">
        <v>89</v>
      </c>
      <c r="X331" t="s">
        <v>77</v>
      </c>
      <c r="Z331" t="s">
        <v>72</v>
      </c>
      <c r="AB331">
        <v>5</v>
      </c>
      <c r="AC331">
        <v>748711.16</v>
      </c>
      <c r="AD331">
        <v>8930480.4499999993</v>
      </c>
      <c r="AE331">
        <v>189.87</v>
      </c>
      <c r="AF331">
        <v>748713.52</v>
      </c>
      <c r="AG331">
        <v>8930479.1699999999</v>
      </c>
      <c r="AH331">
        <v>180</v>
      </c>
      <c r="AI331">
        <v>10.23</v>
      </c>
      <c r="AJ331">
        <v>0</v>
      </c>
      <c r="AK331">
        <v>1.5</v>
      </c>
      <c r="AL331">
        <v>0.8</v>
      </c>
      <c r="AM331">
        <v>118.43</v>
      </c>
      <c r="AN331">
        <v>15.21</v>
      </c>
      <c r="AO331">
        <v>0</v>
      </c>
      <c r="AP331">
        <v>3.28</v>
      </c>
      <c r="AQ331">
        <v>0.55000000000000004</v>
      </c>
      <c r="AR331">
        <v>0.09</v>
      </c>
      <c r="AS331">
        <v>7.0000000000000007E-2</v>
      </c>
      <c r="AT331">
        <v>14.54</v>
      </c>
      <c r="AU331">
        <v>5.43</v>
      </c>
      <c r="AV331">
        <v>0.31</v>
      </c>
      <c r="AW331">
        <v>1.66</v>
      </c>
      <c r="AX331">
        <v>8.48</v>
      </c>
      <c r="AY331">
        <v>0</v>
      </c>
      <c r="AZ331">
        <v>0</v>
      </c>
      <c r="BA331">
        <v>0</v>
      </c>
      <c r="BB331">
        <v>0</v>
      </c>
      <c r="BC331">
        <v>0</v>
      </c>
      <c r="BD331">
        <v>0</v>
      </c>
    </row>
    <row r="332" spans="1:56" x14ac:dyDescent="0.25">
      <c r="A332" s="23">
        <v>46304</v>
      </c>
      <c r="B332">
        <v>331</v>
      </c>
      <c r="C332" t="s">
        <v>82</v>
      </c>
      <c r="D332" t="s">
        <v>92</v>
      </c>
      <c r="E332">
        <v>2</v>
      </c>
      <c r="F332">
        <v>180</v>
      </c>
      <c r="G332">
        <v>1</v>
      </c>
      <c r="H332" t="s">
        <v>84</v>
      </c>
      <c r="I332" t="s">
        <v>91</v>
      </c>
      <c r="J332" t="s">
        <v>85</v>
      </c>
      <c r="K332" t="s">
        <v>86</v>
      </c>
      <c r="L332" t="s">
        <v>71</v>
      </c>
      <c r="M332" t="s">
        <v>87</v>
      </c>
      <c r="O332" t="s">
        <v>88</v>
      </c>
      <c r="P332" t="s">
        <v>89</v>
      </c>
      <c r="X332" t="s">
        <v>77</v>
      </c>
      <c r="Z332" t="s">
        <v>72</v>
      </c>
      <c r="AB332">
        <v>5</v>
      </c>
      <c r="AC332">
        <v>748711.87</v>
      </c>
      <c r="AD332">
        <v>8930481.7699999996</v>
      </c>
      <c r="AE332">
        <v>189.85</v>
      </c>
      <c r="AF332">
        <v>748714.14</v>
      </c>
      <c r="AG332">
        <v>8930480.3200000003</v>
      </c>
      <c r="AH332">
        <v>180</v>
      </c>
      <c r="AI332">
        <v>10.210000000000001</v>
      </c>
      <c r="AJ332">
        <v>0</v>
      </c>
      <c r="AK332">
        <v>1.5</v>
      </c>
      <c r="AL332">
        <v>0.8</v>
      </c>
      <c r="AM332">
        <v>122.52</v>
      </c>
      <c r="AN332">
        <v>15.26</v>
      </c>
      <c r="AO332">
        <v>0</v>
      </c>
      <c r="AP332">
        <v>3.3</v>
      </c>
      <c r="AQ332">
        <v>0.6</v>
      </c>
      <c r="AR332">
        <v>0.1</v>
      </c>
      <c r="AS332">
        <v>7.0000000000000007E-2</v>
      </c>
      <c r="AT332">
        <v>16.18</v>
      </c>
      <c r="AU332">
        <v>5.65</v>
      </c>
      <c r="AV332">
        <v>0.32</v>
      </c>
      <c r="AW332">
        <v>1.81</v>
      </c>
      <c r="AX332">
        <v>8.48</v>
      </c>
      <c r="AY332">
        <v>0</v>
      </c>
      <c r="AZ332">
        <v>0</v>
      </c>
      <c r="BA332">
        <v>0</v>
      </c>
      <c r="BB332">
        <v>0</v>
      </c>
      <c r="BC332">
        <v>0</v>
      </c>
      <c r="BD332">
        <v>0</v>
      </c>
    </row>
    <row r="333" spans="1:56" x14ac:dyDescent="0.25">
      <c r="A333" s="23">
        <v>46304</v>
      </c>
      <c r="B333">
        <v>332</v>
      </c>
      <c r="C333" t="s">
        <v>82</v>
      </c>
      <c r="D333" t="s">
        <v>92</v>
      </c>
      <c r="E333">
        <v>2</v>
      </c>
      <c r="F333">
        <v>180</v>
      </c>
      <c r="G333">
        <v>1</v>
      </c>
      <c r="H333" t="s">
        <v>84</v>
      </c>
      <c r="I333" t="s">
        <v>91</v>
      </c>
      <c r="J333" t="s">
        <v>85</v>
      </c>
      <c r="K333" t="s">
        <v>86</v>
      </c>
      <c r="L333" t="s">
        <v>71</v>
      </c>
      <c r="M333" t="s">
        <v>87</v>
      </c>
      <c r="O333" t="s">
        <v>88</v>
      </c>
      <c r="P333" t="s">
        <v>89</v>
      </c>
      <c r="X333" t="s">
        <v>77</v>
      </c>
      <c r="Z333" t="s">
        <v>72</v>
      </c>
      <c r="AB333">
        <v>5</v>
      </c>
      <c r="AC333">
        <v>748712.68</v>
      </c>
      <c r="AD333">
        <v>8930483.0299999993</v>
      </c>
      <c r="AE333">
        <v>189.83</v>
      </c>
      <c r="AF333">
        <v>748714.83</v>
      </c>
      <c r="AG333">
        <v>8930481.4199999999</v>
      </c>
      <c r="AH333">
        <v>180</v>
      </c>
      <c r="AI333">
        <v>10.19</v>
      </c>
      <c r="AJ333">
        <v>0</v>
      </c>
      <c r="AK333">
        <v>1.5</v>
      </c>
      <c r="AL333">
        <v>0.8</v>
      </c>
      <c r="AM333">
        <v>126.77</v>
      </c>
      <c r="AN333">
        <v>15.3</v>
      </c>
      <c r="AO333">
        <v>0</v>
      </c>
      <c r="AP333">
        <v>3.31</v>
      </c>
      <c r="AQ333">
        <v>0.66</v>
      </c>
      <c r="AR333">
        <v>0.1</v>
      </c>
      <c r="AS333">
        <v>0.08</v>
      </c>
      <c r="AT333">
        <v>17.850000000000001</v>
      </c>
      <c r="AU333">
        <v>5.85</v>
      </c>
      <c r="AV333">
        <v>0.33</v>
      </c>
      <c r="AW333">
        <v>1.91</v>
      </c>
      <c r="AX333">
        <v>8.6</v>
      </c>
      <c r="AY333">
        <v>0</v>
      </c>
      <c r="AZ333">
        <v>0</v>
      </c>
      <c r="BA333">
        <v>0</v>
      </c>
      <c r="BB333">
        <v>0</v>
      </c>
      <c r="BC333">
        <v>0</v>
      </c>
      <c r="BD333">
        <v>0</v>
      </c>
    </row>
    <row r="334" spans="1:56" x14ac:dyDescent="0.25">
      <c r="A334" s="23">
        <v>46304</v>
      </c>
      <c r="B334">
        <v>333</v>
      </c>
      <c r="C334" t="s">
        <v>82</v>
      </c>
      <c r="D334" t="s">
        <v>92</v>
      </c>
      <c r="E334">
        <v>2</v>
      </c>
      <c r="F334">
        <v>180</v>
      </c>
      <c r="G334">
        <v>1</v>
      </c>
      <c r="H334" t="s">
        <v>84</v>
      </c>
      <c r="I334" t="s">
        <v>91</v>
      </c>
      <c r="J334" t="s">
        <v>85</v>
      </c>
      <c r="K334" t="s">
        <v>86</v>
      </c>
      <c r="L334" t="s">
        <v>71</v>
      </c>
      <c r="M334" t="s">
        <v>87</v>
      </c>
      <c r="O334" t="s">
        <v>88</v>
      </c>
      <c r="P334" t="s">
        <v>89</v>
      </c>
      <c r="X334" t="s">
        <v>77</v>
      </c>
      <c r="Z334" t="s">
        <v>72</v>
      </c>
      <c r="AB334">
        <v>5</v>
      </c>
      <c r="AC334">
        <v>748713.58</v>
      </c>
      <c r="AD334">
        <v>8930484.2300000004</v>
      </c>
      <c r="AE334">
        <v>189.74</v>
      </c>
      <c r="AF334">
        <v>748715.61</v>
      </c>
      <c r="AG334">
        <v>8930482.4800000004</v>
      </c>
      <c r="AH334">
        <v>180</v>
      </c>
      <c r="AI334">
        <v>10.1</v>
      </c>
      <c r="AJ334">
        <v>0</v>
      </c>
      <c r="AK334">
        <v>1.5</v>
      </c>
      <c r="AL334">
        <v>0.8</v>
      </c>
      <c r="AM334">
        <v>130.76</v>
      </c>
      <c r="AN334">
        <v>15.42</v>
      </c>
      <c r="AO334">
        <v>0</v>
      </c>
      <c r="AP334">
        <v>3.32</v>
      </c>
      <c r="AQ334">
        <v>0.69</v>
      </c>
      <c r="AR334">
        <v>0.11</v>
      </c>
      <c r="AS334">
        <v>0.08</v>
      </c>
      <c r="AT334">
        <v>18.86</v>
      </c>
      <c r="AU334">
        <v>5.98</v>
      </c>
      <c r="AV334">
        <v>0.35</v>
      </c>
      <c r="AW334">
        <v>1.96</v>
      </c>
      <c r="AX334">
        <v>8.6300000000000008</v>
      </c>
      <c r="AY334">
        <v>0</v>
      </c>
      <c r="AZ334">
        <v>0</v>
      </c>
      <c r="BA334">
        <v>0</v>
      </c>
      <c r="BB334">
        <v>0</v>
      </c>
      <c r="BC334">
        <v>0</v>
      </c>
      <c r="BD334">
        <v>0</v>
      </c>
    </row>
    <row r="335" spans="1:56" x14ac:dyDescent="0.25">
      <c r="A335" s="23">
        <v>46304</v>
      </c>
      <c r="B335">
        <v>334</v>
      </c>
      <c r="C335" t="s">
        <v>82</v>
      </c>
      <c r="D335" t="s">
        <v>92</v>
      </c>
      <c r="E335">
        <v>2</v>
      </c>
      <c r="F335">
        <v>180</v>
      </c>
      <c r="G335">
        <v>1</v>
      </c>
      <c r="H335" t="s">
        <v>84</v>
      </c>
      <c r="I335" t="s">
        <v>91</v>
      </c>
      <c r="J335" t="s">
        <v>85</v>
      </c>
      <c r="K335" t="s">
        <v>86</v>
      </c>
      <c r="L335" t="s">
        <v>71</v>
      </c>
      <c r="M335" t="s">
        <v>87</v>
      </c>
      <c r="O335" t="s">
        <v>88</v>
      </c>
      <c r="P335" t="s">
        <v>89</v>
      </c>
      <c r="X335" t="s">
        <v>77</v>
      </c>
      <c r="Z335" t="s">
        <v>72</v>
      </c>
      <c r="AB335">
        <v>5</v>
      </c>
      <c r="AC335">
        <v>748714.56</v>
      </c>
      <c r="AD335">
        <v>8930485.3699999992</v>
      </c>
      <c r="AE335">
        <v>189.62</v>
      </c>
      <c r="AF335">
        <v>748716.46</v>
      </c>
      <c r="AG335">
        <v>8930483.4800000004</v>
      </c>
      <c r="AH335">
        <v>180</v>
      </c>
      <c r="AI335">
        <v>9.99</v>
      </c>
      <c r="AJ335">
        <v>0</v>
      </c>
      <c r="AK335">
        <v>1.5</v>
      </c>
      <c r="AL335">
        <v>0.8</v>
      </c>
      <c r="AM335">
        <v>134.75</v>
      </c>
      <c r="AN335">
        <v>15.6</v>
      </c>
      <c r="AO335">
        <v>0</v>
      </c>
      <c r="AP335">
        <v>3.33</v>
      </c>
      <c r="AQ335">
        <v>0.7</v>
      </c>
      <c r="AR335">
        <v>0.11</v>
      </c>
      <c r="AS335">
        <v>0.09</v>
      </c>
      <c r="AT335">
        <v>19.12</v>
      </c>
      <c r="AU335">
        <v>6.05</v>
      </c>
      <c r="AV335">
        <v>0.35</v>
      </c>
      <c r="AW335">
        <v>1.98</v>
      </c>
      <c r="AX335">
        <v>8.64</v>
      </c>
      <c r="AY335">
        <v>0</v>
      </c>
      <c r="AZ335">
        <v>0</v>
      </c>
      <c r="BA335">
        <v>0</v>
      </c>
      <c r="BB335">
        <v>0</v>
      </c>
      <c r="BC335">
        <v>0</v>
      </c>
      <c r="BD335">
        <v>0</v>
      </c>
    </row>
    <row r="336" spans="1:56" x14ac:dyDescent="0.25">
      <c r="A336" s="23">
        <v>46304</v>
      </c>
      <c r="B336">
        <v>335</v>
      </c>
      <c r="C336" t="s">
        <v>82</v>
      </c>
      <c r="D336" t="s">
        <v>92</v>
      </c>
      <c r="E336">
        <v>2</v>
      </c>
      <c r="F336">
        <v>180</v>
      </c>
      <c r="G336">
        <v>1</v>
      </c>
      <c r="H336" t="s">
        <v>84</v>
      </c>
      <c r="I336" t="s">
        <v>91</v>
      </c>
      <c r="J336" t="s">
        <v>85</v>
      </c>
      <c r="K336" t="s">
        <v>86</v>
      </c>
      <c r="L336" t="s">
        <v>71</v>
      </c>
      <c r="M336" t="s">
        <v>87</v>
      </c>
      <c r="O336" t="s">
        <v>88</v>
      </c>
      <c r="P336" t="s">
        <v>89</v>
      </c>
      <c r="X336" t="s">
        <v>77</v>
      </c>
      <c r="Z336" t="s">
        <v>72</v>
      </c>
      <c r="AB336">
        <v>5</v>
      </c>
      <c r="AC336">
        <v>748715.61</v>
      </c>
      <c r="AD336">
        <v>8930486.4399999995</v>
      </c>
      <c r="AE336">
        <v>189.56</v>
      </c>
      <c r="AF336">
        <v>748717.38</v>
      </c>
      <c r="AG336">
        <v>8930484.4199999999</v>
      </c>
      <c r="AH336">
        <v>180</v>
      </c>
      <c r="AI336">
        <v>9.93</v>
      </c>
      <c r="AJ336">
        <v>0</v>
      </c>
      <c r="AK336">
        <v>1.5</v>
      </c>
      <c r="AL336">
        <v>0.8</v>
      </c>
      <c r="AM336">
        <v>138.74</v>
      </c>
      <c r="AN336">
        <v>15.71</v>
      </c>
      <c r="AO336">
        <v>0</v>
      </c>
      <c r="AP336">
        <v>3.33</v>
      </c>
      <c r="AQ336">
        <v>0.7</v>
      </c>
      <c r="AR336">
        <v>0.11</v>
      </c>
      <c r="AS336">
        <v>0.09</v>
      </c>
      <c r="AT336">
        <v>19.13</v>
      </c>
      <c r="AU336">
        <v>6.04</v>
      </c>
      <c r="AV336">
        <v>0.35</v>
      </c>
      <c r="AW336">
        <v>1.98</v>
      </c>
      <c r="AX336">
        <v>8.6300000000000008</v>
      </c>
      <c r="AY336">
        <v>0</v>
      </c>
      <c r="AZ336">
        <v>0</v>
      </c>
      <c r="BA336">
        <v>0</v>
      </c>
      <c r="BB336">
        <v>0</v>
      </c>
      <c r="BC336">
        <v>0</v>
      </c>
      <c r="BD336">
        <v>0</v>
      </c>
    </row>
    <row r="337" spans="1:56" x14ac:dyDescent="0.25">
      <c r="A337" s="23">
        <v>46304</v>
      </c>
      <c r="B337">
        <v>336</v>
      </c>
      <c r="C337" t="s">
        <v>82</v>
      </c>
      <c r="D337" t="s">
        <v>92</v>
      </c>
      <c r="E337">
        <v>2</v>
      </c>
      <c r="F337">
        <v>180</v>
      </c>
      <c r="G337">
        <v>1</v>
      </c>
      <c r="H337" t="s">
        <v>84</v>
      </c>
      <c r="I337" t="s">
        <v>91</v>
      </c>
      <c r="J337" t="s">
        <v>85</v>
      </c>
      <c r="K337" t="s">
        <v>86</v>
      </c>
      <c r="L337" t="s">
        <v>71</v>
      </c>
      <c r="M337" t="s">
        <v>87</v>
      </c>
      <c r="O337" t="s">
        <v>88</v>
      </c>
      <c r="P337" t="s">
        <v>89</v>
      </c>
      <c r="X337" t="s">
        <v>77</v>
      </c>
      <c r="Z337" t="s">
        <v>72</v>
      </c>
      <c r="AB337">
        <v>5</v>
      </c>
      <c r="AC337">
        <v>748716.74</v>
      </c>
      <c r="AD337">
        <v>8930487.4199999999</v>
      </c>
      <c r="AE337">
        <v>189.57</v>
      </c>
      <c r="AF337">
        <v>748718.4</v>
      </c>
      <c r="AG337">
        <v>8930485.3200000003</v>
      </c>
      <c r="AH337">
        <v>180</v>
      </c>
      <c r="AI337">
        <v>9.94</v>
      </c>
      <c r="AJ337">
        <v>0</v>
      </c>
      <c r="AK337">
        <v>1.5</v>
      </c>
      <c r="AL337">
        <v>0.8</v>
      </c>
      <c r="AM337">
        <v>141.79</v>
      </c>
      <c r="AN337">
        <v>15.66</v>
      </c>
      <c r="AO337">
        <v>0</v>
      </c>
      <c r="AP337">
        <v>3.33</v>
      </c>
      <c r="AQ337">
        <v>0.7</v>
      </c>
      <c r="AR337">
        <v>0.11</v>
      </c>
      <c r="AS337">
        <v>0.09</v>
      </c>
      <c r="AT337">
        <v>19.329999999999998</v>
      </c>
      <c r="AU337">
        <v>6.01</v>
      </c>
      <c r="AV337">
        <v>0.36</v>
      </c>
      <c r="AW337">
        <v>1.97</v>
      </c>
      <c r="AX337">
        <v>8.5399999999999991</v>
      </c>
      <c r="AY337">
        <v>0</v>
      </c>
      <c r="AZ337">
        <v>0</v>
      </c>
      <c r="BA337">
        <v>0</v>
      </c>
      <c r="BB337">
        <v>0</v>
      </c>
      <c r="BC337">
        <v>0</v>
      </c>
      <c r="BD337">
        <v>0</v>
      </c>
    </row>
    <row r="338" spans="1:56" x14ac:dyDescent="0.25">
      <c r="A338" s="23">
        <v>46304</v>
      </c>
      <c r="B338">
        <v>337</v>
      </c>
      <c r="C338" t="s">
        <v>82</v>
      </c>
      <c r="D338" t="s">
        <v>92</v>
      </c>
      <c r="E338">
        <v>2</v>
      </c>
      <c r="F338">
        <v>180</v>
      </c>
      <c r="G338">
        <v>1</v>
      </c>
      <c r="H338" t="s">
        <v>84</v>
      </c>
      <c r="I338" t="s">
        <v>91</v>
      </c>
      <c r="J338" t="s">
        <v>85</v>
      </c>
      <c r="K338" t="s">
        <v>86</v>
      </c>
      <c r="L338" t="s">
        <v>71</v>
      </c>
      <c r="M338" t="s">
        <v>87</v>
      </c>
      <c r="O338" t="s">
        <v>88</v>
      </c>
      <c r="P338" t="s">
        <v>89</v>
      </c>
      <c r="X338" t="s">
        <v>77</v>
      </c>
      <c r="Z338" t="s">
        <v>72</v>
      </c>
      <c r="AB338">
        <v>5</v>
      </c>
      <c r="AC338">
        <v>748717.92</v>
      </c>
      <c r="AD338">
        <v>8930488.3499999996</v>
      </c>
      <c r="AE338">
        <v>189.51</v>
      </c>
      <c r="AF338">
        <v>748719.55</v>
      </c>
      <c r="AG338">
        <v>8930486.2200000007</v>
      </c>
      <c r="AH338">
        <v>180</v>
      </c>
      <c r="AI338">
        <v>9.8800000000000008</v>
      </c>
      <c r="AJ338">
        <v>0</v>
      </c>
      <c r="AK338">
        <v>1.5</v>
      </c>
      <c r="AL338">
        <v>0.8</v>
      </c>
      <c r="AM338">
        <v>142.61000000000001</v>
      </c>
      <c r="AN338">
        <v>15.74</v>
      </c>
      <c r="AO338">
        <v>0</v>
      </c>
      <c r="AP338">
        <v>3.33</v>
      </c>
      <c r="AQ338">
        <v>0.7</v>
      </c>
      <c r="AR338">
        <v>0.11</v>
      </c>
      <c r="AS338">
        <v>0.09</v>
      </c>
      <c r="AT338">
        <v>19.329999999999998</v>
      </c>
      <c r="AU338">
        <v>6.01</v>
      </c>
      <c r="AV338">
        <v>0.36</v>
      </c>
      <c r="AW338">
        <v>1.97</v>
      </c>
      <c r="AX338">
        <v>8.5399999999999991</v>
      </c>
      <c r="AY338">
        <v>0</v>
      </c>
      <c r="AZ338">
        <v>0</v>
      </c>
      <c r="BA338">
        <v>0</v>
      </c>
      <c r="BB338">
        <v>0</v>
      </c>
      <c r="BC338">
        <v>0</v>
      </c>
      <c r="BD338">
        <v>0</v>
      </c>
    </row>
    <row r="339" spans="1:56" x14ac:dyDescent="0.25">
      <c r="A339" s="23">
        <v>46304</v>
      </c>
      <c r="B339">
        <v>338</v>
      </c>
      <c r="C339" t="s">
        <v>82</v>
      </c>
      <c r="D339" t="s">
        <v>92</v>
      </c>
      <c r="E339">
        <v>2</v>
      </c>
      <c r="F339">
        <v>180</v>
      </c>
      <c r="G339">
        <v>1</v>
      </c>
      <c r="H339" t="s">
        <v>84</v>
      </c>
      <c r="I339" t="s">
        <v>91</v>
      </c>
      <c r="J339" t="s">
        <v>85</v>
      </c>
      <c r="K339" t="s">
        <v>86</v>
      </c>
      <c r="L339" t="s">
        <v>71</v>
      </c>
      <c r="M339" t="s">
        <v>87</v>
      </c>
      <c r="O339" t="s">
        <v>88</v>
      </c>
      <c r="P339" t="s">
        <v>89</v>
      </c>
      <c r="X339" t="s">
        <v>77</v>
      </c>
      <c r="Z339" t="s">
        <v>72</v>
      </c>
      <c r="AB339">
        <v>5</v>
      </c>
      <c r="AC339">
        <v>748719.11</v>
      </c>
      <c r="AD339">
        <v>8930489.2599999998</v>
      </c>
      <c r="AE339">
        <v>189.44</v>
      </c>
      <c r="AF339">
        <v>748720.74</v>
      </c>
      <c r="AG339">
        <v>8930487.1300000008</v>
      </c>
      <c r="AH339">
        <v>180</v>
      </c>
      <c r="AI339">
        <v>9.82</v>
      </c>
      <c r="AJ339">
        <v>0</v>
      </c>
      <c r="AK339">
        <v>1.5</v>
      </c>
      <c r="AL339">
        <v>0.8</v>
      </c>
      <c r="AM339">
        <v>142.61000000000001</v>
      </c>
      <c r="AN339">
        <v>15.86</v>
      </c>
      <c r="AO339">
        <v>0</v>
      </c>
      <c r="AP339">
        <v>3.33</v>
      </c>
      <c r="AQ339">
        <v>0.7</v>
      </c>
      <c r="AR339">
        <v>0.11</v>
      </c>
      <c r="AS339">
        <v>0.09</v>
      </c>
      <c r="AT339">
        <v>19.329999999999998</v>
      </c>
      <c r="AU339">
        <v>6.01</v>
      </c>
      <c r="AV339">
        <v>0.36</v>
      </c>
      <c r="AW339">
        <v>1.97</v>
      </c>
      <c r="AX339">
        <v>8.5399999999999991</v>
      </c>
      <c r="AY339">
        <v>0</v>
      </c>
      <c r="AZ339">
        <v>0</v>
      </c>
      <c r="BA339">
        <v>0</v>
      </c>
      <c r="BB339">
        <v>0</v>
      </c>
      <c r="BC339">
        <v>0</v>
      </c>
      <c r="BD339">
        <v>0</v>
      </c>
    </row>
    <row r="340" spans="1:56" x14ac:dyDescent="0.25">
      <c r="A340" s="23">
        <v>46304</v>
      </c>
      <c r="B340">
        <v>339</v>
      </c>
      <c r="C340" t="s">
        <v>82</v>
      </c>
      <c r="D340" t="s">
        <v>92</v>
      </c>
      <c r="E340">
        <v>2</v>
      </c>
      <c r="F340">
        <v>180</v>
      </c>
      <c r="G340">
        <v>1</v>
      </c>
      <c r="H340" t="s">
        <v>84</v>
      </c>
      <c r="I340" t="s">
        <v>91</v>
      </c>
      <c r="J340" t="s">
        <v>85</v>
      </c>
      <c r="K340" t="s">
        <v>86</v>
      </c>
      <c r="L340" t="s">
        <v>71</v>
      </c>
      <c r="M340" t="s">
        <v>87</v>
      </c>
      <c r="O340" t="s">
        <v>88</v>
      </c>
      <c r="P340" t="s">
        <v>89</v>
      </c>
      <c r="X340" t="s">
        <v>77</v>
      </c>
      <c r="Z340" t="s">
        <v>72</v>
      </c>
      <c r="AB340">
        <v>5</v>
      </c>
      <c r="AC340">
        <v>748720.31</v>
      </c>
      <c r="AD340">
        <v>8930490.1699999999</v>
      </c>
      <c r="AE340">
        <v>189.42</v>
      </c>
      <c r="AF340">
        <v>748721.93</v>
      </c>
      <c r="AG340">
        <v>8930488.0399999991</v>
      </c>
      <c r="AH340">
        <v>180</v>
      </c>
      <c r="AI340">
        <v>9.8000000000000007</v>
      </c>
      <c r="AJ340">
        <v>0</v>
      </c>
      <c r="AK340">
        <v>1.5</v>
      </c>
      <c r="AL340">
        <v>0.8</v>
      </c>
      <c r="AM340">
        <v>142.61000000000001</v>
      </c>
      <c r="AN340">
        <v>15.88</v>
      </c>
      <c r="AO340">
        <v>0</v>
      </c>
      <c r="AP340">
        <v>3.34</v>
      </c>
      <c r="AQ340">
        <v>0.7</v>
      </c>
      <c r="AR340">
        <v>0.11</v>
      </c>
      <c r="AS340">
        <v>0.09</v>
      </c>
      <c r="AT340">
        <v>19.829999999999998</v>
      </c>
      <c r="AU340">
        <v>5.89</v>
      </c>
      <c r="AV340">
        <v>0.36</v>
      </c>
      <c r="AW340">
        <v>1.95</v>
      </c>
      <c r="AX340">
        <v>8.3800000000000008</v>
      </c>
      <c r="AY340">
        <v>0</v>
      </c>
      <c r="AZ340">
        <v>0</v>
      </c>
      <c r="BA340">
        <v>0</v>
      </c>
      <c r="BB340">
        <v>0</v>
      </c>
      <c r="BC340">
        <v>0</v>
      </c>
      <c r="BD340">
        <v>0</v>
      </c>
    </row>
    <row r="341" spans="1:56" x14ac:dyDescent="0.25">
      <c r="A341" s="23">
        <v>46304</v>
      </c>
      <c r="B341">
        <v>340</v>
      </c>
      <c r="C341" t="s">
        <v>82</v>
      </c>
      <c r="D341" t="s">
        <v>92</v>
      </c>
      <c r="E341">
        <v>2</v>
      </c>
      <c r="F341">
        <v>180</v>
      </c>
      <c r="G341">
        <v>1</v>
      </c>
      <c r="H341" t="s">
        <v>84</v>
      </c>
      <c r="I341" t="s">
        <v>91</v>
      </c>
      <c r="J341" t="s">
        <v>97</v>
      </c>
      <c r="K341" t="s">
        <v>86</v>
      </c>
      <c r="L341" t="s">
        <v>71</v>
      </c>
      <c r="M341" t="s">
        <v>87</v>
      </c>
      <c r="O341" t="s">
        <v>88</v>
      </c>
      <c r="P341" t="s">
        <v>89</v>
      </c>
      <c r="X341" t="s">
        <v>77</v>
      </c>
      <c r="Z341" t="s">
        <v>72</v>
      </c>
      <c r="AB341">
        <v>5</v>
      </c>
      <c r="AC341">
        <v>748721.5</v>
      </c>
      <c r="AD341">
        <v>8930491.0800000001</v>
      </c>
      <c r="AE341">
        <v>189.36</v>
      </c>
      <c r="AF341">
        <v>748723.13</v>
      </c>
      <c r="AG341">
        <v>8930488.9499999993</v>
      </c>
      <c r="AH341">
        <v>180</v>
      </c>
      <c r="AI341">
        <v>9.74</v>
      </c>
      <c r="AJ341">
        <v>0</v>
      </c>
      <c r="AK341">
        <v>1.5</v>
      </c>
      <c r="AL341">
        <v>0.8</v>
      </c>
      <c r="AM341">
        <v>142.61000000000001</v>
      </c>
      <c r="AN341">
        <v>15.96</v>
      </c>
      <c r="AO341">
        <v>0</v>
      </c>
      <c r="AP341">
        <v>3.34</v>
      </c>
      <c r="AQ341">
        <v>0.69</v>
      </c>
      <c r="AR341">
        <v>0.1</v>
      </c>
      <c r="AS341">
        <v>0.09</v>
      </c>
      <c r="AT341">
        <v>20.32</v>
      </c>
      <c r="AU341">
        <v>5.71</v>
      </c>
      <c r="AV341">
        <v>0.36</v>
      </c>
      <c r="AW341">
        <v>1.89</v>
      </c>
      <c r="AX341">
        <v>8.3800000000000008</v>
      </c>
      <c r="AY341">
        <v>0</v>
      </c>
      <c r="AZ341">
        <v>0</v>
      </c>
      <c r="BA341">
        <v>0</v>
      </c>
      <c r="BB341">
        <v>0</v>
      </c>
      <c r="BC341">
        <v>0</v>
      </c>
      <c r="BD341">
        <v>0</v>
      </c>
    </row>
    <row r="342" spans="1:56" x14ac:dyDescent="0.25">
      <c r="A342" s="23">
        <v>46304</v>
      </c>
      <c r="B342">
        <v>341</v>
      </c>
      <c r="C342" t="s">
        <v>82</v>
      </c>
      <c r="D342" t="s">
        <v>92</v>
      </c>
      <c r="E342">
        <v>2</v>
      </c>
      <c r="F342">
        <v>180</v>
      </c>
      <c r="G342">
        <v>1</v>
      </c>
      <c r="H342" t="s">
        <v>84</v>
      </c>
      <c r="I342" t="s">
        <v>91</v>
      </c>
      <c r="J342" t="s">
        <v>85</v>
      </c>
      <c r="K342" t="s">
        <v>86</v>
      </c>
      <c r="L342" t="s">
        <v>71</v>
      </c>
      <c r="M342" t="s">
        <v>87</v>
      </c>
      <c r="O342" t="s">
        <v>88</v>
      </c>
      <c r="P342" t="s">
        <v>89</v>
      </c>
      <c r="X342" t="s">
        <v>77</v>
      </c>
      <c r="Z342" t="s">
        <v>72</v>
      </c>
      <c r="AB342">
        <v>5</v>
      </c>
      <c r="AC342">
        <v>748722.69</v>
      </c>
      <c r="AD342">
        <v>8930492</v>
      </c>
      <c r="AE342">
        <v>189.38</v>
      </c>
      <c r="AF342">
        <v>748724.32</v>
      </c>
      <c r="AG342">
        <v>8930489.8599999994</v>
      </c>
      <c r="AH342">
        <v>180</v>
      </c>
      <c r="AI342">
        <v>9.76</v>
      </c>
      <c r="AJ342">
        <v>0</v>
      </c>
      <c r="AK342">
        <v>1.5</v>
      </c>
      <c r="AL342">
        <v>0.8</v>
      </c>
      <c r="AM342">
        <v>142.61000000000001</v>
      </c>
      <c r="AN342">
        <v>15.96</v>
      </c>
      <c r="AO342">
        <v>0</v>
      </c>
      <c r="AP342">
        <v>3.34</v>
      </c>
      <c r="AQ342">
        <v>0.66</v>
      </c>
      <c r="AR342">
        <v>0.1</v>
      </c>
      <c r="AS342">
        <v>0.09</v>
      </c>
      <c r="AT342">
        <v>20.55</v>
      </c>
      <c r="AU342">
        <v>5.51</v>
      </c>
      <c r="AV342">
        <v>0.36</v>
      </c>
      <c r="AW342">
        <v>1.81</v>
      </c>
      <c r="AX342">
        <v>8.5</v>
      </c>
      <c r="AY342">
        <v>0</v>
      </c>
      <c r="AZ342">
        <v>0</v>
      </c>
      <c r="BA342">
        <v>0</v>
      </c>
      <c r="BB342">
        <v>0</v>
      </c>
      <c r="BC342">
        <v>0</v>
      </c>
      <c r="BD342">
        <v>0</v>
      </c>
    </row>
    <row r="343" spans="1:56" x14ac:dyDescent="0.25">
      <c r="A343" s="23">
        <v>46304</v>
      </c>
      <c r="B343">
        <v>342</v>
      </c>
      <c r="C343" t="s">
        <v>82</v>
      </c>
      <c r="D343" t="s">
        <v>92</v>
      </c>
      <c r="E343">
        <v>2</v>
      </c>
      <c r="F343">
        <v>180</v>
      </c>
      <c r="G343">
        <v>1</v>
      </c>
      <c r="H343" t="s">
        <v>84</v>
      </c>
      <c r="I343" t="s">
        <v>91</v>
      </c>
      <c r="J343" t="s">
        <v>85</v>
      </c>
      <c r="K343" t="s">
        <v>86</v>
      </c>
      <c r="L343" t="s">
        <v>71</v>
      </c>
      <c r="M343" t="s">
        <v>87</v>
      </c>
      <c r="O343" t="s">
        <v>88</v>
      </c>
      <c r="P343" t="s">
        <v>89</v>
      </c>
      <c r="X343" t="s">
        <v>77</v>
      </c>
      <c r="Z343" t="s">
        <v>72</v>
      </c>
      <c r="AB343">
        <v>5</v>
      </c>
      <c r="AC343">
        <v>748723.88</v>
      </c>
      <c r="AD343">
        <v>8930492.9100000001</v>
      </c>
      <c r="AE343">
        <v>189.47</v>
      </c>
      <c r="AF343">
        <v>748725.51</v>
      </c>
      <c r="AG343">
        <v>8930490.7699999996</v>
      </c>
      <c r="AH343">
        <v>180</v>
      </c>
      <c r="AI343">
        <v>9.84</v>
      </c>
      <c r="AJ343">
        <v>0</v>
      </c>
      <c r="AK343">
        <v>1.5</v>
      </c>
      <c r="AL343">
        <v>0.8</v>
      </c>
      <c r="AM343">
        <v>142.61000000000001</v>
      </c>
      <c r="AN343">
        <v>15.83</v>
      </c>
      <c r="AO343">
        <v>0</v>
      </c>
      <c r="AP343">
        <v>3.34</v>
      </c>
      <c r="AQ343">
        <v>0.63</v>
      </c>
      <c r="AR343">
        <v>0.1</v>
      </c>
      <c r="AS343">
        <v>0.09</v>
      </c>
      <c r="AT343">
        <v>20.59</v>
      </c>
      <c r="AU343">
        <v>5.35</v>
      </c>
      <c r="AV343">
        <v>0.36</v>
      </c>
      <c r="AW343">
        <v>1.74</v>
      </c>
      <c r="AX343">
        <v>8.73</v>
      </c>
      <c r="AY343">
        <v>0</v>
      </c>
      <c r="AZ343">
        <v>0</v>
      </c>
      <c r="BA343">
        <v>0</v>
      </c>
      <c r="BB343">
        <v>0</v>
      </c>
      <c r="BC343">
        <v>0</v>
      </c>
      <c r="BD343">
        <v>0</v>
      </c>
    </row>
    <row r="344" spans="1:56" x14ac:dyDescent="0.25">
      <c r="A344" s="23">
        <v>46304</v>
      </c>
      <c r="B344">
        <v>343</v>
      </c>
      <c r="C344" t="s">
        <v>82</v>
      </c>
      <c r="D344" t="s">
        <v>92</v>
      </c>
      <c r="E344">
        <v>2</v>
      </c>
      <c r="F344">
        <v>180</v>
      </c>
      <c r="G344">
        <v>1</v>
      </c>
      <c r="H344" t="s">
        <v>84</v>
      </c>
      <c r="I344" t="s">
        <v>91</v>
      </c>
      <c r="J344" t="s">
        <v>85</v>
      </c>
      <c r="K344" t="s">
        <v>86</v>
      </c>
      <c r="L344" t="s">
        <v>71</v>
      </c>
      <c r="M344" t="s">
        <v>87</v>
      </c>
      <c r="O344" t="s">
        <v>88</v>
      </c>
      <c r="P344" t="s">
        <v>89</v>
      </c>
      <c r="X344" t="s">
        <v>77</v>
      </c>
      <c r="Z344" t="s">
        <v>72</v>
      </c>
      <c r="AB344">
        <v>5</v>
      </c>
      <c r="AC344">
        <v>748725.07</v>
      </c>
      <c r="AD344">
        <v>8930493.8200000003</v>
      </c>
      <c r="AE344">
        <v>189.62</v>
      </c>
      <c r="AF344">
        <v>748726.7</v>
      </c>
      <c r="AG344">
        <v>8930491.6799999997</v>
      </c>
      <c r="AH344">
        <v>180</v>
      </c>
      <c r="AI344">
        <v>9.99</v>
      </c>
      <c r="AJ344">
        <v>0</v>
      </c>
      <c r="AK344">
        <v>1.5</v>
      </c>
      <c r="AL344">
        <v>0.8</v>
      </c>
      <c r="AM344">
        <v>142.61000000000001</v>
      </c>
      <c r="AN344">
        <v>15.59</v>
      </c>
      <c r="AO344">
        <v>0</v>
      </c>
      <c r="AP344">
        <v>3.33</v>
      </c>
      <c r="AQ344">
        <v>0.6</v>
      </c>
      <c r="AR344">
        <v>0.1</v>
      </c>
      <c r="AS344">
        <v>0.08</v>
      </c>
      <c r="AT344">
        <v>20.61</v>
      </c>
      <c r="AU344">
        <v>5.2</v>
      </c>
      <c r="AV344">
        <v>0.36</v>
      </c>
      <c r="AW344">
        <v>1.68</v>
      </c>
      <c r="AX344">
        <v>8.9700000000000006</v>
      </c>
      <c r="AY344">
        <v>0</v>
      </c>
      <c r="AZ344">
        <v>0</v>
      </c>
      <c r="BA344">
        <v>0</v>
      </c>
      <c r="BB344">
        <v>0</v>
      </c>
      <c r="BC344">
        <v>0</v>
      </c>
      <c r="BD344">
        <v>0</v>
      </c>
    </row>
    <row r="345" spans="1:56" x14ac:dyDescent="0.25">
      <c r="A345" s="23">
        <v>46304</v>
      </c>
      <c r="B345">
        <v>344</v>
      </c>
      <c r="C345" t="s">
        <v>82</v>
      </c>
      <c r="D345" t="s">
        <v>92</v>
      </c>
      <c r="E345">
        <v>2</v>
      </c>
      <c r="F345">
        <v>180</v>
      </c>
      <c r="G345">
        <v>1</v>
      </c>
      <c r="H345" t="s">
        <v>84</v>
      </c>
      <c r="I345" t="s">
        <v>91</v>
      </c>
      <c r="J345" t="s">
        <v>85</v>
      </c>
      <c r="K345" t="s">
        <v>86</v>
      </c>
      <c r="L345" t="s">
        <v>71</v>
      </c>
      <c r="M345" t="s">
        <v>87</v>
      </c>
      <c r="O345" t="s">
        <v>88</v>
      </c>
      <c r="P345" t="s">
        <v>89</v>
      </c>
      <c r="X345" t="s">
        <v>77</v>
      </c>
      <c r="Z345" t="s">
        <v>72</v>
      </c>
      <c r="AB345">
        <v>5</v>
      </c>
      <c r="AC345">
        <v>748726.26</v>
      </c>
      <c r="AD345">
        <v>8930494.7300000004</v>
      </c>
      <c r="AE345">
        <v>189.62</v>
      </c>
      <c r="AF345">
        <v>748727.89</v>
      </c>
      <c r="AG345">
        <v>8930492.5999999996</v>
      </c>
      <c r="AH345">
        <v>180</v>
      </c>
      <c r="AI345">
        <v>9.99</v>
      </c>
      <c r="AJ345">
        <v>0</v>
      </c>
      <c r="AK345">
        <v>1.5</v>
      </c>
      <c r="AL345">
        <v>0.8</v>
      </c>
      <c r="AM345">
        <v>142.61000000000001</v>
      </c>
      <c r="AN345">
        <v>15.57</v>
      </c>
      <c r="AO345">
        <v>0</v>
      </c>
      <c r="AP345">
        <v>3.33</v>
      </c>
      <c r="AQ345">
        <v>0.6</v>
      </c>
      <c r="AR345">
        <v>0.1</v>
      </c>
      <c r="AS345">
        <v>0.08</v>
      </c>
      <c r="AT345">
        <v>20.58</v>
      </c>
      <c r="AU345">
        <v>5.2</v>
      </c>
      <c r="AV345">
        <v>0.36</v>
      </c>
      <c r="AW345">
        <v>1.68</v>
      </c>
      <c r="AX345">
        <v>8.99</v>
      </c>
      <c r="AY345">
        <v>0</v>
      </c>
      <c r="AZ345">
        <v>0</v>
      </c>
      <c r="BA345">
        <v>0</v>
      </c>
      <c r="BB345">
        <v>0</v>
      </c>
      <c r="BC345">
        <v>0</v>
      </c>
      <c r="BD345">
        <v>0</v>
      </c>
    </row>
    <row r="346" spans="1:56" x14ac:dyDescent="0.25">
      <c r="A346" s="23">
        <v>46304</v>
      </c>
      <c r="B346">
        <v>345</v>
      </c>
      <c r="C346" t="s">
        <v>82</v>
      </c>
      <c r="D346" t="s">
        <v>92</v>
      </c>
      <c r="E346">
        <v>2</v>
      </c>
      <c r="F346">
        <v>180</v>
      </c>
      <c r="G346">
        <v>1</v>
      </c>
      <c r="H346" t="s">
        <v>84</v>
      </c>
      <c r="I346" t="s">
        <v>91</v>
      </c>
      <c r="J346" t="s">
        <v>85</v>
      </c>
      <c r="K346" t="s">
        <v>86</v>
      </c>
      <c r="L346" t="s">
        <v>71</v>
      </c>
      <c r="M346" t="s">
        <v>87</v>
      </c>
      <c r="O346" t="s">
        <v>88</v>
      </c>
      <c r="P346" t="s">
        <v>89</v>
      </c>
      <c r="X346" t="s">
        <v>77</v>
      </c>
      <c r="Z346" t="s">
        <v>72</v>
      </c>
      <c r="AB346">
        <v>5</v>
      </c>
      <c r="AC346">
        <v>748727.46</v>
      </c>
      <c r="AD346">
        <v>8930495.6300000008</v>
      </c>
      <c r="AE346">
        <v>189.64</v>
      </c>
      <c r="AF346">
        <v>748729.08</v>
      </c>
      <c r="AG346">
        <v>8930493.5099999998</v>
      </c>
      <c r="AH346">
        <v>180</v>
      </c>
      <c r="AI346">
        <v>10.01</v>
      </c>
      <c r="AJ346">
        <v>0</v>
      </c>
      <c r="AK346">
        <v>1.5</v>
      </c>
      <c r="AL346">
        <v>0.8</v>
      </c>
      <c r="AM346">
        <v>142.61000000000001</v>
      </c>
      <c r="AN346">
        <v>15.53</v>
      </c>
      <c r="AO346">
        <v>0</v>
      </c>
      <c r="AP346">
        <v>3.31</v>
      </c>
      <c r="AQ346">
        <v>0.6</v>
      </c>
      <c r="AR346">
        <v>0.09</v>
      </c>
      <c r="AS346">
        <v>0.08</v>
      </c>
      <c r="AT346">
        <v>20.43</v>
      </c>
      <c r="AU346">
        <v>5.2</v>
      </c>
      <c r="AV346">
        <v>0.36</v>
      </c>
      <c r="AW346">
        <v>1.67</v>
      </c>
      <c r="AX346">
        <v>9.0399999999999991</v>
      </c>
      <c r="AY346">
        <v>0</v>
      </c>
      <c r="AZ346">
        <v>0</v>
      </c>
      <c r="BA346">
        <v>0</v>
      </c>
      <c r="BB346">
        <v>0</v>
      </c>
      <c r="BC346">
        <v>0</v>
      </c>
      <c r="BD346">
        <v>0</v>
      </c>
    </row>
    <row r="347" spans="1:56" x14ac:dyDescent="0.25">
      <c r="A347" s="23">
        <v>46304</v>
      </c>
      <c r="B347">
        <v>346</v>
      </c>
      <c r="C347" t="s">
        <v>82</v>
      </c>
      <c r="D347" t="s">
        <v>92</v>
      </c>
      <c r="E347">
        <v>2</v>
      </c>
      <c r="F347">
        <v>180</v>
      </c>
      <c r="G347">
        <v>1</v>
      </c>
      <c r="H347" t="s">
        <v>84</v>
      </c>
      <c r="I347" t="s">
        <v>91</v>
      </c>
      <c r="J347" t="s">
        <v>85</v>
      </c>
      <c r="K347" t="s">
        <v>86</v>
      </c>
      <c r="L347" t="s">
        <v>71</v>
      </c>
      <c r="M347" t="s">
        <v>87</v>
      </c>
      <c r="O347" t="s">
        <v>88</v>
      </c>
      <c r="P347" t="s">
        <v>89</v>
      </c>
      <c r="X347" t="s">
        <v>77</v>
      </c>
      <c r="Z347" t="s">
        <v>72</v>
      </c>
      <c r="AB347">
        <v>5</v>
      </c>
      <c r="AC347">
        <v>748728.65</v>
      </c>
      <c r="AD347">
        <v>8930496.5399999991</v>
      </c>
      <c r="AE347">
        <v>189.69</v>
      </c>
      <c r="AF347">
        <v>748730.28</v>
      </c>
      <c r="AG347">
        <v>8930494.4199999999</v>
      </c>
      <c r="AH347">
        <v>180</v>
      </c>
      <c r="AI347">
        <v>10.050000000000001</v>
      </c>
      <c r="AJ347">
        <v>0</v>
      </c>
      <c r="AK347">
        <v>1.5</v>
      </c>
      <c r="AL347">
        <v>0.8</v>
      </c>
      <c r="AM347">
        <v>142.61000000000001</v>
      </c>
      <c r="AN347">
        <v>15.45</v>
      </c>
      <c r="AO347">
        <v>0</v>
      </c>
      <c r="AP347">
        <v>3.31</v>
      </c>
      <c r="AQ347">
        <v>0.6</v>
      </c>
      <c r="AR347">
        <v>0.09</v>
      </c>
      <c r="AS347">
        <v>0.08</v>
      </c>
      <c r="AT347">
        <v>20.43</v>
      </c>
      <c r="AU347">
        <v>5.2</v>
      </c>
      <c r="AV347">
        <v>0.36</v>
      </c>
      <c r="AW347">
        <v>1.67</v>
      </c>
      <c r="AX347">
        <v>9.0399999999999991</v>
      </c>
      <c r="AY347">
        <v>0</v>
      </c>
      <c r="AZ347">
        <v>0</v>
      </c>
      <c r="BA347">
        <v>0</v>
      </c>
      <c r="BB347">
        <v>0</v>
      </c>
      <c r="BC347">
        <v>0</v>
      </c>
      <c r="BD347">
        <v>0</v>
      </c>
    </row>
    <row r="348" spans="1:56" x14ac:dyDescent="0.25">
      <c r="A348" s="23">
        <v>46304</v>
      </c>
      <c r="B348">
        <v>347</v>
      </c>
      <c r="C348" t="s">
        <v>82</v>
      </c>
      <c r="D348" t="s">
        <v>92</v>
      </c>
      <c r="E348">
        <v>2</v>
      </c>
      <c r="F348">
        <v>180</v>
      </c>
      <c r="G348">
        <v>1</v>
      </c>
      <c r="H348" t="s">
        <v>84</v>
      </c>
      <c r="I348" t="s">
        <v>91</v>
      </c>
      <c r="J348" t="s">
        <v>85</v>
      </c>
      <c r="K348" t="s">
        <v>86</v>
      </c>
      <c r="L348" t="s">
        <v>71</v>
      </c>
      <c r="M348" t="s">
        <v>87</v>
      </c>
      <c r="O348" t="s">
        <v>88</v>
      </c>
      <c r="P348" t="s">
        <v>89</v>
      </c>
      <c r="X348" t="s">
        <v>77</v>
      </c>
      <c r="Z348" t="s">
        <v>72</v>
      </c>
      <c r="AB348">
        <v>5</v>
      </c>
      <c r="AC348">
        <v>748729.84</v>
      </c>
      <c r="AD348">
        <v>8930497.4499999993</v>
      </c>
      <c r="AE348">
        <v>189.72</v>
      </c>
      <c r="AF348">
        <v>748731.47</v>
      </c>
      <c r="AG348">
        <v>8930495.3300000001</v>
      </c>
      <c r="AH348">
        <v>180</v>
      </c>
      <c r="AI348">
        <v>10.09</v>
      </c>
      <c r="AJ348">
        <v>0</v>
      </c>
      <c r="AK348">
        <v>1.5</v>
      </c>
      <c r="AL348">
        <v>0.8</v>
      </c>
      <c r="AM348">
        <v>142.61000000000001</v>
      </c>
      <c r="AN348">
        <v>15.38</v>
      </c>
      <c r="AO348">
        <v>0</v>
      </c>
      <c r="AP348">
        <v>3.31</v>
      </c>
      <c r="AQ348">
        <v>0.6</v>
      </c>
      <c r="AR348">
        <v>0.09</v>
      </c>
      <c r="AS348">
        <v>0.08</v>
      </c>
      <c r="AT348">
        <v>20.43</v>
      </c>
      <c r="AU348">
        <v>5.2</v>
      </c>
      <c r="AV348">
        <v>0.36</v>
      </c>
      <c r="AW348">
        <v>1.67</v>
      </c>
      <c r="AX348">
        <v>9.0399999999999991</v>
      </c>
      <c r="AY348">
        <v>0</v>
      </c>
      <c r="AZ348">
        <v>0</v>
      </c>
      <c r="BA348">
        <v>0</v>
      </c>
      <c r="BB348">
        <v>0</v>
      </c>
      <c r="BC348">
        <v>0</v>
      </c>
      <c r="BD348">
        <v>0</v>
      </c>
    </row>
    <row r="349" spans="1:56" x14ac:dyDescent="0.25">
      <c r="A349" s="23">
        <v>46304</v>
      </c>
      <c r="B349">
        <v>348</v>
      </c>
      <c r="C349" t="s">
        <v>82</v>
      </c>
      <c r="D349" t="s">
        <v>92</v>
      </c>
      <c r="E349">
        <v>2</v>
      </c>
      <c r="F349">
        <v>180</v>
      </c>
      <c r="G349">
        <v>1</v>
      </c>
      <c r="H349" t="s">
        <v>84</v>
      </c>
      <c r="I349" t="s">
        <v>91</v>
      </c>
      <c r="J349" t="s">
        <v>85</v>
      </c>
      <c r="K349" t="s">
        <v>86</v>
      </c>
      <c r="L349" t="s">
        <v>71</v>
      </c>
      <c r="M349" t="s">
        <v>87</v>
      </c>
      <c r="O349" t="s">
        <v>88</v>
      </c>
      <c r="P349" t="s">
        <v>89</v>
      </c>
      <c r="X349" t="s">
        <v>77</v>
      </c>
      <c r="Z349" t="s">
        <v>72</v>
      </c>
      <c r="AB349">
        <v>5</v>
      </c>
      <c r="AC349">
        <v>748731.04</v>
      </c>
      <c r="AD349">
        <v>8930498.3499999996</v>
      </c>
      <c r="AE349">
        <v>189.76</v>
      </c>
      <c r="AF349">
        <v>748732.66</v>
      </c>
      <c r="AG349">
        <v>8930496.2400000002</v>
      </c>
      <c r="AH349">
        <v>180</v>
      </c>
      <c r="AI349">
        <v>10.119999999999999</v>
      </c>
      <c r="AJ349">
        <v>0</v>
      </c>
      <c r="AK349">
        <v>1.5</v>
      </c>
      <c r="AL349">
        <v>0.8</v>
      </c>
      <c r="AM349">
        <v>142.61000000000001</v>
      </c>
      <c r="AN349">
        <v>15.27</v>
      </c>
      <c r="AO349">
        <v>0</v>
      </c>
      <c r="AP349">
        <v>3.29</v>
      </c>
      <c r="AQ349">
        <v>0.59</v>
      </c>
      <c r="AR349">
        <v>0.09</v>
      </c>
      <c r="AS349">
        <v>0.08</v>
      </c>
      <c r="AT349">
        <v>20.239999999999998</v>
      </c>
      <c r="AU349">
        <v>5.21</v>
      </c>
      <c r="AV349">
        <v>0.36</v>
      </c>
      <c r="AW349">
        <v>1.66</v>
      </c>
      <c r="AX349">
        <v>9.11</v>
      </c>
      <c r="AY349">
        <v>0</v>
      </c>
      <c r="AZ349">
        <v>0</v>
      </c>
      <c r="BA349">
        <v>0</v>
      </c>
      <c r="BB349">
        <v>0</v>
      </c>
      <c r="BC349">
        <v>0</v>
      </c>
      <c r="BD349">
        <v>0</v>
      </c>
    </row>
    <row r="350" spans="1:56" x14ac:dyDescent="0.25">
      <c r="A350" s="23">
        <v>46304</v>
      </c>
      <c r="B350">
        <v>349</v>
      </c>
      <c r="C350" t="s">
        <v>82</v>
      </c>
      <c r="D350" t="s">
        <v>92</v>
      </c>
      <c r="E350">
        <v>2</v>
      </c>
      <c r="F350">
        <v>180</v>
      </c>
      <c r="G350">
        <v>1</v>
      </c>
      <c r="H350" t="s">
        <v>84</v>
      </c>
      <c r="I350" t="s">
        <v>91</v>
      </c>
      <c r="J350" t="s">
        <v>85</v>
      </c>
      <c r="K350" t="s">
        <v>86</v>
      </c>
      <c r="L350" t="s">
        <v>71</v>
      </c>
      <c r="M350" t="s">
        <v>87</v>
      </c>
      <c r="O350" t="s">
        <v>88</v>
      </c>
      <c r="P350" t="s">
        <v>89</v>
      </c>
      <c r="X350" t="s">
        <v>77</v>
      </c>
      <c r="Z350" t="s">
        <v>72</v>
      </c>
      <c r="AB350">
        <v>5</v>
      </c>
      <c r="AC350">
        <v>748732.23</v>
      </c>
      <c r="AD350">
        <v>8930499.2699999996</v>
      </c>
      <c r="AE350">
        <v>189.8</v>
      </c>
      <c r="AF350">
        <v>748733.85</v>
      </c>
      <c r="AG350">
        <v>8930497.1500000004</v>
      </c>
      <c r="AH350">
        <v>180</v>
      </c>
      <c r="AI350">
        <v>10.15</v>
      </c>
      <c r="AJ350">
        <v>0</v>
      </c>
      <c r="AK350">
        <v>1.5</v>
      </c>
      <c r="AL350">
        <v>0.8</v>
      </c>
      <c r="AM350">
        <v>142.61000000000001</v>
      </c>
      <c r="AN350">
        <v>15.26</v>
      </c>
      <c r="AO350">
        <v>0</v>
      </c>
      <c r="AP350">
        <v>3.28</v>
      </c>
      <c r="AQ350">
        <v>0.59</v>
      </c>
      <c r="AR350">
        <v>0.09</v>
      </c>
      <c r="AS350">
        <v>0.08</v>
      </c>
      <c r="AT350">
        <v>20.09</v>
      </c>
      <c r="AU350">
        <v>5.22</v>
      </c>
      <c r="AV350">
        <v>0.36</v>
      </c>
      <c r="AW350">
        <v>1.65</v>
      </c>
      <c r="AX350">
        <v>9.16</v>
      </c>
      <c r="AY350">
        <v>0</v>
      </c>
      <c r="AZ350">
        <v>0</v>
      </c>
      <c r="BA350">
        <v>0</v>
      </c>
      <c r="BB350">
        <v>0</v>
      </c>
      <c r="BC350">
        <v>0</v>
      </c>
      <c r="BD350">
        <v>0</v>
      </c>
    </row>
    <row r="351" spans="1:56" x14ac:dyDescent="0.25">
      <c r="A351" s="23">
        <v>46304</v>
      </c>
      <c r="B351">
        <v>350</v>
      </c>
      <c r="C351" t="s">
        <v>82</v>
      </c>
      <c r="D351" t="s">
        <v>92</v>
      </c>
      <c r="E351">
        <v>2</v>
      </c>
      <c r="F351">
        <v>180</v>
      </c>
      <c r="G351">
        <v>1</v>
      </c>
      <c r="H351" t="s">
        <v>84</v>
      </c>
      <c r="I351" t="s">
        <v>91</v>
      </c>
      <c r="J351" t="s">
        <v>85</v>
      </c>
      <c r="K351" t="s">
        <v>86</v>
      </c>
      <c r="L351" t="s">
        <v>71</v>
      </c>
      <c r="M351" t="s">
        <v>87</v>
      </c>
      <c r="O351" t="s">
        <v>88</v>
      </c>
      <c r="P351" t="s">
        <v>89</v>
      </c>
      <c r="X351" t="s">
        <v>77</v>
      </c>
      <c r="Z351" t="s">
        <v>72</v>
      </c>
      <c r="AB351">
        <v>5</v>
      </c>
      <c r="AC351">
        <v>748733.42</v>
      </c>
      <c r="AD351">
        <v>8930500.1799999997</v>
      </c>
      <c r="AE351">
        <v>189.8</v>
      </c>
      <c r="AF351">
        <v>748735.04</v>
      </c>
      <c r="AG351">
        <v>8930498.0600000005</v>
      </c>
      <c r="AH351">
        <v>180</v>
      </c>
      <c r="AI351">
        <v>10.15</v>
      </c>
      <c r="AJ351">
        <v>0</v>
      </c>
      <c r="AK351">
        <v>1.5</v>
      </c>
      <c r="AL351">
        <v>0.8</v>
      </c>
      <c r="AM351">
        <v>142.61000000000001</v>
      </c>
      <c r="AN351">
        <v>15.25</v>
      </c>
      <c r="AO351">
        <v>0</v>
      </c>
      <c r="AP351">
        <v>3.27</v>
      </c>
      <c r="AQ351">
        <v>0.57999999999999996</v>
      </c>
      <c r="AR351">
        <v>0.09</v>
      </c>
      <c r="AS351">
        <v>7.0000000000000007E-2</v>
      </c>
      <c r="AT351">
        <v>18.579999999999998</v>
      </c>
      <c r="AU351">
        <v>5.08</v>
      </c>
      <c r="AV351">
        <v>0.35</v>
      </c>
      <c r="AW351">
        <v>1.66</v>
      </c>
      <c r="AX351">
        <v>8.68</v>
      </c>
      <c r="AY351">
        <v>0</v>
      </c>
      <c r="AZ351">
        <v>0</v>
      </c>
      <c r="BA351">
        <v>0</v>
      </c>
      <c r="BB351">
        <v>0</v>
      </c>
      <c r="BC351">
        <v>0</v>
      </c>
      <c r="BD351">
        <v>0</v>
      </c>
    </row>
    <row r="352" spans="1:56" x14ac:dyDescent="0.25">
      <c r="A352" s="23">
        <v>46304</v>
      </c>
      <c r="B352">
        <v>351</v>
      </c>
      <c r="C352" t="s">
        <v>82</v>
      </c>
      <c r="D352" t="s">
        <v>92</v>
      </c>
      <c r="E352">
        <v>2</v>
      </c>
      <c r="F352">
        <v>180</v>
      </c>
      <c r="G352">
        <v>1</v>
      </c>
      <c r="H352" t="s">
        <v>84</v>
      </c>
      <c r="I352" t="s">
        <v>91</v>
      </c>
      <c r="J352" t="s">
        <v>85</v>
      </c>
      <c r="K352" t="s">
        <v>86</v>
      </c>
      <c r="L352" t="s">
        <v>71</v>
      </c>
      <c r="M352" t="s">
        <v>87</v>
      </c>
      <c r="O352" t="s">
        <v>88</v>
      </c>
      <c r="P352" t="s">
        <v>89</v>
      </c>
      <c r="X352" t="s">
        <v>77</v>
      </c>
      <c r="Z352" t="s">
        <v>72</v>
      </c>
      <c r="AB352">
        <v>5</v>
      </c>
      <c r="AC352">
        <v>748734.63</v>
      </c>
      <c r="AD352">
        <v>8930501.0700000003</v>
      </c>
      <c r="AE352">
        <v>189.76</v>
      </c>
      <c r="AF352">
        <v>748736.24</v>
      </c>
      <c r="AG352">
        <v>8930498.9700000007</v>
      </c>
      <c r="AH352">
        <v>180</v>
      </c>
      <c r="AI352">
        <v>10.11</v>
      </c>
      <c r="AJ352">
        <v>0</v>
      </c>
      <c r="AK352">
        <v>1.5</v>
      </c>
      <c r="AL352">
        <v>0.8</v>
      </c>
      <c r="AM352">
        <v>142.61000000000001</v>
      </c>
      <c r="AN352">
        <v>15.15</v>
      </c>
      <c r="AO352">
        <v>0</v>
      </c>
      <c r="AP352">
        <v>3.27</v>
      </c>
      <c r="AQ352">
        <v>0.57999999999999996</v>
      </c>
      <c r="AR352">
        <v>0.09</v>
      </c>
      <c r="AS352">
        <v>7.0000000000000007E-2</v>
      </c>
      <c r="AT352">
        <v>18.579999999999998</v>
      </c>
      <c r="AU352">
        <v>5.08</v>
      </c>
      <c r="AV352">
        <v>0.35</v>
      </c>
      <c r="AW352">
        <v>1.66</v>
      </c>
      <c r="AX352">
        <v>8.68</v>
      </c>
      <c r="AY352">
        <v>0</v>
      </c>
      <c r="AZ352">
        <v>0</v>
      </c>
      <c r="BA352">
        <v>0</v>
      </c>
      <c r="BB352">
        <v>0</v>
      </c>
      <c r="BC352">
        <v>0</v>
      </c>
      <c r="BD352">
        <v>0</v>
      </c>
    </row>
    <row r="353" spans="1:56" x14ac:dyDescent="0.25">
      <c r="A353" s="23">
        <v>46304</v>
      </c>
      <c r="B353">
        <v>352</v>
      </c>
      <c r="C353" t="s">
        <v>82</v>
      </c>
      <c r="D353" t="s">
        <v>92</v>
      </c>
      <c r="E353">
        <v>2</v>
      </c>
      <c r="F353">
        <v>180</v>
      </c>
      <c r="G353">
        <v>1</v>
      </c>
      <c r="H353" t="s">
        <v>84</v>
      </c>
      <c r="I353" t="s">
        <v>91</v>
      </c>
      <c r="J353" t="s">
        <v>85</v>
      </c>
      <c r="K353" t="s">
        <v>86</v>
      </c>
      <c r="L353" t="s">
        <v>71</v>
      </c>
      <c r="M353" t="s">
        <v>87</v>
      </c>
      <c r="O353" t="s">
        <v>88</v>
      </c>
      <c r="P353" t="s">
        <v>89</v>
      </c>
      <c r="X353" t="s">
        <v>77</v>
      </c>
      <c r="Z353" t="s">
        <v>72</v>
      </c>
      <c r="AB353">
        <v>5</v>
      </c>
      <c r="AC353">
        <v>748735.8</v>
      </c>
      <c r="AD353">
        <v>8930502.0199999996</v>
      </c>
      <c r="AE353">
        <v>189.75</v>
      </c>
      <c r="AF353">
        <v>748737.43</v>
      </c>
      <c r="AG353">
        <v>8930499.8800000008</v>
      </c>
      <c r="AH353">
        <v>180</v>
      </c>
      <c r="AI353">
        <v>10.119999999999999</v>
      </c>
      <c r="AJ353">
        <v>0</v>
      </c>
      <c r="AK353">
        <v>1.5</v>
      </c>
      <c r="AL353">
        <v>0.8</v>
      </c>
      <c r="AM353">
        <v>142.61000000000001</v>
      </c>
      <c r="AN353">
        <v>15.39</v>
      </c>
      <c r="AO353">
        <v>0</v>
      </c>
      <c r="AP353">
        <v>3.27</v>
      </c>
      <c r="AQ353">
        <v>0.57999999999999996</v>
      </c>
      <c r="AR353">
        <v>0.09</v>
      </c>
      <c r="AS353">
        <v>7.0000000000000007E-2</v>
      </c>
      <c r="AT353">
        <v>18.579999999999998</v>
      </c>
      <c r="AU353">
        <v>5.08</v>
      </c>
      <c r="AV353">
        <v>0.35</v>
      </c>
      <c r="AW353">
        <v>1.66</v>
      </c>
      <c r="AX353">
        <v>8.68</v>
      </c>
      <c r="AY353">
        <v>0</v>
      </c>
      <c r="AZ353">
        <v>0</v>
      </c>
      <c r="BA353">
        <v>0</v>
      </c>
      <c r="BB353">
        <v>0</v>
      </c>
      <c r="BC353">
        <v>0</v>
      </c>
      <c r="BD353">
        <v>0</v>
      </c>
    </row>
    <row r="354" spans="1:56" x14ac:dyDescent="0.25">
      <c r="A354" s="23">
        <v>46304</v>
      </c>
      <c r="B354">
        <v>353</v>
      </c>
      <c r="C354" t="s">
        <v>82</v>
      </c>
      <c r="D354" t="s">
        <v>92</v>
      </c>
      <c r="E354">
        <v>2</v>
      </c>
      <c r="F354">
        <v>180</v>
      </c>
      <c r="G354">
        <v>1</v>
      </c>
      <c r="H354" t="s">
        <v>84</v>
      </c>
      <c r="I354" t="s">
        <v>91</v>
      </c>
      <c r="J354" t="s">
        <v>85</v>
      </c>
      <c r="K354" t="s">
        <v>86</v>
      </c>
      <c r="L354" t="s">
        <v>71</v>
      </c>
      <c r="M354" t="s">
        <v>87</v>
      </c>
      <c r="O354" t="s">
        <v>88</v>
      </c>
      <c r="P354" t="s">
        <v>89</v>
      </c>
      <c r="X354" t="s">
        <v>77</v>
      </c>
      <c r="Z354" t="s">
        <v>72</v>
      </c>
      <c r="AB354">
        <v>5</v>
      </c>
      <c r="AC354">
        <v>748737.02</v>
      </c>
      <c r="AD354">
        <v>8930502.8800000008</v>
      </c>
      <c r="AE354">
        <v>189.8</v>
      </c>
      <c r="AF354">
        <v>748738.62</v>
      </c>
      <c r="AG354">
        <v>8930500.7899999991</v>
      </c>
      <c r="AH354">
        <v>180</v>
      </c>
      <c r="AI354">
        <v>10.14</v>
      </c>
      <c r="AJ354">
        <v>0</v>
      </c>
      <c r="AK354">
        <v>1.5</v>
      </c>
      <c r="AL354">
        <v>0.8</v>
      </c>
      <c r="AM354">
        <v>142.61000000000001</v>
      </c>
      <c r="AN354">
        <v>15.04</v>
      </c>
      <c r="AO354">
        <v>0</v>
      </c>
      <c r="AP354">
        <v>3.27</v>
      </c>
      <c r="AQ354">
        <v>0.56000000000000005</v>
      </c>
      <c r="AR354">
        <v>0.08</v>
      </c>
      <c r="AS354">
        <v>7.0000000000000007E-2</v>
      </c>
      <c r="AT354">
        <v>17.190000000000001</v>
      </c>
      <c r="AU354">
        <v>5.0199999999999996</v>
      </c>
      <c r="AV354">
        <v>0.34</v>
      </c>
      <c r="AW354">
        <v>1.66</v>
      </c>
      <c r="AX354">
        <v>7.9</v>
      </c>
      <c r="AY354">
        <v>0</v>
      </c>
      <c r="AZ354">
        <v>0</v>
      </c>
      <c r="BA354">
        <v>0</v>
      </c>
      <c r="BB354">
        <v>0</v>
      </c>
      <c r="BC354">
        <v>0</v>
      </c>
      <c r="BD354">
        <v>0</v>
      </c>
    </row>
    <row r="355" spans="1:56" x14ac:dyDescent="0.25">
      <c r="A355" s="23">
        <v>46304</v>
      </c>
      <c r="B355">
        <v>354</v>
      </c>
      <c r="C355" t="s">
        <v>82</v>
      </c>
      <c r="D355" t="s">
        <v>92</v>
      </c>
      <c r="E355">
        <v>2</v>
      </c>
      <c r="F355">
        <v>180</v>
      </c>
      <c r="G355">
        <v>1</v>
      </c>
      <c r="H355" t="s">
        <v>84</v>
      </c>
      <c r="I355" t="s">
        <v>91</v>
      </c>
      <c r="J355" t="s">
        <v>85</v>
      </c>
      <c r="K355" t="s">
        <v>86</v>
      </c>
      <c r="L355" t="s">
        <v>71</v>
      </c>
      <c r="M355" t="s">
        <v>87</v>
      </c>
      <c r="O355" t="s">
        <v>88</v>
      </c>
      <c r="P355" t="s">
        <v>89</v>
      </c>
      <c r="X355" t="s">
        <v>77</v>
      </c>
      <c r="Z355" t="s">
        <v>72</v>
      </c>
      <c r="AB355">
        <v>5</v>
      </c>
      <c r="AC355">
        <v>748738.28</v>
      </c>
      <c r="AD355">
        <v>8930503.6999999993</v>
      </c>
      <c r="AE355">
        <v>189.85</v>
      </c>
      <c r="AF355">
        <v>748739.81</v>
      </c>
      <c r="AG355">
        <v>8930501.6999999993</v>
      </c>
      <c r="AH355">
        <v>180</v>
      </c>
      <c r="AI355">
        <v>10.17</v>
      </c>
      <c r="AJ355">
        <v>0</v>
      </c>
      <c r="AK355">
        <v>1.5</v>
      </c>
      <c r="AL355">
        <v>0.8</v>
      </c>
      <c r="AM355">
        <v>142.61000000000001</v>
      </c>
      <c r="AN355">
        <v>14.32</v>
      </c>
      <c r="AO355">
        <v>0</v>
      </c>
      <c r="AP355">
        <v>3.27</v>
      </c>
      <c r="AQ355">
        <v>0.56000000000000005</v>
      </c>
      <c r="AR355">
        <v>0.08</v>
      </c>
      <c r="AS355">
        <v>7.0000000000000007E-2</v>
      </c>
      <c r="AT355">
        <v>17.190000000000001</v>
      </c>
      <c r="AU355">
        <v>5.0199999999999996</v>
      </c>
      <c r="AV355">
        <v>0.34</v>
      </c>
      <c r="AW355">
        <v>1.66</v>
      </c>
      <c r="AX355">
        <v>7.9</v>
      </c>
      <c r="AY355">
        <v>0</v>
      </c>
      <c r="AZ355">
        <v>0</v>
      </c>
      <c r="BA355">
        <v>0</v>
      </c>
      <c r="BB355">
        <v>0</v>
      </c>
      <c r="BC355">
        <v>0</v>
      </c>
      <c r="BD355">
        <v>0</v>
      </c>
    </row>
    <row r="356" spans="1:56" x14ac:dyDescent="0.25">
      <c r="A356" s="23">
        <v>46304</v>
      </c>
      <c r="B356">
        <v>355</v>
      </c>
      <c r="C356" t="s">
        <v>82</v>
      </c>
      <c r="D356" t="s">
        <v>92</v>
      </c>
      <c r="E356">
        <v>2</v>
      </c>
      <c r="F356">
        <v>180</v>
      </c>
      <c r="G356">
        <v>1</v>
      </c>
      <c r="H356" t="s">
        <v>84</v>
      </c>
      <c r="I356" t="s">
        <v>91</v>
      </c>
      <c r="J356" t="s">
        <v>85</v>
      </c>
      <c r="K356" t="s">
        <v>86</v>
      </c>
      <c r="L356" t="s">
        <v>71</v>
      </c>
      <c r="M356" t="s">
        <v>87</v>
      </c>
      <c r="O356" t="s">
        <v>88</v>
      </c>
      <c r="P356" t="s">
        <v>89</v>
      </c>
      <c r="X356" t="s">
        <v>77</v>
      </c>
      <c r="Z356" t="s">
        <v>72</v>
      </c>
      <c r="AB356">
        <v>5</v>
      </c>
      <c r="AC356">
        <v>748739.52</v>
      </c>
      <c r="AD356">
        <v>8930504.5500000007</v>
      </c>
      <c r="AE356">
        <v>189.9</v>
      </c>
      <c r="AF356">
        <v>748741</v>
      </c>
      <c r="AG356">
        <v>8930502.6099999994</v>
      </c>
      <c r="AH356">
        <v>180</v>
      </c>
      <c r="AI356">
        <v>10.199999999999999</v>
      </c>
      <c r="AJ356">
        <v>0</v>
      </c>
      <c r="AK356">
        <v>1.5</v>
      </c>
      <c r="AL356">
        <v>0.8</v>
      </c>
      <c r="AM356">
        <v>142.61000000000001</v>
      </c>
      <c r="AN356">
        <v>13.85</v>
      </c>
      <c r="AO356">
        <v>0</v>
      </c>
      <c r="AP356">
        <v>3.31</v>
      </c>
      <c r="AQ356">
        <v>0.55000000000000004</v>
      </c>
      <c r="AR356">
        <v>7.0000000000000007E-2</v>
      </c>
      <c r="AS356">
        <v>0.06</v>
      </c>
      <c r="AT356">
        <v>17.329999999999998</v>
      </c>
      <c r="AU356">
        <v>5.24</v>
      </c>
      <c r="AV356">
        <v>0.33</v>
      </c>
      <c r="AW356">
        <v>1.68</v>
      </c>
      <c r="AX356">
        <v>6.97</v>
      </c>
      <c r="AY356">
        <v>0</v>
      </c>
      <c r="AZ356">
        <v>0</v>
      </c>
      <c r="BA356">
        <v>0</v>
      </c>
      <c r="BB356">
        <v>0</v>
      </c>
      <c r="BC356">
        <v>0</v>
      </c>
      <c r="BD356">
        <v>0</v>
      </c>
    </row>
    <row r="357" spans="1:56" x14ac:dyDescent="0.25">
      <c r="A357" s="23">
        <v>46304</v>
      </c>
      <c r="B357">
        <v>356</v>
      </c>
      <c r="C357" t="s">
        <v>82</v>
      </c>
      <c r="D357" t="s">
        <v>92</v>
      </c>
      <c r="E357">
        <v>2</v>
      </c>
      <c r="F357">
        <v>180</v>
      </c>
      <c r="G357">
        <v>1</v>
      </c>
      <c r="H357" t="s">
        <v>84</v>
      </c>
      <c r="I357" t="s">
        <v>91</v>
      </c>
      <c r="J357" t="s">
        <v>85</v>
      </c>
      <c r="K357" t="s">
        <v>86</v>
      </c>
      <c r="L357" t="s">
        <v>71</v>
      </c>
      <c r="M357" t="s">
        <v>87</v>
      </c>
      <c r="O357" t="s">
        <v>88</v>
      </c>
      <c r="P357" t="s">
        <v>89</v>
      </c>
      <c r="X357" t="s">
        <v>77</v>
      </c>
      <c r="Z357" t="s">
        <v>72</v>
      </c>
      <c r="AB357">
        <v>5</v>
      </c>
      <c r="AC357">
        <v>748740.75</v>
      </c>
      <c r="AD357">
        <v>8930505.4199999999</v>
      </c>
      <c r="AE357">
        <v>189.95</v>
      </c>
      <c r="AF357">
        <v>748742.19</v>
      </c>
      <c r="AG357">
        <v>8930503.5199999996</v>
      </c>
      <c r="AH357">
        <v>180</v>
      </c>
      <c r="AI357">
        <v>10.23</v>
      </c>
      <c r="AJ357">
        <v>0</v>
      </c>
      <c r="AK357">
        <v>1.5</v>
      </c>
      <c r="AL357">
        <v>0.8</v>
      </c>
      <c r="AM357">
        <v>142.61000000000001</v>
      </c>
      <c r="AN357">
        <v>13.45</v>
      </c>
      <c r="AO357">
        <v>0</v>
      </c>
      <c r="AP357">
        <v>3.31</v>
      </c>
      <c r="AQ357">
        <v>0.55000000000000004</v>
      </c>
      <c r="AR357">
        <v>7.0000000000000007E-2</v>
      </c>
      <c r="AS357">
        <v>0.06</v>
      </c>
      <c r="AT357">
        <v>17.29</v>
      </c>
      <c r="AU357">
        <v>5.28</v>
      </c>
      <c r="AV357">
        <v>0.33</v>
      </c>
      <c r="AW357">
        <v>1.7</v>
      </c>
      <c r="AX357">
        <v>6.74</v>
      </c>
      <c r="AY357">
        <v>0</v>
      </c>
      <c r="AZ357">
        <v>0</v>
      </c>
      <c r="BA357">
        <v>0</v>
      </c>
      <c r="BB357">
        <v>0</v>
      </c>
      <c r="BC357">
        <v>0</v>
      </c>
      <c r="BD357">
        <v>0</v>
      </c>
    </row>
    <row r="358" spans="1:56" x14ac:dyDescent="0.25">
      <c r="A358" s="23">
        <v>46304</v>
      </c>
      <c r="B358">
        <v>357</v>
      </c>
      <c r="C358" t="s">
        <v>82</v>
      </c>
      <c r="D358" t="s">
        <v>92</v>
      </c>
      <c r="E358">
        <v>2</v>
      </c>
      <c r="F358">
        <v>180</v>
      </c>
      <c r="G358">
        <v>1</v>
      </c>
      <c r="H358" t="s">
        <v>84</v>
      </c>
      <c r="I358" t="s">
        <v>91</v>
      </c>
      <c r="J358" t="s">
        <v>85</v>
      </c>
      <c r="K358" t="s">
        <v>86</v>
      </c>
      <c r="L358" t="s">
        <v>71</v>
      </c>
      <c r="M358" t="s">
        <v>87</v>
      </c>
      <c r="O358" t="s">
        <v>88</v>
      </c>
      <c r="P358" t="s">
        <v>89</v>
      </c>
      <c r="X358" t="s">
        <v>77</v>
      </c>
      <c r="Z358" t="s">
        <v>72</v>
      </c>
      <c r="AB358">
        <v>5</v>
      </c>
      <c r="AC358">
        <v>748741.96</v>
      </c>
      <c r="AD358">
        <v>8930506.3000000007</v>
      </c>
      <c r="AE358">
        <v>190</v>
      </c>
      <c r="AF358">
        <v>748743.38</v>
      </c>
      <c r="AG358">
        <v>8930504.4299999997</v>
      </c>
      <c r="AH358">
        <v>180</v>
      </c>
      <c r="AI358">
        <v>10.28</v>
      </c>
      <c r="AJ358">
        <v>0</v>
      </c>
      <c r="AK358">
        <v>1.5</v>
      </c>
      <c r="AL358">
        <v>0.8</v>
      </c>
      <c r="AM358">
        <v>142.82</v>
      </c>
      <c r="AN358">
        <v>13.23</v>
      </c>
      <c r="AO358">
        <v>0</v>
      </c>
      <c r="AP358">
        <v>3.31</v>
      </c>
      <c r="AQ358">
        <v>0.55000000000000004</v>
      </c>
      <c r="AR358">
        <v>7.0000000000000007E-2</v>
      </c>
      <c r="AS358">
        <v>0.06</v>
      </c>
      <c r="AT358">
        <v>17.29</v>
      </c>
      <c r="AU358">
        <v>5.28</v>
      </c>
      <c r="AV358">
        <v>0.33</v>
      </c>
      <c r="AW358">
        <v>1.7</v>
      </c>
      <c r="AX358">
        <v>6.74</v>
      </c>
      <c r="AY358">
        <v>0</v>
      </c>
      <c r="AZ358">
        <v>0</v>
      </c>
      <c r="BA358">
        <v>0</v>
      </c>
      <c r="BB358">
        <v>0</v>
      </c>
      <c r="BC358">
        <v>0</v>
      </c>
      <c r="BD358">
        <v>0</v>
      </c>
    </row>
    <row r="359" spans="1:56" x14ac:dyDescent="0.25">
      <c r="A359" s="23">
        <v>46304</v>
      </c>
      <c r="B359">
        <v>358</v>
      </c>
      <c r="C359" t="s">
        <v>82</v>
      </c>
      <c r="D359" t="s">
        <v>92</v>
      </c>
      <c r="E359">
        <v>2</v>
      </c>
      <c r="F359">
        <v>180</v>
      </c>
      <c r="G359">
        <v>1</v>
      </c>
      <c r="H359" t="s">
        <v>84</v>
      </c>
      <c r="I359" t="s">
        <v>91</v>
      </c>
      <c r="J359" t="s">
        <v>85</v>
      </c>
      <c r="K359" t="s">
        <v>86</v>
      </c>
      <c r="L359" t="s">
        <v>71</v>
      </c>
      <c r="M359" t="s">
        <v>87</v>
      </c>
      <c r="O359" t="s">
        <v>88</v>
      </c>
      <c r="P359" t="s">
        <v>89</v>
      </c>
      <c r="X359" t="s">
        <v>77</v>
      </c>
      <c r="Z359" t="s">
        <v>72</v>
      </c>
      <c r="AB359">
        <v>5</v>
      </c>
      <c r="AC359">
        <v>748743.17</v>
      </c>
      <c r="AD359">
        <v>8930507.1699999999</v>
      </c>
      <c r="AE359">
        <v>190.05</v>
      </c>
      <c r="AF359">
        <v>748744.49</v>
      </c>
      <c r="AG359">
        <v>8930505.2799999993</v>
      </c>
      <c r="AH359">
        <v>180</v>
      </c>
      <c r="AI359">
        <v>10.31</v>
      </c>
      <c r="AJ359">
        <v>0</v>
      </c>
      <c r="AK359">
        <v>1.5</v>
      </c>
      <c r="AL359">
        <v>0.8</v>
      </c>
      <c r="AM359">
        <v>144.94</v>
      </c>
      <c r="AN359">
        <v>12.94</v>
      </c>
      <c r="AO359">
        <v>0</v>
      </c>
      <c r="AP359">
        <v>3.31</v>
      </c>
      <c r="AQ359">
        <v>0.55000000000000004</v>
      </c>
      <c r="AR359">
        <v>7.0000000000000007E-2</v>
      </c>
      <c r="AS359">
        <v>0.06</v>
      </c>
      <c r="AT359">
        <v>17.29</v>
      </c>
      <c r="AU359">
        <v>5.28</v>
      </c>
      <c r="AV359">
        <v>0.33</v>
      </c>
      <c r="AW359">
        <v>1.7</v>
      </c>
      <c r="AX359">
        <v>6.74</v>
      </c>
      <c r="AY359">
        <v>0</v>
      </c>
      <c r="AZ359">
        <v>0</v>
      </c>
      <c r="BA359">
        <v>0</v>
      </c>
      <c r="BB359">
        <v>0</v>
      </c>
      <c r="BC359">
        <v>0</v>
      </c>
      <c r="BD359">
        <v>0</v>
      </c>
    </row>
    <row r="360" spans="1:56" x14ac:dyDescent="0.25">
      <c r="A360" s="23">
        <v>46304</v>
      </c>
      <c r="B360">
        <v>359</v>
      </c>
      <c r="C360" t="s">
        <v>82</v>
      </c>
      <c r="D360" t="s">
        <v>83</v>
      </c>
      <c r="E360">
        <v>2</v>
      </c>
      <c r="F360">
        <v>180</v>
      </c>
      <c r="G360">
        <v>1</v>
      </c>
      <c r="H360" t="s">
        <v>84</v>
      </c>
      <c r="I360" t="s">
        <v>91</v>
      </c>
      <c r="J360" t="s">
        <v>85</v>
      </c>
      <c r="K360" t="s">
        <v>86</v>
      </c>
      <c r="L360" t="s">
        <v>71</v>
      </c>
      <c r="M360" t="s">
        <v>87</v>
      </c>
      <c r="O360" t="s">
        <v>88</v>
      </c>
      <c r="P360" t="s">
        <v>89</v>
      </c>
      <c r="X360" t="s">
        <v>77</v>
      </c>
      <c r="Z360" t="s">
        <v>72</v>
      </c>
      <c r="AB360">
        <v>5</v>
      </c>
      <c r="AC360">
        <v>748744.41</v>
      </c>
      <c r="AD360">
        <v>8930507.9800000004</v>
      </c>
      <c r="AE360">
        <v>190.09</v>
      </c>
      <c r="AF360">
        <v>748745.64</v>
      </c>
      <c r="AG360">
        <v>8930506.0800000001</v>
      </c>
      <c r="AH360">
        <v>180</v>
      </c>
      <c r="AI360">
        <v>10.34</v>
      </c>
      <c r="AJ360">
        <v>0</v>
      </c>
      <c r="AK360">
        <v>1.5</v>
      </c>
      <c r="AL360">
        <v>0.8</v>
      </c>
      <c r="AM360">
        <v>147.21</v>
      </c>
      <c r="AN360">
        <v>12.64</v>
      </c>
      <c r="AO360">
        <v>0</v>
      </c>
      <c r="AP360">
        <v>3.29</v>
      </c>
      <c r="AQ360">
        <v>0.52</v>
      </c>
      <c r="AR360">
        <v>7.0000000000000007E-2</v>
      </c>
      <c r="AS360">
        <v>0.06</v>
      </c>
      <c r="AT360">
        <v>16.48</v>
      </c>
      <c r="AU360">
        <v>5.0999999999999996</v>
      </c>
      <c r="AV360">
        <v>0.31</v>
      </c>
      <c r="AW360">
        <v>1.69</v>
      </c>
      <c r="AX360">
        <v>6.07</v>
      </c>
      <c r="AY360">
        <v>0</v>
      </c>
      <c r="AZ360">
        <v>0</v>
      </c>
      <c r="BA360">
        <v>0</v>
      </c>
      <c r="BB360">
        <v>0</v>
      </c>
      <c r="BC360">
        <v>0</v>
      </c>
      <c r="BD360">
        <v>0</v>
      </c>
    </row>
    <row r="361" spans="1:56" x14ac:dyDescent="0.25">
      <c r="A361" s="23">
        <v>46304</v>
      </c>
      <c r="B361">
        <v>360</v>
      </c>
      <c r="C361" t="s">
        <v>82</v>
      </c>
      <c r="D361" t="s">
        <v>83</v>
      </c>
      <c r="E361">
        <v>2</v>
      </c>
      <c r="F361">
        <v>180</v>
      </c>
      <c r="G361">
        <v>1</v>
      </c>
      <c r="H361" t="s">
        <v>84</v>
      </c>
      <c r="I361" t="s">
        <v>91</v>
      </c>
      <c r="J361" t="s">
        <v>85</v>
      </c>
      <c r="K361" t="s">
        <v>86</v>
      </c>
      <c r="L361" t="s">
        <v>71</v>
      </c>
      <c r="M361" t="s">
        <v>87</v>
      </c>
      <c r="O361" t="s">
        <v>88</v>
      </c>
      <c r="P361" t="s">
        <v>89</v>
      </c>
      <c r="X361" t="s">
        <v>77</v>
      </c>
      <c r="Z361" t="s">
        <v>72</v>
      </c>
      <c r="AB361">
        <v>5</v>
      </c>
      <c r="AC361">
        <v>748745.68</v>
      </c>
      <c r="AD361">
        <v>8930508.7799999993</v>
      </c>
      <c r="AE361">
        <v>190.13</v>
      </c>
      <c r="AF361">
        <v>748746.9</v>
      </c>
      <c r="AG361">
        <v>8930506.8900000006</v>
      </c>
      <c r="AH361">
        <v>180</v>
      </c>
      <c r="AI361">
        <v>10.38</v>
      </c>
      <c r="AJ361">
        <v>0</v>
      </c>
      <c r="AK361">
        <v>1.5</v>
      </c>
      <c r="AL361">
        <v>0.8</v>
      </c>
      <c r="AM361">
        <v>147.21</v>
      </c>
      <c r="AN361">
        <v>12.47</v>
      </c>
      <c r="AO361">
        <v>0</v>
      </c>
      <c r="AP361">
        <v>3.29</v>
      </c>
      <c r="AQ361">
        <v>0.52</v>
      </c>
      <c r="AR361">
        <v>7.0000000000000007E-2</v>
      </c>
      <c r="AS361">
        <v>0.06</v>
      </c>
      <c r="AT361">
        <v>16.48</v>
      </c>
      <c r="AU361">
        <v>5.0999999999999996</v>
      </c>
      <c r="AV361">
        <v>0.31</v>
      </c>
      <c r="AW361">
        <v>1.69</v>
      </c>
      <c r="AX361">
        <v>6.07</v>
      </c>
      <c r="AY361">
        <v>0</v>
      </c>
      <c r="AZ361">
        <v>0</v>
      </c>
      <c r="BA361">
        <v>0</v>
      </c>
      <c r="BB361">
        <v>0</v>
      </c>
      <c r="BC361">
        <v>0</v>
      </c>
      <c r="BD361">
        <v>0</v>
      </c>
    </row>
    <row r="362" spans="1:56" x14ac:dyDescent="0.25">
      <c r="A362" s="23">
        <v>46304</v>
      </c>
      <c r="B362">
        <v>361</v>
      </c>
      <c r="C362" t="s">
        <v>82</v>
      </c>
      <c r="D362" t="s">
        <v>83</v>
      </c>
      <c r="E362">
        <v>2</v>
      </c>
      <c r="F362">
        <v>180</v>
      </c>
      <c r="G362">
        <v>1</v>
      </c>
      <c r="H362" t="s">
        <v>84</v>
      </c>
      <c r="I362" t="s">
        <v>91</v>
      </c>
      <c r="J362" t="s">
        <v>85</v>
      </c>
      <c r="K362" t="s">
        <v>86</v>
      </c>
      <c r="L362" t="s">
        <v>71</v>
      </c>
      <c r="M362" t="s">
        <v>87</v>
      </c>
      <c r="O362" t="s">
        <v>88</v>
      </c>
      <c r="P362" t="s">
        <v>89</v>
      </c>
      <c r="X362" t="s">
        <v>77</v>
      </c>
      <c r="Z362" t="s">
        <v>72</v>
      </c>
      <c r="AB362">
        <v>5</v>
      </c>
      <c r="AC362">
        <v>748746.93</v>
      </c>
      <c r="AD362">
        <v>8930509.5999999996</v>
      </c>
      <c r="AE362">
        <v>190.17</v>
      </c>
      <c r="AF362">
        <v>748748.16</v>
      </c>
      <c r="AG362">
        <v>8930507.6999999993</v>
      </c>
      <c r="AH362">
        <v>180</v>
      </c>
      <c r="AI362">
        <v>10.42</v>
      </c>
      <c r="AJ362">
        <v>0</v>
      </c>
      <c r="AK362">
        <v>1.5</v>
      </c>
      <c r="AL362">
        <v>0.8</v>
      </c>
      <c r="AM362">
        <v>147.21</v>
      </c>
      <c r="AN362">
        <v>12.52</v>
      </c>
      <c r="AO362">
        <v>0</v>
      </c>
      <c r="AP362">
        <v>3.29</v>
      </c>
      <c r="AQ362">
        <v>0.52</v>
      </c>
      <c r="AR362">
        <v>7.0000000000000007E-2</v>
      </c>
      <c r="AS362">
        <v>0.06</v>
      </c>
      <c r="AT362">
        <v>16.48</v>
      </c>
      <c r="AU362">
        <v>5.0999999999999996</v>
      </c>
      <c r="AV362">
        <v>0.31</v>
      </c>
      <c r="AW362">
        <v>1.69</v>
      </c>
      <c r="AX362">
        <v>6.07</v>
      </c>
      <c r="AY362">
        <v>0</v>
      </c>
      <c r="AZ362">
        <v>0</v>
      </c>
      <c r="BA362">
        <v>0</v>
      </c>
      <c r="BB362">
        <v>0</v>
      </c>
      <c r="BC362">
        <v>0</v>
      </c>
      <c r="BD362">
        <v>0</v>
      </c>
    </row>
    <row r="363" spans="1:56" x14ac:dyDescent="0.25">
      <c r="A363" s="23">
        <v>46304</v>
      </c>
      <c r="B363">
        <v>362</v>
      </c>
      <c r="C363" t="s">
        <v>82</v>
      </c>
      <c r="D363" t="s">
        <v>83</v>
      </c>
      <c r="E363">
        <v>2</v>
      </c>
      <c r="F363">
        <v>180</v>
      </c>
      <c r="G363">
        <v>1</v>
      </c>
      <c r="H363" t="s">
        <v>84</v>
      </c>
      <c r="I363" t="s">
        <v>91</v>
      </c>
      <c r="J363" t="s">
        <v>85</v>
      </c>
      <c r="K363" t="s">
        <v>86</v>
      </c>
      <c r="L363" t="s">
        <v>71</v>
      </c>
      <c r="M363" t="s">
        <v>87</v>
      </c>
      <c r="O363" t="s">
        <v>88</v>
      </c>
      <c r="P363" t="s">
        <v>89</v>
      </c>
      <c r="X363" t="s">
        <v>77</v>
      </c>
      <c r="Z363" t="s">
        <v>72</v>
      </c>
      <c r="AB363">
        <v>5</v>
      </c>
      <c r="AC363">
        <v>748748.24</v>
      </c>
      <c r="AD363">
        <v>8930510.3399999999</v>
      </c>
      <c r="AE363">
        <v>190.14</v>
      </c>
      <c r="AF363">
        <v>748749.42</v>
      </c>
      <c r="AG363">
        <v>8930508.5199999996</v>
      </c>
      <c r="AH363">
        <v>180</v>
      </c>
      <c r="AI363">
        <v>10.37</v>
      </c>
      <c r="AJ363">
        <v>0</v>
      </c>
      <c r="AK363">
        <v>1.5</v>
      </c>
      <c r="AL363">
        <v>0.8</v>
      </c>
      <c r="AM363">
        <v>147.21</v>
      </c>
      <c r="AN363">
        <v>12.08</v>
      </c>
      <c r="AO363">
        <v>0</v>
      </c>
      <c r="AP363">
        <v>3.27</v>
      </c>
      <c r="AQ363">
        <v>0.5</v>
      </c>
      <c r="AR363">
        <v>7.0000000000000007E-2</v>
      </c>
      <c r="AS363">
        <v>0.06</v>
      </c>
      <c r="AT363">
        <v>15.63</v>
      </c>
      <c r="AU363">
        <v>4.76</v>
      </c>
      <c r="AV363">
        <v>0.28999999999999998</v>
      </c>
      <c r="AW363">
        <v>1.55</v>
      </c>
      <c r="AX363">
        <v>5.21</v>
      </c>
      <c r="AY363">
        <v>0</v>
      </c>
      <c r="AZ363">
        <v>0</v>
      </c>
      <c r="BA363">
        <v>0</v>
      </c>
      <c r="BB363">
        <v>0</v>
      </c>
      <c r="BC363">
        <v>0</v>
      </c>
      <c r="BD363">
        <v>0</v>
      </c>
    </row>
    <row r="364" spans="1:56" x14ac:dyDescent="0.25">
      <c r="A364" s="23">
        <v>46304</v>
      </c>
      <c r="B364">
        <v>363</v>
      </c>
      <c r="C364" t="s">
        <v>82</v>
      </c>
      <c r="D364" t="s">
        <v>83</v>
      </c>
      <c r="E364">
        <v>2</v>
      </c>
      <c r="F364">
        <v>180</v>
      </c>
      <c r="G364">
        <v>1</v>
      </c>
      <c r="H364" t="s">
        <v>84</v>
      </c>
      <c r="I364" t="s">
        <v>91</v>
      </c>
      <c r="J364" t="s">
        <v>85</v>
      </c>
      <c r="K364" t="s">
        <v>86</v>
      </c>
      <c r="L364" t="s">
        <v>71</v>
      </c>
      <c r="M364" t="s">
        <v>87</v>
      </c>
      <c r="O364" t="s">
        <v>88</v>
      </c>
      <c r="P364" t="s">
        <v>89</v>
      </c>
      <c r="X364" t="s">
        <v>77</v>
      </c>
      <c r="Z364" t="s">
        <v>72</v>
      </c>
      <c r="AB364">
        <v>5</v>
      </c>
      <c r="AC364">
        <v>748749.59</v>
      </c>
      <c r="AD364">
        <v>8930511.0199999996</v>
      </c>
      <c r="AE364">
        <v>190.13</v>
      </c>
      <c r="AF364">
        <v>748750.68</v>
      </c>
      <c r="AG364">
        <v>8930509.3300000001</v>
      </c>
      <c r="AH364">
        <v>180</v>
      </c>
      <c r="AI364">
        <v>10.33</v>
      </c>
      <c r="AJ364">
        <v>0</v>
      </c>
      <c r="AK364">
        <v>1.5</v>
      </c>
      <c r="AL364">
        <v>0.8</v>
      </c>
      <c r="AM364">
        <v>147.21</v>
      </c>
      <c r="AN364">
        <v>11.22</v>
      </c>
      <c r="AO364">
        <v>0</v>
      </c>
      <c r="AP364">
        <v>3.2</v>
      </c>
      <c r="AQ364">
        <v>0.41</v>
      </c>
      <c r="AR364">
        <v>0.06</v>
      </c>
      <c r="AS364">
        <v>0.05</v>
      </c>
      <c r="AT364">
        <v>13.4</v>
      </c>
      <c r="AU364">
        <v>4.2699999999999996</v>
      </c>
      <c r="AV364">
        <v>0.23</v>
      </c>
      <c r="AW364">
        <v>1.34</v>
      </c>
      <c r="AX364">
        <v>0.05</v>
      </c>
      <c r="AY364">
        <v>0</v>
      </c>
      <c r="AZ364">
        <v>0</v>
      </c>
      <c r="BA364">
        <v>0</v>
      </c>
      <c r="BB364">
        <v>0</v>
      </c>
      <c r="BC364">
        <v>0</v>
      </c>
      <c r="BD364">
        <v>0</v>
      </c>
    </row>
    <row r="365" spans="1:56" x14ac:dyDescent="0.25">
      <c r="A365" s="23">
        <v>46304</v>
      </c>
      <c r="B365">
        <v>364</v>
      </c>
      <c r="C365" t="s">
        <v>82</v>
      </c>
      <c r="D365" t="s">
        <v>83</v>
      </c>
      <c r="E365">
        <v>2</v>
      </c>
      <c r="F365">
        <v>180</v>
      </c>
      <c r="G365">
        <v>1</v>
      </c>
      <c r="H365" t="s">
        <v>84</v>
      </c>
      <c r="I365" t="s">
        <v>91</v>
      </c>
      <c r="J365" t="s">
        <v>85</v>
      </c>
      <c r="K365" t="s">
        <v>86</v>
      </c>
      <c r="L365" t="s">
        <v>71</v>
      </c>
      <c r="M365" t="s">
        <v>87</v>
      </c>
      <c r="O365" t="s">
        <v>88</v>
      </c>
      <c r="P365" t="s">
        <v>89</v>
      </c>
      <c r="X365" t="s">
        <v>77</v>
      </c>
      <c r="Z365" t="s">
        <v>72</v>
      </c>
      <c r="AB365">
        <v>5</v>
      </c>
      <c r="AC365">
        <v>748750.93</v>
      </c>
      <c r="AD365">
        <v>8930511.7100000009</v>
      </c>
      <c r="AE365">
        <v>190.11</v>
      </c>
      <c r="AF365">
        <v>748751.94</v>
      </c>
      <c r="AG365">
        <v>8930510.1400000006</v>
      </c>
      <c r="AH365">
        <v>180</v>
      </c>
      <c r="AI365">
        <v>10.28</v>
      </c>
      <c r="AJ365">
        <v>0</v>
      </c>
      <c r="AK365">
        <v>1.5</v>
      </c>
      <c r="AL365">
        <v>0.8</v>
      </c>
      <c r="AM365">
        <v>147.21</v>
      </c>
      <c r="AN365">
        <v>10.45</v>
      </c>
      <c r="AO365">
        <v>0</v>
      </c>
      <c r="AP365">
        <v>3.2</v>
      </c>
      <c r="AQ365">
        <v>0.41</v>
      </c>
      <c r="AR365">
        <v>0.06</v>
      </c>
      <c r="AS365">
        <v>0.05</v>
      </c>
      <c r="AT365">
        <v>13.4</v>
      </c>
      <c r="AU365">
        <v>4.2699999999999996</v>
      </c>
      <c r="AV365">
        <v>0.23</v>
      </c>
      <c r="AW365">
        <v>1.34</v>
      </c>
      <c r="AX365">
        <v>0.05</v>
      </c>
      <c r="AY365">
        <v>0</v>
      </c>
      <c r="AZ365">
        <v>0</v>
      </c>
      <c r="BA365">
        <v>0</v>
      </c>
      <c r="BB365">
        <v>0</v>
      </c>
      <c r="BC365">
        <v>0</v>
      </c>
      <c r="BD365">
        <v>0</v>
      </c>
    </row>
    <row r="366" spans="1:56" x14ac:dyDescent="0.25">
      <c r="A366" s="23">
        <v>46304</v>
      </c>
      <c r="B366">
        <v>365</v>
      </c>
      <c r="C366" t="s">
        <v>82</v>
      </c>
      <c r="D366" t="s">
        <v>83</v>
      </c>
      <c r="E366">
        <v>2</v>
      </c>
      <c r="F366">
        <v>180</v>
      </c>
      <c r="G366">
        <v>1</v>
      </c>
      <c r="H366" t="s">
        <v>84</v>
      </c>
      <c r="I366" t="s">
        <v>91</v>
      </c>
      <c r="J366" t="s">
        <v>85</v>
      </c>
      <c r="K366" t="s">
        <v>86</v>
      </c>
      <c r="L366" t="s">
        <v>71</v>
      </c>
      <c r="M366" t="s">
        <v>87</v>
      </c>
      <c r="O366" t="s">
        <v>88</v>
      </c>
      <c r="P366" t="s">
        <v>89</v>
      </c>
      <c r="X366" t="s">
        <v>77</v>
      </c>
      <c r="Z366" t="s">
        <v>72</v>
      </c>
      <c r="AB366">
        <v>5</v>
      </c>
      <c r="AC366">
        <v>748752.27</v>
      </c>
      <c r="AD366">
        <v>8930512.3900000006</v>
      </c>
      <c r="AE366">
        <v>190.08</v>
      </c>
      <c r="AF366">
        <v>748753.2</v>
      </c>
      <c r="AG366">
        <v>8930510.9499999993</v>
      </c>
      <c r="AH366">
        <v>180</v>
      </c>
      <c r="AI366">
        <v>10.220000000000001</v>
      </c>
      <c r="AJ366">
        <v>0</v>
      </c>
      <c r="AK366">
        <v>1.5</v>
      </c>
      <c r="AL366">
        <v>0.8</v>
      </c>
      <c r="AM366">
        <v>147.21</v>
      </c>
      <c r="AN366">
        <v>9.6199999999999992</v>
      </c>
      <c r="AO366">
        <v>0</v>
      </c>
      <c r="AP366">
        <v>3.2</v>
      </c>
      <c r="AQ366">
        <v>0.41</v>
      </c>
      <c r="AR366">
        <v>0.06</v>
      </c>
      <c r="AS366">
        <v>0.05</v>
      </c>
      <c r="AT366">
        <v>13.4</v>
      </c>
      <c r="AU366">
        <v>4.2699999999999996</v>
      </c>
      <c r="AV366">
        <v>0.23</v>
      </c>
      <c r="AW366">
        <v>1.34</v>
      </c>
      <c r="AX366">
        <v>0.05</v>
      </c>
      <c r="AY366">
        <v>0</v>
      </c>
      <c r="AZ366">
        <v>0</v>
      </c>
      <c r="BA366">
        <v>0</v>
      </c>
      <c r="BB366">
        <v>0</v>
      </c>
      <c r="BC366">
        <v>0</v>
      </c>
      <c r="BD366">
        <v>0</v>
      </c>
    </row>
    <row r="367" spans="1:56" x14ac:dyDescent="0.25">
      <c r="A367" s="23">
        <v>46304</v>
      </c>
      <c r="B367">
        <v>366</v>
      </c>
      <c r="C367" t="s">
        <v>82</v>
      </c>
      <c r="D367" t="s">
        <v>83</v>
      </c>
      <c r="E367">
        <v>2</v>
      </c>
      <c r="F367">
        <v>180</v>
      </c>
      <c r="G367">
        <v>1</v>
      </c>
      <c r="H367" t="s">
        <v>84</v>
      </c>
      <c r="I367" t="s">
        <v>91</v>
      </c>
      <c r="J367" t="s">
        <v>85</v>
      </c>
      <c r="K367" t="s">
        <v>86</v>
      </c>
      <c r="L367" t="s">
        <v>71</v>
      </c>
      <c r="M367" t="s">
        <v>87</v>
      </c>
      <c r="O367" t="s">
        <v>88</v>
      </c>
      <c r="P367" t="s">
        <v>89</v>
      </c>
      <c r="X367" t="s">
        <v>77</v>
      </c>
      <c r="Z367" t="s">
        <v>72</v>
      </c>
      <c r="AB367">
        <v>5</v>
      </c>
      <c r="AC367">
        <v>748753.64</v>
      </c>
      <c r="AD367">
        <v>8930513.0399999991</v>
      </c>
      <c r="AE367">
        <v>190.06</v>
      </c>
      <c r="AF367">
        <v>748754.46</v>
      </c>
      <c r="AG367">
        <v>8930511.7699999996</v>
      </c>
      <c r="AH367">
        <v>180</v>
      </c>
      <c r="AI367">
        <v>10.17</v>
      </c>
      <c r="AJ367">
        <v>0</v>
      </c>
      <c r="AK367">
        <v>1.5</v>
      </c>
      <c r="AL367">
        <v>0.8</v>
      </c>
      <c r="AM367">
        <v>147.21</v>
      </c>
      <c r="AN367">
        <v>8.56</v>
      </c>
      <c r="AO367">
        <v>0</v>
      </c>
      <c r="AP367">
        <v>3.18</v>
      </c>
      <c r="AQ367">
        <v>0.39</v>
      </c>
      <c r="AR367">
        <v>0.05</v>
      </c>
      <c r="AS367">
        <v>0.05</v>
      </c>
      <c r="AT367">
        <v>12.64</v>
      </c>
      <c r="AU367">
        <v>4.07</v>
      </c>
      <c r="AV367">
        <v>0.21</v>
      </c>
      <c r="AW367">
        <v>1.29</v>
      </c>
      <c r="AX367">
        <v>0</v>
      </c>
      <c r="AY367">
        <v>0</v>
      </c>
      <c r="AZ367">
        <v>0</v>
      </c>
      <c r="BA367">
        <v>0</v>
      </c>
      <c r="BB367">
        <v>0</v>
      </c>
      <c r="BC367">
        <v>0</v>
      </c>
      <c r="BD367">
        <v>0</v>
      </c>
    </row>
    <row r="368" spans="1:56" x14ac:dyDescent="0.25">
      <c r="A368" s="23">
        <v>46304</v>
      </c>
      <c r="B368">
        <v>367</v>
      </c>
      <c r="C368" t="s">
        <v>82</v>
      </c>
      <c r="D368" t="s">
        <v>83</v>
      </c>
      <c r="E368">
        <v>2</v>
      </c>
      <c r="F368">
        <v>180</v>
      </c>
      <c r="G368">
        <v>1</v>
      </c>
      <c r="H368" t="s">
        <v>84</v>
      </c>
      <c r="I368" t="s">
        <v>91</v>
      </c>
      <c r="J368" t="s">
        <v>85</v>
      </c>
      <c r="K368" t="s">
        <v>86</v>
      </c>
      <c r="L368" t="s">
        <v>71</v>
      </c>
      <c r="M368" t="s">
        <v>87</v>
      </c>
      <c r="O368" t="s">
        <v>88</v>
      </c>
      <c r="P368" t="s">
        <v>89</v>
      </c>
      <c r="X368" t="s">
        <v>77</v>
      </c>
      <c r="Z368" t="s">
        <v>72</v>
      </c>
      <c r="AB368">
        <v>5</v>
      </c>
      <c r="AC368">
        <v>748754.92</v>
      </c>
      <c r="AD368">
        <v>8930513.8300000001</v>
      </c>
      <c r="AE368">
        <v>190.03</v>
      </c>
      <c r="AF368">
        <v>748755.72</v>
      </c>
      <c r="AG368">
        <v>8930512.5800000001</v>
      </c>
      <c r="AH368">
        <v>180</v>
      </c>
      <c r="AI368">
        <v>10.14</v>
      </c>
      <c r="AJ368">
        <v>0</v>
      </c>
      <c r="AK368">
        <v>1.5</v>
      </c>
      <c r="AL368">
        <v>0.8</v>
      </c>
      <c r="AM368">
        <v>147.21</v>
      </c>
      <c r="AN368">
        <v>8.43</v>
      </c>
      <c r="AO368">
        <v>0</v>
      </c>
      <c r="AP368">
        <v>3.17</v>
      </c>
      <c r="AQ368">
        <v>0.37</v>
      </c>
      <c r="AR368">
        <v>0.05</v>
      </c>
      <c r="AS368">
        <v>0.05</v>
      </c>
      <c r="AT368">
        <v>12.1</v>
      </c>
      <c r="AU368">
        <v>3.91</v>
      </c>
      <c r="AV368">
        <v>0.2</v>
      </c>
      <c r="AW368">
        <v>1.24</v>
      </c>
      <c r="AX368">
        <v>0</v>
      </c>
      <c r="AY368">
        <v>0</v>
      </c>
      <c r="AZ368">
        <v>0</v>
      </c>
      <c r="BA368">
        <v>0</v>
      </c>
      <c r="BB368">
        <v>0</v>
      </c>
      <c r="BC368">
        <v>0</v>
      </c>
      <c r="BD368">
        <v>0</v>
      </c>
    </row>
    <row r="369" spans="1:56" x14ac:dyDescent="0.25">
      <c r="A369" s="23">
        <v>46304</v>
      </c>
      <c r="B369">
        <v>368</v>
      </c>
      <c r="C369" t="s">
        <v>82</v>
      </c>
      <c r="D369" t="s">
        <v>83</v>
      </c>
      <c r="E369">
        <v>2</v>
      </c>
      <c r="F369">
        <v>180</v>
      </c>
      <c r="G369">
        <v>1</v>
      </c>
      <c r="H369" t="s">
        <v>84</v>
      </c>
      <c r="I369" t="s">
        <v>91</v>
      </c>
      <c r="J369" t="s">
        <v>85</v>
      </c>
      <c r="K369" t="s">
        <v>86</v>
      </c>
      <c r="L369" t="s">
        <v>71</v>
      </c>
      <c r="M369" t="s">
        <v>87</v>
      </c>
      <c r="O369" t="s">
        <v>88</v>
      </c>
      <c r="P369" t="s">
        <v>89</v>
      </c>
      <c r="X369" t="s">
        <v>77</v>
      </c>
      <c r="Z369" t="s">
        <v>72</v>
      </c>
      <c r="AB369">
        <v>5</v>
      </c>
      <c r="AC369">
        <v>748756.14</v>
      </c>
      <c r="AD369">
        <v>8930514.6999999993</v>
      </c>
      <c r="AE369">
        <v>190.05</v>
      </c>
      <c r="AF369">
        <v>748756.98</v>
      </c>
      <c r="AG369">
        <v>8930513.3900000006</v>
      </c>
      <c r="AH369">
        <v>180</v>
      </c>
      <c r="AI369">
        <v>10.17</v>
      </c>
      <c r="AJ369">
        <v>0</v>
      </c>
      <c r="AK369">
        <v>1.5</v>
      </c>
      <c r="AL369">
        <v>0.8</v>
      </c>
      <c r="AM369">
        <v>147.21</v>
      </c>
      <c r="AN369">
        <v>8.8000000000000007</v>
      </c>
      <c r="AO369">
        <v>0</v>
      </c>
      <c r="AP369">
        <v>3.14</v>
      </c>
      <c r="AQ369">
        <v>0.32</v>
      </c>
      <c r="AR369">
        <v>0.04</v>
      </c>
      <c r="AS369">
        <v>0.04</v>
      </c>
      <c r="AT369">
        <v>10.23</v>
      </c>
      <c r="AU369">
        <v>3.3</v>
      </c>
      <c r="AV369">
        <v>0.17</v>
      </c>
      <c r="AW369">
        <v>1.05</v>
      </c>
      <c r="AX369">
        <v>0</v>
      </c>
      <c r="AY369">
        <v>0</v>
      </c>
      <c r="AZ369">
        <v>0</v>
      </c>
      <c r="BA369">
        <v>0</v>
      </c>
      <c r="BB369">
        <v>0</v>
      </c>
      <c r="BC369">
        <v>0</v>
      </c>
      <c r="BD369">
        <v>0</v>
      </c>
    </row>
    <row r="370" spans="1:56" x14ac:dyDescent="0.25">
      <c r="A370" s="23">
        <v>46304</v>
      </c>
      <c r="B370">
        <v>369</v>
      </c>
      <c r="C370" t="s">
        <v>82</v>
      </c>
      <c r="D370" t="s">
        <v>83</v>
      </c>
      <c r="E370">
        <v>2</v>
      </c>
      <c r="F370">
        <v>180</v>
      </c>
      <c r="G370">
        <v>1</v>
      </c>
      <c r="H370" t="s">
        <v>84</v>
      </c>
      <c r="I370" t="s">
        <v>91</v>
      </c>
      <c r="J370" t="s">
        <v>85</v>
      </c>
      <c r="K370" t="s">
        <v>86</v>
      </c>
      <c r="L370" t="s">
        <v>71</v>
      </c>
      <c r="M370" t="s">
        <v>87</v>
      </c>
      <c r="O370" t="s">
        <v>88</v>
      </c>
      <c r="P370" t="s">
        <v>89</v>
      </c>
      <c r="X370" t="s">
        <v>77</v>
      </c>
      <c r="Z370" t="s">
        <v>72</v>
      </c>
      <c r="AB370">
        <v>5</v>
      </c>
      <c r="AC370">
        <v>748757.4</v>
      </c>
      <c r="AD370">
        <v>8930515.5099999998</v>
      </c>
      <c r="AE370">
        <v>190.06</v>
      </c>
      <c r="AF370">
        <v>748758.24</v>
      </c>
      <c r="AG370">
        <v>8930514.1999999993</v>
      </c>
      <c r="AH370">
        <v>180</v>
      </c>
      <c r="AI370">
        <v>10.18</v>
      </c>
      <c r="AJ370">
        <v>0</v>
      </c>
      <c r="AK370">
        <v>1.5</v>
      </c>
      <c r="AL370">
        <v>0.8</v>
      </c>
      <c r="AM370">
        <v>147.21</v>
      </c>
      <c r="AN370">
        <v>8.76</v>
      </c>
      <c r="AO370">
        <v>0</v>
      </c>
      <c r="AP370">
        <v>3.14</v>
      </c>
      <c r="AQ370">
        <v>0.28999999999999998</v>
      </c>
      <c r="AR370">
        <v>0.04</v>
      </c>
      <c r="AS370">
        <v>0.04</v>
      </c>
      <c r="AT370">
        <v>9.56</v>
      </c>
      <c r="AU370">
        <v>3.1</v>
      </c>
      <c r="AV370">
        <v>0.16</v>
      </c>
      <c r="AW370">
        <v>0.99</v>
      </c>
      <c r="AX370">
        <v>0</v>
      </c>
      <c r="AY370">
        <v>0</v>
      </c>
      <c r="AZ370">
        <v>0</v>
      </c>
      <c r="BA370">
        <v>0</v>
      </c>
      <c r="BB370">
        <v>0</v>
      </c>
      <c r="BC370">
        <v>0</v>
      </c>
      <c r="BD370">
        <v>0</v>
      </c>
    </row>
    <row r="371" spans="1:56" x14ac:dyDescent="0.25">
      <c r="A371" s="23">
        <v>46304</v>
      </c>
      <c r="B371">
        <v>370</v>
      </c>
      <c r="C371" t="s">
        <v>82</v>
      </c>
      <c r="D371" t="s">
        <v>83</v>
      </c>
      <c r="E371">
        <v>2</v>
      </c>
      <c r="F371">
        <v>180</v>
      </c>
      <c r="G371">
        <v>1</v>
      </c>
      <c r="H371" t="s">
        <v>84</v>
      </c>
      <c r="I371" t="s">
        <v>91</v>
      </c>
      <c r="J371" t="s">
        <v>85</v>
      </c>
      <c r="K371" t="s">
        <v>86</v>
      </c>
      <c r="L371" t="s">
        <v>71</v>
      </c>
      <c r="M371" t="s">
        <v>87</v>
      </c>
      <c r="O371" t="s">
        <v>88</v>
      </c>
      <c r="P371" t="s">
        <v>89</v>
      </c>
      <c r="X371" t="s">
        <v>77</v>
      </c>
      <c r="Z371" t="s">
        <v>72</v>
      </c>
      <c r="AB371">
        <v>5</v>
      </c>
      <c r="AC371">
        <v>748758.65</v>
      </c>
      <c r="AD371">
        <v>8930516.3399999999</v>
      </c>
      <c r="AE371">
        <v>190.07</v>
      </c>
      <c r="AF371">
        <v>748759.5</v>
      </c>
      <c r="AG371">
        <v>8930515.0199999996</v>
      </c>
      <c r="AH371">
        <v>180</v>
      </c>
      <c r="AI371">
        <v>10.19</v>
      </c>
      <c r="AJ371">
        <v>0</v>
      </c>
      <c r="AK371">
        <v>1.5</v>
      </c>
      <c r="AL371">
        <v>0.8</v>
      </c>
      <c r="AM371">
        <v>147.21</v>
      </c>
      <c r="AN371">
        <v>8.91</v>
      </c>
      <c r="AO371">
        <v>0</v>
      </c>
      <c r="AP371">
        <v>3.15</v>
      </c>
      <c r="AQ371">
        <v>0.27</v>
      </c>
      <c r="AR371">
        <v>0.04</v>
      </c>
      <c r="AS371">
        <v>0.04</v>
      </c>
      <c r="AT371">
        <v>8.94</v>
      </c>
      <c r="AU371">
        <v>2.93</v>
      </c>
      <c r="AV371">
        <v>0.14000000000000001</v>
      </c>
      <c r="AW371">
        <v>0.94</v>
      </c>
      <c r="AX371">
        <v>0</v>
      </c>
      <c r="AY371">
        <v>0</v>
      </c>
      <c r="AZ371">
        <v>0</v>
      </c>
      <c r="BA371">
        <v>0</v>
      </c>
      <c r="BB371">
        <v>0</v>
      </c>
      <c r="BC371">
        <v>0</v>
      </c>
      <c r="BD371">
        <v>0</v>
      </c>
    </row>
    <row r="372" spans="1:56" x14ac:dyDescent="0.25">
      <c r="A372" s="23">
        <v>46304</v>
      </c>
      <c r="B372">
        <v>371</v>
      </c>
      <c r="C372" t="s">
        <v>82</v>
      </c>
      <c r="D372" t="s">
        <v>83</v>
      </c>
      <c r="E372">
        <v>2</v>
      </c>
      <c r="F372">
        <v>180</v>
      </c>
      <c r="G372">
        <v>1</v>
      </c>
      <c r="H372" t="s">
        <v>84</v>
      </c>
      <c r="I372" t="s">
        <v>91</v>
      </c>
      <c r="J372" t="s">
        <v>70</v>
      </c>
      <c r="K372" t="s">
        <v>86</v>
      </c>
      <c r="L372" t="s">
        <v>71</v>
      </c>
      <c r="M372" t="s">
        <v>87</v>
      </c>
      <c r="O372" t="s">
        <v>88</v>
      </c>
      <c r="P372" t="s">
        <v>89</v>
      </c>
      <c r="X372" t="s">
        <v>77</v>
      </c>
      <c r="Z372" t="s">
        <v>72</v>
      </c>
      <c r="AB372">
        <v>5</v>
      </c>
      <c r="AC372">
        <v>748759.91</v>
      </c>
      <c r="AD372">
        <v>8930517.1600000001</v>
      </c>
      <c r="AE372">
        <v>190.08</v>
      </c>
      <c r="AF372">
        <v>748760.77</v>
      </c>
      <c r="AG372">
        <v>8930515.8300000001</v>
      </c>
      <c r="AH372">
        <v>180</v>
      </c>
      <c r="AI372">
        <v>10.199999999999999</v>
      </c>
      <c r="AJ372">
        <v>0</v>
      </c>
      <c r="AK372">
        <v>1.5</v>
      </c>
      <c r="AL372">
        <v>0.8</v>
      </c>
      <c r="AM372">
        <v>147.21</v>
      </c>
      <c r="AN372">
        <v>8.9</v>
      </c>
      <c r="AO372">
        <v>0</v>
      </c>
      <c r="AP372">
        <v>3.15</v>
      </c>
      <c r="AQ372">
        <v>0.25</v>
      </c>
      <c r="AR372">
        <v>0.04</v>
      </c>
      <c r="AS372">
        <v>0.03</v>
      </c>
      <c r="AT372">
        <v>8.39</v>
      </c>
      <c r="AU372">
        <v>2.77</v>
      </c>
      <c r="AV372">
        <v>0.13</v>
      </c>
      <c r="AW372">
        <v>0.9</v>
      </c>
      <c r="AX372">
        <v>0</v>
      </c>
      <c r="AY372">
        <v>0</v>
      </c>
      <c r="AZ372">
        <v>0</v>
      </c>
      <c r="BA372">
        <v>0</v>
      </c>
      <c r="BB372">
        <v>0</v>
      </c>
      <c r="BC372">
        <v>0</v>
      </c>
      <c r="BD372">
        <v>0</v>
      </c>
    </row>
    <row r="373" spans="1:56" x14ac:dyDescent="0.25">
      <c r="A373" s="23">
        <v>46304</v>
      </c>
      <c r="B373">
        <v>372</v>
      </c>
      <c r="C373" t="s">
        <v>82</v>
      </c>
      <c r="D373" t="s">
        <v>83</v>
      </c>
      <c r="E373">
        <v>2</v>
      </c>
      <c r="F373">
        <v>180</v>
      </c>
      <c r="G373">
        <v>1</v>
      </c>
      <c r="H373" t="s">
        <v>84</v>
      </c>
      <c r="I373" t="s">
        <v>91</v>
      </c>
      <c r="J373" t="s">
        <v>70</v>
      </c>
      <c r="K373" t="s">
        <v>86</v>
      </c>
      <c r="L373" t="s">
        <v>71</v>
      </c>
      <c r="M373" t="s">
        <v>87</v>
      </c>
      <c r="O373" t="s">
        <v>88</v>
      </c>
      <c r="P373" t="s">
        <v>89</v>
      </c>
      <c r="X373" t="s">
        <v>77</v>
      </c>
      <c r="Z373" t="s">
        <v>72</v>
      </c>
      <c r="AB373">
        <v>5</v>
      </c>
      <c r="AC373">
        <v>748761.16</v>
      </c>
      <c r="AD373">
        <v>8930517.9800000004</v>
      </c>
      <c r="AE373">
        <v>190.09</v>
      </c>
      <c r="AF373">
        <v>748762.03</v>
      </c>
      <c r="AG373">
        <v>8930516.6400000006</v>
      </c>
      <c r="AH373">
        <v>180</v>
      </c>
      <c r="AI373">
        <v>10.210000000000001</v>
      </c>
      <c r="AJ373">
        <v>0</v>
      </c>
      <c r="AK373">
        <v>1.5</v>
      </c>
      <c r="AL373">
        <v>0.8</v>
      </c>
      <c r="AM373">
        <v>147.21</v>
      </c>
      <c r="AN373">
        <v>8.98</v>
      </c>
      <c r="AO373">
        <v>0</v>
      </c>
      <c r="AP373">
        <v>3.15</v>
      </c>
      <c r="AQ373">
        <v>0.25</v>
      </c>
      <c r="AR373">
        <v>0.04</v>
      </c>
      <c r="AS373">
        <v>0.03</v>
      </c>
      <c r="AT373">
        <v>8.39</v>
      </c>
      <c r="AU373">
        <v>2.77</v>
      </c>
      <c r="AV373">
        <v>0.13</v>
      </c>
      <c r="AW373">
        <v>0.9</v>
      </c>
      <c r="AX373">
        <v>0</v>
      </c>
      <c r="AY373">
        <v>0</v>
      </c>
      <c r="AZ373">
        <v>0</v>
      </c>
      <c r="BA373">
        <v>0</v>
      </c>
      <c r="BB373">
        <v>0</v>
      </c>
      <c r="BC373">
        <v>0</v>
      </c>
      <c r="BD373">
        <v>0</v>
      </c>
    </row>
    <row r="374" spans="1:56" x14ac:dyDescent="0.25">
      <c r="A374" s="23">
        <v>46304</v>
      </c>
      <c r="B374">
        <v>373</v>
      </c>
      <c r="C374" t="s">
        <v>82</v>
      </c>
      <c r="D374" t="s">
        <v>83</v>
      </c>
      <c r="E374">
        <v>2</v>
      </c>
      <c r="F374">
        <v>180</v>
      </c>
      <c r="G374">
        <v>1</v>
      </c>
      <c r="H374" t="s">
        <v>84</v>
      </c>
      <c r="I374" t="s">
        <v>91</v>
      </c>
      <c r="J374" t="s">
        <v>70</v>
      </c>
      <c r="K374" t="s">
        <v>86</v>
      </c>
      <c r="L374" t="s">
        <v>71</v>
      </c>
      <c r="M374" t="s">
        <v>87</v>
      </c>
      <c r="O374" t="s">
        <v>88</v>
      </c>
      <c r="P374" t="s">
        <v>89</v>
      </c>
      <c r="X374" t="s">
        <v>77</v>
      </c>
      <c r="Z374" t="s">
        <v>72</v>
      </c>
      <c r="AB374">
        <v>5</v>
      </c>
      <c r="AC374">
        <v>748762.39</v>
      </c>
      <c r="AD374">
        <v>8930518.8399999999</v>
      </c>
      <c r="AE374">
        <v>190.1</v>
      </c>
      <c r="AF374">
        <v>748763.29</v>
      </c>
      <c r="AG374">
        <v>8930517.4499999993</v>
      </c>
      <c r="AH374">
        <v>180</v>
      </c>
      <c r="AI374">
        <v>10.23</v>
      </c>
      <c r="AJ374">
        <v>0</v>
      </c>
      <c r="AK374">
        <v>1.5</v>
      </c>
      <c r="AL374">
        <v>0.8</v>
      </c>
      <c r="AM374">
        <v>147.21</v>
      </c>
      <c r="AN374">
        <v>9.2899999999999991</v>
      </c>
      <c r="AO374">
        <v>0</v>
      </c>
      <c r="AP374">
        <v>3.15</v>
      </c>
      <c r="AQ374">
        <v>0.25</v>
      </c>
      <c r="AR374">
        <v>0.04</v>
      </c>
      <c r="AS374">
        <v>0.03</v>
      </c>
      <c r="AT374">
        <v>8.39</v>
      </c>
      <c r="AU374">
        <v>2.77</v>
      </c>
      <c r="AV374">
        <v>0.13</v>
      </c>
      <c r="AW374">
        <v>0.9</v>
      </c>
      <c r="AX374">
        <v>0</v>
      </c>
      <c r="AY374">
        <v>0</v>
      </c>
      <c r="AZ374">
        <v>0</v>
      </c>
      <c r="BA374">
        <v>0</v>
      </c>
      <c r="BB374">
        <v>0</v>
      </c>
      <c r="BC374">
        <v>0</v>
      </c>
      <c r="BD374">
        <v>0</v>
      </c>
    </row>
    <row r="375" spans="1:56" x14ac:dyDescent="0.25">
      <c r="A375" s="23">
        <v>46304</v>
      </c>
      <c r="B375">
        <v>374</v>
      </c>
      <c r="C375" t="s">
        <v>82</v>
      </c>
      <c r="D375" t="s">
        <v>83</v>
      </c>
      <c r="E375">
        <v>2</v>
      </c>
      <c r="F375">
        <v>180</v>
      </c>
      <c r="G375">
        <v>1</v>
      </c>
      <c r="H375" t="s">
        <v>84</v>
      </c>
      <c r="I375" t="s">
        <v>91</v>
      </c>
      <c r="J375" t="s">
        <v>70</v>
      </c>
      <c r="K375" t="s">
        <v>86</v>
      </c>
      <c r="L375" t="s">
        <v>71</v>
      </c>
      <c r="M375" t="s">
        <v>87</v>
      </c>
      <c r="O375" t="s">
        <v>88</v>
      </c>
      <c r="P375" t="s">
        <v>89</v>
      </c>
      <c r="X375" t="s">
        <v>77</v>
      </c>
      <c r="Z375" t="s">
        <v>72</v>
      </c>
      <c r="AB375">
        <v>5</v>
      </c>
      <c r="AC375">
        <v>748763.61</v>
      </c>
      <c r="AD375">
        <v>8930519.7300000004</v>
      </c>
      <c r="AE375">
        <v>190.11</v>
      </c>
      <c r="AF375">
        <v>748764.55</v>
      </c>
      <c r="AG375">
        <v>8930518.2699999996</v>
      </c>
      <c r="AH375">
        <v>180</v>
      </c>
      <c r="AI375">
        <v>10.25</v>
      </c>
      <c r="AJ375">
        <v>0</v>
      </c>
      <c r="AK375">
        <v>1.5</v>
      </c>
      <c r="AL375">
        <v>0.8</v>
      </c>
      <c r="AM375">
        <v>147.21</v>
      </c>
      <c r="AN375">
        <v>9.77</v>
      </c>
      <c r="AO375">
        <v>0</v>
      </c>
      <c r="AP375">
        <v>3.14</v>
      </c>
      <c r="AQ375">
        <v>0.21</v>
      </c>
      <c r="AR375">
        <v>0.03</v>
      </c>
      <c r="AS375">
        <v>0.03</v>
      </c>
      <c r="AT375">
        <v>6.85</v>
      </c>
      <c r="AU375">
        <v>2.29</v>
      </c>
      <c r="AV375">
        <v>0.1</v>
      </c>
      <c r="AW375">
        <v>0.77</v>
      </c>
      <c r="AX375">
        <v>0</v>
      </c>
      <c r="AY375">
        <v>0</v>
      </c>
      <c r="AZ375">
        <v>0</v>
      </c>
      <c r="BA375">
        <v>0</v>
      </c>
      <c r="BB375">
        <v>0</v>
      </c>
      <c r="BC375">
        <v>0</v>
      </c>
      <c r="BD375">
        <v>0</v>
      </c>
    </row>
    <row r="376" spans="1:56" x14ac:dyDescent="0.25">
      <c r="A376" s="23">
        <v>46304</v>
      </c>
      <c r="B376">
        <v>375</v>
      </c>
      <c r="C376" t="s">
        <v>82</v>
      </c>
      <c r="D376" t="s">
        <v>83</v>
      </c>
      <c r="E376">
        <v>2</v>
      </c>
      <c r="F376">
        <v>180</v>
      </c>
      <c r="G376">
        <v>1</v>
      </c>
      <c r="H376" t="s">
        <v>84</v>
      </c>
      <c r="I376" t="s">
        <v>78</v>
      </c>
      <c r="J376" t="s">
        <v>70</v>
      </c>
      <c r="K376" t="s">
        <v>86</v>
      </c>
      <c r="L376" t="s">
        <v>71</v>
      </c>
      <c r="M376" t="s">
        <v>87</v>
      </c>
      <c r="O376" t="s">
        <v>88</v>
      </c>
      <c r="P376" t="s">
        <v>89</v>
      </c>
      <c r="X376" t="s">
        <v>77</v>
      </c>
      <c r="Z376" t="s">
        <v>72</v>
      </c>
      <c r="AB376">
        <v>5</v>
      </c>
      <c r="AC376">
        <v>748764.83</v>
      </c>
      <c r="AD376">
        <v>8930520.5999999996</v>
      </c>
      <c r="AE376">
        <v>190.11</v>
      </c>
      <c r="AF376">
        <v>748765.81</v>
      </c>
      <c r="AG376">
        <v>8930519.0800000001</v>
      </c>
      <c r="AH376">
        <v>180</v>
      </c>
      <c r="AI376">
        <v>10.28</v>
      </c>
      <c r="AJ376">
        <v>0</v>
      </c>
      <c r="AK376">
        <v>1.5</v>
      </c>
      <c r="AL376">
        <v>0.8</v>
      </c>
      <c r="AM376">
        <v>147.21</v>
      </c>
      <c r="AN376">
        <v>10.18</v>
      </c>
      <c r="AO376">
        <v>0</v>
      </c>
      <c r="AP376">
        <v>3.14</v>
      </c>
      <c r="AQ376">
        <v>0.21</v>
      </c>
      <c r="AR376">
        <v>0.03</v>
      </c>
      <c r="AS376">
        <v>0.03</v>
      </c>
      <c r="AT376">
        <v>6.85</v>
      </c>
      <c r="AU376">
        <v>2.29</v>
      </c>
      <c r="AV376">
        <v>0.1</v>
      </c>
      <c r="AW376">
        <v>0.77</v>
      </c>
      <c r="AX376">
        <v>0</v>
      </c>
      <c r="AY376">
        <v>0</v>
      </c>
      <c r="AZ376">
        <v>0</v>
      </c>
      <c r="BA376">
        <v>0</v>
      </c>
      <c r="BB376">
        <v>0</v>
      </c>
      <c r="BC376">
        <v>0</v>
      </c>
      <c r="BD376">
        <v>0</v>
      </c>
    </row>
    <row r="377" spans="1:56" x14ac:dyDescent="0.25">
      <c r="A377" s="23">
        <v>46304</v>
      </c>
      <c r="B377">
        <v>376</v>
      </c>
      <c r="C377" t="s">
        <v>82</v>
      </c>
      <c r="D377" t="s">
        <v>83</v>
      </c>
      <c r="E377">
        <v>2</v>
      </c>
      <c r="F377">
        <v>180</v>
      </c>
      <c r="G377">
        <v>1</v>
      </c>
      <c r="H377" t="s">
        <v>84</v>
      </c>
      <c r="I377" t="s">
        <v>78</v>
      </c>
      <c r="J377" t="s">
        <v>70</v>
      </c>
      <c r="K377" t="s">
        <v>86</v>
      </c>
      <c r="L377" t="s">
        <v>71</v>
      </c>
      <c r="M377" t="s">
        <v>87</v>
      </c>
      <c r="O377" t="s">
        <v>88</v>
      </c>
      <c r="P377" t="s">
        <v>89</v>
      </c>
      <c r="X377" t="s">
        <v>77</v>
      </c>
      <c r="Z377" t="s">
        <v>72</v>
      </c>
      <c r="AB377">
        <v>5</v>
      </c>
      <c r="AC377">
        <v>748766.04</v>
      </c>
      <c r="AD377">
        <v>8930521.5</v>
      </c>
      <c r="AE377">
        <v>190.12</v>
      </c>
      <c r="AF377">
        <v>748767.07</v>
      </c>
      <c r="AG377">
        <v>8930519.8900000006</v>
      </c>
      <c r="AH377">
        <v>180</v>
      </c>
      <c r="AI377">
        <v>10.3</v>
      </c>
      <c r="AJ377">
        <v>0</v>
      </c>
      <c r="AK377">
        <v>1.5</v>
      </c>
      <c r="AL377">
        <v>0.8</v>
      </c>
      <c r="AM377">
        <v>147.21</v>
      </c>
      <c r="AN377">
        <v>10.7</v>
      </c>
      <c r="AO377">
        <v>0</v>
      </c>
      <c r="AP377">
        <v>3.16</v>
      </c>
      <c r="AQ377">
        <v>0.22</v>
      </c>
      <c r="AR377">
        <v>0.03</v>
      </c>
      <c r="AS377">
        <v>0.03</v>
      </c>
      <c r="AT377">
        <v>7.24</v>
      </c>
      <c r="AU377">
        <v>2.59</v>
      </c>
      <c r="AV377">
        <v>0.09</v>
      </c>
      <c r="AW377">
        <v>0.74</v>
      </c>
      <c r="AX377">
        <v>0</v>
      </c>
      <c r="AY377">
        <v>0</v>
      </c>
      <c r="AZ377">
        <v>0</v>
      </c>
      <c r="BA377">
        <v>0</v>
      </c>
      <c r="BB377">
        <v>0</v>
      </c>
      <c r="BC377">
        <v>0</v>
      </c>
      <c r="BD377">
        <v>0</v>
      </c>
    </row>
    <row r="378" spans="1:56" x14ac:dyDescent="0.25">
      <c r="A378" s="23">
        <v>46304</v>
      </c>
      <c r="B378">
        <v>377</v>
      </c>
      <c r="C378" t="s">
        <v>82</v>
      </c>
      <c r="D378" t="s">
        <v>83</v>
      </c>
      <c r="E378">
        <v>2</v>
      </c>
      <c r="F378">
        <v>180</v>
      </c>
      <c r="G378">
        <v>1</v>
      </c>
      <c r="H378" t="s">
        <v>84</v>
      </c>
      <c r="I378" t="s">
        <v>78</v>
      </c>
      <c r="J378" t="s">
        <v>85</v>
      </c>
      <c r="K378" t="s">
        <v>86</v>
      </c>
      <c r="L378" t="s">
        <v>71</v>
      </c>
      <c r="M378" t="s">
        <v>87</v>
      </c>
      <c r="O378" t="s">
        <v>88</v>
      </c>
      <c r="P378" t="s">
        <v>89</v>
      </c>
      <c r="X378" t="s">
        <v>77</v>
      </c>
      <c r="Z378" t="s">
        <v>72</v>
      </c>
      <c r="AB378">
        <v>5</v>
      </c>
      <c r="AC378">
        <v>748767.25</v>
      </c>
      <c r="AD378">
        <v>8930522.3800000008</v>
      </c>
      <c r="AE378">
        <v>190.13</v>
      </c>
      <c r="AF378">
        <v>748768.32</v>
      </c>
      <c r="AG378">
        <v>8930520.6899999995</v>
      </c>
      <c r="AH378">
        <v>180</v>
      </c>
      <c r="AI378">
        <v>10.33</v>
      </c>
      <c r="AJ378">
        <v>0</v>
      </c>
      <c r="AK378">
        <v>1.5</v>
      </c>
      <c r="AL378">
        <v>0.8</v>
      </c>
      <c r="AM378">
        <v>147.55000000000001</v>
      </c>
      <c r="AN378">
        <v>11.15</v>
      </c>
      <c r="AO378">
        <v>0</v>
      </c>
      <c r="AP378">
        <v>3.17</v>
      </c>
      <c r="AQ378">
        <v>0.24</v>
      </c>
      <c r="AR378">
        <v>0.03</v>
      </c>
      <c r="AS378">
        <v>0.03</v>
      </c>
      <c r="AT378">
        <v>7.9</v>
      </c>
      <c r="AU378">
        <v>2.96</v>
      </c>
      <c r="AV378">
        <v>0.08</v>
      </c>
      <c r="AW378">
        <v>0.69</v>
      </c>
      <c r="AX378">
        <v>0</v>
      </c>
      <c r="AY378">
        <v>0</v>
      </c>
      <c r="AZ378">
        <v>0</v>
      </c>
      <c r="BA378">
        <v>0</v>
      </c>
      <c r="BB378">
        <v>0</v>
      </c>
      <c r="BC378">
        <v>0</v>
      </c>
      <c r="BD378">
        <v>0</v>
      </c>
    </row>
    <row r="379" spans="1:56" x14ac:dyDescent="0.25">
      <c r="A379" s="23">
        <v>46304</v>
      </c>
      <c r="B379">
        <v>378</v>
      </c>
      <c r="C379" t="s">
        <v>82</v>
      </c>
      <c r="D379" t="s">
        <v>83</v>
      </c>
      <c r="E379">
        <v>2</v>
      </c>
      <c r="F379">
        <v>180</v>
      </c>
      <c r="G379">
        <v>0</v>
      </c>
      <c r="H379" t="s">
        <v>84</v>
      </c>
      <c r="I379" t="s">
        <v>78</v>
      </c>
      <c r="J379" t="s">
        <v>85</v>
      </c>
      <c r="K379" t="s">
        <v>86</v>
      </c>
      <c r="L379" t="s">
        <v>71</v>
      </c>
      <c r="M379" t="s">
        <v>87</v>
      </c>
      <c r="O379" t="s">
        <v>88</v>
      </c>
      <c r="P379" t="s">
        <v>89</v>
      </c>
      <c r="X379" t="s">
        <v>77</v>
      </c>
      <c r="Z379" t="s">
        <v>72</v>
      </c>
      <c r="AB379">
        <v>5</v>
      </c>
      <c r="AC379">
        <v>748768.42</v>
      </c>
      <c r="AD379">
        <v>8930523.2899999991</v>
      </c>
      <c r="AE379">
        <v>190.14</v>
      </c>
      <c r="AF379">
        <v>748769.48</v>
      </c>
      <c r="AG379">
        <v>8930521.4399999995</v>
      </c>
      <c r="AH379">
        <v>180</v>
      </c>
      <c r="AI379">
        <v>10.36</v>
      </c>
      <c r="AJ379">
        <v>0</v>
      </c>
      <c r="AK379">
        <v>1.5</v>
      </c>
      <c r="AL379">
        <v>0.8</v>
      </c>
      <c r="AM379">
        <v>150.13999999999999</v>
      </c>
      <c r="AN379">
        <v>11.89</v>
      </c>
      <c r="AO379">
        <v>0</v>
      </c>
      <c r="AP379">
        <v>3.18</v>
      </c>
      <c r="AQ379">
        <v>0.27</v>
      </c>
      <c r="AR379">
        <v>0.04</v>
      </c>
      <c r="AS379">
        <v>0.03</v>
      </c>
      <c r="AT379">
        <v>8.7799999999999994</v>
      </c>
      <c r="AU379">
        <v>3.45</v>
      </c>
      <c r="AV379">
        <v>0.08</v>
      </c>
      <c r="AW379">
        <v>0.65</v>
      </c>
      <c r="AX379">
        <v>0</v>
      </c>
      <c r="AY379">
        <v>0</v>
      </c>
      <c r="AZ379">
        <v>0</v>
      </c>
      <c r="BA379">
        <v>0</v>
      </c>
      <c r="BB379">
        <v>0</v>
      </c>
      <c r="BC379">
        <v>0</v>
      </c>
      <c r="BD379">
        <v>0</v>
      </c>
    </row>
    <row r="380" spans="1:56" x14ac:dyDescent="0.25">
      <c r="A380" s="23">
        <v>46304</v>
      </c>
      <c r="B380">
        <v>379</v>
      </c>
      <c r="C380" t="s">
        <v>82</v>
      </c>
      <c r="D380" t="s">
        <v>83</v>
      </c>
      <c r="E380">
        <v>2</v>
      </c>
      <c r="F380">
        <v>180</v>
      </c>
      <c r="G380">
        <v>0</v>
      </c>
      <c r="H380" t="s">
        <v>84</v>
      </c>
      <c r="I380" t="s">
        <v>78</v>
      </c>
      <c r="J380" t="s">
        <v>85</v>
      </c>
      <c r="K380" t="s">
        <v>86</v>
      </c>
      <c r="L380" t="s">
        <v>71</v>
      </c>
      <c r="M380" t="s">
        <v>87</v>
      </c>
      <c r="O380" t="s">
        <v>88</v>
      </c>
      <c r="P380" t="s">
        <v>89</v>
      </c>
      <c r="X380" t="s">
        <v>77</v>
      </c>
      <c r="Z380" t="s">
        <v>72</v>
      </c>
      <c r="AB380">
        <v>5</v>
      </c>
      <c r="AC380">
        <v>748769.64</v>
      </c>
      <c r="AD380">
        <v>8930524.1199999992</v>
      </c>
      <c r="AE380">
        <v>190.17</v>
      </c>
      <c r="AF380">
        <v>748770.62</v>
      </c>
      <c r="AG380">
        <v>8930522.0999999996</v>
      </c>
      <c r="AH380">
        <v>180</v>
      </c>
      <c r="AI380">
        <v>10.42</v>
      </c>
      <c r="AJ380">
        <v>0</v>
      </c>
      <c r="AK380">
        <v>1.5</v>
      </c>
      <c r="AL380">
        <v>0.8</v>
      </c>
      <c r="AM380">
        <v>154.11000000000001</v>
      </c>
      <c r="AN380">
        <v>12.47</v>
      </c>
      <c r="AO380">
        <v>0</v>
      </c>
      <c r="AP380">
        <v>3.2</v>
      </c>
      <c r="AQ380">
        <v>0.31</v>
      </c>
      <c r="AR380">
        <v>0.04</v>
      </c>
      <c r="AS380">
        <v>0.03</v>
      </c>
      <c r="AT380">
        <v>9.58</v>
      </c>
      <c r="AU380">
        <v>3.96</v>
      </c>
      <c r="AV380">
        <v>7.0000000000000007E-2</v>
      </c>
      <c r="AW380">
        <v>0.61</v>
      </c>
      <c r="AX380">
        <v>0</v>
      </c>
      <c r="AY380">
        <v>0</v>
      </c>
      <c r="AZ380">
        <v>0</v>
      </c>
      <c r="BA380">
        <v>0</v>
      </c>
      <c r="BB380">
        <v>0</v>
      </c>
      <c r="BC380">
        <v>0</v>
      </c>
      <c r="BD380">
        <v>0</v>
      </c>
    </row>
    <row r="381" spans="1:56" x14ac:dyDescent="0.25">
      <c r="A381" s="23">
        <v>46304</v>
      </c>
      <c r="B381">
        <v>380</v>
      </c>
      <c r="C381" t="s">
        <v>82</v>
      </c>
      <c r="D381" t="s">
        <v>83</v>
      </c>
      <c r="E381">
        <v>2</v>
      </c>
      <c r="F381">
        <v>180</v>
      </c>
      <c r="G381">
        <v>0</v>
      </c>
      <c r="H381" t="s">
        <v>84</v>
      </c>
      <c r="I381" t="s">
        <v>78</v>
      </c>
      <c r="J381" t="s">
        <v>85</v>
      </c>
      <c r="K381" t="s">
        <v>86</v>
      </c>
      <c r="L381" t="s">
        <v>71</v>
      </c>
      <c r="M381" t="s">
        <v>87</v>
      </c>
      <c r="O381" t="s">
        <v>88</v>
      </c>
      <c r="P381" t="s">
        <v>89</v>
      </c>
      <c r="X381" t="s">
        <v>77</v>
      </c>
      <c r="Z381" t="s">
        <v>72</v>
      </c>
      <c r="AB381">
        <v>5</v>
      </c>
      <c r="AC381">
        <v>748770.96</v>
      </c>
      <c r="AD381">
        <v>8930524.8300000001</v>
      </c>
      <c r="AE381">
        <v>190.4</v>
      </c>
      <c r="AF381">
        <v>748771.97</v>
      </c>
      <c r="AG381">
        <v>8930522.75</v>
      </c>
      <c r="AH381">
        <v>180</v>
      </c>
      <c r="AI381">
        <v>10.66</v>
      </c>
      <c r="AJ381">
        <v>0</v>
      </c>
      <c r="AK381">
        <v>1.5</v>
      </c>
      <c r="AL381">
        <v>0.8</v>
      </c>
      <c r="AM381">
        <v>154.11000000000001</v>
      </c>
      <c r="AN381">
        <v>12.55</v>
      </c>
      <c r="AO381">
        <v>0</v>
      </c>
      <c r="AP381">
        <v>3.2</v>
      </c>
      <c r="AQ381">
        <v>0.31</v>
      </c>
      <c r="AR381">
        <v>0.04</v>
      </c>
      <c r="AS381">
        <v>0.03</v>
      </c>
      <c r="AT381">
        <v>9.58</v>
      </c>
      <c r="AU381">
        <v>3.96</v>
      </c>
      <c r="AV381">
        <v>7.0000000000000007E-2</v>
      </c>
      <c r="AW381">
        <v>0.61</v>
      </c>
      <c r="AX381">
        <v>0</v>
      </c>
      <c r="AY381">
        <v>0</v>
      </c>
      <c r="AZ381">
        <v>0</v>
      </c>
      <c r="BA381">
        <v>0</v>
      </c>
      <c r="BB381">
        <v>0</v>
      </c>
      <c r="BC381">
        <v>0</v>
      </c>
      <c r="BD381">
        <v>0</v>
      </c>
    </row>
    <row r="382" spans="1:56" x14ac:dyDescent="0.25">
      <c r="A382" s="23">
        <v>46304</v>
      </c>
      <c r="B382">
        <v>381</v>
      </c>
      <c r="C382" t="s">
        <v>82</v>
      </c>
      <c r="D382" t="s">
        <v>83</v>
      </c>
      <c r="E382">
        <v>2</v>
      </c>
      <c r="F382">
        <v>180</v>
      </c>
      <c r="G382">
        <v>0</v>
      </c>
      <c r="H382" t="s">
        <v>84</v>
      </c>
      <c r="I382" t="s">
        <v>78</v>
      </c>
      <c r="J382" t="s">
        <v>85</v>
      </c>
      <c r="K382" t="s">
        <v>86</v>
      </c>
      <c r="L382" t="s">
        <v>71</v>
      </c>
      <c r="M382" t="s">
        <v>87</v>
      </c>
      <c r="O382" t="s">
        <v>88</v>
      </c>
      <c r="P382" t="s">
        <v>89</v>
      </c>
      <c r="X382" t="s">
        <v>77</v>
      </c>
      <c r="Z382" t="s">
        <v>72</v>
      </c>
      <c r="AB382">
        <v>5</v>
      </c>
      <c r="AC382">
        <v>748773.76</v>
      </c>
      <c r="AD382">
        <v>8930527.5199999996</v>
      </c>
      <c r="AE382">
        <v>194.08</v>
      </c>
      <c r="AF382">
        <v>748774.62</v>
      </c>
      <c r="AG382">
        <v>8930523.6899999995</v>
      </c>
      <c r="AH382">
        <v>180</v>
      </c>
      <c r="AI382">
        <v>14.62</v>
      </c>
      <c r="AJ382">
        <v>0</v>
      </c>
      <c r="AK382">
        <v>1.5</v>
      </c>
      <c r="AL382">
        <v>0.8</v>
      </c>
      <c r="AM382">
        <v>167.29</v>
      </c>
      <c r="AN382">
        <v>15.59</v>
      </c>
      <c r="AO382">
        <v>0</v>
      </c>
      <c r="AP382">
        <v>3.23</v>
      </c>
      <c r="AQ382">
        <v>0.37</v>
      </c>
      <c r="AR382">
        <v>0.05</v>
      </c>
      <c r="AS382">
        <v>0.04</v>
      </c>
      <c r="AT382">
        <v>11.7</v>
      </c>
      <c r="AU382">
        <v>5.15</v>
      </c>
      <c r="AV382">
        <v>7.0000000000000007E-2</v>
      </c>
      <c r="AW382">
        <v>1.08</v>
      </c>
      <c r="AX382">
        <v>0</v>
      </c>
      <c r="AY382">
        <v>0</v>
      </c>
      <c r="AZ382">
        <v>0</v>
      </c>
      <c r="BA382">
        <v>0</v>
      </c>
      <c r="BB382">
        <v>0</v>
      </c>
      <c r="BC382">
        <v>0</v>
      </c>
      <c r="BD382">
        <v>0</v>
      </c>
    </row>
    <row r="383" spans="1:56" x14ac:dyDescent="0.25">
      <c r="A383" s="23">
        <v>46304</v>
      </c>
      <c r="B383">
        <v>382</v>
      </c>
      <c r="C383" t="s">
        <v>82</v>
      </c>
      <c r="D383" t="s">
        <v>83</v>
      </c>
      <c r="E383">
        <v>2</v>
      </c>
      <c r="F383">
        <v>180</v>
      </c>
      <c r="G383">
        <v>0</v>
      </c>
      <c r="H383" t="s">
        <v>84</v>
      </c>
      <c r="I383" t="s">
        <v>78</v>
      </c>
      <c r="J383" t="s">
        <v>85</v>
      </c>
      <c r="K383" t="s">
        <v>86</v>
      </c>
      <c r="L383" t="s">
        <v>71</v>
      </c>
      <c r="M383" t="s">
        <v>87</v>
      </c>
      <c r="O383" t="s">
        <v>88</v>
      </c>
      <c r="P383" t="s">
        <v>89</v>
      </c>
      <c r="X383" t="s">
        <v>77</v>
      </c>
      <c r="Z383" t="s">
        <v>72</v>
      </c>
      <c r="AB383">
        <v>5</v>
      </c>
      <c r="AC383">
        <v>748775.2</v>
      </c>
      <c r="AD383">
        <v>8930527.9399999995</v>
      </c>
      <c r="AE383">
        <v>194.4</v>
      </c>
      <c r="AF383">
        <v>748775.98</v>
      </c>
      <c r="AG383">
        <v>8930524</v>
      </c>
      <c r="AH383">
        <v>180</v>
      </c>
      <c r="AI383">
        <v>14.95</v>
      </c>
      <c r="AJ383">
        <v>0</v>
      </c>
      <c r="AK383">
        <v>1.5</v>
      </c>
      <c r="AL383">
        <v>0.8</v>
      </c>
      <c r="AM383">
        <v>168.89</v>
      </c>
      <c r="AN383">
        <v>15.57</v>
      </c>
      <c r="AO383">
        <v>0</v>
      </c>
      <c r="AP383">
        <v>3.23</v>
      </c>
      <c r="AQ383">
        <v>0.37</v>
      </c>
      <c r="AR383">
        <v>0.05</v>
      </c>
      <c r="AS383">
        <v>0.04</v>
      </c>
      <c r="AT383">
        <v>11.7</v>
      </c>
      <c r="AU383">
        <v>5.15</v>
      </c>
      <c r="AV383">
        <v>7.0000000000000007E-2</v>
      </c>
      <c r="AW383">
        <v>1.08</v>
      </c>
      <c r="AX383">
        <v>0</v>
      </c>
      <c r="AY383">
        <v>0</v>
      </c>
      <c r="AZ383">
        <v>0</v>
      </c>
      <c r="BA383">
        <v>0</v>
      </c>
      <c r="BB383">
        <v>0</v>
      </c>
      <c r="BC383">
        <v>0</v>
      </c>
      <c r="BD383">
        <v>0</v>
      </c>
    </row>
    <row r="384" spans="1:56" x14ac:dyDescent="0.25">
      <c r="A384" s="23">
        <v>46304</v>
      </c>
      <c r="B384">
        <v>383</v>
      </c>
      <c r="C384" t="s">
        <v>82</v>
      </c>
      <c r="D384" t="s">
        <v>83</v>
      </c>
      <c r="E384">
        <v>2</v>
      </c>
      <c r="F384">
        <v>180</v>
      </c>
      <c r="G384">
        <v>0</v>
      </c>
      <c r="H384" t="s">
        <v>84</v>
      </c>
      <c r="I384" t="s">
        <v>78</v>
      </c>
      <c r="J384" t="s">
        <v>85</v>
      </c>
      <c r="K384" t="s">
        <v>86</v>
      </c>
      <c r="L384" t="s">
        <v>71</v>
      </c>
      <c r="M384" t="s">
        <v>87</v>
      </c>
      <c r="O384" t="s">
        <v>88</v>
      </c>
      <c r="P384" t="s">
        <v>89</v>
      </c>
      <c r="X384" t="s">
        <v>77</v>
      </c>
      <c r="Z384" t="s">
        <v>72</v>
      </c>
      <c r="AB384">
        <v>5</v>
      </c>
      <c r="AC384">
        <v>748776.67</v>
      </c>
      <c r="AD384">
        <v>8930528.2300000004</v>
      </c>
      <c r="AE384">
        <v>194.63</v>
      </c>
      <c r="AF384">
        <v>748777.45</v>
      </c>
      <c r="AG384">
        <v>8930524.2899999991</v>
      </c>
      <c r="AH384">
        <v>180</v>
      </c>
      <c r="AI384">
        <v>15.17</v>
      </c>
      <c r="AJ384">
        <v>0</v>
      </c>
      <c r="AK384">
        <v>1.5</v>
      </c>
      <c r="AL384">
        <v>0.8</v>
      </c>
      <c r="AM384">
        <v>168.89</v>
      </c>
      <c r="AN384">
        <v>15.35</v>
      </c>
      <c r="AO384">
        <v>0</v>
      </c>
      <c r="AP384">
        <v>3.24</v>
      </c>
      <c r="AQ384">
        <v>0.39</v>
      </c>
      <c r="AR384">
        <v>0.05</v>
      </c>
      <c r="AS384">
        <v>0.04</v>
      </c>
      <c r="AT384">
        <v>12.23</v>
      </c>
      <c r="AU384">
        <v>5.45</v>
      </c>
      <c r="AV384">
        <v>7.0000000000000007E-2</v>
      </c>
      <c r="AW384">
        <v>1.07</v>
      </c>
      <c r="AX384">
        <v>0</v>
      </c>
      <c r="AY384">
        <v>0</v>
      </c>
      <c r="AZ384">
        <v>0</v>
      </c>
      <c r="BA384">
        <v>0</v>
      </c>
      <c r="BB384">
        <v>0</v>
      </c>
      <c r="BC384">
        <v>0</v>
      </c>
      <c r="BD384">
        <v>0</v>
      </c>
    </row>
    <row r="385" spans="1:56" x14ac:dyDescent="0.25">
      <c r="A385" s="23">
        <v>46304</v>
      </c>
      <c r="B385">
        <v>384</v>
      </c>
      <c r="C385" t="s">
        <v>82</v>
      </c>
      <c r="D385" t="s">
        <v>83</v>
      </c>
      <c r="E385">
        <v>2</v>
      </c>
      <c r="F385">
        <v>180</v>
      </c>
      <c r="G385">
        <v>0</v>
      </c>
      <c r="H385" t="s">
        <v>84</v>
      </c>
      <c r="I385" t="s">
        <v>78</v>
      </c>
      <c r="J385" t="s">
        <v>85</v>
      </c>
      <c r="K385" t="s">
        <v>86</v>
      </c>
      <c r="L385" t="s">
        <v>71</v>
      </c>
      <c r="M385" t="s">
        <v>87</v>
      </c>
      <c r="O385" t="s">
        <v>88</v>
      </c>
      <c r="P385" t="s">
        <v>89</v>
      </c>
      <c r="X385" t="s">
        <v>77</v>
      </c>
      <c r="Z385" t="s">
        <v>72</v>
      </c>
      <c r="AB385">
        <v>5</v>
      </c>
      <c r="AC385">
        <v>748778.15</v>
      </c>
      <c r="AD385">
        <v>8930528.5199999996</v>
      </c>
      <c r="AE385">
        <v>194.73</v>
      </c>
      <c r="AF385">
        <v>748778.92</v>
      </c>
      <c r="AG385">
        <v>8930524.5800000001</v>
      </c>
      <c r="AH385">
        <v>180</v>
      </c>
      <c r="AI385">
        <v>15.27</v>
      </c>
      <c r="AJ385">
        <v>0</v>
      </c>
      <c r="AK385">
        <v>1.5</v>
      </c>
      <c r="AL385">
        <v>0.8</v>
      </c>
      <c r="AM385">
        <v>168.89</v>
      </c>
      <c r="AN385">
        <v>15.26</v>
      </c>
      <c r="AO385">
        <v>0</v>
      </c>
      <c r="AP385">
        <v>3.24</v>
      </c>
      <c r="AQ385">
        <v>0.4</v>
      </c>
      <c r="AR385">
        <v>0.05</v>
      </c>
      <c r="AS385">
        <v>0.04</v>
      </c>
      <c r="AT385">
        <v>12.42</v>
      </c>
      <c r="AU385">
        <v>5.59</v>
      </c>
      <c r="AV385">
        <v>7.0000000000000007E-2</v>
      </c>
      <c r="AW385">
        <v>1.05</v>
      </c>
      <c r="AX385">
        <v>0</v>
      </c>
      <c r="AY385">
        <v>0</v>
      </c>
      <c r="AZ385">
        <v>0</v>
      </c>
      <c r="BA385">
        <v>0</v>
      </c>
      <c r="BB385">
        <v>0</v>
      </c>
      <c r="BC385">
        <v>0</v>
      </c>
      <c r="BD385">
        <v>0</v>
      </c>
    </row>
    <row r="386" spans="1:56" x14ac:dyDescent="0.25">
      <c r="A386" s="23">
        <v>46304</v>
      </c>
      <c r="B386">
        <v>385</v>
      </c>
      <c r="C386" t="s">
        <v>82</v>
      </c>
      <c r="D386" t="s">
        <v>83</v>
      </c>
      <c r="E386">
        <v>2</v>
      </c>
      <c r="F386">
        <v>180</v>
      </c>
      <c r="G386">
        <v>0</v>
      </c>
      <c r="H386" t="s">
        <v>84</v>
      </c>
      <c r="I386" t="s">
        <v>78</v>
      </c>
      <c r="J386" t="s">
        <v>85</v>
      </c>
      <c r="K386" t="s">
        <v>86</v>
      </c>
      <c r="L386" t="s">
        <v>71</v>
      </c>
      <c r="M386" t="s">
        <v>87</v>
      </c>
      <c r="O386" t="s">
        <v>88</v>
      </c>
      <c r="P386" t="s">
        <v>89</v>
      </c>
      <c r="X386" t="s">
        <v>77</v>
      </c>
      <c r="Z386" t="s">
        <v>72</v>
      </c>
      <c r="AB386">
        <v>5</v>
      </c>
      <c r="AC386">
        <v>748779.62</v>
      </c>
      <c r="AD386">
        <v>8930528.8100000005</v>
      </c>
      <c r="AE386">
        <v>194.71</v>
      </c>
      <c r="AF386">
        <v>748780.39</v>
      </c>
      <c r="AG386">
        <v>8930524.8699999992</v>
      </c>
      <c r="AH386">
        <v>180</v>
      </c>
      <c r="AI386">
        <v>15.25</v>
      </c>
      <c r="AJ386">
        <v>0</v>
      </c>
      <c r="AK386">
        <v>1.5</v>
      </c>
      <c r="AL386">
        <v>0.8</v>
      </c>
      <c r="AM386">
        <v>168.89</v>
      </c>
      <c r="AN386">
        <v>15.29</v>
      </c>
      <c r="AO386">
        <v>0</v>
      </c>
      <c r="AP386">
        <v>3.24</v>
      </c>
      <c r="AQ386">
        <v>0.4</v>
      </c>
      <c r="AR386">
        <v>0.05</v>
      </c>
      <c r="AS386">
        <v>0.04</v>
      </c>
      <c r="AT386">
        <v>12.41</v>
      </c>
      <c r="AU386">
        <v>5.63</v>
      </c>
      <c r="AV386">
        <v>0.06</v>
      </c>
      <c r="AW386">
        <v>1.02</v>
      </c>
      <c r="AX386">
        <v>0</v>
      </c>
      <c r="AY386">
        <v>0</v>
      </c>
      <c r="AZ386">
        <v>0</v>
      </c>
      <c r="BA386">
        <v>0</v>
      </c>
      <c r="BB386">
        <v>0</v>
      </c>
      <c r="BC386">
        <v>0</v>
      </c>
      <c r="BD386">
        <v>0</v>
      </c>
    </row>
    <row r="387" spans="1:56" x14ac:dyDescent="0.25">
      <c r="A387" s="23">
        <v>46304</v>
      </c>
      <c r="B387">
        <v>386</v>
      </c>
      <c r="C387" t="s">
        <v>82</v>
      </c>
      <c r="D387" t="s">
        <v>83</v>
      </c>
      <c r="E387">
        <v>2</v>
      </c>
      <c r="F387">
        <v>180</v>
      </c>
      <c r="G387">
        <v>0</v>
      </c>
      <c r="H387" t="s">
        <v>84</v>
      </c>
      <c r="I387" t="s">
        <v>78</v>
      </c>
      <c r="J387" t="s">
        <v>85</v>
      </c>
      <c r="K387" t="s">
        <v>86</v>
      </c>
      <c r="L387" t="s">
        <v>71</v>
      </c>
      <c r="M387" t="s">
        <v>87</v>
      </c>
      <c r="O387" t="s">
        <v>88</v>
      </c>
      <c r="P387" t="s">
        <v>89</v>
      </c>
      <c r="X387" t="s">
        <v>77</v>
      </c>
      <c r="Z387" t="s">
        <v>72</v>
      </c>
      <c r="AB387">
        <v>5</v>
      </c>
      <c r="AC387">
        <v>748781.09</v>
      </c>
      <c r="AD387">
        <v>8930529.0899999999</v>
      </c>
      <c r="AE387">
        <v>194.76</v>
      </c>
      <c r="AF387">
        <v>748781.86</v>
      </c>
      <c r="AG387">
        <v>8930525.1500000004</v>
      </c>
      <c r="AH387">
        <v>180</v>
      </c>
      <c r="AI387">
        <v>15.29</v>
      </c>
      <c r="AJ387">
        <v>0</v>
      </c>
      <c r="AK387">
        <v>1.5</v>
      </c>
      <c r="AL387">
        <v>0.8</v>
      </c>
      <c r="AM387">
        <v>168.89</v>
      </c>
      <c r="AN387">
        <v>15.2</v>
      </c>
      <c r="AO387">
        <v>0</v>
      </c>
      <c r="AP387">
        <v>3.26</v>
      </c>
      <c r="AQ387">
        <v>0.4</v>
      </c>
      <c r="AR387">
        <v>0.05</v>
      </c>
      <c r="AS387">
        <v>0.04</v>
      </c>
      <c r="AT387">
        <v>12.26</v>
      </c>
      <c r="AU387">
        <v>5.73</v>
      </c>
      <c r="AV387">
        <v>0.05</v>
      </c>
      <c r="AW387">
        <v>0.81</v>
      </c>
      <c r="AX387">
        <v>0.14000000000000001</v>
      </c>
      <c r="AY387">
        <v>0</v>
      </c>
      <c r="AZ387">
        <v>0</v>
      </c>
      <c r="BA387">
        <v>0</v>
      </c>
      <c r="BB387">
        <v>0</v>
      </c>
      <c r="BC387">
        <v>0</v>
      </c>
      <c r="BD387">
        <v>0</v>
      </c>
    </row>
    <row r="388" spans="1:56" x14ac:dyDescent="0.25">
      <c r="A388" s="23">
        <v>46304</v>
      </c>
      <c r="B388">
        <v>387</v>
      </c>
      <c r="C388" t="s">
        <v>82</v>
      </c>
      <c r="D388" t="s">
        <v>83</v>
      </c>
      <c r="E388">
        <v>2</v>
      </c>
      <c r="F388">
        <v>180</v>
      </c>
      <c r="G388">
        <v>0</v>
      </c>
      <c r="H388" t="s">
        <v>84</v>
      </c>
      <c r="I388" t="s">
        <v>78</v>
      </c>
      <c r="J388" t="s">
        <v>85</v>
      </c>
      <c r="K388" t="s">
        <v>86</v>
      </c>
      <c r="L388" t="s">
        <v>71</v>
      </c>
      <c r="M388" t="s">
        <v>87</v>
      </c>
      <c r="O388" t="s">
        <v>88</v>
      </c>
      <c r="P388" t="s">
        <v>89</v>
      </c>
      <c r="X388" t="s">
        <v>77</v>
      </c>
      <c r="Z388" t="s">
        <v>72</v>
      </c>
      <c r="AB388">
        <v>5</v>
      </c>
      <c r="AC388">
        <v>748782.56</v>
      </c>
      <c r="AD388">
        <v>8930529.3800000008</v>
      </c>
      <c r="AE388">
        <v>194.78</v>
      </c>
      <c r="AF388">
        <v>748783.3</v>
      </c>
      <c r="AG388">
        <v>8930525.4399999995</v>
      </c>
      <c r="AH388">
        <v>180</v>
      </c>
      <c r="AI388">
        <v>15.32</v>
      </c>
      <c r="AJ388">
        <v>0</v>
      </c>
      <c r="AK388">
        <v>1.5</v>
      </c>
      <c r="AL388">
        <v>0.8</v>
      </c>
      <c r="AM388">
        <v>169.47</v>
      </c>
      <c r="AN388">
        <v>15.19</v>
      </c>
      <c r="AO388">
        <v>0</v>
      </c>
      <c r="AP388">
        <v>3.26</v>
      </c>
      <c r="AQ388">
        <v>0.41</v>
      </c>
      <c r="AR388">
        <v>0.06</v>
      </c>
      <c r="AS388">
        <v>0.04</v>
      </c>
      <c r="AT388">
        <v>12.51</v>
      </c>
      <c r="AU388">
        <v>5.81</v>
      </c>
      <c r="AV388">
        <v>0.06</v>
      </c>
      <c r="AW388">
        <v>0.74</v>
      </c>
      <c r="AX388">
        <v>0.48</v>
      </c>
      <c r="AY388">
        <v>0</v>
      </c>
      <c r="AZ388">
        <v>0</v>
      </c>
      <c r="BA388">
        <v>0</v>
      </c>
      <c r="BB388">
        <v>0</v>
      </c>
      <c r="BC388">
        <v>0</v>
      </c>
      <c r="BD388">
        <v>0</v>
      </c>
    </row>
    <row r="389" spans="1:56" x14ac:dyDescent="0.25">
      <c r="A389" s="23">
        <v>46304</v>
      </c>
      <c r="B389">
        <v>388</v>
      </c>
      <c r="C389" t="s">
        <v>82</v>
      </c>
      <c r="D389" t="s">
        <v>83</v>
      </c>
      <c r="E389">
        <v>2</v>
      </c>
      <c r="F389">
        <v>180</v>
      </c>
      <c r="G389">
        <v>1</v>
      </c>
      <c r="H389" t="s">
        <v>84</v>
      </c>
      <c r="I389" t="s">
        <v>78</v>
      </c>
      <c r="J389" t="s">
        <v>85</v>
      </c>
      <c r="K389" t="s">
        <v>86</v>
      </c>
      <c r="L389" t="s">
        <v>71</v>
      </c>
      <c r="M389" t="s">
        <v>87</v>
      </c>
      <c r="O389" t="s">
        <v>88</v>
      </c>
      <c r="P389" t="s">
        <v>89</v>
      </c>
      <c r="X389" t="s">
        <v>77</v>
      </c>
      <c r="Z389" t="s">
        <v>72</v>
      </c>
      <c r="AB389">
        <v>5</v>
      </c>
      <c r="AC389">
        <v>748784.04</v>
      </c>
      <c r="AD389">
        <v>8930529.6600000001</v>
      </c>
      <c r="AE389">
        <v>194.83</v>
      </c>
      <c r="AF389">
        <v>748784.71</v>
      </c>
      <c r="AG389">
        <v>8930525.6999999993</v>
      </c>
      <c r="AH389">
        <v>180</v>
      </c>
      <c r="AI389">
        <v>15.36</v>
      </c>
      <c r="AJ389">
        <v>0</v>
      </c>
      <c r="AK389">
        <v>1.5</v>
      </c>
      <c r="AL389">
        <v>0.8</v>
      </c>
      <c r="AM389">
        <v>170.41</v>
      </c>
      <c r="AN389">
        <v>15.15</v>
      </c>
      <c r="AO389">
        <v>0</v>
      </c>
      <c r="AP389">
        <v>3.26</v>
      </c>
      <c r="AQ389">
        <v>0.43</v>
      </c>
      <c r="AR389">
        <v>0.06</v>
      </c>
      <c r="AS389">
        <v>0.05</v>
      </c>
      <c r="AT389">
        <v>12.95</v>
      </c>
      <c r="AU389">
        <v>5.93</v>
      </c>
      <c r="AV389">
        <v>7.0000000000000007E-2</v>
      </c>
      <c r="AW389">
        <v>0.66</v>
      </c>
      <c r="AX389">
        <v>0.99</v>
      </c>
      <c r="AY389">
        <v>0</v>
      </c>
      <c r="AZ389">
        <v>0</v>
      </c>
      <c r="BA389">
        <v>0</v>
      </c>
      <c r="BB389">
        <v>0</v>
      </c>
      <c r="BC389">
        <v>0</v>
      </c>
      <c r="BD389">
        <v>0</v>
      </c>
    </row>
    <row r="390" spans="1:56" x14ac:dyDescent="0.25">
      <c r="A390" s="23">
        <v>46304</v>
      </c>
      <c r="B390">
        <v>389</v>
      </c>
      <c r="C390" t="s">
        <v>82</v>
      </c>
      <c r="D390" t="s">
        <v>83</v>
      </c>
      <c r="E390">
        <v>2</v>
      </c>
      <c r="F390">
        <v>180</v>
      </c>
      <c r="G390">
        <v>1</v>
      </c>
      <c r="H390" t="s">
        <v>84</v>
      </c>
      <c r="I390" t="s">
        <v>78</v>
      </c>
      <c r="J390" t="s">
        <v>85</v>
      </c>
      <c r="K390" t="s">
        <v>86</v>
      </c>
      <c r="L390" t="s">
        <v>71</v>
      </c>
      <c r="M390" t="s">
        <v>87</v>
      </c>
      <c r="O390" t="s">
        <v>88</v>
      </c>
      <c r="P390" t="s">
        <v>89</v>
      </c>
      <c r="X390" t="s">
        <v>77</v>
      </c>
      <c r="Z390" t="s">
        <v>72</v>
      </c>
      <c r="AB390">
        <v>5</v>
      </c>
      <c r="AC390">
        <v>748785.52</v>
      </c>
      <c r="AD390">
        <v>8930529.9000000004</v>
      </c>
      <c r="AE390">
        <v>194.83</v>
      </c>
      <c r="AF390">
        <v>748786.18</v>
      </c>
      <c r="AG390">
        <v>8930525.9499999993</v>
      </c>
      <c r="AH390">
        <v>180</v>
      </c>
      <c r="AI390">
        <v>15.36</v>
      </c>
      <c r="AJ390">
        <v>0</v>
      </c>
      <c r="AK390">
        <v>1.5</v>
      </c>
      <c r="AL390">
        <v>0.8</v>
      </c>
      <c r="AM390">
        <v>170.41</v>
      </c>
      <c r="AN390">
        <v>15.14</v>
      </c>
      <c r="AO390">
        <v>0</v>
      </c>
      <c r="AP390">
        <v>3.26</v>
      </c>
      <c r="AQ390">
        <v>0.43</v>
      </c>
      <c r="AR390">
        <v>0.06</v>
      </c>
      <c r="AS390">
        <v>0.05</v>
      </c>
      <c r="AT390">
        <v>12.95</v>
      </c>
      <c r="AU390">
        <v>5.93</v>
      </c>
      <c r="AV390">
        <v>7.0000000000000007E-2</v>
      </c>
      <c r="AW390">
        <v>0.66</v>
      </c>
      <c r="AX390">
        <v>0.99</v>
      </c>
      <c r="AY390">
        <v>0</v>
      </c>
      <c r="AZ390">
        <v>0</v>
      </c>
      <c r="BA390">
        <v>0</v>
      </c>
      <c r="BB390">
        <v>0</v>
      </c>
      <c r="BC390">
        <v>0</v>
      </c>
      <c r="BD390">
        <v>0</v>
      </c>
    </row>
    <row r="391" spans="1:56" x14ac:dyDescent="0.25">
      <c r="A391" s="23">
        <v>46304</v>
      </c>
      <c r="B391">
        <v>390</v>
      </c>
      <c r="C391" t="s">
        <v>82</v>
      </c>
      <c r="D391" t="s">
        <v>83</v>
      </c>
      <c r="E391">
        <v>2</v>
      </c>
      <c r="F391">
        <v>180</v>
      </c>
      <c r="G391">
        <v>1</v>
      </c>
      <c r="H391" t="s">
        <v>84</v>
      </c>
      <c r="I391" t="s">
        <v>78</v>
      </c>
      <c r="J391" t="s">
        <v>85</v>
      </c>
      <c r="K391" t="s">
        <v>86</v>
      </c>
      <c r="L391" t="s">
        <v>71</v>
      </c>
      <c r="M391" t="s">
        <v>87</v>
      </c>
      <c r="O391" t="s">
        <v>88</v>
      </c>
      <c r="P391" t="s">
        <v>89</v>
      </c>
      <c r="X391" t="s">
        <v>77</v>
      </c>
      <c r="Z391" t="s">
        <v>72</v>
      </c>
      <c r="AB391">
        <v>5</v>
      </c>
      <c r="AC391">
        <v>748786.99</v>
      </c>
      <c r="AD391">
        <v>8930530.1600000001</v>
      </c>
      <c r="AE391">
        <v>194.82</v>
      </c>
      <c r="AF391">
        <v>748787.66</v>
      </c>
      <c r="AG391">
        <v>8930526.1999999993</v>
      </c>
      <c r="AH391">
        <v>180</v>
      </c>
      <c r="AI391">
        <v>15.35</v>
      </c>
      <c r="AJ391">
        <v>0</v>
      </c>
      <c r="AK391">
        <v>1.5</v>
      </c>
      <c r="AL391">
        <v>0.8</v>
      </c>
      <c r="AM391">
        <v>170.41</v>
      </c>
      <c r="AN391">
        <v>15.17</v>
      </c>
      <c r="AO391">
        <v>0</v>
      </c>
      <c r="AP391">
        <v>3.26</v>
      </c>
      <c r="AQ391">
        <v>0.43</v>
      </c>
      <c r="AR391">
        <v>0.06</v>
      </c>
      <c r="AS391">
        <v>0.05</v>
      </c>
      <c r="AT391">
        <v>12.95</v>
      </c>
      <c r="AU391">
        <v>5.93</v>
      </c>
      <c r="AV391">
        <v>7.0000000000000007E-2</v>
      </c>
      <c r="AW391">
        <v>0.66</v>
      </c>
      <c r="AX391">
        <v>0.99</v>
      </c>
      <c r="AY391">
        <v>0</v>
      </c>
      <c r="AZ391">
        <v>0</v>
      </c>
      <c r="BA391">
        <v>0</v>
      </c>
      <c r="BB391">
        <v>0</v>
      </c>
      <c r="BC391">
        <v>0</v>
      </c>
      <c r="BD391">
        <v>0</v>
      </c>
    </row>
    <row r="392" spans="1:56" x14ac:dyDescent="0.25">
      <c r="A392" s="23">
        <v>46304</v>
      </c>
      <c r="B392">
        <v>391</v>
      </c>
      <c r="C392" t="s">
        <v>82</v>
      </c>
      <c r="D392" t="s">
        <v>83</v>
      </c>
      <c r="E392">
        <v>2</v>
      </c>
      <c r="F392">
        <v>180</v>
      </c>
      <c r="G392">
        <v>1</v>
      </c>
      <c r="H392" t="s">
        <v>84</v>
      </c>
      <c r="I392" t="s">
        <v>78</v>
      </c>
      <c r="J392" t="s">
        <v>85</v>
      </c>
      <c r="K392" t="s">
        <v>86</v>
      </c>
      <c r="L392" t="s">
        <v>71</v>
      </c>
      <c r="M392" t="s">
        <v>87</v>
      </c>
      <c r="O392" t="s">
        <v>88</v>
      </c>
      <c r="P392" t="s">
        <v>89</v>
      </c>
      <c r="X392" t="s">
        <v>77</v>
      </c>
      <c r="Z392" t="s">
        <v>72</v>
      </c>
      <c r="AB392">
        <v>5</v>
      </c>
      <c r="AC392">
        <v>748788.47</v>
      </c>
      <c r="AD392">
        <v>8930530.4100000001</v>
      </c>
      <c r="AE392">
        <v>194.77</v>
      </c>
      <c r="AF392">
        <v>748789.14</v>
      </c>
      <c r="AG392">
        <v>8930526.4499999993</v>
      </c>
      <c r="AH392">
        <v>180</v>
      </c>
      <c r="AI392">
        <v>15.31</v>
      </c>
      <c r="AJ392">
        <v>0</v>
      </c>
      <c r="AK392">
        <v>1.5</v>
      </c>
      <c r="AL392">
        <v>0.8</v>
      </c>
      <c r="AM392">
        <v>170.41</v>
      </c>
      <c r="AN392">
        <v>15.2</v>
      </c>
      <c r="AO392">
        <v>0</v>
      </c>
      <c r="AP392">
        <v>3.28</v>
      </c>
      <c r="AQ392">
        <v>0.43</v>
      </c>
      <c r="AR392">
        <v>0.06</v>
      </c>
      <c r="AS392">
        <v>0.05</v>
      </c>
      <c r="AT392">
        <v>14.49</v>
      </c>
      <c r="AU392">
        <v>5.86</v>
      </c>
      <c r="AV392">
        <v>0.13</v>
      </c>
      <c r="AW392">
        <v>0.65</v>
      </c>
      <c r="AX392">
        <v>0.72</v>
      </c>
      <c r="AY392">
        <v>0</v>
      </c>
      <c r="AZ392">
        <v>0</v>
      </c>
      <c r="BA392">
        <v>0</v>
      </c>
      <c r="BB392">
        <v>0</v>
      </c>
      <c r="BC392">
        <v>0</v>
      </c>
      <c r="BD392">
        <v>0</v>
      </c>
    </row>
    <row r="393" spans="1:56" x14ac:dyDescent="0.25">
      <c r="A393" s="23">
        <v>46304</v>
      </c>
      <c r="B393">
        <v>392</v>
      </c>
      <c r="C393" t="s">
        <v>82</v>
      </c>
      <c r="D393" t="s">
        <v>83</v>
      </c>
      <c r="E393">
        <v>2</v>
      </c>
      <c r="F393">
        <v>180</v>
      </c>
      <c r="G393">
        <v>1</v>
      </c>
      <c r="H393" t="s">
        <v>84</v>
      </c>
      <c r="I393" t="s">
        <v>78</v>
      </c>
      <c r="J393" t="s">
        <v>85</v>
      </c>
      <c r="K393" t="s">
        <v>86</v>
      </c>
      <c r="L393" t="s">
        <v>71</v>
      </c>
      <c r="M393" t="s">
        <v>87</v>
      </c>
      <c r="O393" t="s">
        <v>88</v>
      </c>
      <c r="P393" t="s">
        <v>89</v>
      </c>
      <c r="X393" t="s">
        <v>77</v>
      </c>
      <c r="Z393" t="s">
        <v>72</v>
      </c>
      <c r="AB393">
        <v>5</v>
      </c>
      <c r="AC393">
        <v>748789.95</v>
      </c>
      <c r="AD393">
        <v>8930530.6500000004</v>
      </c>
      <c r="AE393">
        <v>194.78</v>
      </c>
      <c r="AF393">
        <v>748790.62</v>
      </c>
      <c r="AG393">
        <v>8930526.6999999993</v>
      </c>
      <c r="AH393">
        <v>180</v>
      </c>
      <c r="AI393">
        <v>15.31</v>
      </c>
      <c r="AJ393">
        <v>0</v>
      </c>
      <c r="AK393">
        <v>1.5</v>
      </c>
      <c r="AL393">
        <v>0.8</v>
      </c>
      <c r="AM393">
        <v>170.41</v>
      </c>
      <c r="AN393">
        <v>15.18</v>
      </c>
      <c r="AO393">
        <v>0</v>
      </c>
      <c r="AP393">
        <v>3.29</v>
      </c>
      <c r="AQ393">
        <v>0.42</v>
      </c>
      <c r="AR393">
        <v>0.06</v>
      </c>
      <c r="AS393">
        <v>0.05</v>
      </c>
      <c r="AT393">
        <v>15.1</v>
      </c>
      <c r="AU393">
        <v>5.69</v>
      </c>
      <c r="AV393">
        <v>0.16</v>
      </c>
      <c r="AW393">
        <v>0.73</v>
      </c>
      <c r="AX393">
        <v>0.08</v>
      </c>
      <c r="AY393">
        <v>0</v>
      </c>
      <c r="AZ393">
        <v>0</v>
      </c>
      <c r="BA393">
        <v>0</v>
      </c>
      <c r="BB393">
        <v>0</v>
      </c>
      <c r="BC393">
        <v>0</v>
      </c>
      <c r="BD393">
        <v>0</v>
      </c>
    </row>
    <row r="394" spans="1:56" x14ac:dyDescent="0.25">
      <c r="A394" s="23">
        <v>46304</v>
      </c>
      <c r="B394">
        <v>393</v>
      </c>
      <c r="C394" t="s">
        <v>82</v>
      </c>
      <c r="D394" t="s">
        <v>83</v>
      </c>
      <c r="E394">
        <v>2</v>
      </c>
      <c r="F394">
        <v>180</v>
      </c>
      <c r="G394">
        <v>1</v>
      </c>
      <c r="H394" t="s">
        <v>84</v>
      </c>
      <c r="I394" t="s">
        <v>78</v>
      </c>
      <c r="J394" t="s">
        <v>85</v>
      </c>
      <c r="K394" t="s">
        <v>86</v>
      </c>
      <c r="L394" t="s">
        <v>71</v>
      </c>
      <c r="M394" t="s">
        <v>87</v>
      </c>
      <c r="O394" t="s">
        <v>88</v>
      </c>
      <c r="P394" t="s">
        <v>89</v>
      </c>
      <c r="X394" t="s">
        <v>77</v>
      </c>
      <c r="Z394" t="s">
        <v>72</v>
      </c>
      <c r="AB394">
        <v>5</v>
      </c>
      <c r="AC394">
        <v>748791.43</v>
      </c>
      <c r="AD394">
        <v>8930530.9100000001</v>
      </c>
      <c r="AE394">
        <v>194.81</v>
      </c>
      <c r="AF394">
        <v>748792.1</v>
      </c>
      <c r="AG394">
        <v>8930526.9499999993</v>
      </c>
      <c r="AH394">
        <v>180</v>
      </c>
      <c r="AI394">
        <v>15.34</v>
      </c>
      <c r="AJ394">
        <v>0</v>
      </c>
      <c r="AK394">
        <v>1.5</v>
      </c>
      <c r="AL394">
        <v>0.8</v>
      </c>
      <c r="AM394">
        <v>170.41</v>
      </c>
      <c r="AN394">
        <v>15.18</v>
      </c>
      <c r="AO394">
        <v>0</v>
      </c>
      <c r="AP394">
        <v>3.3</v>
      </c>
      <c r="AQ394">
        <v>0.42</v>
      </c>
      <c r="AR394">
        <v>0.06</v>
      </c>
      <c r="AS394">
        <v>0.06</v>
      </c>
      <c r="AT394">
        <v>15.65</v>
      </c>
      <c r="AU394">
        <v>5.64</v>
      </c>
      <c r="AV394">
        <v>0.19</v>
      </c>
      <c r="AW394">
        <v>0.86</v>
      </c>
      <c r="AX394">
        <v>0</v>
      </c>
      <c r="AY394">
        <v>0</v>
      </c>
      <c r="AZ394">
        <v>0</v>
      </c>
      <c r="BA394">
        <v>0</v>
      </c>
      <c r="BB394">
        <v>0</v>
      </c>
      <c r="BC394">
        <v>0</v>
      </c>
      <c r="BD394">
        <v>0</v>
      </c>
    </row>
    <row r="395" spans="1:56" x14ac:dyDescent="0.25">
      <c r="A395" s="23">
        <v>46304</v>
      </c>
      <c r="B395">
        <v>394</v>
      </c>
      <c r="C395" t="s">
        <v>82</v>
      </c>
      <c r="D395" t="s">
        <v>83</v>
      </c>
      <c r="E395">
        <v>2</v>
      </c>
      <c r="F395">
        <v>180</v>
      </c>
      <c r="G395">
        <v>1</v>
      </c>
      <c r="H395" t="s">
        <v>84</v>
      </c>
      <c r="I395" t="s">
        <v>78</v>
      </c>
      <c r="J395" t="s">
        <v>85</v>
      </c>
      <c r="K395" t="s">
        <v>86</v>
      </c>
      <c r="L395" t="s">
        <v>71</v>
      </c>
      <c r="M395" t="s">
        <v>87</v>
      </c>
      <c r="O395" t="s">
        <v>88</v>
      </c>
      <c r="P395" t="s">
        <v>89</v>
      </c>
      <c r="X395" t="s">
        <v>77</v>
      </c>
      <c r="Z395" t="s">
        <v>72</v>
      </c>
      <c r="AB395">
        <v>5</v>
      </c>
      <c r="AC395">
        <v>748792.91</v>
      </c>
      <c r="AD395">
        <v>8930531.1600000001</v>
      </c>
      <c r="AE395">
        <v>194.84</v>
      </c>
      <c r="AF395">
        <v>748793.63</v>
      </c>
      <c r="AG395">
        <v>8930527.1999999993</v>
      </c>
      <c r="AH395">
        <v>180</v>
      </c>
      <c r="AI395">
        <v>15.37</v>
      </c>
      <c r="AJ395">
        <v>0</v>
      </c>
      <c r="AK395">
        <v>1.5</v>
      </c>
      <c r="AL395">
        <v>0.8</v>
      </c>
      <c r="AM395">
        <v>169.72</v>
      </c>
      <c r="AN395">
        <v>15.14</v>
      </c>
      <c r="AO395">
        <v>0</v>
      </c>
      <c r="AP395">
        <v>3.3</v>
      </c>
      <c r="AQ395">
        <v>0.42</v>
      </c>
      <c r="AR395">
        <v>0.06</v>
      </c>
      <c r="AS395">
        <v>0.06</v>
      </c>
      <c r="AT395">
        <v>15.65</v>
      </c>
      <c r="AU395">
        <v>5.64</v>
      </c>
      <c r="AV395">
        <v>0.19</v>
      </c>
      <c r="AW395">
        <v>0.86</v>
      </c>
      <c r="AX395">
        <v>0</v>
      </c>
      <c r="AY395">
        <v>0</v>
      </c>
      <c r="AZ395">
        <v>0</v>
      </c>
      <c r="BA395">
        <v>0</v>
      </c>
      <c r="BB395">
        <v>0</v>
      </c>
      <c r="BC395">
        <v>0</v>
      </c>
      <c r="BD395">
        <v>0</v>
      </c>
    </row>
    <row r="396" spans="1:56" x14ac:dyDescent="0.25">
      <c r="A396" s="23">
        <v>46304</v>
      </c>
      <c r="B396">
        <v>395</v>
      </c>
      <c r="C396" t="s">
        <v>82</v>
      </c>
      <c r="D396" t="s">
        <v>83</v>
      </c>
      <c r="E396">
        <v>2</v>
      </c>
      <c r="F396">
        <v>180</v>
      </c>
      <c r="G396">
        <v>1</v>
      </c>
      <c r="H396" t="s">
        <v>96</v>
      </c>
      <c r="I396" t="s">
        <v>91</v>
      </c>
      <c r="J396" t="s">
        <v>85</v>
      </c>
      <c r="K396" t="s">
        <v>86</v>
      </c>
      <c r="L396" t="s">
        <v>71</v>
      </c>
      <c r="M396" t="s">
        <v>87</v>
      </c>
      <c r="O396" t="s">
        <v>88</v>
      </c>
      <c r="P396" t="s">
        <v>89</v>
      </c>
      <c r="X396" t="s">
        <v>77</v>
      </c>
      <c r="Z396" t="s">
        <v>72</v>
      </c>
      <c r="AB396">
        <v>5</v>
      </c>
      <c r="AC396">
        <v>748794.39</v>
      </c>
      <c r="AD396">
        <v>8930531.4199999999</v>
      </c>
      <c r="AE396">
        <v>194.89</v>
      </c>
      <c r="AF396">
        <v>748795.7</v>
      </c>
      <c r="AG396">
        <v>8930527.6300000008</v>
      </c>
      <c r="AH396">
        <v>180</v>
      </c>
      <c r="AI396">
        <v>15.42</v>
      </c>
      <c r="AJ396">
        <v>0</v>
      </c>
      <c r="AK396">
        <v>1.5</v>
      </c>
      <c r="AL396">
        <v>0.8</v>
      </c>
      <c r="AM396">
        <v>160.93</v>
      </c>
      <c r="AN396">
        <v>15.09</v>
      </c>
      <c r="AO396">
        <v>0</v>
      </c>
      <c r="AP396">
        <v>3.3</v>
      </c>
      <c r="AQ396">
        <v>0.42</v>
      </c>
      <c r="AR396">
        <v>0.06</v>
      </c>
      <c r="AS396">
        <v>0.06</v>
      </c>
      <c r="AT396">
        <v>15.65</v>
      </c>
      <c r="AU396">
        <v>5.64</v>
      </c>
      <c r="AV396">
        <v>0.19</v>
      </c>
      <c r="AW396">
        <v>0.86</v>
      </c>
      <c r="AX396">
        <v>0</v>
      </c>
      <c r="AY396">
        <v>0</v>
      </c>
      <c r="AZ396">
        <v>0</v>
      </c>
      <c r="BA396">
        <v>0</v>
      </c>
      <c r="BB396">
        <v>0</v>
      </c>
      <c r="BC396">
        <v>0</v>
      </c>
      <c r="BD396">
        <v>0</v>
      </c>
    </row>
    <row r="397" spans="1:56" x14ac:dyDescent="0.25">
      <c r="A397" s="23">
        <v>46304</v>
      </c>
      <c r="B397">
        <v>396</v>
      </c>
      <c r="C397" t="s">
        <v>82</v>
      </c>
      <c r="D397" t="s">
        <v>83</v>
      </c>
      <c r="E397">
        <v>2</v>
      </c>
      <c r="F397">
        <v>180</v>
      </c>
      <c r="G397">
        <v>1</v>
      </c>
      <c r="H397" t="s">
        <v>96</v>
      </c>
      <c r="I397" t="s">
        <v>91</v>
      </c>
      <c r="J397" t="s">
        <v>85</v>
      </c>
      <c r="K397" t="s">
        <v>86</v>
      </c>
      <c r="L397" t="s">
        <v>71</v>
      </c>
      <c r="M397" t="s">
        <v>87</v>
      </c>
      <c r="O397" t="s">
        <v>88</v>
      </c>
      <c r="P397" t="s">
        <v>89</v>
      </c>
      <c r="X397" t="s">
        <v>77</v>
      </c>
      <c r="Z397" t="s">
        <v>72</v>
      </c>
      <c r="AB397">
        <v>5</v>
      </c>
      <c r="AC397">
        <v>748795.8</v>
      </c>
      <c r="AD397">
        <v>8930531.9199999999</v>
      </c>
      <c r="AE397">
        <v>194.89</v>
      </c>
      <c r="AF397">
        <v>748797.12</v>
      </c>
      <c r="AG397">
        <v>8930528.1199999992</v>
      </c>
      <c r="AH397">
        <v>180</v>
      </c>
      <c r="AI397">
        <v>15.43</v>
      </c>
      <c r="AJ397">
        <v>0</v>
      </c>
      <c r="AK397">
        <v>1.5</v>
      </c>
      <c r="AL397">
        <v>0.8</v>
      </c>
      <c r="AM397">
        <v>160.93</v>
      </c>
      <c r="AN397">
        <v>15.09</v>
      </c>
      <c r="AO397">
        <v>0</v>
      </c>
      <c r="AP397">
        <v>3.29</v>
      </c>
      <c r="AQ397">
        <v>0.4</v>
      </c>
      <c r="AR397">
        <v>0.06</v>
      </c>
      <c r="AS397">
        <v>0.06</v>
      </c>
      <c r="AT397">
        <v>17.22</v>
      </c>
      <c r="AU397">
        <v>5.57</v>
      </c>
      <c r="AV397">
        <v>0.27</v>
      </c>
      <c r="AW397">
        <v>1.28</v>
      </c>
      <c r="AX397">
        <v>0</v>
      </c>
      <c r="AY397">
        <v>0</v>
      </c>
      <c r="AZ397">
        <v>0</v>
      </c>
      <c r="BA397">
        <v>0</v>
      </c>
      <c r="BB397">
        <v>0</v>
      </c>
      <c r="BC397">
        <v>0</v>
      </c>
      <c r="BD397">
        <v>0</v>
      </c>
    </row>
    <row r="398" spans="1:56" x14ac:dyDescent="0.25">
      <c r="A398" s="23">
        <v>46304</v>
      </c>
      <c r="B398">
        <v>397</v>
      </c>
      <c r="C398" t="s">
        <v>82</v>
      </c>
      <c r="D398" t="s">
        <v>83</v>
      </c>
      <c r="E398">
        <v>2</v>
      </c>
      <c r="F398">
        <v>180</v>
      </c>
      <c r="G398">
        <v>1</v>
      </c>
      <c r="H398" t="s">
        <v>96</v>
      </c>
      <c r="I398" t="s">
        <v>91</v>
      </c>
      <c r="J398" t="s">
        <v>85</v>
      </c>
      <c r="K398" t="s">
        <v>86</v>
      </c>
      <c r="L398" t="s">
        <v>71</v>
      </c>
      <c r="M398" t="s">
        <v>87</v>
      </c>
      <c r="O398" t="s">
        <v>88</v>
      </c>
      <c r="P398" t="s">
        <v>89</v>
      </c>
      <c r="X398" t="s">
        <v>77</v>
      </c>
      <c r="Z398" t="s">
        <v>72</v>
      </c>
      <c r="AB398">
        <v>5</v>
      </c>
      <c r="AC398">
        <v>748797.22</v>
      </c>
      <c r="AD398">
        <v>8930532.4100000001</v>
      </c>
      <c r="AE398">
        <v>194.87</v>
      </c>
      <c r="AF398">
        <v>748798.53</v>
      </c>
      <c r="AG398">
        <v>8930528.6099999994</v>
      </c>
      <c r="AH398">
        <v>180</v>
      </c>
      <c r="AI398">
        <v>15.4</v>
      </c>
      <c r="AJ398">
        <v>0</v>
      </c>
      <c r="AK398">
        <v>1.5</v>
      </c>
      <c r="AL398">
        <v>0.8</v>
      </c>
      <c r="AM398">
        <v>160.93</v>
      </c>
      <c r="AN398">
        <v>15.12</v>
      </c>
      <c r="AO398">
        <v>0</v>
      </c>
      <c r="AP398">
        <v>3.29</v>
      </c>
      <c r="AQ398">
        <v>0.4</v>
      </c>
      <c r="AR398">
        <v>0.06</v>
      </c>
      <c r="AS398">
        <v>0.06</v>
      </c>
      <c r="AT398">
        <v>17.22</v>
      </c>
      <c r="AU398">
        <v>5.57</v>
      </c>
      <c r="AV398">
        <v>0.27</v>
      </c>
      <c r="AW398">
        <v>1.28</v>
      </c>
      <c r="AX398">
        <v>0</v>
      </c>
      <c r="AY398">
        <v>0</v>
      </c>
      <c r="AZ398">
        <v>0</v>
      </c>
      <c r="BA398">
        <v>0</v>
      </c>
      <c r="BB398">
        <v>0</v>
      </c>
      <c r="BC398">
        <v>0</v>
      </c>
      <c r="BD398">
        <v>0</v>
      </c>
    </row>
    <row r="399" spans="1:56" x14ac:dyDescent="0.25">
      <c r="A399" s="23">
        <v>46304</v>
      </c>
      <c r="B399">
        <v>398</v>
      </c>
      <c r="C399" t="s">
        <v>82</v>
      </c>
      <c r="D399" t="s">
        <v>83</v>
      </c>
      <c r="E399">
        <v>2</v>
      </c>
      <c r="F399">
        <v>180</v>
      </c>
      <c r="G399">
        <v>1</v>
      </c>
      <c r="H399" t="s">
        <v>96</v>
      </c>
      <c r="I399" t="s">
        <v>91</v>
      </c>
      <c r="J399" t="s">
        <v>85</v>
      </c>
      <c r="K399" t="s">
        <v>86</v>
      </c>
      <c r="L399" t="s">
        <v>71</v>
      </c>
      <c r="M399" t="s">
        <v>87</v>
      </c>
      <c r="O399" t="s">
        <v>88</v>
      </c>
      <c r="P399" t="s">
        <v>89</v>
      </c>
      <c r="X399" t="s">
        <v>77</v>
      </c>
      <c r="Z399" t="s">
        <v>72</v>
      </c>
      <c r="AB399">
        <v>5</v>
      </c>
      <c r="AC399">
        <v>748798.64</v>
      </c>
      <c r="AD399">
        <v>8930532.9000000004</v>
      </c>
      <c r="AE399">
        <v>194.88</v>
      </c>
      <c r="AF399">
        <v>748799.95</v>
      </c>
      <c r="AG399">
        <v>8930529.0999999996</v>
      </c>
      <c r="AH399">
        <v>180</v>
      </c>
      <c r="AI399">
        <v>15.41</v>
      </c>
      <c r="AJ399">
        <v>0</v>
      </c>
      <c r="AK399">
        <v>1.5</v>
      </c>
      <c r="AL399">
        <v>0.8</v>
      </c>
      <c r="AM399">
        <v>160.93</v>
      </c>
      <c r="AN399">
        <v>15.11</v>
      </c>
      <c r="AO399">
        <v>0</v>
      </c>
      <c r="AP399">
        <v>3.29</v>
      </c>
      <c r="AQ399">
        <v>0.4</v>
      </c>
      <c r="AR399">
        <v>0.06</v>
      </c>
      <c r="AS399">
        <v>0.06</v>
      </c>
      <c r="AT399">
        <v>17.22</v>
      </c>
      <c r="AU399">
        <v>5.57</v>
      </c>
      <c r="AV399">
        <v>0.27</v>
      </c>
      <c r="AW399">
        <v>1.28</v>
      </c>
      <c r="AX399">
        <v>0</v>
      </c>
      <c r="AY399">
        <v>0</v>
      </c>
      <c r="AZ399">
        <v>0</v>
      </c>
      <c r="BA399">
        <v>0</v>
      </c>
      <c r="BB399">
        <v>0</v>
      </c>
      <c r="BC399">
        <v>0</v>
      </c>
      <c r="BD399">
        <v>0</v>
      </c>
    </row>
    <row r="400" spans="1:56" x14ac:dyDescent="0.25">
      <c r="A400" s="23">
        <v>46304</v>
      </c>
      <c r="B400">
        <v>399</v>
      </c>
      <c r="C400" t="s">
        <v>82</v>
      </c>
      <c r="D400" t="s">
        <v>83</v>
      </c>
      <c r="E400">
        <v>2</v>
      </c>
      <c r="F400">
        <v>180</v>
      </c>
      <c r="G400">
        <v>1</v>
      </c>
      <c r="H400" t="s">
        <v>96</v>
      </c>
      <c r="I400" t="s">
        <v>28</v>
      </c>
      <c r="J400" t="s">
        <v>85</v>
      </c>
      <c r="K400" t="s">
        <v>86</v>
      </c>
      <c r="L400" t="s">
        <v>71</v>
      </c>
      <c r="M400" t="s">
        <v>87</v>
      </c>
      <c r="O400" t="s">
        <v>88</v>
      </c>
      <c r="P400" t="s">
        <v>89</v>
      </c>
      <c r="X400" t="s">
        <v>77</v>
      </c>
      <c r="Z400" t="s">
        <v>72</v>
      </c>
      <c r="AB400">
        <v>5</v>
      </c>
      <c r="AC400">
        <v>748800.06</v>
      </c>
      <c r="AD400">
        <v>8930533.3900000006</v>
      </c>
      <c r="AE400">
        <v>194.89</v>
      </c>
      <c r="AF400">
        <v>748801.37</v>
      </c>
      <c r="AG400">
        <v>8930529.5899999999</v>
      </c>
      <c r="AH400">
        <v>180</v>
      </c>
      <c r="AI400">
        <v>15.42</v>
      </c>
      <c r="AJ400">
        <v>0</v>
      </c>
      <c r="AK400">
        <v>1.5</v>
      </c>
      <c r="AL400">
        <v>0.8</v>
      </c>
      <c r="AM400">
        <v>160.93</v>
      </c>
      <c r="AN400">
        <v>15.1</v>
      </c>
      <c r="AO400">
        <v>0</v>
      </c>
      <c r="AP400">
        <v>3.29</v>
      </c>
      <c r="AQ400">
        <v>0.4</v>
      </c>
      <c r="AR400">
        <v>0.06</v>
      </c>
      <c r="AS400">
        <v>0.06</v>
      </c>
      <c r="AT400">
        <v>17.350000000000001</v>
      </c>
      <c r="AU400">
        <v>5.53</v>
      </c>
      <c r="AV400">
        <v>0.28999999999999998</v>
      </c>
      <c r="AW400">
        <v>1.3</v>
      </c>
      <c r="AX400">
        <v>0.52</v>
      </c>
      <c r="AY400">
        <v>0</v>
      </c>
      <c r="AZ400">
        <v>0</v>
      </c>
      <c r="BA400">
        <v>0</v>
      </c>
      <c r="BB400">
        <v>0</v>
      </c>
      <c r="BC400">
        <v>0</v>
      </c>
      <c r="BD400">
        <v>0</v>
      </c>
    </row>
    <row r="401" spans="1:56" x14ac:dyDescent="0.25">
      <c r="A401" s="23">
        <v>46304</v>
      </c>
      <c r="B401">
        <v>400</v>
      </c>
      <c r="C401" t="s">
        <v>82</v>
      </c>
      <c r="D401" t="s">
        <v>83</v>
      </c>
      <c r="E401">
        <v>2</v>
      </c>
      <c r="F401">
        <v>180</v>
      </c>
      <c r="G401">
        <v>1</v>
      </c>
      <c r="H401" t="s">
        <v>96</v>
      </c>
      <c r="I401" t="s">
        <v>28</v>
      </c>
      <c r="J401" t="s">
        <v>85</v>
      </c>
      <c r="K401" t="s">
        <v>86</v>
      </c>
      <c r="L401" t="s">
        <v>71</v>
      </c>
      <c r="M401" t="s">
        <v>87</v>
      </c>
      <c r="O401" t="s">
        <v>88</v>
      </c>
      <c r="P401" t="s">
        <v>89</v>
      </c>
      <c r="X401" t="s">
        <v>77</v>
      </c>
      <c r="Z401" t="s">
        <v>72</v>
      </c>
      <c r="AB401">
        <v>5</v>
      </c>
      <c r="AC401">
        <v>748801.48</v>
      </c>
      <c r="AD401">
        <v>8930533.8699999992</v>
      </c>
      <c r="AE401">
        <v>194.84</v>
      </c>
      <c r="AF401">
        <v>748802.31</v>
      </c>
      <c r="AG401">
        <v>8930529.9100000001</v>
      </c>
      <c r="AH401">
        <v>180</v>
      </c>
      <c r="AI401">
        <v>15.38</v>
      </c>
      <c r="AJ401">
        <v>0</v>
      </c>
      <c r="AK401">
        <v>1.5</v>
      </c>
      <c r="AL401">
        <v>0.8</v>
      </c>
      <c r="AM401">
        <v>168.17</v>
      </c>
      <c r="AN401">
        <v>15.25</v>
      </c>
      <c r="AO401">
        <v>0</v>
      </c>
      <c r="AP401">
        <v>3.3</v>
      </c>
      <c r="AQ401">
        <v>0.39</v>
      </c>
      <c r="AR401">
        <v>0.06</v>
      </c>
      <c r="AS401">
        <v>0.06</v>
      </c>
      <c r="AT401">
        <v>17.32</v>
      </c>
      <c r="AU401">
        <v>5.5</v>
      </c>
      <c r="AV401">
        <v>0.31</v>
      </c>
      <c r="AW401">
        <v>1.26</v>
      </c>
      <c r="AX401">
        <v>1.74</v>
      </c>
      <c r="AY401">
        <v>0</v>
      </c>
      <c r="AZ401">
        <v>0</v>
      </c>
      <c r="BA401">
        <v>0</v>
      </c>
      <c r="BB401">
        <v>0</v>
      </c>
      <c r="BC401">
        <v>0</v>
      </c>
      <c r="BD401">
        <v>0</v>
      </c>
    </row>
    <row r="402" spans="1:56" x14ac:dyDescent="0.25">
      <c r="A402" s="23">
        <v>46304</v>
      </c>
      <c r="B402">
        <v>401</v>
      </c>
      <c r="C402" t="s">
        <v>82</v>
      </c>
      <c r="D402" t="s">
        <v>83</v>
      </c>
      <c r="E402">
        <v>2</v>
      </c>
      <c r="F402">
        <v>180</v>
      </c>
      <c r="G402">
        <v>1</v>
      </c>
      <c r="H402" t="s">
        <v>96</v>
      </c>
      <c r="I402" t="s">
        <v>28</v>
      </c>
      <c r="J402" t="s">
        <v>85</v>
      </c>
      <c r="K402" t="s">
        <v>86</v>
      </c>
      <c r="L402" t="s">
        <v>71</v>
      </c>
      <c r="M402" t="s">
        <v>87</v>
      </c>
      <c r="O402" t="s">
        <v>88</v>
      </c>
      <c r="P402" t="s">
        <v>89</v>
      </c>
      <c r="X402" t="s">
        <v>77</v>
      </c>
      <c r="Z402" t="s">
        <v>72</v>
      </c>
      <c r="AB402">
        <v>5</v>
      </c>
      <c r="AC402">
        <v>748802.95</v>
      </c>
      <c r="AD402">
        <v>8930534.1699999999</v>
      </c>
      <c r="AE402">
        <v>194.81</v>
      </c>
      <c r="AF402">
        <v>748803.71</v>
      </c>
      <c r="AG402">
        <v>8930530.2400000002</v>
      </c>
      <c r="AH402">
        <v>180</v>
      </c>
      <c r="AI402">
        <v>15.34</v>
      </c>
      <c r="AJ402">
        <v>0</v>
      </c>
      <c r="AK402">
        <v>1.5</v>
      </c>
      <c r="AL402">
        <v>0.8</v>
      </c>
      <c r="AM402">
        <v>169.06</v>
      </c>
      <c r="AN402">
        <v>15.14</v>
      </c>
      <c r="AO402">
        <v>0</v>
      </c>
      <c r="AP402">
        <v>3.3</v>
      </c>
      <c r="AQ402">
        <v>0.39</v>
      </c>
      <c r="AR402">
        <v>0.05</v>
      </c>
      <c r="AS402">
        <v>0.06</v>
      </c>
      <c r="AT402">
        <v>17.260000000000002</v>
      </c>
      <c r="AU402">
        <v>5.49</v>
      </c>
      <c r="AV402">
        <v>0.32</v>
      </c>
      <c r="AW402">
        <v>1.22</v>
      </c>
      <c r="AX402">
        <v>2.73</v>
      </c>
      <c r="AY402">
        <v>0</v>
      </c>
      <c r="AZ402">
        <v>0</v>
      </c>
      <c r="BA402">
        <v>0</v>
      </c>
      <c r="BB402">
        <v>0</v>
      </c>
      <c r="BC402">
        <v>0</v>
      </c>
      <c r="BD402">
        <v>0</v>
      </c>
    </row>
    <row r="403" spans="1:56" x14ac:dyDescent="0.25">
      <c r="A403" s="23">
        <v>46304</v>
      </c>
      <c r="B403">
        <v>402</v>
      </c>
      <c r="C403" t="s">
        <v>82</v>
      </c>
      <c r="D403" t="s">
        <v>83</v>
      </c>
      <c r="E403">
        <v>2</v>
      </c>
      <c r="F403">
        <v>180</v>
      </c>
      <c r="G403">
        <v>1</v>
      </c>
      <c r="H403" t="s">
        <v>96</v>
      </c>
      <c r="I403" t="s">
        <v>28</v>
      </c>
      <c r="J403" t="s">
        <v>85</v>
      </c>
      <c r="K403" t="s">
        <v>86</v>
      </c>
      <c r="L403" t="s">
        <v>71</v>
      </c>
      <c r="M403" t="s">
        <v>87</v>
      </c>
      <c r="O403" t="s">
        <v>88</v>
      </c>
      <c r="P403" t="s">
        <v>89</v>
      </c>
      <c r="X403" t="s">
        <v>77</v>
      </c>
      <c r="Z403" t="s">
        <v>72</v>
      </c>
      <c r="AB403">
        <v>5</v>
      </c>
      <c r="AC403">
        <v>748804.42</v>
      </c>
      <c r="AD403">
        <v>8930534.4499999993</v>
      </c>
      <c r="AE403">
        <v>194.79</v>
      </c>
      <c r="AF403">
        <v>748805.18</v>
      </c>
      <c r="AG403">
        <v>8930530.5199999996</v>
      </c>
      <c r="AH403">
        <v>180</v>
      </c>
      <c r="AI403">
        <v>15.32</v>
      </c>
      <c r="AJ403">
        <v>0</v>
      </c>
      <c r="AK403">
        <v>1.5</v>
      </c>
      <c r="AL403">
        <v>0.8</v>
      </c>
      <c r="AM403">
        <v>169.06</v>
      </c>
      <c r="AN403">
        <v>15.14</v>
      </c>
      <c r="AO403">
        <v>0</v>
      </c>
      <c r="AP403">
        <v>3.3</v>
      </c>
      <c r="AQ403">
        <v>0.39</v>
      </c>
      <c r="AR403">
        <v>0.05</v>
      </c>
      <c r="AS403">
        <v>0.06</v>
      </c>
      <c r="AT403">
        <v>17.23</v>
      </c>
      <c r="AU403">
        <v>5.48</v>
      </c>
      <c r="AV403">
        <v>0.32</v>
      </c>
      <c r="AW403">
        <v>1.23</v>
      </c>
      <c r="AX403">
        <v>2.91</v>
      </c>
      <c r="AY403">
        <v>0</v>
      </c>
      <c r="AZ403">
        <v>0</v>
      </c>
      <c r="BA403">
        <v>0</v>
      </c>
      <c r="BB403">
        <v>0</v>
      </c>
      <c r="BC403">
        <v>0</v>
      </c>
      <c r="BD403">
        <v>0</v>
      </c>
    </row>
    <row r="404" spans="1:56" x14ac:dyDescent="0.25">
      <c r="A404" s="23">
        <v>46304</v>
      </c>
      <c r="B404">
        <v>403</v>
      </c>
      <c r="C404" t="s">
        <v>82</v>
      </c>
      <c r="D404" t="s">
        <v>83</v>
      </c>
      <c r="E404">
        <v>2</v>
      </c>
      <c r="F404">
        <v>180</v>
      </c>
      <c r="G404">
        <v>1</v>
      </c>
      <c r="H404" t="s">
        <v>96</v>
      </c>
      <c r="I404" t="s">
        <v>91</v>
      </c>
      <c r="J404" t="s">
        <v>90</v>
      </c>
      <c r="K404" t="s">
        <v>86</v>
      </c>
      <c r="L404" t="s">
        <v>71</v>
      </c>
      <c r="M404" t="s">
        <v>87</v>
      </c>
      <c r="O404" t="s">
        <v>88</v>
      </c>
      <c r="P404" t="s">
        <v>27</v>
      </c>
      <c r="Q404" t="s">
        <v>73</v>
      </c>
      <c r="R404" t="s">
        <v>76</v>
      </c>
      <c r="S404" t="s">
        <v>74</v>
      </c>
      <c r="T404" t="s">
        <v>75</v>
      </c>
      <c r="X404" t="s">
        <v>77</v>
      </c>
      <c r="Z404" t="s">
        <v>72</v>
      </c>
      <c r="AA404" t="s">
        <v>94</v>
      </c>
      <c r="AB404">
        <v>5</v>
      </c>
      <c r="AC404">
        <v>748804.51</v>
      </c>
      <c r="AD404">
        <v>8930529.0600000005</v>
      </c>
      <c r="AE404">
        <v>194.88</v>
      </c>
      <c r="AF404">
        <v>748804.51</v>
      </c>
      <c r="AG404">
        <v>8930529.0600000005</v>
      </c>
      <c r="AH404">
        <v>179.4</v>
      </c>
      <c r="AI404">
        <v>15.48</v>
      </c>
      <c r="AJ404">
        <v>0.6</v>
      </c>
      <c r="AK404">
        <v>3.37</v>
      </c>
      <c r="AL404">
        <v>2.93</v>
      </c>
      <c r="AM404">
        <v>0</v>
      </c>
      <c r="AN404">
        <v>0</v>
      </c>
      <c r="AO404">
        <v>358</v>
      </c>
      <c r="AP404">
        <v>3.27</v>
      </c>
      <c r="AQ404">
        <v>0.38</v>
      </c>
      <c r="AR404">
        <v>0.06</v>
      </c>
      <c r="AS404">
        <v>0.06</v>
      </c>
      <c r="AT404">
        <v>17.48</v>
      </c>
      <c r="AU404">
        <v>5.5</v>
      </c>
      <c r="AV404">
        <v>0.33</v>
      </c>
      <c r="AW404">
        <v>1.17</v>
      </c>
      <c r="AX404">
        <v>4.21</v>
      </c>
      <c r="AY404">
        <v>3.3</v>
      </c>
      <c r="AZ404">
        <v>177.34100000000001</v>
      </c>
      <c r="BA404">
        <v>0</v>
      </c>
      <c r="BB404">
        <v>0</v>
      </c>
      <c r="BC404">
        <v>0</v>
      </c>
      <c r="BD404">
        <v>0</v>
      </c>
    </row>
    <row r="405" spans="1:56" x14ac:dyDescent="0.25">
      <c r="A405" s="23">
        <v>46304</v>
      </c>
      <c r="B405">
        <v>404</v>
      </c>
      <c r="C405" t="s">
        <v>82</v>
      </c>
      <c r="D405" t="s">
        <v>83</v>
      </c>
      <c r="E405">
        <v>2</v>
      </c>
      <c r="F405">
        <v>180</v>
      </c>
      <c r="G405">
        <v>1</v>
      </c>
      <c r="H405" t="s">
        <v>96</v>
      </c>
      <c r="I405" t="s">
        <v>91</v>
      </c>
      <c r="J405" t="s">
        <v>90</v>
      </c>
      <c r="K405" t="s">
        <v>86</v>
      </c>
      <c r="L405" t="s">
        <v>71</v>
      </c>
      <c r="M405" t="s">
        <v>87</v>
      </c>
      <c r="O405" t="s">
        <v>88</v>
      </c>
      <c r="P405" t="s">
        <v>27</v>
      </c>
      <c r="Q405" t="s">
        <v>73</v>
      </c>
      <c r="R405" t="s">
        <v>76</v>
      </c>
      <c r="S405" t="s">
        <v>74</v>
      </c>
      <c r="T405" t="s">
        <v>75</v>
      </c>
      <c r="X405" t="s">
        <v>77</v>
      </c>
      <c r="Z405" t="s">
        <v>72</v>
      </c>
      <c r="AA405" t="s">
        <v>94</v>
      </c>
      <c r="AB405">
        <v>5</v>
      </c>
      <c r="AC405">
        <v>748801.27</v>
      </c>
      <c r="AD405">
        <v>8930528.1500000004</v>
      </c>
      <c r="AE405">
        <v>194.94</v>
      </c>
      <c r="AF405">
        <v>748801.27</v>
      </c>
      <c r="AG405">
        <v>8930528.1500000004</v>
      </c>
      <c r="AH405">
        <v>179.4</v>
      </c>
      <c r="AI405">
        <v>15.54</v>
      </c>
      <c r="AJ405">
        <v>0.6</v>
      </c>
      <c r="AK405">
        <v>3.37</v>
      </c>
      <c r="AL405">
        <v>2.93</v>
      </c>
      <c r="AM405">
        <v>0</v>
      </c>
      <c r="AN405">
        <v>0</v>
      </c>
      <c r="AO405">
        <v>358</v>
      </c>
      <c r="AP405">
        <v>3.26</v>
      </c>
      <c r="AQ405">
        <v>0.38</v>
      </c>
      <c r="AR405">
        <v>0.06</v>
      </c>
      <c r="AS405">
        <v>0.06</v>
      </c>
      <c r="AT405">
        <v>17.57</v>
      </c>
      <c r="AU405">
        <v>5.51</v>
      </c>
      <c r="AV405">
        <v>0.33</v>
      </c>
      <c r="AW405">
        <v>1.18</v>
      </c>
      <c r="AX405">
        <v>3.95</v>
      </c>
      <c r="AY405">
        <v>3.3</v>
      </c>
      <c r="AZ405">
        <v>178.214</v>
      </c>
      <c r="BA405">
        <v>0</v>
      </c>
      <c r="BB405">
        <v>0</v>
      </c>
      <c r="BC405">
        <v>0</v>
      </c>
      <c r="BD405">
        <v>0</v>
      </c>
    </row>
    <row r="406" spans="1:56" x14ac:dyDescent="0.25">
      <c r="A406" s="23">
        <v>46304</v>
      </c>
      <c r="B406">
        <v>405</v>
      </c>
      <c r="C406" t="s">
        <v>82</v>
      </c>
      <c r="D406" t="s">
        <v>83</v>
      </c>
      <c r="E406">
        <v>2</v>
      </c>
      <c r="F406">
        <v>180</v>
      </c>
      <c r="G406">
        <v>1</v>
      </c>
      <c r="H406" t="s">
        <v>96</v>
      </c>
      <c r="I406" t="s">
        <v>91</v>
      </c>
      <c r="J406" t="s">
        <v>90</v>
      </c>
      <c r="K406" t="s">
        <v>86</v>
      </c>
      <c r="L406" t="s">
        <v>71</v>
      </c>
      <c r="M406" t="s">
        <v>87</v>
      </c>
      <c r="O406" t="s">
        <v>88</v>
      </c>
      <c r="P406" t="s">
        <v>27</v>
      </c>
      <c r="Q406" t="s">
        <v>73</v>
      </c>
      <c r="R406" t="s">
        <v>76</v>
      </c>
      <c r="S406" t="s">
        <v>74</v>
      </c>
      <c r="T406" t="s">
        <v>75</v>
      </c>
      <c r="X406" t="s">
        <v>77</v>
      </c>
      <c r="Z406" t="s">
        <v>72</v>
      </c>
      <c r="AA406" t="s">
        <v>94</v>
      </c>
      <c r="AB406">
        <v>5</v>
      </c>
      <c r="AC406">
        <v>748798.09</v>
      </c>
      <c r="AD406">
        <v>8930527.0500000007</v>
      </c>
      <c r="AE406">
        <v>195</v>
      </c>
      <c r="AF406">
        <v>748798.09</v>
      </c>
      <c r="AG406">
        <v>8930527.0500000007</v>
      </c>
      <c r="AH406">
        <v>179.4</v>
      </c>
      <c r="AI406">
        <v>15.6</v>
      </c>
      <c r="AJ406">
        <v>0.6</v>
      </c>
      <c r="AK406">
        <v>3.37</v>
      </c>
      <c r="AL406">
        <v>2.93</v>
      </c>
      <c r="AM406">
        <v>0</v>
      </c>
      <c r="AN406">
        <v>0</v>
      </c>
      <c r="AO406">
        <v>358</v>
      </c>
      <c r="AP406">
        <v>3.31</v>
      </c>
      <c r="AQ406">
        <v>0.41</v>
      </c>
      <c r="AR406">
        <v>0.06</v>
      </c>
      <c r="AS406">
        <v>0.06</v>
      </c>
      <c r="AT406">
        <v>17.37</v>
      </c>
      <c r="AU406">
        <v>5.6</v>
      </c>
      <c r="AV406">
        <v>0.28999999999999998</v>
      </c>
      <c r="AW406">
        <v>1.27</v>
      </c>
      <c r="AX406">
        <v>7.0000000000000007E-2</v>
      </c>
      <c r="AY406">
        <v>3.3</v>
      </c>
      <c r="AZ406">
        <v>179.08799999999999</v>
      </c>
      <c r="BA406">
        <v>0</v>
      </c>
      <c r="BB406">
        <v>0</v>
      </c>
      <c r="BC406">
        <v>0</v>
      </c>
      <c r="BD406">
        <v>0</v>
      </c>
    </row>
    <row r="407" spans="1:56" x14ac:dyDescent="0.25">
      <c r="A407" s="23">
        <v>46304</v>
      </c>
      <c r="B407">
        <v>406</v>
      </c>
      <c r="C407" t="s">
        <v>82</v>
      </c>
      <c r="D407" t="s">
        <v>83</v>
      </c>
      <c r="E407">
        <v>2</v>
      </c>
      <c r="F407">
        <v>180</v>
      </c>
      <c r="G407">
        <v>1</v>
      </c>
      <c r="H407" t="s">
        <v>96</v>
      </c>
      <c r="I407" t="s">
        <v>91</v>
      </c>
      <c r="J407" t="s">
        <v>85</v>
      </c>
      <c r="K407" t="s">
        <v>86</v>
      </c>
      <c r="L407" t="s">
        <v>71</v>
      </c>
      <c r="M407" t="s">
        <v>87</v>
      </c>
      <c r="O407" t="s">
        <v>88</v>
      </c>
      <c r="P407" t="s">
        <v>27</v>
      </c>
      <c r="Q407" t="s">
        <v>73</v>
      </c>
      <c r="R407" t="s">
        <v>76</v>
      </c>
      <c r="S407" t="s">
        <v>74</v>
      </c>
      <c r="T407" t="s">
        <v>75</v>
      </c>
      <c r="X407" t="s">
        <v>77</v>
      </c>
      <c r="Z407" t="s">
        <v>72</v>
      </c>
      <c r="AA407" t="s">
        <v>94</v>
      </c>
      <c r="AB407">
        <v>5</v>
      </c>
      <c r="AC407">
        <v>748794.87</v>
      </c>
      <c r="AD407">
        <v>8930526.0700000003</v>
      </c>
      <c r="AE407">
        <v>195.03</v>
      </c>
      <c r="AF407">
        <v>748794.87</v>
      </c>
      <c r="AG407">
        <v>8930526.0700000003</v>
      </c>
      <c r="AH407">
        <v>179.4</v>
      </c>
      <c r="AI407">
        <v>15.63</v>
      </c>
      <c r="AJ407">
        <v>0.6</v>
      </c>
      <c r="AK407">
        <v>3.37</v>
      </c>
      <c r="AL407">
        <v>2.93</v>
      </c>
      <c r="AM407">
        <v>0</v>
      </c>
      <c r="AN407">
        <v>0</v>
      </c>
      <c r="AO407">
        <v>358</v>
      </c>
      <c r="AP407">
        <v>3.3</v>
      </c>
      <c r="AQ407">
        <v>0.42</v>
      </c>
      <c r="AR407">
        <v>0.06</v>
      </c>
      <c r="AS407">
        <v>0.06</v>
      </c>
      <c r="AT407">
        <v>16.2</v>
      </c>
      <c r="AU407">
        <v>5.65</v>
      </c>
      <c r="AV407">
        <v>0.22</v>
      </c>
      <c r="AW407">
        <v>0.99</v>
      </c>
      <c r="AX407">
        <v>0</v>
      </c>
      <c r="AY407">
        <v>3.3</v>
      </c>
      <c r="AZ407">
        <v>179.52500000000001</v>
      </c>
      <c r="BA407">
        <v>0</v>
      </c>
      <c r="BB407">
        <v>0</v>
      </c>
      <c r="BC407">
        <v>0</v>
      </c>
      <c r="BD407">
        <v>0</v>
      </c>
    </row>
    <row r="408" spans="1:56" x14ac:dyDescent="0.25">
      <c r="A408" s="23">
        <v>46304</v>
      </c>
      <c r="B408">
        <v>407</v>
      </c>
      <c r="C408" t="s">
        <v>82</v>
      </c>
      <c r="D408" t="s">
        <v>83</v>
      </c>
      <c r="E408">
        <v>2</v>
      </c>
      <c r="F408">
        <v>180</v>
      </c>
      <c r="G408">
        <v>1</v>
      </c>
      <c r="H408" t="s">
        <v>95</v>
      </c>
      <c r="I408" t="s">
        <v>78</v>
      </c>
      <c r="J408" t="s">
        <v>85</v>
      </c>
      <c r="K408" t="s">
        <v>86</v>
      </c>
      <c r="L408" t="s">
        <v>71</v>
      </c>
      <c r="M408" t="s">
        <v>87</v>
      </c>
      <c r="O408" t="s">
        <v>88</v>
      </c>
      <c r="P408" t="s">
        <v>27</v>
      </c>
      <c r="Q408" t="s">
        <v>73</v>
      </c>
      <c r="R408" t="s">
        <v>76</v>
      </c>
      <c r="S408" t="s">
        <v>74</v>
      </c>
      <c r="T408" t="s">
        <v>75</v>
      </c>
      <c r="X408" t="s">
        <v>77</v>
      </c>
      <c r="Z408" t="s">
        <v>72</v>
      </c>
      <c r="AA408" t="s">
        <v>94</v>
      </c>
      <c r="AB408">
        <v>5</v>
      </c>
      <c r="AC408">
        <v>748791.55</v>
      </c>
      <c r="AD408">
        <v>8930525.5</v>
      </c>
      <c r="AE408">
        <v>195.18</v>
      </c>
      <c r="AF408">
        <v>748791.55</v>
      </c>
      <c r="AG408">
        <v>8930525.5</v>
      </c>
      <c r="AH408">
        <v>179.4</v>
      </c>
      <c r="AI408">
        <v>15.78</v>
      </c>
      <c r="AJ408">
        <v>0.6</v>
      </c>
      <c r="AK408">
        <v>3.37</v>
      </c>
      <c r="AL408">
        <v>2.93</v>
      </c>
      <c r="AM408">
        <v>0</v>
      </c>
      <c r="AN408">
        <v>0</v>
      </c>
      <c r="AO408">
        <v>358</v>
      </c>
      <c r="AP408">
        <v>3.29</v>
      </c>
      <c r="AQ408">
        <v>0.43</v>
      </c>
      <c r="AR408">
        <v>0.06</v>
      </c>
      <c r="AS408">
        <v>0.05</v>
      </c>
      <c r="AT408">
        <v>14.96</v>
      </c>
      <c r="AU408">
        <v>5.74</v>
      </c>
      <c r="AV408">
        <v>0.16</v>
      </c>
      <c r="AW408">
        <v>0.72</v>
      </c>
      <c r="AX408">
        <v>0.23</v>
      </c>
      <c r="AY408">
        <v>3.3</v>
      </c>
      <c r="AZ408">
        <v>181.709</v>
      </c>
      <c r="BA408">
        <v>0</v>
      </c>
      <c r="BB408">
        <v>0</v>
      </c>
      <c r="BC408">
        <v>0</v>
      </c>
      <c r="BD408">
        <v>0</v>
      </c>
    </row>
    <row r="409" spans="1:56" x14ac:dyDescent="0.25">
      <c r="A409" s="23">
        <v>46304</v>
      </c>
      <c r="B409">
        <v>408</v>
      </c>
      <c r="C409" t="s">
        <v>82</v>
      </c>
      <c r="D409" t="s">
        <v>83</v>
      </c>
      <c r="E409">
        <v>2</v>
      </c>
      <c r="F409">
        <v>180</v>
      </c>
      <c r="G409">
        <v>1</v>
      </c>
      <c r="H409" t="s">
        <v>95</v>
      </c>
      <c r="I409" t="s">
        <v>78</v>
      </c>
      <c r="J409" t="s">
        <v>85</v>
      </c>
      <c r="K409" t="s">
        <v>86</v>
      </c>
      <c r="L409" t="s">
        <v>71</v>
      </c>
      <c r="M409" t="s">
        <v>87</v>
      </c>
      <c r="O409" t="s">
        <v>88</v>
      </c>
      <c r="P409" t="s">
        <v>27</v>
      </c>
      <c r="Q409" t="s">
        <v>73</v>
      </c>
      <c r="R409" t="s">
        <v>76</v>
      </c>
      <c r="S409" t="s">
        <v>74</v>
      </c>
      <c r="T409" t="s">
        <v>75</v>
      </c>
      <c r="X409" t="s">
        <v>77</v>
      </c>
      <c r="Z409" t="s">
        <v>72</v>
      </c>
      <c r="AA409" t="s">
        <v>94</v>
      </c>
      <c r="AB409">
        <v>5</v>
      </c>
      <c r="AC409">
        <v>748788.23</v>
      </c>
      <c r="AD409">
        <v>8930524.9399999995</v>
      </c>
      <c r="AE409">
        <v>195.14</v>
      </c>
      <c r="AF409">
        <v>748788.23</v>
      </c>
      <c r="AG409">
        <v>8930524.9399999995</v>
      </c>
      <c r="AH409">
        <v>179.4</v>
      </c>
      <c r="AI409">
        <v>15.74</v>
      </c>
      <c r="AJ409">
        <v>0.6</v>
      </c>
      <c r="AK409">
        <v>3.37</v>
      </c>
      <c r="AL409">
        <v>2.93</v>
      </c>
      <c r="AM409">
        <v>0</v>
      </c>
      <c r="AN409">
        <v>0</v>
      </c>
      <c r="AO409">
        <v>358</v>
      </c>
      <c r="AP409">
        <v>3.26</v>
      </c>
      <c r="AQ409">
        <v>0.46</v>
      </c>
      <c r="AR409">
        <v>0.06</v>
      </c>
      <c r="AS409">
        <v>0.05</v>
      </c>
      <c r="AT409">
        <v>13.75</v>
      </c>
      <c r="AU409">
        <v>6.23</v>
      </c>
      <c r="AV409">
        <v>0.1</v>
      </c>
      <c r="AW409">
        <v>0.71</v>
      </c>
      <c r="AX409">
        <v>2.36</v>
      </c>
      <c r="AY409">
        <v>3.3</v>
      </c>
      <c r="AZ409">
        <v>181.126</v>
      </c>
      <c r="BA409">
        <v>0</v>
      </c>
      <c r="BB409">
        <v>0</v>
      </c>
      <c r="BC409">
        <v>0</v>
      </c>
      <c r="BD409">
        <v>0</v>
      </c>
    </row>
    <row r="410" spans="1:56" x14ac:dyDescent="0.25">
      <c r="A410" s="23">
        <v>46304</v>
      </c>
      <c r="B410">
        <v>409</v>
      </c>
      <c r="C410" t="s">
        <v>82</v>
      </c>
      <c r="D410" t="s">
        <v>83</v>
      </c>
      <c r="E410">
        <v>2</v>
      </c>
      <c r="F410">
        <v>180</v>
      </c>
      <c r="G410">
        <v>1</v>
      </c>
      <c r="H410" t="s">
        <v>95</v>
      </c>
      <c r="I410" t="s">
        <v>78</v>
      </c>
      <c r="J410" t="s">
        <v>85</v>
      </c>
      <c r="K410" t="s">
        <v>86</v>
      </c>
      <c r="L410" t="s">
        <v>71</v>
      </c>
      <c r="M410" t="s">
        <v>87</v>
      </c>
      <c r="O410" t="s">
        <v>88</v>
      </c>
      <c r="P410" t="s">
        <v>27</v>
      </c>
      <c r="Q410" t="s">
        <v>73</v>
      </c>
      <c r="R410" t="s">
        <v>76</v>
      </c>
      <c r="S410" t="s">
        <v>74</v>
      </c>
      <c r="T410" t="s">
        <v>75</v>
      </c>
      <c r="X410" t="s">
        <v>77</v>
      </c>
      <c r="Z410" t="s">
        <v>72</v>
      </c>
      <c r="AA410" t="s">
        <v>94</v>
      </c>
      <c r="AB410">
        <v>5</v>
      </c>
      <c r="AC410">
        <v>748784.9</v>
      </c>
      <c r="AD410">
        <v>8930524.3800000008</v>
      </c>
      <c r="AE410">
        <v>194.96</v>
      </c>
      <c r="AF410">
        <v>748784.9</v>
      </c>
      <c r="AG410">
        <v>8930524.3800000008</v>
      </c>
      <c r="AH410">
        <v>179.4</v>
      </c>
      <c r="AI410">
        <v>15.56</v>
      </c>
      <c r="AJ410">
        <v>0.6</v>
      </c>
      <c r="AK410">
        <v>3.37</v>
      </c>
      <c r="AL410">
        <v>2.93</v>
      </c>
      <c r="AM410">
        <v>0</v>
      </c>
      <c r="AN410">
        <v>0</v>
      </c>
      <c r="AO410">
        <v>358</v>
      </c>
      <c r="AP410">
        <v>3.26</v>
      </c>
      <c r="AQ410">
        <v>0.41</v>
      </c>
      <c r="AR410">
        <v>0.06</v>
      </c>
      <c r="AS410">
        <v>0.04</v>
      </c>
      <c r="AT410">
        <v>12.4</v>
      </c>
      <c r="AU410">
        <v>5.77</v>
      </c>
      <c r="AV410">
        <v>0.06</v>
      </c>
      <c r="AW410">
        <v>0.93</v>
      </c>
      <c r="AX410">
        <v>0.35</v>
      </c>
      <c r="AY410">
        <v>3.3</v>
      </c>
      <c r="AZ410">
        <v>178.506</v>
      </c>
      <c r="BA410">
        <v>0</v>
      </c>
      <c r="BB410">
        <v>0</v>
      </c>
      <c r="BC410">
        <v>0</v>
      </c>
      <c r="BD410">
        <v>0</v>
      </c>
    </row>
    <row r="411" spans="1:56" x14ac:dyDescent="0.25">
      <c r="A411" s="23">
        <v>46304</v>
      </c>
      <c r="B411">
        <v>410</v>
      </c>
      <c r="C411" t="s">
        <v>82</v>
      </c>
      <c r="D411" t="s">
        <v>83</v>
      </c>
      <c r="E411">
        <v>2</v>
      </c>
      <c r="F411">
        <v>180</v>
      </c>
      <c r="G411">
        <v>0</v>
      </c>
      <c r="H411" t="s">
        <v>95</v>
      </c>
      <c r="I411" t="s">
        <v>78</v>
      </c>
      <c r="J411" t="s">
        <v>85</v>
      </c>
      <c r="K411" t="s">
        <v>86</v>
      </c>
      <c r="L411" t="s">
        <v>71</v>
      </c>
      <c r="M411" t="s">
        <v>87</v>
      </c>
      <c r="O411" t="s">
        <v>88</v>
      </c>
      <c r="P411" t="s">
        <v>27</v>
      </c>
      <c r="Q411" t="s">
        <v>73</v>
      </c>
      <c r="R411" t="s">
        <v>76</v>
      </c>
      <c r="S411" t="s">
        <v>74</v>
      </c>
      <c r="T411" t="s">
        <v>75</v>
      </c>
      <c r="X411" t="s">
        <v>77</v>
      </c>
      <c r="Z411" t="s">
        <v>72</v>
      </c>
      <c r="AA411" t="s">
        <v>94</v>
      </c>
      <c r="AB411">
        <v>5</v>
      </c>
      <c r="AC411">
        <v>748781.59</v>
      </c>
      <c r="AD411">
        <v>8930523.75</v>
      </c>
      <c r="AE411">
        <v>194.8</v>
      </c>
      <c r="AF411">
        <v>748781.59</v>
      </c>
      <c r="AG411">
        <v>8930523.75</v>
      </c>
      <c r="AH411">
        <v>179.4</v>
      </c>
      <c r="AI411">
        <v>15.4</v>
      </c>
      <c r="AJ411">
        <v>0.6</v>
      </c>
      <c r="AK411">
        <v>3.37</v>
      </c>
      <c r="AL411">
        <v>2.93</v>
      </c>
      <c r="AM411">
        <v>0</v>
      </c>
      <c r="AN411">
        <v>0</v>
      </c>
      <c r="AO411">
        <v>358</v>
      </c>
      <c r="AP411">
        <v>3.26</v>
      </c>
      <c r="AQ411">
        <v>0.41</v>
      </c>
      <c r="AR411">
        <v>0.06</v>
      </c>
      <c r="AS411">
        <v>0.04</v>
      </c>
      <c r="AT411">
        <v>12.33</v>
      </c>
      <c r="AU411">
        <v>5.68</v>
      </c>
      <c r="AV411">
        <v>0.06</v>
      </c>
      <c r="AW411">
        <v>0.99</v>
      </c>
      <c r="AX411">
        <v>0</v>
      </c>
      <c r="AY411">
        <v>3.3</v>
      </c>
      <c r="AZ411">
        <v>176.17599999999999</v>
      </c>
      <c r="BA411">
        <v>0</v>
      </c>
      <c r="BB411">
        <v>0</v>
      </c>
      <c r="BC411">
        <v>0</v>
      </c>
      <c r="BD411">
        <v>0</v>
      </c>
    </row>
    <row r="412" spans="1:56" x14ac:dyDescent="0.25">
      <c r="A412" s="23">
        <v>46304</v>
      </c>
      <c r="B412">
        <v>411</v>
      </c>
      <c r="C412" t="s">
        <v>82</v>
      </c>
      <c r="D412" t="s">
        <v>83</v>
      </c>
      <c r="E412">
        <v>2</v>
      </c>
      <c r="F412">
        <v>180</v>
      </c>
      <c r="G412">
        <v>0</v>
      </c>
      <c r="H412" t="s">
        <v>95</v>
      </c>
      <c r="I412" t="s">
        <v>78</v>
      </c>
      <c r="J412" t="s">
        <v>85</v>
      </c>
      <c r="K412" t="s">
        <v>86</v>
      </c>
      <c r="L412" t="s">
        <v>71</v>
      </c>
      <c r="M412" t="s">
        <v>87</v>
      </c>
      <c r="O412" t="s">
        <v>88</v>
      </c>
      <c r="P412" t="s">
        <v>27</v>
      </c>
      <c r="Q412" t="s">
        <v>73</v>
      </c>
      <c r="R412" t="s">
        <v>76</v>
      </c>
      <c r="S412" t="s">
        <v>74</v>
      </c>
      <c r="T412" t="s">
        <v>75</v>
      </c>
      <c r="X412" t="s">
        <v>77</v>
      </c>
      <c r="Z412" t="s">
        <v>72</v>
      </c>
      <c r="AA412" t="s">
        <v>94</v>
      </c>
      <c r="AB412">
        <v>5</v>
      </c>
      <c r="AC412">
        <v>748778.29</v>
      </c>
      <c r="AD412">
        <v>8930523.0999999996</v>
      </c>
      <c r="AE412">
        <v>194.56</v>
      </c>
      <c r="AF412">
        <v>748778.29</v>
      </c>
      <c r="AG412">
        <v>8930523.0999999996</v>
      </c>
      <c r="AH412">
        <v>179.4</v>
      </c>
      <c r="AI412">
        <v>15.16</v>
      </c>
      <c r="AJ412">
        <v>0.6</v>
      </c>
      <c r="AK412">
        <v>3.37</v>
      </c>
      <c r="AL412">
        <v>2.93</v>
      </c>
      <c r="AM412">
        <v>0</v>
      </c>
      <c r="AN412">
        <v>0</v>
      </c>
      <c r="AO412">
        <v>358</v>
      </c>
      <c r="AP412">
        <v>3.25</v>
      </c>
      <c r="AQ412">
        <v>0.41</v>
      </c>
      <c r="AR412">
        <v>0.06</v>
      </c>
      <c r="AS412">
        <v>0.04</v>
      </c>
      <c r="AT412">
        <v>12.58</v>
      </c>
      <c r="AU412">
        <v>5.63</v>
      </c>
      <c r="AV412">
        <v>7.0000000000000007E-2</v>
      </c>
      <c r="AW412">
        <v>1.04</v>
      </c>
      <c r="AX412">
        <v>0</v>
      </c>
      <c r="AY412">
        <v>3.3</v>
      </c>
      <c r="AZ412">
        <v>172.68199999999999</v>
      </c>
      <c r="BA412">
        <v>0</v>
      </c>
      <c r="BB412">
        <v>0</v>
      </c>
      <c r="BC412">
        <v>0</v>
      </c>
      <c r="BD412">
        <v>0</v>
      </c>
    </row>
    <row r="413" spans="1:56" x14ac:dyDescent="0.25">
      <c r="A413" s="23">
        <v>46304</v>
      </c>
      <c r="B413">
        <v>412</v>
      </c>
      <c r="C413" t="s">
        <v>82</v>
      </c>
      <c r="D413" t="s">
        <v>83</v>
      </c>
      <c r="E413">
        <v>2</v>
      </c>
      <c r="F413">
        <v>180</v>
      </c>
      <c r="G413">
        <v>0</v>
      </c>
      <c r="H413" t="s">
        <v>95</v>
      </c>
      <c r="I413" t="s">
        <v>78</v>
      </c>
      <c r="J413" t="s">
        <v>85</v>
      </c>
      <c r="K413" t="s">
        <v>86</v>
      </c>
      <c r="L413" t="s">
        <v>71</v>
      </c>
      <c r="M413" t="s">
        <v>87</v>
      </c>
      <c r="O413" t="s">
        <v>88</v>
      </c>
      <c r="P413" t="s">
        <v>27</v>
      </c>
      <c r="Q413" t="s">
        <v>73</v>
      </c>
      <c r="R413" t="s">
        <v>76</v>
      </c>
      <c r="S413" t="s">
        <v>74</v>
      </c>
      <c r="T413" t="s">
        <v>75</v>
      </c>
      <c r="X413" t="s">
        <v>77</v>
      </c>
      <c r="Z413" t="s">
        <v>72</v>
      </c>
      <c r="AA413" t="s">
        <v>94</v>
      </c>
      <c r="AB413">
        <v>5</v>
      </c>
      <c r="AC413">
        <v>748776.23</v>
      </c>
      <c r="AD413">
        <v>8930522.4499999993</v>
      </c>
      <c r="AE413">
        <v>194.05</v>
      </c>
      <c r="AF413">
        <v>748776.23</v>
      </c>
      <c r="AG413">
        <v>8930522.4499999993</v>
      </c>
      <c r="AH413">
        <v>179.41</v>
      </c>
      <c r="AI413">
        <v>14.64</v>
      </c>
      <c r="AJ413">
        <v>0.6</v>
      </c>
      <c r="AK413">
        <v>3.37</v>
      </c>
      <c r="AL413">
        <v>2.93</v>
      </c>
      <c r="AM413">
        <v>0</v>
      </c>
      <c r="AN413">
        <v>0</v>
      </c>
      <c r="AO413">
        <v>358</v>
      </c>
      <c r="AP413">
        <v>3.24</v>
      </c>
      <c r="AQ413">
        <v>0.4</v>
      </c>
      <c r="AR413">
        <v>0.06</v>
      </c>
      <c r="AS413">
        <v>0.04</v>
      </c>
      <c r="AT413">
        <v>12.27</v>
      </c>
      <c r="AU413">
        <v>5.42</v>
      </c>
      <c r="AV413">
        <v>7.0000000000000007E-2</v>
      </c>
      <c r="AW413">
        <v>1.04</v>
      </c>
      <c r="AX413">
        <v>0</v>
      </c>
      <c r="AY413">
        <v>3.3</v>
      </c>
      <c r="AZ413">
        <v>165.11</v>
      </c>
      <c r="BA413">
        <v>0</v>
      </c>
      <c r="BB413">
        <v>0</v>
      </c>
      <c r="BC413">
        <v>0</v>
      </c>
      <c r="BD413">
        <v>0</v>
      </c>
    </row>
    <row r="414" spans="1:56" x14ac:dyDescent="0.25">
      <c r="A414" s="23">
        <v>46304</v>
      </c>
      <c r="B414">
        <v>413</v>
      </c>
      <c r="C414" t="s">
        <v>82</v>
      </c>
      <c r="D414" t="s">
        <v>83</v>
      </c>
      <c r="E414">
        <v>2</v>
      </c>
      <c r="F414">
        <v>180</v>
      </c>
      <c r="G414">
        <v>0</v>
      </c>
      <c r="H414" t="s">
        <v>95</v>
      </c>
      <c r="I414" t="s">
        <v>78</v>
      </c>
      <c r="J414" t="s">
        <v>85</v>
      </c>
      <c r="K414" t="s">
        <v>86</v>
      </c>
      <c r="L414" t="s">
        <v>71</v>
      </c>
      <c r="M414" t="s">
        <v>87</v>
      </c>
      <c r="O414" t="s">
        <v>88</v>
      </c>
      <c r="P414" t="s">
        <v>27</v>
      </c>
      <c r="Q414" t="s">
        <v>73</v>
      </c>
      <c r="R414" t="s">
        <v>76</v>
      </c>
      <c r="S414" t="s">
        <v>74</v>
      </c>
      <c r="T414" t="s">
        <v>75</v>
      </c>
      <c r="X414" t="s">
        <v>77</v>
      </c>
      <c r="Z414" t="s">
        <v>72</v>
      </c>
      <c r="AA414" t="s">
        <v>94</v>
      </c>
      <c r="AB414">
        <v>5</v>
      </c>
      <c r="AC414">
        <v>748771.92</v>
      </c>
      <c r="AD414">
        <v>8930520.9700000007</v>
      </c>
      <c r="AE414">
        <v>190.45</v>
      </c>
      <c r="AF414">
        <v>748771.92</v>
      </c>
      <c r="AG414">
        <v>8930520.9700000007</v>
      </c>
      <c r="AH414">
        <v>179.41</v>
      </c>
      <c r="AI414">
        <v>11.04</v>
      </c>
      <c r="AJ414">
        <v>0.6</v>
      </c>
      <c r="AK414">
        <v>3.37</v>
      </c>
      <c r="AL414">
        <v>2.93</v>
      </c>
      <c r="AM414">
        <v>0</v>
      </c>
      <c r="AN414">
        <v>0</v>
      </c>
      <c r="AO414">
        <v>358</v>
      </c>
      <c r="AP414">
        <v>3.2</v>
      </c>
      <c r="AQ414">
        <v>0.31</v>
      </c>
      <c r="AR414">
        <v>0.04</v>
      </c>
      <c r="AS414">
        <v>0.03</v>
      </c>
      <c r="AT414">
        <v>9.59</v>
      </c>
      <c r="AU414">
        <v>3.93</v>
      </c>
      <c r="AV414">
        <v>7.0000000000000007E-2</v>
      </c>
      <c r="AW414">
        <v>0.61</v>
      </c>
      <c r="AX414">
        <v>0</v>
      </c>
      <c r="AY414">
        <v>3.3</v>
      </c>
      <c r="AZ414">
        <v>112.694</v>
      </c>
      <c r="BA414">
        <v>0</v>
      </c>
      <c r="BB414">
        <v>0</v>
      </c>
      <c r="BC414">
        <v>0</v>
      </c>
      <c r="BD414">
        <v>0</v>
      </c>
    </row>
    <row r="415" spans="1:56" x14ac:dyDescent="0.25">
      <c r="A415" s="23">
        <v>46304</v>
      </c>
      <c r="B415">
        <v>414</v>
      </c>
      <c r="C415" t="s">
        <v>82</v>
      </c>
      <c r="D415" t="s">
        <v>83</v>
      </c>
      <c r="E415">
        <v>2</v>
      </c>
      <c r="F415">
        <v>180</v>
      </c>
      <c r="G415">
        <v>0</v>
      </c>
      <c r="H415" t="s">
        <v>95</v>
      </c>
      <c r="I415" t="s">
        <v>78</v>
      </c>
      <c r="J415" t="s">
        <v>70</v>
      </c>
      <c r="K415" t="s">
        <v>86</v>
      </c>
      <c r="L415" t="s">
        <v>71</v>
      </c>
      <c r="M415" t="s">
        <v>87</v>
      </c>
      <c r="O415" t="s">
        <v>88</v>
      </c>
      <c r="P415" t="s">
        <v>27</v>
      </c>
      <c r="Q415" t="s">
        <v>73</v>
      </c>
      <c r="R415" t="s">
        <v>76</v>
      </c>
      <c r="S415" t="s">
        <v>74</v>
      </c>
      <c r="T415" t="s">
        <v>75</v>
      </c>
      <c r="X415" t="s">
        <v>77</v>
      </c>
      <c r="Z415" t="s">
        <v>72</v>
      </c>
      <c r="AA415" t="s">
        <v>94</v>
      </c>
      <c r="AB415">
        <v>5</v>
      </c>
      <c r="AC415">
        <v>748768.91</v>
      </c>
      <c r="AD415">
        <v>8930519.4900000002</v>
      </c>
      <c r="AE415">
        <v>190.24</v>
      </c>
      <c r="AF415">
        <v>748768.91</v>
      </c>
      <c r="AG415">
        <v>8930519.4900000002</v>
      </c>
      <c r="AH415">
        <v>179.4</v>
      </c>
      <c r="AI415">
        <v>10.84</v>
      </c>
      <c r="AJ415">
        <v>0.6</v>
      </c>
      <c r="AK415">
        <v>3.37</v>
      </c>
      <c r="AL415">
        <v>2.93</v>
      </c>
      <c r="AM415">
        <v>0</v>
      </c>
      <c r="AN415">
        <v>0</v>
      </c>
      <c r="AO415">
        <v>358</v>
      </c>
      <c r="AP415">
        <v>3.16</v>
      </c>
      <c r="AQ415">
        <v>0.24</v>
      </c>
      <c r="AR415">
        <v>0.03</v>
      </c>
      <c r="AS415">
        <v>0.03</v>
      </c>
      <c r="AT415">
        <v>7.78</v>
      </c>
      <c r="AU415">
        <v>2.89</v>
      </c>
      <c r="AV415">
        <v>0.11</v>
      </c>
      <c r="AW415">
        <v>0.76</v>
      </c>
      <c r="AX415">
        <v>0</v>
      </c>
      <c r="AY415">
        <v>3.3</v>
      </c>
      <c r="AZ415">
        <v>109.782</v>
      </c>
      <c r="BA415">
        <v>0</v>
      </c>
      <c r="BB415">
        <v>0</v>
      </c>
      <c r="BC415">
        <v>0</v>
      </c>
      <c r="BD415">
        <v>0</v>
      </c>
    </row>
    <row r="416" spans="1:56" x14ac:dyDescent="0.25">
      <c r="A416" s="23">
        <v>46304</v>
      </c>
      <c r="B416">
        <v>415</v>
      </c>
      <c r="C416" t="s">
        <v>82</v>
      </c>
      <c r="D416" t="s">
        <v>83</v>
      </c>
      <c r="E416">
        <v>2</v>
      </c>
      <c r="F416">
        <v>180</v>
      </c>
      <c r="G416">
        <v>1</v>
      </c>
      <c r="H416" t="s">
        <v>95</v>
      </c>
      <c r="I416" t="s">
        <v>78</v>
      </c>
      <c r="J416" t="s">
        <v>70</v>
      </c>
      <c r="K416" t="s">
        <v>86</v>
      </c>
      <c r="L416" t="s">
        <v>71</v>
      </c>
      <c r="M416" t="s">
        <v>87</v>
      </c>
      <c r="O416" t="s">
        <v>88</v>
      </c>
      <c r="P416" t="s">
        <v>27</v>
      </c>
      <c r="Q416" t="s">
        <v>73</v>
      </c>
      <c r="R416" t="s">
        <v>76</v>
      </c>
      <c r="S416" t="s">
        <v>74</v>
      </c>
      <c r="T416" t="s">
        <v>75</v>
      </c>
      <c r="X416" t="s">
        <v>77</v>
      </c>
      <c r="Z416" t="s">
        <v>72</v>
      </c>
      <c r="AA416" t="s">
        <v>94</v>
      </c>
      <c r="AB416">
        <v>5</v>
      </c>
      <c r="AC416">
        <v>748766.08</v>
      </c>
      <c r="AD416">
        <v>8930517.6600000001</v>
      </c>
      <c r="AE416">
        <v>190.12</v>
      </c>
      <c r="AF416">
        <v>748766.08</v>
      </c>
      <c r="AG416">
        <v>8930517.6600000001</v>
      </c>
      <c r="AH416">
        <v>179.4</v>
      </c>
      <c r="AI416">
        <v>10.72</v>
      </c>
      <c r="AJ416">
        <v>0.6</v>
      </c>
      <c r="AK416">
        <v>3.37</v>
      </c>
      <c r="AL416">
        <v>2.93</v>
      </c>
      <c r="AM416">
        <v>0</v>
      </c>
      <c r="AN416">
        <v>0</v>
      </c>
      <c r="AO416">
        <v>358</v>
      </c>
      <c r="AP416">
        <v>3.14</v>
      </c>
      <c r="AQ416">
        <v>0.21</v>
      </c>
      <c r="AR416">
        <v>0.03</v>
      </c>
      <c r="AS416">
        <v>0.03</v>
      </c>
      <c r="AT416">
        <v>6.75</v>
      </c>
      <c r="AU416">
        <v>2.27</v>
      </c>
      <c r="AV416">
        <v>0.11</v>
      </c>
      <c r="AW416">
        <v>0.75</v>
      </c>
      <c r="AX416">
        <v>0</v>
      </c>
      <c r="AY416">
        <v>3.3</v>
      </c>
      <c r="AZ416">
        <v>108.035</v>
      </c>
      <c r="BA416">
        <v>0</v>
      </c>
      <c r="BB416">
        <v>0</v>
      </c>
      <c r="BC416">
        <v>0</v>
      </c>
      <c r="BD416">
        <v>0</v>
      </c>
    </row>
    <row r="417" spans="1:56" x14ac:dyDescent="0.25">
      <c r="A417" s="23">
        <v>46304</v>
      </c>
      <c r="B417">
        <v>416</v>
      </c>
      <c r="C417" t="s">
        <v>82</v>
      </c>
      <c r="D417" t="s">
        <v>83</v>
      </c>
      <c r="E417">
        <v>2</v>
      </c>
      <c r="F417">
        <v>180</v>
      </c>
      <c r="G417">
        <v>1</v>
      </c>
      <c r="H417" t="s">
        <v>95</v>
      </c>
      <c r="I417" t="s">
        <v>91</v>
      </c>
      <c r="J417" t="s">
        <v>70</v>
      </c>
      <c r="K417" t="s">
        <v>86</v>
      </c>
      <c r="L417" t="s">
        <v>71</v>
      </c>
      <c r="M417" t="s">
        <v>87</v>
      </c>
      <c r="O417" t="s">
        <v>88</v>
      </c>
      <c r="P417" t="s">
        <v>27</v>
      </c>
      <c r="Q417" t="s">
        <v>73</v>
      </c>
      <c r="R417" t="s">
        <v>76</v>
      </c>
      <c r="S417" t="s">
        <v>74</v>
      </c>
      <c r="T417" t="s">
        <v>75</v>
      </c>
      <c r="X417" t="s">
        <v>77</v>
      </c>
      <c r="Z417" t="s">
        <v>72</v>
      </c>
      <c r="AA417" t="s">
        <v>94</v>
      </c>
      <c r="AB417">
        <v>5</v>
      </c>
      <c r="AC417">
        <v>748763.25</v>
      </c>
      <c r="AD417">
        <v>8930515.8300000001</v>
      </c>
      <c r="AE417">
        <v>190.1</v>
      </c>
      <c r="AF417">
        <v>748763.25</v>
      </c>
      <c r="AG417">
        <v>8930515.8300000001</v>
      </c>
      <c r="AH417">
        <v>179.4</v>
      </c>
      <c r="AI417">
        <v>10.7</v>
      </c>
      <c r="AJ417">
        <v>0.6</v>
      </c>
      <c r="AK417">
        <v>3.37</v>
      </c>
      <c r="AL417">
        <v>2.93</v>
      </c>
      <c r="AM417">
        <v>0</v>
      </c>
      <c r="AN417">
        <v>0</v>
      </c>
      <c r="AO417">
        <v>358</v>
      </c>
      <c r="AP417">
        <v>3.15</v>
      </c>
      <c r="AQ417">
        <v>0.23</v>
      </c>
      <c r="AR417">
        <v>0.03</v>
      </c>
      <c r="AS417">
        <v>0.03</v>
      </c>
      <c r="AT417">
        <v>7.54</v>
      </c>
      <c r="AU417">
        <v>2.5</v>
      </c>
      <c r="AV417">
        <v>0.12</v>
      </c>
      <c r="AW417">
        <v>0.83</v>
      </c>
      <c r="AX417">
        <v>0</v>
      </c>
      <c r="AY417">
        <v>3.3</v>
      </c>
      <c r="AZ417">
        <v>107.744</v>
      </c>
      <c r="BA417">
        <v>0</v>
      </c>
      <c r="BB417">
        <v>0</v>
      </c>
      <c r="BC417">
        <v>0</v>
      </c>
      <c r="BD417">
        <v>0</v>
      </c>
    </row>
    <row r="418" spans="1:56" x14ac:dyDescent="0.25">
      <c r="A418" s="23">
        <v>46304</v>
      </c>
      <c r="B418">
        <v>417</v>
      </c>
      <c r="C418" t="s">
        <v>82</v>
      </c>
      <c r="D418" t="s">
        <v>83</v>
      </c>
      <c r="E418">
        <v>2</v>
      </c>
      <c r="F418">
        <v>180</v>
      </c>
      <c r="G418">
        <v>1</v>
      </c>
      <c r="H418" t="s">
        <v>95</v>
      </c>
      <c r="I418" t="s">
        <v>91</v>
      </c>
      <c r="J418" t="s">
        <v>85</v>
      </c>
      <c r="K418" t="s">
        <v>86</v>
      </c>
      <c r="L418" t="s">
        <v>71</v>
      </c>
      <c r="M418" t="s">
        <v>87</v>
      </c>
      <c r="O418" t="s">
        <v>88</v>
      </c>
      <c r="P418" t="s">
        <v>27</v>
      </c>
      <c r="Q418" t="s">
        <v>73</v>
      </c>
      <c r="R418" t="s">
        <v>76</v>
      </c>
      <c r="S418" t="s">
        <v>74</v>
      </c>
      <c r="T418" t="s">
        <v>75</v>
      </c>
      <c r="X418" t="s">
        <v>77</v>
      </c>
      <c r="Z418" t="s">
        <v>72</v>
      </c>
      <c r="AA418" t="s">
        <v>94</v>
      </c>
      <c r="AB418">
        <v>5</v>
      </c>
      <c r="AC418">
        <v>748760.42</v>
      </c>
      <c r="AD418">
        <v>8930514</v>
      </c>
      <c r="AE418">
        <v>190.08</v>
      </c>
      <c r="AF418">
        <v>748760.42</v>
      </c>
      <c r="AG418">
        <v>8930514</v>
      </c>
      <c r="AH418">
        <v>179.4</v>
      </c>
      <c r="AI418">
        <v>10.68</v>
      </c>
      <c r="AJ418">
        <v>0.6</v>
      </c>
      <c r="AK418">
        <v>3.37</v>
      </c>
      <c r="AL418">
        <v>2.93</v>
      </c>
      <c r="AM418">
        <v>0</v>
      </c>
      <c r="AN418">
        <v>0</v>
      </c>
      <c r="AO418">
        <v>358</v>
      </c>
      <c r="AP418">
        <v>3.14</v>
      </c>
      <c r="AQ418">
        <v>0.28999999999999998</v>
      </c>
      <c r="AR418">
        <v>0.04</v>
      </c>
      <c r="AS418">
        <v>0.04</v>
      </c>
      <c r="AT418">
        <v>9.56</v>
      </c>
      <c r="AU418">
        <v>3.1</v>
      </c>
      <c r="AV418">
        <v>0.16</v>
      </c>
      <c r="AW418">
        <v>0.99</v>
      </c>
      <c r="AX418">
        <v>0</v>
      </c>
      <c r="AY418">
        <v>3.3</v>
      </c>
      <c r="AZ418">
        <v>107.453</v>
      </c>
      <c r="BA418">
        <v>0</v>
      </c>
      <c r="BB418">
        <v>0</v>
      </c>
      <c r="BC418">
        <v>0</v>
      </c>
      <c r="BD418">
        <v>0</v>
      </c>
    </row>
    <row r="419" spans="1:56" x14ac:dyDescent="0.25">
      <c r="A419" s="23">
        <v>46304</v>
      </c>
      <c r="B419">
        <v>418</v>
      </c>
      <c r="C419" t="s">
        <v>82</v>
      </c>
      <c r="D419" t="s">
        <v>83</v>
      </c>
      <c r="E419">
        <v>2</v>
      </c>
      <c r="F419">
        <v>180</v>
      </c>
      <c r="G419">
        <v>1</v>
      </c>
      <c r="H419" t="s">
        <v>95</v>
      </c>
      <c r="I419" t="s">
        <v>91</v>
      </c>
      <c r="J419" t="s">
        <v>85</v>
      </c>
      <c r="K419" t="s">
        <v>86</v>
      </c>
      <c r="L419" t="s">
        <v>71</v>
      </c>
      <c r="M419" t="s">
        <v>87</v>
      </c>
      <c r="O419" t="s">
        <v>88</v>
      </c>
      <c r="P419" t="s">
        <v>27</v>
      </c>
      <c r="Q419" t="s">
        <v>73</v>
      </c>
      <c r="R419" t="s">
        <v>76</v>
      </c>
      <c r="S419" t="s">
        <v>74</v>
      </c>
      <c r="T419" t="s">
        <v>75</v>
      </c>
      <c r="X419" t="s">
        <v>77</v>
      </c>
      <c r="Z419" t="s">
        <v>72</v>
      </c>
      <c r="AA419" t="s">
        <v>94</v>
      </c>
      <c r="AB419">
        <v>5</v>
      </c>
      <c r="AC419">
        <v>748757.59</v>
      </c>
      <c r="AD419">
        <v>8930512.1699999999</v>
      </c>
      <c r="AE419">
        <v>190.06</v>
      </c>
      <c r="AF419">
        <v>748757.59</v>
      </c>
      <c r="AG419">
        <v>8930512.1699999999</v>
      </c>
      <c r="AH419">
        <v>179.4</v>
      </c>
      <c r="AI419">
        <v>10.66</v>
      </c>
      <c r="AJ419">
        <v>0.6</v>
      </c>
      <c r="AK419">
        <v>3.37</v>
      </c>
      <c r="AL419">
        <v>2.93</v>
      </c>
      <c r="AM419">
        <v>0</v>
      </c>
      <c r="AN419">
        <v>0</v>
      </c>
      <c r="AO419">
        <v>358</v>
      </c>
      <c r="AP419">
        <v>3.14</v>
      </c>
      <c r="AQ419">
        <v>0.31</v>
      </c>
      <c r="AR419">
        <v>0.04</v>
      </c>
      <c r="AS419">
        <v>0.04</v>
      </c>
      <c r="AT419">
        <v>9.8699999999999992</v>
      </c>
      <c r="AU419">
        <v>3.19</v>
      </c>
      <c r="AV419">
        <v>0.16</v>
      </c>
      <c r="AW419">
        <v>1.04</v>
      </c>
      <c r="AX419">
        <v>0</v>
      </c>
      <c r="AY419">
        <v>3.3</v>
      </c>
      <c r="AZ419">
        <v>107.16200000000001</v>
      </c>
      <c r="BA419">
        <v>0</v>
      </c>
      <c r="BB419">
        <v>0</v>
      </c>
      <c r="BC419">
        <v>0</v>
      </c>
      <c r="BD419">
        <v>0</v>
      </c>
    </row>
    <row r="420" spans="1:56" x14ac:dyDescent="0.25">
      <c r="A420" s="23">
        <v>46304</v>
      </c>
      <c r="B420">
        <v>419</v>
      </c>
      <c r="C420" t="s">
        <v>82</v>
      </c>
      <c r="D420" t="s">
        <v>83</v>
      </c>
      <c r="E420">
        <v>2</v>
      </c>
      <c r="F420">
        <v>180</v>
      </c>
      <c r="G420">
        <v>1</v>
      </c>
      <c r="H420" t="s">
        <v>95</v>
      </c>
      <c r="I420" t="s">
        <v>91</v>
      </c>
      <c r="J420" t="s">
        <v>85</v>
      </c>
      <c r="K420" t="s">
        <v>86</v>
      </c>
      <c r="L420" t="s">
        <v>71</v>
      </c>
      <c r="M420" t="s">
        <v>87</v>
      </c>
      <c r="O420" t="s">
        <v>88</v>
      </c>
      <c r="P420" t="s">
        <v>27</v>
      </c>
      <c r="Q420" t="s">
        <v>73</v>
      </c>
      <c r="R420" t="s">
        <v>76</v>
      </c>
      <c r="S420" t="s">
        <v>74</v>
      </c>
      <c r="T420" t="s">
        <v>75</v>
      </c>
      <c r="X420" t="s">
        <v>77</v>
      </c>
      <c r="Z420" t="s">
        <v>72</v>
      </c>
      <c r="AA420" t="s">
        <v>94</v>
      </c>
      <c r="AB420">
        <v>5</v>
      </c>
      <c r="AC420">
        <v>748754.76</v>
      </c>
      <c r="AD420">
        <v>8930510.3399999999</v>
      </c>
      <c r="AE420">
        <v>190.03</v>
      </c>
      <c r="AF420">
        <v>748754.76</v>
      </c>
      <c r="AG420">
        <v>8930510.3399999999</v>
      </c>
      <c r="AH420">
        <v>179.4</v>
      </c>
      <c r="AI420">
        <v>10.63</v>
      </c>
      <c r="AJ420">
        <v>0.6</v>
      </c>
      <c r="AK420">
        <v>3.37</v>
      </c>
      <c r="AL420">
        <v>2.93</v>
      </c>
      <c r="AM420">
        <v>0</v>
      </c>
      <c r="AN420">
        <v>0</v>
      </c>
      <c r="AO420">
        <v>358</v>
      </c>
      <c r="AP420">
        <v>3.17</v>
      </c>
      <c r="AQ420">
        <v>0.34</v>
      </c>
      <c r="AR420">
        <v>0.05</v>
      </c>
      <c r="AS420">
        <v>0.04</v>
      </c>
      <c r="AT420">
        <v>11.2</v>
      </c>
      <c r="AU420">
        <v>3.6</v>
      </c>
      <c r="AV420">
        <v>0.19</v>
      </c>
      <c r="AW420">
        <v>1.1200000000000001</v>
      </c>
      <c r="AX420">
        <v>0</v>
      </c>
      <c r="AY420">
        <v>3.3</v>
      </c>
      <c r="AZ420">
        <v>106.72499999999999</v>
      </c>
      <c r="BA420">
        <v>0</v>
      </c>
      <c r="BB420">
        <v>0</v>
      </c>
      <c r="BC420">
        <v>0</v>
      </c>
      <c r="BD420">
        <v>0</v>
      </c>
    </row>
    <row r="421" spans="1:56" x14ac:dyDescent="0.25">
      <c r="A421" s="23">
        <v>46304</v>
      </c>
      <c r="B421">
        <v>420</v>
      </c>
      <c r="C421" t="s">
        <v>82</v>
      </c>
      <c r="D421" t="s">
        <v>83</v>
      </c>
      <c r="E421">
        <v>2</v>
      </c>
      <c r="F421">
        <v>180</v>
      </c>
      <c r="G421">
        <v>1</v>
      </c>
      <c r="H421" t="s">
        <v>95</v>
      </c>
      <c r="I421" t="s">
        <v>91</v>
      </c>
      <c r="J421" t="s">
        <v>85</v>
      </c>
      <c r="K421" t="s">
        <v>86</v>
      </c>
      <c r="L421" t="s">
        <v>71</v>
      </c>
      <c r="M421" t="s">
        <v>87</v>
      </c>
      <c r="O421" t="s">
        <v>88</v>
      </c>
      <c r="P421" t="s">
        <v>27</v>
      </c>
      <c r="Q421" t="s">
        <v>73</v>
      </c>
      <c r="R421" t="s">
        <v>76</v>
      </c>
      <c r="S421" t="s">
        <v>74</v>
      </c>
      <c r="T421" t="s">
        <v>75</v>
      </c>
      <c r="X421" t="s">
        <v>77</v>
      </c>
      <c r="Z421" t="s">
        <v>72</v>
      </c>
      <c r="AA421" t="s">
        <v>94</v>
      </c>
      <c r="AB421">
        <v>5</v>
      </c>
      <c r="AC421">
        <v>748751.93</v>
      </c>
      <c r="AD421">
        <v>8930508.5</v>
      </c>
      <c r="AE421">
        <v>190.07</v>
      </c>
      <c r="AF421">
        <v>748751.93</v>
      </c>
      <c r="AG421">
        <v>8930508.5</v>
      </c>
      <c r="AH421">
        <v>179.4</v>
      </c>
      <c r="AI421">
        <v>10.67</v>
      </c>
      <c r="AJ421">
        <v>0.6</v>
      </c>
      <c r="AK421">
        <v>3.37</v>
      </c>
      <c r="AL421">
        <v>2.93</v>
      </c>
      <c r="AM421">
        <v>0</v>
      </c>
      <c r="AN421">
        <v>0</v>
      </c>
      <c r="AO421">
        <v>358</v>
      </c>
      <c r="AP421">
        <v>3.21</v>
      </c>
      <c r="AQ421">
        <v>0.37</v>
      </c>
      <c r="AR421">
        <v>0.05</v>
      </c>
      <c r="AS421">
        <v>0.05</v>
      </c>
      <c r="AT421">
        <v>12.47</v>
      </c>
      <c r="AU421">
        <v>3.98</v>
      </c>
      <c r="AV421">
        <v>0.22</v>
      </c>
      <c r="AW421">
        <v>1.17</v>
      </c>
      <c r="AX421">
        <v>7.0000000000000007E-2</v>
      </c>
      <c r="AY421">
        <v>3.3</v>
      </c>
      <c r="AZ421">
        <v>107.307</v>
      </c>
      <c r="BA421">
        <v>0</v>
      </c>
      <c r="BB421">
        <v>0</v>
      </c>
      <c r="BC421">
        <v>0</v>
      </c>
      <c r="BD421">
        <v>0</v>
      </c>
    </row>
    <row r="422" spans="1:56" x14ac:dyDescent="0.25">
      <c r="A422" s="23">
        <v>46304</v>
      </c>
      <c r="B422">
        <v>421</v>
      </c>
      <c r="C422" t="s">
        <v>82</v>
      </c>
      <c r="D422" t="s">
        <v>83</v>
      </c>
      <c r="E422">
        <v>2</v>
      </c>
      <c r="F422">
        <v>180</v>
      </c>
      <c r="G422">
        <v>1</v>
      </c>
      <c r="H422" t="s">
        <v>95</v>
      </c>
      <c r="I422" t="s">
        <v>91</v>
      </c>
      <c r="J422" t="s">
        <v>85</v>
      </c>
      <c r="K422" t="s">
        <v>86</v>
      </c>
      <c r="L422" t="s">
        <v>71</v>
      </c>
      <c r="M422" t="s">
        <v>87</v>
      </c>
      <c r="O422" t="s">
        <v>88</v>
      </c>
      <c r="P422" t="s">
        <v>27</v>
      </c>
      <c r="Q422" t="s">
        <v>73</v>
      </c>
      <c r="R422" t="s">
        <v>76</v>
      </c>
      <c r="S422" t="s">
        <v>74</v>
      </c>
      <c r="T422" t="s">
        <v>75</v>
      </c>
      <c r="X422" t="s">
        <v>77</v>
      </c>
      <c r="Z422" t="s">
        <v>72</v>
      </c>
      <c r="AA422" t="s">
        <v>94</v>
      </c>
      <c r="AB422">
        <v>5</v>
      </c>
      <c r="AC422">
        <v>748749.1</v>
      </c>
      <c r="AD422">
        <v>8930506.6699999999</v>
      </c>
      <c r="AE422">
        <v>190.11</v>
      </c>
      <c r="AF422">
        <v>748749.1</v>
      </c>
      <c r="AG422">
        <v>8930506.6699999999</v>
      </c>
      <c r="AH422">
        <v>179.4</v>
      </c>
      <c r="AI422">
        <v>10.71</v>
      </c>
      <c r="AJ422">
        <v>0.6</v>
      </c>
      <c r="AK422">
        <v>3.37</v>
      </c>
      <c r="AL422">
        <v>2.93</v>
      </c>
      <c r="AM422">
        <v>0</v>
      </c>
      <c r="AN422">
        <v>0</v>
      </c>
      <c r="AO422">
        <v>358</v>
      </c>
      <c r="AP422">
        <v>3.23</v>
      </c>
      <c r="AQ422">
        <v>0.44</v>
      </c>
      <c r="AR422">
        <v>0.06</v>
      </c>
      <c r="AS422">
        <v>0.05</v>
      </c>
      <c r="AT422">
        <v>13.9</v>
      </c>
      <c r="AU422">
        <v>4.32</v>
      </c>
      <c r="AV422">
        <v>0.26</v>
      </c>
      <c r="AW422">
        <v>1.38</v>
      </c>
      <c r="AX422">
        <v>3.93</v>
      </c>
      <c r="AY422">
        <v>3.3</v>
      </c>
      <c r="AZ422">
        <v>107.89</v>
      </c>
      <c r="BA422">
        <v>0</v>
      </c>
      <c r="BB422">
        <v>0</v>
      </c>
      <c r="BC422">
        <v>0</v>
      </c>
      <c r="BD422">
        <v>0</v>
      </c>
    </row>
    <row r="423" spans="1:56" x14ac:dyDescent="0.25">
      <c r="A423" s="23">
        <v>46304</v>
      </c>
      <c r="B423">
        <v>422</v>
      </c>
      <c r="C423" t="s">
        <v>82</v>
      </c>
      <c r="D423" t="s">
        <v>83</v>
      </c>
      <c r="E423">
        <v>2</v>
      </c>
      <c r="F423">
        <v>180</v>
      </c>
      <c r="G423">
        <v>1</v>
      </c>
      <c r="H423" t="s">
        <v>95</v>
      </c>
      <c r="I423" t="s">
        <v>91</v>
      </c>
      <c r="J423" t="s">
        <v>85</v>
      </c>
      <c r="K423" t="s">
        <v>86</v>
      </c>
      <c r="L423" t="s">
        <v>71</v>
      </c>
      <c r="M423" t="s">
        <v>87</v>
      </c>
      <c r="O423" t="s">
        <v>88</v>
      </c>
      <c r="P423" t="s">
        <v>27</v>
      </c>
      <c r="Q423" t="s">
        <v>73</v>
      </c>
      <c r="R423" t="s">
        <v>76</v>
      </c>
      <c r="S423" t="s">
        <v>74</v>
      </c>
      <c r="T423" t="s">
        <v>75</v>
      </c>
      <c r="X423" t="s">
        <v>77</v>
      </c>
      <c r="Z423" t="s">
        <v>72</v>
      </c>
      <c r="AA423" t="s">
        <v>94</v>
      </c>
      <c r="AB423">
        <v>5</v>
      </c>
      <c r="AC423">
        <v>748746.27</v>
      </c>
      <c r="AD423">
        <v>8930504.8399999999</v>
      </c>
      <c r="AE423">
        <v>190.11</v>
      </c>
      <c r="AF423">
        <v>748746.27</v>
      </c>
      <c r="AG423">
        <v>8930504.8399999999</v>
      </c>
      <c r="AH423">
        <v>179.4</v>
      </c>
      <c r="AI423">
        <v>10.71</v>
      </c>
      <c r="AJ423">
        <v>0.6</v>
      </c>
      <c r="AK423">
        <v>3.37</v>
      </c>
      <c r="AL423">
        <v>2.93</v>
      </c>
      <c r="AM423">
        <v>0</v>
      </c>
      <c r="AN423">
        <v>0</v>
      </c>
      <c r="AO423">
        <v>358</v>
      </c>
      <c r="AP423">
        <v>3.29</v>
      </c>
      <c r="AQ423">
        <v>0.52</v>
      </c>
      <c r="AR423">
        <v>7.0000000000000007E-2</v>
      </c>
      <c r="AS423">
        <v>0.06</v>
      </c>
      <c r="AT423">
        <v>16.48</v>
      </c>
      <c r="AU423">
        <v>5.26</v>
      </c>
      <c r="AV423">
        <v>0.3</v>
      </c>
      <c r="AW423">
        <v>1.85</v>
      </c>
      <c r="AX423">
        <v>5.53</v>
      </c>
      <c r="AY423">
        <v>3.3</v>
      </c>
      <c r="AZ423">
        <v>107.89</v>
      </c>
      <c r="BA423">
        <v>0</v>
      </c>
      <c r="BB423">
        <v>0</v>
      </c>
      <c r="BC423">
        <v>0</v>
      </c>
      <c r="BD423">
        <v>0</v>
      </c>
    </row>
    <row r="424" spans="1:56" x14ac:dyDescent="0.25">
      <c r="A424" s="23">
        <v>46304</v>
      </c>
      <c r="B424">
        <v>423</v>
      </c>
      <c r="C424" t="s">
        <v>82</v>
      </c>
      <c r="D424" t="s">
        <v>83</v>
      </c>
      <c r="E424">
        <v>2</v>
      </c>
      <c r="F424">
        <v>180</v>
      </c>
      <c r="G424">
        <v>1</v>
      </c>
      <c r="H424" t="s">
        <v>95</v>
      </c>
      <c r="I424" t="s">
        <v>91</v>
      </c>
      <c r="J424" t="s">
        <v>85</v>
      </c>
      <c r="K424" t="s">
        <v>86</v>
      </c>
      <c r="L424" t="s">
        <v>71</v>
      </c>
      <c r="M424" t="s">
        <v>87</v>
      </c>
      <c r="O424" t="s">
        <v>88</v>
      </c>
      <c r="P424" t="s">
        <v>27</v>
      </c>
      <c r="Q424" t="s">
        <v>73</v>
      </c>
      <c r="R424" t="s">
        <v>76</v>
      </c>
      <c r="S424" t="s">
        <v>74</v>
      </c>
      <c r="T424" t="s">
        <v>75</v>
      </c>
      <c r="X424" t="s">
        <v>77</v>
      </c>
      <c r="Z424" t="s">
        <v>72</v>
      </c>
      <c r="AA424" t="s">
        <v>94</v>
      </c>
      <c r="AB424">
        <v>5</v>
      </c>
      <c r="AC424">
        <v>748743.54</v>
      </c>
      <c r="AD424">
        <v>8930502.8800000008</v>
      </c>
      <c r="AE424">
        <v>190.02</v>
      </c>
      <c r="AF424">
        <v>748743.54</v>
      </c>
      <c r="AG424">
        <v>8930502.8800000008</v>
      </c>
      <c r="AH424">
        <v>179.4</v>
      </c>
      <c r="AI424">
        <v>10.62</v>
      </c>
      <c r="AJ424">
        <v>0.6</v>
      </c>
      <c r="AK424">
        <v>3.37</v>
      </c>
      <c r="AL424">
        <v>2.93</v>
      </c>
      <c r="AM424">
        <v>0</v>
      </c>
      <c r="AN424">
        <v>0</v>
      </c>
      <c r="AO424">
        <v>358</v>
      </c>
      <c r="AP424">
        <v>3.3</v>
      </c>
      <c r="AQ424">
        <v>0.54</v>
      </c>
      <c r="AR424">
        <v>7.0000000000000007E-2</v>
      </c>
      <c r="AS424">
        <v>0.06</v>
      </c>
      <c r="AT424">
        <v>17.079999999999998</v>
      </c>
      <c r="AU424">
        <v>5.3</v>
      </c>
      <c r="AV424">
        <v>0.32</v>
      </c>
      <c r="AW424">
        <v>1.76</v>
      </c>
      <c r="AX424">
        <v>6.15</v>
      </c>
      <c r="AY424">
        <v>3.3</v>
      </c>
      <c r="AZ424">
        <v>106.57899999999999</v>
      </c>
      <c r="BA424">
        <v>0</v>
      </c>
      <c r="BB424">
        <v>0</v>
      </c>
      <c r="BC424">
        <v>0</v>
      </c>
      <c r="BD424">
        <v>0</v>
      </c>
    </row>
    <row r="425" spans="1:56" x14ac:dyDescent="0.25">
      <c r="A425" s="23">
        <v>46304</v>
      </c>
      <c r="B425">
        <v>424</v>
      </c>
      <c r="C425" t="s">
        <v>82</v>
      </c>
      <c r="D425" t="s">
        <v>92</v>
      </c>
      <c r="E425">
        <v>2</v>
      </c>
      <c r="F425">
        <v>180</v>
      </c>
      <c r="G425">
        <v>1</v>
      </c>
      <c r="H425" t="s">
        <v>95</v>
      </c>
      <c r="I425" t="s">
        <v>91</v>
      </c>
      <c r="J425" t="s">
        <v>85</v>
      </c>
      <c r="K425" t="s">
        <v>86</v>
      </c>
      <c r="L425" t="s">
        <v>71</v>
      </c>
      <c r="M425" t="s">
        <v>87</v>
      </c>
      <c r="O425" t="s">
        <v>88</v>
      </c>
      <c r="P425" t="s">
        <v>27</v>
      </c>
      <c r="Q425" t="s">
        <v>73</v>
      </c>
      <c r="R425" t="s">
        <v>76</v>
      </c>
      <c r="S425" t="s">
        <v>74</v>
      </c>
      <c r="T425" t="s">
        <v>75</v>
      </c>
      <c r="X425" t="s">
        <v>77</v>
      </c>
      <c r="Z425" t="s">
        <v>72</v>
      </c>
      <c r="AA425" t="s">
        <v>94</v>
      </c>
      <c r="AB425">
        <v>5</v>
      </c>
      <c r="AC425">
        <v>748740.86</v>
      </c>
      <c r="AD425">
        <v>8930500.8300000001</v>
      </c>
      <c r="AE425">
        <v>189.94</v>
      </c>
      <c r="AF425">
        <v>748740.86</v>
      </c>
      <c r="AG425">
        <v>8930500.8300000001</v>
      </c>
      <c r="AH425">
        <v>179.4</v>
      </c>
      <c r="AI425">
        <v>10.54</v>
      </c>
      <c r="AJ425">
        <v>0.6</v>
      </c>
      <c r="AK425">
        <v>3.37</v>
      </c>
      <c r="AL425">
        <v>2.93</v>
      </c>
      <c r="AM425">
        <v>0</v>
      </c>
      <c r="AN425">
        <v>0</v>
      </c>
      <c r="AO425">
        <v>358</v>
      </c>
      <c r="AP425">
        <v>3.3</v>
      </c>
      <c r="AQ425">
        <v>0.55000000000000004</v>
      </c>
      <c r="AR425">
        <v>0.08</v>
      </c>
      <c r="AS425">
        <v>7.0000000000000007E-2</v>
      </c>
      <c r="AT425">
        <v>17.68</v>
      </c>
      <c r="AU425">
        <v>5.29</v>
      </c>
      <c r="AV425">
        <v>0.34</v>
      </c>
      <c r="AW425">
        <v>1.64</v>
      </c>
      <c r="AX425">
        <v>7.36</v>
      </c>
      <c r="AY425">
        <v>3.3</v>
      </c>
      <c r="AZ425">
        <v>105.414</v>
      </c>
      <c r="BA425">
        <v>0</v>
      </c>
      <c r="BB425">
        <v>0</v>
      </c>
      <c r="BC425">
        <v>0</v>
      </c>
      <c r="BD425">
        <v>0</v>
      </c>
    </row>
    <row r="426" spans="1:56" x14ac:dyDescent="0.25">
      <c r="A426" s="23">
        <v>46304</v>
      </c>
      <c r="B426">
        <v>425</v>
      </c>
      <c r="C426" t="s">
        <v>82</v>
      </c>
      <c r="D426" t="s">
        <v>92</v>
      </c>
      <c r="E426">
        <v>2</v>
      </c>
      <c r="F426">
        <v>180</v>
      </c>
      <c r="G426">
        <v>1</v>
      </c>
      <c r="H426" t="s">
        <v>95</v>
      </c>
      <c r="I426" t="s">
        <v>91</v>
      </c>
      <c r="J426" t="s">
        <v>85</v>
      </c>
      <c r="K426" t="s">
        <v>86</v>
      </c>
      <c r="L426" t="s">
        <v>71</v>
      </c>
      <c r="M426" t="s">
        <v>87</v>
      </c>
      <c r="O426" t="s">
        <v>88</v>
      </c>
      <c r="P426" t="s">
        <v>27</v>
      </c>
      <c r="Q426" t="s">
        <v>73</v>
      </c>
      <c r="R426" t="s">
        <v>76</v>
      </c>
      <c r="S426" t="s">
        <v>74</v>
      </c>
      <c r="T426" t="s">
        <v>75</v>
      </c>
      <c r="X426" t="s">
        <v>77</v>
      </c>
      <c r="Z426" t="s">
        <v>72</v>
      </c>
      <c r="AA426" t="s">
        <v>94</v>
      </c>
      <c r="AB426">
        <v>5</v>
      </c>
      <c r="AC426">
        <v>748738.18</v>
      </c>
      <c r="AD426">
        <v>8930498.7899999991</v>
      </c>
      <c r="AE426">
        <v>189.84</v>
      </c>
      <c r="AF426">
        <v>748738.18</v>
      </c>
      <c r="AG426">
        <v>8930498.7899999991</v>
      </c>
      <c r="AH426">
        <v>179.4</v>
      </c>
      <c r="AI426">
        <v>10.44</v>
      </c>
      <c r="AJ426">
        <v>0.6</v>
      </c>
      <c r="AK426">
        <v>3.37</v>
      </c>
      <c r="AL426">
        <v>2.93</v>
      </c>
      <c r="AM426">
        <v>0</v>
      </c>
      <c r="AN426">
        <v>0</v>
      </c>
      <c r="AO426">
        <v>358</v>
      </c>
      <c r="AP426">
        <v>3.28</v>
      </c>
      <c r="AQ426">
        <v>0.59</v>
      </c>
      <c r="AR426">
        <v>0.09</v>
      </c>
      <c r="AS426">
        <v>0.08</v>
      </c>
      <c r="AT426">
        <v>19.52</v>
      </c>
      <c r="AU426">
        <v>5.21</v>
      </c>
      <c r="AV426">
        <v>0.36</v>
      </c>
      <c r="AW426">
        <v>1.65</v>
      </c>
      <c r="AX426">
        <v>8.61</v>
      </c>
      <c r="AY426">
        <v>3.3</v>
      </c>
      <c r="AZ426">
        <v>103.958</v>
      </c>
      <c r="BA426">
        <v>0</v>
      </c>
      <c r="BB426">
        <v>0</v>
      </c>
      <c r="BC426">
        <v>0</v>
      </c>
      <c r="BD426">
        <v>0</v>
      </c>
    </row>
    <row r="427" spans="1:56" x14ac:dyDescent="0.25">
      <c r="A427" s="23">
        <v>46304</v>
      </c>
      <c r="B427">
        <v>426</v>
      </c>
      <c r="C427" t="s">
        <v>82</v>
      </c>
      <c r="D427" t="s">
        <v>92</v>
      </c>
      <c r="E427">
        <v>2</v>
      </c>
      <c r="F427">
        <v>180</v>
      </c>
      <c r="G427">
        <v>1</v>
      </c>
      <c r="H427" t="s">
        <v>95</v>
      </c>
      <c r="I427" t="s">
        <v>91</v>
      </c>
      <c r="J427" t="s">
        <v>85</v>
      </c>
      <c r="K427" t="s">
        <v>86</v>
      </c>
      <c r="L427" t="s">
        <v>71</v>
      </c>
      <c r="M427" t="s">
        <v>87</v>
      </c>
      <c r="O427" t="s">
        <v>88</v>
      </c>
      <c r="P427" t="s">
        <v>27</v>
      </c>
      <c r="Q427" t="s">
        <v>73</v>
      </c>
      <c r="R427" t="s">
        <v>76</v>
      </c>
      <c r="S427" t="s">
        <v>74</v>
      </c>
      <c r="T427" t="s">
        <v>75</v>
      </c>
      <c r="X427" t="s">
        <v>77</v>
      </c>
      <c r="Z427" t="s">
        <v>72</v>
      </c>
      <c r="AA427" t="s">
        <v>94</v>
      </c>
      <c r="AB427">
        <v>5</v>
      </c>
      <c r="AC427">
        <v>748735.51</v>
      </c>
      <c r="AD427">
        <v>8930496.7400000002</v>
      </c>
      <c r="AE427">
        <v>189.75</v>
      </c>
      <c r="AF427">
        <v>748735.51</v>
      </c>
      <c r="AG427">
        <v>8930496.7400000002</v>
      </c>
      <c r="AH427">
        <v>179.4</v>
      </c>
      <c r="AI427">
        <v>10.35</v>
      </c>
      <c r="AJ427">
        <v>0.6</v>
      </c>
      <c r="AK427">
        <v>3.37</v>
      </c>
      <c r="AL427">
        <v>2.93</v>
      </c>
      <c r="AM427">
        <v>0</v>
      </c>
      <c r="AN427">
        <v>0</v>
      </c>
      <c r="AO427">
        <v>358</v>
      </c>
      <c r="AP427">
        <v>3.28</v>
      </c>
      <c r="AQ427">
        <v>0.59</v>
      </c>
      <c r="AR427">
        <v>0.09</v>
      </c>
      <c r="AS427">
        <v>0.08</v>
      </c>
      <c r="AT427">
        <v>20</v>
      </c>
      <c r="AU427">
        <v>5.24</v>
      </c>
      <c r="AV427">
        <v>0.36</v>
      </c>
      <c r="AW427">
        <v>1.65</v>
      </c>
      <c r="AX427">
        <v>8.74</v>
      </c>
      <c r="AY427">
        <v>3.3</v>
      </c>
      <c r="AZ427">
        <v>102.648</v>
      </c>
      <c r="BA427">
        <v>0</v>
      </c>
      <c r="BB427">
        <v>0</v>
      </c>
      <c r="BC427">
        <v>0</v>
      </c>
      <c r="BD427">
        <v>0</v>
      </c>
    </row>
    <row r="428" spans="1:56" x14ac:dyDescent="0.25">
      <c r="A428" s="23">
        <v>46304</v>
      </c>
      <c r="B428">
        <v>427</v>
      </c>
      <c r="C428" t="s">
        <v>82</v>
      </c>
      <c r="D428" t="s">
        <v>92</v>
      </c>
      <c r="E428">
        <v>2</v>
      </c>
      <c r="F428">
        <v>180</v>
      </c>
      <c r="G428">
        <v>1</v>
      </c>
      <c r="H428" t="s">
        <v>95</v>
      </c>
      <c r="I428" t="s">
        <v>91</v>
      </c>
      <c r="J428" t="s">
        <v>85</v>
      </c>
      <c r="K428" t="s">
        <v>86</v>
      </c>
      <c r="L428" t="s">
        <v>71</v>
      </c>
      <c r="M428" t="s">
        <v>87</v>
      </c>
      <c r="O428" t="s">
        <v>88</v>
      </c>
      <c r="P428" t="s">
        <v>27</v>
      </c>
      <c r="Q428" t="s">
        <v>73</v>
      </c>
      <c r="R428" t="s">
        <v>76</v>
      </c>
      <c r="S428" t="s">
        <v>74</v>
      </c>
      <c r="T428" t="s">
        <v>75</v>
      </c>
      <c r="X428" t="s">
        <v>77</v>
      </c>
      <c r="Z428" t="s">
        <v>72</v>
      </c>
      <c r="AA428" t="s">
        <v>94</v>
      </c>
      <c r="AB428">
        <v>5</v>
      </c>
      <c r="AC428">
        <v>748732.83</v>
      </c>
      <c r="AD428">
        <v>8930494.6899999995</v>
      </c>
      <c r="AE428">
        <v>189.74</v>
      </c>
      <c r="AF428">
        <v>748732.83</v>
      </c>
      <c r="AG428">
        <v>8930494.6899999995</v>
      </c>
      <c r="AH428">
        <v>179.4</v>
      </c>
      <c r="AI428">
        <v>10.34</v>
      </c>
      <c r="AJ428">
        <v>0.6</v>
      </c>
      <c r="AK428">
        <v>3.37</v>
      </c>
      <c r="AL428">
        <v>2.93</v>
      </c>
      <c r="AM428">
        <v>0</v>
      </c>
      <c r="AN428">
        <v>0</v>
      </c>
      <c r="AO428">
        <v>358</v>
      </c>
      <c r="AP428">
        <v>3.28</v>
      </c>
      <c r="AQ428">
        <v>0.59</v>
      </c>
      <c r="AR428">
        <v>0.09</v>
      </c>
      <c r="AS428">
        <v>0.08</v>
      </c>
      <c r="AT428">
        <v>19.989999999999998</v>
      </c>
      <c r="AU428">
        <v>5.24</v>
      </c>
      <c r="AV428">
        <v>0.36</v>
      </c>
      <c r="AW428">
        <v>1.65</v>
      </c>
      <c r="AX428">
        <v>8.74</v>
      </c>
      <c r="AY428">
        <v>3.3</v>
      </c>
      <c r="AZ428">
        <v>102.502</v>
      </c>
      <c r="BA428">
        <v>0</v>
      </c>
      <c r="BB428">
        <v>0</v>
      </c>
      <c r="BC428">
        <v>0</v>
      </c>
      <c r="BD428">
        <v>0</v>
      </c>
    </row>
    <row r="429" spans="1:56" x14ac:dyDescent="0.25">
      <c r="A429" s="23">
        <v>46304</v>
      </c>
      <c r="B429">
        <v>428</v>
      </c>
      <c r="C429" t="s">
        <v>82</v>
      </c>
      <c r="D429" t="s">
        <v>92</v>
      </c>
      <c r="E429">
        <v>2</v>
      </c>
      <c r="F429">
        <v>180</v>
      </c>
      <c r="G429">
        <v>1</v>
      </c>
      <c r="H429" t="s">
        <v>95</v>
      </c>
      <c r="I429" t="s">
        <v>91</v>
      </c>
      <c r="J429" t="s">
        <v>85</v>
      </c>
      <c r="K429" t="s">
        <v>86</v>
      </c>
      <c r="L429" t="s">
        <v>71</v>
      </c>
      <c r="M429" t="s">
        <v>87</v>
      </c>
      <c r="O429" t="s">
        <v>88</v>
      </c>
      <c r="P429" t="s">
        <v>27</v>
      </c>
      <c r="Q429" t="s">
        <v>73</v>
      </c>
      <c r="R429" t="s">
        <v>76</v>
      </c>
      <c r="S429" t="s">
        <v>74</v>
      </c>
      <c r="T429" t="s">
        <v>75</v>
      </c>
      <c r="X429" t="s">
        <v>77</v>
      </c>
      <c r="Z429" t="s">
        <v>72</v>
      </c>
      <c r="AA429" t="s">
        <v>94</v>
      </c>
      <c r="AB429">
        <v>5</v>
      </c>
      <c r="AC429">
        <v>748730.15</v>
      </c>
      <c r="AD429">
        <v>8930492.6500000004</v>
      </c>
      <c r="AE429">
        <v>189.61</v>
      </c>
      <c r="AF429">
        <v>748730.15</v>
      </c>
      <c r="AG429">
        <v>8930492.6500000004</v>
      </c>
      <c r="AH429">
        <v>179.4</v>
      </c>
      <c r="AI429">
        <v>10.210000000000001</v>
      </c>
      <c r="AJ429">
        <v>0.6</v>
      </c>
      <c r="AK429">
        <v>3.37</v>
      </c>
      <c r="AL429">
        <v>2.93</v>
      </c>
      <c r="AM429">
        <v>0</v>
      </c>
      <c r="AN429">
        <v>0</v>
      </c>
      <c r="AO429">
        <v>358</v>
      </c>
      <c r="AP429">
        <v>3.3</v>
      </c>
      <c r="AQ429">
        <v>0.6</v>
      </c>
      <c r="AR429">
        <v>0.09</v>
      </c>
      <c r="AS429">
        <v>0.08</v>
      </c>
      <c r="AT429">
        <v>20.260000000000002</v>
      </c>
      <c r="AU429">
        <v>5.23</v>
      </c>
      <c r="AV429">
        <v>0.36</v>
      </c>
      <c r="AW429">
        <v>1.66</v>
      </c>
      <c r="AX429">
        <v>8.65</v>
      </c>
      <c r="AY429">
        <v>3.3</v>
      </c>
      <c r="AZ429">
        <v>100.61</v>
      </c>
      <c r="BA429">
        <v>0</v>
      </c>
      <c r="BB429">
        <v>0</v>
      </c>
      <c r="BC429">
        <v>0</v>
      </c>
      <c r="BD429">
        <v>0</v>
      </c>
    </row>
    <row r="430" spans="1:56" x14ac:dyDescent="0.25">
      <c r="A430" s="23">
        <v>46304</v>
      </c>
      <c r="B430">
        <v>429</v>
      </c>
      <c r="C430" t="s">
        <v>82</v>
      </c>
      <c r="D430" t="s">
        <v>92</v>
      </c>
      <c r="E430">
        <v>2</v>
      </c>
      <c r="F430">
        <v>180</v>
      </c>
      <c r="G430">
        <v>1</v>
      </c>
      <c r="H430" t="s">
        <v>95</v>
      </c>
      <c r="I430" t="s">
        <v>91</v>
      </c>
      <c r="J430" t="s">
        <v>85</v>
      </c>
      <c r="K430" t="s">
        <v>86</v>
      </c>
      <c r="L430" t="s">
        <v>71</v>
      </c>
      <c r="M430" t="s">
        <v>87</v>
      </c>
      <c r="O430" t="s">
        <v>88</v>
      </c>
      <c r="P430" t="s">
        <v>27</v>
      </c>
      <c r="Q430" t="s">
        <v>73</v>
      </c>
      <c r="R430" t="s">
        <v>76</v>
      </c>
      <c r="S430" t="s">
        <v>74</v>
      </c>
      <c r="T430" t="s">
        <v>75</v>
      </c>
      <c r="X430" t="s">
        <v>77</v>
      </c>
      <c r="Z430" t="s">
        <v>72</v>
      </c>
      <c r="AA430" t="s">
        <v>94</v>
      </c>
      <c r="AB430">
        <v>5</v>
      </c>
      <c r="AC430">
        <v>748727.47</v>
      </c>
      <c r="AD430">
        <v>8930490.5999999996</v>
      </c>
      <c r="AE430">
        <v>189.49</v>
      </c>
      <c r="AF430">
        <v>748727.47</v>
      </c>
      <c r="AG430">
        <v>8930490.5999999996</v>
      </c>
      <c r="AH430">
        <v>179.4</v>
      </c>
      <c r="AI430">
        <v>10.09</v>
      </c>
      <c r="AJ430">
        <v>0.6</v>
      </c>
      <c r="AK430">
        <v>3.37</v>
      </c>
      <c r="AL430">
        <v>2.93</v>
      </c>
      <c r="AM430">
        <v>0</v>
      </c>
      <c r="AN430">
        <v>0</v>
      </c>
      <c r="AO430">
        <v>358</v>
      </c>
      <c r="AP430">
        <v>3.33</v>
      </c>
      <c r="AQ430">
        <v>0.64</v>
      </c>
      <c r="AR430">
        <v>0.1</v>
      </c>
      <c r="AS430">
        <v>0.09</v>
      </c>
      <c r="AT430">
        <v>20.5</v>
      </c>
      <c r="AU430">
        <v>5.41</v>
      </c>
      <c r="AV430">
        <v>0.36</v>
      </c>
      <c r="AW430">
        <v>1.75</v>
      </c>
      <c r="AX430">
        <v>8.39</v>
      </c>
      <c r="AY430">
        <v>3.3</v>
      </c>
      <c r="AZ430">
        <v>98.861999999999995</v>
      </c>
      <c r="BA430">
        <v>0</v>
      </c>
      <c r="BB430">
        <v>0</v>
      </c>
      <c r="BC430">
        <v>0</v>
      </c>
      <c r="BD430">
        <v>0</v>
      </c>
    </row>
    <row r="431" spans="1:56" x14ac:dyDescent="0.25">
      <c r="A431" s="23">
        <v>46304</v>
      </c>
      <c r="B431">
        <v>430</v>
      </c>
      <c r="C431" t="s">
        <v>82</v>
      </c>
      <c r="D431" t="s">
        <v>92</v>
      </c>
      <c r="E431">
        <v>2</v>
      </c>
      <c r="F431">
        <v>180</v>
      </c>
      <c r="G431">
        <v>1</v>
      </c>
      <c r="H431" t="s">
        <v>95</v>
      </c>
      <c r="I431" t="s">
        <v>91</v>
      </c>
      <c r="J431" t="s">
        <v>97</v>
      </c>
      <c r="K431" t="s">
        <v>86</v>
      </c>
      <c r="L431" t="s">
        <v>71</v>
      </c>
      <c r="M431" t="s">
        <v>87</v>
      </c>
      <c r="O431" t="s">
        <v>88</v>
      </c>
      <c r="P431" t="s">
        <v>27</v>
      </c>
      <c r="Q431" t="s">
        <v>73</v>
      </c>
      <c r="R431" t="s">
        <v>76</v>
      </c>
      <c r="S431" t="s">
        <v>74</v>
      </c>
      <c r="T431" t="s">
        <v>75</v>
      </c>
      <c r="X431" t="s">
        <v>77</v>
      </c>
      <c r="Z431" t="s">
        <v>72</v>
      </c>
      <c r="AA431" t="s">
        <v>94</v>
      </c>
      <c r="AB431">
        <v>5</v>
      </c>
      <c r="AC431">
        <v>748724.8</v>
      </c>
      <c r="AD431">
        <v>8930488.5500000007</v>
      </c>
      <c r="AE431">
        <v>189.45</v>
      </c>
      <c r="AF431">
        <v>748724.8</v>
      </c>
      <c r="AG431">
        <v>8930488.5500000007</v>
      </c>
      <c r="AH431">
        <v>179.4</v>
      </c>
      <c r="AI431">
        <v>10.050000000000001</v>
      </c>
      <c r="AJ431">
        <v>0.6</v>
      </c>
      <c r="AK431">
        <v>3.37</v>
      </c>
      <c r="AL431">
        <v>2.93</v>
      </c>
      <c r="AM431">
        <v>0</v>
      </c>
      <c r="AN431">
        <v>0</v>
      </c>
      <c r="AO431">
        <v>358</v>
      </c>
      <c r="AP431">
        <v>3.35</v>
      </c>
      <c r="AQ431">
        <v>0.7</v>
      </c>
      <c r="AR431">
        <v>0.1</v>
      </c>
      <c r="AS431">
        <v>0.09</v>
      </c>
      <c r="AT431">
        <v>20.38</v>
      </c>
      <c r="AU431">
        <v>5.76</v>
      </c>
      <c r="AV431">
        <v>0.37</v>
      </c>
      <c r="AW431">
        <v>1.89</v>
      </c>
      <c r="AX431">
        <v>8.09</v>
      </c>
      <c r="AY431">
        <v>3.3</v>
      </c>
      <c r="AZ431">
        <v>98.28</v>
      </c>
      <c r="BA431">
        <v>0</v>
      </c>
      <c r="BB431">
        <v>0</v>
      </c>
      <c r="BC431">
        <v>0</v>
      </c>
      <c r="BD431">
        <v>0</v>
      </c>
    </row>
    <row r="432" spans="1:56" x14ac:dyDescent="0.25">
      <c r="A432" s="23">
        <v>46304</v>
      </c>
      <c r="B432">
        <v>431</v>
      </c>
      <c r="C432" t="s">
        <v>82</v>
      </c>
      <c r="D432" t="s">
        <v>92</v>
      </c>
      <c r="E432">
        <v>2</v>
      </c>
      <c r="F432">
        <v>180</v>
      </c>
      <c r="G432">
        <v>1</v>
      </c>
      <c r="H432" t="s">
        <v>95</v>
      </c>
      <c r="I432" t="s">
        <v>91</v>
      </c>
      <c r="J432" t="s">
        <v>97</v>
      </c>
      <c r="K432" t="s">
        <v>86</v>
      </c>
      <c r="L432" t="s">
        <v>71</v>
      </c>
      <c r="M432" t="s">
        <v>87</v>
      </c>
      <c r="O432" t="s">
        <v>88</v>
      </c>
      <c r="P432" t="s">
        <v>27</v>
      </c>
      <c r="Q432" t="s">
        <v>73</v>
      </c>
      <c r="R432" t="s">
        <v>76</v>
      </c>
      <c r="S432" t="s">
        <v>74</v>
      </c>
      <c r="T432" t="s">
        <v>75</v>
      </c>
      <c r="X432" t="s">
        <v>77</v>
      </c>
      <c r="Z432" t="s">
        <v>72</v>
      </c>
      <c r="AA432" t="s">
        <v>94</v>
      </c>
      <c r="AB432">
        <v>5</v>
      </c>
      <c r="AC432">
        <v>748722.12</v>
      </c>
      <c r="AD432">
        <v>8930486.5099999998</v>
      </c>
      <c r="AE432">
        <v>189.56</v>
      </c>
      <c r="AF432">
        <v>748722.12</v>
      </c>
      <c r="AG432">
        <v>8930486.5099999998</v>
      </c>
      <c r="AH432">
        <v>179.4</v>
      </c>
      <c r="AI432">
        <v>10.16</v>
      </c>
      <c r="AJ432">
        <v>0.6</v>
      </c>
      <c r="AK432">
        <v>3.37</v>
      </c>
      <c r="AL432">
        <v>2.93</v>
      </c>
      <c r="AM432">
        <v>0</v>
      </c>
      <c r="AN432">
        <v>0</v>
      </c>
      <c r="AO432">
        <v>358</v>
      </c>
      <c r="AP432">
        <v>3.35</v>
      </c>
      <c r="AQ432">
        <v>0.71</v>
      </c>
      <c r="AR432">
        <v>0.1</v>
      </c>
      <c r="AS432">
        <v>0.09</v>
      </c>
      <c r="AT432">
        <v>20.36</v>
      </c>
      <c r="AU432">
        <v>5.81</v>
      </c>
      <c r="AV432">
        <v>0.37</v>
      </c>
      <c r="AW432">
        <v>1.91</v>
      </c>
      <c r="AX432">
        <v>8.0399999999999991</v>
      </c>
      <c r="AY432">
        <v>3.3</v>
      </c>
      <c r="AZ432">
        <v>99.882000000000005</v>
      </c>
      <c r="BA432">
        <v>0</v>
      </c>
      <c r="BB432">
        <v>0</v>
      </c>
      <c r="BC432">
        <v>0</v>
      </c>
      <c r="BD432">
        <v>0</v>
      </c>
    </row>
    <row r="433" spans="1:56" x14ac:dyDescent="0.25">
      <c r="A433" s="23">
        <v>46304</v>
      </c>
      <c r="B433">
        <v>432</v>
      </c>
      <c r="C433" t="s">
        <v>82</v>
      </c>
      <c r="D433" t="s">
        <v>92</v>
      </c>
      <c r="E433">
        <v>2</v>
      </c>
      <c r="F433">
        <v>180</v>
      </c>
      <c r="G433">
        <v>1</v>
      </c>
      <c r="H433" t="s">
        <v>95</v>
      </c>
      <c r="I433" t="s">
        <v>91</v>
      </c>
      <c r="J433" t="s">
        <v>85</v>
      </c>
      <c r="K433" t="s">
        <v>86</v>
      </c>
      <c r="L433" t="s">
        <v>71</v>
      </c>
      <c r="M433" t="s">
        <v>87</v>
      </c>
      <c r="O433" t="s">
        <v>88</v>
      </c>
      <c r="P433" t="s">
        <v>27</v>
      </c>
      <c r="Q433" t="s">
        <v>73</v>
      </c>
      <c r="R433" t="s">
        <v>76</v>
      </c>
      <c r="S433" t="s">
        <v>74</v>
      </c>
      <c r="T433" t="s">
        <v>75</v>
      </c>
      <c r="X433" t="s">
        <v>77</v>
      </c>
      <c r="Z433" t="s">
        <v>72</v>
      </c>
      <c r="AA433" t="s">
        <v>94</v>
      </c>
      <c r="AB433">
        <v>5</v>
      </c>
      <c r="AC433">
        <v>748719.46</v>
      </c>
      <c r="AD433">
        <v>8930484.4299999997</v>
      </c>
      <c r="AE433">
        <v>189.66</v>
      </c>
      <c r="AF433">
        <v>748719.46</v>
      </c>
      <c r="AG433">
        <v>8930484.4299999997</v>
      </c>
      <c r="AH433">
        <v>179.4</v>
      </c>
      <c r="AI433">
        <v>10.26</v>
      </c>
      <c r="AJ433">
        <v>0.6</v>
      </c>
      <c r="AK433">
        <v>3.37</v>
      </c>
      <c r="AL433">
        <v>2.93</v>
      </c>
      <c r="AM433">
        <v>0</v>
      </c>
      <c r="AN433">
        <v>0</v>
      </c>
      <c r="AO433">
        <v>358</v>
      </c>
      <c r="AP433">
        <v>3.33</v>
      </c>
      <c r="AQ433">
        <v>0.69</v>
      </c>
      <c r="AR433">
        <v>0.1</v>
      </c>
      <c r="AS433">
        <v>0.09</v>
      </c>
      <c r="AT433">
        <v>19.48</v>
      </c>
      <c r="AU433">
        <v>5.94</v>
      </c>
      <c r="AV433">
        <v>0.37</v>
      </c>
      <c r="AW433">
        <v>1.92</v>
      </c>
      <c r="AX433">
        <v>8.17</v>
      </c>
      <c r="AY433">
        <v>3.3</v>
      </c>
      <c r="AZ433">
        <v>101.33799999999999</v>
      </c>
      <c r="BA433">
        <v>0</v>
      </c>
      <c r="BB433">
        <v>0</v>
      </c>
      <c r="BC433">
        <v>0</v>
      </c>
      <c r="BD433">
        <v>0</v>
      </c>
    </row>
    <row r="434" spans="1:56" x14ac:dyDescent="0.25">
      <c r="A434" s="23">
        <v>46304</v>
      </c>
      <c r="B434">
        <v>433</v>
      </c>
      <c r="C434" t="s">
        <v>82</v>
      </c>
      <c r="D434" t="s">
        <v>92</v>
      </c>
      <c r="E434">
        <v>2</v>
      </c>
      <c r="F434">
        <v>180</v>
      </c>
      <c r="G434">
        <v>1</v>
      </c>
      <c r="H434" t="s">
        <v>95</v>
      </c>
      <c r="I434" t="s">
        <v>91</v>
      </c>
      <c r="J434" t="s">
        <v>85</v>
      </c>
      <c r="K434" t="s">
        <v>86</v>
      </c>
      <c r="L434" t="s">
        <v>71</v>
      </c>
      <c r="M434" t="s">
        <v>87</v>
      </c>
      <c r="O434" t="s">
        <v>88</v>
      </c>
      <c r="P434" t="s">
        <v>27</v>
      </c>
      <c r="Q434" t="s">
        <v>73</v>
      </c>
      <c r="R434" t="s">
        <v>76</v>
      </c>
      <c r="S434" t="s">
        <v>74</v>
      </c>
      <c r="T434" t="s">
        <v>75</v>
      </c>
      <c r="X434" t="s">
        <v>77</v>
      </c>
      <c r="Z434" t="s">
        <v>72</v>
      </c>
      <c r="AA434" t="s">
        <v>94</v>
      </c>
      <c r="AB434">
        <v>5</v>
      </c>
      <c r="AC434">
        <v>748717.09</v>
      </c>
      <c r="AD434">
        <v>8930482.0700000003</v>
      </c>
      <c r="AE434">
        <v>189.82</v>
      </c>
      <c r="AF434">
        <v>748717.09</v>
      </c>
      <c r="AG434">
        <v>8930482.0700000003</v>
      </c>
      <c r="AH434">
        <v>179.4</v>
      </c>
      <c r="AI434">
        <v>10.42</v>
      </c>
      <c r="AJ434">
        <v>0.6</v>
      </c>
      <c r="AK434">
        <v>3.37</v>
      </c>
      <c r="AL434">
        <v>2.93</v>
      </c>
      <c r="AM434">
        <v>0</v>
      </c>
      <c r="AN434">
        <v>0</v>
      </c>
      <c r="AO434">
        <v>358</v>
      </c>
      <c r="AP434">
        <v>3.33</v>
      </c>
      <c r="AQ434">
        <v>0.69</v>
      </c>
      <c r="AR434">
        <v>0.1</v>
      </c>
      <c r="AS434">
        <v>0.08</v>
      </c>
      <c r="AT434">
        <v>19.010000000000002</v>
      </c>
      <c r="AU434">
        <v>6</v>
      </c>
      <c r="AV434">
        <v>0.36</v>
      </c>
      <c r="AW434">
        <v>1.93</v>
      </c>
      <c r="AX434">
        <v>8.25</v>
      </c>
      <c r="AY434">
        <v>3.3</v>
      </c>
      <c r="AZ434">
        <v>103.667</v>
      </c>
      <c r="BA434">
        <v>0</v>
      </c>
      <c r="BB434">
        <v>0</v>
      </c>
      <c r="BC434">
        <v>0</v>
      </c>
      <c r="BD434">
        <v>0</v>
      </c>
    </row>
    <row r="435" spans="1:56" x14ac:dyDescent="0.25">
      <c r="A435" s="23">
        <v>46304</v>
      </c>
      <c r="B435">
        <v>434</v>
      </c>
      <c r="C435" t="s">
        <v>82</v>
      </c>
      <c r="D435" t="s">
        <v>92</v>
      </c>
      <c r="E435">
        <v>2</v>
      </c>
      <c r="F435">
        <v>180</v>
      </c>
      <c r="G435">
        <v>1</v>
      </c>
      <c r="H435" t="s">
        <v>95</v>
      </c>
      <c r="I435" t="s">
        <v>91</v>
      </c>
      <c r="J435" t="s">
        <v>85</v>
      </c>
      <c r="K435" t="s">
        <v>86</v>
      </c>
      <c r="L435" t="s">
        <v>71</v>
      </c>
      <c r="M435" t="s">
        <v>87</v>
      </c>
      <c r="O435" t="s">
        <v>88</v>
      </c>
      <c r="P435" t="s">
        <v>27</v>
      </c>
      <c r="Q435" t="s">
        <v>73</v>
      </c>
      <c r="R435" t="s">
        <v>76</v>
      </c>
      <c r="S435" t="s">
        <v>74</v>
      </c>
      <c r="T435" t="s">
        <v>75</v>
      </c>
      <c r="X435" t="s">
        <v>77</v>
      </c>
      <c r="Z435" t="s">
        <v>72</v>
      </c>
      <c r="AA435" t="s">
        <v>94</v>
      </c>
      <c r="AB435">
        <v>5</v>
      </c>
      <c r="AC435">
        <v>748715.36</v>
      </c>
      <c r="AD435">
        <v>8930479.1699999999</v>
      </c>
      <c r="AE435">
        <v>189.87</v>
      </c>
      <c r="AF435">
        <v>748715.36</v>
      </c>
      <c r="AG435">
        <v>8930479.1699999999</v>
      </c>
      <c r="AH435">
        <v>179.42</v>
      </c>
      <c r="AI435">
        <v>10.46</v>
      </c>
      <c r="AJ435">
        <v>0.6</v>
      </c>
      <c r="AK435">
        <v>3.37</v>
      </c>
      <c r="AL435">
        <v>2.93</v>
      </c>
      <c r="AM435">
        <v>0</v>
      </c>
      <c r="AN435">
        <v>0</v>
      </c>
      <c r="AO435">
        <v>358</v>
      </c>
      <c r="AP435">
        <v>3.31</v>
      </c>
      <c r="AQ435">
        <v>0.6</v>
      </c>
      <c r="AR435">
        <v>0.1</v>
      </c>
      <c r="AS435">
        <v>7.0000000000000007E-2</v>
      </c>
      <c r="AT435">
        <v>16.079999999999998</v>
      </c>
      <c r="AU435">
        <v>5.84</v>
      </c>
      <c r="AV435">
        <v>0.33</v>
      </c>
      <c r="AW435">
        <v>1.84</v>
      </c>
      <c r="AX435">
        <v>8.93</v>
      </c>
      <c r="AY435">
        <v>3.3</v>
      </c>
      <c r="AZ435">
        <v>104.25</v>
      </c>
      <c r="BA435">
        <v>0</v>
      </c>
      <c r="BB435">
        <v>0</v>
      </c>
      <c r="BC435">
        <v>0</v>
      </c>
      <c r="BD435">
        <v>0</v>
      </c>
    </row>
    <row r="436" spans="1:56" x14ac:dyDescent="0.25">
      <c r="A436" s="23">
        <v>46304</v>
      </c>
      <c r="B436">
        <v>435</v>
      </c>
      <c r="C436" t="s">
        <v>82</v>
      </c>
      <c r="D436" t="s">
        <v>92</v>
      </c>
      <c r="E436">
        <v>2</v>
      </c>
      <c r="F436">
        <v>180</v>
      </c>
      <c r="G436">
        <v>1</v>
      </c>
      <c r="H436" t="s">
        <v>95</v>
      </c>
      <c r="I436" t="s">
        <v>91</v>
      </c>
      <c r="J436" t="s">
        <v>85</v>
      </c>
      <c r="K436" t="s">
        <v>86</v>
      </c>
      <c r="L436" t="s">
        <v>71</v>
      </c>
      <c r="M436" t="s">
        <v>87</v>
      </c>
      <c r="O436" t="s">
        <v>88</v>
      </c>
      <c r="P436" t="s">
        <v>27</v>
      </c>
      <c r="Q436" t="s">
        <v>73</v>
      </c>
      <c r="R436" t="s">
        <v>76</v>
      </c>
      <c r="S436" t="s">
        <v>74</v>
      </c>
      <c r="T436" t="s">
        <v>75</v>
      </c>
      <c r="X436" t="s">
        <v>77</v>
      </c>
      <c r="Z436" t="s">
        <v>72</v>
      </c>
      <c r="AA436" t="s">
        <v>94</v>
      </c>
      <c r="AB436">
        <v>5</v>
      </c>
      <c r="AC436">
        <v>748713.77</v>
      </c>
      <c r="AD436">
        <v>8930476.2200000007</v>
      </c>
      <c r="AE436">
        <v>189.84</v>
      </c>
      <c r="AF436">
        <v>748713.77</v>
      </c>
      <c r="AG436">
        <v>8930476.2200000007</v>
      </c>
      <c r="AH436">
        <v>179.4</v>
      </c>
      <c r="AI436">
        <v>10.44</v>
      </c>
      <c r="AJ436">
        <v>0.6</v>
      </c>
      <c r="AK436">
        <v>3.37</v>
      </c>
      <c r="AL436">
        <v>2.93</v>
      </c>
      <c r="AM436">
        <v>0</v>
      </c>
      <c r="AN436">
        <v>0</v>
      </c>
      <c r="AO436">
        <v>358</v>
      </c>
      <c r="AP436">
        <v>3.27</v>
      </c>
      <c r="AQ436">
        <v>0.54</v>
      </c>
      <c r="AR436">
        <v>0.09</v>
      </c>
      <c r="AS436">
        <v>7.0000000000000007E-2</v>
      </c>
      <c r="AT436">
        <v>14.04</v>
      </c>
      <c r="AU436">
        <v>5.39</v>
      </c>
      <c r="AV436">
        <v>0.28999999999999998</v>
      </c>
      <c r="AW436">
        <v>1.7</v>
      </c>
      <c r="AX436">
        <v>8.52</v>
      </c>
      <c r="AY436">
        <v>3.3</v>
      </c>
      <c r="AZ436">
        <v>103.958</v>
      </c>
      <c r="BA436">
        <v>0</v>
      </c>
      <c r="BB436">
        <v>0</v>
      </c>
      <c r="BC436">
        <v>0</v>
      </c>
      <c r="BD436">
        <v>0</v>
      </c>
    </row>
    <row r="437" spans="1:56" x14ac:dyDescent="0.25">
      <c r="A437" s="23">
        <v>46304</v>
      </c>
      <c r="B437">
        <v>436</v>
      </c>
      <c r="C437" t="s">
        <v>82</v>
      </c>
      <c r="D437" t="s">
        <v>92</v>
      </c>
      <c r="E437">
        <v>2</v>
      </c>
      <c r="F437">
        <v>180</v>
      </c>
      <c r="G437">
        <v>1</v>
      </c>
      <c r="H437" t="s">
        <v>95</v>
      </c>
      <c r="I437" t="s">
        <v>91</v>
      </c>
      <c r="J437" t="s">
        <v>85</v>
      </c>
      <c r="K437" t="s">
        <v>86</v>
      </c>
      <c r="L437" t="s">
        <v>71</v>
      </c>
      <c r="M437" t="s">
        <v>87</v>
      </c>
      <c r="O437" t="s">
        <v>88</v>
      </c>
      <c r="P437" t="s">
        <v>27</v>
      </c>
      <c r="Q437" t="s">
        <v>73</v>
      </c>
      <c r="R437" t="s">
        <v>76</v>
      </c>
      <c r="S437" t="s">
        <v>74</v>
      </c>
      <c r="T437" t="s">
        <v>75</v>
      </c>
      <c r="X437" t="s">
        <v>77</v>
      </c>
      <c r="Z437" t="s">
        <v>72</v>
      </c>
      <c r="AA437" t="s">
        <v>94</v>
      </c>
      <c r="AB437">
        <v>5</v>
      </c>
      <c r="AC437">
        <v>748712.75</v>
      </c>
      <c r="AD437">
        <v>8930473.0099999998</v>
      </c>
      <c r="AE437">
        <v>189.98</v>
      </c>
      <c r="AF437">
        <v>748712.75</v>
      </c>
      <c r="AG437">
        <v>8930473.0099999998</v>
      </c>
      <c r="AH437">
        <v>179.4</v>
      </c>
      <c r="AI437">
        <v>10.58</v>
      </c>
      <c r="AJ437">
        <v>0.6</v>
      </c>
      <c r="AK437">
        <v>3.37</v>
      </c>
      <c r="AL437">
        <v>2.93</v>
      </c>
      <c r="AM437">
        <v>0</v>
      </c>
      <c r="AN437">
        <v>0</v>
      </c>
      <c r="AO437">
        <v>358</v>
      </c>
      <c r="AP437">
        <v>3.24</v>
      </c>
      <c r="AQ437">
        <v>0.5</v>
      </c>
      <c r="AR437">
        <v>0.08</v>
      </c>
      <c r="AS437">
        <v>0.06</v>
      </c>
      <c r="AT437">
        <v>13.18</v>
      </c>
      <c r="AU437">
        <v>5.05</v>
      </c>
      <c r="AV437">
        <v>0.27</v>
      </c>
      <c r="AW437">
        <v>1.58</v>
      </c>
      <c r="AX437">
        <v>7.97</v>
      </c>
      <c r="AY437">
        <v>3.3</v>
      </c>
      <c r="AZ437">
        <v>105.997</v>
      </c>
      <c r="BA437">
        <v>0</v>
      </c>
      <c r="BB437">
        <v>0</v>
      </c>
      <c r="BC437">
        <v>0</v>
      </c>
      <c r="BD437">
        <v>0</v>
      </c>
    </row>
    <row r="438" spans="1:56" x14ac:dyDescent="0.25">
      <c r="A438" s="23">
        <v>46304</v>
      </c>
      <c r="B438">
        <v>437</v>
      </c>
      <c r="C438" t="s">
        <v>82</v>
      </c>
      <c r="D438" t="s">
        <v>92</v>
      </c>
      <c r="E438">
        <v>2</v>
      </c>
      <c r="F438">
        <v>180</v>
      </c>
      <c r="G438">
        <v>1</v>
      </c>
      <c r="H438" t="s">
        <v>95</v>
      </c>
      <c r="I438" t="s">
        <v>91</v>
      </c>
      <c r="J438" t="s">
        <v>85</v>
      </c>
      <c r="K438" t="s">
        <v>79</v>
      </c>
      <c r="L438" t="s">
        <v>71</v>
      </c>
      <c r="M438" t="s">
        <v>81</v>
      </c>
      <c r="O438" t="s">
        <v>88</v>
      </c>
      <c r="P438" t="s">
        <v>27</v>
      </c>
      <c r="Q438" t="s">
        <v>73</v>
      </c>
      <c r="R438" t="s">
        <v>76</v>
      </c>
      <c r="S438" t="s">
        <v>74</v>
      </c>
      <c r="T438" t="s">
        <v>75</v>
      </c>
      <c r="X438" t="s">
        <v>77</v>
      </c>
      <c r="Z438" t="s">
        <v>72</v>
      </c>
      <c r="AA438" t="s">
        <v>94</v>
      </c>
      <c r="AB438">
        <v>5</v>
      </c>
      <c r="AC438">
        <v>748711.73</v>
      </c>
      <c r="AD438">
        <v>8930469.7899999991</v>
      </c>
      <c r="AE438">
        <v>190.06</v>
      </c>
      <c r="AF438">
        <v>748711.73</v>
      </c>
      <c r="AG438">
        <v>8930469.7899999991</v>
      </c>
      <c r="AH438">
        <v>179.4</v>
      </c>
      <c r="AI438">
        <v>10.66</v>
      </c>
      <c r="AJ438">
        <v>0.6</v>
      </c>
      <c r="AK438">
        <v>3.37</v>
      </c>
      <c r="AL438">
        <v>2.93</v>
      </c>
      <c r="AM438">
        <v>0</v>
      </c>
      <c r="AN438">
        <v>0</v>
      </c>
      <c r="AO438">
        <v>358</v>
      </c>
      <c r="AP438">
        <v>3.24</v>
      </c>
      <c r="AQ438">
        <v>0.49</v>
      </c>
      <c r="AR438">
        <v>0.08</v>
      </c>
      <c r="AS438">
        <v>0.06</v>
      </c>
      <c r="AT438">
        <v>12.85</v>
      </c>
      <c r="AU438">
        <v>5.07</v>
      </c>
      <c r="AV438">
        <v>0.28999999999999998</v>
      </c>
      <c r="AW438">
        <v>1.5</v>
      </c>
      <c r="AX438">
        <v>8.06</v>
      </c>
      <c r="AY438">
        <v>3.3</v>
      </c>
      <c r="AZ438">
        <v>107.16200000000001</v>
      </c>
      <c r="BA438">
        <v>0</v>
      </c>
      <c r="BB438">
        <v>0</v>
      </c>
      <c r="BC438">
        <v>0</v>
      </c>
      <c r="BD438">
        <v>0</v>
      </c>
    </row>
    <row r="439" spans="1:56" x14ac:dyDescent="0.25">
      <c r="A439" s="23">
        <v>46304</v>
      </c>
      <c r="B439">
        <v>438</v>
      </c>
      <c r="C439" t="s">
        <v>82</v>
      </c>
      <c r="D439" t="s">
        <v>92</v>
      </c>
      <c r="E439">
        <v>2</v>
      </c>
      <c r="F439">
        <v>180</v>
      </c>
      <c r="G439">
        <v>1</v>
      </c>
      <c r="H439" t="s">
        <v>95</v>
      </c>
      <c r="I439" t="s">
        <v>91</v>
      </c>
      <c r="J439" t="s">
        <v>85</v>
      </c>
      <c r="K439" t="s">
        <v>79</v>
      </c>
      <c r="L439" t="s">
        <v>71</v>
      </c>
      <c r="M439" t="s">
        <v>81</v>
      </c>
      <c r="O439" t="s">
        <v>88</v>
      </c>
      <c r="P439" t="s">
        <v>27</v>
      </c>
      <c r="Q439" t="s">
        <v>73</v>
      </c>
      <c r="R439" t="s">
        <v>76</v>
      </c>
      <c r="S439" t="s">
        <v>74</v>
      </c>
      <c r="T439" t="s">
        <v>75</v>
      </c>
      <c r="X439" t="s">
        <v>77</v>
      </c>
      <c r="Z439" t="s">
        <v>72</v>
      </c>
      <c r="AA439" t="s">
        <v>94</v>
      </c>
      <c r="AB439">
        <v>5</v>
      </c>
      <c r="AC439">
        <v>748711.1</v>
      </c>
      <c r="AD439">
        <v>8930465.8200000003</v>
      </c>
      <c r="AE439">
        <v>189.96</v>
      </c>
      <c r="AF439">
        <v>748711.1</v>
      </c>
      <c r="AG439">
        <v>8930465.8200000003</v>
      </c>
      <c r="AH439">
        <v>179.4</v>
      </c>
      <c r="AI439">
        <v>10.56</v>
      </c>
      <c r="AJ439">
        <v>0.6</v>
      </c>
      <c r="AK439">
        <v>3.37</v>
      </c>
      <c r="AL439">
        <v>2.93</v>
      </c>
      <c r="AM439">
        <v>0</v>
      </c>
      <c r="AN439">
        <v>0</v>
      </c>
      <c r="AO439">
        <v>358</v>
      </c>
      <c r="AP439">
        <v>3.24</v>
      </c>
      <c r="AQ439">
        <v>0.47</v>
      </c>
      <c r="AR439">
        <v>0.08</v>
      </c>
      <c r="AS439">
        <v>0.06</v>
      </c>
      <c r="AT439">
        <v>12.52</v>
      </c>
      <c r="AU439">
        <v>5.0599999999999996</v>
      </c>
      <c r="AV439">
        <v>0.31</v>
      </c>
      <c r="AW439">
        <v>1.39</v>
      </c>
      <c r="AX439">
        <v>7.99</v>
      </c>
      <c r="AY439">
        <v>3.3</v>
      </c>
      <c r="AZ439">
        <v>105.706</v>
      </c>
      <c r="BA439">
        <v>0</v>
      </c>
      <c r="BB439">
        <v>0</v>
      </c>
      <c r="BC439">
        <v>0</v>
      </c>
      <c r="BD439">
        <v>0</v>
      </c>
    </row>
    <row r="440" spans="1:56" x14ac:dyDescent="0.25">
      <c r="A440" s="23">
        <v>46304</v>
      </c>
      <c r="B440">
        <v>439</v>
      </c>
      <c r="C440" t="s">
        <v>82</v>
      </c>
      <c r="D440" t="s">
        <v>92</v>
      </c>
      <c r="E440">
        <v>2</v>
      </c>
      <c r="F440">
        <v>180</v>
      </c>
      <c r="G440">
        <v>1</v>
      </c>
      <c r="H440" t="s">
        <v>84</v>
      </c>
      <c r="I440" t="s">
        <v>91</v>
      </c>
      <c r="J440" t="s">
        <v>85</v>
      </c>
      <c r="K440" t="s">
        <v>79</v>
      </c>
      <c r="L440" t="s">
        <v>71</v>
      </c>
      <c r="M440" t="s">
        <v>81</v>
      </c>
      <c r="O440" t="s">
        <v>88</v>
      </c>
      <c r="P440" t="s">
        <v>27</v>
      </c>
      <c r="Q440" t="s">
        <v>73</v>
      </c>
      <c r="R440" t="s">
        <v>76</v>
      </c>
      <c r="S440" t="s">
        <v>74</v>
      </c>
      <c r="T440" t="s">
        <v>75</v>
      </c>
      <c r="X440" t="s">
        <v>77</v>
      </c>
      <c r="Z440" t="s">
        <v>72</v>
      </c>
      <c r="AA440" t="s">
        <v>94</v>
      </c>
      <c r="AB440">
        <v>5</v>
      </c>
      <c r="AC440">
        <v>748710.49</v>
      </c>
      <c r="AD440">
        <v>8930461.9600000009</v>
      </c>
      <c r="AE440">
        <v>189.76</v>
      </c>
      <c r="AF440">
        <v>748710.49</v>
      </c>
      <c r="AG440">
        <v>8930461.9600000009</v>
      </c>
      <c r="AH440">
        <v>179.4</v>
      </c>
      <c r="AI440">
        <v>10.36</v>
      </c>
      <c r="AJ440">
        <v>0.6</v>
      </c>
      <c r="AK440">
        <v>3.37</v>
      </c>
      <c r="AL440">
        <v>2.93</v>
      </c>
      <c r="AM440">
        <v>0</v>
      </c>
      <c r="AN440">
        <v>0</v>
      </c>
      <c r="AO440">
        <v>358</v>
      </c>
      <c r="AP440">
        <v>3.24</v>
      </c>
      <c r="AQ440">
        <v>0.45</v>
      </c>
      <c r="AR440">
        <v>7.0000000000000007E-2</v>
      </c>
      <c r="AS440">
        <v>0.06</v>
      </c>
      <c r="AT440">
        <v>12.3</v>
      </c>
      <c r="AU440">
        <v>4.93</v>
      </c>
      <c r="AV440">
        <v>0.34</v>
      </c>
      <c r="AW440">
        <v>1.25</v>
      </c>
      <c r="AX440">
        <v>7.6</v>
      </c>
      <c r="AY440">
        <v>3.3</v>
      </c>
      <c r="AZ440">
        <v>102.794</v>
      </c>
      <c r="BA440">
        <v>0</v>
      </c>
      <c r="BB440">
        <v>0</v>
      </c>
      <c r="BC440">
        <v>0</v>
      </c>
      <c r="BD440">
        <v>0</v>
      </c>
    </row>
    <row r="441" spans="1:56" x14ac:dyDescent="0.25">
      <c r="A441" s="23">
        <v>46304</v>
      </c>
      <c r="B441">
        <v>440</v>
      </c>
      <c r="C441" t="s">
        <v>82</v>
      </c>
      <c r="D441" t="s">
        <v>92</v>
      </c>
      <c r="E441">
        <v>2</v>
      </c>
      <c r="F441">
        <v>180</v>
      </c>
      <c r="G441">
        <v>0</v>
      </c>
      <c r="H441" t="s">
        <v>84</v>
      </c>
      <c r="I441" t="s">
        <v>28</v>
      </c>
      <c r="J441" t="s">
        <v>85</v>
      </c>
      <c r="K441" t="s">
        <v>79</v>
      </c>
      <c r="L441" t="s">
        <v>71</v>
      </c>
      <c r="M441" t="s">
        <v>81</v>
      </c>
      <c r="O441" t="s">
        <v>88</v>
      </c>
      <c r="P441" t="s">
        <v>27</v>
      </c>
      <c r="Q441" t="s">
        <v>73</v>
      </c>
      <c r="R441" t="s">
        <v>76</v>
      </c>
      <c r="S441" t="s">
        <v>74</v>
      </c>
      <c r="T441" t="s">
        <v>75</v>
      </c>
      <c r="X441" t="s">
        <v>77</v>
      </c>
      <c r="Z441" t="s">
        <v>72</v>
      </c>
      <c r="AA441" t="s">
        <v>94</v>
      </c>
      <c r="AB441">
        <v>5</v>
      </c>
      <c r="AC441">
        <v>748709.66</v>
      </c>
      <c r="AD441">
        <v>8930458.3599999994</v>
      </c>
      <c r="AE441">
        <v>189.63</v>
      </c>
      <c r="AF441">
        <v>748709.66</v>
      </c>
      <c r="AG441">
        <v>8930458.3599999994</v>
      </c>
      <c r="AH441">
        <v>179.4</v>
      </c>
      <c r="AI441">
        <v>10.23</v>
      </c>
      <c r="AJ441">
        <v>0.6</v>
      </c>
      <c r="AK441">
        <v>3.37</v>
      </c>
      <c r="AL441">
        <v>2.93</v>
      </c>
      <c r="AM441">
        <v>0</v>
      </c>
      <c r="AN441">
        <v>0</v>
      </c>
      <c r="AO441">
        <v>358</v>
      </c>
      <c r="AP441">
        <v>3.26</v>
      </c>
      <c r="AQ441">
        <v>0.47</v>
      </c>
      <c r="AR441">
        <v>0.08</v>
      </c>
      <c r="AS441">
        <v>0.06</v>
      </c>
      <c r="AT441">
        <v>12.19</v>
      </c>
      <c r="AU441">
        <v>4.71</v>
      </c>
      <c r="AV441">
        <v>0.33</v>
      </c>
      <c r="AW441">
        <v>1.2</v>
      </c>
      <c r="AX441">
        <v>6.38</v>
      </c>
      <c r="AY441">
        <v>3.3</v>
      </c>
      <c r="AZ441">
        <v>100.901</v>
      </c>
      <c r="BA441">
        <v>0</v>
      </c>
      <c r="BB441">
        <v>0</v>
      </c>
      <c r="BC441">
        <v>0</v>
      </c>
      <c r="BD441">
        <v>0</v>
      </c>
    </row>
    <row r="442" spans="1:56" x14ac:dyDescent="0.25">
      <c r="A442" s="23">
        <v>46304</v>
      </c>
      <c r="B442">
        <v>441</v>
      </c>
      <c r="C442" t="s">
        <v>82</v>
      </c>
      <c r="D442" t="s">
        <v>92</v>
      </c>
      <c r="E442">
        <v>2</v>
      </c>
      <c r="F442">
        <v>180</v>
      </c>
      <c r="G442">
        <v>0</v>
      </c>
      <c r="H442" t="s">
        <v>84</v>
      </c>
      <c r="I442" t="s">
        <v>28</v>
      </c>
      <c r="J442" t="s">
        <v>70</v>
      </c>
      <c r="K442" t="s">
        <v>79</v>
      </c>
      <c r="L442" t="s">
        <v>71</v>
      </c>
      <c r="M442" t="s">
        <v>81</v>
      </c>
      <c r="O442" t="s">
        <v>88</v>
      </c>
      <c r="P442" t="s">
        <v>27</v>
      </c>
      <c r="Q442" t="s">
        <v>73</v>
      </c>
      <c r="R442" t="s">
        <v>76</v>
      </c>
      <c r="S442" t="s">
        <v>74</v>
      </c>
      <c r="T442" t="s">
        <v>75</v>
      </c>
      <c r="X442" t="s">
        <v>77</v>
      </c>
      <c r="Z442" t="s">
        <v>72</v>
      </c>
      <c r="AA442" t="s">
        <v>94</v>
      </c>
      <c r="AB442">
        <v>5</v>
      </c>
      <c r="AC442">
        <v>748708.61</v>
      </c>
      <c r="AD442">
        <v>8930454.8900000006</v>
      </c>
      <c r="AE442">
        <v>189.51</v>
      </c>
      <c r="AF442">
        <v>748708.61</v>
      </c>
      <c r="AG442">
        <v>8930454.8900000006</v>
      </c>
      <c r="AH442">
        <v>179.4</v>
      </c>
      <c r="AI442">
        <v>10.11</v>
      </c>
      <c r="AJ442">
        <v>0.6</v>
      </c>
      <c r="AK442">
        <v>3.37</v>
      </c>
      <c r="AL442">
        <v>2.93</v>
      </c>
      <c r="AM442">
        <v>0</v>
      </c>
      <c r="AN442">
        <v>0</v>
      </c>
      <c r="AO442">
        <v>358</v>
      </c>
      <c r="AP442">
        <v>3.04</v>
      </c>
      <c r="AQ442">
        <v>0.22</v>
      </c>
      <c r="AR442">
        <v>0.04</v>
      </c>
      <c r="AS442">
        <v>0.03</v>
      </c>
      <c r="AT442">
        <v>6.43</v>
      </c>
      <c r="AU442">
        <v>2.4700000000000002</v>
      </c>
      <c r="AV442">
        <v>0.17</v>
      </c>
      <c r="AW442">
        <v>0.57999999999999996</v>
      </c>
      <c r="AX442">
        <v>2.92</v>
      </c>
      <c r="AY442">
        <v>3.3</v>
      </c>
      <c r="AZ442">
        <v>99.153999999999996</v>
      </c>
      <c r="BA442">
        <v>0</v>
      </c>
      <c r="BB442">
        <v>0</v>
      </c>
      <c r="BC442">
        <v>0</v>
      </c>
      <c r="BD442">
        <v>0</v>
      </c>
    </row>
    <row r="443" spans="1:56" x14ac:dyDescent="0.25">
      <c r="A443" s="23">
        <v>46304</v>
      </c>
      <c r="B443">
        <v>442</v>
      </c>
      <c r="C443" t="s">
        <v>82</v>
      </c>
      <c r="D443" t="s">
        <v>92</v>
      </c>
      <c r="E443">
        <v>2</v>
      </c>
      <c r="F443">
        <v>180</v>
      </c>
      <c r="G443">
        <v>0</v>
      </c>
      <c r="H443" t="s">
        <v>84</v>
      </c>
      <c r="I443" t="s">
        <v>28</v>
      </c>
      <c r="J443" t="s">
        <v>70</v>
      </c>
      <c r="K443" t="s">
        <v>79</v>
      </c>
      <c r="L443" t="s">
        <v>71</v>
      </c>
      <c r="M443" t="s">
        <v>81</v>
      </c>
      <c r="O443" t="s">
        <v>88</v>
      </c>
      <c r="P443" t="s">
        <v>27</v>
      </c>
      <c r="Q443" t="s">
        <v>73</v>
      </c>
      <c r="R443" t="s">
        <v>76</v>
      </c>
      <c r="S443" t="s">
        <v>74</v>
      </c>
      <c r="T443" t="s">
        <v>75</v>
      </c>
      <c r="X443" t="s">
        <v>77</v>
      </c>
      <c r="Z443" t="s">
        <v>72</v>
      </c>
      <c r="AA443" t="s">
        <v>94</v>
      </c>
      <c r="AB443">
        <v>5</v>
      </c>
      <c r="AC443">
        <v>748707.37</v>
      </c>
      <c r="AD443">
        <v>8930451.5800000001</v>
      </c>
      <c r="AE443">
        <v>189.52</v>
      </c>
      <c r="AF443">
        <v>748707.37</v>
      </c>
      <c r="AG443">
        <v>8930451.5800000001</v>
      </c>
      <c r="AH443">
        <v>179.4</v>
      </c>
      <c r="AI443">
        <v>10.119999999999999</v>
      </c>
      <c r="AJ443">
        <v>0.6</v>
      </c>
      <c r="AK443">
        <v>3.37</v>
      </c>
      <c r="AL443">
        <v>2.93</v>
      </c>
      <c r="AM443">
        <v>0</v>
      </c>
      <c r="AN443">
        <v>0</v>
      </c>
      <c r="AO443">
        <v>358</v>
      </c>
      <c r="AP443">
        <v>2.97</v>
      </c>
      <c r="AQ443">
        <v>0.13</v>
      </c>
      <c r="AR443">
        <v>0.03</v>
      </c>
      <c r="AS443">
        <v>0.02</v>
      </c>
      <c r="AT443">
        <v>5.37</v>
      </c>
      <c r="AU443">
        <v>2.15</v>
      </c>
      <c r="AV443">
        <v>0.1</v>
      </c>
      <c r="AW443">
        <v>0.53</v>
      </c>
      <c r="AX443">
        <v>1.1100000000000001</v>
      </c>
      <c r="AY443">
        <v>3.3</v>
      </c>
      <c r="AZ443">
        <v>99.299000000000007</v>
      </c>
      <c r="BA443">
        <v>0</v>
      </c>
      <c r="BB443">
        <v>0</v>
      </c>
      <c r="BC443">
        <v>0</v>
      </c>
      <c r="BD443">
        <v>0</v>
      </c>
    </row>
    <row r="444" spans="1:56" x14ac:dyDescent="0.25">
      <c r="A444" s="23">
        <v>46304</v>
      </c>
      <c r="B444">
        <v>443</v>
      </c>
      <c r="C444" t="s">
        <v>82</v>
      </c>
      <c r="D444" t="s">
        <v>92</v>
      </c>
      <c r="E444">
        <v>0</v>
      </c>
      <c r="F444">
        <v>180</v>
      </c>
      <c r="G444">
        <v>0</v>
      </c>
      <c r="H444" t="s">
        <v>84</v>
      </c>
      <c r="J444" t="s">
        <v>70</v>
      </c>
      <c r="K444" t="s">
        <v>79</v>
      </c>
      <c r="L444" t="s">
        <v>71</v>
      </c>
      <c r="M444" t="s">
        <v>87</v>
      </c>
      <c r="O444" t="s">
        <v>88</v>
      </c>
      <c r="P444" t="s">
        <v>27</v>
      </c>
      <c r="Q444" t="s">
        <v>73</v>
      </c>
      <c r="R444" t="s">
        <v>76</v>
      </c>
      <c r="S444" t="s">
        <v>74</v>
      </c>
      <c r="T444" t="s">
        <v>75</v>
      </c>
      <c r="X444" t="s">
        <v>77</v>
      </c>
      <c r="Z444" t="s">
        <v>72</v>
      </c>
      <c r="AA444" t="s">
        <v>94</v>
      </c>
      <c r="AB444">
        <v>5</v>
      </c>
      <c r="AC444">
        <v>748705.92</v>
      </c>
      <c r="AD444">
        <v>8930448.4199999999</v>
      </c>
      <c r="AE444">
        <v>189.63</v>
      </c>
      <c r="AF444">
        <v>748705.92</v>
      </c>
      <c r="AG444">
        <v>8930448.4199999999</v>
      </c>
      <c r="AH444">
        <v>179.4</v>
      </c>
      <c r="AI444">
        <v>10.23</v>
      </c>
      <c r="AJ444">
        <v>0.6</v>
      </c>
      <c r="AK444">
        <v>3.37</v>
      </c>
      <c r="AL444">
        <v>2.93</v>
      </c>
      <c r="AM444">
        <v>0</v>
      </c>
      <c r="AN444">
        <v>0</v>
      </c>
      <c r="AO444">
        <v>358</v>
      </c>
      <c r="AP444">
        <v>2.95</v>
      </c>
      <c r="AQ444">
        <v>0.15</v>
      </c>
      <c r="AR444">
        <v>0.02</v>
      </c>
      <c r="AS444">
        <v>0.02</v>
      </c>
      <c r="AT444">
        <v>5.61</v>
      </c>
      <c r="AU444">
        <v>2.63</v>
      </c>
      <c r="AV444">
        <v>0.17</v>
      </c>
      <c r="AW444">
        <v>0.42</v>
      </c>
      <c r="AX444">
        <v>0.49</v>
      </c>
      <c r="AY444">
        <v>3.3</v>
      </c>
      <c r="AZ444">
        <v>100.901</v>
      </c>
      <c r="BA444">
        <v>0</v>
      </c>
      <c r="BB444">
        <v>0</v>
      </c>
      <c r="BC444">
        <v>0</v>
      </c>
      <c r="BD444">
        <v>0</v>
      </c>
    </row>
    <row r="445" spans="1:56" x14ac:dyDescent="0.25">
      <c r="A445" s="23">
        <v>46304</v>
      </c>
      <c r="B445">
        <v>444</v>
      </c>
      <c r="C445" t="s">
        <v>82</v>
      </c>
      <c r="D445" t="s">
        <v>92</v>
      </c>
      <c r="E445">
        <v>0</v>
      </c>
      <c r="F445">
        <v>180</v>
      </c>
      <c r="G445">
        <v>0</v>
      </c>
      <c r="H445" t="s">
        <v>84</v>
      </c>
      <c r="J445" t="s">
        <v>70</v>
      </c>
      <c r="K445" t="s">
        <v>79</v>
      </c>
      <c r="L445" t="s">
        <v>71</v>
      </c>
      <c r="M445" t="s">
        <v>87</v>
      </c>
      <c r="O445" t="s">
        <v>88</v>
      </c>
      <c r="P445" t="s">
        <v>27</v>
      </c>
      <c r="Q445" t="s">
        <v>73</v>
      </c>
      <c r="R445" t="s">
        <v>76</v>
      </c>
      <c r="S445" t="s">
        <v>74</v>
      </c>
      <c r="T445" t="s">
        <v>75</v>
      </c>
      <c r="X445" t="s">
        <v>77</v>
      </c>
      <c r="Z445" t="s">
        <v>72</v>
      </c>
      <c r="AA445" t="s">
        <v>94</v>
      </c>
      <c r="AB445">
        <v>5</v>
      </c>
      <c r="AC445">
        <v>748704.29</v>
      </c>
      <c r="AD445">
        <v>8930445.4199999999</v>
      </c>
      <c r="AE445">
        <v>189.71</v>
      </c>
      <c r="AF445">
        <v>748704.29</v>
      </c>
      <c r="AG445">
        <v>8930445.4199999999</v>
      </c>
      <c r="AH445">
        <v>179.4</v>
      </c>
      <c r="AI445">
        <v>10.31</v>
      </c>
      <c r="AJ445">
        <v>0.6</v>
      </c>
      <c r="AK445">
        <v>3.37</v>
      </c>
      <c r="AL445">
        <v>2.93</v>
      </c>
      <c r="AM445">
        <v>0</v>
      </c>
      <c r="AN445">
        <v>0</v>
      </c>
      <c r="AO445">
        <v>358</v>
      </c>
      <c r="AP445">
        <v>2.91</v>
      </c>
      <c r="AQ445">
        <v>0.1</v>
      </c>
      <c r="AR445">
        <v>0.02</v>
      </c>
      <c r="AS445">
        <v>0.01</v>
      </c>
      <c r="AT445">
        <v>5.0199999999999996</v>
      </c>
      <c r="AU445">
        <v>2.2999999999999998</v>
      </c>
      <c r="AV445">
        <v>0.15</v>
      </c>
      <c r="AW445">
        <v>0.27</v>
      </c>
      <c r="AX445">
        <v>0.08</v>
      </c>
      <c r="AY445">
        <v>3.3</v>
      </c>
      <c r="AZ445">
        <v>102.066</v>
      </c>
      <c r="BA445">
        <v>0</v>
      </c>
      <c r="BB445">
        <v>0</v>
      </c>
      <c r="BC445">
        <v>0</v>
      </c>
      <c r="BD445">
        <v>0</v>
      </c>
    </row>
    <row r="446" spans="1:56" x14ac:dyDescent="0.25">
      <c r="A446" s="23">
        <v>46304</v>
      </c>
      <c r="B446">
        <v>445</v>
      </c>
      <c r="C446" t="s">
        <v>82</v>
      </c>
      <c r="D446" t="s">
        <v>92</v>
      </c>
      <c r="E446">
        <v>0</v>
      </c>
      <c r="F446">
        <v>180</v>
      </c>
      <c r="G446">
        <v>1</v>
      </c>
      <c r="H446" t="s">
        <v>84</v>
      </c>
      <c r="J446" t="s">
        <v>70</v>
      </c>
      <c r="K446" t="s">
        <v>79</v>
      </c>
      <c r="L446" t="s">
        <v>71</v>
      </c>
      <c r="M446" t="s">
        <v>87</v>
      </c>
      <c r="O446" t="s">
        <v>88</v>
      </c>
      <c r="P446" t="s">
        <v>27</v>
      </c>
      <c r="Q446" t="s">
        <v>73</v>
      </c>
      <c r="R446" t="s">
        <v>76</v>
      </c>
      <c r="S446" t="s">
        <v>74</v>
      </c>
      <c r="T446" t="s">
        <v>75</v>
      </c>
      <c r="X446" t="s">
        <v>77</v>
      </c>
      <c r="Z446" t="s">
        <v>72</v>
      </c>
      <c r="AA446" t="s">
        <v>94</v>
      </c>
      <c r="AB446">
        <v>5</v>
      </c>
      <c r="AC446">
        <v>748702.51</v>
      </c>
      <c r="AD446">
        <v>8930442.5199999996</v>
      </c>
      <c r="AE446">
        <v>189.69</v>
      </c>
      <c r="AF446">
        <v>748702.51</v>
      </c>
      <c r="AG446">
        <v>8930442.5199999996</v>
      </c>
      <c r="AH446">
        <v>179.4</v>
      </c>
      <c r="AI446">
        <v>10.29</v>
      </c>
      <c r="AJ446">
        <v>0.6</v>
      </c>
      <c r="AK446">
        <v>3.37</v>
      </c>
      <c r="AL446">
        <v>2.93</v>
      </c>
      <c r="AM446">
        <v>0</v>
      </c>
      <c r="AN446">
        <v>0</v>
      </c>
      <c r="AO446">
        <v>358</v>
      </c>
      <c r="AP446">
        <v>2.87</v>
      </c>
      <c r="AQ446">
        <v>0.04</v>
      </c>
      <c r="AR446">
        <v>0.01</v>
      </c>
      <c r="AS446">
        <v>0</v>
      </c>
      <c r="AT446">
        <v>2.1800000000000002</v>
      </c>
      <c r="AU446">
        <v>0.97</v>
      </c>
      <c r="AV446">
        <v>0.06</v>
      </c>
      <c r="AW446">
        <v>0.11</v>
      </c>
      <c r="AX446">
        <v>0</v>
      </c>
      <c r="AY446">
        <v>3.3</v>
      </c>
      <c r="AZ446">
        <v>101.774</v>
      </c>
      <c r="BA446">
        <v>0</v>
      </c>
      <c r="BB446">
        <v>0</v>
      </c>
      <c r="BC446">
        <v>0</v>
      </c>
      <c r="BD446">
        <v>0</v>
      </c>
    </row>
    <row r="447" spans="1:56" x14ac:dyDescent="0.25">
      <c r="A447" s="23">
        <v>46304</v>
      </c>
      <c r="B447">
        <v>446</v>
      </c>
      <c r="C447" t="s">
        <v>82</v>
      </c>
      <c r="D447" t="s">
        <v>92</v>
      </c>
      <c r="E447">
        <v>0</v>
      </c>
      <c r="F447">
        <v>180</v>
      </c>
      <c r="G447">
        <v>0</v>
      </c>
      <c r="H447" t="s">
        <v>84</v>
      </c>
      <c r="J447" t="s">
        <v>70</v>
      </c>
      <c r="K447" t="s">
        <v>86</v>
      </c>
      <c r="L447" t="s">
        <v>71</v>
      </c>
      <c r="M447" t="s">
        <v>87</v>
      </c>
      <c r="O447" t="s">
        <v>88</v>
      </c>
      <c r="P447" t="s">
        <v>27</v>
      </c>
      <c r="Q447" t="s">
        <v>73</v>
      </c>
      <c r="R447" t="s">
        <v>76</v>
      </c>
      <c r="S447" t="s">
        <v>74</v>
      </c>
      <c r="T447" t="s">
        <v>75</v>
      </c>
      <c r="X447" t="s">
        <v>77</v>
      </c>
      <c r="Z447" t="s">
        <v>72</v>
      </c>
      <c r="AA447" t="s">
        <v>94</v>
      </c>
      <c r="AB447">
        <v>5</v>
      </c>
      <c r="AC447">
        <v>748700.73</v>
      </c>
      <c r="AD447">
        <v>8930439.6400000006</v>
      </c>
      <c r="AE447">
        <v>189.56</v>
      </c>
      <c r="AF447">
        <v>748700.73</v>
      </c>
      <c r="AG447">
        <v>8930439.6400000006</v>
      </c>
      <c r="AH447">
        <v>179.4</v>
      </c>
      <c r="AI447">
        <v>10.16</v>
      </c>
      <c r="AJ447">
        <v>0.6</v>
      </c>
      <c r="AK447">
        <v>3.37</v>
      </c>
      <c r="AL447">
        <v>2.93</v>
      </c>
      <c r="AM447">
        <v>0</v>
      </c>
      <c r="AN447">
        <v>0</v>
      </c>
      <c r="AO447">
        <v>358</v>
      </c>
      <c r="AP447">
        <v>2.84</v>
      </c>
      <c r="AQ447">
        <v>0</v>
      </c>
      <c r="AR447">
        <v>0</v>
      </c>
      <c r="AS447">
        <v>0</v>
      </c>
      <c r="AT447">
        <v>0.05</v>
      </c>
      <c r="AU447">
        <v>0.01</v>
      </c>
      <c r="AV447">
        <v>0</v>
      </c>
      <c r="AW447">
        <v>0</v>
      </c>
      <c r="AX447">
        <v>0</v>
      </c>
      <c r="AY447">
        <v>3.3</v>
      </c>
      <c r="AZ447">
        <v>99.882000000000005</v>
      </c>
      <c r="BA447">
        <v>0</v>
      </c>
      <c r="BB447">
        <v>0</v>
      </c>
      <c r="BC447">
        <v>0</v>
      </c>
      <c r="BD447">
        <v>0</v>
      </c>
    </row>
    <row r="448" spans="1:56" x14ac:dyDescent="0.25">
      <c r="A448" s="23">
        <v>46304</v>
      </c>
      <c r="B448">
        <v>447</v>
      </c>
      <c r="C448" t="s">
        <v>82</v>
      </c>
      <c r="D448" t="s">
        <v>92</v>
      </c>
      <c r="E448">
        <v>0</v>
      </c>
      <c r="F448">
        <v>180</v>
      </c>
      <c r="G448">
        <v>0</v>
      </c>
      <c r="H448" t="s">
        <v>84</v>
      </c>
      <c r="J448" t="s">
        <v>70</v>
      </c>
      <c r="K448" t="s">
        <v>86</v>
      </c>
      <c r="L448" t="s">
        <v>71</v>
      </c>
      <c r="M448" t="s">
        <v>87</v>
      </c>
      <c r="O448" t="s">
        <v>88</v>
      </c>
      <c r="P448" t="s">
        <v>27</v>
      </c>
      <c r="Q448" t="s">
        <v>73</v>
      </c>
      <c r="R448" t="s">
        <v>76</v>
      </c>
      <c r="S448" t="s">
        <v>74</v>
      </c>
      <c r="T448" t="s">
        <v>75</v>
      </c>
      <c r="X448" t="s">
        <v>77</v>
      </c>
      <c r="Z448" t="s">
        <v>72</v>
      </c>
      <c r="AA448" t="s">
        <v>94</v>
      </c>
      <c r="AB448">
        <v>5</v>
      </c>
      <c r="AC448">
        <v>748698.93</v>
      </c>
      <c r="AD448">
        <v>8930436.7699999996</v>
      </c>
      <c r="AE448">
        <v>189.44</v>
      </c>
      <c r="AF448">
        <v>748698.93</v>
      </c>
      <c r="AG448">
        <v>8930436.7699999996</v>
      </c>
      <c r="AH448">
        <v>179.4</v>
      </c>
      <c r="AI448">
        <v>10.039999999999999</v>
      </c>
      <c r="AJ448">
        <v>0.6</v>
      </c>
      <c r="AK448">
        <v>3.37</v>
      </c>
      <c r="AL448">
        <v>2.93</v>
      </c>
      <c r="AM448">
        <v>0</v>
      </c>
      <c r="AN448">
        <v>0</v>
      </c>
      <c r="AO448">
        <v>358</v>
      </c>
      <c r="AP448">
        <v>2.8</v>
      </c>
      <c r="AQ448">
        <v>0</v>
      </c>
      <c r="AR448">
        <v>0</v>
      </c>
      <c r="AS448">
        <v>0</v>
      </c>
      <c r="AT448">
        <v>0</v>
      </c>
      <c r="AU448">
        <v>0</v>
      </c>
      <c r="AV448">
        <v>0</v>
      </c>
      <c r="AW448">
        <v>0</v>
      </c>
      <c r="AX448">
        <v>0</v>
      </c>
      <c r="AY448">
        <v>3.3</v>
      </c>
      <c r="AZ448">
        <v>98.134</v>
      </c>
      <c r="BA448">
        <v>0</v>
      </c>
      <c r="BB448">
        <v>0</v>
      </c>
      <c r="BC448">
        <v>0</v>
      </c>
      <c r="BD448">
        <v>0</v>
      </c>
    </row>
    <row r="449" spans="1:56" x14ac:dyDescent="0.25">
      <c r="A449" s="23">
        <v>46304</v>
      </c>
      <c r="B449">
        <v>448</v>
      </c>
      <c r="C449" t="s">
        <v>82</v>
      </c>
      <c r="D449" t="s">
        <v>92</v>
      </c>
      <c r="E449">
        <v>2</v>
      </c>
      <c r="F449">
        <v>180</v>
      </c>
      <c r="G449">
        <v>0</v>
      </c>
      <c r="H449" t="s">
        <v>84</v>
      </c>
      <c r="I449" t="s">
        <v>78</v>
      </c>
      <c r="J449" t="s">
        <v>70</v>
      </c>
      <c r="K449" t="s">
        <v>86</v>
      </c>
      <c r="L449" t="s">
        <v>71</v>
      </c>
      <c r="M449" t="s">
        <v>87</v>
      </c>
      <c r="O449" t="s">
        <v>88</v>
      </c>
      <c r="P449" t="s">
        <v>27</v>
      </c>
      <c r="Q449" t="s">
        <v>73</v>
      </c>
      <c r="R449" t="s">
        <v>76</v>
      </c>
      <c r="S449" t="s">
        <v>74</v>
      </c>
      <c r="T449" t="s">
        <v>75</v>
      </c>
      <c r="X449" t="s">
        <v>77</v>
      </c>
      <c r="Z449" t="s">
        <v>72</v>
      </c>
      <c r="AA449" t="s">
        <v>94</v>
      </c>
      <c r="AB449">
        <v>5</v>
      </c>
      <c r="AC449">
        <v>748697.08</v>
      </c>
      <c r="AD449">
        <v>8930433.9299999997</v>
      </c>
      <c r="AE449">
        <v>189.29</v>
      </c>
      <c r="AF449">
        <v>748697.08</v>
      </c>
      <c r="AG449">
        <v>8930433.9299999997</v>
      </c>
      <c r="AH449">
        <v>179.4</v>
      </c>
      <c r="AI449">
        <v>9.89</v>
      </c>
      <c r="AJ449">
        <v>0.6</v>
      </c>
      <c r="AK449">
        <v>3.37</v>
      </c>
      <c r="AL449">
        <v>2.93</v>
      </c>
      <c r="AM449">
        <v>0</v>
      </c>
      <c r="AN449">
        <v>0</v>
      </c>
      <c r="AO449">
        <v>358</v>
      </c>
      <c r="AP449">
        <v>2.79</v>
      </c>
      <c r="AQ449">
        <v>0</v>
      </c>
      <c r="AR449">
        <v>0</v>
      </c>
      <c r="AS449">
        <v>0</v>
      </c>
      <c r="AT449">
        <v>0</v>
      </c>
      <c r="AU449">
        <v>0</v>
      </c>
      <c r="AV449">
        <v>0</v>
      </c>
      <c r="AW449">
        <v>0</v>
      </c>
      <c r="AX449">
        <v>0</v>
      </c>
      <c r="AY449">
        <v>3.3</v>
      </c>
      <c r="AZ449">
        <v>95.95</v>
      </c>
      <c r="BA449">
        <v>0</v>
      </c>
      <c r="BB449">
        <v>0</v>
      </c>
      <c r="BC449">
        <v>0</v>
      </c>
      <c r="BD449">
        <v>0</v>
      </c>
    </row>
    <row r="450" spans="1:56" x14ac:dyDescent="0.25">
      <c r="A450" s="23">
        <v>46304</v>
      </c>
      <c r="B450">
        <v>449</v>
      </c>
      <c r="C450" t="s">
        <v>82</v>
      </c>
      <c r="D450" t="s">
        <v>92</v>
      </c>
      <c r="E450">
        <v>2</v>
      </c>
      <c r="F450">
        <v>180</v>
      </c>
      <c r="G450">
        <v>0</v>
      </c>
      <c r="H450" t="s">
        <v>84</v>
      </c>
      <c r="I450" t="s">
        <v>78</v>
      </c>
      <c r="J450" t="s">
        <v>70</v>
      </c>
      <c r="K450" t="s">
        <v>86</v>
      </c>
      <c r="L450" t="s">
        <v>71</v>
      </c>
      <c r="M450" t="s">
        <v>87</v>
      </c>
      <c r="O450" t="s">
        <v>88</v>
      </c>
      <c r="P450" t="s">
        <v>27</v>
      </c>
      <c r="Q450" t="s">
        <v>73</v>
      </c>
      <c r="R450" t="s">
        <v>76</v>
      </c>
      <c r="S450" t="s">
        <v>74</v>
      </c>
      <c r="T450" t="s">
        <v>75</v>
      </c>
      <c r="X450" t="s">
        <v>77</v>
      </c>
      <c r="Z450" t="s">
        <v>72</v>
      </c>
      <c r="AA450" t="s">
        <v>94</v>
      </c>
      <c r="AB450">
        <v>5</v>
      </c>
      <c r="AC450">
        <v>748695.15</v>
      </c>
      <c r="AD450">
        <v>8930431.1600000001</v>
      </c>
      <c r="AE450">
        <v>189.11</v>
      </c>
      <c r="AF450">
        <v>748695.15</v>
      </c>
      <c r="AG450">
        <v>8930431.1600000001</v>
      </c>
      <c r="AH450">
        <v>179.4</v>
      </c>
      <c r="AI450">
        <v>9.7100000000000009</v>
      </c>
      <c r="AJ450">
        <v>0.6</v>
      </c>
      <c r="AK450">
        <v>3.37</v>
      </c>
      <c r="AL450">
        <v>2.93</v>
      </c>
      <c r="AM450">
        <v>0</v>
      </c>
      <c r="AN450">
        <v>0</v>
      </c>
      <c r="AO450">
        <v>358</v>
      </c>
      <c r="AP450">
        <v>2.79</v>
      </c>
      <c r="AQ450">
        <v>0</v>
      </c>
      <c r="AR450">
        <v>0</v>
      </c>
      <c r="AS450">
        <v>0</v>
      </c>
      <c r="AT450">
        <v>0</v>
      </c>
      <c r="AU450">
        <v>0</v>
      </c>
      <c r="AV450">
        <v>0</v>
      </c>
      <c r="AW450">
        <v>0</v>
      </c>
      <c r="AX450">
        <v>0</v>
      </c>
      <c r="AY450">
        <v>3.3</v>
      </c>
      <c r="AZ450">
        <v>93.33</v>
      </c>
      <c r="BA450">
        <v>0</v>
      </c>
      <c r="BB450">
        <v>0</v>
      </c>
      <c r="BC450">
        <v>0</v>
      </c>
      <c r="BD450">
        <v>0</v>
      </c>
    </row>
    <row r="451" spans="1:56" x14ac:dyDescent="0.25">
      <c r="A451" s="23">
        <v>46304</v>
      </c>
      <c r="B451">
        <v>450</v>
      </c>
      <c r="C451" t="s">
        <v>82</v>
      </c>
      <c r="D451" t="s">
        <v>92</v>
      </c>
      <c r="E451">
        <v>2</v>
      </c>
      <c r="F451">
        <v>180</v>
      </c>
      <c r="G451">
        <v>0</v>
      </c>
      <c r="H451" t="s">
        <v>84</v>
      </c>
      <c r="I451" t="s">
        <v>78</v>
      </c>
      <c r="J451" t="s">
        <v>70</v>
      </c>
      <c r="K451" t="s">
        <v>86</v>
      </c>
      <c r="L451" t="s">
        <v>71</v>
      </c>
      <c r="M451" t="s">
        <v>87</v>
      </c>
      <c r="O451" t="s">
        <v>88</v>
      </c>
      <c r="P451" t="s">
        <v>27</v>
      </c>
      <c r="Q451" t="s">
        <v>73</v>
      </c>
      <c r="R451" t="s">
        <v>76</v>
      </c>
      <c r="S451" t="s">
        <v>74</v>
      </c>
      <c r="T451" t="s">
        <v>75</v>
      </c>
      <c r="X451" t="s">
        <v>77</v>
      </c>
      <c r="Z451" t="s">
        <v>72</v>
      </c>
      <c r="AA451" t="s">
        <v>94</v>
      </c>
      <c r="AB451">
        <v>5</v>
      </c>
      <c r="AC451">
        <v>748693.09</v>
      </c>
      <c r="AD451">
        <v>8930428.4900000002</v>
      </c>
      <c r="AE451">
        <v>188.95</v>
      </c>
      <c r="AF451">
        <v>748693.09</v>
      </c>
      <c r="AG451">
        <v>8930428.4900000002</v>
      </c>
      <c r="AH451">
        <v>179.4</v>
      </c>
      <c r="AI451">
        <v>9.5500000000000007</v>
      </c>
      <c r="AJ451">
        <v>0.6</v>
      </c>
      <c r="AK451">
        <v>3.37</v>
      </c>
      <c r="AL451">
        <v>2.93</v>
      </c>
      <c r="AM451">
        <v>0</v>
      </c>
      <c r="AN451">
        <v>0</v>
      </c>
      <c r="AO451">
        <v>358</v>
      </c>
      <c r="AP451">
        <v>2.8</v>
      </c>
      <c r="AQ451">
        <v>0</v>
      </c>
      <c r="AR451">
        <v>0</v>
      </c>
      <c r="AS451">
        <v>0</v>
      </c>
      <c r="AT451">
        <v>0</v>
      </c>
      <c r="AU451">
        <v>0</v>
      </c>
      <c r="AV451">
        <v>0</v>
      </c>
      <c r="AW451">
        <v>0</v>
      </c>
      <c r="AX451">
        <v>0</v>
      </c>
      <c r="AY451">
        <v>3.3</v>
      </c>
      <c r="AZ451">
        <v>91</v>
      </c>
      <c r="BA451">
        <v>0</v>
      </c>
      <c r="BB451">
        <v>0</v>
      </c>
      <c r="BC451">
        <v>0</v>
      </c>
      <c r="BD451">
        <v>0</v>
      </c>
    </row>
    <row r="452" spans="1:56" x14ac:dyDescent="0.25">
      <c r="A452" s="23">
        <v>46304</v>
      </c>
      <c r="B452">
        <v>451</v>
      </c>
      <c r="C452" t="s">
        <v>82</v>
      </c>
      <c r="D452" t="s">
        <v>92</v>
      </c>
      <c r="E452">
        <v>2</v>
      </c>
      <c r="F452">
        <v>180</v>
      </c>
      <c r="G452">
        <v>0</v>
      </c>
      <c r="H452" t="s">
        <v>84</v>
      </c>
      <c r="I452" t="s">
        <v>78</v>
      </c>
      <c r="J452" t="s">
        <v>70</v>
      </c>
      <c r="K452" t="s">
        <v>86</v>
      </c>
      <c r="L452" t="s">
        <v>71</v>
      </c>
      <c r="M452" t="s">
        <v>87</v>
      </c>
      <c r="O452" t="s">
        <v>88</v>
      </c>
      <c r="P452" t="s">
        <v>27</v>
      </c>
      <c r="Q452" t="s">
        <v>73</v>
      </c>
      <c r="R452" t="s">
        <v>76</v>
      </c>
      <c r="S452" t="s">
        <v>74</v>
      </c>
      <c r="T452" t="s">
        <v>75</v>
      </c>
      <c r="X452" t="s">
        <v>77</v>
      </c>
      <c r="Z452" t="s">
        <v>72</v>
      </c>
      <c r="AA452" t="s">
        <v>94</v>
      </c>
      <c r="AB452">
        <v>5</v>
      </c>
      <c r="AC452">
        <v>748690.86</v>
      </c>
      <c r="AD452">
        <v>8930425.9600000009</v>
      </c>
      <c r="AE452">
        <v>188.9</v>
      </c>
      <c r="AF452">
        <v>748690.86</v>
      </c>
      <c r="AG452">
        <v>8930425.9600000009</v>
      </c>
      <c r="AH452">
        <v>179.4</v>
      </c>
      <c r="AI452">
        <v>9.5</v>
      </c>
      <c r="AJ452">
        <v>0.6</v>
      </c>
      <c r="AK452">
        <v>3.37</v>
      </c>
      <c r="AL452">
        <v>2.93</v>
      </c>
      <c r="AM452">
        <v>0</v>
      </c>
      <c r="AN452">
        <v>0</v>
      </c>
      <c r="AO452">
        <v>358</v>
      </c>
      <c r="AP452">
        <v>2.8</v>
      </c>
      <c r="AQ452">
        <v>0</v>
      </c>
      <c r="AR452">
        <v>0</v>
      </c>
      <c r="AS452">
        <v>0</v>
      </c>
      <c r="AT452">
        <v>0</v>
      </c>
      <c r="AU452">
        <v>0</v>
      </c>
      <c r="AV452">
        <v>0</v>
      </c>
      <c r="AW452">
        <v>0</v>
      </c>
      <c r="AX452">
        <v>0</v>
      </c>
      <c r="AY452">
        <v>3.3</v>
      </c>
      <c r="AZ452">
        <v>90.272000000000006</v>
      </c>
      <c r="BA452">
        <v>0</v>
      </c>
      <c r="BB452">
        <v>0</v>
      </c>
      <c r="BC452">
        <v>0</v>
      </c>
      <c r="BD452">
        <v>0</v>
      </c>
    </row>
    <row r="453" spans="1:56" x14ac:dyDescent="0.25">
      <c r="A453" s="23">
        <v>46304</v>
      </c>
      <c r="B453">
        <v>452</v>
      </c>
      <c r="C453" t="s">
        <v>82</v>
      </c>
      <c r="D453" t="s">
        <v>92</v>
      </c>
      <c r="E453">
        <v>2</v>
      </c>
      <c r="F453">
        <v>180</v>
      </c>
      <c r="G453">
        <v>0</v>
      </c>
      <c r="H453" t="s">
        <v>84</v>
      </c>
      <c r="I453" t="s">
        <v>78</v>
      </c>
      <c r="J453" t="s">
        <v>70</v>
      </c>
      <c r="K453" t="s">
        <v>86</v>
      </c>
      <c r="L453" t="s">
        <v>71</v>
      </c>
      <c r="M453" t="s">
        <v>87</v>
      </c>
      <c r="O453" t="s">
        <v>88</v>
      </c>
      <c r="P453" t="s">
        <v>27</v>
      </c>
      <c r="Q453" t="s">
        <v>73</v>
      </c>
      <c r="R453" t="s">
        <v>76</v>
      </c>
      <c r="S453" t="s">
        <v>74</v>
      </c>
      <c r="T453" t="s">
        <v>75</v>
      </c>
      <c r="X453" t="s">
        <v>77</v>
      </c>
      <c r="Z453" t="s">
        <v>72</v>
      </c>
      <c r="AA453" t="s">
        <v>94</v>
      </c>
      <c r="AB453">
        <v>5</v>
      </c>
      <c r="AC453">
        <v>748688.39</v>
      </c>
      <c r="AD453">
        <v>8930423.6199999992</v>
      </c>
      <c r="AE453">
        <v>188.91</v>
      </c>
      <c r="AF453">
        <v>748688.39</v>
      </c>
      <c r="AG453">
        <v>8930423.6199999992</v>
      </c>
      <c r="AH453">
        <v>179.4</v>
      </c>
      <c r="AI453">
        <v>9.51</v>
      </c>
      <c r="AJ453">
        <v>0.6</v>
      </c>
      <c r="AK453">
        <v>3.37</v>
      </c>
      <c r="AL453">
        <v>2.93</v>
      </c>
      <c r="AM453">
        <v>0</v>
      </c>
      <c r="AN453">
        <v>0</v>
      </c>
      <c r="AO453">
        <v>358</v>
      </c>
      <c r="AP453">
        <v>2.78</v>
      </c>
      <c r="AQ453">
        <v>0</v>
      </c>
      <c r="AR453">
        <v>0</v>
      </c>
      <c r="AS453">
        <v>0</v>
      </c>
      <c r="AT453">
        <v>0</v>
      </c>
      <c r="AU453">
        <v>0</v>
      </c>
      <c r="AV453">
        <v>0</v>
      </c>
      <c r="AW453">
        <v>0</v>
      </c>
      <c r="AX453">
        <v>0</v>
      </c>
      <c r="AY453">
        <v>3.3</v>
      </c>
      <c r="AZ453">
        <v>90.418000000000006</v>
      </c>
      <c r="BA453">
        <v>0</v>
      </c>
      <c r="BB453">
        <v>0</v>
      </c>
      <c r="BC453">
        <v>0</v>
      </c>
      <c r="BD453">
        <v>0</v>
      </c>
    </row>
    <row r="454" spans="1:56" x14ac:dyDescent="0.25">
      <c r="A454" s="23">
        <v>46304</v>
      </c>
      <c r="B454">
        <v>453</v>
      </c>
      <c r="C454" t="s">
        <v>82</v>
      </c>
      <c r="D454" t="s">
        <v>92</v>
      </c>
      <c r="E454">
        <v>2</v>
      </c>
      <c r="F454">
        <v>180</v>
      </c>
      <c r="G454">
        <v>0</v>
      </c>
      <c r="H454" t="s">
        <v>84</v>
      </c>
      <c r="I454" t="s">
        <v>78</v>
      </c>
      <c r="J454" t="s">
        <v>70</v>
      </c>
      <c r="K454" t="s">
        <v>86</v>
      </c>
      <c r="L454" t="s">
        <v>71</v>
      </c>
      <c r="M454" t="s">
        <v>87</v>
      </c>
      <c r="O454" t="s">
        <v>88</v>
      </c>
      <c r="P454" t="s">
        <v>27</v>
      </c>
      <c r="Q454" t="s">
        <v>73</v>
      </c>
      <c r="R454" t="s">
        <v>76</v>
      </c>
      <c r="S454" t="s">
        <v>74</v>
      </c>
      <c r="T454" t="s">
        <v>75</v>
      </c>
      <c r="X454" t="s">
        <v>77</v>
      </c>
      <c r="Z454" t="s">
        <v>72</v>
      </c>
      <c r="AA454" t="s">
        <v>94</v>
      </c>
      <c r="AB454">
        <v>5</v>
      </c>
      <c r="AC454">
        <v>748685.63</v>
      </c>
      <c r="AD454">
        <v>8930421.5</v>
      </c>
      <c r="AE454">
        <v>188.97</v>
      </c>
      <c r="AF454">
        <v>748685.63</v>
      </c>
      <c r="AG454">
        <v>8930421.5</v>
      </c>
      <c r="AH454">
        <v>179.4</v>
      </c>
      <c r="AI454">
        <v>9.57</v>
      </c>
      <c r="AJ454">
        <v>0.6</v>
      </c>
      <c r="AK454">
        <v>3.37</v>
      </c>
      <c r="AL454">
        <v>2.93</v>
      </c>
      <c r="AM454">
        <v>0</v>
      </c>
      <c r="AN454">
        <v>0</v>
      </c>
      <c r="AO454">
        <v>358</v>
      </c>
      <c r="AP454">
        <v>2.79</v>
      </c>
      <c r="AQ454">
        <v>0</v>
      </c>
      <c r="AR454">
        <v>0</v>
      </c>
      <c r="AS454">
        <v>0</v>
      </c>
      <c r="AT454">
        <v>0</v>
      </c>
      <c r="AU454">
        <v>0</v>
      </c>
      <c r="AV454">
        <v>0</v>
      </c>
      <c r="AW454">
        <v>0</v>
      </c>
      <c r="AX454">
        <v>0</v>
      </c>
      <c r="AY454">
        <v>3.3</v>
      </c>
      <c r="AZ454">
        <v>91.290999999999997</v>
      </c>
      <c r="BA454">
        <v>0</v>
      </c>
      <c r="BB454">
        <v>0</v>
      </c>
      <c r="BC454">
        <v>0</v>
      </c>
      <c r="BD454">
        <v>0</v>
      </c>
    </row>
    <row r="455" spans="1:56" x14ac:dyDescent="0.25">
      <c r="A455" s="23">
        <v>46304</v>
      </c>
      <c r="B455">
        <v>454</v>
      </c>
      <c r="C455" t="s">
        <v>82</v>
      </c>
      <c r="D455" t="s">
        <v>92</v>
      </c>
      <c r="E455">
        <v>2</v>
      </c>
      <c r="F455">
        <v>180</v>
      </c>
      <c r="G455">
        <v>0</v>
      </c>
      <c r="H455" t="s">
        <v>84</v>
      </c>
      <c r="I455" t="s">
        <v>78</v>
      </c>
      <c r="J455" t="s">
        <v>70</v>
      </c>
      <c r="K455" t="s">
        <v>86</v>
      </c>
      <c r="L455" t="s">
        <v>71</v>
      </c>
      <c r="M455" t="s">
        <v>87</v>
      </c>
      <c r="O455" t="s">
        <v>88</v>
      </c>
      <c r="P455" t="s">
        <v>27</v>
      </c>
      <c r="Q455" t="s">
        <v>73</v>
      </c>
      <c r="R455" t="s">
        <v>76</v>
      </c>
      <c r="S455" t="s">
        <v>74</v>
      </c>
      <c r="T455" t="s">
        <v>75</v>
      </c>
      <c r="X455" t="s">
        <v>77</v>
      </c>
      <c r="Z455" t="s">
        <v>72</v>
      </c>
      <c r="AA455" t="s">
        <v>94</v>
      </c>
      <c r="AB455">
        <v>5</v>
      </c>
      <c r="AC455">
        <v>748682.54</v>
      </c>
      <c r="AD455">
        <v>8930419.6500000004</v>
      </c>
      <c r="AE455">
        <v>188.97</v>
      </c>
      <c r="AF455">
        <v>748682.54</v>
      </c>
      <c r="AG455">
        <v>8930419.6500000004</v>
      </c>
      <c r="AH455">
        <v>179.4</v>
      </c>
      <c r="AI455">
        <v>9.57</v>
      </c>
      <c r="AJ455">
        <v>0.6</v>
      </c>
      <c r="AK455">
        <v>3.37</v>
      </c>
      <c r="AL455">
        <v>2.93</v>
      </c>
      <c r="AM455">
        <v>0</v>
      </c>
      <c r="AN455">
        <v>0</v>
      </c>
      <c r="AO455">
        <v>358</v>
      </c>
      <c r="AP455">
        <v>2.8</v>
      </c>
      <c r="AQ455">
        <v>0</v>
      </c>
      <c r="AR455">
        <v>0</v>
      </c>
      <c r="AS455">
        <v>0</v>
      </c>
      <c r="AT455">
        <v>0</v>
      </c>
      <c r="AU455">
        <v>0</v>
      </c>
      <c r="AV455">
        <v>0</v>
      </c>
      <c r="AW455">
        <v>0</v>
      </c>
      <c r="AX455">
        <v>0</v>
      </c>
      <c r="AY455">
        <v>3.3</v>
      </c>
      <c r="AZ455">
        <v>91.290999999999997</v>
      </c>
      <c r="BA455">
        <v>0</v>
      </c>
      <c r="BB455">
        <v>0</v>
      </c>
      <c r="BC455">
        <v>0</v>
      </c>
      <c r="BD455">
        <v>0</v>
      </c>
    </row>
    <row r="456" spans="1:56" x14ac:dyDescent="0.25">
      <c r="A456" s="23">
        <v>46304</v>
      </c>
      <c r="B456">
        <v>455</v>
      </c>
      <c r="C456" t="s">
        <v>82</v>
      </c>
      <c r="D456" t="s">
        <v>92</v>
      </c>
      <c r="E456">
        <v>2</v>
      </c>
      <c r="F456">
        <v>180</v>
      </c>
      <c r="G456">
        <v>0</v>
      </c>
      <c r="H456" t="s">
        <v>84</v>
      </c>
      <c r="I456" t="s">
        <v>78</v>
      </c>
      <c r="J456" t="s">
        <v>70</v>
      </c>
      <c r="K456" t="s">
        <v>86</v>
      </c>
      <c r="L456" t="s">
        <v>71</v>
      </c>
      <c r="M456" t="s">
        <v>87</v>
      </c>
      <c r="O456" t="s">
        <v>88</v>
      </c>
      <c r="P456" t="s">
        <v>27</v>
      </c>
      <c r="Q456" t="s">
        <v>73</v>
      </c>
      <c r="R456" t="s">
        <v>76</v>
      </c>
      <c r="S456" t="s">
        <v>74</v>
      </c>
      <c r="T456" t="s">
        <v>75</v>
      </c>
      <c r="X456" t="s">
        <v>77</v>
      </c>
      <c r="Z456" t="s">
        <v>72</v>
      </c>
      <c r="AA456" t="s">
        <v>94</v>
      </c>
      <c r="AB456">
        <v>5</v>
      </c>
      <c r="AC456">
        <v>748678.73</v>
      </c>
      <c r="AD456">
        <v>8930417.9499999993</v>
      </c>
      <c r="AE456">
        <v>189.38</v>
      </c>
      <c r="AF456">
        <v>748678.73</v>
      </c>
      <c r="AG456">
        <v>8930417.9499999993</v>
      </c>
      <c r="AH456">
        <v>179.4</v>
      </c>
      <c r="AI456">
        <v>9.98</v>
      </c>
      <c r="AJ456">
        <v>0.6</v>
      </c>
      <c r="AK456">
        <v>3.37</v>
      </c>
      <c r="AL456">
        <v>2.93</v>
      </c>
      <c r="AM456">
        <v>0</v>
      </c>
      <c r="AN456">
        <v>0</v>
      </c>
      <c r="AO456">
        <v>358</v>
      </c>
      <c r="AP456">
        <v>2.8</v>
      </c>
      <c r="AQ456">
        <v>0</v>
      </c>
      <c r="AR456">
        <v>0</v>
      </c>
      <c r="AS456">
        <v>0</v>
      </c>
      <c r="AT456">
        <v>0</v>
      </c>
      <c r="AU456">
        <v>0</v>
      </c>
      <c r="AV456">
        <v>0</v>
      </c>
      <c r="AW456">
        <v>0</v>
      </c>
      <c r="AX456">
        <v>0</v>
      </c>
      <c r="AY456">
        <v>3.3</v>
      </c>
      <c r="AZ456">
        <v>97.260999999999996</v>
      </c>
      <c r="BA456">
        <v>0</v>
      </c>
      <c r="BB456">
        <v>0</v>
      </c>
      <c r="BC456">
        <v>0</v>
      </c>
      <c r="BD456">
        <v>0</v>
      </c>
    </row>
    <row r="457" spans="1:56" x14ac:dyDescent="0.25">
      <c r="A457" s="23">
        <v>46304</v>
      </c>
      <c r="B457">
        <v>456</v>
      </c>
      <c r="C457" t="s">
        <v>82</v>
      </c>
      <c r="D457" t="s">
        <v>92</v>
      </c>
      <c r="E457">
        <v>2</v>
      </c>
      <c r="F457">
        <v>180</v>
      </c>
      <c r="G457">
        <v>0</v>
      </c>
      <c r="H457" t="s">
        <v>84</v>
      </c>
      <c r="I457" t="s">
        <v>78</v>
      </c>
      <c r="J457" t="s">
        <v>70</v>
      </c>
      <c r="K457" t="s">
        <v>86</v>
      </c>
      <c r="L457" t="s">
        <v>71</v>
      </c>
      <c r="M457" t="s">
        <v>87</v>
      </c>
      <c r="O457" t="s">
        <v>88</v>
      </c>
      <c r="P457" t="s">
        <v>27</v>
      </c>
      <c r="Q457" t="s">
        <v>73</v>
      </c>
      <c r="R457" t="s">
        <v>76</v>
      </c>
      <c r="S457" t="s">
        <v>74</v>
      </c>
      <c r="T457" t="s">
        <v>75</v>
      </c>
      <c r="X457" t="s">
        <v>77</v>
      </c>
      <c r="Z457" t="s">
        <v>72</v>
      </c>
      <c r="AA457" t="s">
        <v>94</v>
      </c>
      <c r="AB457">
        <v>5</v>
      </c>
      <c r="AC457">
        <v>748682.72</v>
      </c>
      <c r="AD457">
        <v>8930416.5800000001</v>
      </c>
      <c r="AE457">
        <v>188.88</v>
      </c>
      <c r="AF457">
        <v>748682.72</v>
      </c>
      <c r="AG457">
        <v>8930416.5800000001</v>
      </c>
      <c r="AH457">
        <v>179.87</v>
      </c>
      <c r="AI457">
        <v>9.01</v>
      </c>
      <c r="AJ457">
        <v>0.6</v>
      </c>
      <c r="AK457">
        <v>3.37</v>
      </c>
      <c r="AL457">
        <v>2.93</v>
      </c>
      <c r="AM457">
        <v>0</v>
      </c>
      <c r="AN457">
        <v>0</v>
      </c>
      <c r="AO457">
        <v>358</v>
      </c>
      <c r="AP457">
        <v>2.81</v>
      </c>
      <c r="AQ457">
        <v>0</v>
      </c>
      <c r="AR457">
        <v>0</v>
      </c>
      <c r="AS457">
        <v>0</v>
      </c>
      <c r="AT457">
        <v>0</v>
      </c>
      <c r="AU457">
        <v>0</v>
      </c>
      <c r="AV457">
        <v>0</v>
      </c>
      <c r="AW457">
        <v>0</v>
      </c>
      <c r="AX457">
        <v>0</v>
      </c>
      <c r="AY457">
        <v>3.3</v>
      </c>
      <c r="AZ457">
        <v>83.138000000000005</v>
      </c>
      <c r="BA457">
        <v>0</v>
      </c>
      <c r="BB457">
        <v>0</v>
      </c>
      <c r="BC457">
        <v>0</v>
      </c>
      <c r="BD457">
        <v>0</v>
      </c>
    </row>
    <row r="458" spans="1:56" x14ac:dyDescent="0.25">
      <c r="A458" s="23">
        <v>46304</v>
      </c>
      <c r="B458">
        <v>457</v>
      </c>
      <c r="C458" t="s">
        <v>82</v>
      </c>
      <c r="D458" t="s">
        <v>92</v>
      </c>
      <c r="E458">
        <v>2</v>
      </c>
      <c r="F458">
        <v>180</v>
      </c>
      <c r="G458">
        <v>0</v>
      </c>
      <c r="H458" t="s">
        <v>84</v>
      </c>
      <c r="I458" t="s">
        <v>78</v>
      </c>
      <c r="J458" t="s">
        <v>70</v>
      </c>
      <c r="K458" t="s">
        <v>86</v>
      </c>
      <c r="L458" t="s">
        <v>71</v>
      </c>
      <c r="M458" t="s">
        <v>87</v>
      </c>
      <c r="O458" t="s">
        <v>88</v>
      </c>
      <c r="P458" t="s">
        <v>27</v>
      </c>
      <c r="Q458" t="s">
        <v>73</v>
      </c>
      <c r="R458" t="s">
        <v>76</v>
      </c>
      <c r="S458" t="s">
        <v>74</v>
      </c>
      <c r="T458" t="s">
        <v>75</v>
      </c>
      <c r="X458" t="s">
        <v>77</v>
      </c>
      <c r="Z458" t="s">
        <v>72</v>
      </c>
      <c r="AA458" t="s">
        <v>94</v>
      </c>
      <c r="AB458">
        <v>5</v>
      </c>
      <c r="AC458">
        <v>748685.69</v>
      </c>
      <c r="AD458">
        <v>8930418.1500000004</v>
      </c>
      <c r="AE458">
        <v>188.87</v>
      </c>
      <c r="AF458">
        <v>748685.69</v>
      </c>
      <c r="AG458">
        <v>8930418.1500000004</v>
      </c>
      <c r="AH458">
        <v>179.88</v>
      </c>
      <c r="AI458">
        <v>8.99</v>
      </c>
      <c r="AJ458">
        <v>0.6</v>
      </c>
      <c r="AK458">
        <v>3.37</v>
      </c>
      <c r="AL458">
        <v>2.93</v>
      </c>
      <c r="AM458">
        <v>0</v>
      </c>
      <c r="AN458">
        <v>0</v>
      </c>
      <c r="AO458">
        <v>358</v>
      </c>
      <c r="AP458">
        <v>2.8</v>
      </c>
      <c r="AQ458">
        <v>0</v>
      </c>
      <c r="AR458">
        <v>0</v>
      </c>
      <c r="AS458">
        <v>0</v>
      </c>
      <c r="AT458">
        <v>0</v>
      </c>
      <c r="AU458">
        <v>0</v>
      </c>
      <c r="AV458">
        <v>0</v>
      </c>
      <c r="AW458">
        <v>0</v>
      </c>
      <c r="AX458">
        <v>0</v>
      </c>
      <c r="AY458">
        <v>3.3</v>
      </c>
      <c r="AZ458">
        <v>82.846000000000004</v>
      </c>
      <c r="BA458">
        <v>0</v>
      </c>
      <c r="BB458">
        <v>0</v>
      </c>
      <c r="BC458">
        <v>0</v>
      </c>
      <c r="BD458">
        <v>0</v>
      </c>
    </row>
    <row r="459" spans="1:56" x14ac:dyDescent="0.25">
      <c r="A459" s="23">
        <v>46304</v>
      </c>
      <c r="B459">
        <v>458</v>
      </c>
      <c r="C459" t="s">
        <v>82</v>
      </c>
      <c r="D459" t="s">
        <v>92</v>
      </c>
      <c r="E459">
        <v>2</v>
      </c>
      <c r="F459">
        <v>180</v>
      </c>
      <c r="G459">
        <v>0</v>
      </c>
      <c r="H459" t="s">
        <v>84</v>
      </c>
      <c r="I459" t="s">
        <v>78</v>
      </c>
      <c r="J459" t="s">
        <v>70</v>
      </c>
      <c r="K459" t="s">
        <v>86</v>
      </c>
      <c r="L459" t="s">
        <v>71</v>
      </c>
      <c r="M459" t="s">
        <v>87</v>
      </c>
      <c r="O459" t="s">
        <v>88</v>
      </c>
      <c r="P459" t="s">
        <v>27</v>
      </c>
      <c r="Q459" t="s">
        <v>73</v>
      </c>
      <c r="R459" t="s">
        <v>76</v>
      </c>
      <c r="S459" t="s">
        <v>74</v>
      </c>
      <c r="T459" t="s">
        <v>75</v>
      </c>
      <c r="X459" t="s">
        <v>77</v>
      </c>
      <c r="Z459" t="s">
        <v>72</v>
      </c>
      <c r="AA459" t="s">
        <v>94</v>
      </c>
      <c r="AB459">
        <v>5</v>
      </c>
      <c r="AC459">
        <v>748688.42</v>
      </c>
      <c r="AD459">
        <v>8930420.1300000008</v>
      </c>
      <c r="AE459">
        <v>188.81</v>
      </c>
      <c r="AF459">
        <v>748688.42</v>
      </c>
      <c r="AG459">
        <v>8930420.1300000008</v>
      </c>
      <c r="AH459">
        <v>179.86</v>
      </c>
      <c r="AI459">
        <v>8.9600000000000009</v>
      </c>
      <c r="AJ459">
        <v>0.6</v>
      </c>
      <c r="AK459">
        <v>3.37</v>
      </c>
      <c r="AL459">
        <v>2.93</v>
      </c>
      <c r="AM459">
        <v>0</v>
      </c>
      <c r="AN459">
        <v>0</v>
      </c>
      <c r="AO459">
        <v>358</v>
      </c>
      <c r="AP459">
        <v>2.79</v>
      </c>
      <c r="AQ459">
        <v>0</v>
      </c>
      <c r="AR459">
        <v>0</v>
      </c>
      <c r="AS459">
        <v>0</v>
      </c>
      <c r="AT459">
        <v>0</v>
      </c>
      <c r="AU459">
        <v>0</v>
      </c>
      <c r="AV459">
        <v>0</v>
      </c>
      <c r="AW459">
        <v>0</v>
      </c>
      <c r="AX459">
        <v>0</v>
      </c>
      <c r="AY459">
        <v>3.3</v>
      </c>
      <c r="AZ459">
        <v>82.41</v>
      </c>
      <c r="BA459">
        <v>0</v>
      </c>
      <c r="BB459">
        <v>0</v>
      </c>
      <c r="BC459">
        <v>0</v>
      </c>
      <c r="BD459">
        <v>0</v>
      </c>
    </row>
    <row r="460" spans="1:56" x14ac:dyDescent="0.25">
      <c r="A460" s="23">
        <v>46304</v>
      </c>
      <c r="B460">
        <v>459</v>
      </c>
      <c r="C460" t="s">
        <v>82</v>
      </c>
      <c r="D460" t="s">
        <v>92</v>
      </c>
      <c r="E460">
        <v>2</v>
      </c>
      <c r="F460">
        <v>180</v>
      </c>
      <c r="G460">
        <v>0</v>
      </c>
      <c r="H460" t="s">
        <v>84</v>
      </c>
      <c r="I460" t="s">
        <v>28</v>
      </c>
      <c r="J460" t="s">
        <v>70</v>
      </c>
      <c r="K460" t="s">
        <v>86</v>
      </c>
      <c r="L460" t="s">
        <v>71</v>
      </c>
      <c r="M460" t="s">
        <v>87</v>
      </c>
      <c r="O460" t="s">
        <v>88</v>
      </c>
      <c r="P460" t="s">
        <v>27</v>
      </c>
      <c r="Q460" t="s">
        <v>73</v>
      </c>
      <c r="R460" t="s">
        <v>76</v>
      </c>
      <c r="S460" t="s">
        <v>74</v>
      </c>
      <c r="T460" t="s">
        <v>75</v>
      </c>
      <c r="X460" t="s">
        <v>77</v>
      </c>
      <c r="Z460" t="s">
        <v>72</v>
      </c>
      <c r="AA460" t="s">
        <v>94</v>
      </c>
      <c r="AB460">
        <v>5</v>
      </c>
      <c r="AC460">
        <v>748691.14</v>
      </c>
      <c r="AD460">
        <v>8930422.1199999992</v>
      </c>
      <c r="AE460">
        <v>188.8</v>
      </c>
      <c r="AF460">
        <v>748691.14</v>
      </c>
      <c r="AG460">
        <v>8930422.1199999992</v>
      </c>
      <c r="AH460">
        <v>179.89</v>
      </c>
      <c r="AI460">
        <v>8.91</v>
      </c>
      <c r="AJ460">
        <v>0.6</v>
      </c>
      <c r="AK460">
        <v>3.37</v>
      </c>
      <c r="AL460">
        <v>2.93</v>
      </c>
      <c r="AM460">
        <v>0</v>
      </c>
      <c r="AN460">
        <v>0</v>
      </c>
      <c r="AO460">
        <v>358</v>
      </c>
      <c r="AP460">
        <v>2.8</v>
      </c>
      <c r="AQ460">
        <v>0</v>
      </c>
      <c r="AR460">
        <v>0</v>
      </c>
      <c r="AS460">
        <v>0</v>
      </c>
      <c r="AT460">
        <v>0</v>
      </c>
      <c r="AU460">
        <v>0</v>
      </c>
      <c r="AV460">
        <v>0</v>
      </c>
      <c r="AW460">
        <v>0</v>
      </c>
      <c r="AX460">
        <v>0</v>
      </c>
      <c r="AY460">
        <v>3.3</v>
      </c>
      <c r="AZ460">
        <v>81.682000000000002</v>
      </c>
      <c r="BA460">
        <v>0</v>
      </c>
      <c r="BB460">
        <v>0</v>
      </c>
      <c r="BC460">
        <v>0</v>
      </c>
      <c r="BD460">
        <v>0</v>
      </c>
    </row>
    <row r="461" spans="1:56" x14ac:dyDescent="0.25">
      <c r="A461" s="23">
        <v>46304</v>
      </c>
      <c r="B461">
        <v>460</v>
      </c>
      <c r="C461" t="s">
        <v>82</v>
      </c>
      <c r="D461" t="s">
        <v>92</v>
      </c>
      <c r="E461">
        <v>2</v>
      </c>
      <c r="F461">
        <v>180</v>
      </c>
      <c r="G461">
        <v>0</v>
      </c>
      <c r="H461" t="s">
        <v>84</v>
      </c>
      <c r="I461" t="s">
        <v>28</v>
      </c>
      <c r="J461" t="s">
        <v>70</v>
      </c>
      <c r="K461" t="s">
        <v>86</v>
      </c>
      <c r="L461" t="s">
        <v>71</v>
      </c>
      <c r="M461" t="s">
        <v>87</v>
      </c>
      <c r="O461" t="s">
        <v>88</v>
      </c>
      <c r="P461" t="s">
        <v>27</v>
      </c>
      <c r="Q461" t="s">
        <v>73</v>
      </c>
      <c r="R461" t="s">
        <v>76</v>
      </c>
      <c r="S461" t="s">
        <v>74</v>
      </c>
      <c r="T461" t="s">
        <v>75</v>
      </c>
      <c r="X461" t="s">
        <v>77</v>
      </c>
      <c r="Z461" t="s">
        <v>72</v>
      </c>
      <c r="AA461" t="s">
        <v>94</v>
      </c>
      <c r="AB461">
        <v>5</v>
      </c>
      <c r="AC461">
        <v>748693.42</v>
      </c>
      <c r="AD461">
        <v>8930424.5999999996</v>
      </c>
      <c r="AE461">
        <v>188.87</v>
      </c>
      <c r="AF461">
        <v>748693.42</v>
      </c>
      <c r="AG461">
        <v>8930424.5999999996</v>
      </c>
      <c r="AH461">
        <v>179.87</v>
      </c>
      <c r="AI461">
        <v>9.01</v>
      </c>
      <c r="AJ461">
        <v>0.6</v>
      </c>
      <c r="AK461">
        <v>3.37</v>
      </c>
      <c r="AL461">
        <v>2.93</v>
      </c>
      <c r="AM461">
        <v>0</v>
      </c>
      <c r="AN461">
        <v>0</v>
      </c>
      <c r="AO461">
        <v>358</v>
      </c>
      <c r="AP461">
        <v>2.8</v>
      </c>
      <c r="AQ461">
        <v>0</v>
      </c>
      <c r="AR461">
        <v>0</v>
      </c>
      <c r="AS461">
        <v>0</v>
      </c>
      <c r="AT461">
        <v>0</v>
      </c>
      <c r="AU461">
        <v>0</v>
      </c>
      <c r="AV461">
        <v>0</v>
      </c>
      <c r="AW461">
        <v>0</v>
      </c>
      <c r="AX461">
        <v>0</v>
      </c>
      <c r="AY461">
        <v>3.3</v>
      </c>
      <c r="AZ461">
        <v>83.138000000000005</v>
      </c>
      <c r="BA461">
        <v>0</v>
      </c>
      <c r="BB461">
        <v>0</v>
      </c>
      <c r="BC461">
        <v>0</v>
      </c>
      <c r="BD461">
        <v>0</v>
      </c>
    </row>
    <row r="462" spans="1:56" x14ac:dyDescent="0.25">
      <c r="A462" s="23">
        <v>46304</v>
      </c>
      <c r="B462">
        <v>461</v>
      </c>
      <c r="C462" t="s">
        <v>82</v>
      </c>
      <c r="D462" t="s">
        <v>92</v>
      </c>
      <c r="E462">
        <v>0</v>
      </c>
      <c r="F462">
        <v>180</v>
      </c>
      <c r="G462">
        <v>0</v>
      </c>
      <c r="H462" t="s">
        <v>84</v>
      </c>
      <c r="I462" t="s">
        <v>28</v>
      </c>
      <c r="J462" t="s">
        <v>70</v>
      </c>
      <c r="K462" t="s">
        <v>86</v>
      </c>
      <c r="L462" t="s">
        <v>71</v>
      </c>
      <c r="M462" t="s">
        <v>87</v>
      </c>
      <c r="O462" t="s">
        <v>88</v>
      </c>
      <c r="P462" t="s">
        <v>27</v>
      </c>
      <c r="Q462" t="s">
        <v>73</v>
      </c>
      <c r="R462" t="s">
        <v>76</v>
      </c>
      <c r="S462" t="s">
        <v>74</v>
      </c>
      <c r="T462" t="s">
        <v>75</v>
      </c>
      <c r="X462" t="s">
        <v>77</v>
      </c>
      <c r="Z462" t="s">
        <v>72</v>
      </c>
      <c r="AA462" t="s">
        <v>94</v>
      </c>
      <c r="AB462">
        <v>5</v>
      </c>
      <c r="AC462">
        <v>748695.7</v>
      </c>
      <c r="AD462">
        <v>8930427.0800000001</v>
      </c>
      <c r="AE462">
        <v>188.94</v>
      </c>
      <c r="AF462">
        <v>748695.7</v>
      </c>
      <c r="AG462">
        <v>8930427.0800000001</v>
      </c>
      <c r="AH462">
        <v>179.89</v>
      </c>
      <c r="AI462">
        <v>9.0500000000000007</v>
      </c>
      <c r="AJ462">
        <v>0.6</v>
      </c>
      <c r="AK462">
        <v>3.37</v>
      </c>
      <c r="AL462">
        <v>2.93</v>
      </c>
      <c r="AM462">
        <v>0</v>
      </c>
      <c r="AN462">
        <v>0</v>
      </c>
      <c r="AO462">
        <v>358</v>
      </c>
      <c r="AP462">
        <v>2.8</v>
      </c>
      <c r="AQ462">
        <v>0</v>
      </c>
      <c r="AR462">
        <v>0</v>
      </c>
      <c r="AS462">
        <v>0</v>
      </c>
      <c r="AT462">
        <v>0</v>
      </c>
      <c r="AU462">
        <v>0</v>
      </c>
      <c r="AV462">
        <v>0</v>
      </c>
      <c r="AW462">
        <v>0</v>
      </c>
      <c r="AX462">
        <v>0</v>
      </c>
      <c r="AY462">
        <v>3.3</v>
      </c>
      <c r="AZ462">
        <v>83.72</v>
      </c>
      <c r="BA462">
        <v>0</v>
      </c>
      <c r="BB462">
        <v>0</v>
      </c>
      <c r="BC462">
        <v>0</v>
      </c>
      <c r="BD462">
        <v>0</v>
      </c>
    </row>
    <row r="463" spans="1:56" x14ac:dyDescent="0.25">
      <c r="A463" s="23">
        <v>46304</v>
      </c>
      <c r="B463">
        <v>462</v>
      </c>
      <c r="C463" t="s">
        <v>82</v>
      </c>
      <c r="D463" t="s">
        <v>92</v>
      </c>
      <c r="E463">
        <v>0</v>
      </c>
      <c r="F463">
        <v>180</v>
      </c>
      <c r="G463">
        <v>0</v>
      </c>
      <c r="H463" t="s">
        <v>84</v>
      </c>
      <c r="J463" t="s">
        <v>70</v>
      </c>
      <c r="K463" t="s">
        <v>86</v>
      </c>
      <c r="L463" t="s">
        <v>71</v>
      </c>
      <c r="M463" t="s">
        <v>87</v>
      </c>
      <c r="O463" t="s">
        <v>88</v>
      </c>
      <c r="P463" t="s">
        <v>27</v>
      </c>
      <c r="Q463" t="s">
        <v>73</v>
      </c>
      <c r="R463" t="s">
        <v>76</v>
      </c>
      <c r="S463" t="s">
        <v>74</v>
      </c>
      <c r="T463" t="s">
        <v>75</v>
      </c>
      <c r="X463" t="s">
        <v>77</v>
      </c>
      <c r="Z463" t="s">
        <v>72</v>
      </c>
      <c r="AA463" t="s">
        <v>94</v>
      </c>
      <c r="AB463">
        <v>5</v>
      </c>
      <c r="AC463">
        <v>748697.7</v>
      </c>
      <c r="AD463">
        <v>8930429.7899999991</v>
      </c>
      <c r="AE463">
        <v>189.1</v>
      </c>
      <c r="AF463">
        <v>748697.7</v>
      </c>
      <c r="AG463">
        <v>8930429.7899999991</v>
      </c>
      <c r="AH463">
        <v>179.88</v>
      </c>
      <c r="AI463">
        <v>9.2200000000000006</v>
      </c>
      <c r="AJ463">
        <v>0.6</v>
      </c>
      <c r="AK463">
        <v>3.37</v>
      </c>
      <c r="AL463">
        <v>2.93</v>
      </c>
      <c r="AM463">
        <v>0</v>
      </c>
      <c r="AN463">
        <v>0</v>
      </c>
      <c r="AO463">
        <v>358</v>
      </c>
      <c r="AP463">
        <v>2.8</v>
      </c>
      <c r="AQ463">
        <v>0</v>
      </c>
      <c r="AR463">
        <v>0</v>
      </c>
      <c r="AS463">
        <v>0</v>
      </c>
      <c r="AT463">
        <v>0</v>
      </c>
      <c r="AU463">
        <v>0</v>
      </c>
      <c r="AV463">
        <v>0</v>
      </c>
      <c r="AW463">
        <v>0</v>
      </c>
      <c r="AX463">
        <v>0</v>
      </c>
      <c r="AY463">
        <v>3.3</v>
      </c>
      <c r="AZ463">
        <v>86.194999999999993</v>
      </c>
      <c r="BA463">
        <v>0</v>
      </c>
      <c r="BB463">
        <v>0</v>
      </c>
      <c r="BC463">
        <v>0</v>
      </c>
      <c r="BD463">
        <v>0</v>
      </c>
    </row>
    <row r="464" spans="1:56" x14ac:dyDescent="0.25">
      <c r="A464" s="23">
        <v>46304</v>
      </c>
      <c r="B464">
        <v>463</v>
      </c>
      <c r="C464" t="s">
        <v>82</v>
      </c>
      <c r="D464" t="s">
        <v>92</v>
      </c>
      <c r="E464">
        <v>0</v>
      </c>
      <c r="F464">
        <v>180</v>
      </c>
      <c r="G464">
        <v>0</v>
      </c>
      <c r="H464" t="s">
        <v>84</v>
      </c>
      <c r="J464" t="s">
        <v>70</v>
      </c>
      <c r="K464" t="s">
        <v>86</v>
      </c>
      <c r="L464" t="s">
        <v>71</v>
      </c>
      <c r="M464" t="s">
        <v>87</v>
      </c>
      <c r="O464" t="s">
        <v>88</v>
      </c>
      <c r="P464" t="s">
        <v>27</v>
      </c>
      <c r="Q464" t="s">
        <v>73</v>
      </c>
      <c r="R464" t="s">
        <v>76</v>
      </c>
      <c r="S464" t="s">
        <v>74</v>
      </c>
      <c r="T464" t="s">
        <v>75</v>
      </c>
      <c r="X464" t="s">
        <v>77</v>
      </c>
      <c r="Z464" t="s">
        <v>72</v>
      </c>
      <c r="AA464" t="s">
        <v>94</v>
      </c>
      <c r="AB464">
        <v>5</v>
      </c>
      <c r="AC464">
        <v>748699.64</v>
      </c>
      <c r="AD464">
        <v>8930432.5399999991</v>
      </c>
      <c r="AE464">
        <v>189.27</v>
      </c>
      <c r="AF464">
        <v>748699.64</v>
      </c>
      <c r="AG464">
        <v>8930432.5399999991</v>
      </c>
      <c r="AH464">
        <v>179.89</v>
      </c>
      <c r="AI464">
        <v>9.3800000000000008</v>
      </c>
      <c r="AJ464">
        <v>0.6</v>
      </c>
      <c r="AK464">
        <v>3.37</v>
      </c>
      <c r="AL464">
        <v>2.93</v>
      </c>
      <c r="AM464">
        <v>0</v>
      </c>
      <c r="AN464">
        <v>0</v>
      </c>
      <c r="AO464">
        <v>358</v>
      </c>
      <c r="AP464">
        <v>2.82</v>
      </c>
      <c r="AQ464">
        <v>0</v>
      </c>
      <c r="AR464">
        <v>0</v>
      </c>
      <c r="AS464">
        <v>0</v>
      </c>
      <c r="AT464">
        <v>0</v>
      </c>
      <c r="AU464">
        <v>0</v>
      </c>
      <c r="AV464">
        <v>0</v>
      </c>
      <c r="AW464">
        <v>0</v>
      </c>
      <c r="AX464">
        <v>0</v>
      </c>
      <c r="AY464">
        <v>3.3</v>
      </c>
      <c r="AZ464">
        <v>88.525000000000006</v>
      </c>
      <c r="BA464">
        <v>0</v>
      </c>
      <c r="BB464">
        <v>0</v>
      </c>
      <c r="BC464">
        <v>0</v>
      </c>
      <c r="BD464">
        <v>0</v>
      </c>
    </row>
    <row r="465" spans="1:56" x14ac:dyDescent="0.25">
      <c r="A465" s="23">
        <v>46304</v>
      </c>
      <c r="B465">
        <v>464</v>
      </c>
      <c r="C465" t="s">
        <v>82</v>
      </c>
      <c r="D465" t="s">
        <v>92</v>
      </c>
      <c r="E465">
        <v>0</v>
      </c>
      <c r="F465">
        <v>180</v>
      </c>
      <c r="G465">
        <v>0</v>
      </c>
      <c r="H465" t="s">
        <v>84</v>
      </c>
      <c r="J465" t="s">
        <v>70</v>
      </c>
      <c r="K465" t="s">
        <v>86</v>
      </c>
      <c r="L465" t="s">
        <v>71</v>
      </c>
      <c r="M465" t="s">
        <v>87</v>
      </c>
      <c r="O465" t="s">
        <v>88</v>
      </c>
      <c r="P465" t="s">
        <v>27</v>
      </c>
      <c r="Q465" t="s">
        <v>73</v>
      </c>
      <c r="R465" t="s">
        <v>76</v>
      </c>
      <c r="S465" t="s">
        <v>74</v>
      </c>
      <c r="T465" t="s">
        <v>75</v>
      </c>
      <c r="X465" t="s">
        <v>77</v>
      </c>
      <c r="Z465" t="s">
        <v>72</v>
      </c>
      <c r="AA465" t="s">
        <v>94</v>
      </c>
      <c r="AB465">
        <v>5</v>
      </c>
      <c r="AC465">
        <v>748701.48</v>
      </c>
      <c r="AD465">
        <v>8930435.3699999992</v>
      </c>
      <c r="AE465">
        <v>189.41</v>
      </c>
      <c r="AF465">
        <v>748701.48</v>
      </c>
      <c r="AG465">
        <v>8930435.3699999992</v>
      </c>
      <c r="AH465">
        <v>179.89</v>
      </c>
      <c r="AI465">
        <v>9.52</v>
      </c>
      <c r="AJ465">
        <v>0.6</v>
      </c>
      <c r="AK465">
        <v>3.37</v>
      </c>
      <c r="AL465">
        <v>2.93</v>
      </c>
      <c r="AM465">
        <v>0</v>
      </c>
      <c r="AN465">
        <v>0</v>
      </c>
      <c r="AO465">
        <v>358</v>
      </c>
      <c r="AP465">
        <v>2.86</v>
      </c>
      <c r="AQ465">
        <v>0</v>
      </c>
      <c r="AR465">
        <v>0</v>
      </c>
      <c r="AS465">
        <v>0</v>
      </c>
      <c r="AT465">
        <v>0.01</v>
      </c>
      <c r="AU465">
        <v>0</v>
      </c>
      <c r="AV465">
        <v>0</v>
      </c>
      <c r="AW465">
        <v>0</v>
      </c>
      <c r="AX465">
        <v>0</v>
      </c>
      <c r="AY465">
        <v>3.3</v>
      </c>
      <c r="AZ465">
        <v>90.563000000000002</v>
      </c>
      <c r="BA465">
        <v>0</v>
      </c>
      <c r="BB465">
        <v>0</v>
      </c>
      <c r="BC465">
        <v>0</v>
      </c>
      <c r="BD465">
        <v>0</v>
      </c>
    </row>
    <row r="466" spans="1:56" x14ac:dyDescent="0.25">
      <c r="A466" s="23">
        <v>46304</v>
      </c>
      <c r="B466">
        <v>465</v>
      </c>
      <c r="C466" t="s">
        <v>82</v>
      </c>
      <c r="D466" t="s">
        <v>92</v>
      </c>
      <c r="E466">
        <v>0</v>
      </c>
      <c r="F466">
        <v>180</v>
      </c>
      <c r="G466">
        <v>0</v>
      </c>
      <c r="H466" t="s">
        <v>84</v>
      </c>
      <c r="J466" t="s">
        <v>70</v>
      </c>
      <c r="K466" t="s">
        <v>86</v>
      </c>
      <c r="L466" t="s">
        <v>71</v>
      </c>
      <c r="M466" t="s">
        <v>87</v>
      </c>
      <c r="O466" t="s">
        <v>88</v>
      </c>
      <c r="P466" t="s">
        <v>27</v>
      </c>
      <c r="Q466" t="s">
        <v>73</v>
      </c>
      <c r="R466" t="s">
        <v>76</v>
      </c>
      <c r="S466" t="s">
        <v>74</v>
      </c>
      <c r="T466" t="s">
        <v>75</v>
      </c>
      <c r="X466" t="s">
        <v>77</v>
      </c>
      <c r="Z466" t="s">
        <v>72</v>
      </c>
      <c r="AA466" t="s">
        <v>94</v>
      </c>
      <c r="AB466">
        <v>5</v>
      </c>
      <c r="AC466">
        <v>748703.25</v>
      </c>
      <c r="AD466">
        <v>8930438.2300000004</v>
      </c>
      <c r="AE466">
        <v>189.54</v>
      </c>
      <c r="AF466">
        <v>748703.25</v>
      </c>
      <c r="AG466">
        <v>8930438.2300000004</v>
      </c>
      <c r="AH466">
        <v>179.89</v>
      </c>
      <c r="AI466">
        <v>9.65</v>
      </c>
      <c r="AJ466">
        <v>0.6</v>
      </c>
      <c r="AK466">
        <v>3.37</v>
      </c>
      <c r="AL466">
        <v>2.93</v>
      </c>
      <c r="AM466">
        <v>0</v>
      </c>
      <c r="AN466">
        <v>0</v>
      </c>
      <c r="AO466">
        <v>358</v>
      </c>
      <c r="AP466">
        <v>2.85</v>
      </c>
      <c r="AQ466">
        <v>0.01</v>
      </c>
      <c r="AR466">
        <v>0</v>
      </c>
      <c r="AS466">
        <v>0</v>
      </c>
      <c r="AT466">
        <v>2.3199999999999998</v>
      </c>
      <c r="AU466">
        <v>0.56000000000000005</v>
      </c>
      <c r="AV466">
        <v>0.02</v>
      </c>
      <c r="AW466">
        <v>0.04</v>
      </c>
      <c r="AX466">
        <v>0.01</v>
      </c>
      <c r="AY466">
        <v>3.3</v>
      </c>
      <c r="AZ466">
        <v>92.456000000000003</v>
      </c>
      <c r="BA466">
        <v>0</v>
      </c>
      <c r="BB466">
        <v>0</v>
      </c>
      <c r="BC466">
        <v>0</v>
      </c>
      <c r="BD466">
        <v>0</v>
      </c>
    </row>
    <row r="467" spans="1:56" x14ac:dyDescent="0.25">
      <c r="A467" s="23">
        <v>46304</v>
      </c>
      <c r="B467">
        <v>466</v>
      </c>
      <c r="C467" t="s">
        <v>82</v>
      </c>
      <c r="D467" t="s">
        <v>92</v>
      </c>
      <c r="E467">
        <v>0</v>
      </c>
      <c r="F467">
        <v>180</v>
      </c>
      <c r="G467">
        <v>0</v>
      </c>
      <c r="H467" t="s">
        <v>98</v>
      </c>
      <c r="J467" t="s">
        <v>70</v>
      </c>
      <c r="K467" t="s">
        <v>86</v>
      </c>
      <c r="L467" t="s">
        <v>71</v>
      </c>
      <c r="M467" t="s">
        <v>87</v>
      </c>
      <c r="O467" t="s">
        <v>88</v>
      </c>
      <c r="P467" t="s">
        <v>27</v>
      </c>
      <c r="Q467" t="s">
        <v>73</v>
      </c>
      <c r="R467" t="s">
        <v>76</v>
      </c>
      <c r="S467" t="s">
        <v>74</v>
      </c>
      <c r="T467" t="s">
        <v>75</v>
      </c>
      <c r="X467" t="s">
        <v>77</v>
      </c>
      <c r="Z467" t="s">
        <v>72</v>
      </c>
      <c r="AA467" t="s">
        <v>94</v>
      </c>
      <c r="AB467">
        <v>5</v>
      </c>
      <c r="AC467">
        <v>748705.03</v>
      </c>
      <c r="AD467">
        <v>8930441.0899999999</v>
      </c>
      <c r="AE467">
        <v>189.66</v>
      </c>
      <c r="AF467">
        <v>748705.03</v>
      </c>
      <c r="AG467">
        <v>8930441.0899999999</v>
      </c>
      <c r="AH467">
        <v>179.89</v>
      </c>
      <c r="AI467">
        <v>9.7799999999999994</v>
      </c>
      <c r="AJ467">
        <v>0.6</v>
      </c>
      <c r="AK467">
        <v>3.37</v>
      </c>
      <c r="AL467">
        <v>2.93</v>
      </c>
      <c r="AM467">
        <v>0</v>
      </c>
      <c r="AN467">
        <v>0</v>
      </c>
      <c r="AO467">
        <v>358</v>
      </c>
      <c r="AP467">
        <v>2.87</v>
      </c>
      <c r="AQ467">
        <v>0.09</v>
      </c>
      <c r="AR467">
        <v>0.02</v>
      </c>
      <c r="AS467">
        <v>0.01</v>
      </c>
      <c r="AT467">
        <v>8.74</v>
      </c>
      <c r="AU467">
        <v>2.84</v>
      </c>
      <c r="AV467">
        <v>0.14000000000000001</v>
      </c>
      <c r="AW467">
        <v>0.28999999999999998</v>
      </c>
      <c r="AX467">
        <v>0.21</v>
      </c>
      <c r="AY467">
        <v>3.3</v>
      </c>
      <c r="AZ467">
        <v>94.349000000000004</v>
      </c>
      <c r="BA467">
        <v>0</v>
      </c>
      <c r="BB467">
        <v>0</v>
      </c>
      <c r="BC467">
        <v>0</v>
      </c>
      <c r="BD467">
        <v>0</v>
      </c>
    </row>
    <row r="468" spans="1:56" x14ac:dyDescent="0.25">
      <c r="A468" s="23">
        <v>46304</v>
      </c>
      <c r="B468">
        <v>467</v>
      </c>
      <c r="C468" t="s">
        <v>82</v>
      </c>
      <c r="D468" t="s">
        <v>92</v>
      </c>
      <c r="E468">
        <v>0</v>
      </c>
      <c r="F468">
        <v>180</v>
      </c>
      <c r="G468">
        <v>0</v>
      </c>
      <c r="H468" t="s">
        <v>84</v>
      </c>
      <c r="J468" t="s">
        <v>70</v>
      </c>
      <c r="K468" t="s">
        <v>86</v>
      </c>
      <c r="L468" t="s">
        <v>71</v>
      </c>
      <c r="M468" t="s">
        <v>87</v>
      </c>
      <c r="O468" t="s">
        <v>88</v>
      </c>
      <c r="P468" t="s">
        <v>27</v>
      </c>
      <c r="Q468" t="s">
        <v>73</v>
      </c>
      <c r="R468" t="s">
        <v>76</v>
      </c>
      <c r="S468" t="s">
        <v>74</v>
      </c>
      <c r="T468" t="s">
        <v>75</v>
      </c>
      <c r="X468" t="s">
        <v>77</v>
      </c>
      <c r="Z468" t="s">
        <v>72</v>
      </c>
      <c r="AA468" t="s">
        <v>94</v>
      </c>
      <c r="AB468">
        <v>5</v>
      </c>
      <c r="AC468">
        <v>748706.81</v>
      </c>
      <c r="AD468">
        <v>8930443.9600000009</v>
      </c>
      <c r="AE468">
        <v>189.65</v>
      </c>
      <c r="AF468">
        <v>748706.81</v>
      </c>
      <c r="AG468">
        <v>8930443.9600000009</v>
      </c>
      <c r="AH468">
        <v>179.89</v>
      </c>
      <c r="AI468">
        <v>9.76</v>
      </c>
      <c r="AJ468">
        <v>0.6</v>
      </c>
      <c r="AK468">
        <v>3.37</v>
      </c>
      <c r="AL468">
        <v>2.93</v>
      </c>
      <c r="AM468">
        <v>0</v>
      </c>
      <c r="AN468">
        <v>0</v>
      </c>
      <c r="AO468">
        <v>358</v>
      </c>
      <c r="AP468">
        <v>2.93</v>
      </c>
      <c r="AQ468">
        <v>0.19</v>
      </c>
      <c r="AR468">
        <v>0.04</v>
      </c>
      <c r="AS468">
        <v>0.03</v>
      </c>
      <c r="AT468">
        <v>12.91</v>
      </c>
      <c r="AU468">
        <v>4.4800000000000004</v>
      </c>
      <c r="AV468">
        <v>0.23</v>
      </c>
      <c r="AW468">
        <v>0.56000000000000005</v>
      </c>
      <c r="AX468">
        <v>0.72</v>
      </c>
      <c r="AY468">
        <v>3.3</v>
      </c>
      <c r="AZ468">
        <v>94.058000000000007</v>
      </c>
      <c r="BA468">
        <v>0</v>
      </c>
      <c r="BB468">
        <v>0</v>
      </c>
      <c r="BC468">
        <v>0</v>
      </c>
      <c r="BD468">
        <v>0</v>
      </c>
    </row>
    <row r="469" spans="1:56" x14ac:dyDescent="0.25">
      <c r="A469" s="23">
        <v>46304</v>
      </c>
      <c r="B469">
        <v>468</v>
      </c>
      <c r="C469" t="s">
        <v>82</v>
      </c>
      <c r="D469" t="s">
        <v>92</v>
      </c>
      <c r="E469">
        <v>0</v>
      </c>
      <c r="F469">
        <v>180</v>
      </c>
      <c r="G469">
        <v>0</v>
      </c>
      <c r="H469" t="s">
        <v>84</v>
      </c>
      <c r="J469" t="s">
        <v>70</v>
      </c>
      <c r="K469" t="s">
        <v>86</v>
      </c>
      <c r="L469" t="s">
        <v>71</v>
      </c>
      <c r="M469" t="s">
        <v>87</v>
      </c>
      <c r="O469" t="s">
        <v>88</v>
      </c>
      <c r="P469" t="s">
        <v>27</v>
      </c>
      <c r="Q469" t="s">
        <v>73</v>
      </c>
      <c r="R469" t="s">
        <v>76</v>
      </c>
      <c r="S469" t="s">
        <v>74</v>
      </c>
      <c r="T469" t="s">
        <v>75</v>
      </c>
      <c r="X469" t="s">
        <v>77</v>
      </c>
      <c r="Z469" t="s">
        <v>72</v>
      </c>
      <c r="AA469" t="s">
        <v>94</v>
      </c>
      <c r="AB469">
        <v>5</v>
      </c>
      <c r="AC469">
        <v>748708.45</v>
      </c>
      <c r="AD469">
        <v>8930446.9000000004</v>
      </c>
      <c r="AE469">
        <v>189.62</v>
      </c>
      <c r="AF469">
        <v>748708.45</v>
      </c>
      <c r="AG469">
        <v>8930446.9000000004</v>
      </c>
      <c r="AH469">
        <v>179.89</v>
      </c>
      <c r="AI469">
        <v>9.7200000000000006</v>
      </c>
      <c r="AJ469">
        <v>0.6</v>
      </c>
      <c r="AK469">
        <v>3.37</v>
      </c>
      <c r="AL469">
        <v>2.93</v>
      </c>
      <c r="AM469">
        <v>0</v>
      </c>
      <c r="AN469">
        <v>0</v>
      </c>
      <c r="AO469">
        <v>358</v>
      </c>
      <c r="AP469">
        <v>2.98</v>
      </c>
      <c r="AQ469">
        <v>0.26</v>
      </c>
      <c r="AR469">
        <v>0.05</v>
      </c>
      <c r="AS469">
        <v>0.04</v>
      </c>
      <c r="AT469">
        <v>13.16</v>
      </c>
      <c r="AU469">
        <v>4.71</v>
      </c>
      <c r="AV469">
        <v>0.25</v>
      </c>
      <c r="AW469">
        <v>0.74</v>
      </c>
      <c r="AX469">
        <v>1.37</v>
      </c>
      <c r="AY469">
        <v>3.3</v>
      </c>
      <c r="AZ469">
        <v>93.474999999999994</v>
      </c>
      <c r="BA469">
        <v>0</v>
      </c>
      <c r="BB469">
        <v>0</v>
      </c>
      <c r="BC469">
        <v>0</v>
      </c>
      <c r="BD469">
        <v>0</v>
      </c>
    </row>
    <row r="470" spans="1:56" x14ac:dyDescent="0.25">
      <c r="A470" s="23">
        <v>46304</v>
      </c>
      <c r="B470">
        <v>469</v>
      </c>
      <c r="C470" t="s">
        <v>82</v>
      </c>
      <c r="D470" t="s">
        <v>92</v>
      </c>
      <c r="E470">
        <v>0</v>
      </c>
      <c r="F470">
        <v>180</v>
      </c>
      <c r="G470">
        <v>0</v>
      </c>
      <c r="H470" t="s">
        <v>84</v>
      </c>
      <c r="J470" t="s">
        <v>70</v>
      </c>
      <c r="K470" t="s">
        <v>79</v>
      </c>
      <c r="L470" t="s">
        <v>71</v>
      </c>
      <c r="M470" t="s">
        <v>87</v>
      </c>
      <c r="O470" t="s">
        <v>88</v>
      </c>
      <c r="P470" t="s">
        <v>27</v>
      </c>
      <c r="Q470" t="s">
        <v>73</v>
      </c>
      <c r="R470" t="s">
        <v>76</v>
      </c>
      <c r="S470" t="s">
        <v>74</v>
      </c>
      <c r="T470" t="s">
        <v>75</v>
      </c>
      <c r="X470" t="s">
        <v>77</v>
      </c>
      <c r="Z470" t="s">
        <v>72</v>
      </c>
      <c r="AA470" t="s">
        <v>94</v>
      </c>
      <c r="AB470">
        <v>5</v>
      </c>
      <c r="AC470">
        <v>748709.85</v>
      </c>
      <c r="AD470">
        <v>8930449.9600000009</v>
      </c>
      <c r="AE470">
        <v>189.52</v>
      </c>
      <c r="AF470">
        <v>748709.85</v>
      </c>
      <c r="AG470">
        <v>8930449.9600000009</v>
      </c>
      <c r="AH470">
        <v>179.89</v>
      </c>
      <c r="AI470">
        <v>9.6300000000000008</v>
      </c>
      <c r="AJ470">
        <v>0.6</v>
      </c>
      <c r="AK470">
        <v>3.37</v>
      </c>
      <c r="AL470">
        <v>2.93</v>
      </c>
      <c r="AM470">
        <v>0</v>
      </c>
      <c r="AN470">
        <v>0</v>
      </c>
      <c r="AO470">
        <v>358</v>
      </c>
      <c r="AP470">
        <v>3.01</v>
      </c>
      <c r="AQ470">
        <v>0.24</v>
      </c>
      <c r="AR470">
        <v>0.04</v>
      </c>
      <c r="AS470">
        <v>0.03</v>
      </c>
      <c r="AT470">
        <v>9.66</v>
      </c>
      <c r="AU470">
        <v>3.53</v>
      </c>
      <c r="AV470">
        <v>0.17</v>
      </c>
      <c r="AW470">
        <v>0.79</v>
      </c>
      <c r="AX470">
        <v>2.13</v>
      </c>
      <c r="AY470">
        <v>3.3</v>
      </c>
      <c r="AZ470">
        <v>92.165000000000006</v>
      </c>
      <c r="BA470">
        <v>0</v>
      </c>
      <c r="BB470">
        <v>0</v>
      </c>
      <c r="BC470">
        <v>0</v>
      </c>
      <c r="BD470">
        <v>0</v>
      </c>
    </row>
    <row r="471" spans="1:56" x14ac:dyDescent="0.25">
      <c r="A471" s="23">
        <v>46304</v>
      </c>
      <c r="B471">
        <v>470</v>
      </c>
      <c r="C471" t="s">
        <v>82</v>
      </c>
      <c r="D471" t="s">
        <v>92</v>
      </c>
      <c r="E471">
        <v>0</v>
      </c>
      <c r="F471">
        <v>180</v>
      </c>
      <c r="G471">
        <v>0</v>
      </c>
      <c r="H471" t="s">
        <v>84</v>
      </c>
      <c r="J471" t="s">
        <v>70</v>
      </c>
      <c r="K471" t="s">
        <v>79</v>
      </c>
      <c r="L471" t="s">
        <v>71</v>
      </c>
      <c r="M471" t="s">
        <v>87</v>
      </c>
      <c r="O471" t="s">
        <v>88</v>
      </c>
      <c r="P471" t="s">
        <v>27</v>
      </c>
      <c r="Q471" t="s">
        <v>73</v>
      </c>
      <c r="R471" t="s">
        <v>76</v>
      </c>
      <c r="S471" t="s">
        <v>74</v>
      </c>
      <c r="T471" t="s">
        <v>75</v>
      </c>
      <c r="X471" t="s">
        <v>77</v>
      </c>
      <c r="Z471" t="s">
        <v>72</v>
      </c>
      <c r="AA471" t="s">
        <v>94</v>
      </c>
      <c r="AB471">
        <v>5</v>
      </c>
      <c r="AC471">
        <v>748710.98</v>
      </c>
      <c r="AD471">
        <v>8930453.1300000008</v>
      </c>
      <c r="AE471">
        <v>189.5</v>
      </c>
      <c r="AF471">
        <v>748710.98</v>
      </c>
      <c r="AG471">
        <v>8930453.1300000008</v>
      </c>
      <c r="AH471">
        <v>179.87</v>
      </c>
      <c r="AI471">
        <v>9.6300000000000008</v>
      </c>
      <c r="AJ471">
        <v>0.6</v>
      </c>
      <c r="AK471">
        <v>3.37</v>
      </c>
      <c r="AL471">
        <v>2.93</v>
      </c>
      <c r="AM471">
        <v>0</v>
      </c>
      <c r="AN471">
        <v>0</v>
      </c>
      <c r="AO471">
        <v>358</v>
      </c>
      <c r="AP471">
        <v>3.03</v>
      </c>
      <c r="AQ471">
        <v>0.23</v>
      </c>
      <c r="AR471">
        <v>0.04</v>
      </c>
      <c r="AS471">
        <v>0.03</v>
      </c>
      <c r="AT471">
        <v>6.21</v>
      </c>
      <c r="AU471">
        <v>2.4900000000000002</v>
      </c>
      <c r="AV471">
        <v>0.12</v>
      </c>
      <c r="AW471">
        <v>0.77</v>
      </c>
      <c r="AX471">
        <v>3.1</v>
      </c>
      <c r="AY471">
        <v>3.3</v>
      </c>
      <c r="AZ471">
        <v>92.165000000000006</v>
      </c>
      <c r="BA471">
        <v>0</v>
      </c>
      <c r="BB471">
        <v>0</v>
      </c>
      <c r="BC471">
        <v>0</v>
      </c>
      <c r="BD471">
        <v>0</v>
      </c>
    </row>
    <row r="472" spans="1:56" x14ac:dyDescent="0.25">
      <c r="A472" s="23">
        <v>46304</v>
      </c>
      <c r="B472">
        <v>471</v>
      </c>
      <c r="C472" t="s">
        <v>82</v>
      </c>
      <c r="D472" t="s">
        <v>92</v>
      </c>
      <c r="E472">
        <v>2</v>
      </c>
      <c r="F472">
        <v>180</v>
      </c>
      <c r="G472">
        <v>0</v>
      </c>
      <c r="H472" t="s">
        <v>84</v>
      </c>
      <c r="I472" t="s">
        <v>91</v>
      </c>
      <c r="J472" t="s">
        <v>85</v>
      </c>
      <c r="K472" t="s">
        <v>79</v>
      </c>
      <c r="L472" t="s">
        <v>71</v>
      </c>
      <c r="M472" t="s">
        <v>81</v>
      </c>
      <c r="O472" t="s">
        <v>88</v>
      </c>
      <c r="P472" t="s">
        <v>27</v>
      </c>
      <c r="Q472" t="s">
        <v>73</v>
      </c>
      <c r="R472" t="s">
        <v>76</v>
      </c>
      <c r="S472" t="s">
        <v>74</v>
      </c>
      <c r="T472" t="s">
        <v>75</v>
      </c>
      <c r="X472" t="s">
        <v>77</v>
      </c>
      <c r="Z472" t="s">
        <v>72</v>
      </c>
      <c r="AA472" t="s">
        <v>94</v>
      </c>
      <c r="AB472">
        <v>5</v>
      </c>
      <c r="AC472">
        <v>748712.11</v>
      </c>
      <c r="AD472">
        <v>8930456.3100000005</v>
      </c>
      <c r="AE472">
        <v>189.54</v>
      </c>
      <c r="AF472">
        <v>748712.11</v>
      </c>
      <c r="AG472">
        <v>8930456.3100000005</v>
      </c>
      <c r="AH472">
        <v>179.89</v>
      </c>
      <c r="AI472">
        <v>9.65</v>
      </c>
      <c r="AJ472">
        <v>0.6</v>
      </c>
      <c r="AK472">
        <v>3.37</v>
      </c>
      <c r="AL472">
        <v>2.93</v>
      </c>
      <c r="AM472">
        <v>0</v>
      </c>
      <c r="AN472">
        <v>0</v>
      </c>
      <c r="AO472">
        <v>358</v>
      </c>
      <c r="AP472">
        <v>3.15</v>
      </c>
      <c r="AQ472">
        <v>0.41</v>
      </c>
      <c r="AR472">
        <v>7.0000000000000007E-2</v>
      </c>
      <c r="AS472">
        <v>0.06</v>
      </c>
      <c r="AT472">
        <v>9.8699999999999992</v>
      </c>
      <c r="AU472">
        <v>4.01</v>
      </c>
      <c r="AV472">
        <v>0.2</v>
      </c>
      <c r="AW472">
        <v>1.32</v>
      </c>
      <c r="AX472">
        <v>5.76</v>
      </c>
      <c r="AY472">
        <v>3.3</v>
      </c>
      <c r="AZ472">
        <v>92.456000000000003</v>
      </c>
      <c r="BA472">
        <v>0</v>
      </c>
      <c r="BB472">
        <v>0</v>
      </c>
      <c r="BC472">
        <v>0</v>
      </c>
      <c r="BD472">
        <v>0</v>
      </c>
    </row>
    <row r="473" spans="1:56" x14ac:dyDescent="0.25">
      <c r="A473" s="23">
        <v>46304</v>
      </c>
      <c r="B473">
        <v>472</v>
      </c>
      <c r="C473" t="s">
        <v>82</v>
      </c>
      <c r="D473" t="s">
        <v>92</v>
      </c>
      <c r="E473">
        <v>2</v>
      </c>
      <c r="F473">
        <v>180</v>
      </c>
      <c r="G473">
        <v>1</v>
      </c>
      <c r="H473" t="s">
        <v>84</v>
      </c>
      <c r="I473" t="s">
        <v>91</v>
      </c>
      <c r="J473" t="s">
        <v>85</v>
      </c>
      <c r="K473" t="s">
        <v>79</v>
      </c>
      <c r="L473" t="s">
        <v>71</v>
      </c>
      <c r="M473" t="s">
        <v>81</v>
      </c>
      <c r="O473" t="s">
        <v>88</v>
      </c>
      <c r="P473" t="s">
        <v>27</v>
      </c>
      <c r="Q473" t="s">
        <v>73</v>
      </c>
      <c r="R473" t="s">
        <v>76</v>
      </c>
      <c r="S473" t="s">
        <v>74</v>
      </c>
      <c r="T473" t="s">
        <v>75</v>
      </c>
      <c r="X473" t="s">
        <v>77</v>
      </c>
      <c r="Z473" t="s">
        <v>72</v>
      </c>
      <c r="AA473" t="s">
        <v>94</v>
      </c>
      <c r="AB473">
        <v>5</v>
      </c>
      <c r="AC473">
        <v>748712.95999999996</v>
      </c>
      <c r="AD473">
        <v>8930459.5600000005</v>
      </c>
      <c r="AE473">
        <v>189.64</v>
      </c>
      <c r="AF473">
        <v>748712.95999999996</v>
      </c>
      <c r="AG473">
        <v>8930459.5600000005</v>
      </c>
      <c r="AH473">
        <v>179.89</v>
      </c>
      <c r="AI473">
        <v>9.75</v>
      </c>
      <c r="AJ473">
        <v>0.6</v>
      </c>
      <c r="AK473">
        <v>3.37</v>
      </c>
      <c r="AL473">
        <v>2.93</v>
      </c>
      <c r="AM473">
        <v>0</v>
      </c>
      <c r="AN473">
        <v>0</v>
      </c>
      <c r="AO473">
        <v>358</v>
      </c>
      <c r="AP473">
        <v>3.23</v>
      </c>
      <c r="AQ473">
        <v>0.5</v>
      </c>
      <c r="AR473">
        <v>0.08</v>
      </c>
      <c r="AS473">
        <v>7.0000000000000007E-2</v>
      </c>
      <c r="AT473">
        <v>12.43</v>
      </c>
      <c r="AU473">
        <v>5.0599999999999996</v>
      </c>
      <c r="AV473">
        <v>0.25</v>
      </c>
      <c r="AW473">
        <v>1.62</v>
      </c>
      <c r="AX473">
        <v>7.64</v>
      </c>
      <c r="AY473">
        <v>3.3</v>
      </c>
      <c r="AZ473">
        <v>93.912000000000006</v>
      </c>
      <c r="BA473">
        <v>0</v>
      </c>
      <c r="BB473">
        <v>0</v>
      </c>
      <c r="BC473">
        <v>0</v>
      </c>
      <c r="BD473">
        <v>0</v>
      </c>
    </row>
    <row r="474" spans="1:56" x14ac:dyDescent="0.25">
      <c r="A474" s="23">
        <v>46304</v>
      </c>
      <c r="B474">
        <v>473</v>
      </c>
      <c r="C474" t="s">
        <v>82</v>
      </c>
      <c r="D474" t="s">
        <v>92</v>
      </c>
      <c r="E474">
        <v>2</v>
      </c>
      <c r="F474">
        <v>180</v>
      </c>
      <c r="G474">
        <v>1</v>
      </c>
      <c r="H474" t="s">
        <v>84</v>
      </c>
      <c r="I474" t="s">
        <v>91</v>
      </c>
      <c r="J474" t="s">
        <v>85</v>
      </c>
      <c r="K474" t="s">
        <v>79</v>
      </c>
      <c r="L474" t="s">
        <v>71</v>
      </c>
      <c r="M474" t="s">
        <v>81</v>
      </c>
      <c r="O474" t="s">
        <v>88</v>
      </c>
      <c r="P474" t="s">
        <v>27</v>
      </c>
      <c r="Q474" t="s">
        <v>73</v>
      </c>
      <c r="R474" t="s">
        <v>76</v>
      </c>
      <c r="S474" t="s">
        <v>74</v>
      </c>
      <c r="T474" t="s">
        <v>75</v>
      </c>
      <c r="X474" t="s">
        <v>77</v>
      </c>
      <c r="Z474" t="s">
        <v>72</v>
      </c>
      <c r="AA474" t="s">
        <v>94</v>
      </c>
      <c r="AB474">
        <v>5</v>
      </c>
      <c r="AC474">
        <v>748713.56</v>
      </c>
      <c r="AD474">
        <v>8930462.8800000008</v>
      </c>
      <c r="AE474">
        <v>189.78</v>
      </c>
      <c r="AF474">
        <v>748713.56</v>
      </c>
      <c r="AG474">
        <v>8930462.8800000008</v>
      </c>
      <c r="AH474">
        <v>179.89</v>
      </c>
      <c r="AI474">
        <v>9.89</v>
      </c>
      <c r="AJ474">
        <v>0.6</v>
      </c>
      <c r="AK474">
        <v>3.37</v>
      </c>
      <c r="AL474">
        <v>2.93</v>
      </c>
      <c r="AM474">
        <v>0</v>
      </c>
      <c r="AN474">
        <v>0</v>
      </c>
      <c r="AO474">
        <v>358</v>
      </c>
      <c r="AP474">
        <v>3.22</v>
      </c>
      <c r="AQ474">
        <v>0.47</v>
      </c>
      <c r="AR474">
        <v>0.08</v>
      </c>
      <c r="AS474">
        <v>0.06</v>
      </c>
      <c r="AT474">
        <v>12.41</v>
      </c>
      <c r="AU474">
        <v>5.09</v>
      </c>
      <c r="AV474">
        <v>0.26</v>
      </c>
      <c r="AW474">
        <v>1.54</v>
      </c>
      <c r="AX474">
        <v>8.36</v>
      </c>
      <c r="AY474">
        <v>3.3</v>
      </c>
      <c r="AZ474">
        <v>95.95</v>
      </c>
      <c r="BA474">
        <v>0</v>
      </c>
      <c r="BB474">
        <v>0</v>
      </c>
      <c r="BC474">
        <v>0</v>
      </c>
      <c r="BD474">
        <v>0</v>
      </c>
    </row>
    <row r="475" spans="1:56" x14ac:dyDescent="0.25">
      <c r="A475" s="23">
        <v>46304</v>
      </c>
      <c r="B475">
        <v>474</v>
      </c>
      <c r="C475" t="s">
        <v>82</v>
      </c>
      <c r="D475" t="s">
        <v>92</v>
      </c>
      <c r="E475">
        <v>2</v>
      </c>
      <c r="F475">
        <v>180</v>
      </c>
      <c r="G475">
        <v>1</v>
      </c>
      <c r="H475" t="s">
        <v>84</v>
      </c>
      <c r="I475" t="s">
        <v>91</v>
      </c>
      <c r="J475" t="s">
        <v>85</v>
      </c>
      <c r="K475" t="s">
        <v>79</v>
      </c>
      <c r="L475" t="s">
        <v>71</v>
      </c>
      <c r="M475" t="s">
        <v>81</v>
      </c>
      <c r="O475" t="s">
        <v>88</v>
      </c>
      <c r="P475" t="s">
        <v>27</v>
      </c>
      <c r="Q475" t="s">
        <v>73</v>
      </c>
      <c r="R475" t="s">
        <v>76</v>
      </c>
      <c r="S475" t="s">
        <v>74</v>
      </c>
      <c r="T475" t="s">
        <v>75</v>
      </c>
      <c r="X475" t="s">
        <v>77</v>
      </c>
      <c r="Z475" t="s">
        <v>72</v>
      </c>
      <c r="AA475" t="s">
        <v>94</v>
      </c>
      <c r="AB475">
        <v>5</v>
      </c>
      <c r="AC475">
        <v>748714.01</v>
      </c>
      <c r="AD475">
        <v>8930466.2200000007</v>
      </c>
      <c r="AE475">
        <v>189.85</v>
      </c>
      <c r="AF475">
        <v>748714.01</v>
      </c>
      <c r="AG475">
        <v>8930466.2200000007</v>
      </c>
      <c r="AH475">
        <v>179.88</v>
      </c>
      <c r="AI475">
        <v>9.98</v>
      </c>
      <c r="AJ475">
        <v>0.6</v>
      </c>
      <c r="AK475">
        <v>3.37</v>
      </c>
      <c r="AL475">
        <v>2.93</v>
      </c>
      <c r="AM475">
        <v>0</v>
      </c>
      <c r="AN475">
        <v>0</v>
      </c>
      <c r="AO475">
        <v>358</v>
      </c>
      <c r="AP475">
        <v>3.23</v>
      </c>
      <c r="AQ475">
        <v>0.48</v>
      </c>
      <c r="AR475">
        <v>0.08</v>
      </c>
      <c r="AS475">
        <v>7.0000000000000007E-2</v>
      </c>
      <c r="AT475">
        <v>12.74</v>
      </c>
      <c r="AU475">
        <v>5.23</v>
      </c>
      <c r="AV475">
        <v>0.26</v>
      </c>
      <c r="AW475">
        <v>1.58</v>
      </c>
      <c r="AX475">
        <v>8.59</v>
      </c>
      <c r="AY475">
        <v>3.3</v>
      </c>
      <c r="AZ475">
        <v>97.260999999999996</v>
      </c>
      <c r="BA475">
        <v>0</v>
      </c>
      <c r="BB475">
        <v>0</v>
      </c>
      <c r="BC475">
        <v>0</v>
      </c>
      <c r="BD475">
        <v>0</v>
      </c>
    </row>
    <row r="476" spans="1:56" x14ac:dyDescent="0.25">
      <c r="A476" s="23">
        <v>46304</v>
      </c>
      <c r="B476">
        <v>475</v>
      </c>
      <c r="C476" t="s">
        <v>82</v>
      </c>
      <c r="D476" t="s">
        <v>92</v>
      </c>
      <c r="E476">
        <v>2</v>
      </c>
      <c r="F476">
        <v>180</v>
      </c>
      <c r="G476">
        <v>1</v>
      </c>
      <c r="H476" t="s">
        <v>95</v>
      </c>
      <c r="I476" t="s">
        <v>91</v>
      </c>
      <c r="J476" t="s">
        <v>85</v>
      </c>
      <c r="K476" t="s">
        <v>79</v>
      </c>
      <c r="L476" t="s">
        <v>71</v>
      </c>
      <c r="M476" t="s">
        <v>81</v>
      </c>
      <c r="O476" t="s">
        <v>88</v>
      </c>
      <c r="P476" t="s">
        <v>27</v>
      </c>
      <c r="Q476" t="s">
        <v>73</v>
      </c>
      <c r="R476" t="s">
        <v>76</v>
      </c>
      <c r="S476" t="s">
        <v>74</v>
      </c>
      <c r="T476" t="s">
        <v>75</v>
      </c>
      <c r="X476" t="s">
        <v>77</v>
      </c>
      <c r="Z476" t="s">
        <v>72</v>
      </c>
      <c r="AA476" t="s">
        <v>94</v>
      </c>
      <c r="AB476">
        <v>5</v>
      </c>
      <c r="AC476">
        <v>748714.71</v>
      </c>
      <c r="AD476">
        <v>8930469.5</v>
      </c>
      <c r="AE476">
        <v>190.01</v>
      </c>
      <c r="AF476">
        <v>748714.71</v>
      </c>
      <c r="AG476">
        <v>8930469.5</v>
      </c>
      <c r="AH476">
        <v>179.88</v>
      </c>
      <c r="AI476">
        <v>10.130000000000001</v>
      </c>
      <c r="AJ476">
        <v>0.6</v>
      </c>
      <c r="AK476">
        <v>3.37</v>
      </c>
      <c r="AL476">
        <v>2.93</v>
      </c>
      <c r="AM476">
        <v>0</v>
      </c>
      <c r="AN476">
        <v>0</v>
      </c>
      <c r="AO476">
        <v>358</v>
      </c>
      <c r="AP476">
        <v>3.25</v>
      </c>
      <c r="AQ476">
        <v>0.52</v>
      </c>
      <c r="AR476">
        <v>0.09</v>
      </c>
      <c r="AS476">
        <v>7.0000000000000007E-2</v>
      </c>
      <c r="AT476">
        <v>13.61</v>
      </c>
      <c r="AU476">
        <v>5.46</v>
      </c>
      <c r="AV476">
        <v>0.28000000000000003</v>
      </c>
      <c r="AW476">
        <v>1.68</v>
      </c>
      <c r="AX476">
        <v>8.86</v>
      </c>
      <c r="AY476">
        <v>3.3</v>
      </c>
      <c r="AZ476">
        <v>99.444999999999993</v>
      </c>
      <c r="BA476">
        <v>0</v>
      </c>
      <c r="BB476">
        <v>0</v>
      </c>
      <c r="BC476">
        <v>0</v>
      </c>
      <c r="BD476">
        <v>0</v>
      </c>
    </row>
    <row r="477" spans="1:56" x14ac:dyDescent="0.25">
      <c r="A477" s="23">
        <v>46304</v>
      </c>
      <c r="B477">
        <v>476</v>
      </c>
      <c r="C477" t="s">
        <v>82</v>
      </c>
      <c r="D477" t="s">
        <v>92</v>
      </c>
      <c r="E477">
        <v>2</v>
      </c>
      <c r="F477">
        <v>180</v>
      </c>
      <c r="G477">
        <v>1</v>
      </c>
      <c r="H477" t="s">
        <v>95</v>
      </c>
      <c r="I477" t="s">
        <v>91</v>
      </c>
      <c r="J477" t="s">
        <v>85</v>
      </c>
      <c r="K477" t="s">
        <v>86</v>
      </c>
      <c r="L477" t="s">
        <v>71</v>
      </c>
      <c r="M477" t="s">
        <v>81</v>
      </c>
      <c r="O477" t="s">
        <v>88</v>
      </c>
      <c r="P477" t="s">
        <v>27</v>
      </c>
      <c r="Q477" t="s">
        <v>73</v>
      </c>
      <c r="R477" t="s">
        <v>76</v>
      </c>
      <c r="S477" t="s">
        <v>74</v>
      </c>
      <c r="T477" t="s">
        <v>75</v>
      </c>
      <c r="X477" t="s">
        <v>77</v>
      </c>
      <c r="Z477" t="s">
        <v>72</v>
      </c>
      <c r="AA477" t="s">
        <v>94</v>
      </c>
      <c r="AB477">
        <v>5</v>
      </c>
      <c r="AC477">
        <v>748715.73</v>
      </c>
      <c r="AD477">
        <v>8930472.7100000009</v>
      </c>
      <c r="AE477">
        <v>190.07</v>
      </c>
      <c r="AF477">
        <v>748715.73</v>
      </c>
      <c r="AG477">
        <v>8930472.7100000009</v>
      </c>
      <c r="AH477">
        <v>179.86</v>
      </c>
      <c r="AI477">
        <v>10.210000000000001</v>
      </c>
      <c r="AJ477">
        <v>0.6</v>
      </c>
      <c r="AK477">
        <v>3.37</v>
      </c>
      <c r="AL477">
        <v>2.93</v>
      </c>
      <c r="AM477">
        <v>0</v>
      </c>
      <c r="AN477">
        <v>0</v>
      </c>
      <c r="AO477">
        <v>358</v>
      </c>
      <c r="AP477">
        <v>3.3</v>
      </c>
      <c r="AQ477">
        <v>0.56999999999999995</v>
      </c>
      <c r="AR477">
        <v>0.1</v>
      </c>
      <c r="AS477">
        <v>7.0000000000000007E-2</v>
      </c>
      <c r="AT477">
        <v>14.97</v>
      </c>
      <c r="AU477">
        <v>5.75</v>
      </c>
      <c r="AV477">
        <v>0.3</v>
      </c>
      <c r="AW477">
        <v>1.81</v>
      </c>
      <c r="AX477">
        <v>9.09</v>
      </c>
      <c r="AY477">
        <v>3.3</v>
      </c>
      <c r="AZ477">
        <v>100.61</v>
      </c>
      <c r="BA477">
        <v>0</v>
      </c>
      <c r="BB477">
        <v>0</v>
      </c>
      <c r="BC477">
        <v>0</v>
      </c>
      <c r="BD477">
        <v>0</v>
      </c>
    </row>
    <row r="478" spans="1:56" x14ac:dyDescent="0.25">
      <c r="A478" s="23">
        <v>46304</v>
      </c>
      <c r="B478">
        <v>477</v>
      </c>
      <c r="C478" t="s">
        <v>82</v>
      </c>
      <c r="D478" t="s">
        <v>92</v>
      </c>
      <c r="E478">
        <v>2</v>
      </c>
      <c r="F478">
        <v>180</v>
      </c>
      <c r="G478">
        <v>1</v>
      </c>
      <c r="H478" t="s">
        <v>95</v>
      </c>
      <c r="I478" t="s">
        <v>91</v>
      </c>
      <c r="J478" t="s">
        <v>85</v>
      </c>
      <c r="K478" t="s">
        <v>86</v>
      </c>
      <c r="L478" t="s">
        <v>71</v>
      </c>
      <c r="M478" t="s">
        <v>87</v>
      </c>
      <c r="O478" t="s">
        <v>88</v>
      </c>
      <c r="P478" t="s">
        <v>27</v>
      </c>
      <c r="Q478" t="s">
        <v>73</v>
      </c>
      <c r="R478" t="s">
        <v>76</v>
      </c>
      <c r="S478" t="s">
        <v>74</v>
      </c>
      <c r="T478" t="s">
        <v>75</v>
      </c>
      <c r="X478" t="s">
        <v>77</v>
      </c>
      <c r="Z478" t="s">
        <v>72</v>
      </c>
      <c r="AA478" t="s">
        <v>94</v>
      </c>
      <c r="AB478">
        <v>5</v>
      </c>
      <c r="AC478">
        <v>748716.77</v>
      </c>
      <c r="AD478">
        <v>8930475.9100000001</v>
      </c>
      <c r="AE478">
        <v>189.92</v>
      </c>
      <c r="AF478">
        <v>748716.77</v>
      </c>
      <c r="AG478">
        <v>8930475.9100000001</v>
      </c>
      <c r="AH478">
        <v>179.83</v>
      </c>
      <c r="AI478">
        <v>10.09</v>
      </c>
      <c r="AJ478">
        <v>0.6</v>
      </c>
      <c r="AK478">
        <v>3.37</v>
      </c>
      <c r="AL478">
        <v>2.93</v>
      </c>
      <c r="AM478">
        <v>0</v>
      </c>
      <c r="AN478">
        <v>0</v>
      </c>
      <c r="AO478">
        <v>358</v>
      </c>
      <c r="AP478">
        <v>3.32</v>
      </c>
      <c r="AQ478">
        <v>0.59</v>
      </c>
      <c r="AR478">
        <v>0.1</v>
      </c>
      <c r="AS478">
        <v>7.0000000000000007E-2</v>
      </c>
      <c r="AT478">
        <v>15.48</v>
      </c>
      <c r="AU478">
        <v>5.94</v>
      </c>
      <c r="AV478">
        <v>0.32</v>
      </c>
      <c r="AW478">
        <v>1.86</v>
      </c>
      <c r="AX478">
        <v>9.3800000000000008</v>
      </c>
      <c r="AY478">
        <v>3.3</v>
      </c>
      <c r="AZ478">
        <v>98.861999999999995</v>
      </c>
      <c r="BA478">
        <v>0</v>
      </c>
      <c r="BB478">
        <v>0</v>
      </c>
      <c r="BC478">
        <v>0</v>
      </c>
      <c r="BD478">
        <v>0</v>
      </c>
    </row>
    <row r="479" spans="1:56" x14ac:dyDescent="0.25">
      <c r="A479" s="23">
        <v>46304</v>
      </c>
      <c r="B479">
        <v>478</v>
      </c>
      <c r="C479" t="s">
        <v>82</v>
      </c>
      <c r="D479" t="s">
        <v>92</v>
      </c>
      <c r="E479">
        <v>2</v>
      </c>
      <c r="F479">
        <v>180</v>
      </c>
      <c r="G479">
        <v>1</v>
      </c>
      <c r="H479" t="s">
        <v>95</v>
      </c>
      <c r="I479" t="s">
        <v>91</v>
      </c>
      <c r="J479" t="s">
        <v>85</v>
      </c>
      <c r="K479" t="s">
        <v>86</v>
      </c>
      <c r="L479" t="s">
        <v>71</v>
      </c>
      <c r="M479" t="s">
        <v>87</v>
      </c>
      <c r="O479" t="s">
        <v>88</v>
      </c>
      <c r="P479" t="s">
        <v>27</v>
      </c>
      <c r="Q479" t="s">
        <v>73</v>
      </c>
      <c r="R479" t="s">
        <v>76</v>
      </c>
      <c r="S479" t="s">
        <v>74</v>
      </c>
      <c r="T479" t="s">
        <v>75</v>
      </c>
      <c r="X479" t="s">
        <v>77</v>
      </c>
      <c r="Z479" t="s">
        <v>72</v>
      </c>
      <c r="AA479" t="s">
        <v>94</v>
      </c>
      <c r="AB479">
        <v>5</v>
      </c>
      <c r="AC479">
        <v>748718.5</v>
      </c>
      <c r="AD479">
        <v>8930478.8100000005</v>
      </c>
      <c r="AE479">
        <v>189.91</v>
      </c>
      <c r="AF479">
        <v>748718.5</v>
      </c>
      <c r="AG479">
        <v>8930478.8100000005</v>
      </c>
      <c r="AH479">
        <v>179.84</v>
      </c>
      <c r="AI479">
        <v>10.07</v>
      </c>
      <c r="AJ479">
        <v>0.6</v>
      </c>
      <c r="AK479">
        <v>3.37</v>
      </c>
      <c r="AL479">
        <v>2.93</v>
      </c>
      <c r="AM479">
        <v>0</v>
      </c>
      <c r="AN479">
        <v>0</v>
      </c>
      <c r="AO479">
        <v>358</v>
      </c>
      <c r="AP479">
        <v>3.33</v>
      </c>
      <c r="AQ479">
        <v>0.62</v>
      </c>
      <c r="AR479">
        <v>0.1</v>
      </c>
      <c r="AS479">
        <v>0.08</v>
      </c>
      <c r="AT479">
        <v>16.23</v>
      </c>
      <c r="AU479">
        <v>6</v>
      </c>
      <c r="AV479">
        <v>0.33</v>
      </c>
      <c r="AW479">
        <v>1.9</v>
      </c>
      <c r="AX479">
        <v>9.1300000000000008</v>
      </c>
      <c r="AY479">
        <v>3.3</v>
      </c>
      <c r="AZ479">
        <v>98.570999999999998</v>
      </c>
      <c r="BA479">
        <v>0</v>
      </c>
      <c r="BB479">
        <v>0</v>
      </c>
      <c r="BC479">
        <v>0</v>
      </c>
      <c r="BD479">
        <v>0</v>
      </c>
    </row>
    <row r="480" spans="1:56" x14ac:dyDescent="0.25">
      <c r="A480" s="23">
        <v>46304</v>
      </c>
      <c r="B480">
        <v>479</v>
      </c>
      <c r="C480" t="s">
        <v>82</v>
      </c>
      <c r="D480" t="s">
        <v>92</v>
      </c>
      <c r="E480">
        <v>2</v>
      </c>
      <c r="F480">
        <v>180</v>
      </c>
      <c r="G480">
        <v>1</v>
      </c>
      <c r="H480" t="s">
        <v>95</v>
      </c>
      <c r="I480" t="s">
        <v>91</v>
      </c>
      <c r="J480" t="s">
        <v>97</v>
      </c>
      <c r="K480" t="s">
        <v>86</v>
      </c>
      <c r="L480" t="s">
        <v>71</v>
      </c>
      <c r="M480" t="s">
        <v>87</v>
      </c>
      <c r="O480" t="s">
        <v>88</v>
      </c>
      <c r="P480" t="s">
        <v>27</v>
      </c>
      <c r="Q480" t="s">
        <v>73</v>
      </c>
      <c r="R480" t="s">
        <v>76</v>
      </c>
      <c r="S480" t="s">
        <v>74</v>
      </c>
      <c r="T480" t="s">
        <v>75</v>
      </c>
      <c r="X480" t="s">
        <v>77</v>
      </c>
      <c r="Z480" t="s">
        <v>72</v>
      </c>
      <c r="AA480" t="s">
        <v>94</v>
      </c>
      <c r="AB480">
        <v>5</v>
      </c>
      <c r="AC480">
        <v>748720.54</v>
      </c>
      <c r="AD480">
        <v>8930481.4499999993</v>
      </c>
      <c r="AE480">
        <v>189.79</v>
      </c>
      <c r="AF480">
        <v>748720.54</v>
      </c>
      <c r="AG480">
        <v>8930481.4499999993</v>
      </c>
      <c r="AH480">
        <v>179.81</v>
      </c>
      <c r="AI480">
        <v>9.98</v>
      </c>
      <c r="AJ480">
        <v>0.6</v>
      </c>
      <c r="AK480">
        <v>3.37</v>
      </c>
      <c r="AL480">
        <v>2.93</v>
      </c>
      <c r="AM480">
        <v>0</v>
      </c>
      <c r="AN480">
        <v>0</v>
      </c>
      <c r="AO480">
        <v>358</v>
      </c>
      <c r="AP480">
        <v>3.34</v>
      </c>
      <c r="AQ480">
        <v>0.71</v>
      </c>
      <c r="AR480">
        <v>0.11</v>
      </c>
      <c r="AS480">
        <v>0.09</v>
      </c>
      <c r="AT480">
        <v>19.649999999999999</v>
      </c>
      <c r="AU480">
        <v>5.92</v>
      </c>
      <c r="AV480">
        <v>0.36</v>
      </c>
      <c r="AW480">
        <v>1.95</v>
      </c>
      <c r="AX480">
        <v>8.19</v>
      </c>
      <c r="AY480">
        <v>3.3</v>
      </c>
      <c r="AZ480">
        <v>97.260999999999996</v>
      </c>
      <c r="BA480">
        <v>0</v>
      </c>
      <c r="BB480">
        <v>0</v>
      </c>
      <c r="BC480">
        <v>0</v>
      </c>
      <c r="BD480">
        <v>0</v>
      </c>
    </row>
    <row r="481" spans="1:56" x14ac:dyDescent="0.25">
      <c r="A481" s="23">
        <v>46304</v>
      </c>
      <c r="B481">
        <v>480</v>
      </c>
      <c r="C481" t="s">
        <v>82</v>
      </c>
      <c r="D481" t="s">
        <v>92</v>
      </c>
      <c r="E481">
        <v>2</v>
      </c>
      <c r="F481">
        <v>180</v>
      </c>
      <c r="G481">
        <v>1</v>
      </c>
      <c r="H481" t="s">
        <v>95</v>
      </c>
      <c r="I481" t="s">
        <v>91</v>
      </c>
      <c r="J481" t="s">
        <v>97</v>
      </c>
      <c r="K481" t="s">
        <v>86</v>
      </c>
      <c r="L481" t="s">
        <v>71</v>
      </c>
      <c r="M481" t="s">
        <v>87</v>
      </c>
      <c r="O481" t="s">
        <v>88</v>
      </c>
      <c r="P481" t="s">
        <v>27</v>
      </c>
      <c r="Q481" t="s">
        <v>73</v>
      </c>
      <c r="R481" t="s">
        <v>76</v>
      </c>
      <c r="S481" t="s">
        <v>74</v>
      </c>
      <c r="T481" t="s">
        <v>75</v>
      </c>
      <c r="X481" t="s">
        <v>77</v>
      </c>
      <c r="Z481" t="s">
        <v>72</v>
      </c>
      <c r="AA481" t="s">
        <v>94</v>
      </c>
      <c r="AB481">
        <v>5</v>
      </c>
      <c r="AC481">
        <v>748723.13</v>
      </c>
      <c r="AD481">
        <v>8930483.5899999999</v>
      </c>
      <c r="AE481">
        <v>189.66</v>
      </c>
      <c r="AF481">
        <v>748723.13</v>
      </c>
      <c r="AG481">
        <v>8930483.5899999999</v>
      </c>
      <c r="AH481">
        <v>179.79</v>
      </c>
      <c r="AI481">
        <v>9.8699999999999992</v>
      </c>
      <c r="AJ481">
        <v>0.6</v>
      </c>
      <c r="AK481">
        <v>3.37</v>
      </c>
      <c r="AL481">
        <v>2.93</v>
      </c>
      <c r="AM481">
        <v>0</v>
      </c>
      <c r="AN481">
        <v>0</v>
      </c>
      <c r="AO481">
        <v>358</v>
      </c>
      <c r="AP481">
        <v>3.35</v>
      </c>
      <c r="AQ481">
        <v>0.71</v>
      </c>
      <c r="AR481">
        <v>0.1</v>
      </c>
      <c r="AS481">
        <v>0.09</v>
      </c>
      <c r="AT481">
        <v>20.46</v>
      </c>
      <c r="AU481">
        <v>5.82</v>
      </c>
      <c r="AV481">
        <v>0.37</v>
      </c>
      <c r="AW481">
        <v>1.93</v>
      </c>
      <c r="AX481">
        <v>8.02</v>
      </c>
      <c r="AY481">
        <v>3.3</v>
      </c>
      <c r="AZ481">
        <v>95.659000000000006</v>
      </c>
      <c r="BA481">
        <v>0</v>
      </c>
      <c r="BB481">
        <v>0</v>
      </c>
      <c r="BC481">
        <v>0</v>
      </c>
      <c r="BD481">
        <v>0</v>
      </c>
    </row>
    <row r="482" spans="1:56" x14ac:dyDescent="0.25">
      <c r="A482" s="23">
        <v>46304</v>
      </c>
      <c r="B482">
        <v>481</v>
      </c>
      <c r="C482" t="s">
        <v>82</v>
      </c>
      <c r="D482" t="s">
        <v>92</v>
      </c>
      <c r="E482">
        <v>2</v>
      </c>
      <c r="F482">
        <v>180</v>
      </c>
      <c r="G482">
        <v>1</v>
      </c>
      <c r="H482" t="s">
        <v>95</v>
      </c>
      <c r="I482" t="s">
        <v>91</v>
      </c>
      <c r="J482" t="s">
        <v>97</v>
      </c>
      <c r="K482" t="s">
        <v>86</v>
      </c>
      <c r="L482" t="s">
        <v>71</v>
      </c>
      <c r="M482" t="s">
        <v>87</v>
      </c>
      <c r="O482" t="s">
        <v>88</v>
      </c>
      <c r="P482" t="s">
        <v>27</v>
      </c>
      <c r="Q482" t="s">
        <v>73</v>
      </c>
      <c r="R482" t="s">
        <v>76</v>
      </c>
      <c r="S482" t="s">
        <v>74</v>
      </c>
      <c r="T482" t="s">
        <v>75</v>
      </c>
      <c r="X482" t="s">
        <v>77</v>
      </c>
      <c r="Z482" t="s">
        <v>72</v>
      </c>
      <c r="AA482" t="s">
        <v>94</v>
      </c>
      <c r="AB482">
        <v>5</v>
      </c>
      <c r="AC482">
        <v>748725.81</v>
      </c>
      <c r="AD482">
        <v>8930485.6400000006</v>
      </c>
      <c r="AE482">
        <v>189.55</v>
      </c>
      <c r="AF482">
        <v>748725.81</v>
      </c>
      <c r="AG482">
        <v>8930485.6400000006</v>
      </c>
      <c r="AH482">
        <v>179.76</v>
      </c>
      <c r="AI482">
        <v>9.7899999999999991</v>
      </c>
      <c r="AJ482">
        <v>0.6</v>
      </c>
      <c r="AK482">
        <v>3.37</v>
      </c>
      <c r="AL482">
        <v>2.93</v>
      </c>
      <c r="AM482">
        <v>0</v>
      </c>
      <c r="AN482">
        <v>0</v>
      </c>
      <c r="AO482">
        <v>358</v>
      </c>
      <c r="AP482">
        <v>3.35</v>
      </c>
      <c r="AQ482">
        <v>0.71</v>
      </c>
      <c r="AR482">
        <v>0.1</v>
      </c>
      <c r="AS482">
        <v>0.09</v>
      </c>
      <c r="AT482">
        <v>20.45</v>
      </c>
      <c r="AU482">
        <v>5.82</v>
      </c>
      <c r="AV482">
        <v>0.37</v>
      </c>
      <c r="AW482">
        <v>1.93</v>
      </c>
      <c r="AX482">
        <v>8.02</v>
      </c>
      <c r="AY482">
        <v>3.3</v>
      </c>
      <c r="AZ482">
        <v>94.494</v>
      </c>
      <c r="BA482">
        <v>0</v>
      </c>
      <c r="BB482">
        <v>0</v>
      </c>
      <c r="BC482">
        <v>0</v>
      </c>
      <c r="BD482">
        <v>0</v>
      </c>
    </row>
    <row r="483" spans="1:56" x14ac:dyDescent="0.25">
      <c r="A483" s="23">
        <v>46304</v>
      </c>
      <c r="B483">
        <v>482</v>
      </c>
      <c r="C483" t="s">
        <v>82</v>
      </c>
      <c r="D483" t="s">
        <v>92</v>
      </c>
      <c r="E483">
        <v>2</v>
      </c>
      <c r="F483">
        <v>180</v>
      </c>
      <c r="G483">
        <v>1</v>
      </c>
      <c r="H483" t="s">
        <v>95</v>
      </c>
      <c r="I483" t="s">
        <v>91</v>
      </c>
      <c r="J483" t="s">
        <v>97</v>
      </c>
      <c r="K483" t="s">
        <v>86</v>
      </c>
      <c r="L483" t="s">
        <v>71</v>
      </c>
      <c r="M483" t="s">
        <v>87</v>
      </c>
      <c r="O483" t="s">
        <v>88</v>
      </c>
      <c r="P483" t="s">
        <v>27</v>
      </c>
      <c r="Q483" t="s">
        <v>73</v>
      </c>
      <c r="R483" t="s">
        <v>76</v>
      </c>
      <c r="S483" t="s">
        <v>74</v>
      </c>
      <c r="T483" t="s">
        <v>75</v>
      </c>
      <c r="X483" t="s">
        <v>77</v>
      </c>
      <c r="Z483" t="s">
        <v>72</v>
      </c>
      <c r="AA483" t="s">
        <v>94</v>
      </c>
      <c r="AB483">
        <v>5</v>
      </c>
      <c r="AC483">
        <v>748728.49</v>
      </c>
      <c r="AD483">
        <v>8930487.6899999995</v>
      </c>
      <c r="AE483">
        <v>189.57</v>
      </c>
      <c r="AF483">
        <v>748728.49</v>
      </c>
      <c r="AG483">
        <v>8930487.6899999995</v>
      </c>
      <c r="AH483">
        <v>179.76</v>
      </c>
      <c r="AI483">
        <v>9.81</v>
      </c>
      <c r="AJ483">
        <v>0.6</v>
      </c>
      <c r="AK483">
        <v>3.37</v>
      </c>
      <c r="AL483">
        <v>2.93</v>
      </c>
      <c r="AM483">
        <v>0</v>
      </c>
      <c r="AN483">
        <v>0</v>
      </c>
      <c r="AO483">
        <v>358</v>
      </c>
      <c r="AP483">
        <v>3.35</v>
      </c>
      <c r="AQ483">
        <v>0.71</v>
      </c>
      <c r="AR483">
        <v>0.1</v>
      </c>
      <c r="AS483">
        <v>0.09</v>
      </c>
      <c r="AT483">
        <v>20.43</v>
      </c>
      <c r="AU483">
        <v>5.8</v>
      </c>
      <c r="AV483">
        <v>0.37</v>
      </c>
      <c r="AW483">
        <v>1.92</v>
      </c>
      <c r="AX483">
        <v>8.01</v>
      </c>
      <c r="AY483">
        <v>3.3</v>
      </c>
      <c r="AZ483">
        <v>94.786000000000001</v>
      </c>
      <c r="BA483">
        <v>0</v>
      </c>
      <c r="BB483">
        <v>0</v>
      </c>
      <c r="BC483">
        <v>0</v>
      </c>
      <c r="BD483">
        <v>0</v>
      </c>
    </row>
    <row r="484" spans="1:56" x14ac:dyDescent="0.25">
      <c r="A484" s="23">
        <v>46304</v>
      </c>
      <c r="B484">
        <v>483</v>
      </c>
      <c r="C484" t="s">
        <v>82</v>
      </c>
      <c r="D484" t="s">
        <v>92</v>
      </c>
      <c r="E484">
        <v>2</v>
      </c>
      <c r="F484">
        <v>180</v>
      </c>
      <c r="G484">
        <v>1</v>
      </c>
      <c r="H484" t="s">
        <v>95</v>
      </c>
      <c r="I484" t="s">
        <v>91</v>
      </c>
      <c r="J484" t="s">
        <v>85</v>
      </c>
      <c r="K484" t="s">
        <v>86</v>
      </c>
      <c r="L484" t="s">
        <v>71</v>
      </c>
      <c r="M484" t="s">
        <v>87</v>
      </c>
      <c r="O484" t="s">
        <v>88</v>
      </c>
      <c r="P484" t="s">
        <v>27</v>
      </c>
      <c r="Q484" t="s">
        <v>73</v>
      </c>
      <c r="R484" t="s">
        <v>76</v>
      </c>
      <c r="S484" t="s">
        <v>74</v>
      </c>
      <c r="T484" t="s">
        <v>75</v>
      </c>
      <c r="X484" t="s">
        <v>77</v>
      </c>
      <c r="Z484" t="s">
        <v>72</v>
      </c>
      <c r="AA484" t="s">
        <v>94</v>
      </c>
      <c r="AB484">
        <v>5</v>
      </c>
      <c r="AC484">
        <v>748731.16</v>
      </c>
      <c r="AD484">
        <v>8930489.7300000004</v>
      </c>
      <c r="AE484">
        <v>189.77</v>
      </c>
      <c r="AF484">
        <v>748731.16</v>
      </c>
      <c r="AG484">
        <v>8930489.7300000004</v>
      </c>
      <c r="AH484">
        <v>179.76</v>
      </c>
      <c r="AI484">
        <v>10.01</v>
      </c>
      <c r="AJ484">
        <v>0.6</v>
      </c>
      <c r="AK484">
        <v>3.37</v>
      </c>
      <c r="AL484">
        <v>2.93</v>
      </c>
      <c r="AM484">
        <v>0</v>
      </c>
      <c r="AN484">
        <v>0</v>
      </c>
      <c r="AO484">
        <v>358</v>
      </c>
      <c r="AP484">
        <v>3.32</v>
      </c>
      <c r="AQ484">
        <v>0.64</v>
      </c>
      <c r="AR484">
        <v>0.09</v>
      </c>
      <c r="AS484">
        <v>0.08</v>
      </c>
      <c r="AT484">
        <v>20.21</v>
      </c>
      <c r="AU484">
        <v>5.47</v>
      </c>
      <c r="AV484">
        <v>0.37</v>
      </c>
      <c r="AW484">
        <v>1.74</v>
      </c>
      <c r="AX484">
        <v>8.3800000000000008</v>
      </c>
      <c r="AY484">
        <v>3.3</v>
      </c>
      <c r="AZ484">
        <v>97.697999999999993</v>
      </c>
      <c r="BA484">
        <v>0</v>
      </c>
      <c r="BB484">
        <v>0</v>
      </c>
      <c r="BC484">
        <v>0</v>
      </c>
      <c r="BD484">
        <v>0</v>
      </c>
    </row>
    <row r="485" spans="1:56" x14ac:dyDescent="0.25">
      <c r="A485" s="23">
        <v>46304</v>
      </c>
      <c r="B485">
        <v>484</v>
      </c>
      <c r="C485" t="s">
        <v>82</v>
      </c>
      <c r="D485" t="s">
        <v>92</v>
      </c>
      <c r="E485">
        <v>2</v>
      </c>
      <c r="F485">
        <v>180</v>
      </c>
      <c r="G485">
        <v>1</v>
      </c>
      <c r="H485" t="s">
        <v>95</v>
      </c>
      <c r="I485" t="s">
        <v>91</v>
      </c>
      <c r="J485" t="s">
        <v>85</v>
      </c>
      <c r="K485" t="s">
        <v>86</v>
      </c>
      <c r="L485" t="s">
        <v>71</v>
      </c>
      <c r="M485" t="s">
        <v>87</v>
      </c>
      <c r="O485" t="s">
        <v>88</v>
      </c>
      <c r="P485" t="s">
        <v>27</v>
      </c>
      <c r="Q485" t="s">
        <v>73</v>
      </c>
      <c r="R485" t="s">
        <v>76</v>
      </c>
      <c r="S485" t="s">
        <v>74</v>
      </c>
      <c r="T485" t="s">
        <v>75</v>
      </c>
      <c r="X485" t="s">
        <v>77</v>
      </c>
      <c r="Z485" t="s">
        <v>72</v>
      </c>
      <c r="AA485" t="s">
        <v>94</v>
      </c>
      <c r="AB485">
        <v>5</v>
      </c>
      <c r="AC485">
        <v>748733.84</v>
      </c>
      <c r="AD485">
        <v>8930491.7799999993</v>
      </c>
      <c r="AE485">
        <v>189.79</v>
      </c>
      <c r="AF485">
        <v>748733.84</v>
      </c>
      <c r="AG485">
        <v>8930491.7799999993</v>
      </c>
      <c r="AH485">
        <v>179.76</v>
      </c>
      <c r="AI485">
        <v>10.029999999999999</v>
      </c>
      <c r="AJ485">
        <v>0.6</v>
      </c>
      <c r="AK485">
        <v>3.37</v>
      </c>
      <c r="AL485">
        <v>2.93</v>
      </c>
      <c r="AM485">
        <v>0</v>
      </c>
      <c r="AN485">
        <v>0</v>
      </c>
      <c r="AO485">
        <v>358</v>
      </c>
      <c r="AP485">
        <v>3.28</v>
      </c>
      <c r="AQ485">
        <v>0.59</v>
      </c>
      <c r="AR485">
        <v>0.09</v>
      </c>
      <c r="AS485">
        <v>0.08</v>
      </c>
      <c r="AT485">
        <v>20.059999999999999</v>
      </c>
      <c r="AU485">
        <v>5.24</v>
      </c>
      <c r="AV485">
        <v>0.36</v>
      </c>
      <c r="AW485">
        <v>1.65</v>
      </c>
      <c r="AX485">
        <v>9.02</v>
      </c>
      <c r="AY485">
        <v>3.3</v>
      </c>
      <c r="AZ485">
        <v>97.989000000000004</v>
      </c>
      <c r="BA485">
        <v>0</v>
      </c>
      <c r="BB485">
        <v>0</v>
      </c>
      <c r="BC485">
        <v>0</v>
      </c>
      <c r="BD485">
        <v>0</v>
      </c>
    </row>
    <row r="486" spans="1:56" x14ac:dyDescent="0.25">
      <c r="A486" s="23">
        <v>46304</v>
      </c>
      <c r="B486">
        <v>485</v>
      </c>
      <c r="C486" t="s">
        <v>82</v>
      </c>
      <c r="D486" t="s">
        <v>92</v>
      </c>
      <c r="E486">
        <v>2</v>
      </c>
      <c r="F486">
        <v>180</v>
      </c>
      <c r="G486">
        <v>1</v>
      </c>
      <c r="H486" t="s">
        <v>95</v>
      </c>
      <c r="I486" t="s">
        <v>91</v>
      </c>
      <c r="J486" t="s">
        <v>85</v>
      </c>
      <c r="K486" t="s">
        <v>86</v>
      </c>
      <c r="L486" t="s">
        <v>71</v>
      </c>
      <c r="M486" t="s">
        <v>87</v>
      </c>
      <c r="O486" t="s">
        <v>88</v>
      </c>
      <c r="P486" t="s">
        <v>27</v>
      </c>
      <c r="Q486" t="s">
        <v>73</v>
      </c>
      <c r="R486" t="s">
        <v>76</v>
      </c>
      <c r="S486" t="s">
        <v>74</v>
      </c>
      <c r="T486" t="s">
        <v>75</v>
      </c>
      <c r="X486" t="s">
        <v>77</v>
      </c>
      <c r="Z486" t="s">
        <v>72</v>
      </c>
      <c r="AA486" t="s">
        <v>94</v>
      </c>
      <c r="AB486">
        <v>5</v>
      </c>
      <c r="AC486">
        <v>748736.52</v>
      </c>
      <c r="AD486">
        <v>8930493.8300000001</v>
      </c>
      <c r="AE486">
        <v>189.87</v>
      </c>
      <c r="AF486">
        <v>748736.52</v>
      </c>
      <c r="AG486">
        <v>8930493.8300000001</v>
      </c>
      <c r="AH486">
        <v>179.76</v>
      </c>
      <c r="AI486">
        <v>10.11</v>
      </c>
      <c r="AJ486">
        <v>0.6</v>
      </c>
      <c r="AK486">
        <v>3.37</v>
      </c>
      <c r="AL486">
        <v>2.93</v>
      </c>
      <c r="AM486">
        <v>0</v>
      </c>
      <c r="AN486">
        <v>0</v>
      </c>
      <c r="AO486">
        <v>358</v>
      </c>
      <c r="AP486">
        <v>3.28</v>
      </c>
      <c r="AQ486">
        <v>0.59</v>
      </c>
      <c r="AR486">
        <v>0.09</v>
      </c>
      <c r="AS486">
        <v>0.08</v>
      </c>
      <c r="AT486">
        <v>20.05</v>
      </c>
      <c r="AU486">
        <v>5.22</v>
      </c>
      <c r="AV486">
        <v>0.36</v>
      </c>
      <c r="AW486">
        <v>1.65</v>
      </c>
      <c r="AX486">
        <v>9.06</v>
      </c>
      <c r="AY486">
        <v>3.3</v>
      </c>
      <c r="AZ486">
        <v>99.153999999999996</v>
      </c>
      <c r="BA486">
        <v>0</v>
      </c>
      <c r="BB486">
        <v>0</v>
      </c>
      <c r="BC486">
        <v>0</v>
      </c>
      <c r="BD486">
        <v>0</v>
      </c>
    </row>
    <row r="487" spans="1:56" x14ac:dyDescent="0.25">
      <c r="A487" s="23">
        <v>46304</v>
      </c>
      <c r="B487">
        <v>486</v>
      </c>
      <c r="C487" t="s">
        <v>82</v>
      </c>
      <c r="D487" t="s">
        <v>92</v>
      </c>
      <c r="E487">
        <v>2</v>
      </c>
      <c r="F487">
        <v>180</v>
      </c>
      <c r="G487">
        <v>1</v>
      </c>
      <c r="H487" t="s">
        <v>95</v>
      </c>
      <c r="I487" t="s">
        <v>91</v>
      </c>
      <c r="J487" t="s">
        <v>85</v>
      </c>
      <c r="K487" t="s">
        <v>86</v>
      </c>
      <c r="L487" t="s">
        <v>71</v>
      </c>
      <c r="M487" t="s">
        <v>87</v>
      </c>
      <c r="O487" t="s">
        <v>88</v>
      </c>
      <c r="P487" t="s">
        <v>27</v>
      </c>
      <c r="Q487" t="s">
        <v>73</v>
      </c>
      <c r="R487" t="s">
        <v>76</v>
      </c>
      <c r="S487" t="s">
        <v>74</v>
      </c>
      <c r="T487" t="s">
        <v>75</v>
      </c>
      <c r="X487" t="s">
        <v>77</v>
      </c>
      <c r="Z487" t="s">
        <v>72</v>
      </c>
      <c r="AA487" t="s">
        <v>94</v>
      </c>
      <c r="AB487">
        <v>5</v>
      </c>
      <c r="AC487">
        <v>748739.2</v>
      </c>
      <c r="AD487">
        <v>8930495.8699999992</v>
      </c>
      <c r="AE487">
        <v>189.85</v>
      </c>
      <c r="AF487">
        <v>748739.2</v>
      </c>
      <c r="AG487">
        <v>8930495.8699999992</v>
      </c>
      <c r="AH487">
        <v>179.76</v>
      </c>
      <c r="AI487">
        <v>10.09</v>
      </c>
      <c r="AJ487">
        <v>0.6</v>
      </c>
      <c r="AK487">
        <v>3.37</v>
      </c>
      <c r="AL487">
        <v>2.93</v>
      </c>
      <c r="AM487">
        <v>0</v>
      </c>
      <c r="AN487">
        <v>0</v>
      </c>
      <c r="AO487">
        <v>358</v>
      </c>
      <c r="AP487">
        <v>3.29</v>
      </c>
      <c r="AQ487">
        <v>0.56999999999999995</v>
      </c>
      <c r="AR487">
        <v>0.08</v>
      </c>
      <c r="AS487">
        <v>0.08</v>
      </c>
      <c r="AT487">
        <v>19.649999999999999</v>
      </c>
      <c r="AU487">
        <v>5.33</v>
      </c>
      <c r="AV487">
        <v>0.36</v>
      </c>
      <c r="AW487">
        <v>1.6</v>
      </c>
      <c r="AX487">
        <v>9.08</v>
      </c>
      <c r="AY487">
        <v>3.3</v>
      </c>
      <c r="AZ487">
        <v>98.861999999999995</v>
      </c>
      <c r="BA487">
        <v>0</v>
      </c>
      <c r="BB487">
        <v>0</v>
      </c>
      <c r="BC487">
        <v>0</v>
      </c>
      <c r="BD487">
        <v>0</v>
      </c>
    </row>
    <row r="488" spans="1:56" x14ac:dyDescent="0.25">
      <c r="A488" s="23">
        <v>46304</v>
      </c>
      <c r="B488">
        <v>487</v>
      </c>
      <c r="C488" t="s">
        <v>82</v>
      </c>
      <c r="D488" t="s">
        <v>83</v>
      </c>
      <c r="E488">
        <v>2</v>
      </c>
      <c r="F488">
        <v>180</v>
      </c>
      <c r="G488">
        <v>1</v>
      </c>
      <c r="H488" t="s">
        <v>95</v>
      </c>
      <c r="I488" t="s">
        <v>91</v>
      </c>
      <c r="J488" t="s">
        <v>85</v>
      </c>
      <c r="K488" t="s">
        <v>86</v>
      </c>
      <c r="L488" t="s">
        <v>71</v>
      </c>
      <c r="M488" t="s">
        <v>87</v>
      </c>
      <c r="O488" t="s">
        <v>88</v>
      </c>
      <c r="P488" t="s">
        <v>27</v>
      </c>
      <c r="Q488" t="s">
        <v>73</v>
      </c>
      <c r="R488" t="s">
        <v>76</v>
      </c>
      <c r="S488" t="s">
        <v>74</v>
      </c>
      <c r="T488" t="s">
        <v>75</v>
      </c>
      <c r="X488" t="s">
        <v>77</v>
      </c>
      <c r="Z488" t="s">
        <v>72</v>
      </c>
      <c r="AA488" t="s">
        <v>94</v>
      </c>
      <c r="AB488">
        <v>5</v>
      </c>
      <c r="AC488">
        <v>748741.87</v>
      </c>
      <c r="AD488">
        <v>8930497.9199999999</v>
      </c>
      <c r="AE488">
        <v>189.93</v>
      </c>
      <c r="AF488">
        <v>748741.87</v>
      </c>
      <c r="AG488">
        <v>8930497.9199999999</v>
      </c>
      <c r="AH488">
        <v>179.76</v>
      </c>
      <c r="AI488">
        <v>10.17</v>
      </c>
      <c r="AJ488">
        <v>0.6</v>
      </c>
      <c r="AK488">
        <v>3.37</v>
      </c>
      <c r="AL488">
        <v>2.93</v>
      </c>
      <c r="AM488">
        <v>0</v>
      </c>
      <c r="AN488">
        <v>0</v>
      </c>
      <c r="AO488">
        <v>358</v>
      </c>
      <c r="AP488">
        <v>3.33</v>
      </c>
      <c r="AQ488">
        <v>0.52</v>
      </c>
      <c r="AR488">
        <v>7.0000000000000007E-2</v>
      </c>
      <c r="AS488">
        <v>7.0000000000000007E-2</v>
      </c>
      <c r="AT488">
        <v>18.559999999999999</v>
      </c>
      <c r="AU488">
        <v>5.62</v>
      </c>
      <c r="AV488">
        <v>0.35</v>
      </c>
      <c r="AW488">
        <v>1.48</v>
      </c>
      <c r="AX488">
        <v>9.1199999999999992</v>
      </c>
      <c r="AY488">
        <v>3.3</v>
      </c>
      <c r="AZ488">
        <v>100.027</v>
      </c>
      <c r="BA488">
        <v>0</v>
      </c>
      <c r="BB488">
        <v>0</v>
      </c>
      <c r="BC488">
        <v>0</v>
      </c>
      <c r="BD488">
        <v>0</v>
      </c>
    </row>
    <row r="489" spans="1:56" x14ac:dyDescent="0.25">
      <c r="A489" s="23">
        <v>46304</v>
      </c>
      <c r="B489">
        <v>488</v>
      </c>
      <c r="C489" t="s">
        <v>82</v>
      </c>
      <c r="D489" t="s">
        <v>83</v>
      </c>
      <c r="E489">
        <v>2</v>
      </c>
      <c r="F489">
        <v>180</v>
      </c>
      <c r="G489">
        <v>1</v>
      </c>
      <c r="H489" t="s">
        <v>95</v>
      </c>
      <c r="I489" t="s">
        <v>91</v>
      </c>
      <c r="J489" t="s">
        <v>85</v>
      </c>
      <c r="K489" t="s">
        <v>86</v>
      </c>
      <c r="L489" t="s">
        <v>71</v>
      </c>
      <c r="M489" t="s">
        <v>87</v>
      </c>
      <c r="O489" t="s">
        <v>88</v>
      </c>
      <c r="P489" t="s">
        <v>27</v>
      </c>
      <c r="Q489" t="s">
        <v>73</v>
      </c>
      <c r="R489" t="s">
        <v>76</v>
      </c>
      <c r="S489" t="s">
        <v>74</v>
      </c>
      <c r="T489" t="s">
        <v>75</v>
      </c>
      <c r="X489" t="s">
        <v>77</v>
      </c>
      <c r="Z489" t="s">
        <v>72</v>
      </c>
      <c r="AA489" t="s">
        <v>94</v>
      </c>
      <c r="AB489">
        <v>5</v>
      </c>
      <c r="AC489">
        <v>748744.55</v>
      </c>
      <c r="AD489">
        <v>8930499.9600000009</v>
      </c>
      <c r="AE489">
        <v>190.02</v>
      </c>
      <c r="AF489">
        <v>748744.55</v>
      </c>
      <c r="AG489">
        <v>8930499.9600000009</v>
      </c>
      <c r="AH489">
        <v>179.75</v>
      </c>
      <c r="AI489">
        <v>10.28</v>
      </c>
      <c r="AJ489">
        <v>0.6</v>
      </c>
      <c r="AK489">
        <v>3.37</v>
      </c>
      <c r="AL489">
        <v>2.93</v>
      </c>
      <c r="AM489">
        <v>0</v>
      </c>
      <c r="AN489">
        <v>0</v>
      </c>
      <c r="AO489">
        <v>358</v>
      </c>
      <c r="AP489">
        <v>3.31</v>
      </c>
      <c r="AQ489">
        <v>0.52</v>
      </c>
      <c r="AR489">
        <v>7.0000000000000007E-2</v>
      </c>
      <c r="AS489">
        <v>0.06</v>
      </c>
      <c r="AT489">
        <v>17.52</v>
      </c>
      <c r="AU489">
        <v>5.47</v>
      </c>
      <c r="AV489">
        <v>0.32</v>
      </c>
      <c r="AW489">
        <v>1.69</v>
      </c>
      <c r="AX489">
        <v>7.34</v>
      </c>
      <c r="AY489">
        <v>3.3</v>
      </c>
      <c r="AZ489">
        <v>101.629</v>
      </c>
      <c r="BA489">
        <v>0</v>
      </c>
      <c r="BB489">
        <v>0</v>
      </c>
      <c r="BC489">
        <v>0</v>
      </c>
      <c r="BD489">
        <v>0</v>
      </c>
    </row>
    <row r="490" spans="1:56" x14ac:dyDescent="0.25">
      <c r="A490" s="23">
        <v>46304</v>
      </c>
      <c r="B490">
        <v>489</v>
      </c>
      <c r="C490" t="s">
        <v>82</v>
      </c>
      <c r="D490" t="s">
        <v>83</v>
      </c>
      <c r="E490">
        <v>2</v>
      </c>
      <c r="F490">
        <v>180</v>
      </c>
      <c r="G490">
        <v>1</v>
      </c>
      <c r="H490" t="s">
        <v>95</v>
      </c>
      <c r="I490" t="s">
        <v>91</v>
      </c>
      <c r="J490" t="s">
        <v>85</v>
      </c>
      <c r="K490" t="s">
        <v>86</v>
      </c>
      <c r="L490" t="s">
        <v>71</v>
      </c>
      <c r="M490" t="s">
        <v>87</v>
      </c>
      <c r="O490" t="s">
        <v>88</v>
      </c>
      <c r="P490" t="s">
        <v>27</v>
      </c>
      <c r="Q490" t="s">
        <v>73</v>
      </c>
      <c r="R490" t="s">
        <v>76</v>
      </c>
      <c r="S490" t="s">
        <v>74</v>
      </c>
      <c r="T490" t="s">
        <v>75</v>
      </c>
      <c r="X490" t="s">
        <v>77</v>
      </c>
      <c r="Z490" t="s">
        <v>72</v>
      </c>
      <c r="AA490" t="s">
        <v>94</v>
      </c>
      <c r="AB490">
        <v>5</v>
      </c>
      <c r="AC490">
        <v>748747.25</v>
      </c>
      <c r="AD490">
        <v>8930501.9900000002</v>
      </c>
      <c r="AE490">
        <v>190.09</v>
      </c>
      <c r="AF490">
        <v>748747.25</v>
      </c>
      <c r="AG490">
        <v>8930501.9900000002</v>
      </c>
      <c r="AH490">
        <v>179.72</v>
      </c>
      <c r="AI490">
        <v>10.37</v>
      </c>
      <c r="AJ490">
        <v>0.6</v>
      </c>
      <c r="AK490">
        <v>3.37</v>
      </c>
      <c r="AL490">
        <v>2.93</v>
      </c>
      <c r="AM490">
        <v>0</v>
      </c>
      <c r="AN490">
        <v>0</v>
      </c>
      <c r="AO490">
        <v>358</v>
      </c>
      <c r="AP490">
        <v>3.28</v>
      </c>
      <c r="AQ490">
        <v>0.51</v>
      </c>
      <c r="AR490">
        <v>7.0000000000000007E-2</v>
      </c>
      <c r="AS490">
        <v>0.06</v>
      </c>
      <c r="AT490">
        <v>16.32</v>
      </c>
      <c r="AU490">
        <v>5.3</v>
      </c>
      <c r="AV490">
        <v>0.28999999999999998</v>
      </c>
      <c r="AW490">
        <v>1.91</v>
      </c>
      <c r="AX490">
        <v>5.44</v>
      </c>
      <c r="AY490">
        <v>3.3</v>
      </c>
      <c r="AZ490">
        <v>102.93899999999999</v>
      </c>
      <c r="BA490">
        <v>0</v>
      </c>
      <c r="BB490">
        <v>0</v>
      </c>
      <c r="BC490">
        <v>0</v>
      </c>
      <c r="BD490">
        <v>0</v>
      </c>
    </row>
    <row r="491" spans="1:56" x14ac:dyDescent="0.25">
      <c r="A491" s="23">
        <v>46304</v>
      </c>
      <c r="B491">
        <v>490</v>
      </c>
      <c r="C491" t="s">
        <v>82</v>
      </c>
      <c r="D491" t="s">
        <v>83</v>
      </c>
      <c r="E491">
        <v>2</v>
      </c>
      <c r="F491">
        <v>180</v>
      </c>
      <c r="G491">
        <v>1</v>
      </c>
      <c r="H491" t="s">
        <v>95</v>
      </c>
      <c r="I491" t="s">
        <v>91</v>
      </c>
      <c r="J491" t="s">
        <v>85</v>
      </c>
      <c r="K491" t="s">
        <v>86</v>
      </c>
      <c r="L491" t="s">
        <v>71</v>
      </c>
      <c r="M491" t="s">
        <v>87</v>
      </c>
      <c r="O491" t="s">
        <v>88</v>
      </c>
      <c r="P491" t="s">
        <v>27</v>
      </c>
      <c r="Q491" t="s">
        <v>73</v>
      </c>
      <c r="R491" t="s">
        <v>76</v>
      </c>
      <c r="S491" t="s">
        <v>74</v>
      </c>
      <c r="T491" t="s">
        <v>75</v>
      </c>
      <c r="X491" t="s">
        <v>77</v>
      </c>
      <c r="Z491" t="s">
        <v>72</v>
      </c>
      <c r="AA491" t="s">
        <v>94</v>
      </c>
      <c r="AB491">
        <v>5</v>
      </c>
      <c r="AC491">
        <v>748750.07</v>
      </c>
      <c r="AD491">
        <v>8930503.8200000003</v>
      </c>
      <c r="AE491">
        <v>190.09</v>
      </c>
      <c r="AF491">
        <v>748750.07</v>
      </c>
      <c r="AG491">
        <v>8930503.8200000003</v>
      </c>
      <c r="AH491">
        <v>179.73</v>
      </c>
      <c r="AI491">
        <v>10.36</v>
      </c>
      <c r="AJ491">
        <v>0.6</v>
      </c>
      <c r="AK491">
        <v>3.37</v>
      </c>
      <c r="AL491">
        <v>2.93</v>
      </c>
      <c r="AM491">
        <v>0</v>
      </c>
      <c r="AN491">
        <v>0</v>
      </c>
      <c r="AO491">
        <v>358</v>
      </c>
      <c r="AP491">
        <v>3.23</v>
      </c>
      <c r="AQ491">
        <v>0.41</v>
      </c>
      <c r="AR491">
        <v>0.06</v>
      </c>
      <c r="AS491">
        <v>0.05</v>
      </c>
      <c r="AT491">
        <v>13.64</v>
      </c>
      <c r="AU491">
        <v>4.3600000000000003</v>
      </c>
      <c r="AV491">
        <v>0.24</v>
      </c>
      <c r="AW491">
        <v>1.41</v>
      </c>
      <c r="AX491">
        <v>2.4700000000000002</v>
      </c>
      <c r="AY491">
        <v>3.3</v>
      </c>
      <c r="AZ491">
        <v>102.794</v>
      </c>
      <c r="BA491">
        <v>0</v>
      </c>
      <c r="BB491">
        <v>0</v>
      </c>
      <c r="BC491">
        <v>0</v>
      </c>
      <c r="BD491">
        <v>0</v>
      </c>
    </row>
    <row r="492" spans="1:56" x14ac:dyDescent="0.25">
      <c r="A492" s="23">
        <v>46304</v>
      </c>
      <c r="B492">
        <v>491</v>
      </c>
      <c r="C492" t="s">
        <v>82</v>
      </c>
      <c r="D492" t="s">
        <v>83</v>
      </c>
      <c r="E492">
        <v>2</v>
      </c>
      <c r="F492">
        <v>180</v>
      </c>
      <c r="G492">
        <v>1</v>
      </c>
      <c r="H492" t="s">
        <v>95</v>
      </c>
      <c r="I492" t="s">
        <v>91</v>
      </c>
      <c r="J492" t="s">
        <v>85</v>
      </c>
      <c r="K492" t="s">
        <v>86</v>
      </c>
      <c r="L492" t="s">
        <v>71</v>
      </c>
      <c r="M492" t="s">
        <v>87</v>
      </c>
      <c r="O492" t="s">
        <v>88</v>
      </c>
      <c r="P492" t="s">
        <v>27</v>
      </c>
      <c r="Q492" t="s">
        <v>73</v>
      </c>
      <c r="R492" t="s">
        <v>76</v>
      </c>
      <c r="S492" t="s">
        <v>74</v>
      </c>
      <c r="T492" t="s">
        <v>75</v>
      </c>
      <c r="X492" t="s">
        <v>77</v>
      </c>
      <c r="Z492" t="s">
        <v>72</v>
      </c>
      <c r="AA492" t="s">
        <v>94</v>
      </c>
      <c r="AB492">
        <v>5</v>
      </c>
      <c r="AC492">
        <v>748752.9</v>
      </c>
      <c r="AD492">
        <v>8930505.6500000004</v>
      </c>
      <c r="AE492">
        <v>190.07</v>
      </c>
      <c r="AF492">
        <v>748752.9</v>
      </c>
      <c r="AG492">
        <v>8930505.6500000004</v>
      </c>
      <c r="AH492">
        <v>179.74</v>
      </c>
      <c r="AI492">
        <v>10.33</v>
      </c>
      <c r="AJ492">
        <v>0.6</v>
      </c>
      <c r="AK492">
        <v>3.37</v>
      </c>
      <c r="AL492">
        <v>2.93</v>
      </c>
      <c r="AM492">
        <v>0</v>
      </c>
      <c r="AN492">
        <v>0</v>
      </c>
      <c r="AO492">
        <v>358</v>
      </c>
      <c r="AP492">
        <v>3.19</v>
      </c>
      <c r="AQ492">
        <v>0.32</v>
      </c>
      <c r="AR492">
        <v>0.05</v>
      </c>
      <c r="AS492">
        <v>0.04</v>
      </c>
      <c r="AT492">
        <v>11.17</v>
      </c>
      <c r="AU492">
        <v>3.55</v>
      </c>
      <c r="AV492">
        <v>0.2</v>
      </c>
      <c r="AW492">
        <v>1.03</v>
      </c>
      <c r="AX492">
        <v>0</v>
      </c>
      <c r="AY492">
        <v>3.3</v>
      </c>
      <c r="AZ492">
        <v>102.357</v>
      </c>
      <c r="BA492">
        <v>0</v>
      </c>
      <c r="BB492">
        <v>0</v>
      </c>
      <c r="BC492">
        <v>0</v>
      </c>
      <c r="BD492">
        <v>0</v>
      </c>
    </row>
    <row r="493" spans="1:56" x14ac:dyDescent="0.25">
      <c r="A493" s="23">
        <v>46304</v>
      </c>
      <c r="B493">
        <v>492</v>
      </c>
      <c r="C493" t="s">
        <v>82</v>
      </c>
      <c r="D493" t="s">
        <v>83</v>
      </c>
      <c r="E493">
        <v>2</v>
      </c>
      <c r="F493">
        <v>180</v>
      </c>
      <c r="G493">
        <v>1</v>
      </c>
      <c r="H493" t="s">
        <v>95</v>
      </c>
      <c r="I493" t="s">
        <v>91</v>
      </c>
      <c r="J493" t="s">
        <v>85</v>
      </c>
      <c r="K493" t="s">
        <v>86</v>
      </c>
      <c r="L493" t="s">
        <v>71</v>
      </c>
      <c r="M493" t="s">
        <v>87</v>
      </c>
      <c r="O493" t="s">
        <v>88</v>
      </c>
      <c r="P493" t="s">
        <v>27</v>
      </c>
      <c r="Q493" t="s">
        <v>73</v>
      </c>
      <c r="R493" t="s">
        <v>76</v>
      </c>
      <c r="S493" t="s">
        <v>74</v>
      </c>
      <c r="T493" t="s">
        <v>75</v>
      </c>
      <c r="X493" t="s">
        <v>77</v>
      </c>
      <c r="Z493" t="s">
        <v>72</v>
      </c>
      <c r="AA493" t="s">
        <v>94</v>
      </c>
      <c r="AB493">
        <v>5</v>
      </c>
      <c r="AC493">
        <v>748755.73</v>
      </c>
      <c r="AD493">
        <v>8930507.4800000004</v>
      </c>
      <c r="AE493">
        <v>190.01</v>
      </c>
      <c r="AF493">
        <v>748755.73</v>
      </c>
      <c r="AG493">
        <v>8930507.4800000004</v>
      </c>
      <c r="AH493">
        <v>179.74</v>
      </c>
      <c r="AI493">
        <v>10.27</v>
      </c>
      <c r="AJ493">
        <v>0.6</v>
      </c>
      <c r="AK493">
        <v>3.37</v>
      </c>
      <c r="AL493">
        <v>2.93</v>
      </c>
      <c r="AM493">
        <v>0</v>
      </c>
      <c r="AN493">
        <v>0</v>
      </c>
      <c r="AO493">
        <v>358</v>
      </c>
      <c r="AP493">
        <v>3.16</v>
      </c>
      <c r="AQ493">
        <v>0.28999999999999998</v>
      </c>
      <c r="AR493">
        <v>0.04</v>
      </c>
      <c r="AS493">
        <v>0.04</v>
      </c>
      <c r="AT493">
        <v>9.85</v>
      </c>
      <c r="AU493">
        <v>3.14</v>
      </c>
      <c r="AV493">
        <v>0.17</v>
      </c>
      <c r="AW493">
        <v>0.91</v>
      </c>
      <c r="AX493">
        <v>0</v>
      </c>
      <c r="AY493">
        <v>3.3</v>
      </c>
      <c r="AZ493">
        <v>101.483</v>
      </c>
      <c r="BA493">
        <v>0</v>
      </c>
      <c r="BB493">
        <v>0</v>
      </c>
      <c r="BC493">
        <v>0</v>
      </c>
      <c r="BD493">
        <v>0</v>
      </c>
    </row>
    <row r="494" spans="1:56" x14ac:dyDescent="0.25">
      <c r="A494" s="23">
        <v>46304</v>
      </c>
      <c r="B494">
        <v>493</v>
      </c>
      <c r="C494" t="s">
        <v>82</v>
      </c>
      <c r="D494" t="s">
        <v>83</v>
      </c>
      <c r="E494">
        <v>2</v>
      </c>
      <c r="F494">
        <v>180</v>
      </c>
      <c r="G494">
        <v>1</v>
      </c>
      <c r="H494" t="s">
        <v>95</v>
      </c>
      <c r="I494" t="s">
        <v>91</v>
      </c>
      <c r="J494" t="s">
        <v>70</v>
      </c>
      <c r="K494" t="s">
        <v>86</v>
      </c>
      <c r="L494" t="s">
        <v>71</v>
      </c>
      <c r="M494" t="s">
        <v>87</v>
      </c>
      <c r="O494" t="s">
        <v>88</v>
      </c>
      <c r="P494" t="s">
        <v>27</v>
      </c>
      <c r="Q494" t="s">
        <v>73</v>
      </c>
      <c r="R494" t="s">
        <v>76</v>
      </c>
      <c r="S494" t="s">
        <v>74</v>
      </c>
      <c r="T494" t="s">
        <v>75</v>
      </c>
      <c r="X494" t="s">
        <v>77</v>
      </c>
      <c r="Z494" t="s">
        <v>72</v>
      </c>
      <c r="AA494" t="s">
        <v>94</v>
      </c>
      <c r="AB494">
        <v>5</v>
      </c>
      <c r="AC494">
        <v>748758.56</v>
      </c>
      <c r="AD494">
        <v>8930509.3100000005</v>
      </c>
      <c r="AE494">
        <v>190.07</v>
      </c>
      <c r="AF494">
        <v>748758.56</v>
      </c>
      <c r="AG494">
        <v>8930509.3100000005</v>
      </c>
      <c r="AH494">
        <v>179.74</v>
      </c>
      <c r="AI494">
        <v>10.33</v>
      </c>
      <c r="AJ494">
        <v>0.6</v>
      </c>
      <c r="AK494">
        <v>3.37</v>
      </c>
      <c r="AL494">
        <v>2.93</v>
      </c>
      <c r="AM494">
        <v>0</v>
      </c>
      <c r="AN494">
        <v>0</v>
      </c>
      <c r="AO494">
        <v>358</v>
      </c>
      <c r="AP494">
        <v>3.13</v>
      </c>
      <c r="AQ494">
        <v>0.25</v>
      </c>
      <c r="AR494">
        <v>0.03</v>
      </c>
      <c r="AS494">
        <v>0.03</v>
      </c>
      <c r="AT494">
        <v>8.41</v>
      </c>
      <c r="AU494">
        <v>2.7</v>
      </c>
      <c r="AV494">
        <v>0.15</v>
      </c>
      <c r="AW494">
        <v>0.81</v>
      </c>
      <c r="AX494">
        <v>0</v>
      </c>
      <c r="AY494">
        <v>3.3</v>
      </c>
      <c r="AZ494">
        <v>102.357</v>
      </c>
      <c r="BA494">
        <v>0</v>
      </c>
      <c r="BB494">
        <v>0</v>
      </c>
      <c r="BC494">
        <v>0</v>
      </c>
      <c r="BD494">
        <v>0</v>
      </c>
    </row>
    <row r="495" spans="1:56" x14ac:dyDescent="0.25">
      <c r="A495" s="23">
        <v>46304</v>
      </c>
      <c r="B495">
        <v>494</v>
      </c>
      <c r="C495" t="s">
        <v>82</v>
      </c>
      <c r="D495" t="s">
        <v>83</v>
      </c>
      <c r="E495">
        <v>2</v>
      </c>
      <c r="F495">
        <v>180</v>
      </c>
      <c r="G495">
        <v>0</v>
      </c>
      <c r="H495" t="s">
        <v>95</v>
      </c>
      <c r="I495" t="s">
        <v>78</v>
      </c>
      <c r="J495" t="s">
        <v>70</v>
      </c>
      <c r="K495" t="s">
        <v>86</v>
      </c>
      <c r="L495" t="s">
        <v>71</v>
      </c>
      <c r="M495" t="s">
        <v>87</v>
      </c>
      <c r="O495" t="s">
        <v>88</v>
      </c>
      <c r="P495" t="s">
        <v>27</v>
      </c>
      <c r="Q495" t="s">
        <v>73</v>
      </c>
      <c r="R495" t="s">
        <v>76</v>
      </c>
      <c r="S495" t="s">
        <v>74</v>
      </c>
      <c r="T495" t="s">
        <v>75</v>
      </c>
      <c r="X495" t="s">
        <v>77</v>
      </c>
      <c r="Z495" t="s">
        <v>72</v>
      </c>
      <c r="AA495" t="s">
        <v>94</v>
      </c>
      <c r="AB495">
        <v>5</v>
      </c>
      <c r="AC495">
        <v>748761.39</v>
      </c>
      <c r="AD495">
        <v>8930511.1400000006</v>
      </c>
      <c r="AE495">
        <v>190.09</v>
      </c>
      <c r="AF495">
        <v>748761.39</v>
      </c>
      <c r="AG495">
        <v>8930511.1400000006</v>
      </c>
      <c r="AH495">
        <v>179.73</v>
      </c>
      <c r="AI495">
        <v>10.35</v>
      </c>
      <c r="AJ495">
        <v>0.6</v>
      </c>
      <c r="AK495">
        <v>3.37</v>
      </c>
      <c r="AL495">
        <v>2.93</v>
      </c>
      <c r="AM495">
        <v>0</v>
      </c>
      <c r="AN495">
        <v>0</v>
      </c>
      <c r="AO495">
        <v>358</v>
      </c>
      <c r="AP495">
        <v>3.13</v>
      </c>
      <c r="AQ495">
        <v>0.22</v>
      </c>
      <c r="AR495">
        <v>0.03</v>
      </c>
      <c r="AS495">
        <v>0.03</v>
      </c>
      <c r="AT495">
        <v>7.16</v>
      </c>
      <c r="AU495">
        <v>2.36</v>
      </c>
      <c r="AV495">
        <v>0.12</v>
      </c>
      <c r="AW495">
        <v>0.76</v>
      </c>
      <c r="AX495">
        <v>0</v>
      </c>
      <c r="AY495">
        <v>3.3</v>
      </c>
      <c r="AZ495">
        <v>102.648</v>
      </c>
      <c r="BA495">
        <v>0</v>
      </c>
      <c r="BB495">
        <v>0</v>
      </c>
      <c r="BC495">
        <v>0</v>
      </c>
      <c r="BD495">
        <v>0</v>
      </c>
    </row>
    <row r="496" spans="1:56" x14ac:dyDescent="0.25">
      <c r="A496" s="23">
        <v>46304</v>
      </c>
      <c r="B496">
        <v>495</v>
      </c>
      <c r="C496" t="s">
        <v>82</v>
      </c>
      <c r="D496" t="s">
        <v>83</v>
      </c>
      <c r="E496">
        <v>2</v>
      </c>
      <c r="F496">
        <v>180</v>
      </c>
      <c r="G496">
        <v>0</v>
      </c>
      <c r="H496" t="s">
        <v>95</v>
      </c>
      <c r="I496" t="s">
        <v>78</v>
      </c>
      <c r="J496" t="s">
        <v>70</v>
      </c>
      <c r="K496" t="s">
        <v>86</v>
      </c>
      <c r="L496" t="s">
        <v>71</v>
      </c>
      <c r="M496" t="s">
        <v>87</v>
      </c>
      <c r="O496" t="s">
        <v>88</v>
      </c>
      <c r="P496" t="s">
        <v>27</v>
      </c>
      <c r="Q496" t="s">
        <v>73</v>
      </c>
      <c r="R496" t="s">
        <v>76</v>
      </c>
      <c r="S496" t="s">
        <v>74</v>
      </c>
      <c r="T496" t="s">
        <v>75</v>
      </c>
      <c r="X496" t="s">
        <v>77</v>
      </c>
      <c r="Z496" t="s">
        <v>72</v>
      </c>
      <c r="AA496" t="s">
        <v>94</v>
      </c>
      <c r="AB496">
        <v>5</v>
      </c>
      <c r="AC496">
        <v>748764.22</v>
      </c>
      <c r="AD496">
        <v>8930512.9700000007</v>
      </c>
      <c r="AE496">
        <v>190.11</v>
      </c>
      <c r="AF496">
        <v>748764.22</v>
      </c>
      <c r="AG496">
        <v>8930512.9700000007</v>
      </c>
      <c r="AH496">
        <v>179.73</v>
      </c>
      <c r="AI496">
        <v>10.37</v>
      </c>
      <c r="AJ496">
        <v>0.6</v>
      </c>
      <c r="AK496">
        <v>3.37</v>
      </c>
      <c r="AL496">
        <v>2.93</v>
      </c>
      <c r="AM496">
        <v>0</v>
      </c>
      <c r="AN496">
        <v>0</v>
      </c>
      <c r="AO496">
        <v>358</v>
      </c>
      <c r="AP496">
        <v>3.13</v>
      </c>
      <c r="AQ496">
        <v>0.19</v>
      </c>
      <c r="AR496">
        <v>0.03</v>
      </c>
      <c r="AS496">
        <v>0.02</v>
      </c>
      <c r="AT496">
        <v>6.12</v>
      </c>
      <c r="AU496">
        <v>2.0299999999999998</v>
      </c>
      <c r="AV496">
        <v>0.1</v>
      </c>
      <c r="AW496">
        <v>0.67</v>
      </c>
      <c r="AX496">
        <v>0</v>
      </c>
      <c r="AY496">
        <v>3.3</v>
      </c>
      <c r="AZ496">
        <v>102.93899999999999</v>
      </c>
      <c r="BA496">
        <v>0</v>
      </c>
      <c r="BB496">
        <v>0</v>
      </c>
      <c r="BC496">
        <v>0</v>
      </c>
      <c r="BD496">
        <v>0</v>
      </c>
    </row>
    <row r="497" spans="1:56" x14ac:dyDescent="0.25">
      <c r="A497" s="23">
        <v>46304</v>
      </c>
      <c r="B497">
        <v>496</v>
      </c>
      <c r="C497" t="s">
        <v>82</v>
      </c>
      <c r="D497" t="s">
        <v>83</v>
      </c>
      <c r="E497">
        <v>2</v>
      </c>
      <c r="F497">
        <v>180</v>
      </c>
      <c r="G497">
        <v>0</v>
      </c>
      <c r="H497" t="s">
        <v>95</v>
      </c>
      <c r="I497" t="s">
        <v>78</v>
      </c>
      <c r="J497" t="s">
        <v>70</v>
      </c>
      <c r="K497" t="s">
        <v>86</v>
      </c>
      <c r="L497" t="s">
        <v>71</v>
      </c>
      <c r="M497" t="s">
        <v>87</v>
      </c>
      <c r="O497" t="s">
        <v>88</v>
      </c>
      <c r="P497" t="s">
        <v>27</v>
      </c>
      <c r="Q497" t="s">
        <v>73</v>
      </c>
      <c r="R497" t="s">
        <v>76</v>
      </c>
      <c r="S497" t="s">
        <v>74</v>
      </c>
      <c r="T497" t="s">
        <v>75</v>
      </c>
      <c r="X497" t="s">
        <v>77</v>
      </c>
      <c r="Z497" t="s">
        <v>72</v>
      </c>
      <c r="AA497" t="s">
        <v>94</v>
      </c>
      <c r="AB497">
        <v>5</v>
      </c>
      <c r="AC497">
        <v>748767.05</v>
      </c>
      <c r="AD497">
        <v>8930514.8000000007</v>
      </c>
      <c r="AE497">
        <v>190.13</v>
      </c>
      <c r="AF497">
        <v>748767.05</v>
      </c>
      <c r="AG497">
        <v>8930514.8000000007</v>
      </c>
      <c r="AH497">
        <v>179.73</v>
      </c>
      <c r="AI497">
        <v>10.4</v>
      </c>
      <c r="AJ497">
        <v>0.6</v>
      </c>
      <c r="AK497">
        <v>3.37</v>
      </c>
      <c r="AL497">
        <v>2.93</v>
      </c>
      <c r="AM497">
        <v>0</v>
      </c>
      <c r="AN497">
        <v>0</v>
      </c>
      <c r="AO497">
        <v>358</v>
      </c>
      <c r="AP497">
        <v>3.12</v>
      </c>
      <c r="AQ497">
        <v>0.17</v>
      </c>
      <c r="AR497">
        <v>0.02</v>
      </c>
      <c r="AS497">
        <v>0.02</v>
      </c>
      <c r="AT497">
        <v>5.38</v>
      </c>
      <c r="AU497">
        <v>1.83</v>
      </c>
      <c r="AV497">
        <v>0.09</v>
      </c>
      <c r="AW497">
        <v>0.59</v>
      </c>
      <c r="AX497">
        <v>0</v>
      </c>
      <c r="AY497">
        <v>3.3</v>
      </c>
      <c r="AZ497">
        <v>103.376</v>
      </c>
      <c r="BA497">
        <v>0</v>
      </c>
      <c r="BB497">
        <v>0</v>
      </c>
      <c r="BC497">
        <v>0</v>
      </c>
      <c r="BD497">
        <v>0</v>
      </c>
    </row>
    <row r="498" spans="1:56" x14ac:dyDescent="0.25">
      <c r="A498" s="23">
        <v>46304</v>
      </c>
      <c r="B498">
        <v>497</v>
      </c>
      <c r="C498" t="s">
        <v>82</v>
      </c>
      <c r="D498" t="s">
        <v>83</v>
      </c>
      <c r="E498">
        <v>2</v>
      </c>
      <c r="F498">
        <v>180</v>
      </c>
      <c r="G498">
        <v>0</v>
      </c>
      <c r="H498" t="s">
        <v>95</v>
      </c>
      <c r="I498" t="s">
        <v>78</v>
      </c>
      <c r="J498" t="s">
        <v>70</v>
      </c>
      <c r="K498" t="s">
        <v>86</v>
      </c>
      <c r="L498" t="s">
        <v>71</v>
      </c>
      <c r="M498" t="s">
        <v>87</v>
      </c>
      <c r="O498" t="s">
        <v>88</v>
      </c>
      <c r="P498" t="s">
        <v>27</v>
      </c>
      <c r="Q498" t="s">
        <v>73</v>
      </c>
      <c r="R498" t="s">
        <v>76</v>
      </c>
      <c r="S498" t="s">
        <v>74</v>
      </c>
      <c r="T498" t="s">
        <v>75</v>
      </c>
      <c r="X498" t="s">
        <v>77</v>
      </c>
      <c r="Z498" t="s">
        <v>72</v>
      </c>
      <c r="AA498" t="s">
        <v>94</v>
      </c>
      <c r="AB498">
        <v>5</v>
      </c>
      <c r="AC498">
        <v>748769.88</v>
      </c>
      <c r="AD498">
        <v>8930516.6300000008</v>
      </c>
      <c r="AE498">
        <v>190.43</v>
      </c>
      <c r="AF498">
        <v>748769.88</v>
      </c>
      <c r="AG498">
        <v>8930516.6300000008</v>
      </c>
      <c r="AH498">
        <v>179.74</v>
      </c>
      <c r="AI498">
        <v>10.7</v>
      </c>
      <c r="AJ498">
        <v>0.6</v>
      </c>
      <c r="AK498">
        <v>3.37</v>
      </c>
      <c r="AL498">
        <v>2.93</v>
      </c>
      <c r="AM498">
        <v>0</v>
      </c>
      <c r="AN498">
        <v>0</v>
      </c>
      <c r="AO498">
        <v>358</v>
      </c>
      <c r="AP498">
        <v>3.15</v>
      </c>
      <c r="AQ498">
        <v>0.21</v>
      </c>
      <c r="AR498">
        <v>0.03</v>
      </c>
      <c r="AS498">
        <v>0.02</v>
      </c>
      <c r="AT498">
        <v>6.9</v>
      </c>
      <c r="AU498">
        <v>2.67</v>
      </c>
      <c r="AV498">
        <v>0.1</v>
      </c>
      <c r="AW498">
        <v>0.6</v>
      </c>
      <c r="AX498">
        <v>0</v>
      </c>
      <c r="AY498">
        <v>3.3</v>
      </c>
      <c r="AZ498">
        <v>107.744</v>
      </c>
      <c r="BA498">
        <v>0</v>
      </c>
      <c r="BB498">
        <v>0</v>
      </c>
      <c r="BC498">
        <v>0</v>
      </c>
      <c r="BD498">
        <v>0</v>
      </c>
    </row>
    <row r="499" spans="1:56" x14ac:dyDescent="0.25">
      <c r="A499" s="23">
        <v>46304</v>
      </c>
      <c r="B499">
        <v>498</v>
      </c>
      <c r="C499" t="s">
        <v>82</v>
      </c>
      <c r="D499" t="s">
        <v>83</v>
      </c>
      <c r="E499">
        <v>2</v>
      </c>
      <c r="F499">
        <v>180</v>
      </c>
      <c r="G499">
        <v>0</v>
      </c>
      <c r="H499" t="s">
        <v>95</v>
      </c>
      <c r="I499" t="s">
        <v>78</v>
      </c>
      <c r="J499" t="s">
        <v>90</v>
      </c>
      <c r="K499" t="s">
        <v>86</v>
      </c>
      <c r="L499" t="s">
        <v>71</v>
      </c>
      <c r="M499" t="s">
        <v>87</v>
      </c>
      <c r="O499" t="s">
        <v>88</v>
      </c>
      <c r="P499" t="s">
        <v>27</v>
      </c>
      <c r="Q499" t="s">
        <v>73</v>
      </c>
      <c r="R499" t="s">
        <v>76</v>
      </c>
      <c r="S499" t="s">
        <v>74</v>
      </c>
      <c r="T499" t="s">
        <v>75</v>
      </c>
      <c r="X499" t="s">
        <v>77</v>
      </c>
      <c r="Z499" t="s">
        <v>72</v>
      </c>
      <c r="AA499" t="s">
        <v>94</v>
      </c>
      <c r="AB499">
        <v>5</v>
      </c>
      <c r="AC499">
        <v>748772.83</v>
      </c>
      <c r="AD499">
        <v>8930518.2300000004</v>
      </c>
      <c r="AE499">
        <v>190.48</v>
      </c>
      <c r="AF499">
        <v>748772.83</v>
      </c>
      <c r="AG499">
        <v>8930518.2300000004</v>
      </c>
      <c r="AH499">
        <v>179.77</v>
      </c>
      <c r="AI499">
        <v>10.71</v>
      </c>
      <c r="AJ499">
        <v>0.6</v>
      </c>
      <c r="AK499">
        <v>3.37</v>
      </c>
      <c r="AL499">
        <v>2.93</v>
      </c>
      <c r="AM499">
        <v>0</v>
      </c>
      <c r="AN499">
        <v>0</v>
      </c>
      <c r="AO499">
        <v>358</v>
      </c>
      <c r="AP499">
        <v>3.19</v>
      </c>
      <c r="AQ499">
        <v>0.28000000000000003</v>
      </c>
      <c r="AR499">
        <v>0.04</v>
      </c>
      <c r="AS499">
        <v>0.03</v>
      </c>
      <c r="AT499">
        <v>9</v>
      </c>
      <c r="AU499">
        <v>3.75</v>
      </c>
      <c r="AV499">
        <v>0.05</v>
      </c>
      <c r="AW499">
        <v>0.42</v>
      </c>
      <c r="AX499">
        <v>0</v>
      </c>
      <c r="AY499">
        <v>3.3</v>
      </c>
      <c r="AZ499">
        <v>107.89</v>
      </c>
      <c r="BA499">
        <v>0</v>
      </c>
      <c r="BB499">
        <v>0</v>
      </c>
      <c r="BC499">
        <v>0</v>
      </c>
      <c r="BD499">
        <v>0</v>
      </c>
    </row>
    <row r="500" spans="1:56" x14ac:dyDescent="0.25">
      <c r="A500" s="23">
        <v>46304</v>
      </c>
      <c r="B500">
        <v>499</v>
      </c>
      <c r="C500" t="s">
        <v>82</v>
      </c>
      <c r="D500" t="s">
        <v>83</v>
      </c>
      <c r="E500">
        <v>2</v>
      </c>
      <c r="F500">
        <v>180</v>
      </c>
      <c r="G500">
        <v>0</v>
      </c>
      <c r="H500" t="s">
        <v>95</v>
      </c>
      <c r="I500" t="s">
        <v>78</v>
      </c>
      <c r="J500" t="s">
        <v>90</v>
      </c>
      <c r="K500" t="s">
        <v>86</v>
      </c>
      <c r="L500" t="s">
        <v>71</v>
      </c>
      <c r="M500" t="s">
        <v>87</v>
      </c>
      <c r="O500" t="s">
        <v>88</v>
      </c>
      <c r="P500" t="s">
        <v>27</v>
      </c>
      <c r="Q500" t="s">
        <v>73</v>
      </c>
      <c r="R500" t="s">
        <v>76</v>
      </c>
      <c r="S500" t="s">
        <v>74</v>
      </c>
      <c r="T500" t="s">
        <v>75</v>
      </c>
      <c r="X500" t="s">
        <v>77</v>
      </c>
      <c r="Z500" t="s">
        <v>72</v>
      </c>
      <c r="AA500" t="s">
        <v>94</v>
      </c>
      <c r="AB500">
        <v>5</v>
      </c>
      <c r="AC500">
        <v>748777.71</v>
      </c>
      <c r="AD500">
        <v>8930520.0099999998</v>
      </c>
      <c r="AE500">
        <v>193.92</v>
      </c>
      <c r="AF500">
        <v>748776.62</v>
      </c>
      <c r="AG500">
        <v>8930519.4299999997</v>
      </c>
      <c r="AH500">
        <v>179.81</v>
      </c>
      <c r="AI500">
        <v>14.17</v>
      </c>
      <c r="AJ500">
        <v>0.6</v>
      </c>
      <c r="AK500">
        <v>3.37</v>
      </c>
      <c r="AL500">
        <v>2.93</v>
      </c>
      <c r="AM500">
        <v>242</v>
      </c>
      <c r="AN500">
        <v>5</v>
      </c>
      <c r="AO500">
        <v>358</v>
      </c>
      <c r="AP500">
        <v>3.22</v>
      </c>
      <c r="AQ500">
        <v>0.37</v>
      </c>
      <c r="AR500">
        <v>0.05</v>
      </c>
      <c r="AS500">
        <v>0.04</v>
      </c>
      <c r="AT500">
        <v>11.78</v>
      </c>
      <c r="AU500">
        <v>5.24</v>
      </c>
      <c r="AV500">
        <v>0.06</v>
      </c>
      <c r="AW500">
        <v>0.9</v>
      </c>
      <c r="AX500">
        <v>0</v>
      </c>
      <c r="AY500">
        <v>3.3</v>
      </c>
      <c r="AZ500">
        <v>158.267</v>
      </c>
      <c r="BA500">
        <v>0</v>
      </c>
      <c r="BB500">
        <v>0</v>
      </c>
      <c r="BC500">
        <v>0</v>
      </c>
      <c r="BD500">
        <v>0</v>
      </c>
    </row>
    <row r="501" spans="1:56" x14ac:dyDescent="0.25">
      <c r="A501" s="23">
        <v>46304</v>
      </c>
      <c r="B501">
        <v>500</v>
      </c>
      <c r="C501" t="s">
        <v>82</v>
      </c>
      <c r="D501" t="s">
        <v>83</v>
      </c>
      <c r="E501">
        <v>2</v>
      </c>
      <c r="F501">
        <v>180</v>
      </c>
      <c r="G501">
        <v>0</v>
      </c>
      <c r="H501" t="s">
        <v>95</v>
      </c>
      <c r="I501" t="s">
        <v>78</v>
      </c>
      <c r="J501" t="s">
        <v>90</v>
      </c>
      <c r="K501" t="s">
        <v>86</v>
      </c>
      <c r="L501" t="s">
        <v>71</v>
      </c>
      <c r="M501" t="s">
        <v>87</v>
      </c>
      <c r="O501" t="s">
        <v>88</v>
      </c>
      <c r="P501" t="s">
        <v>27</v>
      </c>
      <c r="Q501" t="s">
        <v>73</v>
      </c>
      <c r="R501" t="s">
        <v>76</v>
      </c>
      <c r="S501" t="s">
        <v>74</v>
      </c>
      <c r="T501" t="s">
        <v>75</v>
      </c>
      <c r="X501" t="s">
        <v>77</v>
      </c>
      <c r="Z501" t="s">
        <v>72</v>
      </c>
      <c r="AA501" t="s">
        <v>94</v>
      </c>
      <c r="AB501">
        <v>5</v>
      </c>
      <c r="AC501">
        <v>748779.22</v>
      </c>
      <c r="AD501">
        <v>8930520.2899999991</v>
      </c>
      <c r="AE501">
        <v>194.52</v>
      </c>
      <c r="AF501">
        <v>748779.22</v>
      </c>
      <c r="AG501">
        <v>8930520.2899999991</v>
      </c>
      <c r="AH501">
        <v>179.78</v>
      </c>
      <c r="AI501">
        <v>14.74</v>
      </c>
      <c r="AJ501">
        <v>0.6</v>
      </c>
      <c r="AK501">
        <v>3.37</v>
      </c>
      <c r="AL501">
        <v>2.93</v>
      </c>
      <c r="AM501">
        <v>0</v>
      </c>
      <c r="AN501">
        <v>0</v>
      </c>
      <c r="AO501">
        <v>358</v>
      </c>
      <c r="AP501">
        <v>3.24</v>
      </c>
      <c r="AQ501">
        <v>0.39</v>
      </c>
      <c r="AR501">
        <v>0.05</v>
      </c>
      <c r="AS501">
        <v>0.04</v>
      </c>
      <c r="AT501">
        <v>12.11</v>
      </c>
      <c r="AU501">
        <v>5.53</v>
      </c>
      <c r="AV501">
        <v>0.05</v>
      </c>
      <c r="AW501">
        <v>0.85</v>
      </c>
      <c r="AX501">
        <v>0</v>
      </c>
      <c r="AY501">
        <v>3.3</v>
      </c>
      <c r="AZ501">
        <v>166.566</v>
      </c>
      <c r="BA501">
        <v>0</v>
      </c>
      <c r="BB501">
        <v>0</v>
      </c>
      <c r="BC501">
        <v>0</v>
      </c>
      <c r="BD501">
        <v>0</v>
      </c>
    </row>
    <row r="502" spans="1:56" x14ac:dyDescent="0.25">
      <c r="A502" s="23">
        <v>46304</v>
      </c>
      <c r="B502">
        <v>501</v>
      </c>
      <c r="C502" t="s">
        <v>82</v>
      </c>
      <c r="D502" t="s">
        <v>83</v>
      </c>
      <c r="E502">
        <v>2</v>
      </c>
      <c r="F502">
        <v>180</v>
      </c>
      <c r="G502">
        <v>1</v>
      </c>
      <c r="H502" t="s">
        <v>95</v>
      </c>
      <c r="I502" t="s">
        <v>78</v>
      </c>
      <c r="J502" t="s">
        <v>85</v>
      </c>
      <c r="K502" t="s">
        <v>86</v>
      </c>
      <c r="L502" t="s">
        <v>71</v>
      </c>
      <c r="M502" t="s">
        <v>87</v>
      </c>
      <c r="O502" t="s">
        <v>88</v>
      </c>
      <c r="P502" t="s">
        <v>27</v>
      </c>
      <c r="Q502" t="s">
        <v>73</v>
      </c>
      <c r="R502" t="s">
        <v>76</v>
      </c>
      <c r="S502" t="s">
        <v>74</v>
      </c>
      <c r="T502" t="s">
        <v>75</v>
      </c>
      <c r="X502" t="s">
        <v>77</v>
      </c>
      <c r="Z502" t="s">
        <v>72</v>
      </c>
      <c r="AA502" t="s">
        <v>94</v>
      </c>
      <c r="AB502">
        <v>5</v>
      </c>
      <c r="AC502">
        <v>748782.52</v>
      </c>
      <c r="AD502">
        <v>8930520.9399999995</v>
      </c>
      <c r="AE502">
        <v>194.84</v>
      </c>
      <c r="AF502">
        <v>748782.52</v>
      </c>
      <c r="AG502">
        <v>8930520.9399999995</v>
      </c>
      <c r="AH502">
        <v>179.78</v>
      </c>
      <c r="AI502">
        <v>15.06</v>
      </c>
      <c r="AJ502">
        <v>0.6</v>
      </c>
      <c r="AK502">
        <v>3.37</v>
      </c>
      <c r="AL502">
        <v>2.93</v>
      </c>
      <c r="AM502">
        <v>0</v>
      </c>
      <c r="AN502">
        <v>0</v>
      </c>
      <c r="AO502">
        <v>358</v>
      </c>
      <c r="AP502">
        <v>3.25</v>
      </c>
      <c r="AQ502">
        <v>0.39</v>
      </c>
      <c r="AR502">
        <v>0.05</v>
      </c>
      <c r="AS502">
        <v>0.04</v>
      </c>
      <c r="AT502">
        <v>11.88</v>
      </c>
      <c r="AU502">
        <v>5.62</v>
      </c>
      <c r="AV502">
        <v>0.04</v>
      </c>
      <c r="AW502">
        <v>0.72</v>
      </c>
      <c r="AX502">
        <v>0</v>
      </c>
      <c r="AY502">
        <v>3.3</v>
      </c>
      <c r="AZ502">
        <v>171.226</v>
      </c>
      <c r="BA502">
        <v>0</v>
      </c>
      <c r="BB502">
        <v>0</v>
      </c>
      <c r="BC502">
        <v>0</v>
      </c>
      <c r="BD502">
        <v>0</v>
      </c>
    </row>
    <row r="503" spans="1:56" x14ac:dyDescent="0.25">
      <c r="A503" s="23">
        <v>46304</v>
      </c>
      <c r="B503">
        <v>502</v>
      </c>
      <c r="C503" t="s">
        <v>82</v>
      </c>
      <c r="D503" t="s">
        <v>83</v>
      </c>
      <c r="E503">
        <v>2</v>
      </c>
      <c r="F503">
        <v>180</v>
      </c>
      <c r="G503">
        <v>1</v>
      </c>
      <c r="H503" t="s">
        <v>95</v>
      </c>
      <c r="I503" t="s">
        <v>78</v>
      </c>
      <c r="J503" t="s">
        <v>85</v>
      </c>
      <c r="K503" t="s">
        <v>86</v>
      </c>
      <c r="L503" t="s">
        <v>71</v>
      </c>
      <c r="M503" t="s">
        <v>87</v>
      </c>
      <c r="O503" t="s">
        <v>88</v>
      </c>
      <c r="P503" t="s">
        <v>27</v>
      </c>
      <c r="Q503" t="s">
        <v>73</v>
      </c>
      <c r="R503" t="s">
        <v>76</v>
      </c>
      <c r="S503" t="s">
        <v>74</v>
      </c>
      <c r="T503" t="s">
        <v>75</v>
      </c>
      <c r="X503" t="s">
        <v>77</v>
      </c>
      <c r="Z503" t="s">
        <v>72</v>
      </c>
      <c r="AA503" t="s">
        <v>94</v>
      </c>
      <c r="AB503">
        <v>5</v>
      </c>
      <c r="AC503">
        <v>748785.84</v>
      </c>
      <c r="AD503">
        <v>8930521.5700000003</v>
      </c>
      <c r="AE503">
        <v>195.14</v>
      </c>
      <c r="AF503">
        <v>748785.84</v>
      </c>
      <c r="AG503">
        <v>8930521.5700000003</v>
      </c>
      <c r="AH503">
        <v>179.78</v>
      </c>
      <c r="AI503">
        <v>15.36</v>
      </c>
      <c r="AJ503">
        <v>0.6</v>
      </c>
      <c r="AK503">
        <v>3.37</v>
      </c>
      <c r="AL503">
        <v>2.93</v>
      </c>
      <c r="AM503">
        <v>0</v>
      </c>
      <c r="AN503">
        <v>0</v>
      </c>
      <c r="AO503">
        <v>358</v>
      </c>
      <c r="AP503">
        <v>3.26</v>
      </c>
      <c r="AQ503">
        <v>0.41</v>
      </c>
      <c r="AR503">
        <v>0.05</v>
      </c>
      <c r="AS503">
        <v>0.04</v>
      </c>
      <c r="AT503">
        <v>12.22</v>
      </c>
      <c r="AU503">
        <v>5.77</v>
      </c>
      <c r="AV503">
        <v>0.05</v>
      </c>
      <c r="AW503">
        <v>0.82</v>
      </c>
      <c r="AX503">
        <v>0.47</v>
      </c>
      <c r="AY503">
        <v>3.3</v>
      </c>
      <c r="AZ503">
        <v>175.59399999999999</v>
      </c>
      <c r="BA503">
        <v>0</v>
      </c>
      <c r="BB503">
        <v>0</v>
      </c>
      <c r="BC503">
        <v>0</v>
      </c>
      <c r="BD503">
        <v>0</v>
      </c>
    </row>
    <row r="504" spans="1:56" x14ac:dyDescent="0.25">
      <c r="A504" s="23">
        <v>46304</v>
      </c>
      <c r="B504">
        <v>503</v>
      </c>
      <c r="C504" t="s">
        <v>82</v>
      </c>
      <c r="D504" t="s">
        <v>83</v>
      </c>
      <c r="E504">
        <v>2</v>
      </c>
      <c r="F504">
        <v>180</v>
      </c>
      <c r="G504">
        <v>1</v>
      </c>
      <c r="H504" t="s">
        <v>95</v>
      </c>
      <c r="I504" t="s">
        <v>78</v>
      </c>
      <c r="J504" t="s">
        <v>85</v>
      </c>
      <c r="K504" t="s">
        <v>86</v>
      </c>
      <c r="L504" t="s">
        <v>71</v>
      </c>
      <c r="M504" t="s">
        <v>87</v>
      </c>
      <c r="O504" t="s">
        <v>88</v>
      </c>
      <c r="P504" t="s">
        <v>27</v>
      </c>
      <c r="Q504" t="s">
        <v>73</v>
      </c>
      <c r="R504" t="s">
        <v>76</v>
      </c>
      <c r="S504" t="s">
        <v>74</v>
      </c>
      <c r="T504" t="s">
        <v>75</v>
      </c>
      <c r="X504" t="s">
        <v>77</v>
      </c>
      <c r="Z504" t="s">
        <v>72</v>
      </c>
      <c r="AA504" t="s">
        <v>94</v>
      </c>
      <c r="AB504">
        <v>5</v>
      </c>
      <c r="AC504">
        <v>748789.16</v>
      </c>
      <c r="AD504">
        <v>8930522.1300000008</v>
      </c>
      <c r="AE504">
        <v>195.31</v>
      </c>
      <c r="AF504">
        <v>748789.16</v>
      </c>
      <c r="AG504">
        <v>8930522.1300000008</v>
      </c>
      <c r="AH504">
        <v>179.78</v>
      </c>
      <c r="AI504">
        <v>15.53</v>
      </c>
      <c r="AJ504">
        <v>0.6</v>
      </c>
      <c r="AK504">
        <v>3.37</v>
      </c>
      <c r="AL504">
        <v>2.93</v>
      </c>
      <c r="AM504">
        <v>0</v>
      </c>
      <c r="AN504">
        <v>0</v>
      </c>
      <c r="AO504">
        <v>358</v>
      </c>
      <c r="AP504">
        <v>3.26</v>
      </c>
      <c r="AQ504">
        <v>0.46</v>
      </c>
      <c r="AR504">
        <v>0.06</v>
      </c>
      <c r="AS504">
        <v>0.05</v>
      </c>
      <c r="AT504">
        <v>13.96</v>
      </c>
      <c r="AU504">
        <v>6.14</v>
      </c>
      <c r="AV504">
        <v>0.11</v>
      </c>
      <c r="AW504">
        <v>0.68</v>
      </c>
      <c r="AX504">
        <v>1.99</v>
      </c>
      <c r="AY504">
        <v>3.3</v>
      </c>
      <c r="AZ504">
        <v>178.06899999999999</v>
      </c>
      <c r="BA504">
        <v>0</v>
      </c>
      <c r="BB504">
        <v>0</v>
      </c>
      <c r="BC504">
        <v>0</v>
      </c>
      <c r="BD504">
        <v>0</v>
      </c>
    </row>
    <row r="505" spans="1:56" x14ac:dyDescent="0.25">
      <c r="A505" s="23">
        <v>46304</v>
      </c>
      <c r="B505">
        <v>504</v>
      </c>
      <c r="C505" t="s">
        <v>82</v>
      </c>
      <c r="D505" t="s">
        <v>83</v>
      </c>
      <c r="E505">
        <v>2</v>
      </c>
      <c r="F505">
        <v>180</v>
      </c>
      <c r="G505">
        <v>1</v>
      </c>
      <c r="H505" t="s">
        <v>96</v>
      </c>
      <c r="I505" t="s">
        <v>91</v>
      </c>
      <c r="J505" t="s">
        <v>85</v>
      </c>
      <c r="K505" t="s">
        <v>86</v>
      </c>
      <c r="L505" t="s">
        <v>71</v>
      </c>
      <c r="M505" t="s">
        <v>87</v>
      </c>
      <c r="O505" t="s">
        <v>88</v>
      </c>
      <c r="P505" t="s">
        <v>27</v>
      </c>
      <c r="Q505" t="s">
        <v>73</v>
      </c>
      <c r="R505" t="s">
        <v>76</v>
      </c>
      <c r="S505" t="s">
        <v>74</v>
      </c>
      <c r="T505" t="s">
        <v>75</v>
      </c>
      <c r="X505" t="s">
        <v>77</v>
      </c>
      <c r="Z505" t="s">
        <v>72</v>
      </c>
      <c r="AA505" t="s">
        <v>94</v>
      </c>
      <c r="AB505">
        <v>5</v>
      </c>
      <c r="AC505">
        <v>748792.48</v>
      </c>
      <c r="AD505">
        <v>8930522.6899999995</v>
      </c>
      <c r="AE505">
        <v>195.2</v>
      </c>
      <c r="AF505">
        <v>748792.48</v>
      </c>
      <c r="AG505">
        <v>8930522.6899999995</v>
      </c>
      <c r="AH505">
        <v>179.78</v>
      </c>
      <c r="AI505">
        <v>15.42</v>
      </c>
      <c r="AJ505">
        <v>0.6</v>
      </c>
      <c r="AK505">
        <v>3.37</v>
      </c>
      <c r="AL505">
        <v>2.93</v>
      </c>
      <c r="AM505">
        <v>0</v>
      </c>
      <c r="AN505">
        <v>0</v>
      </c>
      <c r="AO505">
        <v>358</v>
      </c>
      <c r="AP505">
        <v>3.29</v>
      </c>
      <c r="AQ505">
        <v>0.43</v>
      </c>
      <c r="AR505">
        <v>0.06</v>
      </c>
      <c r="AS505">
        <v>0.06</v>
      </c>
      <c r="AT505">
        <v>15.49</v>
      </c>
      <c r="AU505">
        <v>5.66</v>
      </c>
      <c r="AV505">
        <v>0.19</v>
      </c>
      <c r="AW505">
        <v>0.84</v>
      </c>
      <c r="AX505">
        <v>0</v>
      </c>
      <c r="AY505">
        <v>3.3</v>
      </c>
      <c r="AZ505">
        <v>176.46700000000001</v>
      </c>
      <c r="BA505">
        <v>0</v>
      </c>
      <c r="BB505">
        <v>0</v>
      </c>
      <c r="BC505">
        <v>0</v>
      </c>
      <c r="BD505">
        <v>0</v>
      </c>
    </row>
    <row r="506" spans="1:56" x14ac:dyDescent="0.25">
      <c r="A506" s="23">
        <v>46304</v>
      </c>
      <c r="B506">
        <v>505</v>
      </c>
      <c r="C506" t="s">
        <v>82</v>
      </c>
      <c r="D506" t="s">
        <v>83</v>
      </c>
      <c r="E506">
        <v>2</v>
      </c>
      <c r="F506">
        <v>180</v>
      </c>
      <c r="G506">
        <v>1</v>
      </c>
      <c r="H506" t="s">
        <v>96</v>
      </c>
      <c r="I506" t="s">
        <v>91</v>
      </c>
      <c r="J506" t="s">
        <v>90</v>
      </c>
      <c r="K506" t="s">
        <v>86</v>
      </c>
      <c r="L506" t="s">
        <v>71</v>
      </c>
      <c r="M506" t="s">
        <v>87</v>
      </c>
      <c r="O506" t="s">
        <v>88</v>
      </c>
      <c r="P506" t="s">
        <v>27</v>
      </c>
      <c r="Q506" t="s">
        <v>73</v>
      </c>
      <c r="R506" t="s">
        <v>76</v>
      </c>
      <c r="S506" t="s">
        <v>74</v>
      </c>
      <c r="T506" t="s">
        <v>75</v>
      </c>
      <c r="X506" t="s">
        <v>77</v>
      </c>
      <c r="Z506" t="s">
        <v>72</v>
      </c>
      <c r="AA506" t="s">
        <v>94</v>
      </c>
      <c r="AB506">
        <v>5</v>
      </c>
      <c r="AC506">
        <v>748795.8</v>
      </c>
      <c r="AD506">
        <v>8930523.25</v>
      </c>
      <c r="AE506">
        <v>195.03</v>
      </c>
      <c r="AF506">
        <v>748795.8</v>
      </c>
      <c r="AG506">
        <v>8930523.25</v>
      </c>
      <c r="AH506">
        <v>179.81</v>
      </c>
      <c r="AI506">
        <v>15.22</v>
      </c>
      <c r="AJ506">
        <v>0.6</v>
      </c>
      <c r="AK506">
        <v>3.37</v>
      </c>
      <c r="AL506">
        <v>2.93</v>
      </c>
      <c r="AM506">
        <v>0</v>
      </c>
      <c r="AN506">
        <v>0</v>
      </c>
      <c r="AO506">
        <v>358</v>
      </c>
      <c r="AP506">
        <v>3.31</v>
      </c>
      <c r="AQ506">
        <v>0.41</v>
      </c>
      <c r="AR506">
        <v>0.06</v>
      </c>
      <c r="AS506">
        <v>0.06</v>
      </c>
      <c r="AT506">
        <v>17.03</v>
      </c>
      <c r="AU506">
        <v>5.61</v>
      </c>
      <c r="AV506">
        <v>0.27</v>
      </c>
      <c r="AW506">
        <v>1.19</v>
      </c>
      <c r="AX506">
        <v>0</v>
      </c>
      <c r="AY506">
        <v>3.3</v>
      </c>
      <c r="AZ506">
        <v>173.55500000000001</v>
      </c>
      <c r="BA506">
        <v>0</v>
      </c>
      <c r="BB506">
        <v>0</v>
      </c>
      <c r="BC506">
        <v>0</v>
      </c>
      <c r="BD506">
        <v>0</v>
      </c>
    </row>
    <row r="507" spans="1:56" x14ac:dyDescent="0.25">
      <c r="A507" s="23">
        <v>46304</v>
      </c>
      <c r="B507">
        <v>506</v>
      </c>
      <c r="C507" t="s">
        <v>82</v>
      </c>
      <c r="D507" t="s">
        <v>83</v>
      </c>
      <c r="E507">
        <v>2</v>
      </c>
      <c r="F507">
        <v>180</v>
      </c>
      <c r="G507">
        <v>1</v>
      </c>
      <c r="H507" t="s">
        <v>96</v>
      </c>
      <c r="I507" t="s">
        <v>91</v>
      </c>
      <c r="J507" t="s">
        <v>90</v>
      </c>
      <c r="K507" t="s">
        <v>86</v>
      </c>
      <c r="L507" t="s">
        <v>71</v>
      </c>
      <c r="M507" t="s">
        <v>87</v>
      </c>
      <c r="O507" t="s">
        <v>88</v>
      </c>
      <c r="P507" t="s">
        <v>27</v>
      </c>
      <c r="Q507" t="s">
        <v>73</v>
      </c>
      <c r="R507" t="s">
        <v>76</v>
      </c>
      <c r="S507" t="s">
        <v>74</v>
      </c>
      <c r="T507" t="s">
        <v>75</v>
      </c>
      <c r="X507" t="s">
        <v>77</v>
      </c>
      <c r="Z507" t="s">
        <v>72</v>
      </c>
      <c r="AA507" t="s">
        <v>94</v>
      </c>
      <c r="AB507">
        <v>5</v>
      </c>
      <c r="AC507">
        <v>748799.01</v>
      </c>
      <c r="AD507">
        <v>8930524.2899999991</v>
      </c>
      <c r="AE507">
        <v>195</v>
      </c>
      <c r="AF507">
        <v>748799.01</v>
      </c>
      <c r="AG507">
        <v>8930524.2899999991</v>
      </c>
      <c r="AH507">
        <v>179.8</v>
      </c>
      <c r="AI507">
        <v>15.2</v>
      </c>
      <c r="AJ507">
        <v>0.6</v>
      </c>
      <c r="AK507">
        <v>3.37</v>
      </c>
      <c r="AL507">
        <v>2.93</v>
      </c>
      <c r="AM507">
        <v>0</v>
      </c>
      <c r="AN507">
        <v>0</v>
      </c>
      <c r="AO507">
        <v>358</v>
      </c>
      <c r="AP507">
        <v>3.3</v>
      </c>
      <c r="AQ507">
        <v>0.4</v>
      </c>
      <c r="AR507">
        <v>0.06</v>
      </c>
      <c r="AS507">
        <v>7.0000000000000007E-2</v>
      </c>
      <c r="AT507">
        <v>17.66</v>
      </c>
      <c r="AU507">
        <v>5.57</v>
      </c>
      <c r="AV507">
        <v>0.31</v>
      </c>
      <c r="AW507">
        <v>1.3</v>
      </c>
      <c r="AX507">
        <v>1</v>
      </c>
      <c r="AY507">
        <v>3.3</v>
      </c>
      <c r="AZ507">
        <v>173.26400000000001</v>
      </c>
      <c r="BA507">
        <v>0</v>
      </c>
      <c r="BB507">
        <v>0</v>
      </c>
      <c r="BC507">
        <v>0</v>
      </c>
      <c r="BD507">
        <v>0</v>
      </c>
    </row>
    <row r="508" spans="1:56" x14ac:dyDescent="0.25">
      <c r="A508" s="23">
        <v>46304</v>
      </c>
      <c r="B508">
        <v>507</v>
      </c>
      <c r="C508" t="s">
        <v>82</v>
      </c>
      <c r="D508" t="s">
        <v>83</v>
      </c>
      <c r="E508">
        <v>2</v>
      </c>
      <c r="F508">
        <v>180</v>
      </c>
      <c r="G508">
        <v>1</v>
      </c>
      <c r="H508" t="s">
        <v>96</v>
      </c>
      <c r="I508" t="s">
        <v>91</v>
      </c>
      <c r="J508" t="s">
        <v>90</v>
      </c>
      <c r="K508" t="s">
        <v>86</v>
      </c>
      <c r="L508" t="s">
        <v>71</v>
      </c>
      <c r="M508" t="s">
        <v>87</v>
      </c>
      <c r="O508" t="s">
        <v>88</v>
      </c>
      <c r="P508" t="s">
        <v>27</v>
      </c>
      <c r="Q508" t="s">
        <v>73</v>
      </c>
      <c r="R508" t="s">
        <v>76</v>
      </c>
      <c r="S508" t="s">
        <v>74</v>
      </c>
      <c r="T508" t="s">
        <v>75</v>
      </c>
      <c r="X508" t="s">
        <v>77</v>
      </c>
      <c r="Z508" t="s">
        <v>72</v>
      </c>
      <c r="AA508" t="s">
        <v>94</v>
      </c>
      <c r="AB508">
        <v>5</v>
      </c>
      <c r="AC508">
        <v>748802.2</v>
      </c>
      <c r="AD508">
        <v>8930525.3800000008</v>
      </c>
      <c r="AE508">
        <v>195.01</v>
      </c>
      <c r="AF508">
        <v>748802.2</v>
      </c>
      <c r="AG508">
        <v>8930525.3800000008</v>
      </c>
      <c r="AH508">
        <v>179.81</v>
      </c>
      <c r="AI508">
        <v>15.21</v>
      </c>
      <c r="AJ508">
        <v>0.6</v>
      </c>
      <c r="AK508">
        <v>3.37</v>
      </c>
      <c r="AL508">
        <v>2.93</v>
      </c>
      <c r="AM508">
        <v>0</v>
      </c>
      <c r="AN508">
        <v>0</v>
      </c>
      <c r="AO508">
        <v>358</v>
      </c>
      <c r="AP508">
        <v>3.26</v>
      </c>
      <c r="AQ508">
        <v>0.38</v>
      </c>
      <c r="AR508">
        <v>0.06</v>
      </c>
      <c r="AS508">
        <v>0.06</v>
      </c>
      <c r="AT508">
        <v>17.57</v>
      </c>
      <c r="AU508">
        <v>5.49</v>
      </c>
      <c r="AV508">
        <v>0.33</v>
      </c>
      <c r="AW508">
        <v>1.1399999999999999</v>
      </c>
      <c r="AX508">
        <v>4.82</v>
      </c>
      <c r="AY508">
        <v>3.3</v>
      </c>
      <c r="AZ508">
        <v>173.41</v>
      </c>
      <c r="BA508">
        <v>0</v>
      </c>
      <c r="BB508">
        <v>0</v>
      </c>
      <c r="BC508">
        <v>0</v>
      </c>
      <c r="BD508">
        <v>0</v>
      </c>
    </row>
    <row r="509" spans="1:56" x14ac:dyDescent="0.25">
      <c r="A509" s="23">
        <v>46304</v>
      </c>
      <c r="B509">
        <v>508</v>
      </c>
      <c r="C509" t="s">
        <v>82</v>
      </c>
      <c r="D509" t="s">
        <v>83</v>
      </c>
      <c r="E509">
        <v>2</v>
      </c>
      <c r="F509">
        <v>180</v>
      </c>
      <c r="G509">
        <v>1</v>
      </c>
      <c r="H509" t="s">
        <v>96</v>
      </c>
      <c r="I509" t="s">
        <v>91</v>
      </c>
      <c r="J509" t="s">
        <v>90</v>
      </c>
      <c r="K509" t="s">
        <v>86</v>
      </c>
      <c r="L509" t="s">
        <v>71</v>
      </c>
      <c r="M509" t="s">
        <v>87</v>
      </c>
      <c r="O509" t="s">
        <v>88</v>
      </c>
      <c r="P509" t="s">
        <v>27</v>
      </c>
      <c r="Q509" t="s">
        <v>73</v>
      </c>
      <c r="R509" t="s">
        <v>76</v>
      </c>
      <c r="S509" t="s">
        <v>74</v>
      </c>
      <c r="T509" t="s">
        <v>75</v>
      </c>
      <c r="X509" t="s">
        <v>77</v>
      </c>
      <c r="Z509" t="s">
        <v>72</v>
      </c>
      <c r="AA509" t="s">
        <v>94</v>
      </c>
      <c r="AB509">
        <v>5</v>
      </c>
      <c r="AC509">
        <v>748805.44</v>
      </c>
      <c r="AD509">
        <v>8930526.2599999998</v>
      </c>
      <c r="AE509">
        <v>195</v>
      </c>
      <c r="AF509">
        <v>748805.44</v>
      </c>
      <c r="AG509">
        <v>8930526.2599999998</v>
      </c>
      <c r="AH509">
        <v>179.8</v>
      </c>
      <c r="AI509">
        <v>15.2</v>
      </c>
      <c r="AJ509">
        <v>0.6</v>
      </c>
      <c r="AK509">
        <v>3.37</v>
      </c>
      <c r="AL509">
        <v>2.93</v>
      </c>
      <c r="AM509">
        <v>0</v>
      </c>
      <c r="AN509">
        <v>0</v>
      </c>
      <c r="AO509">
        <v>358</v>
      </c>
      <c r="AP509">
        <v>3.26</v>
      </c>
      <c r="AQ509">
        <v>0.38</v>
      </c>
      <c r="AR509">
        <v>0.06</v>
      </c>
      <c r="AS509">
        <v>0.06</v>
      </c>
      <c r="AT509">
        <v>17.57</v>
      </c>
      <c r="AU509">
        <v>5.49</v>
      </c>
      <c r="AV509">
        <v>0.33</v>
      </c>
      <c r="AW509">
        <v>1.1399999999999999</v>
      </c>
      <c r="AX509">
        <v>4.8099999999999996</v>
      </c>
      <c r="AY509">
        <v>3.3</v>
      </c>
      <c r="AZ509">
        <v>173.26400000000001</v>
      </c>
      <c r="BA509">
        <v>0</v>
      </c>
      <c r="BB509">
        <v>0</v>
      </c>
      <c r="BC509">
        <v>0</v>
      </c>
      <c r="BD509">
        <v>0</v>
      </c>
    </row>
    <row r="510" spans="1:56" x14ac:dyDescent="0.25">
      <c r="A510" s="23">
        <v>46304</v>
      </c>
      <c r="B510">
        <v>509</v>
      </c>
      <c r="C510" t="s">
        <v>82</v>
      </c>
      <c r="D510" t="s">
        <v>83</v>
      </c>
      <c r="E510">
        <v>2</v>
      </c>
      <c r="F510">
        <v>180</v>
      </c>
      <c r="G510">
        <v>1</v>
      </c>
      <c r="H510" t="s">
        <v>96</v>
      </c>
      <c r="I510" t="s">
        <v>91</v>
      </c>
      <c r="J510" t="s">
        <v>90</v>
      </c>
      <c r="K510" t="s">
        <v>86</v>
      </c>
      <c r="L510" t="s">
        <v>71</v>
      </c>
      <c r="M510" t="s">
        <v>87</v>
      </c>
      <c r="O510" t="s">
        <v>88</v>
      </c>
      <c r="P510" t="s">
        <v>27</v>
      </c>
      <c r="Q510" t="s">
        <v>73</v>
      </c>
      <c r="R510" t="s">
        <v>76</v>
      </c>
      <c r="S510" t="s">
        <v>74</v>
      </c>
      <c r="T510" t="s">
        <v>75</v>
      </c>
      <c r="X510" t="s">
        <v>77</v>
      </c>
      <c r="Z510" t="s">
        <v>72</v>
      </c>
      <c r="AA510" t="s">
        <v>94</v>
      </c>
      <c r="AB510">
        <v>5</v>
      </c>
      <c r="AC510">
        <v>748807.5</v>
      </c>
      <c r="AD510">
        <v>8930527.0099999998</v>
      </c>
      <c r="AE510">
        <v>195.39</v>
      </c>
      <c r="AF510">
        <v>748807.5</v>
      </c>
      <c r="AG510">
        <v>8930527.0099999998</v>
      </c>
      <c r="AH510">
        <v>179.73</v>
      </c>
      <c r="AI510">
        <v>15.66</v>
      </c>
      <c r="AJ510">
        <v>0.6</v>
      </c>
      <c r="AK510">
        <v>3.37</v>
      </c>
      <c r="AL510">
        <v>2.93</v>
      </c>
      <c r="AM510">
        <v>0</v>
      </c>
      <c r="AN510">
        <v>0</v>
      </c>
      <c r="AO510">
        <v>358</v>
      </c>
      <c r="AP510">
        <v>3.25</v>
      </c>
      <c r="AQ510">
        <v>0.38</v>
      </c>
      <c r="AR510">
        <v>0.06</v>
      </c>
      <c r="AS510">
        <v>0.06</v>
      </c>
      <c r="AT510">
        <v>17.559999999999999</v>
      </c>
      <c r="AU510">
        <v>5.5</v>
      </c>
      <c r="AV510">
        <v>0.33</v>
      </c>
      <c r="AW510">
        <v>1.1399999999999999</v>
      </c>
      <c r="AX510">
        <v>5.04</v>
      </c>
      <c r="AY510">
        <v>3.3</v>
      </c>
      <c r="AZ510">
        <v>179.96199999999999</v>
      </c>
      <c r="BA510">
        <v>0</v>
      </c>
      <c r="BB510">
        <v>0</v>
      </c>
      <c r="BC510">
        <v>0</v>
      </c>
      <c r="BD510">
        <v>0</v>
      </c>
    </row>
    <row r="511" spans="1:56" x14ac:dyDescent="0.25">
      <c r="A511" s="23">
        <v>46304</v>
      </c>
      <c r="B511">
        <v>510</v>
      </c>
      <c r="C511" t="s">
        <v>82</v>
      </c>
      <c r="D511" t="s">
        <v>83</v>
      </c>
      <c r="E511">
        <v>2</v>
      </c>
      <c r="F511">
        <v>180</v>
      </c>
      <c r="G511">
        <v>1</v>
      </c>
      <c r="H511" t="s">
        <v>96</v>
      </c>
      <c r="I511" t="s">
        <v>91</v>
      </c>
      <c r="J511" t="s">
        <v>90</v>
      </c>
      <c r="K511" t="s">
        <v>86</v>
      </c>
      <c r="L511" t="s">
        <v>71</v>
      </c>
      <c r="M511" t="s">
        <v>87</v>
      </c>
      <c r="O511" t="s">
        <v>88</v>
      </c>
      <c r="P511" t="s">
        <v>27</v>
      </c>
      <c r="Q511" t="s">
        <v>73</v>
      </c>
      <c r="R511" t="s">
        <v>76</v>
      </c>
      <c r="S511" t="s">
        <v>74</v>
      </c>
      <c r="T511" t="s">
        <v>75</v>
      </c>
      <c r="X511" t="s">
        <v>77</v>
      </c>
      <c r="Z511" t="s">
        <v>72</v>
      </c>
      <c r="AA511" t="s">
        <v>94</v>
      </c>
      <c r="AB511">
        <v>5</v>
      </c>
      <c r="AC511">
        <v>748808.05</v>
      </c>
      <c r="AD511">
        <v>8930523.8100000005</v>
      </c>
      <c r="AE511">
        <v>195.09</v>
      </c>
      <c r="AF511">
        <v>748808.05</v>
      </c>
      <c r="AG511">
        <v>8930523.8100000005</v>
      </c>
      <c r="AH511">
        <v>180.22</v>
      </c>
      <c r="AI511">
        <v>14.87</v>
      </c>
      <c r="AJ511">
        <v>0.6</v>
      </c>
      <c r="AK511">
        <v>3.37</v>
      </c>
      <c r="AL511">
        <v>2.93</v>
      </c>
      <c r="AM511">
        <v>0</v>
      </c>
      <c r="AN511">
        <v>0</v>
      </c>
      <c r="AO511">
        <v>358</v>
      </c>
      <c r="AP511">
        <v>3.25</v>
      </c>
      <c r="AQ511">
        <v>0.37</v>
      </c>
      <c r="AR511">
        <v>0.06</v>
      </c>
      <c r="AS511">
        <v>0.06</v>
      </c>
      <c r="AT511">
        <v>17.559999999999999</v>
      </c>
      <c r="AU511">
        <v>5.49</v>
      </c>
      <c r="AV511">
        <v>0.33</v>
      </c>
      <c r="AW511">
        <v>1.1299999999999999</v>
      </c>
      <c r="AX511">
        <v>5</v>
      </c>
      <c r="AY511">
        <v>3.3</v>
      </c>
      <c r="AZ511">
        <v>168.459</v>
      </c>
      <c r="BA511">
        <v>0</v>
      </c>
      <c r="BB511">
        <v>0</v>
      </c>
      <c r="BC511">
        <v>0</v>
      </c>
      <c r="BD511">
        <v>0</v>
      </c>
    </row>
    <row r="512" spans="1:56" x14ac:dyDescent="0.25">
      <c r="A512" s="23">
        <v>46304</v>
      </c>
      <c r="B512">
        <v>511</v>
      </c>
      <c r="C512" t="s">
        <v>82</v>
      </c>
      <c r="D512" t="s">
        <v>83</v>
      </c>
      <c r="E512">
        <v>2</v>
      </c>
      <c r="F512">
        <v>180</v>
      </c>
      <c r="G512">
        <v>1</v>
      </c>
      <c r="H512" t="s">
        <v>96</v>
      </c>
      <c r="I512" t="s">
        <v>91</v>
      </c>
      <c r="J512" t="s">
        <v>90</v>
      </c>
      <c r="K512" t="s">
        <v>86</v>
      </c>
      <c r="L512" t="s">
        <v>71</v>
      </c>
      <c r="M512" t="s">
        <v>87</v>
      </c>
      <c r="O512" t="s">
        <v>88</v>
      </c>
      <c r="P512" t="s">
        <v>27</v>
      </c>
      <c r="Q512" t="s">
        <v>73</v>
      </c>
      <c r="R512" t="s">
        <v>76</v>
      </c>
      <c r="S512" t="s">
        <v>74</v>
      </c>
      <c r="T512" t="s">
        <v>75</v>
      </c>
      <c r="X512" t="s">
        <v>77</v>
      </c>
      <c r="Z512" t="s">
        <v>72</v>
      </c>
      <c r="AA512" t="s">
        <v>94</v>
      </c>
      <c r="AB512">
        <v>5</v>
      </c>
      <c r="AC512">
        <v>748804.78</v>
      </c>
      <c r="AD512">
        <v>8930523.0399999991</v>
      </c>
      <c r="AE512">
        <v>194.91</v>
      </c>
      <c r="AF512">
        <v>748804.78</v>
      </c>
      <c r="AG512">
        <v>8930523.0399999991</v>
      </c>
      <c r="AH512">
        <v>180.24</v>
      </c>
      <c r="AI512">
        <v>14.67</v>
      </c>
      <c r="AJ512">
        <v>0.6</v>
      </c>
      <c r="AK512">
        <v>3.37</v>
      </c>
      <c r="AL512">
        <v>2.93</v>
      </c>
      <c r="AM512">
        <v>0</v>
      </c>
      <c r="AN512">
        <v>0</v>
      </c>
      <c r="AO512">
        <v>358</v>
      </c>
      <c r="AP512">
        <v>3.26</v>
      </c>
      <c r="AQ512">
        <v>0.37</v>
      </c>
      <c r="AR512">
        <v>0.06</v>
      </c>
      <c r="AS512">
        <v>0.06</v>
      </c>
      <c r="AT512">
        <v>17.579999999999998</v>
      </c>
      <c r="AU512">
        <v>5.49</v>
      </c>
      <c r="AV512">
        <v>0.33</v>
      </c>
      <c r="AW512">
        <v>1.1299999999999999</v>
      </c>
      <c r="AX512">
        <v>4.9000000000000004</v>
      </c>
      <c r="AY512">
        <v>3.3</v>
      </c>
      <c r="AZ512">
        <v>165.547</v>
      </c>
      <c r="BA512">
        <v>0</v>
      </c>
      <c r="BB512">
        <v>0</v>
      </c>
      <c r="BC512">
        <v>0</v>
      </c>
      <c r="BD512">
        <v>0</v>
      </c>
    </row>
    <row r="513" spans="1:56" x14ac:dyDescent="0.25">
      <c r="A513" s="23">
        <v>46304</v>
      </c>
      <c r="B513">
        <v>512</v>
      </c>
      <c r="C513" t="s">
        <v>82</v>
      </c>
      <c r="D513" t="s">
        <v>83</v>
      </c>
      <c r="E513">
        <v>2</v>
      </c>
      <c r="F513">
        <v>180</v>
      </c>
      <c r="G513">
        <v>1</v>
      </c>
      <c r="H513" t="s">
        <v>96</v>
      </c>
      <c r="I513" t="s">
        <v>91</v>
      </c>
      <c r="J513" t="s">
        <v>90</v>
      </c>
      <c r="K513" t="s">
        <v>86</v>
      </c>
      <c r="L513" t="s">
        <v>71</v>
      </c>
      <c r="M513" t="s">
        <v>87</v>
      </c>
      <c r="O513" t="s">
        <v>88</v>
      </c>
      <c r="P513" t="s">
        <v>27</v>
      </c>
      <c r="Q513" t="s">
        <v>73</v>
      </c>
      <c r="R513" t="s">
        <v>76</v>
      </c>
      <c r="S513" t="s">
        <v>74</v>
      </c>
      <c r="T513" t="s">
        <v>75</v>
      </c>
      <c r="X513" t="s">
        <v>77</v>
      </c>
      <c r="Z513" t="s">
        <v>72</v>
      </c>
      <c r="AA513" t="s">
        <v>94</v>
      </c>
      <c r="AB513">
        <v>5</v>
      </c>
      <c r="AC513">
        <v>748801.55</v>
      </c>
      <c r="AD513">
        <v>8930522.0800000001</v>
      </c>
      <c r="AE513">
        <v>194.89</v>
      </c>
      <c r="AF513">
        <v>748801.55</v>
      </c>
      <c r="AG513">
        <v>8930522.0800000001</v>
      </c>
      <c r="AH513">
        <v>180.24</v>
      </c>
      <c r="AI513">
        <v>14.65</v>
      </c>
      <c r="AJ513">
        <v>0.6</v>
      </c>
      <c r="AK513">
        <v>3.37</v>
      </c>
      <c r="AL513">
        <v>2.93</v>
      </c>
      <c r="AM513">
        <v>0</v>
      </c>
      <c r="AN513">
        <v>0</v>
      </c>
      <c r="AO513">
        <v>358</v>
      </c>
      <c r="AP513">
        <v>3.26</v>
      </c>
      <c r="AQ513">
        <v>0.38</v>
      </c>
      <c r="AR513">
        <v>0.06</v>
      </c>
      <c r="AS513">
        <v>0.06</v>
      </c>
      <c r="AT513">
        <v>17.59</v>
      </c>
      <c r="AU513">
        <v>5.5</v>
      </c>
      <c r="AV513">
        <v>0.33</v>
      </c>
      <c r="AW513">
        <v>1.1499999999999999</v>
      </c>
      <c r="AX513">
        <v>4.5</v>
      </c>
      <c r="AY513">
        <v>3.3</v>
      </c>
      <c r="AZ513">
        <v>165.256</v>
      </c>
      <c r="BA513">
        <v>0</v>
      </c>
      <c r="BB513">
        <v>0</v>
      </c>
      <c r="BC513">
        <v>0</v>
      </c>
      <c r="BD513">
        <v>0</v>
      </c>
    </row>
    <row r="514" spans="1:56" x14ac:dyDescent="0.25">
      <c r="A514" s="23">
        <v>46304</v>
      </c>
      <c r="B514">
        <v>513</v>
      </c>
      <c r="C514" t="s">
        <v>82</v>
      </c>
      <c r="D514" t="s">
        <v>83</v>
      </c>
      <c r="E514">
        <v>2</v>
      </c>
      <c r="F514">
        <v>180</v>
      </c>
      <c r="G514">
        <v>1</v>
      </c>
      <c r="H514" t="s">
        <v>96</v>
      </c>
      <c r="I514" t="s">
        <v>91</v>
      </c>
      <c r="J514" t="s">
        <v>90</v>
      </c>
      <c r="K514" t="s">
        <v>86</v>
      </c>
      <c r="L514" t="s">
        <v>71</v>
      </c>
      <c r="M514" t="s">
        <v>87</v>
      </c>
      <c r="O514" t="s">
        <v>88</v>
      </c>
      <c r="P514" t="s">
        <v>27</v>
      </c>
      <c r="Q514" t="s">
        <v>73</v>
      </c>
      <c r="R514" t="s">
        <v>76</v>
      </c>
      <c r="S514" t="s">
        <v>74</v>
      </c>
      <c r="T514" t="s">
        <v>75</v>
      </c>
      <c r="X514" t="s">
        <v>77</v>
      </c>
      <c r="Z514" t="s">
        <v>72</v>
      </c>
      <c r="AA514" t="s">
        <v>94</v>
      </c>
      <c r="AB514">
        <v>5</v>
      </c>
      <c r="AC514">
        <v>748798.36</v>
      </c>
      <c r="AD514">
        <v>8930521.0099999998</v>
      </c>
      <c r="AE514">
        <v>194.94</v>
      </c>
      <c r="AF514">
        <v>748798.36</v>
      </c>
      <c r="AG514">
        <v>8930521.0099999998</v>
      </c>
      <c r="AH514">
        <v>180.25</v>
      </c>
      <c r="AI514">
        <v>14.7</v>
      </c>
      <c r="AJ514">
        <v>0.6</v>
      </c>
      <c r="AK514">
        <v>3.37</v>
      </c>
      <c r="AL514">
        <v>2.93</v>
      </c>
      <c r="AM514">
        <v>0</v>
      </c>
      <c r="AN514">
        <v>0</v>
      </c>
      <c r="AO514">
        <v>358</v>
      </c>
      <c r="AP514">
        <v>3.31</v>
      </c>
      <c r="AQ514">
        <v>0.43</v>
      </c>
      <c r="AR514">
        <v>0.06</v>
      </c>
      <c r="AS514">
        <v>7.0000000000000007E-2</v>
      </c>
      <c r="AT514">
        <v>17.87</v>
      </c>
      <c r="AU514">
        <v>5.7</v>
      </c>
      <c r="AV514">
        <v>0.32</v>
      </c>
      <c r="AW514">
        <v>1.34</v>
      </c>
      <c r="AX514">
        <v>0.86</v>
      </c>
      <c r="AY514">
        <v>3.3</v>
      </c>
      <c r="AZ514">
        <v>165.98400000000001</v>
      </c>
      <c r="BA514">
        <v>0</v>
      </c>
      <c r="BB514">
        <v>0</v>
      </c>
      <c r="BC514">
        <v>0</v>
      </c>
      <c r="BD514">
        <v>0</v>
      </c>
    </row>
    <row r="515" spans="1:56" x14ac:dyDescent="0.25">
      <c r="A515" s="23">
        <v>46304</v>
      </c>
      <c r="B515">
        <v>514</v>
      </c>
      <c r="C515" t="s">
        <v>82</v>
      </c>
      <c r="D515" t="s">
        <v>83</v>
      </c>
      <c r="E515">
        <v>2</v>
      </c>
      <c r="F515">
        <v>180</v>
      </c>
      <c r="G515">
        <v>1</v>
      </c>
      <c r="H515" t="s">
        <v>96</v>
      </c>
      <c r="I515" t="s">
        <v>91</v>
      </c>
      <c r="J515" t="s">
        <v>85</v>
      </c>
      <c r="K515" t="s">
        <v>86</v>
      </c>
      <c r="L515" t="s">
        <v>71</v>
      </c>
      <c r="M515" t="s">
        <v>87</v>
      </c>
      <c r="O515" t="s">
        <v>88</v>
      </c>
      <c r="P515" t="s">
        <v>27</v>
      </c>
      <c r="Q515" t="s">
        <v>73</v>
      </c>
      <c r="R515" t="s">
        <v>76</v>
      </c>
      <c r="S515" t="s">
        <v>74</v>
      </c>
      <c r="T515" t="s">
        <v>75</v>
      </c>
      <c r="X515" t="s">
        <v>77</v>
      </c>
      <c r="Z515" t="s">
        <v>72</v>
      </c>
      <c r="AA515" t="s">
        <v>94</v>
      </c>
      <c r="AB515">
        <v>5</v>
      </c>
      <c r="AC515">
        <v>748795.1</v>
      </c>
      <c r="AD515">
        <v>8930520.1799999997</v>
      </c>
      <c r="AE515">
        <v>195.13</v>
      </c>
      <c r="AF515">
        <v>748795.1</v>
      </c>
      <c r="AG515">
        <v>8930520.1799999997</v>
      </c>
      <c r="AH515">
        <v>180.23</v>
      </c>
      <c r="AI515">
        <v>14.9</v>
      </c>
      <c r="AJ515">
        <v>0.6</v>
      </c>
      <c r="AK515">
        <v>3.37</v>
      </c>
      <c r="AL515">
        <v>2.93</v>
      </c>
      <c r="AM515">
        <v>0</v>
      </c>
      <c r="AN515">
        <v>0</v>
      </c>
      <c r="AO515">
        <v>358</v>
      </c>
      <c r="AP515">
        <v>3.31</v>
      </c>
      <c r="AQ515">
        <v>0.46</v>
      </c>
      <c r="AR515">
        <v>0.06</v>
      </c>
      <c r="AS515">
        <v>7.0000000000000007E-2</v>
      </c>
      <c r="AT515">
        <v>17.350000000000001</v>
      </c>
      <c r="AU515">
        <v>5.88</v>
      </c>
      <c r="AV515">
        <v>0.28999999999999998</v>
      </c>
      <c r="AW515">
        <v>1.23</v>
      </c>
      <c r="AX515">
        <v>1.29</v>
      </c>
      <c r="AY515">
        <v>3.3</v>
      </c>
      <c r="AZ515">
        <v>168.89599999999999</v>
      </c>
      <c r="BA515">
        <v>0</v>
      </c>
      <c r="BB515">
        <v>0</v>
      </c>
      <c r="BC515">
        <v>0</v>
      </c>
      <c r="BD515">
        <v>0</v>
      </c>
    </row>
    <row r="516" spans="1:56" x14ac:dyDescent="0.25">
      <c r="A516" s="23">
        <v>46304</v>
      </c>
      <c r="B516">
        <v>515</v>
      </c>
      <c r="C516" t="s">
        <v>82</v>
      </c>
      <c r="D516" t="s">
        <v>83</v>
      </c>
      <c r="E516">
        <v>2</v>
      </c>
      <c r="F516">
        <v>180</v>
      </c>
      <c r="G516">
        <v>1</v>
      </c>
      <c r="H516" t="s">
        <v>96</v>
      </c>
      <c r="I516" t="s">
        <v>91</v>
      </c>
      <c r="J516" t="s">
        <v>85</v>
      </c>
      <c r="K516" t="s">
        <v>86</v>
      </c>
      <c r="L516" t="s">
        <v>71</v>
      </c>
      <c r="M516" t="s">
        <v>87</v>
      </c>
      <c r="O516" t="s">
        <v>88</v>
      </c>
      <c r="P516" t="s">
        <v>27</v>
      </c>
      <c r="Q516" t="s">
        <v>73</v>
      </c>
      <c r="R516" t="s">
        <v>76</v>
      </c>
      <c r="S516" t="s">
        <v>74</v>
      </c>
      <c r="T516" t="s">
        <v>75</v>
      </c>
      <c r="X516" t="s">
        <v>77</v>
      </c>
      <c r="Z516" t="s">
        <v>72</v>
      </c>
      <c r="AA516" t="s">
        <v>94</v>
      </c>
      <c r="AB516">
        <v>5</v>
      </c>
      <c r="AC516">
        <v>748791.78</v>
      </c>
      <c r="AD516">
        <v>8930519.5999999996</v>
      </c>
      <c r="AE516">
        <v>195.33</v>
      </c>
      <c r="AF516">
        <v>748791.78</v>
      </c>
      <c r="AG516">
        <v>8930519.5999999996</v>
      </c>
      <c r="AH516">
        <v>180.19</v>
      </c>
      <c r="AI516">
        <v>15.14</v>
      </c>
      <c r="AJ516">
        <v>0.6</v>
      </c>
      <c r="AK516">
        <v>3.37</v>
      </c>
      <c r="AL516">
        <v>2.93</v>
      </c>
      <c r="AM516">
        <v>0</v>
      </c>
      <c r="AN516">
        <v>0</v>
      </c>
      <c r="AO516">
        <v>358</v>
      </c>
      <c r="AP516">
        <v>3.31</v>
      </c>
      <c r="AQ516">
        <v>0.47</v>
      </c>
      <c r="AR516">
        <v>0.06</v>
      </c>
      <c r="AS516">
        <v>0.06</v>
      </c>
      <c r="AT516">
        <v>15.53</v>
      </c>
      <c r="AU516">
        <v>6.04</v>
      </c>
      <c r="AV516">
        <v>0.2</v>
      </c>
      <c r="AW516">
        <v>0.9</v>
      </c>
      <c r="AX516">
        <v>1.86</v>
      </c>
      <c r="AY516">
        <v>3.3</v>
      </c>
      <c r="AZ516">
        <v>172.39</v>
      </c>
      <c r="BA516">
        <v>0</v>
      </c>
      <c r="BB516">
        <v>0</v>
      </c>
      <c r="BC516">
        <v>0</v>
      </c>
      <c r="BD516">
        <v>0</v>
      </c>
    </row>
    <row r="517" spans="1:56" x14ac:dyDescent="0.25">
      <c r="A517" s="23">
        <v>46304</v>
      </c>
      <c r="B517">
        <v>516</v>
      </c>
      <c r="C517" t="s">
        <v>82</v>
      </c>
      <c r="D517" t="s">
        <v>83</v>
      </c>
      <c r="E517">
        <v>2</v>
      </c>
      <c r="F517">
        <v>180</v>
      </c>
      <c r="G517">
        <v>1</v>
      </c>
      <c r="H517" t="s">
        <v>95</v>
      </c>
      <c r="I517" t="s">
        <v>78</v>
      </c>
      <c r="J517" t="s">
        <v>90</v>
      </c>
      <c r="K517" t="s">
        <v>86</v>
      </c>
      <c r="L517" t="s">
        <v>71</v>
      </c>
      <c r="M517" t="s">
        <v>87</v>
      </c>
      <c r="O517" t="s">
        <v>88</v>
      </c>
      <c r="P517" t="s">
        <v>27</v>
      </c>
      <c r="Q517" t="s">
        <v>73</v>
      </c>
      <c r="R517" t="s">
        <v>76</v>
      </c>
      <c r="S517" t="s">
        <v>74</v>
      </c>
      <c r="T517" t="s">
        <v>75</v>
      </c>
      <c r="X517" t="s">
        <v>77</v>
      </c>
      <c r="Z517" t="s">
        <v>72</v>
      </c>
      <c r="AA517" t="s">
        <v>94</v>
      </c>
      <c r="AB517">
        <v>5</v>
      </c>
      <c r="AC517">
        <v>748788.46</v>
      </c>
      <c r="AD517">
        <v>8930519.0399999991</v>
      </c>
      <c r="AE517">
        <v>195.27</v>
      </c>
      <c r="AF517">
        <v>748788.46</v>
      </c>
      <c r="AG517">
        <v>8930519.0399999991</v>
      </c>
      <c r="AH517">
        <v>180.19</v>
      </c>
      <c r="AI517">
        <v>15.08</v>
      </c>
      <c r="AJ517">
        <v>0.6</v>
      </c>
      <c r="AK517">
        <v>3.37</v>
      </c>
      <c r="AL517">
        <v>2.93</v>
      </c>
      <c r="AM517">
        <v>0</v>
      </c>
      <c r="AN517">
        <v>0</v>
      </c>
      <c r="AO517">
        <v>358</v>
      </c>
      <c r="AP517">
        <v>3.25</v>
      </c>
      <c r="AQ517">
        <v>0.42</v>
      </c>
      <c r="AR517">
        <v>0.06</v>
      </c>
      <c r="AS517">
        <v>0.05</v>
      </c>
      <c r="AT517">
        <v>12.89</v>
      </c>
      <c r="AU517">
        <v>5.98</v>
      </c>
      <c r="AV517">
        <v>0.08</v>
      </c>
      <c r="AW517">
        <v>0.49</v>
      </c>
      <c r="AX517">
        <v>1.98</v>
      </c>
      <c r="AY517">
        <v>3.3</v>
      </c>
      <c r="AZ517">
        <v>171.517</v>
      </c>
      <c r="BA517">
        <v>0</v>
      </c>
      <c r="BB517">
        <v>0</v>
      </c>
      <c r="BC517">
        <v>0</v>
      </c>
      <c r="BD517">
        <v>0</v>
      </c>
    </row>
    <row r="518" spans="1:56" x14ac:dyDescent="0.25">
      <c r="A518" s="23">
        <v>46304</v>
      </c>
      <c r="B518">
        <v>517</v>
      </c>
      <c r="C518" t="s">
        <v>82</v>
      </c>
      <c r="D518" t="s">
        <v>83</v>
      </c>
      <c r="E518">
        <v>2</v>
      </c>
      <c r="F518">
        <v>180</v>
      </c>
      <c r="G518">
        <v>1</v>
      </c>
      <c r="H518" t="s">
        <v>95</v>
      </c>
      <c r="I518" t="s">
        <v>78</v>
      </c>
      <c r="J518" t="s">
        <v>90</v>
      </c>
      <c r="K518" t="s">
        <v>86</v>
      </c>
      <c r="L518" t="s">
        <v>71</v>
      </c>
      <c r="M518" t="s">
        <v>87</v>
      </c>
      <c r="O518" t="s">
        <v>88</v>
      </c>
      <c r="P518" t="s">
        <v>27</v>
      </c>
      <c r="Q518" t="s">
        <v>73</v>
      </c>
      <c r="R518" t="s">
        <v>76</v>
      </c>
      <c r="S518" t="s">
        <v>74</v>
      </c>
      <c r="T518" t="s">
        <v>75</v>
      </c>
      <c r="X518" t="s">
        <v>77</v>
      </c>
      <c r="Z518" t="s">
        <v>72</v>
      </c>
      <c r="AA518" t="s">
        <v>94</v>
      </c>
      <c r="AB518">
        <v>5</v>
      </c>
      <c r="AC518">
        <v>748785.14</v>
      </c>
      <c r="AD518">
        <v>8930518.4499999993</v>
      </c>
      <c r="AE518">
        <v>194.88</v>
      </c>
      <c r="AF518">
        <v>748785.14</v>
      </c>
      <c r="AG518">
        <v>8930518.4499999993</v>
      </c>
      <c r="AH518">
        <v>180.19</v>
      </c>
      <c r="AI518">
        <v>14.7</v>
      </c>
      <c r="AJ518">
        <v>0.6</v>
      </c>
      <c r="AK518">
        <v>3.37</v>
      </c>
      <c r="AL518">
        <v>2.93</v>
      </c>
      <c r="AM518">
        <v>0</v>
      </c>
      <c r="AN518">
        <v>0</v>
      </c>
      <c r="AO518">
        <v>358</v>
      </c>
      <c r="AP518">
        <v>3.24</v>
      </c>
      <c r="AQ518">
        <v>0.36</v>
      </c>
      <c r="AR518">
        <v>0.05</v>
      </c>
      <c r="AS518">
        <v>0.03</v>
      </c>
      <c r="AT518">
        <v>11.23</v>
      </c>
      <c r="AU518">
        <v>5.41</v>
      </c>
      <c r="AV518">
        <v>0.01</v>
      </c>
      <c r="AW518">
        <v>0.08</v>
      </c>
      <c r="AX518">
        <v>0.06</v>
      </c>
      <c r="AY518">
        <v>3.3</v>
      </c>
      <c r="AZ518">
        <v>165.98400000000001</v>
      </c>
      <c r="BA518">
        <v>0</v>
      </c>
      <c r="BB518">
        <v>0</v>
      </c>
      <c r="BC518">
        <v>0</v>
      </c>
      <c r="BD518">
        <v>0</v>
      </c>
    </row>
    <row r="519" spans="1:56" x14ac:dyDescent="0.25">
      <c r="A519" s="23">
        <v>46304</v>
      </c>
      <c r="B519">
        <v>518</v>
      </c>
      <c r="C519" t="s">
        <v>82</v>
      </c>
      <c r="D519" t="s">
        <v>83</v>
      </c>
      <c r="E519">
        <v>2</v>
      </c>
      <c r="F519">
        <v>180</v>
      </c>
      <c r="G519">
        <v>1</v>
      </c>
      <c r="H519" t="s">
        <v>95</v>
      </c>
      <c r="I519" t="s">
        <v>78</v>
      </c>
      <c r="J519" t="s">
        <v>90</v>
      </c>
      <c r="K519" t="s">
        <v>86</v>
      </c>
      <c r="L519" t="s">
        <v>71</v>
      </c>
      <c r="M519" t="s">
        <v>87</v>
      </c>
      <c r="O519" t="s">
        <v>88</v>
      </c>
      <c r="P519" t="s">
        <v>27</v>
      </c>
      <c r="Q519" t="s">
        <v>73</v>
      </c>
      <c r="R519" t="s">
        <v>76</v>
      </c>
      <c r="S519" t="s">
        <v>74</v>
      </c>
      <c r="T519" t="s">
        <v>75</v>
      </c>
      <c r="X519" t="s">
        <v>77</v>
      </c>
      <c r="Z519" t="s">
        <v>72</v>
      </c>
      <c r="AA519" t="s">
        <v>94</v>
      </c>
      <c r="AB519">
        <v>5</v>
      </c>
      <c r="AC519">
        <v>748781.83</v>
      </c>
      <c r="AD519">
        <v>8930517.8200000003</v>
      </c>
      <c r="AE519">
        <v>194.61</v>
      </c>
      <c r="AF519">
        <v>748781.83</v>
      </c>
      <c r="AG519">
        <v>8930517.8200000003</v>
      </c>
      <c r="AH519">
        <v>180.19</v>
      </c>
      <c r="AI519">
        <v>14.42</v>
      </c>
      <c r="AJ519">
        <v>0.6</v>
      </c>
      <c r="AK519">
        <v>3.37</v>
      </c>
      <c r="AL519">
        <v>2.93</v>
      </c>
      <c r="AM519">
        <v>0</v>
      </c>
      <c r="AN519">
        <v>0</v>
      </c>
      <c r="AO519">
        <v>358</v>
      </c>
      <c r="AP519">
        <v>3.23</v>
      </c>
      <c r="AQ519">
        <v>0.35</v>
      </c>
      <c r="AR519">
        <v>0.05</v>
      </c>
      <c r="AS519">
        <v>0.03</v>
      </c>
      <c r="AT519">
        <v>11.15</v>
      </c>
      <c r="AU519">
        <v>5.37</v>
      </c>
      <c r="AV519">
        <v>0</v>
      </c>
      <c r="AW519">
        <v>0.02</v>
      </c>
      <c r="AX519">
        <v>0</v>
      </c>
      <c r="AY519">
        <v>3.3</v>
      </c>
      <c r="AZ519">
        <v>161.90700000000001</v>
      </c>
      <c r="BA519">
        <v>0</v>
      </c>
      <c r="BB519">
        <v>0</v>
      </c>
      <c r="BC519">
        <v>0</v>
      </c>
      <c r="BD519">
        <v>0</v>
      </c>
    </row>
    <row r="520" spans="1:56" x14ac:dyDescent="0.25">
      <c r="A520" s="23">
        <v>46304</v>
      </c>
      <c r="B520">
        <v>519</v>
      </c>
      <c r="C520" t="s">
        <v>82</v>
      </c>
      <c r="D520" t="s">
        <v>83</v>
      </c>
      <c r="E520">
        <v>2</v>
      </c>
      <c r="F520">
        <v>180</v>
      </c>
      <c r="G520">
        <v>0</v>
      </c>
      <c r="H520" t="s">
        <v>95</v>
      </c>
      <c r="I520" t="s">
        <v>78</v>
      </c>
      <c r="J520" t="s">
        <v>90</v>
      </c>
      <c r="K520" t="s">
        <v>86</v>
      </c>
      <c r="L520" t="s">
        <v>71</v>
      </c>
      <c r="M520" t="s">
        <v>87</v>
      </c>
      <c r="O520" t="s">
        <v>88</v>
      </c>
      <c r="P520" t="s">
        <v>27</v>
      </c>
      <c r="Q520" t="s">
        <v>73</v>
      </c>
      <c r="R520" t="s">
        <v>76</v>
      </c>
      <c r="S520" t="s">
        <v>74</v>
      </c>
      <c r="T520" t="s">
        <v>75</v>
      </c>
      <c r="X520" t="s">
        <v>77</v>
      </c>
      <c r="Z520" t="s">
        <v>72</v>
      </c>
      <c r="AA520" t="s">
        <v>94</v>
      </c>
      <c r="AB520">
        <v>5</v>
      </c>
      <c r="AC520">
        <v>748778.54</v>
      </c>
      <c r="AD520">
        <v>8930517.1300000008</v>
      </c>
      <c r="AE520">
        <v>194.15</v>
      </c>
      <c r="AF520">
        <v>748778.54</v>
      </c>
      <c r="AG520">
        <v>8930517.1300000008</v>
      </c>
      <c r="AH520">
        <v>180.18</v>
      </c>
      <c r="AI520">
        <v>13.97</v>
      </c>
      <c r="AJ520">
        <v>0.6</v>
      </c>
      <c r="AK520">
        <v>3.37</v>
      </c>
      <c r="AL520">
        <v>2.93</v>
      </c>
      <c r="AM520">
        <v>0</v>
      </c>
      <c r="AN520">
        <v>0</v>
      </c>
      <c r="AO520">
        <v>358</v>
      </c>
      <c r="AP520">
        <v>3.22</v>
      </c>
      <c r="AQ520">
        <v>0.36</v>
      </c>
      <c r="AR520">
        <v>0.05</v>
      </c>
      <c r="AS520">
        <v>0.03</v>
      </c>
      <c r="AT520">
        <v>11.56</v>
      </c>
      <c r="AU520">
        <v>5.26</v>
      </c>
      <c r="AV520">
        <v>0.04</v>
      </c>
      <c r="AW520">
        <v>0.75</v>
      </c>
      <c r="AX520">
        <v>0</v>
      </c>
      <c r="AY520">
        <v>3.3</v>
      </c>
      <c r="AZ520">
        <v>155.35499999999999</v>
      </c>
      <c r="BA520">
        <v>0</v>
      </c>
      <c r="BB520">
        <v>0</v>
      </c>
      <c r="BC520">
        <v>0</v>
      </c>
      <c r="BD520">
        <v>0</v>
      </c>
    </row>
    <row r="521" spans="1:56" x14ac:dyDescent="0.25">
      <c r="A521" s="23">
        <v>46304</v>
      </c>
      <c r="B521">
        <v>520</v>
      </c>
      <c r="C521" t="s">
        <v>82</v>
      </c>
      <c r="D521" t="s">
        <v>83</v>
      </c>
      <c r="E521">
        <v>2</v>
      </c>
      <c r="F521">
        <v>180</v>
      </c>
      <c r="G521">
        <v>0</v>
      </c>
      <c r="H521" t="s">
        <v>95</v>
      </c>
      <c r="I521" t="s">
        <v>78</v>
      </c>
      <c r="J521" t="s">
        <v>90</v>
      </c>
      <c r="K521" t="s">
        <v>86</v>
      </c>
      <c r="L521" t="s">
        <v>71</v>
      </c>
      <c r="M521" t="s">
        <v>87</v>
      </c>
      <c r="O521" t="s">
        <v>88</v>
      </c>
      <c r="P521" t="s">
        <v>27</v>
      </c>
      <c r="Q521" t="s">
        <v>73</v>
      </c>
      <c r="R521" t="s">
        <v>76</v>
      </c>
      <c r="S521" t="s">
        <v>74</v>
      </c>
      <c r="T521" t="s">
        <v>75</v>
      </c>
      <c r="X521" t="s">
        <v>77</v>
      </c>
      <c r="Z521" t="s">
        <v>72</v>
      </c>
      <c r="AA521" t="s">
        <v>94</v>
      </c>
      <c r="AB521">
        <v>5</v>
      </c>
      <c r="AC521">
        <v>748775.34</v>
      </c>
      <c r="AD521">
        <v>8930516.1300000008</v>
      </c>
      <c r="AE521">
        <v>191.94</v>
      </c>
      <c r="AF521">
        <v>748775.34</v>
      </c>
      <c r="AG521">
        <v>8930516.1300000008</v>
      </c>
      <c r="AH521">
        <v>180.15</v>
      </c>
      <c r="AI521">
        <v>11.79</v>
      </c>
      <c r="AJ521">
        <v>0.6</v>
      </c>
      <c r="AK521">
        <v>3.37</v>
      </c>
      <c r="AL521">
        <v>2.93</v>
      </c>
      <c r="AM521">
        <v>0</v>
      </c>
      <c r="AN521">
        <v>0</v>
      </c>
      <c r="AO521">
        <v>358</v>
      </c>
      <c r="AP521">
        <v>3.2</v>
      </c>
      <c r="AQ521">
        <v>0.31</v>
      </c>
      <c r="AR521">
        <v>0.04</v>
      </c>
      <c r="AS521">
        <v>0.03</v>
      </c>
      <c r="AT521">
        <v>10.02</v>
      </c>
      <c r="AU521">
        <v>4.4400000000000004</v>
      </c>
      <c r="AV521">
        <v>0.04</v>
      </c>
      <c r="AW521">
        <v>0.55000000000000004</v>
      </c>
      <c r="AX521">
        <v>0</v>
      </c>
      <c r="AY521">
        <v>3.3</v>
      </c>
      <c r="AZ521">
        <v>123.614</v>
      </c>
      <c r="BA521">
        <v>0</v>
      </c>
      <c r="BB521">
        <v>0</v>
      </c>
      <c r="BC521">
        <v>0</v>
      </c>
      <c r="BD521">
        <v>0</v>
      </c>
    </row>
    <row r="522" spans="1:56" x14ac:dyDescent="0.25">
      <c r="A522" s="23">
        <v>46304</v>
      </c>
      <c r="B522">
        <v>521</v>
      </c>
      <c r="C522" t="s">
        <v>82</v>
      </c>
      <c r="D522" t="s">
        <v>83</v>
      </c>
      <c r="E522">
        <v>2</v>
      </c>
      <c r="F522">
        <v>180</v>
      </c>
      <c r="G522">
        <v>0</v>
      </c>
      <c r="H522" t="s">
        <v>95</v>
      </c>
      <c r="I522" t="s">
        <v>78</v>
      </c>
      <c r="J522" t="s">
        <v>90</v>
      </c>
      <c r="K522" t="s">
        <v>86</v>
      </c>
      <c r="L522" t="s">
        <v>71</v>
      </c>
      <c r="M522" t="s">
        <v>87</v>
      </c>
      <c r="O522" t="s">
        <v>88</v>
      </c>
      <c r="P522" t="s">
        <v>27</v>
      </c>
      <c r="Q522" t="s">
        <v>73</v>
      </c>
      <c r="R522" t="s">
        <v>76</v>
      </c>
      <c r="S522" t="s">
        <v>74</v>
      </c>
      <c r="T522" t="s">
        <v>75</v>
      </c>
      <c r="X522" t="s">
        <v>77</v>
      </c>
      <c r="Z522" t="s">
        <v>72</v>
      </c>
      <c r="AA522" t="s">
        <v>94</v>
      </c>
      <c r="AB522">
        <v>5</v>
      </c>
      <c r="AC522">
        <v>748772.33</v>
      </c>
      <c r="AD522">
        <v>8930514.6400000006</v>
      </c>
      <c r="AE522">
        <v>190.44</v>
      </c>
      <c r="AF522">
        <v>748772.33</v>
      </c>
      <c r="AG522">
        <v>8930514.6400000006</v>
      </c>
      <c r="AH522">
        <v>180.11</v>
      </c>
      <c r="AI522">
        <v>10.33</v>
      </c>
      <c r="AJ522">
        <v>0.6</v>
      </c>
      <c r="AK522">
        <v>3.37</v>
      </c>
      <c r="AL522">
        <v>2.93</v>
      </c>
      <c r="AM522">
        <v>0</v>
      </c>
      <c r="AN522">
        <v>0</v>
      </c>
      <c r="AO522">
        <v>358</v>
      </c>
      <c r="AP522">
        <v>3.17</v>
      </c>
      <c r="AQ522">
        <v>0.23</v>
      </c>
      <c r="AR522">
        <v>0.03</v>
      </c>
      <c r="AS522">
        <v>0.02</v>
      </c>
      <c r="AT522">
        <v>7.33</v>
      </c>
      <c r="AU522">
        <v>3.1</v>
      </c>
      <c r="AV522">
        <v>0.04</v>
      </c>
      <c r="AW522">
        <v>0.31</v>
      </c>
      <c r="AX522">
        <v>0</v>
      </c>
      <c r="AY522">
        <v>3.3</v>
      </c>
      <c r="AZ522">
        <v>102.357</v>
      </c>
      <c r="BA522">
        <v>0</v>
      </c>
      <c r="BB522">
        <v>0</v>
      </c>
      <c r="BC522">
        <v>0</v>
      </c>
      <c r="BD522">
        <v>0</v>
      </c>
    </row>
    <row r="523" spans="1:56" x14ac:dyDescent="0.25">
      <c r="A523" s="23">
        <v>46304</v>
      </c>
      <c r="B523">
        <v>522</v>
      </c>
      <c r="C523" t="s">
        <v>82</v>
      </c>
      <c r="D523" t="s">
        <v>83</v>
      </c>
      <c r="E523">
        <v>2</v>
      </c>
      <c r="F523">
        <v>180</v>
      </c>
      <c r="G523">
        <v>0</v>
      </c>
      <c r="H523" t="s">
        <v>95</v>
      </c>
      <c r="I523" t="s">
        <v>78</v>
      </c>
      <c r="J523" t="s">
        <v>70</v>
      </c>
      <c r="K523" t="s">
        <v>86</v>
      </c>
      <c r="L523" t="s">
        <v>71</v>
      </c>
      <c r="M523" t="s">
        <v>87</v>
      </c>
      <c r="O523" t="s">
        <v>88</v>
      </c>
      <c r="P523" t="s">
        <v>27</v>
      </c>
      <c r="Q523" t="s">
        <v>73</v>
      </c>
      <c r="R523" t="s">
        <v>76</v>
      </c>
      <c r="S523" t="s">
        <v>74</v>
      </c>
      <c r="T523" t="s">
        <v>75</v>
      </c>
      <c r="X523" t="s">
        <v>77</v>
      </c>
      <c r="Z523" t="s">
        <v>72</v>
      </c>
      <c r="AA523" t="s">
        <v>94</v>
      </c>
      <c r="AB523">
        <v>5</v>
      </c>
      <c r="AC523">
        <v>748769.47</v>
      </c>
      <c r="AD523">
        <v>8930512.8699999992</v>
      </c>
      <c r="AE523">
        <v>190.38</v>
      </c>
      <c r="AF523">
        <v>748769.47</v>
      </c>
      <c r="AG523">
        <v>8930512.8699999992</v>
      </c>
      <c r="AH523">
        <v>180.1</v>
      </c>
      <c r="AI523">
        <v>10.29</v>
      </c>
      <c r="AJ523">
        <v>0.6</v>
      </c>
      <c r="AK523">
        <v>3.37</v>
      </c>
      <c r="AL523">
        <v>2.93</v>
      </c>
      <c r="AM523">
        <v>0</v>
      </c>
      <c r="AN523">
        <v>0</v>
      </c>
      <c r="AO523">
        <v>358</v>
      </c>
      <c r="AP523">
        <v>3.12</v>
      </c>
      <c r="AQ523">
        <v>0.15</v>
      </c>
      <c r="AR523">
        <v>0.02</v>
      </c>
      <c r="AS523">
        <v>0.02</v>
      </c>
      <c r="AT523">
        <v>5.05</v>
      </c>
      <c r="AU523">
        <v>1.93</v>
      </c>
      <c r="AV523">
        <v>7.0000000000000007E-2</v>
      </c>
      <c r="AW523">
        <v>0.46</v>
      </c>
      <c r="AX523">
        <v>0</v>
      </c>
      <c r="AY523">
        <v>3.3</v>
      </c>
      <c r="AZ523">
        <v>101.774</v>
      </c>
      <c r="BA523">
        <v>0</v>
      </c>
      <c r="BB523">
        <v>0</v>
      </c>
      <c r="BC523">
        <v>0</v>
      </c>
      <c r="BD523">
        <v>0</v>
      </c>
    </row>
    <row r="524" spans="1:56" x14ac:dyDescent="0.25">
      <c r="A524" s="23">
        <v>46304</v>
      </c>
      <c r="B524">
        <v>523</v>
      </c>
      <c r="C524" t="s">
        <v>82</v>
      </c>
      <c r="D524" t="s">
        <v>83</v>
      </c>
      <c r="E524">
        <v>2</v>
      </c>
      <c r="F524">
        <v>180</v>
      </c>
      <c r="G524">
        <v>0</v>
      </c>
      <c r="H524" t="s">
        <v>95</v>
      </c>
      <c r="I524" t="s">
        <v>78</v>
      </c>
      <c r="J524" t="s">
        <v>70</v>
      </c>
      <c r="K524" t="s">
        <v>86</v>
      </c>
      <c r="L524" t="s">
        <v>71</v>
      </c>
      <c r="M524" t="s">
        <v>87</v>
      </c>
      <c r="O524" t="s">
        <v>88</v>
      </c>
      <c r="P524" t="s">
        <v>27</v>
      </c>
      <c r="Q524" t="s">
        <v>73</v>
      </c>
      <c r="R524" t="s">
        <v>76</v>
      </c>
      <c r="S524" t="s">
        <v>74</v>
      </c>
      <c r="T524" t="s">
        <v>75</v>
      </c>
      <c r="X524" t="s">
        <v>77</v>
      </c>
      <c r="Z524" t="s">
        <v>72</v>
      </c>
      <c r="AA524" t="s">
        <v>94</v>
      </c>
      <c r="AB524">
        <v>5</v>
      </c>
      <c r="AC524">
        <v>748766.64</v>
      </c>
      <c r="AD524">
        <v>8930511.0399999991</v>
      </c>
      <c r="AE524">
        <v>190.17</v>
      </c>
      <c r="AF524">
        <v>748766.64</v>
      </c>
      <c r="AG524">
        <v>8930511.0399999991</v>
      </c>
      <c r="AH524">
        <v>180.09</v>
      </c>
      <c r="AI524">
        <v>10.08</v>
      </c>
      <c r="AJ524">
        <v>0.6</v>
      </c>
      <c r="AK524">
        <v>3.37</v>
      </c>
      <c r="AL524">
        <v>2.93</v>
      </c>
      <c r="AM524">
        <v>0</v>
      </c>
      <c r="AN524">
        <v>0</v>
      </c>
      <c r="AO524">
        <v>358</v>
      </c>
      <c r="AP524">
        <v>3.09</v>
      </c>
      <c r="AQ524">
        <v>0.12</v>
      </c>
      <c r="AR524">
        <v>0.02</v>
      </c>
      <c r="AS524">
        <v>0.02</v>
      </c>
      <c r="AT524">
        <v>3.98</v>
      </c>
      <c r="AU524">
        <v>1.32</v>
      </c>
      <c r="AV524">
        <v>0.06</v>
      </c>
      <c r="AW524">
        <v>0.42</v>
      </c>
      <c r="AX524">
        <v>0</v>
      </c>
      <c r="AY524">
        <v>3.3</v>
      </c>
      <c r="AZ524">
        <v>98.716999999999999</v>
      </c>
      <c r="BA524">
        <v>0</v>
      </c>
      <c r="BB524">
        <v>0</v>
      </c>
      <c r="BC524">
        <v>0</v>
      </c>
      <c r="BD524">
        <v>0</v>
      </c>
    </row>
    <row r="525" spans="1:56" x14ac:dyDescent="0.25">
      <c r="A525" s="23">
        <v>46304</v>
      </c>
      <c r="B525">
        <v>524</v>
      </c>
      <c r="C525" t="s">
        <v>82</v>
      </c>
      <c r="D525" t="s">
        <v>83</v>
      </c>
      <c r="E525">
        <v>2</v>
      </c>
      <c r="F525">
        <v>180</v>
      </c>
      <c r="G525">
        <v>0</v>
      </c>
      <c r="H525" t="s">
        <v>95</v>
      </c>
      <c r="I525" t="s">
        <v>78</v>
      </c>
      <c r="J525" t="s">
        <v>70</v>
      </c>
      <c r="K525" t="s">
        <v>86</v>
      </c>
      <c r="L525" t="s">
        <v>71</v>
      </c>
      <c r="M525" t="s">
        <v>87</v>
      </c>
      <c r="O525" t="s">
        <v>88</v>
      </c>
      <c r="P525" t="s">
        <v>27</v>
      </c>
      <c r="Q525" t="s">
        <v>73</v>
      </c>
      <c r="R525" t="s">
        <v>76</v>
      </c>
      <c r="S525" t="s">
        <v>74</v>
      </c>
      <c r="T525" t="s">
        <v>75</v>
      </c>
      <c r="X525" t="s">
        <v>77</v>
      </c>
      <c r="Z525" t="s">
        <v>72</v>
      </c>
      <c r="AA525" t="s">
        <v>94</v>
      </c>
      <c r="AB525">
        <v>5</v>
      </c>
      <c r="AC525">
        <v>748763.81</v>
      </c>
      <c r="AD525">
        <v>8930509.2100000009</v>
      </c>
      <c r="AE525">
        <v>190.1</v>
      </c>
      <c r="AF525">
        <v>748763.81</v>
      </c>
      <c r="AG525">
        <v>8930509.2100000009</v>
      </c>
      <c r="AH525">
        <v>180.09</v>
      </c>
      <c r="AI525">
        <v>10.02</v>
      </c>
      <c r="AJ525">
        <v>0.6</v>
      </c>
      <c r="AK525">
        <v>3.37</v>
      </c>
      <c r="AL525">
        <v>2.93</v>
      </c>
      <c r="AM525">
        <v>0</v>
      </c>
      <c r="AN525">
        <v>0</v>
      </c>
      <c r="AO525">
        <v>358</v>
      </c>
      <c r="AP525">
        <v>3.1</v>
      </c>
      <c r="AQ525">
        <v>0.15</v>
      </c>
      <c r="AR525">
        <v>0.02</v>
      </c>
      <c r="AS525">
        <v>0.02</v>
      </c>
      <c r="AT525">
        <v>5.26</v>
      </c>
      <c r="AU525">
        <v>1.73</v>
      </c>
      <c r="AV525">
        <v>0.09</v>
      </c>
      <c r="AW525">
        <v>0.5</v>
      </c>
      <c r="AX525">
        <v>0</v>
      </c>
      <c r="AY525">
        <v>3.3</v>
      </c>
      <c r="AZ525">
        <v>97.843000000000004</v>
      </c>
      <c r="BA525">
        <v>0</v>
      </c>
      <c r="BB525">
        <v>0</v>
      </c>
      <c r="BC525">
        <v>0</v>
      </c>
      <c r="BD525">
        <v>0</v>
      </c>
    </row>
    <row r="526" spans="1:56" x14ac:dyDescent="0.25">
      <c r="A526" s="23">
        <v>46304</v>
      </c>
      <c r="B526">
        <v>525</v>
      </c>
      <c r="C526" t="s">
        <v>82</v>
      </c>
      <c r="D526" t="s">
        <v>83</v>
      </c>
      <c r="E526">
        <v>2</v>
      </c>
      <c r="F526">
        <v>180</v>
      </c>
      <c r="G526">
        <v>0</v>
      </c>
      <c r="H526" t="s">
        <v>95</v>
      </c>
      <c r="I526" t="s">
        <v>78</v>
      </c>
      <c r="J526" t="s">
        <v>70</v>
      </c>
      <c r="K526" t="s">
        <v>86</v>
      </c>
      <c r="L526" t="s">
        <v>71</v>
      </c>
      <c r="M526" t="s">
        <v>87</v>
      </c>
      <c r="O526" t="s">
        <v>88</v>
      </c>
      <c r="P526" t="s">
        <v>27</v>
      </c>
      <c r="Q526" t="s">
        <v>73</v>
      </c>
      <c r="R526" t="s">
        <v>76</v>
      </c>
      <c r="S526" t="s">
        <v>74</v>
      </c>
      <c r="T526" t="s">
        <v>75</v>
      </c>
      <c r="X526" t="s">
        <v>77</v>
      </c>
      <c r="Z526" t="s">
        <v>72</v>
      </c>
      <c r="AA526" t="s">
        <v>94</v>
      </c>
      <c r="AB526">
        <v>5</v>
      </c>
      <c r="AC526">
        <v>748760.98</v>
      </c>
      <c r="AD526">
        <v>8930507.3800000008</v>
      </c>
      <c r="AE526">
        <v>190.08</v>
      </c>
      <c r="AF526">
        <v>748760.98</v>
      </c>
      <c r="AG526">
        <v>8930507.3800000008</v>
      </c>
      <c r="AH526">
        <v>180.09</v>
      </c>
      <c r="AI526">
        <v>10</v>
      </c>
      <c r="AJ526">
        <v>0.6</v>
      </c>
      <c r="AK526">
        <v>3.37</v>
      </c>
      <c r="AL526">
        <v>2.93</v>
      </c>
      <c r="AM526">
        <v>0</v>
      </c>
      <c r="AN526">
        <v>0</v>
      </c>
      <c r="AO526">
        <v>358</v>
      </c>
      <c r="AP526">
        <v>3.12</v>
      </c>
      <c r="AQ526">
        <v>0.19</v>
      </c>
      <c r="AR526">
        <v>0.03</v>
      </c>
      <c r="AS526">
        <v>0.02</v>
      </c>
      <c r="AT526">
        <v>6.56</v>
      </c>
      <c r="AU526">
        <v>2.13</v>
      </c>
      <c r="AV526">
        <v>0.11</v>
      </c>
      <c r="AW526">
        <v>0.6</v>
      </c>
      <c r="AX526">
        <v>0</v>
      </c>
      <c r="AY526">
        <v>3.3</v>
      </c>
      <c r="AZ526">
        <v>97.552000000000007</v>
      </c>
      <c r="BA526">
        <v>0</v>
      </c>
      <c r="BB526">
        <v>0</v>
      </c>
      <c r="BC526">
        <v>0</v>
      </c>
      <c r="BD526">
        <v>0</v>
      </c>
    </row>
    <row r="527" spans="1:56" x14ac:dyDescent="0.25">
      <c r="A527" s="23">
        <v>46304</v>
      </c>
      <c r="B527">
        <v>526</v>
      </c>
      <c r="C527" t="s">
        <v>82</v>
      </c>
      <c r="D527" t="s">
        <v>83</v>
      </c>
      <c r="E527">
        <v>2</v>
      </c>
      <c r="F527">
        <v>180</v>
      </c>
      <c r="G527">
        <v>0</v>
      </c>
      <c r="H527" t="s">
        <v>95</v>
      </c>
      <c r="I527" t="s">
        <v>78</v>
      </c>
      <c r="J527" t="s">
        <v>70</v>
      </c>
      <c r="K527" t="s">
        <v>86</v>
      </c>
      <c r="L527" t="s">
        <v>71</v>
      </c>
      <c r="M527" t="s">
        <v>87</v>
      </c>
      <c r="O527" t="s">
        <v>88</v>
      </c>
      <c r="P527" t="s">
        <v>27</v>
      </c>
      <c r="Q527" t="s">
        <v>73</v>
      </c>
      <c r="R527" t="s">
        <v>76</v>
      </c>
      <c r="S527" t="s">
        <v>74</v>
      </c>
      <c r="T527" t="s">
        <v>75</v>
      </c>
      <c r="X527" t="s">
        <v>77</v>
      </c>
      <c r="Z527" t="s">
        <v>72</v>
      </c>
      <c r="AA527" t="s">
        <v>94</v>
      </c>
      <c r="AB527">
        <v>5</v>
      </c>
      <c r="AC527">
        <v>748758.15</v>
      </c>
      <c r="AD527">
        <v>8930505.5500000007</v>
      </c>
      <c r="AE527">
        <v>190.06</v>
      </c>
      <c r="AF527">
        <v>748758.15</v>
      </c>
      <c r="AG527">
        <v>8930505.5500000007</v>
      </c>
      <c r="AH527">
        <v>180.09</v>
      </c>
      <c r="AI527">
        <v>9.9700000000000006</v>
      </c>
      <c r="AJ527">
        <v>0.6</v>
      </c>
      <c r="AK527">
        <v>3.37</v>
      </c>
      <c r="AL527">
        <v>2.93</v>
      </c>
      <c r="AM527">
        <v>0</v>
      </c>
      <c r="AN527">
        <v>0</v>
      </c>
      <c r="AO527">
        <v>358</v>
      </c>
      <c r="AP527">
        <v>3.13</v>
      </c>
      <c r="AQ527">
        <v>0.23</v>
      </c>
      <c r="AR527">
        <v>0.03</v>
      </c>
      <c r="AS527">
        <v>0.03</v>
      </c>
      <c r="AT527">
        <v>7.86</v>
      </c>
      <c r="AU527">
        <v>2.4900000000000002</v>
      </c>
      <c r="AV527">
        <v>0.14000000000000001</v>
      </c>
      <c r="AW527">
        <v>0.72</v>
      </c>
      <c r="AX527">
        <v>0</v>
      </c>
      <c r="AY527">
        <v>3.3</v>
      </c>
      <c r="AZ527">
        <v>97.114999999999995</v>
      </c>
      <c r="BA527">
        <v>0</v>
      </c>
      <c r="BB527">
        <v>0</v>
      </c>
      <c r="BC527">
        <v>0</v>
      </c>
      <c r="BD527">
        <v>0</v>
      </c>
    </row>
    <row r="528" spans="1:56" x14ac:dyDescent="0.25">
      <c r="A528" s="23">
        <v>46304</v>
      </c>
      <c r="B528">
        <v>527</v>
      </c>
      <c r="C528" t="s">
        <v>82</v>
      </c>
      <c r="D528" t="s">
        <v>83</v>
      </c>
      <c r="E528">
        <v>2</v>
      </c>
      <c r="F528">
        <v>180</v>
      </c>
      <c r="G528">
        <v>1</v>
      </c>
      <c r="H528" t="s">
        <v>95</v>
      </c>
      <c r="I528" t="s">
        <v>91</v>
      </c>
      <c r="J528" t="s">
        <v>85</v>
      </c>
      <c r="K528" t="s">
        <v>86</v>
      </c>
      <c r="L528" t="s">
        <v>71</v>
      </c>
      <c r="M528" t="s">
        <v>87</v>
      </c>
      <c r="O528" t="s">
        <v>88</v>
      </c>
      <c r="P528" t="s">
        <v>27</v>
      </c>
      <c r="Q528" t="s">
        <v>73</v>
      </c>
      <c r="R528" t="s">
        <v>76</v>
      </c>
      <c r="S528" t="s">
        <v>74</v>
      </c>
      <c r="T528" t="s">
        <v>75</v>
      </c>
      <c r="X528" t="s">
        <v>77</v>
      </c>
      <c r="Z528" t="s">
        <v>72</v>
      </c>
      <c r="AA528" t="s">
        <v>94</v>
      </c>
      <c r="AB528">
        <v>5</v>
      </c>
      <c r="AC528">
        <v>748755.32</v>
      </c>
      <c r="AD528">
        <v>8930503.7200000007</v>
      </c>
      <c r="AE528">
        <v>190.01</v>
      </c>
      <c r="AF528">
        <v>748755.32</v>
      </c>
      <c r="AG528">
        <v>8930503.7200000007</v>
      </c>
      <c r="AH528">
        <v>180.08</v>
      </c>
      <c r="AI528">
        <v>9.93</v>
      </c>
      <c r="AJ528">
        <v>0.6</v>
      </c>
      <c r="AK528">
        <v>3.37</v>
      </c>
      <c r="AL528">
        <v>2.93</v>
      </c>
      <c r="AM528">
        <v>0</v>
      </c>
      <c r="AN528">
        <v>0</v>
      </c>
      <c r="AO528">
        <v>358</v>
      </c>
      <c r="AP528">
        <v>3.16</v>
      </c>
      <c r="AQ528">
        <v>0.27</v>
      </c>
      <c r="AR528">
        <v>0.04</v>
      </c>
      <c r="AS528">
        <v>0.03</v>
      </c>
      <c r="AT528">
        <v>9.48</v>
      </c>
      <c r="AU528">
        <v>3.01</v>
      </c>
      <c r="AV528">
        <v>0.17</v>
      </c>
      <c r="AW528">
        <v>0.87</v>
      </c>
      <c r="AX528">
        <v>0</v>
      </c>
      <c r="AY528">
        <v>3.3</v>
      </c>
      <c r="AZ528">
        <v>96.533000000000001</v>
      </c>
      <c r="BA528">
        <v>0</v>
      </c>
      <c r="BB528">
        <v>0</v>
      </c>
      <c r="BC528">
        <v>0</v>
      </c>
      <c r="BD528">
        <v>0</v>
      </c>
    </row>
    <row r="529" spans="1:56" x14ac:dyDescent="0.25">
      <c r="A529" s="23">
        <v>46304</v>
      </c>
      <c r="B529">
        <v>528</v>
      </c>
      <c r="C529" t="s">
        <v>82</v>
      </c>
      <c r="D529" t="s">
        <v>83</v>
      </c>
      <c r="E529">
        <v>2</v>
      </c>
      <c r="F529">
        <v>180</v>
      </c>
      <c r="G529">
        <v>1</v>
      </c>
      <c r="H529" t="s">
        <v>95</v>
      </c>
      <c r="I529" t="s">
        <v>91</v>
      </c>
      <c r="J529" t="s">
        <v>85</v>
      </c>
      <c r="K529" t="s">
        <v>86</v>
      </c>
      <c r="L529" t="s">
        <v>71</v>
      </c>
      <c r="M529" t="s">
        <v>87</v>
      </c>
      <c r="O529" t="s">
        <v>88</v>
      </c>
      <c r="P529" t="s">
        <v>27</v>
      </c>
      <c r="Q529" t="s">
        <v>73</v>
      </c>
      <c r="R529" t="s">
        <v>76</v>
      </c>
      <c r="S529" t="s">
        <v>74</v>
      </c>
      <c r="T529" t="s">
        <v>75</v>
      </c>
      <c r="X529" t="s">
        <v>77</v>
      </c>
      <c r="Z529" t="s">
        <v>72</v>
      </c>
      <c r="AA529" t="s">
        <v>94</v>
      </c>
      <c r="AB529">
        <v>5</v>
      </c>
      <c r="AC529">
        <v>748752.49</v>
      </c>
      <c r="AD529">
        <v>8930501.8900000006</v>
      </c>
      <c r="AE529">
        <v>190.06</v>
      </c>
      <c r="AF529">
        <v>748752.49</v>
      </c>
      <c r="AG529">
        <v>8930501.8900000006</v>
      </c>
      <c r="AH529">
        <v>180.07</v>
      </c>
      <c r="AI529">
        <v>9.99</v>
      </c>
      <c r="AJ529">
        <v>0.6</v>
      </c>
      <c r="AK529">
        <v>3.37</v>
      </c>
      <c r="AL529">
        <v>2.93</v>
      </c>
      <c r="AM529">
        <v>0</v>
      </c>
      <c r="AN529">
        <v>0</v>
      </c>
      <c r="AO529">
        <v>358</v>
      </c>
      <c r="AP529">
        <v>3.2</v>
      </c>
      <c r="AQ529">
        <v>0.34</v>
      </c>
      <c r="AR529">
        <v>0.05</v>
      </c>
      <c r="AS529">
        <v>0.04</v>
      </c>
      <c r="AT529">
        <v>11.81</v>
      </c>
      <c r="AU529">
        <v>3.81</v>
      </c>
      <c r="AV529">
        <v>0.2</v>
      </c>
      <c r="AW529">
        <v>1.1499999999999999</v>
      </c>
      <c r="AX529">
        <v>0.11</v>
      </c>
      <c r="AY529">
        <v>3.3</v>
      </c>
      <c r="AZ529">
        <v>97.406000000000006</v>
      </c>
      <c r="BA529">
        <v>0</v>
      </c>
      <c r="BB529">
        <v>0</v>
      </c>
      <c r="BC529">
        <v>0</v>
      </c>
      <c r="BD529">
        <v>0</v>
      </c>
    </row>
    <row r="530" spans="1:56" x14ac:dyDescent="0.25">
      <c r="A530" s="23">
        <v>46304</v>
      </c>
      <c r="B530">
        <v>529</v>
      </c>
      <c r="C530" t="s">
        <v>82</v>
      </c>
      <c r="D530" t="s">
        <v>83</v>
      </c>
      <c r="E530">
        <v>2</v>
      </c>
      <c r="F530">
        <v>180</v>
      </c>
      <c r="G530">
        <v>1</v>
      </c>
      <c r="H530" t="s">
        <v>95</v>
      </c>
      <c r="I530" t="s">
        <v>91</v>
      </c>
      <c r="J530" t="s">
        <v>85</v>
      </c>
      <c r="K530" t="s">
        <v>86</v>
      </c>
      <c r="L530" t="s">
        <v>71</v>
      </c>
      <c r="M530" t="s">
        <v>87</v>
      </c>
      <c r="O530" t="s">
        <v>88</v>
      </c>
      <c r="P530" t="s">
        <v>27</v>
      </c>
      <c r="Q530" t="s">
        <v>73</v>
      </c>
      <c r="R530" t="s">
        <v>76</v>
      </c>
      <c r="S530" t="s">
        <v>74</v>
      </c>
      <c r="T530" t="s">
        <v>75</v>
      </c>
      <c r="X530" t="s">
        <v>77</v>
      </c>
      <c r="Z530" t="s">
        <v>72</v>
      </c>
      <c r="AA530" t="s">
        <v>94</v>
      </c>
      <c r="AB530">
        <v>5</v>
      </c>
      <c r="AC530">
        <v>748749.67</v>
      </c>
      <c r="AD530">
        <v>8930500.0500000007</v>
      </c>
      <c r="AE530">
        <v>190.08</v>
      </c>
      <c r="AF530">
        <v>748749.67</v>
      </c>
      <c r="AG530">
        <v>8930500.0500000007</v>
      </c>
      <c r="AH530">
        <v>180.07</v>
      </c>
      <c r="AI530">
        <v>10.01</v>
      </c>
      <c r="AJ530">
        <v>0.6</v>
      </c>
      <c r="AK530">
        <v>3.37</v>
      </c>
      <c r="AL530">
        <v>2.93</v>
      </c>
      <c r="AM530">
        <v>0</v>
      </c>
      <c r="AN530">
        <v>0</v>
      </c>
      <c r="AO530">
        <v>358</v>
      </c>
      <c r="AP530">
        <v>3.27</v>
      </c>
      <c r="AQ530">
        <v>0.46</v>
      </c>
      <c r="AR530">
        <v>0.06</v>
      </c>
      <c r="AS530">
        <v>0.06</v>
      </c>
      <c r="AT530">
        <v>15.66</v>
      </c>
      <c r="AU530">
        <v>5.14</v>
      </c>
      <c r="AV530">
        <v>0.27</v>
      </c>
      <c r="AW530">
        <v>1.73</v>
      </c>
      <c r="AX530">
        <v>5.0599999999999996</v>
      </c>
      <c r="AY530">
        <v>3.3</v>
      </c>
      <c r="AZ530">
        <v>97.697999999999993</v>
      </c>
      <c r="BA530">
        <v>0</v>
      </c>
      <c r="BB530">
        <v>0</v>
      </c>
      <c r="BC530">
        <v>0</v>
      </c>
      <c r="BD530">
        <v>0</v>
      </c>
    </row>
    <row r="531" spans="1:56" x14ac:dyDescent="0.25">
      <c r="A531" s="23">
        <v>46304</v>
      </c>
      <c r="B531">
        <v>530</v>
      </c>
      <c r="C531" t="s">
        <v>82</v>
      </c>
      <c r="D531" t="s">
        <v>83</v>
      </c>
      <c r="E531">
        <v>2</v>
      </c>
      <c r="F531">
        <v>180</v>
      </c>
      <c r="G531">
        <v>1</v>
      </c>
      <c r="H531" t="s">
        <v>95</v>
      </c>
      <c r="I531" t="s">
        <v>91</v>
      </c>
      <c r="J531" t="s">
        <v>85</v>
      </c>
      <c r="K531" t="s">
        <v>86</v>
      </c>
      <c r="L531" t="s">
        <v>71</v>
      </c>
      <c r="M531" t="s">
        <v>87</v>
      </c>
      <c r="O531" t="s">
        <v>88</v>
      </c>
      <c r="P531" t="s">
        <v>27</v>
      </c>
      <c r="Q531" t="s">
        <v>73</v>
      </c>
      <c r="R531" t="s">
        <v>76</v>
      </c>
      <c r="S531" t="s">
        <v>74</v>
      </c>
      <c r="T531" t="s">
        <v>75</v>
      </c>
      <c r="X531" t="s">
        <v>77</v>
      </c>
      <c r="Z531" t="s">
        <v>72</v>
      </c>
      <c r="AA531" t="s">
        <v>94</v>
      </c>
      <c r="AB531">
        <v>5</v>
      </c>
      <c r="AC531">
        <v>748746.93</v>
      </c>
      <c r="AD531">
        <v>8930498.0899999999</v>
      </c>
      <c r="AE531">
        <v>190.06</v>
      </c>
      <c r="AF531">
        <v>748746.93</v>
      </c>
      <c r="AG531">
        <v>8930498.0899999999</v>
      </c>
      <c r="AH531">
        <v>180.08</v>
      </c>
      <c r="AI531">
        <v>9.9700000000000006</v>
      </c>
      <c r="AJ531">
        <v>0.6</v>
      </c>
      <c r="AK531">
        <v>3.37</v>
      </c>
      <c r="AL531">
        <v>2.93</v>
      </c>
      <c r="AM531">
        <v>0</v>
      </c>
      <c r="AN531">
        <v>0</v>
      </c>
      <c r="AO531">
        <v>358</v>
      </c>
      <c r="AP531">
        <v>3.3</v>
      </c>
      <c r="AQ531">
        <v>0.5</v>
      </c>
      <c r="AR531">
        <v>7.0000000000000007E-2</v>
      </c>
      <c r="AS531">
        <v>0.06</v>
      </c>
      <c r="AT531">
        <v>17.88</v>
      </c>
      <c r="AU531">
        <v>5.62</v>
      </c>
      <c r="AV531">
        <v>0.32</v>
      </c>
      <c r="AW531">
        <v>1.64</v>
      </c>
      <c r="AX531">
        <v>8.2899999999999991</v>
      </c>
      <c r="AY531">
        <v>3.3</v>
      </c>
      <c r="AZ531">
        <v>97.114999999999995</v>
      </c>
      <c r="BA531">
        <v>0</v>
      </c>
      <c r="BB531">
        <v>0</v>
      </c>
      <c r="BC531">
        <v>0</v>
      </c>
      <c r="BD531">
        <v>0</v>
      </c>
    </row>
    <row r="532" spans="1:56" x14ac:dyDescent="0.25">
      <c r="A532" s="23">
        <v>46304</v>
      </c>
      <c r="B532">
        <v>531</v>
      </c>
      <c r="C532" t="s">
        <v>82</v>
      </c>
      <c r="D532" t="s">
        <v>83</v>
      </c>
      <c r="E532">
        <v>2</v>
      </c>
      <c r="F532">
        <v>180</v>
      </c>
      <c r="G532">
        <v>1</v>
      </c>
      <c r="H532" t="s">
        <v>95</v>
      </c>
      <c r="I532" t="s">
        <v>91</v>
      </c>
      <c r="J532" t="s">
        <v>85</v>
      </c>
      <c r="K532" t="s">
        <v>86</v>
      </c>
      <c r="L532" t="s">
        <v>71</v>
      </c>
      <c r="M532" t="s">
        <v>87</v>
      </c>
      <c r="O532" t="s">
        <v>88</v>
      </c>
      <c r="P532" t="s">
        <v>27</v>
      </c>
      <c r="Q532" t="s">
        <v>73</v>
      </c>
      <c r="R532" t="s">
        <v>76</v>
      </c>
      <c r="S532" t="s">
        <v>74</v>
      </c>
      <c r="T532" t="s">
        <v>75</v>
      </c>
      <c r="X532" t="s">
        <v>77</v>
      </c>
      <c r="Z532" t="s">
        <v>72</v>
      </c>
      <c r="AA532" t="s">
        <v>94</v>
      </c>
      <c r="AB532">
        <v>5</v>
      </c>
      <c r="AC532">
        <v>748744.25</v>
      </c>
      <c r="AD532">
        <v>8930496.0399999991</v>
      </c>
      <c r="AE532">
        <v>189.98</v>
      </c>
      <c r="AF532">
        <v>748744.25</v>
      </c>
      <c r="AG532">
        <v>8930496.0399999991</v>
      </c>
      <c r="AH532">
        <v>180.11</v>
      </c>
      <c r="AI532">
        <v>9.8699999999999992</v>
      </c>
      <c r="AJ532">
        <v>0.6</v>
      </c>
      <c r="AK532">
        <v>3.37</v>
      </c>
      <c r="AL532">
        <v>2.93</v>
      </c>
      <c r="AM532">
        <v>0</v>
      </c>
      <c r="AN532">
        <v>0</v>
      </c>
      <c r="AO532">
        <v>358</v>
      </c>
      <c r="AP532">
        <v>3.32</v>
      </c>
      <c r="AQ532">
        <v>0.51</v>
      </c>
      <c r="AR532">
        <v>7.0000000000000007E-2</v>
      </c>
      <c r="AS532">
        <v>7.0000000000000007E-2</v>
      </c>
      <c r="AT532">
        <v>18.54</v>
      </c>
      <c r="AU532">
        <v>5.63</v>
      </c>
      <c r="AV532">
        <v>0.35</v>
      </c>
      <c r="AW532">
        <v>1.48</v>
      </c>
      <c r="AX532">
        <v>9.32</v>
      </c>
      <c r="AY532">
        <v>3.3</v>
      </c>
      <c r="AZ532">
        <v>95.659000000000006</v>
      </c>
      <c r="BA532">
        <v>0</v>
      </c>
      <c r="BB532">
        <v>0</v>
      </c>
      <c r="BC532">
        <v>0</v>
      </c>
      <c r="BD532">
        <v>0</v>
      </c>
    </row>
    <row r="533" spans="1:56" x14ac:dyDescent="0.25">
      <c r="A533" s="23">
        <v>46304</v>
      </c>
      <c r="B533">
        <v>532</v>
      </c>
      <c r="C533" t="s">
        <v>82</v>
      </c>
      <c r="D533" t="s">
        <v>83</v>
      </c>
      <c r="E533">
        <v>2</v>
      </c>
      <c r="F533">
        <v>180</v>
      </c>
      <c r="G533">
        <v>1</v>
      </c>
      <c r="H533" t="s">
        <v>95</v>
      </c>
      <c r="I533" t="s">
        <v>91</v>
      </c>
      <c r="J533" t="s">
        <v>85</v>
      </c>
      <c r="K533" t="s">
        <v>86</v>
      </c>
      <c r="L533" t="s">
        <v>71</v>
      </c>
      <c r="M533" t="s">
        <v>87</v>
      </c>
      <c r="O533" t="s">
        <v>88</v>
      </c>
      <c r="P533" t="s">
        <v>27</v>
      </c>
      <c r="Q533" t="s">
        <v>73</v>
      </c>
      <c r="R533" t="s">
        <v>76</v>
      </c>
      <c r="S533" t="s">
        <v>74</v>
      </c>
      <c r="T533" t="s">
        <v>75</v>
      </c>
      <c r="X533" t="s">
        <v>77</v>
      </c>
      <c r="Z533" t="s">
        <v>72</v>
      </c>
      <c r="AA533" t="s">
        <v>94</v>
      </c>
      <c r="AB533">
        <v>5</v>
      </c>
      <c r="AC533">
        <v>748741.57</v>
      </c>
      <c r="AD533">
        <v>8930494</v>
      </c>
      <c r="AE533">
        <v>189.88</v>
      </c>
      <c r="AF533">
        <v>748741.57</v>
      </c>
      <c r="AG533">
        <v>8930494</v>
      </c>
      <c r="AH533">
        <v>180.13</v>
      </c>
      <c r="AI533">
        <v>9.75</v>
      </c>
      <c r="AJ533">
        <v>0.6</v>
      </c>
      <c r="AK533">
        <v>3.37</v>
      </c>
      <c r="AL533">
        <v>2.93</v>
      </c>
      <c r="AM533">
        <v>0</v>
      </c>
      <c r="AN533">
        <v>0</v>
      </c>
      <c r="AO533">
        <v>358</v>
      </c>
      <c r="AP533">
        <v>3.32</v>
      </c>
      <c r="AQ533">
        <v>0.52</v>
      </c>
      <c r="AR533">
        <v>7.0000000000000007E-2</v>
      </c>
      <c r="AS533">
        <v>7.0000000000000007E-2</v>
      </c>
      <c r="AT533">
        <v>18.68</v>
      </c>
      <c r="AU533">
        <v>5.6</v>
      </c>
      <c r="AV533">
        <v>0.35</v>
      </c>
      <c r="AW533">
        <v>1.48</v>
      </c>
      <c r="AX533">
        <v>9.35</v>
      </c>
      <c r="AY533">
        <v>3.3</v>
      </c>
      <c r="AZ533">
        <v>93.912000000000006</v>
      </c>
      <c r="BA533">
        <v>0</v>
      </c>
      <c r="BB533">
        <v>0</v>
      </c>
      <c r="BC533">
        <v>0</v>
      </c>
      <c r="BD533">
        <v>0</v>
      </c>
    </row>
    <row r="534" spans="1:56" x14ac:dyDescent="0.25">
      <c r="A534" s="23">
        <v>46304</v>
      </c>
      <c r="B534">
        <v>533</v>
      </c>
      <c r="C534" t="s">
        <v>82</v>
      </c>
      <c r="D534" t="s">
        <v>92</v>
      </c>
      <c r="E534">
        <v>2</v>
      </c>
      <c r="F534">
        <v>180</v>
      </c>
      <c r="G534">
        <v>1</v>
      </c>
      <c r="H534" t="s">
        <v>95</v>
      </c>
      <c r="I534" t="s">
        <v>91</v>
      </c>
      <c r="J534" t="s">
        <v>85</v>
      </c>
      <c r="K534" t="s">
        <v>86</v>
      </c>
      <c r="L534" t="s">
        <v>71</v>
      </c>
      <c r="M534" t="s">
        <v>87</v>
      </c>
      <c r="O534" t="s">
        <v>88</v>
      </c>
      <c r="P534" t="s">
        <v>27</v>
      </c>
      <c r="Q534" t="s">
        <v>73</v>
      </c>
      <c r="R534" t="s">
        <v>76</v>
      </c>
      <c r="S534" t="s">
        <v>74</v>
      </c>
      <c r="T534" t="s">
        <v>75</v>
      </c>
      <c r="X534" t="s">
        <v>77</v>
      </c>
      <c r="Z534" t="s">
        <v>72</v>
      </c>
      <c r="AA534" t="s">
        <v>94</v>
      </c>
      <c r="AB534">
        <v>5</v>
      </c>
      <c r="AC534">
        <v>748738.89</v>
      </c>
      <c r="AD534">
        <v>8930491.9499999993</v>
      </c>
      <c r="AE534">
        <v>189.79</v>
      </c>
      <c r="AF534">
        <v>748738.89</v>
      </c>
      <c r="AG534">
        <v>8930491.9499999993</v>
      </c>
      <c r="AH534">
        <v>180.14</v>
      </c>
      <c r="AI534">
        <v>9.65</v>
      </c>
      <c r="AJ534">
        <v>0.6</v>
      </c>
      <c r="AK534">
        <v>3.37</v>
      </c>
      <c r="AL534">
        <v>2.93</v>
      </c>
      <c r="AM534">
        <v>0</v>
      </c>
      <c r="AN534">
        <v>0</v>
      </c>
      <c r="AO534">
        <v>358</v>
      </c>
      <c r="AP534">
        <v>3.29</v>
      </c>
      <c r="AQ534">
        <v>0.57999999999999996</v>
      </c>
      <c r="AR534">
        <v>0.08</v>
      </c>
      <c r="AS534">
        <v>0.08</v>
      </c>
      <c r="AT534">
        <v>19.82</v>
      </c>
      <c r="AU534">
        <v>5.29</v>
      </c>
      <c r="AV534">
        <v>0.36</v>
      </c>
      <c r="AW534">
        <v>1.61</v>
      </c>
      <c r="AX534">
        <v>9.2799999999999994</v>
      </c>
      <c r="AY534">
        <v>3.3</v>
      </c>
      <c r="AZ534">
        <v>92.456000000000003</v>
      </c>
      <c r="BA534">
        <v>0</v>
      </c>
      <c r="BB534">
        <v>0</v>
      </c>
      <c r="BC534">
        <v>0</v>
      </c>
      <c r="BD534">
        <v>0</v>
      </c>
    </row>
    <row r="535" spans="1:56" x14ac:dyDescent="0.25">
      <c r="A535" s="23">
        <v>46304</v>
      </c>
      <c r="B535">
        <v>534</v>
      </c>
      <c r="C535" t="s">
        <v>82</v>
      </c>
      <c r="D535" t="s">
        <v>92</v>
      </c>
      <c r="E535">
        <v>2</v>
      </c>
      <c r="F535">
        <v>180</v>
      </c>
      <c r="G535">
        <v>1</v>
      </c>
      <c r="H535" t="s">
        <v>95</v>
      </c>
      <c r="I535" t="s">
        <v>91</v>
      </c>
      <c r="J535" t="s">
        <v>85</v>
      </c>
      <c r="K535" t="s">
        <v>86</v>
      </c>
      <c r="L535" t="s">
        <v>71</v>
      </c>
      <c r="M535" t="s">
        <v>87</v>
      </c>
      <c r="O535" t="s">
        <v>88</v>
      </c>
      <c r="P535" t="s">
        <v>27</v>
      </c>
      <c r="Q535" t="s">
        <v>73</v>
      </c>
      <c r="R535" t="s">
        <v>76</v>
      </c>
      <c r="S535" t="s">
        <v>74</v>
      </c>
      <c r="T535" t="s">
        <v>75</v>
      </c>
      <c r="X535" t="s">
        <v>77</v>
      </c>
      <c r="Z535" t="s">
        <v>72</v>
      </c>
      <c r="AA535" t="s">
        <v>94</v>
      </c>
      <c r="AB535">
        <v>5</v>
      </c>
      <c r="AC535">
        <v>748736.22</v>
      </c>
      <c r="AD535">
        <v>8930489.9100000001</v>
      </c>
      <c r="AE535">
        <v>189.78</v>
      </c>
      <c r="AF535">
        <v>748736.22</v>
      </c>
      <c r="AG535">
        <v>8930489.9100000001</v>
      </c>
      <c r="AH535">
        <v>180.14</v>
      </c>
      <c r="AI535">
        <v>9.64</v>
      </c>
      <c r="AJ535">
        <v>0.6</v>
      </c>
      <c r="AK535">
        <v>3.37</v>
      </c>
      <c r="AL535">
        <v>2.93</v>
      </c>
      <c r="AM535">
        <v>0</v>
      </c>
      <c r="AN535">
        <v>0</v>
      </c>
      <c r="AO535">
        <v>358</v>
      </c>
      <c r="AP535">
        <v>3.32</v>
      </c>
      <c r="AQ535">
        <v>0.63</v>
      </c>
      <c r="AR535">
        <v>0.09</v>
      </c>
      <c r="AS535">
        <v>0.08</v>
      </c>
      <c r="AT535">
        <v>20.2</v>
      </c>
      <c r="AU535">
        <v>5.42</v>
      </c>
      <c r="AV535">
        <v>0.37</v>
      </c>
      <c r="AW535">
        <v>1.71</v>
      </c>
      <c r="AX535">
        <v>8.5500000000000007</v>
      </c>
      <c r="AY535">
        <v>3.3</v>
      </c>
      <c r="AZ535">
        <v>92.31</v>
      </c>
      <c r="BA535">
        <v>0</v>
      </c>
      <c r="BB535">
        <v>0</v>
      </c>
      <c r="BC535">
        <v>0</v>
      </c>
      <c r="BD535">
        <v>0</v>
      </c>
    </row>
    <row r="536" spans="1:56" x14ac:dyDescent="0.25">
      <c r="A536" s="23">
        <v>46304</v>
      </c>
      <c r="B536">
        <v>535</v>
      </c>
      <c r="C536" t="s">
        <v>82</v>
      </c>
      <c r="D536" t="s">
        <v>92</v>
      </c>
      <c r="E536">
        <v>2</v>
      </c>
      <c r="F536">
        <v>180</v>
      </c>
      <c r="G536">
        <v>1</v>
      </c>
      <c r="H536" t="s">
        <v>84</v>
      </c>
      <c r="I536" t="s">
        <v>91</v>
      </c>
      <c r="J536" t="s">
        <v>85</v>
      </c>
      <c r="K536" t="s">
        <v>86</v>
      </c>
      <c r="L536" t="s">
        <v>71</v>
      </c>
      <c r="M536" t="s">
        <v>87</v>
      </c>
      <c r="O536" t="s">
        <v>88</v>
      </c>
      <c r="P536" t="s">
        <v>27</v>
      </c>
      <c r="Q536" t="s">
        <v>73</v>
      </c>
      <c r="R536" t="s">
        <v>76</v>
      </c>
      <c r="S536" t="s">
        <v>74</v>
      </c>
      <c r="T536" t="s">
        <v>75</v>
      </c>
      <c r="X536" t="s">
        <v>77</v>
      </c>
      <c r="Z536" t="s">
        <v>72</v>
      </c>
      <c r="AA536" t="s">
        <v>94</v>
      </c>
      <c r="AB536">
        <v>5</v>
      </c>
      <c r="AC536">
        <v>748733.54</v>
      </c>
      <c r="AD536">
        <v>8930487.8599999994</v>
      </c>
      <c r="AE536">
        <v>189.79</v>
      </c>
      <c r="AF536">
        <v>748733.54</v>
      </c>
      <c r="AG536">
        <v>8930487.8599999994</v>
      </c>
      <c r="AH536">
        <v>180.14</v>
      </c>
      <c r="AI536">
        <v>9.65</v>
      </c>
      <c r="AJ536">
        <v>0.6</v>
      </c>
      <c r="AK536">
        <v>3.37</v>
      </c>
      <c r="AL536">
        <v>2.93</v>
      </c>
      <c r="AM536">
        <v>0</v>
      </c>
      <c r="AN536">
        <v>0</v>
      </c>
      <c r="AO536">
        <v>358</v>
      </c>
      <c r="AP536">
        <v>3.35</v>
      </c>
      <c r="AQ536">
        <v>0.66</v>
      </c>
      <c r="AR536">
        <v>0.09</v>
      </c>
      <c r="AS536">
        <v>0.08</v>
      </c>
      <c r="AT536">
        <v>20.29</v>
      </c>
      <c r="AU536">
        <v>5.6</v>
      </c>
      <c r="AV536">
        <v>0.37</v>
      </c>
      <c r="AW536">
        <v>1.77</v>
      </c>
      <c r="AX536">
        <v>7.9</v>
      </c>
      <c r="AY536">
        <v>3.3</v>
      </c>
      <c r="AZ536">
        <v>92.456000000000003</v>
      </c>
      <c r="BA536">
        <v>0</v>
      </c>
      <c r="BB536">
        <v>0</v>
      </c>
      <c r="BC536">
        <v>0</v>
      </c>
      <c r="BD536">
        <v>0</v>
      </c>
    </row>
    <row r="537" spans="1:56" x14ac:dyDescent="0.25">
      <c r="A537" s="23">
        <v>46304</v>
      </c>
      <c r="B537">
        <v>536</v>
      </c>
      <c r="C537" t="s">
        <v>82</v>
      </c>
      <c r="D537" t="s">
        <v>92</v>
      </c>
      <c r="E537">
        <v>2</v>
      </c>
      <c r="F537">
        <v>180</v>
      </c>
      <c r="G537">
        <v>1</v>
      </c>
      <c r="H537" t="s">
        <v>84</v>
      </c>
      <c r="I537" t="s">
        <v>91</v>
      </c>
      <c r="J537" t="s">
        <v>85</v>
      </c>
      <c r="K537" t="s">
        <v>86</v>
      </c>
      <c r="L537" t="s">
        <v>71</v>
      </c>
      <c r="M537" t="s">
        <v>87</v>
      </c>
      <c r="O537" t="s">
        <v>88</v>
      </c>
      <c r="P537" t="s">
        <v>27</v>
      </c>
      <c r="Q537" t="s">
        <v>73</v>
      </c>
      <c r="R537" t="s">
        <v>76</v>
      </c>
      <c r="S537" t="s">
        <v>74</v>
      </c>
      <c r="T537" t="s">
        <v>75</v>
      </c>
      <c r="X537" t="s">
        <v>77</v>
      </c>
      <c r="Z537" t="s">
        <v>72</v>
      </c>
      <c r="AA537" t="s">
        <v>94</v>
      </c>
      <c r="AB537">
        <v>5</v>
      </c>
      <c r="AC537">
        <v>748730.86</v>
      </c>
      <c r="AD537">
        <v>8930485.8100000005</v>
      </c>
      <c r="AE537">
        <v>189.61</v>
      </c>
      <c r="AF537">
        <v>748730.86</v>
      </c>
      <c r="AG537">
        <v>8930485.8100000005</v>
      </c>
      <c r="AH537">
        <v>180.14</v>
      </c>
      <c r="AI537">
        <v>9.4700000000000006</v>
      </c>
      <c r="AJ537">
        <v>0.6</v>
      </c>
      <c r="AK537">
        <v>3.37</v>
      </c>
      <c r="AL537">
        <v>2.93</v>
      </c>
      <c r="AM537">
        <v>0</v>
      </c>
      <c r="AN537">
        <v>0</v>
      </c>
      <c r="AO537">
        <v>358</v>
      </c>
      <c r="AP537">
        <v>3.35</v>
      </c>
      <c r="AQ537">
        <v>0.68</v>
      </c>
      <c r="AR537">
        <v>0.09</v>
      </c>
      <c r="AS537">
        <v>0.08</v>
      </c>
      <c r="AT537">
        <v>20.350000000000001</v>
      </c>
      <c r="AU537">
        <v>5.65</v>
      </c>
      <c r="AV537">
        <v>0.37</v>
      </c>
      <c r="AW537">
        <v>1.81</v>
      </c>
      <c r="AX537">
        <v>7.93</v>
      </c>
      <c r="AY537">
        <v>3.3</v>
      </c>
      <c r="AZ537">
        <v>89.834999999999994</v>
      </c>
      <c r="BA537">
        <v>0</v>
      </c>
      <c r="BB537">
        <v>0</v>
      </c>
      <c r="BC537">
        <v>0</v>
      </c>
      <c r="BD537">
        <v>0</v>
      </c>
    </row>
    <row r="538" spans="1:56" x14ac:dyDescent="0.25">
      <c r="A538" s="23">
        <v>46304</v>
      </c>
      <c r="B538">
        <v>537</v>
      </c>
      <c r="C538" t="s">
        <v>82</v>
      </c>
      <c r="D538" t="s">
        <v>92</v>
      </c>
      <c r="E538">
        <v>2</v>
      </c>
      <c r="F538">
        <v>180</v>
      </c>
      <c r="G538">
        <v>1</v>
      </c>
      <c r="H538" t="s">
        <v>84</v>
      </c>
      <c r="I538" t="s">
        <v>91</v>
      </c>
      <c r="J538" t="s">
        <v>97</v>
      </c>
      <c r="K538" t="s">
        <v>86</v>
      </c>
      <c r="L538" t="s">
        <v>71</v>
      </c>
      <c r="M538" t="s">
        <v>87</v>
      </c>
      <c r="O538" t="s">
        <v>88</v>
      </c>
      <c r="P538" t="s">
        <v>27</v>
      </c>
      <c r="Q538" t="s">
        <v>73</v>
      </c>
      <c r="R538" t="s">
        <v>76</v>
      </c>
      <c r="S538" t="s">
        <v>74</v>
      </c>
      <c r="T538" t="s">
        <v>75</v>
      </c>
      <c r="X538" t="s">
        <v>77</v>
      </c>
      <c r="Z538" t="s">
        <v>72</v>
      </c>
      <c r="AA538" t="s">
        <v>94</v>
      </c>
      <c r="AB538">
        <v>5</v>
      </c>
      <c r="AC538">
        <v>748728.18</v>
      </c>
      <c r="AD538">
        <v>8930483.7699999996</v>
      </c>
      <c r="AE538">
        <v>189.62</v>
      </c>
      <c r="AF538">
        <v>748728.18</v>
      </c>
      <c r="AG538">
        <v>8930483.7699999996</v>
      </c>
      <c r="AH538">
        <v>180.18</v>
      </c>
      <c r="AI538">
        <v>9.44</v>
      </c>
      <c r="AJ538">
        <v>0.6</v>
      </c>
      <c r="AK538">
        <v>3.37</v>
      </c>
      <c r="AL538">
        <v>2.93</v>
      </c>
      <c r="AM538">
        <v>0</v>
      </c>
      <c r="AN538">
        <v>0</v>
      </c>
      <c r="AO538">
        <v>358</v>
      </c>
      <c r="AP538">
        <v>3.35</v>
      </c>
      <c r="AQ538">
        <v>0.71</v>
      </c>
      <c r="AR538">
        <v>0.1</v>
      </c>
      <c r="AS538">
        <v>0.09</v>
      </c>
      <c r="AT538">
        <v>20.51</v>
      </c>
      <c r="AU538">
        <v>5.82</v>
      </c>
      <c r="AV538">
        <v>0.37</v>
      </c>
      <c r="AW538">
        <v>1.94</v>
      </c>
      <c r="AX538">
        <v>8.01</v>
      </c>
      <c r="AY538">
        <v>3.3</v>
      </c>
      <c r="AZ538">
        <v>89.397999999999996</v>
      </c>
      <c r="BA538">
        <v>0</v>
      </c>
      <c r="BB538">
        <v>0</v>
      </c>
      <c r="BC538">
        <v>0</v>
      </c>
      <c r="BD538">
        <v>0</v>
      </c>
    </row>
    <row r="539" spans="1:56" x14ac:dyDescent="0.25">
      <c r="A539" s="23">
        <v>46304</v>
      </c>
      <c r="B539">
        <v>538</v>
      </c>
      <c r="C539" t="s">
        <v>82</v>
      </c>
      <c r="D539" t="s">
        <v>92</v>
      </c>
      <c r="E539">
        <v>2</v>
      </c>
      <c r="F539">
        <v>180</v>
      </c>
      <c r="G539">
        <v>1</v>
      </c>
      <c r="H539" t="s">
        <v>84</v>
      </c>
      <c r="I539" t="s">
        <v>91</v>
      </c>
      <c r="J539" t="s">
        <v>97</v>
      </c>
      <c r="K539" t="s">
        <v>86</v>
      </c>
      <c r="L539" t="s">
        <v>71</v>
      </c>
      <c r="M539" t="s">
        <v>87</v>
      </c>
      <c r="O539" t="s">
        <v>88</v>
      </c>
      <c r="P539" t="s">
        <v>27</v>
      </c>
      <c r="Q539" t="s">
        <v>73</v>
      </c>
      <c r="R539" t="s">
        <v>76</v>
      </c>
      <c r="S539" t="s">
        <v>74</v>
      </c>
      <c r="T539" t="s">
        <v>75</v>
      </c>
      <c r="X539" t="s">
        <v>77</v>
      </c>
      <c r="Z539" t="s">
        <v>72</v>
      </c>
      <c r="AA539" t="s">
        <v>94</v>
      </c>
      <c r="AB539">
        <v>5</v>
      </c>
      <c r="AC539">
        <v>748725.5</v>
      </c>
      <c r="AD539">
        <v>8930481.7200000007</v>
      </c>
      <c r="AE539">
        <v>189.73</v>
      </c>
      <c r="AF539">
        <v>748725.5</v>
      </c>
      <c r="AG539">
        <v>8930481.7200000007</v>
      </c>
      <c r="AH539">
        <v>180.21</v>
      </c>
      <c r="AI539">
        <v>9.52</v>
      </c>
      <c r="AJ539">
        <v>0.6</v>
      </c>
      <c r="AK539">
        <v>3.37</v>
      </c>
      <c r="AL539">
        <v>2.93</v>
      </c>
      <c r="AM539">
        <v>0</v>
      </c>
      <c r="AN539">
        <v>0</v>
      </c>
      <c r="AO539">
        <v>358</v>
      </c>
      <c r="AP539">
        <v>3.35</v>
      </c>
      <c r="AQ539">
        <v>0.72</v>
      </c>
      <c r="AR539">
        <v>0.1</v>
      </c>
      <c r="AS539">
        <v>0.09</v>
      </c>
      <c r="AT539">
        <v>20.36</v>
      </c>
      <c r="AU539">
        <v>5.84</v>
      </c>
      <c r="AV539">
        <v>0.37</v>
      </c>
      <c r="AW539">
        <v>1.94</v>
      </c>
      <c r="AX539">
        <v>7.99</v>
      </c>
      <c r="AY539">
        <v>3.3</v>
      </c>
      <c r="AZ539">
        <v>90.563000000000002</v>
      </c>
      <c r="BA539">
        <v>0</v>
      </c>
      <c r="BB539">
        <v>0</v>
      </c>
      <c r="BC539">
        <v>0</v>
      </c>
      <c r="BD539">
        <v>0</v>
      </c>
    </row>
    <row r="540" spans="1:56" x14ac:dyDescent="0.25">
      <c r="A540" s="23">
        <v>46304</v>
      </c>
      <c r="B540">
        <v>539</v>
      </c>
      <c r="C540" t="s">
        <v>82</v>
      </c>
      <c r="D540" t="s">
        <v>92</v>
      </c>
      <c r="E540">
        <v>2</v>
      </c>
      <c r="F540">
        <v>180</v>
      </c>
      <c r="G540">
        <v>1</v>
      </c>
      <c r="H540" t="s">
        <v>84</v>
      </c>
      <c r="I540" t="s">
        <v>91</v>
      </c>
      <c r="J540" t="s">
        <v>97</v>
      </c>
      <c r="K540" t="s">
        <v>86</v>
      </c>
      <c r="L540" t="s">
        <v>71</v>
      </c>
      <c r="M540" t="s">
        <v>87</v>
      </c>
      <c r="O540" t="s">
        <v>88</v>
      </c>
      <c r="P540" t="s">
        <v>27</v>
      </c>
      <c r="Q540" t="s">
        <v>73</v>
      </c>
      <c r="R540" t="s">
        <v>76</v>
      </c>
      <c r="S540" t="s">
        <v>74</v>
      </c>
      <c r="T540" t="s">
        <v>75</v>
      </c>
      <c r="X540" t="s">
        <v>77</v>
      </c>
      <c r="Z540" t="s">
        <v>72</v>
      </c>
      <c r="AA540" t="s">
        <v>94</v>
      </c>
      <c r="AB540">
        <v>5</v>
      </c>
      <c r="AC540">
        <v>748723</v>
      </c>
      <c r="AD540">
        <v>8930479.4900000002</v>
      </c>
      <c r="AE540">
        <v>189.76</v>
      </c>
      <c r="AF540">
        <v>748723</v>
      </c>
      <c r="AG540">
        <v>8930479.4900000002</v>
      </c>
      <c r="AH540">
        <v>180.26</v>
      </c>
      <c r="AI540">
        <v>9.5</v>
      </c>
      <c r="AJ540">
        <v>0.6</v>
      </c>
      <c r="AK540">
        <v>3.37</v>
      </c>
      <c r="AL540">
        <v>2.93</v>
      </c>
      <c r="AM540">
        <v>0</v>
      </c>
      <c r="AN540">
        <v>0</v>
      </c>
      <c r="AO540">
        <v>358</v>
      </c>
      <c r="AP540">
        <v>3.36</v>
      </c>
      <c r="AQ540">
        <v>0.72</v>
      </c>
      <c r="AR540">
        <v>0.11</v>
      </c>
      <c r="AS540">
        <v>0.08</v>
      </c>
      <c r="AT540">
        <v>18.12</v>
      </c>
      <c r="AU540">
        <v>6.11</v>
      </c>
      <c r="AV540">
        <v>0.36</v>
      </c>
      <c r="AW540">
        <v>1.99</v>
      </c>
      <c r="AX540">
        <v>7.7</v>
      </c>
      <c r="AY540">
        <v>3.3</v>
      </c>
      <c r="AZ540">
        <v>90.272000000000006</v>
      </c>
      <c r="BA540">
        <v>0</v>
      </c>
      <c r="BB540">
        <v>0</v>
      </c>
      <c r="BC540">
        <v>0</v>
      </c>
      <c r="BD540">
        <v>0</v>
      </c>
    </row>
    <row r="541" spans="1:56" x14ac:dyDescent="0.25">
      <c r="A541" s="23">
        <v>46304</v>
      </c>
      <c r="B541">
        <v>540</v>
      </c>
      <c r="C541" t="s">
        <v>82</v>
      </c>
      <c r="D541" t="s">
        <v>92</v>
      </c>
      <c r="E541">
        <v>2</v>
      </c>
      <c r="F541">
        <v>180</v>
      </c>
      <c r="G541">
        <v>1</v>
      </c>
      <c r="H541" t="s">
        <v>84</v>
      </c>
      <c r="I541" t="s">
        <v>91</v>
      </c>
      <c r="J541" t="s">
        <v>97</v>
      </c>
      <c r="K541" t="s">
        <v>86</v>
      </c>
      <c r="L541" t="s">
        <v>71</v>
      </c>
      <c r="M541" t="s">
        <v>81</v>
      </c>
      <c r="O541" t="s">
        <v>88</v>
      </c>
      <c r="P541" t="s">
        <v>27</v>
      </c>
      <c r="Q541" t="s">
        <v>73</v>
      </c>
      <c r="R541" t="s">
        <v>76</v>
      </c>
      <c r="S541" t="s">
        <v>74</v>
      </c>
      <c r="T541" t="s">
        <v>75</v>
      </c>
      <c r="X541" t="s">
        <v>77</v>
      </c>
      <c r="Z541" t="s">
        <v>72</v>
      </c>
      <c r="AA541" t="s">
        <v>94</v>
      </c>
      <c r="AB541">
        <v>5</v>
      </c>
      <c r="AC541">
        <v>748720.85</v>
      </c>
      <c r="AD541">
        <v>8930476.9399999995</v>
      </c>
      <c r="AE541">
        <v>189.92</v>
      </c>
      <c r="AF541">
        <v>748720.85</v>
      </c>
      <c r="AG541">
        <v>8930476.9399999995</v>
      </c>
      <c r="AH541">
        <v>180.29</v>
      </c>
      <c r="AI541">
        <v>9.6300000000000008</v>
      </c>
      <c r="AJ541">
        <v>0.6</v>
      </c>
      <c r="AK541">
        <v>3.37</v>
      </c>
      <c r="AL541">
        <v>2.93</v>
      </c>
      <c r="AM541">
        <v>0</v>
      </c>
      <c r="AN541">
        <v>0</v>
      </c>
      <c r="AO541">
        <v>358</v>
      </c>
      <c r="AP541">
        <v>3.35</v>
      </c>
      <c r="AQ541">
        <v>0.69</v>
      </c>
      <c r="AR541">
        <v>0.11</v>
      </c>
      <c r="AS541">
        <v>0.08</v>
      </c>
      <c r="AT541">
        <v>16.53</v>
      </c>
      <c r="AU541">
        <v>6.19</v>
      </c>
      <c r="AV541">
        <v>0.35</v>
      </c>
      <c r="AW541">
        <v>1.98</v>
      </c>
      <c r="AX541">
        <v>8.01</v>
      </c>
      <c r="AY541">
        <v>3.3</v>
      </c>
      <c r="AZ541">
        <v>92.165000000000006</v>
      </c>
      <c r="BA541">
        <v>0</v>
      </c>
      <c r="BB541">
        <v>0</v>
      </c>
      <c r="BC541">
        <v>0</v>
      </c>
      <c r="BD541">
        <v>0</v>
      </c>
    </row>
    <row r="542" spans="1:56" x14ac:dyDescent="0.25">
      <c r="A542" s="23">
        <v>46304</v>
      </c>
      <c r="B542">
        <v>541</v>
      </c>
      <c r="C542" t="s">
        <v>82</v>
      </c>
      <c r="D542" t="s">
        <v>92</v>
      </c>
      <c r="E542">
        <v>2</v>
      </c>
      <c r="F542">
        <v>180</v>
      </c>
      <c r="G542">
        <v>1</v>
      </c>
      <c r="H542" t="s">
        <v>84</v>
      </c>
      <c r="I542" t="s">
        <v>91</v>
      </c>
      <c r="J542" t="s">
        <v>85</v>
      </c>
      <c r="K542" t="s">
        <v>79</v>
      </c>
      <c r="L542" t="s">
        <v>71</v>
      </c>
      <c r="M542" t="s">
        <v>81</v>
      </c>
      <c r="O542" t="s">
        <v>88</v>
      </c>
      <c r="P542" t="s">
        <v>27</v>
      </c>
      <c r="Q542" t="s">
        <v>73</v>
      </c>
      <c r="R542" t="s">
        <v>76</v>
      </c>
      <c r="S542" t="s">
        <v>74</v>
      </c>
      <c r="T542" t="s">
        <v>75</v>
      </c>
      <c r="X542" t="s">
        <v>77</v>
      </c>
      <c r="Z542" t="s">
        <v>72</v>
      </c>
      <c r="AA542" t="s">
        <v>94</v>
      </c>
      <c r="AB542">
        <v>5</v>
      </c>
      <c r="AC542">
        <v>748719.33</v>
      </c>
      <c r="AD542">
        <v>8930474</v>
      </c>
      <c r="AE542">
        <v>189.97</v>
      </c>
      <c r="AF542">
        <v>748719.33</v>
      </c>
      <c r="AG542">
        <v>8930474</v>
      </c>
      <c r="AH542">
        <v>180.34</v>
      </c>
      <c r="AI542">
        <v>9.6300000000000008</v>
      </c>
      <c r="AJ542">
        <v>0.6</v>
      </c>
      <c r="AK542">
        <v>3.37</v>
      </c>
      <c r="AL542">
        <v>2.93</v>
      </c>
      <c r="AM542">
        <v>0</v>
      </c>
      <c r="AN542">
        <v>0</v>
      </c>
      <c r="AO542">
        <v>358</v>
      </c>
      <c r="AP542">
        <v>3.34</v>
      </c>
      <c r="AQ542">
        <v>0.63</v>
      </c>
      <c r="AR542">
        <v>0.1</v>
      </c>
      <c r="AS542">
        <v>0.08</v>
      </c>
      <c r="AT542">
        <v>15.96</v>
      </c>
      <c r="AU542">
        <v>6.07</v>
      </c>
      <c r="AV542">
        <v>0.33</v>
      </c>
      <c r="AW542">
        <v>1.93</v>
      </c>
      <c r="AX542">
        <v>8.8800000000000008</v>
      </c>
      <c r="AY542">
        <v>3.3</v>
      </c>
      <c r="AZ542">
        <v>92.165000000000006</v>
      </c>
      <c r="BA542">
        <v>0</v>
      </c>
      <c r="BB542">
        <v>0</v>
      </c>
      <c r="BC542">
        <v>0</v>
      </c>
      <c r="BD542">
        <v>0</v>
      </c>
    </row>
    <row r="543" spans="1:56" x14ac:dyDescent="0.25">
      <c r="A543" s="23">
        <v>46304</v>
      </c>
      <c r="B543">
        <v>542</v>
      </c>
      <c r="C543" t="s">
        <v>82</v>
      </c>
      <c r="D543" t="s">
        <v>92</v>
      </c>
      <c r="E543">
        <v>2</v>
      </c>
      <c r="F543">
        <v>180</v>
      </c>
      <c r="G543">
        <v>1</v>
      </c>
      <c r="H543" t="s">
        <v>84</v>
      </c>
      <c r="I543" t="s">
        <v>91</v>
      </c>
      <c r="J543" t="s">
        <v>85</v>
      </c>
      <c r="K543" t="s">
        <v>79</v>
      </c>
      <c r="L543" t="s">
        <v>71</v>
      </c>
      <c r="M543" t="s">
        <v>81</v>
      </c>
      <c r="O543" t="s">
        <v>88</v>
      </c>
      <c r="P543" t="s">
        <v>27</v>
      </c>
      <c r="Q543" t="s">
        <v>73</v>
      </c>
      <c r="R543" t="s">
        <v>76</v>
      </c>
      <c r="S543" t="s">
        <v>74</v>
      </c>
      <c r="T543" t="s">
        <v>75</v>
      </c>
      <c r="X543" t="s">
        <v>77</v>
      </c>
      <c r="Z543" t="s">
        <v>72</v>
      </c>
      <c r="AA543" t="s">
        <v>94</v>
      </c>
      <c r="AB543">
        <v>5</v>
      </c>
      <c r="AC543">
        <v>748718.26</v>
      </c>
      <c r="AD543">
        <v>8930470.8000000007</v>
      </c>
      <c r="AE543">
        <v>189.97</v>
      </c>
      <c r="AF543">
        <v>748718.26</v>
      </c>
      <c r="AG543">
        <v>8930470.8000000007</v>
      </c>
      <c r="AH543">
        <v>180.39</v>
      </c>
      <c r="AI543">
        <v>9.58</v>
      </c>
      <c r="AJ543">
        <v>0.6</v>
      </c>
      <c r="AK543">
        <v>3.37</v>
      </c>
      <c r="AL543">
        <v>2.93</v>
      </c>
      <c r="AM543">
        <v>0</v>
      </c>
      <c r="AN543">
        <v>0</v>
      </c>
      <c r="AO543">
        <v>358</v>
      </c>
      <c r="AP543">
        <v>3.32</v>
      </c>
      <c r="AQ543">
        <v>0.59</v>
      </c>
      <c r="AR543">
        <v>0.1</v>
      </c>
      <c r="AS543">
        <v>7.0000000000000007E-2</v>
      </c>
      <c r="AT543">
        <v>15.45</v>
      </c>
      <c r="AU543">
        <v>6.03</v>
      </c>
      <c r="AV543">
        <v>0.31</v>
      </c>
      <c r="AW543">
        <v>1.89</v>
      </c>
      <c r="AX543">
        <v>9.5500000000000007</v>
      </c>
      <c r="AY543">
        <v>3.3</v>
      </c>
      <c r="AZ543">
        <v>91.436999999999998</v>
      </c>
      <c r="BA543">
        <v>0</v>
      </c>
      <c r="BB543">
        <v>0</v>
      </c>
      <c r="BC543">
        <v>0</v>
      </c>
      <c r="BD543">
        <v>0</v>
      </c>
    </row>
    <row r="544" spans="1:56" x14ac:dyDescent="0.25">
      <c r="A544" s="23">
        <v>46304</v>
      </c>
      <c r="B544">
        <v>543</v>
      </c>
      <c r="C544" t="s">
        <v>82</v>
      </c>
      <c r="D544" t="s">
        <v>92</v>
      </c>
      <c r="E544">
        <v>2</v>
      </c>
      <c r="F544">
        <v>180</v>
      </c>
      <c r="G544">
        <v>1</v>
      </c>
      <c r="H544" t="s">
        <v>84</v>
      </c>
      <c r="I544" t="s">
        <v>91</v>
      </c>
      <c r="J544" t="s">
        <v>85</v>
      </c>
      <c r="K544" t="s">
        <v>79</v>
      </c>
      <c r="L544" t="s">
        <v>71</v>
      </c>
      <c r="M544" t="s">
        <v>81</v>
      </c>
      <c r="O544" t="s">
        <v>88</v>
      </c>
      <c r="P544" t="s">
        <v>27</v>
      </c>
      <c r="Q544" t="s">
        <v>73</v>
      </c>
      <c r="R544" t="s">
        <v>76</v>
      </c>
      <c r="S544" t="s">
        <v>74</v>
      </c>
      <c r="T544" t="s">
        <v>75</v>
      </c>
      <c r="X544" t="s">
        <v>77</v>
      </c>
      <c r="Z544" t="s">
        <v>72</v>
      </c>
      <c r="AA544" t="s">
        <v>94</v>
      </c>
      <c r="AB544">
        <v>5</v>
      </c>
      <c r="AC544">
        <v>748717.33</v>
      </c>
      <c r="AD544">
        <v>8930467.5700000003</v>
      </c>
      <c r="AE544">
        <v>189.76</v>
      </c>
      <c r="AF544">
        <v>748717.33</v>
      </c>
      <c r="AG544">
        <v>8930467.5700000003</v>
      </c>
      <c r="AH544">
        <v>180.41</v>
      </c>
      <c r="AI544">
        <v>9.35</v>
      </c>
      <c r="AJ544">
        <v>0.6</v>
      </c>
      <c r="AK544">
        <v>3.37</v>
      </c>
      <c r="AL544">
        <v>2.93</v>
      </c>
      <c r="AM544">
        <v>0</v>
      </c>
      <c r="AN544">
        <v>0</v>
      </c>
      <c r="AO544">
        <v>358</v>
      </c>
      <c r="AP544">
        <v>3.29</v>
      </c>
      <c r="AQ544">
        <v>0.56000000000000005</v>
      </c>
      <c r="AR544">
        <v>0.09</v>
      </c>
      <c r="AS544">
        <v>0.08</v>
      </c>
      <c r="AT544">
        <v>14.69</v>
      </c>
      <c r="AU544">
        <v>6.03</v>
      </c>
      <c r="AV544">
        <v>0.3</v>
      </c>
      <c r="AW544">
        <v>1.83</v>
      </c>
      <c r="AX544">
        <v>9.9600000000000009</v>
      </c>
      <c r="AY544">
        <v>3.3</v>
      </c>
      <c r="AZ544">
        <v>88.087999999999994</v>
      </c>
      <c r="BA544">
        <v>0</v>
      </c>
      <c r="BB544">
        <v>0</v>
      </c>
      <c r="BC544">
        <v>0</v>
      </c>
      <c r="BD544">
        <v>0</v>
      </c>
    </row>
    <row r="545" spans="1:56" x14ac:dyDescent="0.25">
      <c r="A545" s="23">
        <v>46304</v>
      </c>
      <c r="B545">
        <v>544</v>
      </c>
      <c r="C545" t="s">
        <v>82</v>
      </c>
      <c r="D545" t="s">
        <v>92</v>
      </c>
      <c r="E545">
        <v>2</v>
      </c>
      <c r="F545">
        <v>180</v>
      </c>
      <c r="G545">
        <v>1</v>
      </c>
      <c r="H545" t="s">
        <v>84</v>
      </c>
      <c r="I545" t="s">
        <v>91</v>
      </c>
      <c r="J545" t="s">
        <v>85</v>
      </c>
      <c r="K545" t="s">
        <v>79</v>
      </c>
      <c r="L545" t="s">
        <v>71</v>
      </c>
      <c r="M545" t="s">
        <v>81</v>
      </c>
      <c r="O545" t="s">
        <v>88</v>
      </c>
      <c r="P545" t="s">
        <v>27</v>
      </c>
      <c r="Q545" t="s">
        <v>73</v>
      </c>
      <c r="R545" t="s">
        <v>76</v>
      </c>
      <c r="S545" t="s">
        <v>74</v>
      </c>
      <c r="T545" t="s">
        <v>75</v>
      </c>
      <c r="X545" t="s">
        <v>77</v>
      </c>
      <c r="Z545" t="s">
        <v>72</v>
      </c>
      <c r="AA545" t="s">
        <v>94</v>
      </c>
      <c r="AB545">
        <v>5</v>
      </c>
      <c r="AC545">
        <v>748716.71</v>
      </c>
      <c r="AD545">
        <v>8930464.2699999996</v>
      </c>
      <c r="AE545">
        <v>189.7</v>
      </c>
      <c r="AF545">
        <v>748716.71</v>
      </c>
      <c r="AG545">
        <v>8930464.2699999996</v>
      </c>
      <c r="AH545">
        <v>180.4</v>
      </c>
      <c r="AI545">
        <v>9.3000000000000007</v>
      </c>
      <c r="AJ545">
        <v>0.6</v>
      </c>
      <c r="AK545">
        <v>3.37</v>
      </c>
      <c r="AL545">
        <v>2.93</v>
      </c>
      <c r="AM545">
        <v>0</v>
      </c>
      <c r="AN545">
        <v>0</v>
      </c>
      <c r="AO545">
        <v>358</v>
      </c>
      <c r="AP545">
        <v>3.25</v>
      </c>
      <c r="AQ545">
        <v>0.51</v>
      </c>
      <c r="AR545">
        <v>0.09</v>
      </c>
      <c r="AS545">
        <v>7.0000000000000007E-2</v>
      </c>
      <c r="AT545">
        <v>13.56</v>
      </c>
      <c r="AU545">
        <v>5.57</v>
      </c>
      <c r="AV545">
        <v>0.28000000000000003</v>
      </c>
      <c r="AW545">
        <v>1.69</v>
      </c>
      <c r="AX545">
        <v>9.19</v>
      </c>
      <c r="AY545">
        <v>3.3</v>
      </c>
      <c r="AZ545">
        <v>87.36</v>
      </c>
      <c r="BA545">
        <v>0</v>
      </c>
      <c r="BB545">
        <v>0</v>
      </c>
      <c r="BC545">
        <v>0</v>
      </c>
      <c r="BD545">
        <v>0</v>
      </c>
    </row>
    <row r="546" spans="1:56" x14ac:dyDescent="0.25">
      <c r="A546" s="23">
        <v>46304</v>
      </c>
      <c r="B546">
        <v>545</v>
      </c>
      <c r="C546" t="s">
        <v>82</v>
      </c>
      <c r="D546" t="s">
        <v>92</v>
      </c>
      <c r="E546">
        <v>2</v>
      </c>
      <c r="F546">
        <v>180</v>
      </c>
      <c r="G546">
        <v>1</v>
      </c>
      <c r="H546" t="s">
        <v>84</v>
      </c>
      <c r="I546" t="s">
        <v>91</v>
      </c>
      <c r="J546" t="s">
        <v>85</v>
      </c>
      <c r="K546" t="s">
        <v>79</v>
      </c>
      <c r="L546" t="s">
        <v>71</v>
      </c>
      <c r="M546" t="s">
        <v>81</v>
      </c>
      <c r="O546" t="s">
        <v>88</v>
      </c>
      <c r="P546" t="s">
        <v>27</v>
      </c>
      <c r="Q546" t="s">
        <v>73</v>
      </c>
      <c r="R546" t="s">
        <v>76</v>
      </c>
      <c r="S546" t="s">
        <v>74</v>
      </c>
      <c r="T546" t="s">
        <v>75</v>
      </c>
      <c r="X546" t="s">
        <v>77</v>
      </c>
      <c r="Z546" t="s">
        <v>72</v>
      </c>
      <c r="AA546" t="s">
        <v>94</v>
      </c>
      <c r="AB546">
        <v>5</v>
      </c>
      <c r="AC546">
        <v>748716.17</v>
      </c>
      <c r="AD546">
        <v>8930460.9499999993</v>
      </c>
      <c r="AE546">
        <v>189.73</v>
      </c>
      <c r="AF546">
        <v>748716.17</v>
      </c>
      <c r="AG546">
        <v>8930460.9499999993</v>
      </c>
      <c r="AH546">
        <v>180.4</v>
      </c>
      <c r="AI546">
        <v>9.33</v>
      </c>
      <c r="AJ546">
        <v>0.6</v>
      </c>
      <c r="AK546">
        <v>3.37</v>
      </c>
      <c r="AL546">
        <v>2.93</v>
      </c>
      <c r="AM546">
        <v>0</v>
      </c>
      <c r="AN546">
        <v>0</v>
      </c>
      <c r="AO546">
        <v>358</v>
      </c>
      <c r="AP546">
        <v>3.19</v>
      </c>
      <c r="AQ546">
        <v>0.45</v>
      </c>
      <c r="AR546">
        <v>0.08</v>
      </c>
      <c r="AS546">
        <v>0.06</v>
      </c>
      <c r="AT546">
        <v>11.66</v>
      </c>
      <c r="AU546">
        <v>4.78</v>
      </c>
      <c r="AV546">
        <v>0.24</v>
      </c>
      <c r="AW546">
        <v>1.48</v>
      </c>
      <c r="AX546">
        <v>7.69</v>
      </c>
      <c r="AY546">
        <v>3.3</v>
      </c>
      <c r="AZ546">
        <v>87.796999999999997</v>
      </c>
      <c r="BA546">
        <v>0</v>
      </c>
      <c r="BB546">
        <v>0</v>
      </c>
      <c r="BC546">
        <v>0</v>
      </c>
      <c r="BD546">
        <v>0</v>
      </c>
    </row>
    <row r="547" spans="1:56" x14ac:dyDescent="0.25">
      <c r="A547" s="23">
        <v>46304</v>
      </c>
      <c r="B547">
        <v>546</v>
      </c>
      <c r="C547" t="s">
        <v>82</v>
      </c>
      <c r="D547" t="s">
        <v>92</v>
      </c>
      <c r="E547">
        <v>0</v>
      </c>
      <c r="F547">
        <v>180</v>
      </c>
      <c r="G547">
        <v>1</v>
      </c>
      <c r="H547" t="s">
        <v>84</v>
      </c>
      <c r="J547" t="s">
        <v>85</v>
      </c>
      <c r="K547" t="s">
        <v>79</v>
      </c>
      <c r="L547" t="s">
        <v>71</v>
      </c>
      <c r="M547" t="s">
        <v>81</v>
      </c>
      <c r="O547" t="s">
        <v>88</v>
      </c>
      <c r="P547" t="s">
        <v>27</v>
      </c>
      <c r="Q547" t="s">
        <v>73</v>
      </c>
      <c r="R547" t="s">
        <v>76</v>
      </c>
      <c r="S547" t="s">
        <v>74</v>
      </c>
      <c r="T547" t="s">
        <v>75</v>
      </c>
      <c r="X547" t="s">
        <v>77</v>
      </c>
      <c r="Z547" t="s">
        <v>72</v>
      </c>
      <c r="AA547" t="s">
        <v>94</v>
      </c>
      <c r="AB547">
        <v>5</v>
      </c>
      <c r="AC547">
        <v>748715.41</v>
      </c>
      <c r="AD547">
        <v>8930457.6699999999</v>
      </c>
      <c r="AE547">
        <v>189.67</v>
      </c>
      <c r="AF547">
        <v>748715.41</v>
      </c>
      <c r="AG547">
        <v>8930457.6699999999</v>
      </c>
      <c r="AH547">
        <v>180.4</v>
      </c>
      <c r="AI547">
        <v>9.2799999999999994</v>
      </c>
      <c r="AJ547">
        <v>0.6</v>
      </c>
      <c r="AK547">
        <v>3.37</v>
      </c>
      <c r="AL547">
        <v>2.93</v>
      </c>
      <c r="AM547">
        <v>0</v>
      </c>
      <c r="AN547">
        <v>0</v>
      </c>
      <c r="AO547">
        <v>358</v>
      </c>
      <c r="AP547">
        <v>3.17</v>
      </c>
      <c r="AQ547">
        <v>0.45</v>
      </c>
      <c r="AR547">
        <v>7.0000000000000007E-2</v>
      </c>
      <c r="AS547">
        <v>0.06</v>
      </c>
      <c r="AT547">
        <v>10.64</v>
      </c>
      <c r="AU547">
        <v>4.32</v>
      </c>
      <c r="AV547">
        <v>0.21</v>
      </c>
      <c r="AW547">
        <v>1.43</v>
      </c>
      <c r="AX547">
        <v>6.22</v>
      </c>
      <c r="AY547">
        <v>3.3</v>
      </c>
      <c r="AZ547">
        <v>87.069000000000003</v>
      </c>
      <c r="BA547">
        <v>0</v>
      </c>
      <c r="BB547">
        <v>0</v>
      </c>
      <c r="BC547">
        <v>0</v>
      </c>
      <c r="BD547">
        <v>0</v>
      </c>
    </row>
    <row r="548" spans="1:56" x14ac:dyDescent="0.25">
      <c r="A548" s="23">
        <v>46304</v>
      </c>
      <c r="B548">
        <v>547</v>
      </c>
      <c r="C548" t="s">
        <v>82</v>
      </c>
      <c r="D548" t="s">
        <v>92</v>
      </c>
      <c r="E548">
        <v>0</v>
      </c>
      <c r="F548">
        <v>180</v>
      </c>
      <c r="G548">
        <v>0</v>
      </c>
      <c r="H548" t="s">
        <v>84</v>
      </c>
      <c r="J548" t="s">
        <v>85</v>
      </c>
      <c r="K548" t="s">
        <v>79</v>
      </c>
      <c r="L548" t="s">
        <v>71</v>
      </c>
      <c r="M548" t="s">
        <v>87</v>
      </c>
      <c r="O548" t="s">
        <v>88</v>
      </c>
      <c r="P548" t="s">
        <v>27</v>
      </c>
      <c r="Q548" t="s">
        <v>73</v>
      </c>
      <c r="R548" t="s">
        <v>76</v>
      </c>
      <c r="S548" t="s">
        <v>74</v>
      </c>
      <c r="T548" t="s">
        <v>75</v>
      </c>
      <c r="X548" t="s">
        <v>77</v>
      </c>
      <c r="Z548" t="s">
        <v>72</v>
      </c>
      <c r="AA548" t="s">
        <v>94</v>
      </c>
      <c r="AB548">
        <v>5</v>
      </c>
      <c r="AC548">
        <v>748714.52</v>
      </c>
      <c r="AD548">
        <v>8930454.4199999999</v>
      </c>
      <c r="AE548">
        <v>189.52</v>
      </c>
      <c r="AF548">
        <v>748714.52</v>
      </c>
      <c r="AG548">
        <v>8930454.4199999999</v>
      </c>
      <c r="AH548">
        <v>180.4</v>
      </c>
      <c r="AI548">
        <v>9.1199999999999992</v>
      </c>
      <c r="AJ548">
        <v>0.6</v>
      </c>
      <c r="AK548">
        <v>3.37</v>
      </c>
      <c r="AL548">
        <v>2.93</v>
      </c>
      <c r="AM548">
        <v>0</v>
      </c>
      <c r="AN548">
        <v>0</v>
      </c>
      <c r="AO548">
        <v>358</v>
      </c>
      <c r="AP548">
        <v>3.08</v>
      </c>
      <c r="AQ548">
        <v>0.33</v>
      </c>
      <c r="AR548">
        <v>0.05</v>
      </c>
      <c r="AS548">
        <v>0.05</v>
      </c>
      <c r="AT548">
        <v>7.96</v>
      </c>
      <c r="AU548">
        <v>3.23</v>
      </c>
      <c r="AV548">
        <v>0.16</v>
      </c>
      <c r="AW548">
        <v>1.07</v>
      </c>
      <c r="AX548">
        <v>4.6500000000000004</v>
      </c>
      <c r="AY548">
        <v>3.3</v>
      </c>
      <c r="AZ548">
        <v>84.739000000000004</v>
      </c>
      <c r="BA548">
        <v>0</v>
      </c>
      <c r="BB548">
        <v>0</v>
      </c>
      <c r="BC548">
        <v>0</v>
      </c>
      <c r="BD548">
        <v>0</v>
      </c>
    </row>
    <row r="549" spans="1:56" x14ac:dyDescent="0.25">
      <c r="A549" s="23">
        <v>46304</v>
      </c>
      <c r="B549">
        <v>548</v>
      </c>
      <c r="C549" t="s">
        <v>82</v>
      </c>
      <c r="D549" t="s">
        <v>92</v>
      </c>
      <c r="E549">
        <v>0</v>
      </c>
      <c r="F549">
        <v>180</v>
      </c>
      <c r="G549">
        <v>0</v>
      </c>
      <c r="H549" t="s">
        <v>98</v>
      </c>
      <c r="J549" t="s">
        <v>70</v>
      </c>
      <c r="K549" t="s">
        <v>79</v>
      </c>
      <c r="L549" t="s">
        <v>71</v>
      </c>
      <c r="M549" t="s">
        <v>87</v>
      </c>
      <c r="O549" t="s">
        <v>88</v>
      </c>
      <c r="P549" t="s">
        <v>27</v>
      </c>
      <c r="Q549" t="s">
        <v>73</v>
      </c>
      <c r="R549" t="s">
        <v>76</v>
      </c>
      <c r="S549" t="s">
        <v>74</v>
      </c>
      <c r="T549" t="s">
        <v>75</v>
      </c>
      <c r="X549" t="s">
        <v>77</v>
      </c>
      <c r="Z549" t="s">
        <v>72</v>
      </c>
      <c r="AA549" t="s">
        <v>94</v>
      </c>
      <c r="AB549">
        <v>5</v>
      </c>
      <c r="AC549">
        <v>748713.5</v>
      </c>
      <c r="AD549">
        <v>8930451.5999999996</v>
      </c>
      <c r="AE549">
        <v>189.54</v>
      </c>
      <c r="AF549">
        <v>748713.5</v>
      </c>
      <c r="AG549">
        <v>8930451.5999999996</v>
      </c>
      <c r="AH549">
        <v>180.38</v>
      </c>
      <c r="AI549">
        <v>9.15</v>
      </c>
      <c r="AJ549">
        <v>0.6</v>
      </c>
      <c r="AK549">
        <v>3.37</v>
      </c>
      <c r="AL549">
        <v>2.93</v>
      </c>
      <c r="AM549">
        <v>0</v>
      </c>
      <c r="AN549">
        <v>0</v>
      </c>
      <c r="AO549">
        <v>358</v>
      </c>
      <c r="AP549">
        <v>3.03</v>
      </c>
      <c r="AQ549">
        <v>0.26</v>
      </c>
      <c r="AR549">
        <v>0.04</v>
      </c>
      <c r="AS549">
        <v>0.04</v>
      </c>
      <c r="AT549">
        <v>6.59</v>
      </c>
      <c r="AU549">
        <v>2.64</v>
      </c>
      <c r="AV549">
        <v>0.13</v>
      </c>
      <c r="AW549">
        <v>0.86</v>
      </c>
      <c r="AX549">
        <v>3.6</v>
      </c>
      <c r="AY549">
        <v>3.3</v>
      </c>
      <c r="AZ549">
        <v>85.176000000000002</v>
      </c>
      <c r="BA549">
        <v>0</v>
      </c>
      <c r="BB549">
        <v>0</v>
      </c>
      <c r="BC549">
        <v>0</v>
      </c>
      <c r="BD549">
        <v>0</v>
      </c>
    </row>
    <row r="550" spans="1:56" x14ac:dyDescent="0.25">
      <c r="A550" s="23">
        <v>46304</v>
      </c>
      <c r="B550">
        <v>549</v>
      </c>
      <c r="C550" t="s">
        <v>82</v>
      </c>
      <c r="D550" t="s">
        <v>92</v>
      </c>
      <c r="E550">
        <v>0</v>
      </c>
      <c r="F550">
        <v>180</v>
      </c>
      <c r="G550">
        <v>0</v>
      </c>
      <c r="H550" t="s">
        <v>98</v>
      </c>
      <c r="J550" t="s">
        <v>70</v>
      </c>
      <c r="K550" t="s">
        <v>86</v>
      </c>
      <c r="L550" t="s">
        <v>71</v>
      </c>
      <c r="M550" t="s">
        <v>87</v>
      </c>
      <c r="O550" t="s">
        <v>88</v>
      </c>
      <c r="P550" t="s">
        <v>27</v>
      </c>
      <c r="Q550" t="s">
        <v>73</v>
      </c>
      <c r="R550" t="s">
        <v>76</v>
      </c>
      <c r="S550" t="s">
        <v>74</v>
      </c>
      <c r="T550" t="s">
        <v>75</v>
      </c>
      <c r="X550" t="s">
        <v>77</v>
      </c>
      <c r="Z550" t="s">
        <v>72</v>
      </c>
      <c r="AA550" t="s">
        <v>94</v>
      </c>
      <c r="AB550">
        <v>5</v>
      </c>
      <c r="AC550">
        <v>748712.25</v>
      </c>
      <c r="AD550">
        <v>8930449.7200000007</v>
      </c>
      <c r="AE550">
        <v>189.47</v>
      </c>
      <c r="AF550">
        <v>748712.25</v>
      </c>
      <c r="AG550">
        <v>8930449.7200000007</v>
      </c>
      <c r="AH550">
        <v>180.3</v>
      </c>
      <c r="AI550">
        <v>9.17</v>
      </c>
      <c r="AJ550">
        <v>0.6</v>
      </c>
      <c r="AK550">
        <v>3.37</v>
      </c>
      <c r="AL550">
        <v>2.93</v>
      </c>
      <c r="AM550">
        <v>0</v>
      </c>
      <c r="AN550">
        <v>0</v>
      </c>
      <c r="AO550">
        <v>358</v>
      </c>
      <c r="AP550">
        <v>3.02</v>
      </c>
      <c r="AQ550">
        <v>0.28000000000000003</v>
      </c>
      <c r="AR550">
        <v>0.05</v>
      </c>
      <c r="AS550">
        <v>0.04</v>
      </c>
      <c r="AT550">
        <v>10.69</v>
      </c>
      <c r="AU550">
        <v>3.68</v>
      </c>
      <c r="AV550">
        <v>0.16</v>
      </c>
      <c r="AW550">
        <v>0.93</v>
      </c>
      <c r="AX550">
        <v>3.2</v>
      </c>
      <c r="AY550">
        <v>3.3</v>
      </c>
      <c r="AZ550">
        <v>85.466999999999999</v>
      </c>
      <c r="BA550">
        <v>0</v>
      </c>
      <c r="BB550">
        <v>0</v>
      </c>
      <c r="BC550">
        <v>0</v>
      </c>
      <c r="BD550">
        <v>0</v>
      </c>
    </row>
    <row r="551" spans="1:56" x14ac:dyDescent="0.25">
      <c r="A551" s="23">
        <v>46304</v>
      </c>
      <c r="B551">
        <v>550</v>
      </c>
      <c r="C551" t="s">
        <v>82</v>
      </c>
      <c r="D551" t="s">
        <v>92</v>
      </c>
      <c r="E551">
        <v>0</v>
      </c>
      <c r="F551">
        <v>180</v>
      </c>
      <c r="G551">
        <v>0</v>
      </c>
      <c r="H551" t="s">
        <v>98</v>
      </c>
      <c r="J551" t="s">
        <v>70</v>
      </c>
      <c r="K551" t="s">
        <v>86</v>
      </c>
      <c r="L551" t="s">
        <v>71</v>
      </c>
      <c r="M551" t="s">
        <v>87</v>
      </c>
      <c r="O551" t="s">
        <v>88</v>
      </c>
      <c r="P551" t="s">
        <v>27</v>
      </c>
      <c r="Q551" t="s">
        <v>73</v>
      </c>
      <c r="R551" t="s">
        <v>76</v>
      </c>
      <c r="S551" t="s">
        <v>74</v>
      </c>
      <c r="T551" t="s">
        <v>75</v>
      </c>
      <c r="X551" t="s">
        <v>77</v>
      </c>
      <c r="Z551" t="s">
        <v>72</v>
      </c>
      <c r="AA551" t="s">
        <v>94</v>
      </c>
      <c r="AB551">
        <v>5</v>
      </c>
      <c r="AC551">
        <v>748710.67</v>
      </c>
      <c r="AD551">
        <v>8930447.2300000004</v>
      </c>
      <c r="AE551">
        <v>189.48</v>
      </c>
      <c r="AF551">
        <v>748710.67</v>
      </c>
      <c r="AG551">
        <v>8930447.2300000004</v>
      </c>
      <c r="AH551">
        <v>180.22</v>
      </c>
      <c r="AI551">
        <v>9.25</v>
      </c>
      <c r="AJ551">
        <v>0.6</v>
      </c>
      <c r="AK551">
        <v>3.37</v>
      </c>
      <c r="AL551">
        <v>2.93</v>
      </c>
      <c r="AM551">
        <v>0</v>
      </c>
      <c r="AN551">
        <v>0</v>
      </c>
      <c r="AO551">
        <v>358</v>
      </c>
      <c r="AP551">
        <v>2.98</v>
      </c>
      <c r="AQ551">
        <v>0.28999999999999998</v>
      </c>
      <c r="AR551">
        <v>0.05</v>
      </c>
      <c r="AS551">
        <v>0.04</v>
      </c>
      <c r="AT551">
        <v>16.18</v>
      </c>
      <c r="AU551">
        <v>5.18</v>
      </c>
      <c r="AV551">
        <v>0.24</v>
      </c>
      <c r="AW551">
        <v>0.9</v>
      </c>
      <c r="AX551">
        <v>2.3199999999999998</v>
      </c>
      <c r="AY551">
        <v>3.3</v>
      </c>
      <c r="AZ551">
        <v>86.632000000000005</v>
      </c>
      <c r="BA551">
        <v>0</v>
      </c>
      <c r="BB551">
        <v>0</v>
      </c>
      <c r="BC551">
        <v>0</v>
      </c>
      <c r="BD551">
        <v>0</v>
      </c>
    </row>
    <row r="552" spans="1:56" x14ac:dyDescent="0.25">
      <c r="A552" s="23">
        <v>46304</v>
      </c>
      <c r="B552">
        <v>551</v>
      </c>
      <c r="C552" t="s">
        <v>82</v>
      </c>
      <c r="D552" t="s">
        <v>92</v>
      </c>
      <c r="E552">
        <v>0</v>
      </c>
      <c r="F552">
        <v>180</v>
      </c>
      <c r="G552">
        <v>0</v>
      </c>
      <c r="H552" t="s">
        <v>98</v>
      </c>
      <c r="J552" t="s">
        <v>70</v>
      </c>
      <c r="K552" t="s">
        <v>86</v>
      </c>
      <c r="L552" t="s">
        <v>71</v>
      </c>
      <c r="M552" t="s">
        <v>87</v>
      </c>
      <c r="O552" t="s">
        <v>88</v>
      </c>
      <c r="P552" t="s">
        <v>27</v>
      </c>
      <c r="Q552" t="s">
        <v>73</v>
      </c>
      <c r="R552" t="s">
        <v>76</v>
      </c>
      <c r="S552" t="s">
        <v>74</v>
      </c>
      <c r="T552" t="s">
        <v>75</v>
      </c>
      <c r="X552" t="s">
        <v>77</v>
      </c>
      <c r="Z552" t="s">
        <v>72</v>
      </c>
      <c r="AA552" t="s">
        <v>94</v>
      </c>
      <c r="AB552">
        <v>5</v>
      </c>
      <c r="AC552">
        <v>748709.21</v>
      </c>
      <c r="AD552">
        <v>8930444.4100000001</v>
      </c>
      <c r="AE552">
        <v>189.58</v>
      </c>
      <c r="AF552">
        <v>748709.21</v>
      </c>
      <c r="AG552">
        <v>8930444.4100000001</v>
      </c>
      <c r="AH552">
        <v>180.22</v>
      </c>
      <c r="AI552">
        <v>9.36</v>
      </c>
      <c r="AJ552">
        <v>0.6</v>
      </c>
      <c r="AK552">
        <v>3.37</v>
      </c>
      <c r="AL552">
        <v>2.93</v>
      </c>
      <c r="AM552">
        <v>0</v>
      </c>
      <c r="AN552">
        <v>0</v>
      </c>
      <c r="AO552">
        <v>358</v>
      </c>
      <c r="AP552">
        <v>2.94</v>
      </c>
      <c r="AQ552">
        <v>0.25</v>
      </c>
      <c r="AR552">
        <v>0.05</v>
      </c>
      <c r="AS552">
        <v>0.04</v>
      </c>
      <c r="AT552">
        <v>15.94</v>
      </c>
      <c r="AU552">
        <v>5.17</v>
      </c>
      <c r="AV552">
        <v>0.25</v>
      </c>
      <c r="AW552">
        <v>0.75</v>
      </c>
      <c r="AX552">
        <v>1.43</v>
      </c>
      <c r="AY552">
        <v>3.3</v>
      </c>
      <c r="AZ552">
        <v>88.233999999999995</v>
      </c>
      <c r="BA552">
        <v>0</v>
      </c>
      <c r="BB552">
        <v>0</v>
      </c>
      <c r="BC552">
        <v>0</v>
      </c>
      <c r="BD552">
        <v>0</v>
      </c>
    </row>
    <row r="553" spans="1:56" x14ac:dyDescent="0.25">
      <c r="A553" s="23">
        <v>46304</v>
      </c>
      <c r="B553">
        <v>552</v>
      </c>
      <c r="C553" t="s">
        <v>82</v>
      </c>
      <c r="D553" t="s">
        <v>92</v>
      </c>
      <c r="E553">
        <v>0</v>
      </c>
      <c r="F553">
        <v>180</v>
      </c>
      <c r="G553">
        <v>0</v>
      </c>
      <c r="H553" t="s">
        <v>98</v>
      </c>
      <c r="J553" t="s">
        <v>70</v>
      </c>
      <c r="K553" t="s">
        <v>86</v>
      </c>
      <c r="L553" t="s">
        <v>71</v>
      </c>
      <c r="M553" t="s">
        <v>87</v>
      </c>
      <c r="O553" t="s">
        <v>88</v>
      </c>
      <c r="P553" t="s">
        <v>27</v>
      </c>
      <c r="Q553" t="s">
        <v>73</v>
      </c>
      <c r="R553" t="s">
        <v>76</v>
      </c>
      <c r="S553" t="s">
        <v>74</v>
      </c>
      <c r="T553" t="s">
        <v>75</v>
      </c>
      <c r="X553" t="s">
        <v>77</v>
      </c>
      <c r="Z553" t="s">
        <v>72</v>
      </c>
      <c r="AA553" t="s">
        <v>94</v>
      </c>
      <c r="AB553">
        <v>5</v>
      </c>
      <c r="AC553">
        <v>748703.33</v>
      </c>
      <c r="AD553">
        <v>8930433.5899999999</v>
      </c>
      <c r="AE553">
        <v>189.33</v>
      </c>
      <c r="AF553">
        <v>748703.33</v>
      </c>
      <c r="AG553">
        <v>8930433.5899999999</v>
      </c>
      <c r="AH553">
        <v>180.34</v>
      </c>
      <c r="AI553">
        <v>8.99</v>
      </c>
      <c r="AJ553">
        <v>0.6</v>
      </c>
      <c r="AK553">
        <v>3.37</v>
      </c>
      <c r="AL553">
        <v>2.93</v>
      </c>
      <c r="AM553">
        <v>0</v>
      </c>
      <c r="AN553">
        <v>0</v>
      </c>
      <c r="AO553">
        <v>358</v>
      </c>
      <c r="AP553">
        <v>2.86</v>
      </c>
      <c r="AQ553">
        <v>0</v>
      </c>
      <c r="AR553">
        <v>0</v>
      </c>
      <c r="AS553">
        <v>0</v>
      </c>
      <c r="AT553">
        <v>0.88</v>
      </c>
      <c r="AU553">
        <v>0.22</v>
      </c>
      <c r="AV553">
        <v>0.01</v>
      </c>
      <c r="AW553">
        <v>0.02</v>
      </c>
      <c r="AX553">
        <v>0.04</v>
      </c>
      <c r="AY553">
        <v>3.3</v>
      </c>
      <c r="AZ553">
        <v>82.846000000000004</v>
      </c>
      <c r="BA553">
        <v>0</v>
      </c>
      <c r="BB553">
        <v>0</v>
      </c>
      <c r="BC553">
        <v>0</v>
      </c>
      <c r="BD553">
        <v>0</v>
      </c>
    </row>
    <row r="554" spans="1:56" x14ac:dyDescent="0.25">
      <c r="A554" s="23">
        <v>46304</v>
      </c>
      <c r="B554">
        <v>553</v>
      </c>
      <c r="C554" t="s">
        <v>82</v>
      </c>
      <c r="D554" t="s">
        <v>92</v>
      </c>
      <c r="E554">
        <v>0</v>
      </c>
      <c r="F554">
        <v>180</v>
      </c>
      <c r="G554">
        <v>0</v>
      </c>
      <c r="H554" t="s">
        <v>98</v>
      </c>
      <c r="J554" t="s">
        <v>70</v>
      </c>
      <c r="K554" t="s">
        <v>86</v>
      </c>
      <c r="L554" t="s">
        <v>71</v>
      </c>
      <c r="M554" t="s">
        <v>87</v>
      </c>
      <c r="O554" t="s">
        <v>88</v>
      </c>
      <c r="P554" t="s">
        <v>27</v>
      </c>
      <c r="Q554" t="s">
        <v>73</v>
      </c>
      <c r="R554" t="s">
        <v>76</v>
      </c>
      <c r="S554" t="s">
        <v>74</v>
      </c>
      <c r="T554" t="s">
        <v>75</v>
      </c>
      <c r="X554" t="s">
        <v>77</v>
      </c>
      <c r="Z554" t="s">
        <v>72</v>
      </c>
      <c r="AA554" t="s">
        <v>94</v>
      </c>
      <c r="AB554">
        <v>5</v>
      </c>
      <c r="AC554">
        <v>748701.93</v>
      </c>
      <c r="AD554">
        <v>8930430.7200000007</v>
      </c>
      <c r="AE554">
        <v>189.23</v>
      </c>
      <c r="AF554">
        <v>748701.93</v>
      </c>
      <c r="AG554">
        <v>8930430.7200000007</v>
      </c>
      <c r="AH554">
        <v>180.41</v>
      </c>
      <c r="AI554">
        <v>8.82</v>
      </c>
      <c r="AJ554">
        <v>0.6</v>
      </c>
      <c r="AK554">
        <v>3.37</v>
      </c>
      <c r="AL554">
        <v>2.93</v>
      </c>
      <c r="AM554">
        <v>0</v>
      </c>
      <c r="AN554">
        <v>0</v>
      </c>
      <c r="AO554">
        <v>358</v>
      </c>
      <c r="AP554">
        <v>2.85</v>
      </c>
      <c r="AQ554">
        <v>0</v>
      </c>
      <c r="AR554">
        <v>0</v>
      </c>
      <c r="AS554">
        <v>0</v>
      </c>
      <c r="AT554">
        <v>0.03</v>
      </c>
      <c r="AU554">
        <v>0.01</v>
      </c>
      <c r="AV554">
        <v>0</v>
      </c>
      <c r="AW554">
        <v>0</v>
      </c>
      <c r="AX554">
        <v>0.01</v>
      </c>
      <c r="AY554">
        <v>3.3</v>
      </c>
      <c r="AZ554">
        <v>80.370999999999995</v>
      </c>
      <c r="BA554">
        <v>0</v>
      </c>
      <c r="BB554">
        <v>0</v>
      </c>
      <c r="BC554">
        <v>0</v>
      </c>
      <c r="BD554">
        <v>0</v>
      </c>
    </row>
    <row r="555" spans="1:56" x14ac:dyDescent="0.25">
      <c r="A555" s="23">
        <v>46304</v>
      </c>
      <c r="B555">
        <v>554</v>
      </c>
      <c r="C555" t="s">
        <v>82</v>
      </c>
      <c r="D555" t="s">
        <v>92</v>
      </c>
      <c r="E555">
        <v>0</v>
      </c>
      <c r="F555">
        <v>180</v>
      </c>
      <c r="G555">
        <v>0</v>
      </c>
      <c r="H555" t="s">
        <v>98</v>
      </c>
      <c r="J555" t="s">
        <v>70</v>
      </c>
      <c r="K555" t="s">
        <v>86</v>
      </c>
      <c r="L555" t="s">
        <v>71</v>
      </c>
      <c r="M555" t="s">
        <v>87</v>
      </c>
      <c r="O555" t="s">
        <v>88</v>
      </c>
      <c r="P555" t="s">
        <v>27</v>
      </c>
      <c r="Q555" t="s">
        <v>73</v>
      </c>
      <c r="R555" t="s">
        <v>76</v>
      </c>
      <c r="S555" t="s">
        <v>74</v>
      </c>
      <c r="T555" t="s">
        <v>75</v>
      </c>
      <c r="X555" t="s">
        <v>77</v>
      </c>
      <c r="Z555" t="s">
        <v>72</v>
      </c>
      <c r="AA555" t="s">
        <v>94</v>
      </c>
      <c r="AB555">
        <v>5</v>
      </c>
      <c r="AC555">
        <v>748699.99</v>
      </c>
      <c r="AD555">
        <v>8930427.9700000007</v>
      </c>
      <c r="AE555">
        <v>189.05</v>
      </c>
      <c r="AF555">
        <v>748699.99</v>
      </c>
      <c r="AG555">
        <v>8930427.9700000007</v>
      </c>
      <c r="AH555">
        <v>180.41</v>
      </c>
      <c r="AI555">
        <v>8.65</v>
      </c>
      <c r="AJ555">
        <v>0.6</v>
      </c>
      <c r="AK555">
        <v>3.37</v>
      </c>
      <c r="AL555">
        <v>2.93</v>
      </c>
      <c r="AM555">
        <v>0</v>
      </c>
      <c r="AN555">
        <v>0</v>
      </c>
      <c r="AO555">
        <v>358</v>
      </c>
      <c r="AP555">
        <v>2.82</v>
      </c>
      <c r="AQ555">
        <v>0</v>
      </c>
      <c r="AR555">
        <v>0</v>
      </c>
      <c r="AS555">
        <v>0</v>
      </c>
      <c r="AT555">
        <v>0</v>
      </c>
      <c r="AU555">
        <v>0</v>
      </c>
      <c r="AV555">
        <v>0</v>
      </c>
      <c r="AW555">
        <v>0</v>
      </c>
      <c r="AX555">
        <v>0</v>
      </c>
      <c r="AY555">
        <v>3.3</v>
      </c>
      <c r="AZ555">
        <v>77.896000000000001</v>
      </c>
      <c r="BA555">
        <v>0</v>
      </c>
      <c r="BB555">
        <v>0</v>
      </c>
      <c r="BC555">
        <v>0</v>
      </c>
      <c r="BD555">
        <v>0</v>
      </c>
    </row>
    <row r="556" spans="1:56" x14ac:dyDescent="0.25">
      <c r="A556" s="23">
        <v>46304</v>
      </c>
      <c r="B556">
        <v>555</v>
      </c>
      <c r="C556" t="s">
        <v>82</v>
      </c>
      <c r="D556" t="s">
        <v>92</v>
      </c>
      <c r="E556">
        <v>0</v>
      </c>
      <c r="F556">
        <v>180</v>
      </c>
      <c r="G556">
        <v>0</v>
      </c>
      <c r="H556" t="s">
        <v>84</v>
      </c>
      <c r="J556" t="s">
        <v>70</v>
      </c>
      <c r="K556" t="s">
        <v>86</v>
      </c>
      <c r="L556" t="s">
        <v>71</v>
      </c>
      <c r="M556" t="s">
        <v>87</v>
      </c>
      <c r="O556" t="s">
        <v>88</v>
      </c>
      <c r="P556" t="s">
        <v>27</v>
      </c>
      <c r="Q556" t="s">
        <v>73</v>
      </c>
      <c r="R556" t="s">
        <v>76</v>
      </c>
      <c r="S556" t="s">
        <v>74</v>
      </c>
      <c r="T556" t="s">
        <v>75</v>
      </c>
      <c r="X556" t="s">
        <v>77</v>
      </c>
      <c r="Z556" t="s">
        <v>72</v>
      </c>
      <c r="AA556" t="s">
        <v>94</v>
      </c>
      <c r="AB556">
        <v>5</v>
      </c>
      <c r="AC556">
        <v>748697.93</v>
      </c>
      <c r="AD556">
        <v>8930425.3100000005</v>
      </c>
      <c r="AE556">
        <v>188.91</v>
      </c>
      <c r="AF556">
        <v>748697.93</v>
      </c>
      <c r="AG556">
        <v>8930425.3100000005</v>
      </c>
      <c r="AH556">
        <v>180.4</v>
      </c>
      <c r="AI556">
        <v>8.51</v>
      </c>
      <c r="AJ556">
        <v>0.6</v>
      </c>
      <c r="AK556">
        <v>3.37</v>
      </c>
      <c r="AL556">
        <v>2.93</v>
      </c>
      <c r="AM556">
        <v>0</v>
      </c>
      <c r="AN556">
        <v>0</v>
      </c>
      <c r="AO556">
        <v>358</v>
      </c>
      <c r="AP556">
        <v>2.81</v>
      </c>
      <c r="AQ556">
        <v>0</v>
      </c>
      <c r="AR556">
        <v>0</v>
      </c>
      <c r="AS556">
        <v>0</v>
      </c>
      <c r="AT556">
        <v>0</v>
      </c>
      <c r="AU556">
        <v>0</v>
      </c>
      <c r="AV556">
        <v>0</v>
      </c>
      <c r="AW556">
        <v>0</v>
      </c>
      <c r="AX556">
        <v>0</v>
      </c>
      <c r="AY556">
        <v>3.3</v>
      </c>
      <c r="AZ556">
        <v>75.858000000000004</v>
      </c>
      <c r="BA556">
        <v>0</v>
      </c>
      <c r="BB556">
        <v>0</v>
      </c>
      <c r="BC556">
        <v>0</v>
      </c>
      <c r="BD556">
        <v>0</v>
      </c>
    </row>
    <row r="557" spans="1:56" x14ac:dyDescent="0.25">
      <c r="A557" s="23">
        <v>46304</v>
      </c>
      <c r="B557">
        <v>556</v>
      </c>
      <c r="C557" t="s">
        <v>82</v>
      </c>
      <c r="D557" t="s">
        <v>92</v>
      </c>
      <c r="E557">
        <v>0</v>
      </c>
      <c r="F557">
        <v>180</v>
      </c>
      <c r="G557">
        <v>0</v>
      </c>
      <c r="H557" t="s">
        <v>84</v>
      </c>
      <c r="J557" t="s">
        <v>70</v>
      </c>
      <c r="K557" t="s">
        <v>86</v>
      </c>
      <c r="L557" t="s">
        <v>71</v>
      </c>
      <c r="M557" t="s">
        <v>87</v>
      </c>
      <c r="O557" t="s">
        <v>88</v>
      </c>
      <c r="P557" t="s">
        <v>27</v>
      </c>
      <c r="Q557" t="s">
        <v>73</v>
      </c>
      <c r="R557" t="s">
        <v>76</v>
      </c>
      <c r="S557" t="s">
        <v>74</v>
      </c>
      <c r="T557" t="s">
        <v>75</v>
      </c>
      <c r="X557" t="s">
        <v>77</v>
      </c>
      <c r="Z557" t="s">
        <v>72</v>
      </c>
      <c r="AA557" t="s">
        <v>94</v>
      </c>
      <c r="AB557">
        <v>5</v>
      </c>
      <c r="AC557">
        <v>748695.71</v>
      </c>
      <c r="AD557">
        <v>8930422.7799999993</v>
      </c>
      <c r="AE557">
        <v>188.84</v>
      </c>
      <c r="AF557">
        <v>748695.71</v>
      </c>
      <c r="AG557">
        <v>8930422.7799999993</v>
      </c>
      <c r="AH557">
        <v>180.39</v>
      </c>
      <c r="AI557">
        <v>8.4499999999999993</v>
      </c>
      <c r="AJ557">
        <v>0.6</v>
      </c>
      <c r="AK557">
        <v>3.37</v>
      </c>
      <c r="AL557">
        <v>2.93</v>
      </c>
      <c r="AM557">
        <v>0</v>
      </c>
      <c r="AN557">
        <v>0</v>
      </c>
      <c r="AO557">
        <v>358</v>
      </c>
      <c r="AP557">
        <v>2.81</v>
      </c>
      <c r="AQ557">
        <v>0</v>
      </c>
      <c r="AR557">
        <v>0</v>
      </c>
      <c r="AS557">
        <v>0</v>
      </c>
      <c r="AT557">
        <v>0</v>
      </c>
      <c r="AU557">
        <v>0</v>
      </c>
      <c r="AV557">
        <v>0</v>
      </c>
      <c r="AW557">
        <v>0</v>
      </c>
      <c r="AX557">
        <v>0</v>
      </c>
      <c r="AY557">
        <v>3.3</v>
      </c>
      <c r="AZ557">
        <v>74.983999999999995</v>
      </c>
      <c r="BA557">
        <v>0</v>
      </c>
      <c r="BB557">
        <v>0</v>
      </c>
      <c r="BC557">
        <v>0</v>
      </c>
      <c r="BD557">
        <v>0</v>
      </c>
    </row>
    <row r="558" spans="1:56" x14ac:dyDescent="0.25">
      <c r="A558" s="23">
        <v>46304</v>
      </c>
      <c r="B558">
        <v>557</v>
      </c>
      <c r="C558" t="s">
        <v>82</v>
      </c>
      <c r="D558" t="s">
        <v>92</v>
      </c>
      <c r="E558">
        <v>0</v>
      </c>
      <c r="F558">
        <v>180</v>
      </c>
      <c r="G558">
        <v>0</v>
      </c>
      <c r="H558" t="s">
        <v>84</v>
      </c>
      <c r="J558" t="s">
        <v>70</v>
      </c>
      <c r="K558" t="s">
        <v>86</v>
      </c>
      <c r="L558" t="s">
        <v>71</v>
      </c>
      <c r="M558" t="s">
        <v>87</v>
      </c>
      <c r="O558" t="s">
        <v>88</v>
      </c>
      <c r="P558" t="s">
        <v>27</v>
      </c>
      <c r="Q558" t="s">
        <v>73</v>
      </c>
      <c r="R558" t="s">
        <v>76</v>
      </c>
      <c r="S558" t="s">
        <v>74</v>
      </c>
      <c r="T558" t="s">
        <v>75</v>
      </c>
      <c r="X558" t="s">
        <v>77</v>
      </c>
      <c r="Z558" t="s">
        <v>72</v>
      </c>
      <c r="AA558" t="s">
        <v>94</v>
      </c>
      <c r="AB558">
        <v>5</v>
      </c>
      <c r="AC558">
        <v>748693.35</v>
      </c>
      <c r="AD558">
        <v>8930420.3900000006</v>
      </c>
      <c r="AE558">
        <v>188.78</v>
      </c>
      <c r="AF558">
        <v>748693.35</v>
      </c>
      <c r="AG558">
        <v>8930420.3900000006</v>
      </c>
      <c r="AH558">
        <v>180.39</v>
      </c>
      <c r="AI558">
        <v>8.39</v>
      </c>
      <c r="AJ558">
        <v>0.6</v>
      </c>
      <c r="AK558">
        <v>3.37</v>
      </c>
      <c r="AL558">
        <v>2.93</v>
      </c>
      <c r="AM558">
        <v>0</v>
      </c>
      <c r="AN558">
        <v>0</v>
      </c>
      <c r="AO558">
        <v>358</v>
      </c>
      <c r="AP558">
        <v>2.81</v>
      </c>
      <c r="AQ558">
        <v>0</v>
      </c>
      <c r="AR558">
        <v>0</v>
      </c>
      <c r="AS558">
        <v>0</v>
      </c>
      <c r="AT558">
        <v>0</v>
      </c>
      <c r="AU558">
        <v>0</v>
      </c>
      <c r="AV558">
        <v>0</v>
      </c>
      <c r="AW558">
        <v>0</v>
      </c>
      <c r="AX558">
        <v>0</v>
      </c>
      <c r="AY558">
        <v>3.3</v>
      </c>
      <c r="AZ558">
        <v>74.11</v>
      </c>
      <c r="BA558">
        <v>0</v>
      </c>
      <c r="BB558">
        <v>0</v>
      </c>
      <c r="BC558">
        <v>0</v>
      </c>
      <c r="BD558">
        <v>0</v>
      </c>
    </row>
    <row r="559" spans="1:56" x14ac:dyDescent="0.25">
      <c r="A559" s="23">
        <v>46304</v>
      </c>
      <c r="B559">
        <v>558</v>
      </c>
      <c r="C559" t="s">
        <v>82</v>
      </c>
      <c r="D559" t="s">
        <v>92</v>
      </c>
      <c r="E559">
        <v>2</v>
      </c>
      <c r="F559">
        <v>180</v>
      </c>
      <c r="G559">
        <v>0</v>
      </c>
      <c r="H559" t="s">
        <v>84</v>
      </c>
      <c r="I559" t="s">
        <v>28</v>
      </c>
      <c r="J559" t="s">
        <v>70</v>
      </c>
      <c r="K559" t="s">
        <v>86</v>
      </c>
      <c r="L559" t="s">
        <v>71</v>
      </c>
      <c r="M559" t="s">
        <v>87</v>
      </c>
      <c r="O559" t="s">
        <v>88</v>
      </c>
      <c r="P559" t="s">
        <v>27</v>
      </c>
      <c r="Q559" t="s">
        <v>73</v>
      </c>
      <c r="R559" t="s">
        <v>76</v>
      </c>
      <c r="S559" t="s">
        <v>74</v>
      </c>
      <c r="T559" t="s">
        <v>75</v>
      </c>
      <c r="X559" t="s">
        <v>77</v>
      </c>
      <c r="Z559" t="s">
        <v>72</v>
      </c>
      <c r="AA559" t="s">
        <v>94</v>
      </c>
      <c r="AB559">
        <v>5</v>
      </c>
      <c r="AC559">
        <v>748690.76</v>
      </c>
      <c r="AD559">
        <v>8930418.25</v>
      </c>
      <c r="AE559">
        <v>188.69</v>
      </c>
      <c r="AF559">
        <v>748690.76</v>
      </c>
      <c r="AG559">
        <v>8930418.25</v>
      </c>
      <c r="AH559">
        <v>180.38</v>
      </c>
      <c r="AI559">
        <v>8.31</v>
      </c>
      <c r="AJ559">
        <v>0.6</v>
      </c>
      <c r="AK559">
        <v>3.37</v>
      </c>
      <c r="AL559">
        <v>2.93</v>
      </c>
      <c r="AM559">
        <v>0</v>
      </c>
      <c r="AN559">
        <v>0</v>
      </c>
      <c r="AO559">
        <v>358</v>
      </c>
      <c r="AP559">
        <v>2.81</v>
      </c>
      <c r="AQ559">
        <v>0</v>
      </c>
      <c r="AR559">
        <v>0</v>
      </c>
      <c r="AS559">
        <v>0</v>
      </c>
      <c r="AT559">
        <v>0</v>
      </c>
      <c r="AU559">
        <v>0</v>
      </c>
      <c r="AV559">
        <v>0</v>
      </c>
      <c r="AW559">
        <v>0</v>
      </c>
      <c r="AX559">
        <v>0</v>
      </c>
      <c r="AY559">
        <v>3.3</v>
      </c>
      <c r="AZ559">
        <v>72.945999999999998</v>
      </c>
      <c r="BA559">
        <v>0</v>
      </c>
      <c r="BB559">
        <v>0</v>
      </c>
      <c r="BC559">
        <v>0</v>
      </c>
      <c r="BD559">
        <v>0</v>
      </c>
    </row>
    <row r="560" spans="1:56" x14ac:dyDescent="0.25">
      <c r="A560" s="23">
        <v>46304</v>
      </c>
      <c r="B560">
        <v>559</v>
      </c>
      <c r="C560" t="s">
        <v>82</v>
      </c>
      <c r="D560" t="s">
        <v>92</v>
      </c>
      <c r="E560">
        <v>2</v>
      </c>
      <c r="F560">
        <v>180</v>
      </c>
      <c r="G560">
        <v>0</v>
      </c>
      <c r="H560" t="s">
        <v>84</v>
      </c>
      <c r="I560" t="s">
        <v>28</v>
      </c>
      <c r="J560" t="s">
        <v>70</v>
      </c>
      <c r="K560" t="s">
        <v>86</v>
      </c>
      <c r="L560" t="s">
        <v>71</v>
      </c>
      <c r="M560" t="s">
        <v>87</v>
      </c>
      <c r="O560" t="s">
        <v>88</v>
      </c>
      <c r="P560" t="s">
        <v>27</v>
      </c>
      <c r="Q560" t="s">
        <v>73</v>
      </c>
      <c r="R560" t="s">
        <v>76</v>
      </c>
      <c r="S560" t="s">
        <v>74</v>
      </c>
      <c r="T560" t="s">
        <v>75</v>
      </c>
      <c r="X560" t="s">
        <v>77</v>
      </c>
      <c r="Z560" t="s">
        <v>72</v>
      </c>
      <c r="AA560" t="s">
        <v>94</v>
      </c>
      <c r="AB560">
        <v>5</v>
      </c>
      <c r="AC560">
        <v>748688.04</v>
      </c>
      <c r="AD560">
        <v>8930416.2699999996</v>
      </c>
      <c r="AE560">
        <v>188.65</v>
      </c>
      <c r="AF560">
        <v>748688.04</v>
      </c>
      <c r="AG560">
        <v>8930416.2699999996</v>
      </c>
      <c r="AH560">
        <v>180.39</v>
      </c>
      <c r="AI560">
        <v>8.27</v>
      </c>
      <c r="AJ560">
        <v>0.6</v>
      </c>
      <c r="AK560">
        <v>3.37</v>
      </c>
      <c r="AL560">
        <v>2.93</v>
      </c>
      <c r="AM560">
        <v>0</v>
      </c>
      <c r="AN560">
        <v>0</v>
      </c>
      <c r="AO560">
        <v>358</v>
      </c>
      <c r="AP560">
        <v>2.81</v>
      </c>
      <c r="AQ560">
        <v>0</v>
      </c>
      <c r="AR560">
        <v>0</v>
      </c>
      <c r="AS560">
        <v>0</v>
      </c>
      <c r="AT560">
        <v>0</v>
      </c>
      <c r="AU560">
        <v>0</v>
      </c>
      <c r="AV560">
        <v>0</v>
      </c>
      <c r="AW560">
        <v>0</v>
      </c>
      <c r="AX560">
        <v>0</v>
      </c>
      <c r="AY560">
        <v>3.3</v>
      </c>
      <c r="AZ560">
        <v>72.363</v>
      </c>
      <c r="BA560">
        <v>0</v>
      </c>
      <c r="BB560">
        <v>0</v>
      </c>
      <c r="BC560">
        <v>0</v>
      </c>
      <c r="BD560">
        <v>0</v>
      </c>
    </row>
    <row r="561" spans="1:56" x14ac:dyDescent="0.25">
      <c r="A561" s="23">
        <v>46304</v>
      </c>
      <c r="B561">
        <v>560</v>
      </c>
      <c r="C561" t="s">
        <v>82</v>
      </c>
      <c r="D561" t="s">
        <v>92</v>
      </c>
      <c r="E561">
        <v>2</v>
      </c>
      <c r="F561">
        <v>180</v>
      </c>
      <c r="G561">
        <v>0</v>
      </c>
      <c r="H561" t="s">
        <v>99</v>
      </c>
      <c r="I561" t="s">
        <v>78</v>
      </c>
      <c r="J561" t="s">
        <v>70</v>
      </c>
      <c r="K561" t="s">
        <v>86</v>
      </c>
      <c r="L561" t="s">
        <v>71</v>
      </c>
      <c r="M561" t="s">
        <v>87</v>
      </c>
      <c r="O561" t="s">
        <v>88</v>
      </c>
      <c r="P561" t="s">
        <v>27</v>
      </c>
      <c r="Q561" t="s">
        <v>73</v>
      </c>
      <c r="R561" t="s">
        <v>76</v>
      </c>
      <c r="S561" t="s">
        <v>74</v>
      </c>
      <c r="T561" t="s">
        <v>75</v>
      </c>
      <c r="X561" t="s">
        <v>77</v>
      </c>
      <c r="Z561" t="s">
        <v>72</v>
      </c>
      <c r="AA561" t="s">
        <v>94</v>
      </c>
      <c r="AB561">
        <v>5</v>
      </c>
      <c r="AC561">
        <v>748685.46</v>
      </c>
      <c r="AD561">
        <v>8930415.2799999993</v>
      </c>
      <c r="AE561">
        <v>188.75</v>
      </c>
      <c r="AF561">
        <v>748685.46</v>
      </c>
      <c r="AG561">
        <v>8930415.2799999993</v>
      </c>
      <c r="AH561">
        <v>180.3</v>
      </c>
      <c r="AI561">
        <v>8.4499999999999993</v>
      </c>
      <c r="AJ561">
        <v>0.6</v>
      </c>
      <c r="AK561">
        <v>3.37</v>
      </c>
      <c r="AL561">
        <v>2.93</v>
      </c>
      <c r="AM561">
        <v>0</v>
      </c>
      <c r="AN561">
        <v>0</v>
      </c>
      <c r="AO561">
        <v>358</v>
      </c>
      <c r="AP561">
        <v>2.81</v>
      </c>
      <c r="AQ561">
        <v>0</v>
      </c>
      <c r="AR561">
        <v>0</v>
      </c>
      <c r="AS561">
        <v>0</v>
      </c>
      <c r="AT561">
        <v>0</v>
      </c>
      <c r="AU561">
        <v>0</v>
      </c>
      <c r="AV561">
        <v>0</v>
      </c>
      <c r="AW561">
        <v>0</v>
      </c>
      <c r="AX561">
        <v>0</v>
      </c>
      <c r="AY561">
        <v>3.3</v>
      </c>
      <c r="AZ561">
        <v>74.983999999999995</v>
      </c>
      <c r="BA561">
        <v>0</v>
      </c>
      <c r="BB561">
        <v>0</v>
      </c>
      <c r="BC561">
        <v>0</v>
      </c>
      <c r="BD561">
        <v>0</v>
      </c>
    </row>
    <row r="562" spans="1:56" x14ac:dyDescent="0.25">
      <c r="A562" s="23">
        <v>46304</v>
      </c>
      <c r="B562">
        <v>561</v>
      </c>
      <c r="C562" t="s">
        <v>82</v>
      </c>
      <c r="D562" t="s">
        <v>92</v>
      </c>
      <c r="E562">
        <v>2</v>
      </c>
      <c r="F562">
        <v>180</v>
      </c>
      <c r="G562">
        <v>0</v>
      </c>
      <c r="H562" t="s">
        <v>84</v>
      </c>
      <c r="I562" t="s">
        <v>28</v>
      </c>
      <c r="J562" t="s">
        <v>70</v>
      </c>
      <c r="K562" t="s">
        <v>86</v>
      </c>
      <c r="L562" t="s">
        <v>71</v>
      </c>
      <c r="M562" t="s">
        <v>87</v>
      </c>
      <c r="O562" t="s">
        <v>88</v>
      </c>
      <c r="P562" t="s">
        <v>27</v>
      </c>
      <c r="Q562" t="s">
        <v>73</v>
      </c>
      <c r="R562" t="s">
        <v>76</v>
      </c>
      <c r="S562" t="s">
        <v>74</v>
      </c>
      <c r="T562" t="s">
        <v>75</v>
      </c>
      <c r="X562" t="s">
        <v>77</v>
      </c>
      <c r="Z562" t="s">
        <v>72</v>
      </c>
      <c r="AA562" t="s">
        <v>94</v>
      </c>
      <c r="AB562">
        <v>5</v>
      </c>
      <c r="AC562">
        <v>748690.49</v>
      </c>
      <c r="AD562">
        <v>8930414.2400000002</v>
      </c>
      <c r="AE562">
        <v>188.6</v>
      </c>
      <c r="AF562">
        <v>748690.49</v>
      </c>
      <c r="AG562">
        <v>8930414.2400000002</v>
      </c>
      <c r="AH562">
        <v>179.4</v>
      </c>
      <c r="AI562">
        <v>9.1999999999999993</v>
      </c>
      <c r="AJ562">
        <v>0.6</v>
      </c>
      <c r="AK562">
        <v>3.37</v>
      </c>
      <c r="AL562">
        <v>2.93</v>
      </c>
      <c r="AM562">
        <v>0</v>
      </c>
      <c r="AN562">
        <v>0</v>
      </c>
      <c r="AO562">
        <v>358</v>
      </c>
      <c r="AP562">
        <v>2.81</v>
      </c>
      <c r="AQ562">
        <v>0</v>
      </c>
      <c r="AR562">
        <v>0</v>
      </c>
      <c r="AS562">
        <v>0</v>
      </c>
      <c r="AT562">
        <v>0</v>
      </c>
      <c r="AU562">
        <v>0</v>
      </c>
      <c r="AV562">
        <v>0</v>
      </c>
      <c r="AW562">
        <v>0</v>
      </c>
      <c r="AX562">
        <v>0</v>
      </c>
      <c r="AY562">
        <v>3.3</v>
      </c>
      <c r="AZ562">
        <v>85.903999999999996</v>
      </c>
      <c r="BA562">
        <v>0</v>
      </c>
      <c r="BB562">
        <v>0</v>
      </c>
      <c r="BC562">
        <v>0</v>
      </c>
      <c r="BD562">
        <v>0</v>
      </c>
    </row>
    <row r="563" spans="1:56" x14ac:dyDescent="0.25">
      <c r="A563" s="23">
        <v>46304</v>
      </c>
      <c r="B563">
        <v>562</v>
      </c>
      <c r="C563" t="s">
        <v>82</v>
      </c>
      <c r="D563" t="s">
        <v>92</v>
      </c>
      <c r="E563">
        <v>0</v>
      </c>
      <c r="F563">
        <v>180</v>
      </c>
      <c r="G563">
        <v>0</v>
      </c>
      <c r="H563" t="s">
        <v>84</v>
      </c>
      <c r="J563" t="s">
        <v>70</v>
      </c>
      <c r="K563" t="s">
        <v>86</v>
      </c>
      <c r="L563" t="s">
        <v>71</v>
      </c>
      <c r="M563" t="s">
        <v>87</v>
      </c>
      <c r="O563" t="s">
        <v>88</v>
      </c>
      <c r="P563" t="s">
        <v>27</v>
      </c>
      <c r="Q563" t="s">
        <v>73</v>
      </c>
      <c r="R563" t="s">
        <v>76</v>
      </c>
      <c r="S563" t="s">
        <v>74</v>
      </c>
      <c r="T563" t="s">
        <v>75</v>
      </c>
      <c r="X563" t="s">
        <v>77</v>
      </c>
      <c r="Z563" t="s">
        <v>72</v>
      </c>
      <c r="AA563" t="s">
        <v>94</v>
      </c>
      <c r="AB563">
        <v>5</v>
      </c>
      <c r="AC563">
        <v>748693.2</v>
      </c>
      <c r="AD563">
        <v>8930416.2300000004</v>
      </c>
      <c r="AE563">
        <v>188.67</v>
      </c>
      <c r="AF563">
        <v>748693.2</v>
      </c>
      <c r="AG563">
        <v>8930416.2300000004</v>
      </c>
      <c r="AH563">
        <v>179.4</v>
      </c>
      <c r="AI563">
        <v>9.27</v>
      </c>
      <c r="AJ563">
        <v>0.6</v>
      </c>
      <c r="AK563">
        <v>3.37</v>
      </c>
      <c r="AL563">
        <v>2.93</v>
      </c>
      <c r="AM563">
        <v>0</v>
      </c>
      <c r="AN563">
        <v>0</v>
      </c>
      <c r="AO563">
        <v>358</v>
      </c>
      <c r="AP563">
        <v>2.81</v>
      </c>
      <c r="AQ563">
        <v>0</v>
      </c>
      <c r="AR563">
        <v>0</v>
      </c>
      <c r="AS563">
        <v>0</v>
      </c>
      <c r="AT563">
        <v>0</v>
      </c>
      <c r="AU563">
        <v>0</v>
      </c>
      <c r="AV563">
        <v>0</v>
      </c>
      <c r="AW563">
        <v>0</v>
      </c>
      <c r="AX563">
        <v>0</v>
      </c>
      <c r="AY563">
        <v>3.3</v>
      </c>
      <c r="AZ563">
        <v>86.923000000000002</v>
      </c>
      <c r="BA563">
        <v>0</v>
      </c>
      <c r="BB563">
        <v>0</v>
      </c>
      <c r="BC563">
        <v>0</v>
      </c>
      <c r="BD563">
        <v>0</v>
      </c>
    </row>
    <row r="564" spans="1:56" x14ac:dyDescent="0.25">
      <c r="A564" s="23">
        <v>46304</v>
      </c>
      <c r="B564">
        <v>563</v>
      </c>
      <c r="C564" t="s">
        <v>82</v>
      </c>
      <c r="D564" t="s">
        <v>92</v>
      </c>
      <c r="E564">
        <v>0</v>
      </c>
      <c r="F564">
        <v>180</v>
      </c>
      <c r="G564">
        <v>0</v>
      </c>
      <c r="H564" t="s">
        <v>84</v>
      </c>
      <c r="J564" t="s">
        <v>70</v>
      </c>
      <c r="K564" t="s">
        <v>86</v>
      </c>
      <c r="L564" t="s">
        <v>71</v>
      </c>
      <c r="M564" t="s">
        <v>87</v>
      </c>
      <c r="O564" t="s">
        <v>88</v>
      </c>
      <c r="P564" t="s">
        <v>27</v>
      </c>
      <c r="Q564" t="s">
        <v>73</v>
      </c>
      <c r="R564" t="s">
        <v>76</v>
      </c>
      <c r="S564" t="s">
        <v>74</v>
      </c>
      <c r="T564" t="s">
        <v>75</v>
      </c>
      <c r="X564" t="s">
        <v>77</v>
      </c>
      <c r="Z564" t="s">
        <v>72</v>
      </c>
      <c r="AA564" t="s">
        <v>94</v>
      </c>
      <c r="AB564">
        <v>5</v>
      </c>
      <c r="AC564">
        <v>748695.72</v>
      </c>
      <c r="AD564">
        <v>8930418.4600000009</v>
      </c>
      <c r="AE564">
        <v>188.74</v>
      </c>
      <c r="AF564">
        <v>748695.72</v>
      </c>
      <c r="AG564">
        <v>8930418.4600000009</v>
      </c>
      <c r="AH564">
        <v>179.4</v>
      </c>
      <c r="AI564">
        <v>9.34</v>
      </c>
      <c r="AJ564">
        <v>0.6</v>
      </c>
      <c r="AK564">
        <v>3.37</v>
      </c>
      <c r="AL564">
        <v>2.93</v>
      </c>
      <c r="AM564">
        <v>0</v>
      </c>
      <c r="AN564">
        <v>0</v>
      </c>
      <c r="AO564">
        <v>358</v>
      </c>
      <c r="AP564">
        <v>2.81</v>
      </c>
      <c r="AQ564">
        <v>0</v>
      </c>
      <c r="AR564">
        <v>0</v>
      </c>
      <c r="AS564">
        <v>0</v>
      </c>
      <c r="AT564">
        <v>0</v>
      </c>
      <c r="AU564">
        <v>0</v>
      </c>
      <c r="AV564">
        <v>0</v>
      </c>
      <c r="AW564">
        <v>0</v>
      </c>
      <c r="AX564">
        <v>0</v>
      </c>
      <c r="AY564">
        <v>3.3</v>
      </c>
      <c r="AZ564">
        <v>87.941999999999993</v>
      </c>
      <c r="BA564">
        <v>0</v>
      </c>
      <c r="BB564">
        <v>0</v>
      </c>
      <c r="BC564">
        <v>0</v>
      </c>
      <c r="BD564">
        <v>0</v>
      </c>
    </row>
    <row r="565" spans="1:56" x14ac:dyDescent="0.25">
      <c r="A565" s="23">
        <v>46304</v>
      </c>
      <c r="B565">
        <v>564</v>
      </c>
      <c r="C565" t="s">
        <v>82</v>
      </c>
      <c r="D565" t="s">
        <v>92</v>
      </c>
      <c r="E565">
        <v>0</v>
      </c>
      <c r="F565">
        <v>180</v>
      </c>
      <c r="G565">
        <v>0</v>
      </c>
      <c r="H565" t="s">
        <v>98</v>
      </c>
      <c r="J565" t="s">
        <v>70</v>
      </c>
      <c r="K565" t="s">
        <v>86</v>
      </c>
      <c r="L565" t="s">
        <v>71</v>
      </c>
      <c r="M565" t="s">
        <v>87</v>
      </c>
      <c r="O565" t="s">
        <v>88</v>
      </c>
      <c r="P565" t="s">
        <v>27</v>
      </c>
      <c r="Q565" t="s">
        <v>73</v>
      </c>
      <c r="R565" t="s">
        <v>76</v>
      </c>
      <c r="S565" t="s">
        <v>74</v>
      </c>
      <c r="T565" t="s">
        <v>75</v>
      </c>
      <c r="X565" t="s">
        <v>77</v>
      </c>
      <c r="Z565" t="s">
        <v>72</v>
      </c>
      <c r="AA565" t="s">
        <v>94</v>
      </c>
      <c r="AB565">
        <v>5</v>
      </c>
      <c r="AC565">
        <v>748697.51</v>
      </c>
      <c r="AD565">
        <v>8930420.8000000007</v>
      </c>
      <c r="AE565">
        <v>188.81</v>
      </c>
      <c r="AF565">
        <v>748697.51</v>
      </c>
      <c r="AG565">
        <v>8930420.8000000007</v>
      </c>
      <c r="AH565">
        <v>179.4</v>
      </c>
      <c r="AI565">
        <v>9.41</v>
      </c>
      <c r="AJ565">
        <v>0.6</v>
      </c>
      <c r="AK565">
        <v>3.37</v>
      </c>
      <c r="AL565">
        <v>2.93</v>
      </c>
      <c r="AM565">
        <v>0</v>
      </c>
      <c r="AN565">
        <v>0</v>
      </c>
      <c r="AO565">
        <v>358</v>
      </c>
      <c r="AP565">
        <v>2.8</v>
      </c>
      <c r="AQ565">
        <v>0</v>
      </c>
      <c r="AR565">
        <v>0</v>
      </c>
      <c r="AS565">
        <v>0</v>
      </c>
      <c r="AT565">
        <v>0</v>
      </c>
      <c r="AU565">
        <v>0</v>
      </c>
      <c r="AV565">
        <v>0</v>
      </c>
      <c r="AW565">
        <v>0</v>
      </c>
      <c r="AX565">
        <v>0</v>
      </c>
      <c r="AY565">
        <v>3.3</v>
      </c>
      <c r="AZ565">
        <v>88.962000000000003</v>
      </c>
      <c r="BA565">
        <v>0</v>
      </c>
      <c r="BB565">
        <v>0</v>
      </c>
      <c r="BC565">
        <v>0</v>
      </c>
      <c r="BD565">
        <v>0</v>
      </c>
    </row>
    <row r="566" spans="1:56" x14ac:dyDescent="0.25">
      <c r="A566" s="23">
        <v>46304</v>
      </c>
      <c r="B566">
        <v>565</v>
      </c>
      <c r="C566" t="s">
        <v>82</v>
      </c>
      <c r="D566" t="s">
        <v>92</v>
      </c>
      <c r="E566">
        <v>0</v>
      </c>
      <c r="F566">
        <v>180</v>
      </c>
      <c r="G566">
        <v>0</v>
      </c>
      <c r="H566" t="s">
        <v>98</v>
      </c>
      <c r="J566" t="s">
        <v>70</v>
      </c>
      <c r="K566" t="s">
        <v>86</v>
      </c>
      <c r="L566" t="s">
        <v>71</v>
      </c>
      <c r="M566" t="s">
        <v>87</v>
      </c>
      <c r="O566" t="s">
        <v>88</v>
      </c>
      <c r="P566" t="s">
        <v>27</v>
      </c>
      <c r="Q566" t="s">
        <v>73</v>
      </c>
      <c r="R566" t="s">
        <v>76</v>
      </c>
      <c r="S566" t="s">
        <v>74</v>
      </c>
      <c r="T566" t="s">
        <v>75</v>
      </c>
      <c r="X566" t="s">
        <v>77</v>
      </c>
      <c r="Z566" t="s">
        <v>72</v>
      </c>
      <c r="AA566" t="s">
        <v>94</v>
      </c>
      <c r="AB566">
        <v>5</v>
      </c>
      <c r="AC566">
        <v>748699.25</v>
      </c>
      <c r="AD566">
        <v>8930423.5399999991</v>
      </c>
      <c r="AE566">
        <v>188.88</v>
      </c>
      <c r="AF566">
        <v>748699.25</v>
      </c>
      <c r="AG566">
        <v>8930423.5399999991</v>
      </c>
      <c r="AH566">
        <v>179.4</v>
      </c>
      <c r="AI566">
        <v>9.48</v>
      </c>
      <c r="AJ566">
        <v>0.6</v>
      </c>
      <c r="AK566">
        <v>3.37</v>
      </c>
      <c r="AL566">
        <v>2.93</v>
      </c>
      <c r="AM566">
        <v>0</v>
      </c>
      <c r="AN566">
        <v>0</v>
      </c>
      <c r="AO566">
        <v>358</v>
      </c>
      <c r="AP566">
        <v>2.81</v>
      </c>
      <c r="AQ566">
        <v>0</v>
      </c>
      <c r="AR566">
        <v>0</v>
      </c>
      <c r="AS566">
        <v>0</v>
      </c>
      <c r="AT566">
        <v>0</v>
      </c>
      <c r="AU566">
        <v>0</v>
      </c>
      <c r="AV566">
        <v>0</v>
      </c>
      <c r="AW566">
        <v>0</v>
      </c>
      <c r="AX566">
        <v>0</v>
      </c>
      <c r="AY566">
        <v>3.3</v>
      </c>
      <c r="AZ566">
        <v>89.980999999999995</v>
      </c>
      <c r="BA566">
        <v>0</v>
      </c>
      <c r="BB566">
        <v>0</v>
      </c>
      <c r="BC566">
        <v>0</v>
      </c>
      <c r="BD566">
        <v>0</v>
      </c>
    </row>
    <row r="567" spans="1:56" x14ac:dyDescent="0.25">
      <c r="A567" s="23">
        <v>46304</v>
      </c>
      <c r="B567">
        <v>566</v>
      </c>
      <c r="C567" t="s">
        <v>82</v>
      </c>
      <c r="D567" t="s">
        <v>92</v>
      </c>
      <c r="E567">
        <v>0</v>
      </c>
      <c r="F567">
        <v>180</v>
      </c>
      <c r="G567">
        <v>0</v>
      </c>
      <c r="H567" t="s">
        <v>98</v>
      </c>
      <c r="J567" t="s">
        <v>70</v>
      </c>
      <c r="K567" t="s">
        <v>86</v>
      </c>
      <c r="L567" t="s">
        <v>71</v>
      </c>
      <c r="M567" t="s">
        <v>87</v>
      </c>
      <c r="O567" t="s">
        <v>88</v>
      </c>
      <c r="P567" t="s">
        <v>27</v>
      </c>
      <c r="Q567" t="s">
        <v>73</v>
      </c>
      <c r="R567" t="s">
        <v>76</v>
      </c>
      <c r="S567" t="s">
        <v>74</v>
      </c>
      <c r="T567" t="s">
        <v>75</v>
      </c>
      <c r="X567" t="s">
        <v>77</v>
      </c>
      <c r="Z567" t="s">
        <v>72</v>
      </c>
      <c r="AA567" t="s">
        <v>94</v>
      </c>
      <c r="AB567">
        <v>5</v>
      </c>
      <c r="AC567">
        <v>748715.31</v>
      </c>
      <c r="AD567">
        <v>8930450.3800000008</v>
      </c>
      <c r="AE567">
        <v>189.53</v>
      </c>
      <c r="AF567">
        <v>748715.31</v>
      </c>
      <c r="AG567">
        <v>8930450.3800000008</v>
      </c>
      <c r="AH567">
        <v>179.4</v>
      </c>
      <c r="AI567">
        <v>10.130000000000001</v>
      </c>
      <c r="AJ567">
        <v>0.6</v>
      </c>
      <c r="AK567">
        <v>3.37</v>
      </c>
      <c r="AL567">
        <v>2.93</v>
      </c>
      <c r="AM567">
        <v>0</v>
      </c>
      <c r="AN567">
        <v>0</v>
      </c>
      <c r="AO567">
        <v>358</v>
      </c>
      <c r="AP567">
        <v>3.02</v>
      </c>
      <c r="AQ567">
        <v>0.25</v>
      </c>
      <c r="AR567">
        <v>0.04</v>
      </c>
      <c r="AS567">
        <v>0.03</v>
      </c>
      <c r="AT567">
        <v>6.07</v>
      </c>
      <c r="AU567">
        <v>2.4</v>
      </c>
      <c r="AV567">
        <v>0.11</v>
      </c>
      <c r="AW567">
        <v>0.8</v>
      </c>
      <c r="AX567">
        <v>3.23</v>
      </c>
      <c r="AY567">
        <v>3.3</v>
      </c>
      <c r="AZ567">
        <v>99.444999999999993</v>
      </c>
      <c r="BA567">
        <v>0</v>
      </c>
      <c r="BB567">
        <v>0</v>
      </c>
      <c r="BC567">
        <v>0</v>
      </c>
      <c r="BD567">
        <v>0</v>
      </c>
    </row>
    <row r="568" spans="1:56" x14ac:dyDescent="0.25">
      <c r="A568" s="23">
        <v>46304</v>
      </c>
      <c r="B568">
        <v>567</v>
      </c>
      <c r="C568" t="s">
        <v>82</v>
      </c>
      <c r="D568" t="s">
        <v>92</v>
      </c>
      <c r="E568">
        <v>0</v>
      </c>
      <c r="F568">
        <v>180</v>
      </c>
      <c r="G568">
        <v>0</v>
      </c>
      <c r="H568" t="s">
        <v>98</v>
      </c>
      <c r="J568" t="s">
        <v>70</v>
      </c>
      <c r="K568" t="s">
        <v>86</v>
      </c>
      <c r="L568" t="s">
        <v>71</v>
      </c>
      <c r="M568" t="s">
        <v>87</v>
      </c>
      <c r="O568" t="s">
        <v>88</v>
      </c>
      <c r="P568" t="s">
        <v>27</v>
      </c>
      <c r="Q568" t="s">
        <v>73</v>
      </c>
      <c r="R568" t="s">
        <v>76</v>
      </c>
      <c r="S568" t="s">
        <v>74</v>
      </c>
      <c r="T568" t="s">
        <v>75</v>
      </c>
      <c r="X568" t="s">
        <v>77</v>
      </c>
      <c r="Z568" t="s">
        <v>72</v>
      </c>
      <c r="AA568" t="s">
        <v>94</v>
      </c>
      <c r="AB568">
        <v>5</v>
      </c>
      <c r="AC568">
        <v>748716.54</v>
      </c>
      <c r="AD568">
        <v>8930453.2300000004</v>
      </c>
      <c r="AE568">
        <v>189.56</v>
      </c>
      <c r="AF568">
        <v>748716.54</v>
      </c>
      <c r="AG568">
        <v>8930453.2300000004</v>
      </c>
      <c r="AH568">
        <v>179.4</v>
      </c>
      <c r="AI568">
        <v>10.16</v>
      </c>
      <c r="AJ568">
        <v>0.6</v>
      </c>
      <c r="AK568">
        <v>3.37</v>
      </c>
      <c r="AL568">
        <v>2.93</v>
      </c>
      <c r="AM568">
        <v>0</v>
      </c>
      <c r="AN568">
        <v>0</v>
      </c>
      <c r="AO568">
        <v>358</v>
      </c>
      <c r="AP568">
        <v>3</v>
      </c>
      <c r="AQ568">
        <v>0.24</v>
      </c>
      <c r="AR568">
        <v>0.04</v>
      </c>
      <c r="AS568">
        <v>0.03</v>
      </c>
      <c r="AT568">
        <v>5.7</v>
      </c>
      <c r="AU568">
        <v>2.31</v>
      </c>
      <c r="AV568">
        <v>0.11</v>
      </c>
      <c r="AW568">
        <v>0.77</v>
      </c>
      <c r="AX568">
        <v>3.33</v>
      </c>
      <c r="AY568">
        <v>3.3</v>
      </c>
      <c r="AZ568">
        <v>99.882000000000005</v>
      </c>
      <c r="BA568">
        <v>0</v>
      </c>
      <c r="BB568">
        <v>0</v>
      </c>
      <c r="BC568">
        <v>0</v>
      </c>
      <c r="BD568">
        <v>0</v>
      </c>
    </row>
    <row r="569" spans="1:56" x14ac:dyDescent="0.25">
      <c r="A569" s="23">
        <v>46304</v>
      </c>
      <c r="B569">
        <v>568</v>
      </c>
      <c r="C569" t="s">
        <v>82</v>
      </c>
      <c r="D569" t="s">
        <v>92</v>
      </c>
      <c r="E569">
        <v>0</v>
      </c>
      <c r="F569">
        <v>180</v>
      </c>
      <c r="G569">
        <v>0</v>
      </c>
      <c r="H569" t="s">
        <v>84</v>
      </c>
      <c r="J569" t="s">
        <v>70</v>
      </c>
      <c r="K569" t="s">
        <v>79</v>
      </c>
      <c r="L569" t="s">
        <v>71</v>
      </c>
      <c r="M569" t="s">
        <v>87</v>
      </c>
      <c r="O569" t="s">
        <v>88</v>
      </c>
      <c r="P569" t="s">
        <v>27</v>
      </c>
      <c r="Q569" t="s">
        <v>73</v>
      </c>
      <c r="R569" t="s">
        <v>76</v>
      </c>
      <c r="S569" t="s">
        <v>74</v>
      </c>
      <c r="T569" t="s">
        <v>75</v>
      </c>
      <c r="X569" t="s">
        <v>77</v>
      </c>
      <c r="Z569" t="s">
        <v>72</v>
      </c>
      <c r="AA569" t="s">
        <v>94</v>
      </c>
      <c r="AB569">
        <v>5</v>
      </c>
      <c r="AC569">
        <v>748717.85</v>
      </c>
      <c r="AD569">
        <v>8930456.0500000007</v>
      </c>
      <c r="AE569">
        <v>189.65</v>
      </c>
      <c r="AF569">
        <v>748717.85</v>
      </c>
      <c r="AG569">
        <v>8930456.0500000007</v>
      </c>
      <c r="AH569">
        <v>179.4</v>
      </c>
      <c r="AI569">
        <v>10.25</v>
      </c>
      <c r="AJ569">
        <v>0.6</v>
      </c>
      <c r="AK569">
        <v>3.37</v>
      </c>
      <c r="AL569">
        <v>2.93</v>
      </c>
      <c r="AM569">
        <v>0</v>
      </c>
      <c r="AN569">
        <v>0</v>
      </c>
      <c r="AO569">
        <v>358</v>
      </c>
      <c r="AP569">
        <v>2.98</v>
      </c>
      <c r="AQ569">
        <v>0.21</v>
      </c>
      <c r="AR569">
        <v>0.03</v>
      </c>
      <c r="AS569">
        <v>0.03</v>
      </c>
      <c r="AT569">
        <v>4.92</v>
      </c>
      <c r="AU569">
        <v>1.97</v>
      </c>
      <c r="AV569">
        <v>0.11</v>
      </c>
      <c r="AW569">
        <v>0.63</v>
      </c>
      <c r="AX569">
        <v>2.77</v>
      </c>
      <c r="AY569">
        <v>3.3</v>
      </c>
      <c r="AZ569">
        <v>101.19199999999999</v>
      </c>
      <c r="BA569">
        <v>0</v>
      </c>
      <c r="BB569">
        <v>0</v>
      </c>
      <c r="BC569">
        <v>0</v>
      </c>
      <c r="BD569">
        <v>0</v>
      </c>
    </row>
    <row r="570" spans="1:56" x14ac:dyDescent="0.25">
      <c r="A570" s="23">
        <v>46304</v>
      </c>
      <c r="B570">
        <v>569</v>
      </c>
      <c r="C570" t="s">
        <v>82</v>
      </c>
      <c r="D570" t="s">
        <v>92</v>
      </c>
      <c r="E570">
        <v>0</v>
      </c>
      <c r="F570">
        <v>180</v>
      </c>
      <c r="G570">
        <v>0</v>
      </c>
      <c r="H570" t="s">
        <v>84</v>
      </c>
      <c r="J570" t="s">
        <v>70</v>
      </c>
      <c r="K570" t="s">
        <v>79</v>
      </c>
      <c r="L570" t="s">
        <v>71</v>
      </c>
      <c r="M570" t="s">
        <v>81</v>
      </c>
      <c r="O570" t="s">
        <v>88</v>
      </c>
      <c r="P570" t="s">
        <v>27</v>
      </c>
      <c r="Q570" t="s">
        <v>73</v>
      </c>
      <c r="R570" t="s">
        <v>76</v>
      </c>
      <c r="S570" t="s">
        <v>74</v>
      </c>
      <c r="T570" t="s">
        <v>75</v>
      </c>
      <c r="X570" t="s">
        <v>77</v>
      </c>
      <c r="Z570" t="s">
        <v>72</v>
      </c>
      <c r="AA570" t="s">
        <v>94</v>
      </c>
      <c r="AB570">
        <v>5</v>
      </c>
      <c r="AC570">
        <v>748718.79</v>
      </c>
      <c r="AD570">
        <v>8930459</v>
      </c>
      <c r="AE570">
        <v>189.71</v>
      </c>
      <c r="AF570">
        <v>748718.79</v>
      </c>
      <c r="AG570">
        <v>8930459</v>
      </c>
      <c r="AH570">
        <v>179.4</v>
      </c>
      <c r="AI570">
        <v>10.31</v>
      </c>
      <c r="AJ570">
        <v>0.6</v>
      </c>
      <c r="AK570">
        <v>3.37</v>
      </c>
      <c r="AL570">
        <v>2.93</v>
      </c>
      <c r="AM570">
        <v>0</v>
      </c>
      <c r="AN570">
        <v>0</v>
      </c>
      <c r="AO570">
        <v>358</v>
      </c>
      <c r="AP570">
        <v>2.95</v>
      </c>
      <c r="AQ570">
        <v>0.15</v>
      </c>
      <c r="AR570">
        <v>0.02</v>
      </c>
      <c r="AS570">
        <v>0.02</v>
      </c>
      <c r="AT570">
        <v>3.83</v>
      </c>
      <c r="AU570">
        <v>1.53</v>
      </c>
      <c r="AV570">
        <v>0.08</v>
      </c>
      <c r="AW570">
        <v>0.48</v>
      </c>
      <c r="AX570">
        <v>2.31</v>
      </c>
      <c r="AY570">
        <v>3.3</v>
      </c>
      <c r="AZ570">
        <v>102.066</v>
      </c>
      <c r="BA570">
        <v>0</v>
      </c>
      <c r="BB570">
        <v>0</v>
      </c>
      <c r="BC570">
        <v>0</v>
      </c>
      <c r="BD570">
        <v>0</v>
      </c>
    </row>
    <row r="571" spans="1:56" x14ac:dyDescent="0.25">
      <c r="A571" s="23">
        <v>46304</v>
      </c>
      <c r="B571">
        <v>570</v>
      </c>
      <c r="C571" t="s">
        <v>82</v>
      </c>
      <c r="D571" t="s">
        <v>92</v>
      </c>
      <c r="E571">
        <v>0</v>
      </c>
      <c r="F571">
        <v>180</v>
      </c>
      <c r="G571">
        <v>1</v>
      </c>
      <c r="H571" t="s">
        <v>84</v>
      </c>
      <c r="J571" t="s">
        <v>85</v>
      </c>
      <c r="K571" t="s">
        <v>79</v>
      </c>
      <c r="L571" t="s">
        <v>71</v>
      </c>
      <c r="M571" t="s">
        <v>81</v>
      </c>
      <c r="O571" t="s">
        <v>88</v>
      </c>
      <c r="P571" t="s">
        <v>27</v>
      </c>
      <c r="Q571" t="s">
        <v>73</v>
      </c>
      <c r="R571" t="s">
        <v>76</v>
      </c>
      <c r="S571" t="s">
        <v>74</v>
      </c>
      <c r="T571" t="s">
        <v>75</v>
      </c>
      <c r="X571" t="s">
        <v>77</v>
      </c>
      <c r="Z571" t="s">
        <v>72</v>
      </c>
      <c r="AA571" t="s">
        <v>94</v>
      </c>
      <c r="AB571">
        <v>5</v>
      </c>
      <c r="AC571">
        <v>748719.35</v>
      </c>
      <c r="AD571">
        <v>8930462.3100000005</v>
      </c>
      <c r="AE571">
        <v>189.74</v>
      </c>
      <c r="AF571">
        <v>748719.35</v>
      </c>
      <c r="AG571">
        <v>8930462.3100000005</v>
      </c>
      <c r="AH571">
        <v>179.4</v>
      </c>
      <c r="AI571">
        <v>10.34</v>
      </c>
      <c r="AJ571">
        <v>0.6</v>
      </c>
      <c r="AK571">
        <v>3.37</v>
      </c>
      <c r="AL571">
        <v>2.93</v>
      </c>
      <c r="AM571">
        <v>0</v>
      </c>
      <c r="AN571">
        <v>0</v>
      </c>
      <c r="AO571">
        <v>358</v>
      </c>
      <c r="AP571">
        <v>3.15</v>
      </c>
      <c r="AQ571">
        <v>0.4</v>
      </c>
      <c r="AR571">
        <v>7.0000000000000007E-2</v>
      </c>
      <c r="AS571">
        <v>0.05</v>
      </c>
      <c r="AT571">
        <v>10.43</v>
      </c>
      <c r="AU571">
        <v>4.3</v>
      </c>
      <c r="AV571">
        <v>0.21</v>
      </c>
      <c r="AW571">
        <v>1.32</v>
      </c>
      <c r="AX571">
        <v>6.83</v>
      </c>
      <c r="AY571">
        <v>3.3</v>
      </c>
      <c r="AZ571">
        <v>102.502</v>
      </c>
      <c r="BA571">
        <v>0</v>
      </c>
      <c r="BB571">
        <v>0</v>
      </c>
      <c r="BC571">
        <v>0</v>
      </c>
      <c r="BD571">
        <v>0</v>
      </c>
    </row>
    <row r="572" spans="1:56" x14ac:dyDescent="0.25">
      <c r="A572" s="23">
        <v>46304</v>
      </c>
      <c r="B572">
        <v>571</v>
      </c>
      <c r="C572" t="s">
        <v>82</v>
      </c>
      <c r="D572" t="s">
        <v>92</v>
      </c>
      <c r="E572">
        <v>2</v>
      </c>
      <c r="F572">
        <v>180</v>
      </c>
      <c r="G572">
        <v>1</v>
      </c>
      <c r="H572" t="s">
        <v>84</v>
      </c>
      <c r="I572" t="s">
        <v>91</v>
      </c>
      <c r="J572" t="s">
        <v>85</v>
      </c>
      <c r="K572" t="s">
        <v>79</v>
      </c>
      <c r="L572" t="s">
        <v>71</v>
      </c>
      <c r="M572" t="s">
        <v>81</v>
      </c>
      <c r="O572" t="s">
        <v>88</v>
      </c>
      <c r="P572" t="s">
        <v>27</v>
      </c>
      <c r="Q572" t="s">
        <v>73</v>
      </c>
      <c r="R572" t="s">
        <v>76</v>
      </c>
      <c r="S572" t="s">
        <v>74</v>
      </c>
      <c r="T572" t="s">
        <v>75</v>
      </c>
      <c r="X572" t="s">
        <v>77</v>
      </c>
      <c r="Z572" t="s">
        <v>72</v>
      </c>
      <c r="AA572" t="s">
        <v>94</v>
      </c>
      <c r="AB572">
        <v>5</v>
      </c>
      <c r="AC572">
        <v>748719.71</v>
      </c>
      <c r="AD572">
        <v>8930465.6600000001</v>
      </c>
      <c r="AE572">
        <v>189.67</v>
      </c>
      <c r="AF572">
        <v>748719.71</v>
      </c>
      <c r="AG572">
        <v>8930465.6600000001</v>
      </c>
      <c r="AH572">
        <v>179.4</v>
      </c>
      <c r="AI572">
        <v>10.27</v>
      </c>
      <c r="AJ572">
        <v>0.6</v>
      </c>
      <c r="AK572">
        <v>3.37</v>
      </c>
      <c r="AL572">
        <v>2.93</v>
      </c>
      <c r="AM572">
        <v>0</v>
      </c>
      <c r="AN572">
        <v>0</v>
      </c>
      <c r="AO572">
        <v>358</v>
      </c>
      <c r="AP572">
        <v>3.26</v>
      </c>
      <c r="AQ572">
        <v>0.53</v>
      </c>
      <c r="AR572">
        <v>0.09</v>
      </c>
      <c r="AS572">
        <v>7.0000000000000007E-2</v>
      </c>
      <c r="AT572">
        <v>13.6</v>
      </c>
      <c r="AU572">
        <v>5.61</v>
      </c>
      <c r="AV572">
        <v>0.28000000000000003</v>
      </c>
      <c r="AW572">
        <v>1.73</v>
      </c>
      <c r="AX572">
        <v>8.73</v>
      </c>
      <c r="AY572">
        <v>3.3</v>
      </c>
      <c r="AZ572">
        <v>101.483</v>
      </c>
      <c r="BA572">
        <v>0</v>
      </c>
      <c r="BB572">
        <v>0</v>
      </c>
      <c r="BC572">
        <v>0</v>
      </c>
      <c r="BD572">
        <v>0</v>
      </c>
    </row>
    <row r="573" spans="1:56" x14ac:dyDescent="0.25">
      <c r="A573" s="23">
        <v>46304</v>
      </c>
      <c r="B573">
        <v>572</v>
      </c>
      <c r="C573" t="s">
        <v>82</v>
      </c>
      <c r="D573" t="s">
        <v>92</v>
      </c>
      <c r="E573">
        <v>2</v>
      </c>
      <c r="F573">
        <v>180</v>
      </c>
      <c r="G573">
        <v>1</v>
      </c>
      <c r="H573" t="s">
        <v>84</v>
      </c>
      <c r="I573" t="s">
        <v>91</v>
      </c>
      <c r="J573" t="s">
        <v>85</v>
      </c>
      <c r="K573" t="s">
        <v>79</v>
      </c>
      <c r="L573" t="s">
        <v>71</v>
      </c>
      <c r="M573" t="s">
        <v>81</v>
      </c>
      <c r="O573" t="s">
        <v>88</v>
      </c>
      <c r="P573" t="s">
        <v>27</v>
      </c>
      <c r="Q573" t="s">
        <v>73</v>
      </c>
      <c r="R573" t="s">
        <v>76</v>
      </c>
      <c r="S573" t="s">
        <v>74</v>
      </c>
      <c r="T573" t="s">
        <v>75</v>
      </c>
      <c r="X573" t="s">
        <v>77</v>
      </c>
      <c r="Z573" t="s">
        <v>72</v>
      </c>
      <c r="AA573" t="s">
        <v>94</v>
      </c>
      <c r="AB573">
        <v>5</v>
      </c>
      <c r="AC573">
        <v>748720.66</v>
      </c>
      <c r="AD573">
        <v>8930468.8900000006</v>
      </c>
      <c r="AE573">
        <v>189.72</v>
      </c>
      <c r="AF573">
        <v>748720.66</v>
      </c>
      <c r="AG573">
        <v>8930468.8900000006</v>
      </c>
      <c r="AH573">
        <v>179.4</v>
      </c>
      <c r="AI573">
        <v>10.32</v>
      </c>
      <c r="AJ573">
        <v>0.6</v>
      </c>
      <c r="AK573">
        <v>3.37</v>
      </c>
      <c r="AL573">
        <v>2.93</v>
      </c>
      <c r="AM573">
        <v>0</v>
      </c>
      <c r="AN573">
        <v>0</v>
      </c>
      <c r="AO573">
        <v>358</v>
      </c>
      <c r="AP573">
        <v>3.33</v>
      </c>
      <c r="AQ573">
        <v>0.6</v>
      </c>
      <c r="AR573">
        <v>0.1</v>
      </c>
      <c r="AS573">
        <v>0.08</v>
      </c>
      <c r="AT573">
        <v>15.06</v>
      </c>
      <c r="AU573">
        <v>6.1</v>
      </c>
      <c r="AV573">
        <v>0.31</v>
      </c>
      <c r="AW573">
        <v>1.91</v>
      </c>
      <c r="AX573">
        <v>8.86</v>
      </c>
      <c r="AY573">
        <v>3.3</v>
      </c>
      <c r="AZ573">
        <v>102.211</v>
      </c>
      <c r="BA573">
        <v>0</v>
      </c>
      <c r="BB573">
        <v>0</v>
      </c>
      <c r="BC573">
        <v>0</v>
      </c>
      <c r="BD573">
        <v>0</v>
      </c>
    </row>
    <row r="574" spans="1:56" x14ac:dyDescent="0.25">
      <c r="A574" s="23">
        <v>46304</v>
      </c>
      <c r="B574">
        <v>573</v>
      </c>
      <c r="C574" t="s">
        <v>82</v>
      </c>
      <c r="D574" t="s">
        <v>92</v>
      </c>
      <c r="E574">
        <v>2</v>
      </c>
      <c r="F574">
        <v>180</v>
      </c>
      <c r="G574">
        <v>1</v>
      </c>
      <c r="H574" t="s">
        <v>84</v>
      </c>
      <c r="I574" t="s">
        <v>91</v>
      </c>
      <c r="J574" t="s">
        <v>97</v>
      </c>
      <c r="K574" t="s">
        <v>79</v>
      </c>
      <c r="L574" t="s">
        <v>71</v>
      </c>
      <c r="M574" t="s">
        <v>81</v>
      </c>
      <c r="O574" t="s">
        <v>88</v>
      </c>
      <c r="P574" t="s">
        <v>27</v>
      </c>
      <c r="Q574" t="s">
        <v>73</v>
      </c>
      <c r="R574" t="s">
        <v>76</v>
      </c>
      <c r="S574" t="s">
        <v>74</v>
      </c>
      <c r="T574" t="s">
        <v>75</v>
      </c>
      <c r="X574" t="s">
        <v>77</v>
      </c>
      <c r="Z574" t="s">
        <v>72</v>
      </c>
      <c r="AA574" t="s">
        <v>94</v>
      </c>
      <c r="AB574">
        <v>5</v>
      </c>
      <c r="AC574">
        <v>748721.67</v>
      </c>
      <c r="AD574">
        <v>8930472.1099999994</v>
      </c>
      <c r="AE574">
        <v>189.87</v>
      </c>
      <c r="AF574">
        <v>748721.67</v>
      </c>
      <c r="AG574">
        <v>8930472.1099999994</v>
      </c>
      <c r="AH574">
        <v>179.4</v>
      </c>
      <c r="AI574">
        <v>10.47</v>
      </c>
      <c r="AJ574">
        <v>0.6</v>
      </c>
      <c r="AK574">
        <v>3.37</v>
      </c>
      <c r="AL574">
        <v>2.93</v>
      </c>
      <c r="AM574">
        <v>0</v>
      </c>
      <c r="AN574">
        <v>0</v>
      </c>
      <c r="AO574">
        <v>358</v>
      </c>
      <c r="AP574">
        <v>3.36</v>
      </c>
      <c r="AQ574">
        <v>0.72</v>
      </c>
      <c r="AR574">
        <v>0.11</v>
      </c>
      <c r="AS574">
        <v>0.08</v>
      </c>
      <c r="AT574">
        <v>16.670000000000002</v>
      </c>
      <c r="AU574">
        <v>6.22</v>
      </c>
      <c r="AV574">
        <v>0.36</v>
      </c>
      <c r="AW574">
        <v>2.02</v>
      </c>
      <c r="AX574">
        <v>7.62</v>
      </c>
      <c r="AY574">
        <v>3.3</v>
      </c>
      <c r="AZ574">
        <v>104.395</v>
      </c>
      <c r="BA574">
        <v>0</v>
      </c>
      <c r="BB574">
        <v>0</v>
      </c>
      <c r="BC574">
        <v>0</v>
      </c>
      <c r="BD574">
        <v>0</v>
      </c>
    </row>
    <row r="575" spans="1:56" x14ac:dyDescent="0.25">
      <c r="A575" s="23">
        <v>46304</v>
      </c>
      <c r="B575">
        <v>574</v>
      </c>
      <c r="C575" t="s">
        <v>82</v>
      </c>
      <c r="D575" t="s">
        <v>92</v>
      </c>
      <c r="E575">
        <v>2</v>
      </c>
      <c r="F575">
        <v>180</v>
      </c>
      <c r="G575">
        <v>1</v>
      </c>
      <c r="H575" t="s">
        <v>84</v>
      </c>
      <c r="I575" t="s">
        <v>91</v>
      </c>
      <c r="J575" t="s">
        <v>97</v>
      </c>
      <c r="K575" t="s">
        <v>79</v>
      </c>
      <c r="L575" t="s">
        <v>71</v>
      </c>
      <c r="M575" t="s">
        <v>81</v>
      </c>
      <c r="O575" t="s">
        <v>88</v>
      </c>
      <c r="P575" t="s">
        <v>27</v>
      </c>
      <c r="Q575" t="s">
        <v>73</v>
      </c>
      <c r="R575" t="s">
        <v>76</v>
      </c>
      <c r="S575" t="s">
        <v>74</v>
      </c>
      <c r="T575" t="s">
        <v>75</v>
      </c>
      <c r="X575" t="s">
        <v>77</v>
      </c>
      <c r="Z575" t="s">
        <v>72</v>
      </c>
      <c r="AA575" t="s">
        <v>94</v>
      </c>
      <c r="AB575">
        <v>5</v>
      </c>
      <c r="AC575">
        <v>748722.96</v>
      </c>
      <c r="AD575">
        <v>8930475.2100000009</v>
      </c>
      <c r="AE575">
        <v>189.81</v>
      </c>
      <c r="AF575">
        <v>748722.96</v>
      </c>
      <c r="AG575">
        <v>8930475.2100000009</v>
      </c>
      <c r="AH575">
        <v>179.4</v>
      </c>
      <c r="AI575">
        <v>10.41</v>
      </c>
      <c r="AJ575">
        <v>0.6</v>
      </c>
      <c r="AK575">
        <v>3.37</v>
      </c>
      <c r="AL575">
        <v>2.93</v>
      </c>
      <c r="AM575">
        <v>0</v>
      </c>
      <c r="AN575">
        <v>0</v>
      </c>
      <c r="AO575">
        <v>358</v>
      </c>
      <c r="AP575">
        <v>3.36</v>
      </c>
      <c r="AQ575">
        <v>0.73</v>
      </c>
      <c r="AR575">
        <v>0.11</v>
      </c>
      <c r="AS575">
        <v>0.08</v>
      </c>
      <c r="AT575">
        <v>16.73</v>
      </c>
      <c r="AU575">
        <v>6.24</v>
      </c>
      <c r="AV575">
        <v>0.36</v>
      </c>
      <c r="AW575">
        <v>2.0299999999999998</v>
      </c>
      <c r="AX575">
        <v>7.53</v>
      </c>
      <c r="AY575">
        <v>3.3</v>
      </c>
      <c r="AZ575">
        <v>103.52200000000001</v>
      </c>
      <c r="BA575">
        <v>0</v>
      </c>
      <c r="BB575">
        <v>0</v>
      </c>
      <c r="BC575">
        <v>0</v>
      </c>
      <c r="BD575">
        <v>0</v>
      </c>
    </row>
    <row r="576" spans="1:56" x14ac:dyDescent="0.25">
      <c r="A576" s="23">
        <v>46304</v>
      </c>
      <c r="B576">
        <v>575</v>
      </c>
      <c r="C576" t="s">
        <v>82</v>
      </c>
      <c r="D576" t="s">
        <v>92</v>
      </c>
      <c r="E576">
        <v>2</v>
      </c>
      <c r="F576">
        <v>180</v>
      </c>
      <c r="G576">
        <v>1</v>
      </c>
      <c r="H576" t="s">
        <v>84</v>
      </c>
      <c r="I576" t="s">
        <v>91</v>
      </c>
      <c r="J576" t="s">
        <v>97</v>
      </c>
      <c r="K576" t="s">
        <v>86</v>
      </c>
      <c r="L576" t="s">
        <v>71</v>
      </c>
      <c r="M576" t="s">
        <v>81</v>
      </c>
      <c r="O576" t="s">
        <v>88</v>
      </c>
      <c r="P576" t="s">
        <v>27</v>
      </c>
      <c r="Q576" t="s">
        <v>73</v>
      </c>
      <c r="R576" t="s">
        <v>76</v>
      </c>
      <c r="S576" t="s">
        <v>74</v>
      </c>
      <c r="T576" t="s">
        <v>75</v>
      </c>
      <c r="X576" t="s">
        <v>77</v>
      </c>
      <c r="Z576" t="s">
        <v>72</v>
      </c>
      <c r="AA576" t="s">
        <v>94</v>
      </c>
      <c r="AB576">
        <v>5</v>
      </c>
      <c r="AC576">
        <v>748725.15</v>
      </c>
      <c r="AD576">
        <v>8930477.7400000002</v>
      </c>
      <c r="AE576">
        <v>189.71</v>
      </c>
      <c r="AF576">
        <v>748725.15</v>
      </c>
      <c r="AG576">
        <v>8930477.7400000002</v>
      </c>
      <c r="AH576">
        <v>179.4</v>
      </c>
      <c r="AI576">
        <v>10.31</v>
      </c>
      <c r="AJ576">
        <v>0.6</v>
      </c>
      <c r="AK576">
        <v>3.37</v>
      </c>
      <c r="AL576">
        <v>2.93</v>
      </c>
      <c r="AM576">
        <v>0</v>
      </c>
      <c r="AN576">
        <v>0</v>
      </c>
      <c r="AO576">
        <v>358</v>
      </c>
      <c r="AP576">
        <v>3.36</v>
      </c>
      <c r="AQ576">
        <v>0.73</v>
      </c>
      <c r="AR576">
        <v>0.11</v>
      </c>
      <c r="AS576">
        <v>0.08</v>
      </c>
      <c r="AT576">
        <v>16.73</v>
      </c>
      <c r="AU576">
        <v>6.24</v>
      </c>
      <c r="AV576">
        <v>0.36</v>
      </c>
      <c r="AW576">
        <v>2.0299999999999998</v>
      </c>
      <c r="AX576">
        <v>7.53</v>
      </c>
      <c r="AY576">
        <v>3.3</v>
      </c>
      <c r="AZ576">
        <v>102.066</v>
      </c>
      <c r="BA576">
        <v>0</v>
      </c>
      <c r="BB576">
        <v>0</v>
      </c>
      <c r="BC576">
        <v>0</v>
      </c>
      <c r="BD576">
        <v>0</v>
      </c>
    </row>
    <row r="577" spans="1:56" x14ac:dyDescent="0.25">
      <c r="A577" s="23">
        <v>46304</v>
      </c>
      <c r="B577">
        <v>576</v>
      </c>
      <c r="C577" t="s">
        <v>82</v>
      </c>
      <c r="D577" t="s">
        <v>92</v>
      </c>
      <c r="E577">
        <v>2</v>
      </c>
      <c r="F577">
        <v>180</v>
      </c>
      <c r="G577">
        <v>1</v>
      </c>
      <c r="H577" t="s">
        <v>84</v>
      </c>
      <c r="I577" t="s">
        <v>91</v>
      </c>
      <c r="J577" t="s">
        <v>97</v>
      </c>
      <c r="K577" t="s">
        <v>79</v>
      </c>
      <c r="L577" t="s">
        <v>71</v>
      </c>
      <c r="M577" t="s">
        <v>87</v>
      </c>
      <c r="O577" t="s">
        <v>88</v>
      </c>
      <c r="P577" t="s">
        <v>27</v>
      </c>
      <c r="Q577" t="s">
        <v>73</v>
      </c>
      <c r="R577" t="s">
        <v>76</v>
      </c>
      <c r="S577" t="s">
        <v>74</v>
      </c>
      <c r="T577" t="s">
        <v>75</v>
      </c>
      <c r="X577" t="s">
        <v>77</v>
      </c>
      <c r="Z577" t="s">
        <v>72</v>
      </c>
      <c r="AA577" t="s">
        <v>94</v>
      </c>
      <c r="AB577">
        <v>5</v>
      </c>
      <c r="AC577">
        <v>748727.81</v>
      </c>
      <c r="AD577">
        <v>8930479.8000000007</v>
      </c>
      <c r="AE577">
        <v>189.62</v>
      </c>
      <c r="AF577">
        <v>748727.81</v>
      </c>
      <c r="AG577">
        <v>8930479.8000000007</v>
      </c>
      <c r="AH577">
        <v>179.8</v>
      </c>
      <c r="AI577">
        <v>9.82</v>
      </c>
      <c r="AJ577">
        <v>0.6</v>
      </c>
      <c r="AK577">
        <v>3.37</v>
      </c>
      <c r="AL577">
        <v>2.93</v>
      </c>
      <c r="AM577">
        <v>0</v>
      </c>
      <c r="AN577">
        <v>0</v>
      </c>
      <c r="AO577">
        <v>358</v>
      </c>
      <c r="AP577">
        <v>3.36</v>
      </c>
      <c r="AQ577">
        <v>0.72</v>
      </c>
      <c r="AR577">
        <v>0.11</v>
      </c>
      <c r="AS577">
        <v>0.08</v>
      </c>
      <c r="AT577">
        <v>18.41</v>
      </c>
      <c r="AU577">
        <v>6.06</v>
      </c>
      <c r="AV577">
        <v>0.36</v>
      </c>
      <c r="AW577">
        <v>1.98</v>
      </c>
      <c r="AX577">
        <v>7.75</v>
      </c>
      <c r="AY577">
        <v>3.3</v>
      </c>
      <c r="AZ577">
        <v>94.930999999999997</v>
      </c>
      <c r="BA577">
        <v>0</v>
      </c>
      <c r="BB577">
        <v>0</v>
      </c>
      <c r="BC577">
        <v>0</v>
      </c>
      <c r="BD577">
        <v>0</v>
      </c>
    </row>
    <row r="578" spans="1:56" x14ac:dyDescent="0.25">
      <c r="A578" s="23">
        <v>46304</v>
      </c>
      <c r="B578">
        <v>577</v>
      </c>
      <c r="C578" t="s">
        <v>82</v>
      </c>
      <c r="D578" t="s">
        <v>92</v>
      </c>
      <c r="E578">
        <v>2</v>
      </c>
      <c r="F578">
        <v>180</v>
      </c>
      <c r="G578">
        <v>1</v>
      </c>
      <c r="H578" t="s">
        <v>84</v>
      </c>
      <c r="I578" t="s">
        <v>91</v>
      </c>
      <c r="J578" t="s">
        <v>85</v>
      </c>
      <c r="K578" t="s">
        <v>86</v>
      </c>
      <c r="L578" t="s">
        <v>71</v>
      </c>
      <c r="M578" t="s">
        <v>87</v>
      </c>
      <c r="O578" t="s">
        <v>88</v>
      </c>
      <c r="P578" t="s">
        <v>27</v>
      </c>
      <c r="Q578" t="s">
        <v>73</v>
      </c>
      <c r="R578" t="s">
        <v>76</v>
      </c>
      <c r="S578" t="s">
        <v>74</v>
      </c>
      <c r="T578" t="s">
        <v>75</v>
      </c>
      <c r="X578" t="s">
        <v>77</v>
      </c>
      <c r="Z578" t="s">
        <v>72</v>
      </c>
      <c r="AA578" t="s">
        <v>94</v>
      </c>
      <c r="AB578">
        <v>5</v>
      </c>
      <c r="AC578">
        <v>748730.49</v>
      </c>
      <c r="AD578">
        <v>8930481.8499999996</v>
      </c>
      <c r="AE578">
        <v>189.58</v>
      </c>
      <c r="AF578">
        <v>748730.49</v>
      </c>
      <c r="AG578">
        <v>8930481.8499999996</v>
      </c>
      <c r="AH578">
        <v>180.6</v>
      </c>
      <c r="AI578">
        <v>8.98</v>
      </c>
      <c r="AJ578">
        <v>0.6</v>
      </c>
      <c r="AK578">
        <v>3.37</v>
      </c>
      <c r="AL578">
        <v>2.93</v>
      </c>
      <c r="AM578">
        <v>0</v>
      </c>
      <c r="AN578">
        <v>0</v>
      </c>
      <c r="AO578">
        <v>358</v>
      </c>
      <c r="AP578">
        <v>3.35</v>
      </c>
      <c r="AQ578">
        <v>0.68</v>
      </c>
      <c r="AR578">
        <v>0.09</v>
      </c>
      <c r="AS578">
        <v>0.08</v>
      </c>
      <c r="AT578">
        <v>20.329999999999998</v>
      </c>
      <c r="AU578">
        <v>5.69</v>
      </c>
      <c r="AV578">
        <v>0.37</v>
      </c>
      <c r="AW578">
        <v>1.84</v>
      </c>
      <c r="AX578">
        <v>7.91</v>
      </c>
      <c r="AY578">
        <v>3.3</v>
      </c>
      <c r="AZ578">
        <v>82.700999999999993</v>
      </c>
      <c r="BA578">
        <v>0</v>
      </c>
      <c r="BB578">
        <v>0</v>
      </c>
      <c r="BC578">
        <v>0</v>
      </c>
      <c r="BD578">
        <v>0</v>
      </c>
    </row>
    <row r="579" spans="1:56" x14ac:dyDescent="0.25">
      <c r="A579" s="23">
        <v>46304</v>
      </c>
      <c r="B579">
        <v>578</v>
      </c>
      <c r="C579" t="s">
        <v>82</v>
      </c>
      <c r="D579" t="s">
        <v>92</v>
      </c>
      <c r="E579">
        <v>2</v>
      </c>
      <c r="F579">
        <v>180</v>
      </c>
      <c r="G579">
        <v>1</v>
      </c>
      <c r="H579" t="s">
        <v>84</v>
      </c>
      <c r="I579" t="s">
        <v>91</v>
      </c>
      <c r="J579" t="s">
        <v>85</v>
      </c>
      <c r="K579" t="s">
        <v>86</v>
      </c>
      <c r="L579" t="s">
        <v>71</v>
      </c>
      <c r="M579" t="s">
        <v>87</v>
      </c>
      <c r="O579" t="s">
        <v>88</v>
      </c>
      <c r="P579" t="s">
        <v>27</v>
      </c>
      <c r="Q579" t="s">
        <v>73</v>
      </c>
      <c r="R579" t="s">
        <v>76</v>
      </c>
      <c r="S579" t="s">
        <v>74</v>
      </c>
      <c r="T579" t="s">
        <v>75</v>
      </c>
      <c r="X579" t="s">
        <v>77</v>
      </c>
      <c r="Z579" t="s">
        <v>72</v>
      </c>
      <c r="AA579" t="s">
        <v>94</v>
      </c>
      <c r="AB579">
        <v>5</v>
      </c>
      <c r="AC579">
        <v>748733.17</v>
      </c>
      <c r="AD579">
        <v>8930483.8900000006</v>
      </c>
      <c r="AE579">
        <v>189.64</v>
      </c>
      <c r="AF579">
        <v>748733.17</v>
      </c>
      <c r="AG579">
        <v>8930483.8900000006</v>
      </c>
      <c r="AH579">
        <v>180.57</v>
      </c>
      <c r="AI579">
        <v>9.07</v>
      </c>
      <c r="AJ579">
        <v>0.6</v>
      </c>
      <c r="AK579">
        <v>3.37</v>
      </c>
      <c r="AL579">
        <v>2.93</v>
      </c>
      <c r="AM579">
        <v>0</v>
      </c>
      <c r="AN579">
        <v>0</v>
      </c>
      <c r="AO579">
        <v>358</v>
      </c>
      <c r="AP579">
        <v>3.35</v>
      </c>
      <c r="AQ579">
        <v>0.66</v>
      </c>
      <c r="AR579">
        <v>0.09</v>
      </c>
      <c r="AS579">
        <v>0.08</v>
      </c>
      <c r="AT579">
        <v>20.29</v>
      </c>
      <c r="AU579">
        <v>5.6</v>
      </c>
      <c r="AV579">
        <v>0.37</v>
      </c>
      <c r="AW579">
        <v>1.77</v>
      </c>
      <c r="AX579">
        <v>7.9</v>
      </c>
      <c r="AY579">
        <v>3.3</v>
      </c>
      <c r="AZ579">
        <v>84.010999999999996</v>
      </c>
      <c r="BA579">
        <v>0</v>
      </c>
      <c r="BB579">
        <v>0</v>
      </c>
      <c r="BC579">
        <v>0</v>
      </c>
      <c r="BD579">
        <v>0</v>
      </c>
    </row>
    <row r="580" spans="1:56" x14ac:dyDescent="0.25">
      <c r="A580" s="23">
        <v>46304</v>
      </c>
      <c r="B580">
        <v>579</v>
      </c>
      <c r="C580" t="s">
        <v>82</v>
      </c>
      <c r="D580" t="s">
        <v>92</v>
      </c>
      <c r="E580">
        <v>2</v>
      </c>
      <c r="F580">
        <v>180</v>
      </c>
      <c r="G580">
        <v>1</v>
      </c>
      <c r="H580" t="s">
        <v>84</v>
      </c>
      <c r="I580" t="s">
        <v>91</v>
      </c>
      <c r="J580" t="s">
        <v>85</v>
      </c>
      <c r="K580" t="s">
        <v>86</v>
      </c>
      <c r="L580" t="s">
        <v>71</v>
      </c>
      <c r="M580" t="s">
        <v>87</v>
      </c>
      <c r="O580" t="s">
        <v>88</v>
      </c>
      <c r="P580" t="s">
        <v>27</v>
      </c>
      <c r="Q580" t="s">
        <v>73</v>
      </c>
      <c r="R580" t="s">
        <v>76</v>
      </c>
      <c r="S580" t="s">
        <v>74</v>
      </c>
      <c r="T580" t="s">
        <v>75</v>
      </c>
      <c r="X580" t="s">
        <v>77</v>
      </c>
      <c r="Z580" t="s">
        <v>72</v>
      </c>
      <c r="AA580" t="s">
        <v>94</v>
      </c>
      <c r="AB580">
        <v>5</v>
      </c>
      <c r="AC580">
        <v>748735.85</v>
      </c>
      <c r="AD580">
        <v>8930485.9399999995</v>
      </c>
      <c r="AE580">
        <v>189.76</v>
      </c>
      <c r="AF580">
        <v>748735.85</v>
      </c>
      <c r="AG580">
        <v>8930485.9399999995</v>
      </c>
      <c r="AH580">
        <v>180.53</v>
      </c>
      <c r="AI580">
        <v>9.2200000000000006</v>
      </c>
      <c r="AJ580">
        <v>0.6</v>
      </c>
      <c r="AK580">
        <v>3.37</v>
      </c>
      <c r="AL580">
        <v>2.93</v>
      </c>
      <c r="AM580">
        <v>0</v>
      </c>
      <c r="AN580">
        <v>0</v>
      </c>
      <c r="AO580">
        <v>358</v>
      </c>
      <c r="AP580">
        <v>3.35</v>
      </c>
      <c r="AQ580">
        <v>0.66</v>
      </c>
      <c r="AR580">
        <v>0.09</v>
      </c>
      <c r="AS580">
        <v>0.08</v>
      </c>
      <c r="AT580">
        <v>20.29</v>
      </c>
      <c r="AU580">
        <v>5.6</v>
      </c>
      <c r="AV580">
        <v>0.37</v>
      </c>
      <c r="AW580">
        <v>1.77</v>
      </c>
      <c r="AX580">
        <v>7.9</v>
      </c>
      <c r="AY580">
        <v>3.3</v>
      </c>
      <c r="AZ580">
        <v>86.194999999999993</v>
      </c>
      <c r="BA580">
        <v>0</v>
      </c>
      <c r="BB580">
        <v>0</v>
      </c>
      <c r="BC580">
        <v>0</v>
      </c>
      <c r="BD580">
        <v>0</v>
      </c>
    </row>
    <row r="581" spans="1:56" x14ac:dyDescent="0.25">
      <c r="A581" s="23">
        <v>46304</v>
      </c>
      <c r="B581">
        <v>580</v>
      </c>
      <c r="C581" t="s">
        <v>82</v>
      </c>
      <c r="D581" t="s">
        <v>92</v>
      </c>
      <c r="E581">
        <v>2</v>
      </c>
      <c r="F581">
        <v>180</v>
      </c>
      <c r="G581">
        <v>1</v>
      </c>
      <c r="H581" t="s">
        <v>95</v>
      </c>
      <c r="I581" t="s">
        <v>91</v>
      </c>
      <c r="J581" t="s">
        <v>85</v>
      </c>
      <c r="K581" t="s">
        <v>86</v>
      </c>
      <c r="L581" t="s">
        <v>71</v>
      </c>
      <c r="M581" t="s">
        <v>87</v>
      </c>
      <c r="O581" t="s">
        <v>88</v>
      </c>
      <c r="P581" t="s">
        <v>27</v>
      </c>
      <c r="Q581" t="s">
        <v>73</v>
      </c>
      <c r="R581" t="s">
        <v>76</v>
      </c>
      <c r="S581" t="s">
        <v>74</v>
      </c>
      <c r="T581" t="s">
        <v>75</v>
      </c>
      <c r="X581" t="s">
        <v>77</v>
      </c>
      <c r="Z581" t="s">
        <v>72</v>
      </c>
      <c r="AA581" t="s">
        <v>94</v>
      </c>
      <c r="AB581">
        <v>5</v>
      </c>
      <c r="AC581">
        <v>748738.53</v>
      </c>
      <c r="AD581">
        <v>8930487.9800000004</v>
      </c>
      <c r="AE581">
        <v>189.79</v>
      </c>
      <c r="AF581">
        <v>748738.53</v>
      </c>
      <c r="AG581">
        <v>8930487.9800000004</v>
      </c>
      <c r="AH581">
        <v>180.52</v>
      </c>
      <c r="AI581">
        <v>9.27</v>
      </c>
      <c r="AJ581">
        <v>0.6</v>
      </c>
      <c r="AK581">
        <v>3.37</v>
      </c>
      <c r="AL581">
        <v>2.93</v>
      </c>
      <c r="AM581">
        <v>0</v>
      </c>
      <c r="AN581">
        <v>0</v>
      </c>
      <c r="AO581">
        <v>358</v>
      </c>
      <c r="AP581">
        <v>3.36</v>
      </c>
      <c r="AQ581">
        <v>0.67</v>
      </c>
      <c r="AR581">
        <v>0.09</v>
      </c>
      <c r="AS581">
        <v>0.08</v>
      </c>
      <c r="AT581">
        <v>20.440000000000001</v>
      </c>
      <c r="AU581">
        <v>5.62</v>
      </c>
      <c r="AV581">
        <v>0.37</v>
      </c>
      <c r="AW581">
        <v>1.79</v>
      </c>
      <c r="AX581">
        <v>7.85</v>
      </c>
      <c r="AY581">
        <v>3.3</v>
      </c>
      <c r="AZ581">
        <v>86.923000000000002</v>
      </c>
      <c r="BA581">
        <v>0</v>
      </c>
      <c r="BB581">
        <v>0</v>
      </c>
      <c r="BC581">
        <v>0</v>
      </c>
      <c r="BD581">
        <v>0</v>
      </c>
    </row>
    <row r="582" spans="1:56" x14ac:dyDescent="0.25">
      <c r="A582" s="23">
        <v>46304</v>
      </c>
      <c r="B582">
        <v>581</v>
      </c>
      <c r="C582" t="s">
        <v>82</v>
      </c>
      <c r="D582" t="s">
        <v>83</v>
      </c>
      <c r="E582">
        <v>2</v>
      </c>
      <c r="F582">
        <v>180</v>
      </c>
      <c r="G582">
        <v>1</v>
      </c>
      <c r="H582" t="s">
        <v>95</v>
      </c>
      <c r="I582" t="s">
        <v>91</v>
      </c>
      <c r="J582" t="s">
        <v>85</v>
      </c>
      <c r="K582" t="s">
        <v>86</v>
      </c>
      <c r="L582" t="s">
        <v>71</v>
      </c>
      <c r="M582" t="s">
        <v>87</v>
      </c>
      <c r="O582" t="s">
        <v>88</v>
      </c>
      <c r="P582" t="s">
        <v>27</v>
      </c>
      <c r="Q582" t="s">
        <v>73</v>
      </c>
      <c r="R582" t="s">
        <v>76</v>
      </c>
      <c r="S582" t="s">
        <v>74</v>
      </c>
      <c r="T582" t="s">
        <v>75</v>
      </c>
      <c r="X582" t="s">
        <v>77</v>
      </c>
      <c r="Z582" t="s">
        <v>72</v>
      </c>
      <c r="AA582" t="s">
        <v>94</v>
      </c>
      <c r="AB582">
        <v>5</v>
      </c>
      <c r="AC582">
        <v>748741.2</v>
      </c>
      <c r="AD582">
        <v>8930490.0299999993</v>
      </c>
      <c r="AE582">
        <v>189.78</v>
      </c>
      <c r="AF582">
        <v>748741.2</v>
      </c>
      <c r="AG582">
        <v>8930490.0299999993</v>
      </c>
      <c r="AH582">
        <v>180.5</v>
      </c>
      <c r="AI582">
        <v>9.2799999999999994</v>
      </c>
      <c r="AJ582">
        <v>0.6</v>
      </c>
      <c r="AK582">
        <v>3.37</v>
      </c>
      <c r="AL582">
        <v>2.93</v>
      </c>
      <c r="AM582">
        <v>0</v>
      </c>
      <c r="AN582">
        <v>0</v>
      </c>
      <c r="AO582">
        <v>358</v>
      </c>
      <c r="AP582">
        <v>3.34</v>
      </c>
      <c r="AQ582">
        <v>0.62</v>
      </c>
      <c r="AR582">
        <v>0.08</v>
      </c>
      <c r="AS582">
        <v>0.08</v>
      </c>
      <c r="AT582">
        <v>20.23</v>
      </c>
      <c r="AU582">
        <v>5.69</v>
      </c>
      <c r="AV582">
        <v>0.36</v>
      </c>
      <c r="AW582">
        <v>1.71</v>
      </c>
      <c r="AX582">
        <v>8.3699999999999992</v>
      </c>
      <c r="AY582">
        <v>3.3</v>
      </c>
      <c r="AZ582">
        <v>87.069000000000003</v>
      </c>
      <c r="BA582">
        <v>0</v>
      </c>
      <c r="BB582">
        <v>0</v>
      </c>
      <c r="BC582">
        <v>0</v>
      </c>
      <c r="BD582">
        <v>0</v>
      </c>
    </row>
    <row r="583" spans="1:56" x14ac:dyDescent="0.25">
      <c r="A583" s="23">
        <v>46304</v>
      </c>
      <c r="B583">
        <v>582</v>
      </c>
      <c r="C583" t="s">
        <v>82</v>
      </c>
      <c r="D583" t="s">
        <v>83</v>
      </c>
      <c r="E583">
        <v>2</v>
      </c>
      <c r="F583">
        <v>180</v>
      </c>
      <c r="G583">
        <v>1</v>
      </c>
      <c r="H583" t="s">
        <v>95</v>
      </c>
      <c r="I583" t="s">
        <v>91</v>
      </c>
      <c r="J583" t="s">
        <v>85</v>
      </c>
      <c r="K583" t="s">
        <v>86</v>
      </c>
      <c r="L583" t="s">
        <v>71</v>
      </c>
      <c r="M583" t="s">
        <v>87</v>
      </c>
      <c r="O583" t="s">
        <v>88</v>
      </c>
      <c r="P583" t="s">
        <v>27</v>
      </c>
      <c r="Q583" t="s">
        <v>73</v>
      </c>
      <c r="R583" t="s">
        <v>76</v>
      </c>
      <c r="S583" t="s">
        <v>74</v>
      </c>
      <c r="T583" t="s">
        <v>75</v>
      </c>
      <c r="X583" t="s">
        <v>77</v>
      </c>
      <c r="Z583" t="s">
        <v>72</v>
      </c>
      <c r="AA583" t="s">
        <v>94</v>
      </c>
      <c r="AB583">
        <v>5</v>
      </c>
      <c r="AC583">
        <v>748743.88</v>
      </c>
      <c r="AD583">
        <v>8930492.0800000001</v>
      </c>
      <c r="AE583">
        <v>189.9</v>
      </c>
      <c r="AF583">
        <v>748743.88</v>
      </c>
      <c r="AG583">
        <v>8930492.0800000001</v>
      </c>
      <c r="AH583">
        <v>180.47</v>
      </c>
      <c r="AI583">
        <v>9.43</v>
      </c>
      <c r="AJ583">
        <v>0.6</v>
      </c>
      <c r="AK583">
        <v>3.37</v>
      </c>
      <c r="AL583">
        <v>2.93</v>
      </c>
      <c r="AM583">
        <v>0</v>
      </c>
      <c r="AN583">
        <v>0</v>
      </c>
      <c r="AO583">
        <v>358</v>
      </c>
      <c r="AP583">
        <v>3.33</v>
      </c>
      <c r="AQ583">
        <v>0.51</v>
      </c>
      <c r="AR583">
        <v>7.0000000000000007E-2</v>
      </c>
      <c r="AS583">
        <v>7.0000000000000007E-2</v>
      </c>
      <c r="AT583">
        <v>18.57</v>
      </c>
      <c r="AU583">
        <v>5.63</v>
      </c>
      <c r="AV583">
        <v>0.35</v>
      </c>
      <c r="AW583">
        <v>1.47</v>
      </c>
      <c r="AX583">
        <v>9.36</v>
      </c>
      <c r="AY583">
        <v>3.3</v>
      </c>
      <c r="AZ583">
        <v>89.253</v>
      </c>
      <c r="BA583">
        <v>0</v>
      </c>
      <c r="BB583">
        <v>0</v>
      </c>
      <c r="BC583">
        <v>0</v>
      </c>
      <c r="BD583">
        <v>0</v>
      </c>
    </row>
    <row r="584" spans="1:56" x14ac:dyDescent="0.25">
      <c r="A584" s="23">
        <v>46304</v>
      </c>
      <c r="B584">
        <v>583</v>
      </c>
      <c r="C584" t="s">
        <v>82</v>
      </c>
      <c r="D584" t="s">
        <v>83</v>
      </c>
      <c r="E584">
        <v>2</v>
      </c>
      <c r="F584">
        <v>180</v>
      </c>
      <c r="G584">
        <v>1</v>
      </c>
      <c r="H584" t="s">
        <v>95</v>
      </c>
      <c r="I584" t="s">
        <v>91</v>
      </c>
      <c r="J584" t="s">
        <v>85</v>
      </c>
      <c r="K584" t="s">
        <v>86</v>
      </c>
      <c r="L584" t="s">
        <v>71</v>
      </c>
      <c r="M584" t="s">
        <v>87</v>
      </c>
      <c r="O584" t="s">
        <v>88</v>
      </c>
      <c r="P584" t="s">
        <v>27</v>
      </c>
      <c r="Q584" t="s">
        <v>73</v>
      </c>
      <c r="R584" t="s">
        <v>76</v>
      </c>
      <c r="S584" t="s">
        <v>74</v>
      </c>
      <c r="T584" t="s">
        <v>75</v>
      </c>
      <c r="X584" t="s">
        <v>77</v>
      </c>
      <c r="Z584" t="s">
        <v>72</v>
      </c>
      <c r="AA584" t="s">
        <v>94</v>
      </c>
      <c r="AB584">
        <v>5</v>
      </c>
      <c r="AC584">
        <v>748746.56</v>
      </c>
      <c r="AD584">
        <v>8930494.1199999992</v>
      </c>
      <c r="AE584">
        <v>190.01</v>
      </c>
      <c r="AF584">
        <v>748746.56</v>
      </c>
      <c r="AG584">
        <v>8930494.1199999992</v>
      </c>
      <c r="AH584">
        <v>180.44</v>
      </c>
      <c r="AI584">
        <v>9.57</v>
      </c>
      <c r="AJ584">
        <v>0.6</v>
      </c>
      <c r="AK584">
        <v>3.37</v>
      </c>
      <c r="AL584">
        <v>2.93</v>
      </c>
      <c r="AM584">
        <v>0</v>
      </c>
      <c r="AN584">
        <v>0</v>
      </c>
      <c r="AO584">
        <v>358</v>
      </c>
      <c r="AP584">
        <v>3.32</v>
      </c>
      <c r="AQ584">
        <v>0.51</v>
      </c>
      <c r="AR584">
        <v>7.0000000000000007E-2</v>
      </c>
      <c r="AS584">
        <v>7.0000000000000007E-2</v>
      </c>
      <c r="AT584">
        <v>18.55</v>
      </c>
      <c r="AU584">
        <v>5.63</v>
      </c>
      <c r="AV584">
        <v>0.35</v>
      </c>
      <c r="AW584">
        <v>1.48</v>
      </c>
      <c r="AX584">
        <v>9.33</v>
      </c>
      <c r="AY584">
        <v>3.3</v>
      </c>
      <c r="AZ584">
        <v>91.290999999999997</v>
      </c>
      <c r="BA584">
        <v>0</v>
      </c>
      <c r="BB584">
        <v>0</v>
      </c>
      <c r="BC584">
        <v>0</v>
      </c>
      <c r="BD584">
        <v>0</v>
      </c>
    </row>
    <row r="585" spans="1:56" x14ac:dyDescent="0.25">
      <c r="A585" s="23">
        <v>46304</v>
      </c>
      <c r="B585">
        <v>584</v>
      </c>
      <c r="C585" t="s">
        <v>82</v>
      </c>
      <c r="D585" t="s">
        <v>83</v>
      </c>
      <c r="E585">
        <v>2</v>
      </c>
      <c r="F585">
        <v>180</v>
      </c>
      <c r="G585">
        <v>1</v>
      </c>
      <c r="H585" t="s">
        <v>95</v>
      </c>
      <c r="I585" t="s">
        <v>91</v>
      </c>
      <c r="J585" t="s">
        <v>85</v>
      </c>
      <c r="K585" t="s">
        <v>86</v>
      </c>
      <c r="L585" t="s">
        <v>71</v>
      </c>
      <c r="M585" t="s">
        <v>87</v>
      </c>
      <c r="O585" t="s">
        <v>88</v>
      </c>
      <c r="P585" t="s">
        <v>27</v>
      </c>
      <c r="Q585" t="s">
        <v>73</v>
      </c>
      <c r="R585" t="s">
        <v>76</v>
      </c>
      <c r="S585" t="s">
        <v>74</v>
      </c>
      <c r="T585" t="s">
        <v>75</v>
      </c>
      <c r="X585" t="s">
        <v>77</v>
      </c>
      <c r="Z585" t="s">
        <v>72</v>
      </c>
      <c r="AA585" t="s">
        <v>94</v>
      </c>
      <c r="AB585">
        <v>5</v>
      </c>
      <c r="AC585">
        <v>748749.24</v>
      </c>
      <c r="AD585">
        <v>8930496.1699999999</v>
      </c>
      <c r="AE585">
        <v>190.05</v>
      </c>
      <c r="AF585">
        <v>748749.24</v>
      </c>
      <c r="AG585">
        <v>8930496.1699999999</v>
      </c>
      <c r="AH585">
        <v>180.42</v>
      </c>
      <c r="AI585">
        <v>9.6300000000000008</v>
      </c>
      <c r="AJ585">
        <v>0.6</v>
      </c>
      <c r="AK585">
        <v>3.37</v>
      </c>
      <c r="AL585">
        <v>2.93</v>
      </c>
      <c r="AM585">
        <v>0</v>
      </c>
      <c r="AN585">
        <v>0</v>
      </c>
      <c r="AO585">
        <v>358</v>
      </c>
      <c r="AP585">
        <v>3.31</v>
      </c>
      <c r="AQ585">
        <v>0.49</v>
      </c>
      <c r="AR585">
        <v>7.0000000000000007E-2</v>
      </c>
      <c r="AS585">
        <v>0.06</v>
      </c>
      <c r="AT585">
        <v>17.47</v>
      </c>
      <c r="AU585">
        <v>5.57</v>
      </c>
      <c r="AV585">
        <v>0.31</v>
      </c>
      <c r="AW585">
        <v>1.67</v>
      </c>
      <c r="AX585">
        <v>7.98</v>
      </c>
      <c r="AY585">
        <v>3.3</v>
      </c>
      <c r="AZ585">
        <v>92.165000000000006</v>
      </c>
      <c r="BA585">
        <v>0</v>
      </c>
      <c r="BB585">
        <v>0</v>
      </c>
      <c r="BC585">
        <v>0</v>
      </c>
      <c r="BD585">
        <v>0</v>
      </c>
    </row>
    <row r="586" spans="1:56" x14ac:dyDescent="0.25">
      <c r="A586" s="23">
        <v>46304</v>
      </c>
      <c r="B586">
        <v>585</v>
      </c>
      <c r="C586" t="s">
        <v>82</v>
      </c>
      <c r="D586" t="s">
        <v>83</v>
      </c>
      <c r="E586">
        <v>2</v>
      </c>
      <c r="F586">
        <v>180</v>
      </c>
      <c r="G586">
        <v>1</v>
      </c>
      <c r="H586" t="s">
        <v>95</v>
      </c>
      <c r="I586" t="s">
        <v>91</v>
      </c>
      <c r="J586" t="s">
        <v>85</v>
      </c>
      <c r="K586" t="s">
        <v>86</v>
      </c>
      <c r="L586" t="s">
        <v>71</v>
      </c>
      <c r="M586" t="s">
        <v>87</v>
      </c>
      <c r="O586" t="s">
        <v>88</v>
      </c>
      <c r="P586" t="s">
        <v>27</v>
      </c>
      <c r="Q586" t="s">
        <v>73</v>
      </c>
      <c r="R586" t="s">
        <v>76</v>
      </c>
      <c r="S586" t="s">
        <v>74</v>
      </c>
      <c r="T586" t="s">
        <v>75</v>
      </c>
      <c r="X586" t="s">
        <v>77</v>
      </c>
      <c r="Z586" t="s">
        <v>72</v>
      </c>
      <c r="AA586" t="s">
        <v>94</v>
      </c>
      <c r="AB586">
        <v>5</v>
      </c>
      <c r="AC586">
        <v>748752</v>
      </c>
      <c r="AD586">
        <v>8930498.0899999999</v>
      </c>
      <c r="AE586">
        <v>190.06</v>
      </c>
      <c r="AF586">
        <v>748752</v>
      </c>
      <c r="AG586">
        <v>8930498.0899999999</v>
      </c>
      <c r="AH586">
        <v>180.41</v>
      </c>
      <c r="AI586">
        <v>9.65</v>
      </c>
      <c r="AJ586">
        <v>0.6</v>
      </c>
      <c r="AK586">
        <v>3.37</v>
      </c>
      <c r="AL586">
        <v>2.93</v>
      </c>
      <c r="AM586">
        <v>0</v>
      </c>
      <c r="AN586">
        <v>0</v>
      </c>
      <c r="AO586">
        <v>358</v>
      </c>
      <c r="AP586">
        <v>3.28</v>
      </c>
      <c r="AQ586">
        <v>0.41</v>
      </c>
      <c r="AR586">
        <v>0.06</v>
      </c>
      <c r="AS586">
        <v>0.05</v>
      </c>
      <c r="AT586">
        <v>14.08</v>
      </c>
      <c r="AU586">
        <v>4.59</v>
      </c>
      <c r="AV586">
        <v>0.25</v>
      </c>
      <c r="AW586">
        <v>1.43</v>
      </c>
      <c r="AX586">
        <v>6.28</v>
      </c>
      <c r="AY586">
        <v>3.3</v>
      </c>
      <c r="AZ586">
        <v>92.456000000000003</v>
      </c>
      <c r="BA586">
        <v>0</v>
      </c>
      <c r="BB586">
        <v>0</v>
      </c>
      <c r="BC586">
        <v>0</v>
      </c>
      <c r="BD586">
        <v>0</v>
      </c>
    </row>
    <row r="587" spans="1:56" x14ac:dyDescent="0.25">
      <c r="A587" s="23">
        <v>46304</v>
      </c>
      <c r="B587">
        <v>586</v>
      </c>
      <c r="C587" t="s">
        <v>82</v>
      </c>
      <c r="D587" t="s">
        <v>83</v>
      </c>
      <c r="E587">
        <v>2</v>
      </c>
      <c r="F587">
        <v>180</v>
      </c>
      <c r="G587">
        <v>1</v>
      </c>
      <c r="H587" t="s">
        <v>95</v>
      </c>
      <c r="I587" t="s">
        <v>91</v>
      </c>
      <c r="J587" t="s">
        <v>85</v>
      </c>
      <c r="K587" t="s">
        <v>86</v>
      </c>
      <c r="L587" t="s">
        <v>71</v>
      </c>
      <c r="M587" t="s">
        <v>87</v>
      </c>
      <c r="O587" t="s">
        <v>88</v>
      </c>
      <c r="P587" t="s">
        <v>27</v>
      </c>
      <c r="Q587" t="s">
        <v>73</v>
      </c>
      <c r="R587" t="s">
        <v>76</v>
      </c>
      <c r="S587" t="s">
        <v>74</v>
      </c>
      <c r="T587" t="s">
        <v>75</v>
      </c>
      <c r="X587" t="s">
        <v>77</v>
      </c>
      <c r="Z587" t="s">
        <v>72</v>
      </c>
      <c r="AA587" t="s">
        <v>94</v>
      </c>
      <c r="AB587">
        <v>5</v>
      </c>
      <c r="AC587">
        <v>748754.83</v>
      </c>
      <c r="AD587">
        <v>8930499.9199999999</v>
      </c>
      <c r="AE587">
        <v>190.05</v>
      </c>
      <c r="AF587">
        <v>748754.83</v>
      </c>
      <c r="AG587">
        <v>8930499.9199999999</v>
      </c>
      <c r="AH587">
        <v>180.42</v>
      </c>
      <c r="AI587">
        <v>9.6300000000000008</v>
      </c>
      <c r="AJ587">
        <v>0.6</v>
      </c>
      <c r="AK587">
        <v>3.37</v>
      </c>
      <c r="AL587">
        <v>2.93</v>
      </c>
      <c r="AM587">
        <v>0</v>
      </c>
      <c r="AN587">
        <v>0</v>
      </c>
      <c r="AO587">
        <v>358</v>
      </c>
      <c r="AP587">
        <v>3.19</v>
      </c>
      <c r="AQ587">
        <v>0.3</v>
      </c>
      <c r="AR587">
        <v>0.04</v>
      </c>
      <c r="AS587">
        <v>0.04</v>
      </c>
      <c r="AT587">
        <v>10.33</v>
      </c>
      <c r="AU587">
        <v>3.28</v>
      </c>
      <c r="AV587">
        <v>0.19</v>
      </c>
      <c r="AW587">
        <v>0.95</v>
      </c>
      <c r="AX587">
        <v>2.75</v>
      </c>
      <c r="AY587">
        <v>3.3</v>
      </c>
      <c r="AZ587">
        <v>92.165000000000006</v>
      </c>
      <c r="BA587">
        <v>0</v>
      </c>
      <c r="BB587">
        <v>0</v>
      </c>
      <c r="BC587">
        <v>0</v>
      </c>
      <c r="BD587">
        <v>0</v>
      </c>
    </row>
    <row r="588" spans="1:56" x14ac:dyDescent="0.25">
      <c r="A588" s="23">
        <v>46304</v>
      </c>
      <c r="B588">
        <v>587</v>
      </c>
      <c r="C588" t="s">
        <v>82</v>
      </c>
      <c r="D588" t="s">
        <v>83</v>
      </c>
      <c r="E588">
        <v>2</v>
      </c>
      <c r="F588">
        <v>180</v>
      </c>
      <c r="G588">
        <v>0</v>
      </c>
      <c r="H588" t="s">
        <v>95</v>
      </c>
      <c r="I588" t="s">
        <v>78</v>
      </c>
      <c r="J588" t="s">
        <v>70</v>
      </c>
      <c r="K588" t="s">
        <v>86</v>
      </c>
      <c r="L588" t="s">
        <v>71</v>
      </c>
      <c r="M588" t="s">
        <v>87</v>
      </c>
      <c r="O588" t="s">
        <v>88</v>
      </c>
      <c r="P588" t="s">
        <v>27</v>
      </c>
      <c r="Q588" t="s">
        <v>73</v>
      </c>
      <c r="R588" t="s">
        <v>76</v>
      </c>
      <c r="S588" t="s">
        <v>74</v>
      </c>
      <c r="T588" t="s">
        <v>75</v>
      </c>
      <c r="X588" t="s">
        <v>77</v>
      </c>
      <c r="Z588" t="s">
        <v>72</v>
      </c>
      <c r="AA588" t="s">
        <v>94</v>
      </c>
      <c r="AB588">
        <v>5</v>
      </c>
      <c r="AC588">
        <v>748757.66</v>
      </c>
      <c r="AD588">
        <v>8930501.75</v>
      </c>
      <c r="AE588">
        <v>190.04</v>
      </c>
      <c r="AF588">
        <v>748757.66</v>
      </c>
      <c r="AG588">
        <v>8930501.75</v>
      </c>
      <c r="AH588">
        <v>180.43</v>
      </c>
      <c r="AI588">
        <v>9.61</v>
      </c>
      <c r="AJ588">
        <v>0.6</v>
      </c>
      <c r="AK588">
        <v>3.37</v>
      </c>
      <c r="AL588">
        <v>2.93</v>
      </c>
      <c r="AM588">
        <v>0</v>
      </c>
      <c r="AN588">
        <v>0</v>
      </c>
      <c r="AO588">
        <v>358</v>
      </c>
      <c r="AP588">
        <v>3.13</v>
      </c>
      <c r="AQ588">
        <v>0.23</v>
      </c>
      <c r="AR588">
        <v>0.03</v>
      </c>
      <c r="AS588">
        <v>0.03</v>
      </c>
      <c r="AT588">
        <v>7.83</v>
      </c>
      <c r="AU588">
        <v>2.48</v>
      </c>
      <c r="AV588">
        <v>0.14000000000000001</v>
      </c>
      <c r="AW588">
        <v>0.71</v>
      </c>
      <c r="AX588">
        <v>0.17</v>
      </c>
      <c r="AY588">
        <v>3.3</v>
      </c>
      <c r="AZ588">
        <v>91.873999999999995</v>
      </c>
      <c r="BA588">
        <v>0</v>
      </c>
      <c r="BB588">
        <v>0</v>
      </c>
      <c r="BC588">
        <v>0</v>
      </c>
      <c r="BD588">
        <v>0</v>
      </c>
    </row>
    <row r="589" spans="1:56" x14ac:dyDescent="0.25">
      <c r="A589" s="23">
        <v>46304</v>
      </c>
      <c r="B589">
        <v>588</v>
      </c>
      <c r="C589" t="s">
        <v>82</v>
      </c>
      <c r="D589" t="s">
        <v>83</v>
      </c>
      <c r="E589">
        <v>2</v>
      </c>
      <c r="F589">
        <v>180</v>
      </c>
      <c r="G589">
        <v>0</v>
      </c>
      <c r="H589" t="s">
        <v>95</v>
      </c>
      <c r="I589" t="s">
        <v>78</v>
      </c>
      <c r="J589" t="s">
        <v>70</v>
      </c>
      <c r="K589" t="s">
        <v>86</v>
      </c>
      <c r="L589" t="s">
        <v>71</v>
      </c>
      <c r="M589" t="s">
        <v>87</v>
      </c>
      <c r="O589" t="s">
        <v>88</v>
      </c>
      <c r="P589" t="s">
        <v>27</v>
      </c>
      <c r="Q589" t="s">
        <v>73</v>
      </c>
      <c r="R589" t="s">
        <v>76</v>
      </c>
      <c r="S589" t="s">
        <v>74</v>
      </c>
      <c r="T589" t="s">
        <v>75</v>
      </c>
      <c r="X589" t="s">
        <v>77</v>
      </c>
      <c r="Z589" t="s">
        <v>72</v>
      </c>
      <c r="AA589" t="s">
        <v>94</v>
      </c>
      <c r="AB589">
        <v>5</v>
      </c>
      <c r="AC589">
        <v>748760.49</v>
      </c>
      <c r="AD589">
        <v>8930503.5800000001</v>
      </c>
      <c r="AE589">
        <v>190.08</v>
      </c>
      <c r="AF589">
        <v>748760.49</v>
      </c>
      <c r="AG589">
        <v>8930503.5800000001</v>
      </c>
      <c r="AH589">
        <v>180.44</v>
      </c>
      <c r="AI589">
        <v>9.64</v>
      </c>
      <c r="AJ589">
        <v>0.6</v>
      </c>
      <c r="AK589">
        <v>3.37</v>
      </c>
      <c r="AL589">
        <v>2.93</v>
      </c>
      <c r="AM589">
        <v>0</v>
      </c>
      <c r="AN589">
        <v>0</v>
      </c>
      <c r="AO589">
        <v>358</v>
      </c>
      <c r="AP589">
        <v>3.11</v>
      </c>
      <c r="AQ589">
        <v>0.18</v>
      </c>
      <c r="AR589">
        <v>0.02</v>
      </c>
      <c r="AS589">
        <v>0.02</v>
      </c>
      <c r="AT589">
        <v>6.31</v>
      </c>
      <c r="AU589">
        <v>2.04</v>
      </c>
      <c r="AV589">
        <v>0.11</v>
      </c>
      <c r="AW589">
        <v>0.57999999999999996</v>
      </c>
      <c r="AX589">
        <v>0</v>
      </c>
      <c r="AY589">
        <v>3.3</v>
      </c>
      <c r="AZ589">
        <v>92.31</v>
      </c>
      <c r="BA589">
        <v>0</v>
      </c>
      <c r="BB589">
        <v>0</v>
      </c>
      <c r="BC589">
        <v>0</v>
      </c>
      <c r="BD589">
        <v>0</v>
      </c>
    </row>
    <row r="590" spans="1:56" x14ac:dyDescent="0.25">
      <c r="A590" s="23">
        <v>46304</v>
      </c>
      <c r="B590">
        <v>589</v>
      </c>
      <c r="C590" t="s">
        <v>82</v>
      </c>
      <c r="D590" t="s">
        <v>83</v>
      </c>
      <c r="E590">
        <v>2</v>
      </c>
      <c r="F590">
        <v>180</v>
      </c>
      <c r="G590">
        <v>0</v>
      </c>
      <c r="H590" t="s">
        <v>95</v>
      </c>
      <c r="I590" t="s">
        <v>78</v>
      </c>
      <c r="J590" t="s">
        <v>70</v>
      </c>
      <c r="K590" t="s">
        <v>86</v>
      </c>
      <c r="L590" t="s">
        <v>71</v>
      </c>
      <c r="M590" t="s">
        <v>87</v>
      </c>
      <c r="O590" t="s">
        <v>88</v>
      </c>
      <c r="P590" t="s">
        <v>27</v>
      </c>
      <c r="Q590" t="s">
        <v>73</v>
      </c>
      <c r="R590" t="s">
        <v>76</v>
      </c>
      <c r="S590" t="s">
        <v>74</v>
      </c>
      <c r="T590" t="s">
        <v>75</v>
      </c>
      <c r="X590" t="s">
        <v>77</v>
      </c>
      <c r="Z590" t="s">
        <v>72</v>
      </c>
      <c r="AA590" t="s">
        <v>94</v>
      </c>
      <c r="AB590">
        <v>5</v>
      </c>
      <c r="AC590">
        <v>748763.32</v>
      </c>
      <c r="AD590">
        <v>8930505.4100000001</v>
      </c>
      <c r="AE590">
        <v>190.1</v>
      </c>
      <c r="AF590">
        <v>748763.32</v>
      </c>
      <c r="AG590">
        <v>8930505.4100000001</v>
      </c>
      <c r="AH590">
        <v>180.44</v>
      </c>
      <c r="AI590">
        <v>9.66</v>
      </c>
      <c r="AJ590">
        <v>0.6</v>
      </c>
      <c r="AK590">
        <v>3.37</v>
      </c>
      <c r="AL590">
        <v>2.93</v>
      </c>
      <c r="AM590">
        <v>0</v>
      </c>
      <c r="AN590">
        <v>0</v>
      </c>
      <c r="AO590">
        <v>358</v>
      </c>
      <c r="AP590">
        <v>3.09</v>
      </c>
      <c r="AQ590">
        <v>0.13</v>
      </c>
      <c r="AR590">
        <v>0.02</v>
      </c>
      <c r="AS590">
        <v>0.02</v>
      </c>
      <c r="AT590">
        <v>4.75</v>
      </c>
      <c r="AU590">
        <v>1.56</v>
      </c>
      <c r="AV590">
        <v>0.08</v>
      </c>
      <c r="AW590">
        <v>0.43</v>
      </c>
      <c r="AX590">
        <v>0</v>
      </c>
      <c r="AY590">
        <v>3.3</v>
      </c>
      <c r="AZ590">
        <v>92.602000000000004</v>
      </c>
      <c r="BA590">
        <v>0</v>
      </c>
      <c r="BB590">
        <v>0</v>
      </c>
      <c r="BC590">
        <v>0</v>
      </c>
      <c r="BD590">
        <v>0</v>
      </c>
    </row>
    <row r="591" spans="1:56" x14ac:dyDescent="0.25">
      <c r="A591" s="23">
        <v>46304</v>
      </c>
      <c r="B591">
        <v>590</v>
      </c>
      <c r="C591" t="s">
        <v>82</v>
      </c>
      <c r="D591" t="s">
        <v>83</v>
      </c>
      <c r="E591">
        <v>2</v>
      </c>
      <c r="F591">
        <v>180</v>
      </c>
      <c r="G591">
        <v>0</v>
      </c>
      <c r="H591" t="s">
        <v>95</v>
      </c>
      <c r="I591" t="s">
        <v>78</v>
      </c>
      <c r="J591" t="s">
        <v>70</v>
      </c>
      <c r="K591" t="s">
        <v>86</v>
      </c>
      <c r="L591" t="s">
        <v>71</v>
      </c>
      <c r="M591" t="s">
        <v>87</v>
      </c>
      <c r="O591" t="s">
        <v>88</v>
      </c>
      <c r="P591" t="s">
        <v>27</v>
      </c>
      <c r="Q591" t="s">
        <v>73</v>
      </c>
      <c r="R591" t="s">
        <v>76</v>
      </c>
      <c r="S591" t="s">
        <v>74</v>
      </c>
      <c r="T591" t="s">
        <v>75</v>
      </c>
      <c r="X591" t="s">
        <v>77</v>
      </c>
      <c r="Z591" t="s">
        <v>72</v>
      </c>
      <c r="AA591" t="s">
        <v>94</v>
      </c>
      <c r="AB591">
        <v>5</v>
      </c>
      <c r="AC591">
        <v>748766.15</v>
      </c>
      <c r="AD591">
        <v>8930507.2400000002</v>
      </c>
      <c r="AE591">
        <v>190.2</v>
      </c>
      <c r="AF591">
        <v>748766.15</v>
      </c>
      <c r="AG591">
        <v>8930507.2400000002</v>
      </c>
      <c r="AH591">
        <v>180.44</v>
      </c>
      <c r="AI591">
        <v>9.75</v>
      </c>
      <c r="AJ591">
        <v>0.6</v>
      </c>
      <c r="AK591">
        <v>3.37</v>
      </c>
      <c r="AL591">
        <v>2.93</v>
      </c>
      <c r="AM591">
        <v>0</v>
      </c>
      <c r="AN591">
        <v>0</v>
      </c>
      <c r="AO591">
        <v>358</v>
      </c>
      <c r="AP591">
        <v>3.07</v>
      </c>
      <c r="AQ591">
        <v>0.1</v>
      </c>
      <c r="AR591">
        <v>0.01</v>
      </c>
      <c r="AS591">
        <v>0.01</v>
      </c>
      <c r="AT591">
        <v>3.55</v>
      </c>
      <c r="AU591">
        <v>1.1599999999999999</v>
      </c>
      <c r="AV591">
        <v>0.06</v>
      </c>
      <c r="AW591">
        <v>0.32</v>
      </c>
      <c r="AX591">
        <v>0</v>
      </c>
      <c r="AY591">
        <v>3.3</v>
      </c>
      <c r="AZ591">
        <v>93.912000000000006</v>
      </c>
      <c r="BA591">
        <v>0</v>
      </c>
      <c r="BB591">
        <v>0</v>
      </c>
      <c r="BC591">
        <v>0</v>
      </c>
      <c r="BD591">
        <v>0</v>
      </c>
    </row>
    <row r="592" spans="1:56" x14ac:dyDescent="0.25">
      <c r="A592" s="23">
        <v>46304</v>
      </c>
      <c r="B592">
        <v>591</v>
      </c>
      <c r="C592" t="s">
        <v>82</v>
      </c>
      <c r="D592" t="s">
        <v>83</v>
      </c>
      <c r="E592">
        <v>2</v>
      </c>
      <c r="F592">
        <v>180</v>
      </c>
      <c r="G592">
        <v>0</v>
      </c>
      <c r="H592" t="s">
        <v>95</v>
      </c>
      <c r="I592" t="s">
        <v>78</v>
      </c>
      <c r="J592" t="s">
        <v>70</v>
      </c>
      <c r="K592" t="s">
        <v>86</v>
      </c>
      <c r="L592" t="s">
        <v>71</v>
      </c>
      <c r="M592" t="s">
        <v>87</v>
      </c>
      <c r="O592" t="s">
        <v>88</v>
      </c>
      <c r="P592" t="s">
        <v>27</v>
      </c>
      <c r="Q592" t="s">
        <v>73</v>
      </c>
      <c r="R592" t="s">
        <v>76</v>
      </c>
      <c r="S592" t="s">
        <v>74</v>
      </c>
      <c r="T592" t="s">
        <v>75</v>
      </c>
      <c r="X592" t="s">
        <v>77</v>
      </c>
      <c r="Z592" t="s">
        <v>72</v>
      </c>
      <c r="AA592" t="s">
        <v>94</v>
      </c>
      <c r="AB592">
        <v>5</v>
      </c>
      <c r="AC592">
        <v>748768.98</v>
      </c>
      <c r="AD592">
        <v>8930509.0700000003</v>
      </c>
      <c r="AE592">
        <v>190.33</v>
      </c>
      <c r="AF592">
        <v>748768.98</v>
      </c>
      <c r="AG592">
        <v>8930509.0700000003</v>
      </c>
      <c r="AH592">
        <v>180.45</v>
      </c>
      <c r="AI592">
        <v>9.8800000000000008</v>
      </c>
      <c r="AJ592">
        <v>0.6</v>
      </c>
      <c r="AK592">
        <v>3.37</v>
      </c>
      <c r="AL592">
        <v>2.93</v>
      </c>
      <c r="AM592">
        <v>0</v>
      </c>
      <c r="AN592">
        <v>0</v>
      </c>
      <c r="AO592">
        <v>358</v>
      </c>
      <c r="AP592">
        <v>3.07</v>
      </c>
      <c r="AQ592">
        <v>0.1</v>
      </c>
      <c r="AR592">
        <v>0.01</v>
      </c>
      <c r="AS592">
        <v>0.01</v>
      </c>
      <c r="AT592">
        <v>3.35</v>
      </c>
      <c r="AU592">
        <v>1.23</v>
      </c>
      <c r="AV592">
        <v>0.05</v>
      </c>
      <c r="AW592">
        <v>0.45</v>
      </c>
      <c r="AX592">
        <v>0</v>
      </c>
      <c r="AY592">
        <v>3.3</v>
      </c>
      <c r="AZ592">
        <v>95.805000000000007</v>
      </c>
      <c r="BA592">
        <v>0</v>
      </c>
      <c r="BB592">
        <v>0</v>
      </c>
      <c r="BC592">
        <v>0</v>
      </c>
      <c r="BD592">
        <v>0</v>
      </c>
    </row>
    <row r="593" spans="1:56" x14ac:dyDescent="0.25">
      <c r="A593" s="23">
        <v>46304</v>
      </c>
      <c r="B593">
        <v>592</v>
      </c>
      <c r="C593" t="s">
        <v>82</v>
      </c>
      <c r="D593" t="s">
        <v>83</v>
      </c>
      <c r="E593">
        <v>2</v>
      </c>
      <c r="F593">
        <v>180</v>
      </c>
      <c r="G593">
        <v>0</v>
      </c>
      <c r="H593" t="s">
        <v>95</v>
      </c>
      <c r="I593" t="s">
        <v>78</v>
      </c>
      <c r="J593" t="s">
        <v>70</v>
      </c>
      <c r="K593" t="s">
        <v>86</v>
      </c>
      <c r="L593" t="s">
        <v>71</v>
      </c>
      <c r="M593" t="s">
        <v>87</v>
      </c>
      <c r="O593" t="s">
        <v>88</v>
      </c>
      <c r="P593" t="s">
        <v>27</v>
      </c>
      <c r="Q593" t="s">
        <v>73</v>
      </c>
      <c r="R593" t="s">
        <v>76</v>
      </c>
      <c r="S593" t="s">
        <v>74</v>
      </c>
      <c r="T593" t="s">
        <v>75</v>
      </c>
      <c r="X593" t="s">
        <v>77</v>
      </c>
      <c r="Z593" t="s">
        <v>72</v>
      </c>
      <c r="AA593" t="s">
        <v>94</v>
      </c>
      <c r="AB593">
        <v>5</v>
      </c>
      <c r="AC593">
        <v>748771.81</v>
      </c>
      <c r="AD593">
        <v>8930510.9000000004</v>
      </c>
      <c r="AE593">
        <v>190.4</v>
      </c>
      <c r="AF593">
        <v>748771.81</v>
      </c>
      <c r="AG593">
        <v>8930510.9000000004</v>
      </c>
      <c r="AH593">
        <v>180.46</v>
      </c>
      <c r="AI593">
        <v>9.94</v>
      </c>
      <c r="AJ593">
        <v>0.6</v>
      </c>
      <c r="AK593">
        <v>3.37</v>
      </c>
      <c r="AL593">
        <v>2.93</v>
      </c>
      <c r="AM593">
        <v>0</v>
      </c>
      <c r="AN593">
        <v>0</v>
      </c>
      <c r="AO593">
        <v>358</v>
      </c>
      <c r="AP593">
        <v>3.14</v>
      </c>
      <c r="AQ593">
        <v>0.17</v>
      </c>
      <c r="AR593">
        <v>0.02</v>
      </c>
      <c r="AS593">
        <v>0.02</v>
      </c>
      <c r="AT593">
        <v>5.49</v>
      </c>
      <c r="AU593">
        <v>2.36</v>
      </c>
      <c r="AV593">
        <v>0.03</v>
      </c>
      <c r="AW593">
        <v>0.43</v>
      </c>
      <c r="AX593">
        <v>0</v>
      </c>
      <c r="AY593">
        <v>3.3</v>
      </c>
      <c r="AZ593">
        <v>96.677999999999997</v>
      </c>
      <c r="BA593">
        <v>0</v>
      </c>
      <c r="BB593">
        <v>0</v>
      </c>
      <c r="BC593">
        <v>0</v>
      </c>
      <c r="BD593">
        <v>0</v>
      </c>
    </row>
    <row r="594" spans="1:56" x14ac:dyDescent="0.25">
      <c r="A594" s="23">
        <v>46304</v>
      </c>
      <c r="B594">
        <v>593</v>
      </c>
      <c r="C594" t="s">
        <v>82</v>
      </c>
      <c r="D594" t="s">
        <v>83</v>
      </c>
      <c r="E594">
        <v>2</v>
      </c>
      <c r="F594">
        <v>180</v>
      </c>
      <c r="G594">
        <v>0</v>
      </c>
      <c r="H594" t="s">
        <v>95</v>
      </c>
      <c r="I594" t="s">
        <v>78</v>
      </c>
      <c r="J594" t="s">
        <v>90</v>
      </c>
      <c r="K594" t="s">
        <v>86</v>
      </c>
      <c r="L594" t="s">
        <v>71</v>
      </c>
      <c r="M594" t="s">
        <v>87</v>
      </c>
      <c r="O594" t="s">
        <v>88</v>
      </c>
      <c r="P594" t="s">
        <v>27</v>
      </c>
      <c r="Q594" t="s">
        <v>73</v>
      </c>
      <c r="R594" t="s">
        <v>76</v>
      </c>
      <c r="S594" t="s">
        <v>74</v>
      </c>
      <c r="T594" t="s">
        <v>75</v>
      </c>
      <c r="X594" t="s">
        <v>77</v>
      </c>
      <c r="Z594" t="s">
        <v>72</v>
      </c>
      <c r="AA594" t="s">
        <v>94</v>
      </c>
      <c r="AB594">
        <v>5</v>
      </c>
      <c r="AC594">
        <v>748774.64</v>
      </c>
      <c r="AD594">
        <v>8930512.7300000004</v>
      </c>
      <c r="AE594">
        <v>190.43</v>
      </c>
      <c r="AF594">
        <v>748774.64</v>
      </c>
      <c r="AG594">
        <v>8930512.7300000004</v>
      </c>
      <c r="AH594">
        <v>180.47</v>
      </c>
      <c r="AI594">
        <v>9.9600000000000009</v>
      </c>
      <c r="AJ594">
        <v>0.6</v>
      </c>
      <c r="AK594">
        <v>3.37</v>
      </c>
      <c r="AL594">
        <v>2.93</v>
      </c>
      <c r="AM594">
        <v>0</v>
      </c>
      <c r="AN594">
        <v>0</v>
      </c>
      <c r="AO594">
        <v>358</v>
      </c>
      <c r="AP594">
        <v>3.18</v>
      </c>
      <c r="AQ594">
        <v>0.26</v>
      </c>
      <c r="AR594">
        <v>0.04</v>
      </c>
      <c r="AS594">
        <v>0.02</v>
      </c>
      <c r="AT594">
        <v>8</v>
      </c>
      <c r="AU594">
        <v>3.65</v>
      </c>
      <c r="AV594">
        <v>0.01</v>
      </c>
      <c r="AW594">
        <v>0.15</v>
      </c>
      <c r="AX594">
        <v>0</v>
      </c>
      <c r="AY594">
        <v>3.3</v>
      </c>
      <c r="AZ594">
        <v>96.97</v>
      </c>
      <c r="BA594">
        <v>0</v>
      </c>
      <c r="BB594">
        <v>0</v>
      </c>
      <c r="BC594">
        <v>0</v>
      </c>
      <c r="BD594">
        <v>0</v>
      </c>
    </row>
    <row r="595" spans="1:56" x14ac:dyDescent="0.25">
      <c r="A595" s="23">
        <v>46304</v>
      </c>
      <c r="B595">
        <v>594</v>
      </c>
      <c r="C595" t="s">
        <v>82</v>
      </c>
      <c r="D595" t="s">
        <v>83</v>
      </c>
      <c r="E595">
        <v>2</v>
      </c>
      <c r="F595">
        <v>180</v>
      </c>
      <c r="G595">
        <v>1</v>
      </c>
      <c r="H595" t="s">
        <v>95</v>
      </c>
      <c r="I595" t="s">
        <v>78</v>
      </c>
      <c r="J595" t="s">
        <v>90</v>
      </c>
      <c r="K595" t="s">
        <v>86</v>
      </c>
      <c r="L595" t="s">
        <v>71</v>
      </c>
      <c r="M595" t="s">
        <v>87</v>
      </c>
      <c r="O595" t="s">
        <v>88</v>
      </c>
      <c r="P595" t="s">
        <v>27</v>
      </c>
      <c r="Q595" t="s">
        <v>73</v>
      </c>
      <c r="R595" t="s">
        <v>76</v>
      </c>
      <c r="S595" t="s">
        <v>74</v>
      </c>
      <c r="T595" t="s">
        <v>75</v>
      </c>
      <c r="X595" t="s">
        <v>77</v>
      </c>
      <c r="Z595" t="s">
        <v>72</v>
      </c>
      <c r="AA595" t="s">
        <v>94</v>
      </c>
      <c r="AB595">
        <v>5</v>
      </c>
      <c r="AC595">
        <v>748779.73</v>
      </c>
      <c r="AD595">
        <v>8930514.2699999996</v>
      </c>
      <c r="AE595">
        <v>194.51</v>
      </c>
      <c r="AF595">
        <v>748778.63</v>
      </c>
      <c r="AG595">
        <v>8930513.6899999995</v>
      </c>
      <c r="AH595">
        <v>180.36</v>
      </c>
      <c r="AI595">
        <v>14.21</v>
      </c>
      <c r="AJ595">
        <v>0.6</v>
      </c>
      <c r="AK595">
        <v>3.37</v>
      </c>
      <c r="AL595">
        <v>2.93</v>
      </c>
      <c r="AM595">
        <v>242</v>
      </c>
      <c r="AN595">
        <v>5</v>
      </c>
      <c r="AO595">
        <v>358</v>
      </c>
      <c r="AP595">
        <v>3.22</v>
      </c>
      <c r="AQ595">
        <v>0.35</v>
      </c>
      <c r="AR595">
        <v>0.05</v>
      </c>
      <c r="AS595">
        <v>0.03</v>
      </c>
      <c r="AT595">
        <v>11.35</v>
      </c>
      <c r="AU595">
        <v>5.23</v>
      </c>
      <c r="AV595">
        <v>0.02</v>
      </c>
      <c r="AW595">
        <v>0.55000000000000004</v>
      </c>
      <c r="AX595">
        <v>0</v>
      </c>
      <c r="AY595">
        <v>3.3</v>
      </c>
      <c r="AZ595">
        <v>158.85</v>
      </c>
      <c r="BA595">
        <v>0</v>
      </c>
      <c r="BB595">
        <v>0</v>
      </c>
      <c r="BC595">
        <v>0</v>
      </c>
      <c r="BD595">
        <v>0</v>
      </c>
    </row>
    <row r="596" spans="1:56" x14ac:dyDescent="0.25">
      <c r="A596" s="23">
        <v>46304</v>
      </c>
      <c r="B596">
        <v>595</v>
      </c>
      <c r="C596" t="s">
        <v>82</v>
      </c>
      <c r="D596" t="s">
        <v>83</v>
      </c>
      <c r="E596">
        <v>2</v>
      </c>
      <c r="F596">
        <v>180</v>
      </c>
      <c r="G596">
        <v>1</v>
      </c>
      <c r="H596" t="s">
        <v>95</v>
      </c>
      <c r="I596" t="s">
        <v>78</v>
      </c>
      <c r="J596" t="s">
        <v>90</v>
      </c>
      <c r="K596" t="s">
        <v>86</v>
      </c>
      <c r="L596" t="s">
        <v>71</v>
      </c>
      <c r="M596" t="s">
        <v>87</v>
      </c>
      <c r="O596" t="s">
        <v>88</v>
      </c>
      <c r="P596" t="s">
        <v>27</v>
      </c>
      <c r="Q596" t="s">
        <v>73</v>
      </c>
      <c r="R596" t="s">
        <v>76</v>
      </c>
      <c r="S596" t="s">
        <v>74</v>
      </c>
      <c r="T596" t="s">
        <v>75</v>
      </c>
      <c r="X596" t="s">
        <v>77</v>
      </c>
      <c r="Z596" t="s">
        <v>72</v>
      </c>
      <c r="AA596" t="s">
        <v>94</v>
      </c>
      <c r="AB596">
        <v>5</v>
      </c>
      <c r="AC596">
        <v>748781.46</v>
      </c>
      <c r="AD596">
        <v>8930514.6799999997</v>
      </c>
      <c r="AE596">
        <v>194.99</v>
      </c>
      <c r="AF596">
        <v>748781.46</v>
      </c>
      <c r="AG596">
        <v>8930514.6799999997</v>
      </c>
      <c r="AH596">
        <v>180.53</v>
      </c>
      <c r="AI596">
        <v>14.46</v>
      </c>
      <c r="AJ596">
        <v>0.6</v>
      </c>
      <c r="AK596">
        <v>3.37</v>
      </c>
      <c r="AL596">
        <v>2.93</v>
      </c>
      <c r="AM596">
        <v>0</v>
      </c>
      <c r="AN596">
        <v>0</v>
      </c>
      <c r="AO596">
        <v>358</v>
      </c>
      <c r="AP596">
        <v>3.23</v>
      </c>
      <c r="AQ596">
        <v>0.35</v>
      </c>
      <c r="AR596">
        <v>0.05</v>
      </c>
      <c r="AS596">
        <v>0.03</v>
      </c>
      <c r="AT596">
        <v>11.19</v>
      </c>
      <c r="AU596">
        <v>5.35</v>
      </c>
      <c r="AV596">
        <v>0</v>
      </c>
      <c r="AW596">
        <v>0.09</v>
      </c>
      <c r="AX596">
        <v>0</v>
      </c>
      <c r="AY596">
        <v>3.3</v>
      </c>
      <c r="AZ596">
        <v>162.49</v>
      </c>
      <c r="BA596">
        <v>0</v>
      </c>
      <c r="BB596">
        <v>0</v>
      </c>
      <c r="BC596">
        <v>0</v>
      </c>
      <c r="BD596">
        <v>0</v>
      </c>
    </row>
    <row r="597" spans="1:56" x14ac:dyDescent="0.25">
      <c r="A597" s="23">
        <v>46304</v>
      </c>
      <c r="B597">
        <v>596</v>
      </c>
      <c r="C597" t="s">
        <v>82</v>
      </c>
      <c r="D597" t="s">
        <v>83</v>
      </c>
      <c r="E597">
        <v>2</v>
      </c>
      <c r="F597">
        <v>180</v>
      </c>
      <c r="G597">
        <v>1</v>
      </c>
      <c r="H597" t="s">
        <v>95</v>
      </c>
      <c r="I597" t="s">
        <v>78</v>
      </c>
      <c r="J597" t="s">
        <v>90</v>
      </c>
      <c r="K597" t="s">
        <v>86</v>
      </c>
      <c r="L597" t="s">
        <v>71</v>
      </c>
      <c r="M597" t="s">
        <v>87</v>
      </c>
      <c r="O597" t="s">
        <v>88</v>
      </c>
      <c r="P597" t="s">
        <v>27</v>
      </c>
      <c r="Q597" t="s">
        <v>73</v>
      </c>
      <c r="R597" t="s">
        <v>76</v>
      </c>
      <c r="S597" t="s">
        <v>74</v>
      </c>
      <c r="T597" t="s">
        <v>75</v>
      </c>
      <c r="X597" t="s">
        <v>77</v>
      </c>
      <c r="Z597" t="s">
        <v>72</v>
      </c>
      <c r="AA597" t="s">
        <v>94</v>
      </c>
      <c r="AB597">
        <v>5</v>
      </c>
      <c r="AC597">
        <v>748784.37</v>
      </c>
      <c r="AD597">
        <v>8930515.3300000001</v>
      </c>
      <c r="AE597">
        <v>194.66</v>
      </c>
      <c r="AF597">
        <v>748784.37</v>
      </c>
      <c r="AG597">
        <v>8930515.3300000001</v>
      </c>
      <c r="AH597">
        <v>180.59</v>
      </c>
      <c r="AI597">
        <v>14.07</v>
      </c>
      <c r="AJ597">
        <v>0.6</v>
      </c>
      <c r="AK597">
        <v>3.37</v>
      </c>
      <c r="AL597">
        <v>2.93</v>
      </c>
      <c r="AM597">
        <v>0</v>
      </c>
      <c r="AN597">
        <v>0</v>
      </c>
      <c r="AO597">
        <v>358</v>
      </c>
      <c r="AP597">
        <v>3.23</v>
      </c>
      <c r="AQ597">
        <v>0.35</v>
      </c>
      <c r="AR597">
        <v>0.05</v>
      </c>
      <c r="AS597">
        <v>0.03</v>
      </c>
      <c r="AT597">
        <v>11.13</v>
      </c>
      <c r="AU597">
        <v>5.37</v>
      </c>
      <c r="AV597">
        <v>0</v>
      </c>
      <c r="AW597">
        <v>0</v>
      </c>
      <c r="AX597">
        <v>0</v>
      </c>
      <c r="AY597">
        <v>3.3</v>
      </c>
      <c r="AZ597">
        <v>156.81100000000001</v>
      </c>
      <c r="BA597">
        <v>0</v>
      </c>
      <c r="BB597">
        <v>0</v>
      </c>
      <c r="BC597">
        <v>0</v>
      </c>
      <c r="BD597">
        <v>0</v>
      </c>
    </row>
    <row r="598" spans="1:56" x14ac:dyDescent="0.25">
      <c r="A598" s="23">
        <v>46304</v>
      </c>
      <c r="B598">
        <v>597</v>
      </c>
      <c r="C598" t="s">
        <v>82</v>
      </c>
      <c r="D598" t="s">
        <v>83</v>
      </c>
      <c r="E598">
        <v>2</v>
      </c>
      <c r="F598">
        <v>180</v>
      </c>
      <c r="G598">
        <v>1</v>
      </c>
      <c r="H598" t="s">
        <v>96</v>
      </c>
      <c r="I598" t="s">
        <v>78</v>
      </c>
      <c r="J598" t="s">
        <v>90</v>
      </c>
      <c r="K598" t="s">
        <v>86</v>
      </c>
      <c r="L598" t="s">
        <v>71</v>
      </c>
      <c r="M598" t="s">
        <v>87</v>
      </c>
      <c r="O598" t="s">
        <v>88</v>
      </c>
      <c r="P598" t="s">
        <v>27</v>
      </c>
      <c r="Q598" t="s">
        <v>73</v>
      </c>
      <c r="R598" t="s">
        <v>76</v>
      </c>
      <c r="S598" t="s">
        <v>74</v>
      </c>
      <c r="T598" t="s">
        <v>75</v>
      </c>
      <c r="X598" t="s">
        <v>77</v>
      </c>
      <c r="Z598" t="s">
        <v>72</v>
      </c>
      <c r="AA598" t="s">
        <v>94</v>
      </c>
      <c r="AB598">
        <v>5</v>
      </c>
      <c r="AC598">
        <v>748787.68</v>
      </c>
      <c r="AD598">
        <v>8930515.9399999995</v>
      </c>
      <c r="AE598">
        <v>194.99</v>
      </c>
      <c r="AF598">
        <v>748787.68</v>
      </c>
      <c r="AG598">
        <v>8930515.9399999995</v>
      </c>
      <c r="AH598">
        <v>180.59</v>
      </c>
      <c r="AI598">
        <v>14.4</v>
      </c>
      <c r="AJ598">
        <v>0.6</v>
      </c>
      <c r="AK598">
        <v>3.37</v>
      </c>
      <c r="AL598">
        <v>2.93</v>
      </c>
      <c r="AM598">
        <v>0</v>
      </c>
      <c r="AN598">
        <v>0</v>
      </c>
      <c r="AO598">
        <v>358</v>
      </c>
      <c r="AP598">
        <v>3.24</v>
      </c>
      <c r="AQ598">
        <v>0.38</v>
      </c>
      <c r="AR598">
        <v>0.05</v>
      </c>
      <c r="AS598">
        <v>0.04</v>
      </c>
      <c r="AT598">
        <v>11.96</v>
      </c>
      <c r="AU598">
        <v>5.68</v>
      </c>
      <c r="AV598">
        <v>0.04</v>
      </c>
      <c r="AW598">
        <v>0.23</v>
      </c>
      <c r="AX598">
        <v>1.0900000000000001</v>
      </c>
      <c r="AY598">
        <v>3.3</v>
      </c>
      <c r="AZ598">
        <v>161.61600000000001</v>
      </c>
      <c r="BA598">
        <v>0</v>
      </c>
      <c r="BB598">
        <v>0</v>
      </c>
      <c r="BC598">
        <v>0</v>
      </c>
      <c r="BD598">
        <v>0</v>
      </c>
    </row>
    <row r="599" spans="1:56" x14ac:dyDescent="0.25">
      <c r="A599" s="23">
        <v>46304</v>
      </c>
      <c r="B599">
        <v>598</v>
      </c>
      <c r="C599" t="s">
        <v>82</v>
      </c>
      <c r="D599" t="s">
        <v>83</v>
      </c>
      <c r="E599">
        <v>2</v>
      </c>
      <c r="F599">
        <v>180</v>
      </c>
      <c r="G599">
        <v>1</v>
      </c>
      <c r="H599" t="s">
        <v>96</v>
      </c>
      <c r="I599" t="s">
        <v>91</v>
      </c>
      <c r="J599" t="s">
        <v>85</v>
      </c>
      <c r="K599" t="s">
        <v>86</v>
      </c>
      <c r="L599" t="s">
        <v>71</v>
      </c>
      <c r="M599" t="s">
        <v>87</v>
      </c>
      <c r="O599" t="s">
        <v>88</v>
      </c>
      <c r="P599" t="s">
        <v>27</v>
      </c>
      <c r="Q599" t="s">
        <v>73</v>
      </c>
      <c r="R599" t="s">
        <v>76</v>
      </c>
      <c r="S599" t="s">
        <v>74</v>
      </c>
      <c r="T599" t="s">
        <v>75</v>
      </c>
      <c r="X599" t="s">
        <v>77</v>
      </c>
      <c r="Z599" t="s">
        <v>72</v>
      </c>
      <c r="AA599" t="s">
        <v>94</v>
      </c>
      <c r="AB599">
        <v>5</v>
      </c>
      <c r="AC599">
        <v>748791</v>
      </c>
      <c r="AD599">
        <v>8930516.5</v>
      </c>
      <c r="AE599">
        <v>195.39</v>
      </c>
      <c r="AF599">
        <v>748791</v>
      </c>
      <c r="AG599">
        <v>8930516.5</v>
      </c>
      <c r="AH599">
        <v>180.6</v>
      </c>
      <c r="AI599">
        <v>14.79</v>
      </c>
      <c r="AJ599">
        <v>0.6</v>
      </c>
      <c r="AK599">
        <v>3.37</v>
      </c>
      <c r="AL599">
        <v>2.93</v>
      </c>
      <c r="AM599">
        <v>0</v>
      </c>
      <c r="AN599">
        <v>0</v>
      </c>
      <c r="AO599">
        <v>358</v>
      </c>
      <c r="AP599">
        <v>3.31</v>
      </c>
      <c r="AQ599">
        <v>0.49</v>
      </c>
      <c r="AR599">
        <v>0.06</v>
      </c>
      <c r="AS599">
        <v>0.06</v>
      </c>
      <c r="AT599">
        <v>15.2</v>
      </c>
      <c r="AU599">
        <v>6.26</v>
      </c>
      <c r="AV599">
        <v>0.19</v>
      </c>
      <c r="AW599">
        <v>0.89</v>
      </c>
      <c r="AX599">
        <v>2.96</v>
      </c>
      <c r="AY599">
        <v>3.3</v>
      </c>
      <c r="AZ599">
        <v>167.29400000000001</v>
      </c>
      <c r="BA599">
        <v>0</v>
      </c>
      <c r="BB599">
        <v>0</v>
      </c>
      <c r="BC599">
        <v>0</v>
      </c>
      <c r="BD599">
        <v>0</v>
      </c>
    </row>
    <row r="600" spans="1:56" x14ac:dyDescent="0.25">
      <c r="A600" s="23">
        <v>46304</v>
      </c>
      <c r="B600">
        <v>599</v>
      </c>
      <c r="C600" t="s">
        <v>82</v>
      </c>
      <c r="D600" t="s">
        <v>83</v>
      </c>
      <c r="E600">
        <v>2</v>
      </c>
      <c r="F600">
        <v>180</v>
      </c>
      <c r="G600">
        <v>1</v>
      </c>
      <c r="H600" t="s">
        <v>96</v>
      </c>
      <c r="I600" t="s">
        <v>91</v>
      </c>
      <c r="J600" t="s">
        <v>85</v>
      </c>
      <c r="K600" t="s">
        <v>86</v>
      </c>
      <c r="L600" t="s">
        <v>71</v>
      </c>
      <c r="M600" t="s">
        <v>87</v>
      </c>
      <c r="O600" t="s">
        <v>88</v>
      </c>
      <c r="P600" t="s">
        <v>27</v>
      </c>
      <c r="Q600" t="s">
        <v>73</v>
      </c>
      <c r="R600" t="s">
        <v>76</v>
      </c>
      <c r="S600" t="s">
        <v>74</v>
      </c>
      <c r="T600" t="s">
        <v>75</v>
      </c>
      <c r="X600" t="s">
        <v>77</v>
      </c>
      <c r="Z600" t="s">
        <v>72</v>
      </c>
      <c r="AA600" t="s">
        <v>94</v>
      </c>
      <c r="AB600">
        <v>5</v>
      </c>
      <c r="AC600">
        <v>748794.33</v>
      </c>
      <c r="AD600">
        <v>8930517.0600000005</v>
      </c>
      <c r="AE600">
        <v>195.29</v>
      </c>
      <c r="AF600">
        <v>748794.33</v>
      </c>
      <c r="AG600">
        <v>8930517.0600000005</v>
      </c>
      <c r="AH600">
        <v>179.4</v>
      </c>
      <c r="AI600">
        <v>15.89</v>
      </c>
      <c r="AJ600">
        <v>0.6</v>
      </c>
      <c r="AK600">
        <v>3.37</v>
      </c>
      <c r="AL600">
        <v>2.93</v>
      </c>
      <c r="AM600">
        <v>0</v>
      </c>
      <c r="AN600">
        <v>0</v>
      </c>
      <c r="AO600">
        <v>358</v>
      </c>
      <c r="AP600">
        <v>3.32</v>
      </c>
      <c r="AQ600">
        <v>0.51</v>
      </c>
      <c r="AR600">
        <v>0.06</v>
      </c>
      <c r="AS600">
        <v>7.0000000000000007E-2</v>
      </c>
      <c r="AT600">
        <v>17.38</v>
      </c>
      <c r="AU600">
        <v>6.2</v>
      </c>
      <c r="AV600">
        <v>0.3</v>
      </c>
      <c r="AW600">
        <v>1.23</v>
      </c>
      <c r="AX600">
        <v>2.79</v>
      </c>
      <c r="AY600">
        <v>3.3</v>
      </c>
      <c r="AZ600">
        <v>183.31</v>
      </c>
      <c r="BA600">
        <v>0</v>
      </c>
      <c r="BB600">
        <v>0</v>
      </c>
      <c r="BC600">
        <v>0</v>
      </c>
      <c r="BD600">
        <v>0</v>
      </c>
    </row>
    <row r="601" spans="1:56" x14ac:dyDescent="0.25">
      <c r="A601" s="23">
        <v>46304</v>
      </c>
      <c r="B601">
        <v>600</v>
      </c>
      <c r="C601" t="s">
        <v>82</v>
      </c>
      <c r="D601" t="s">
        <v>83</v>
      </c>
      <c r="E601">
        <v>2</v>
      </c>
      <c r="F601">
        <v>180</v>
      </c>
      <c r="G601">
        <v>1</v>
      </c>
      <c r="H601" t="s">
        <v>96</v>
      </c>
      <c r="I601" t="s">
        <v>91</v>
      </c>
      <c r="J601" t="s">
        <v>85</v>
      </c>
      <c r="K601" t="s">
        <v>86</v>
      </c>
      <c r="L601" t="s">
        <v>71</v>
      </c>
      <c r="M601" t="s">
        <v>87</v>
      </c>
      <c r="O601" t="s">
        <v>88</v>
      </c>
      <c r="P601" t="s">
        <v>27</v>
      </c>
      <c r="Q601" t="s">
        <v>73</v>
      </c>
      <c r="R601" t="s">
        <v>76</v>
      </c>
      <c r="S601" t="s">
        <v>74</v>
      </c>
      <c r="T601" t="s">
        <v>75</v>
      </c>
      <c r="X601" t="s">
        <v>77</v>
      </c>
      <c r="Z601" t="s">
        <v>72</v>
      </c>
      <c r="AA601" t="s">
        <v>94</v>
      </c>
      <c r="AB601">
        <v>5</v>
      </c>
      <c r="AC601">
        <v>748797.63</v>
      </c>
      <c r="AD601">
        <v>8930517.7100000009</v>
      </c>
      <c r="AE601">
        <v>195.01</v>
      </c>
      <c r="AF601">
        <v>748797.63</v>
      </c>
      <c r="AG601">
        <v>8930517.7100000009</v>
      </c>
      <c r="AH601">
        <v>179.4</v>
      </c>
      <c r="AI601">
        <v>15.61</v>
      </c>
      <c r="AJ601">
        <v>0.6</v>
      </c>
      <c r="AK601">
        <v>3.37</v>
      </c>
      <c r="AL601">
        <v>2.93</v>
      </c>
      <c r="AM601">
        <v>0</v>
      </c>
      <c r="AN601">
        <v>0</v>
      </c>
      <c r="AO601">
        <v>358</v>
      </c>
      <c r="AP601">
        <v>3.32</v>
      </c>
      <c r="AQ601">
        <v>0.52</v>
      </c>
      <c r="AR601">
        <v>0.06</v>
      </c>
      <c r="AS601">
        <v>7.0000000000000007E-2</v>
      </c>
      <c r="AT601">
        <v>18.579999999999998</v>
      </c>
      <c r="AU601">
        <v>6.15</v>
      </c>
      <c r="AV601">
        <v>0.37</v>
      </c>
      <c r="AW601">
        <v>1.43</v>
      </c>
      <c r="AX601">
        <v>2.69</v>
      </c>
      <c r="AY601">
        <v>3.3</v>
      </c>
      <c r="AZ601">
        <v>179.23400000000001</v>
      </c>
      <c r="BA601">
        <v>0</v>
      </c>
      <c r="BB601">
        <v>0</v>
      </c>
      <c r="BC601">
        <v>0</v>
      </c>
      <c r="BD601">
        <v>0</v>
      </c>
    </row>
    <row r="602" spans="1:56" x14ac:dyDescent="0.25">
      <c r="A602" s="23">
        <v>46304</v>
      </c>
      <c r="B602">
        <v>601</v>
      </c>
      <c r="C602" t="s">
        <v>82</v>
      </c>
      <c r="D602" t="s">
        <v>83</v>
      </c>
      <c r="E602">
        <v>2</v>
      </c>
      <c r="F602">
        <v>180</v>
      </c>
      <c r="G602">
        <v>1</v>
      </c>
      <c r="H602" t="s">
        <v>96</v>
      </c>
      <c r="I602" t="s">
        <v>91</v>
      </c>
      <c r="J602" t="s">
        <v>85</v>
      </c>
      <c r="K602" t="s">
        <v>86</v>
      </c>
      <c r="L602" t="s">
        <v>71</v>
      </c>
      <c r="M602" t="s">
        <v>87</v>
      </c>
      <c r="O602" t="s">
        <v>88</v>
      </c>
      <c r="P602" t="s">
        <v>27</v>
      </c>
      <c r="Q602" t="s">
        <v>73</v>
      </c>
      <c r="R602" t="s">
        <v>76</v>
      </c>
      <c r="S602" t="s">
        <v>74</v>
      </c>
      <c r="T602" t="s">
        <v>75</v>
      </c>
      <c r="X602" t="s">
        <v>77</v>
      </c>
      <c r="Z602" t="s">
        <v>72</v>
      </c>
      <c r="AA602" t="s">
        <v>94</v>
      </c>
      <c r="AB602">
        <v>5</v>
      </c>
      <c r="AC602">
        <v>748800.83</v>
      </c>
      <c r="AD602">
        <v>8930518.7599999998</v>
      </c>
      <c r="AE602">
        <v>194.92</v>
      </c>
      <c r="AF602">
        <v>748800.83</v>
      </c>
      <c r="AG602">
        <v>8930518.7599999998</v>
      </c>
      <c r="AH602">
        <v>179.4</v>
      </c>
      <c r="AI602">
        <v>15.52</v>
      </c>
      <c r="AJ602">
        <v>0.6</v>
      </c>
      <c r="AK602">
        <v>3.37</v>
      </c>
      <c r="AL602">
        <v>2.93</v>
      </c>
      <c r="AM602">
        <v>0</v>
      </c>
      <c r="AN602">
        <v>0</v>
      </c>
      <c r="AO602">
        <v>358</v>
      </c>
      <c r="AP602">
        <v>3.26</v>
      </c>
      <c r="AQ602">
        <v>0.46</v>
      </c>
      <c r="AR602">
        <v>0.06</v>
      </c>
      <c r="AS602">
        <v>7.0000000000000007E-2</v>
      </c>
      <c r="AT602">
        <v>17.739999999999998</v>
      </c>
      <c r="AU602">
        <v>5.73</v>
      </c>
      <c r="AV602">
        <v>0.37</v>
      </c>
      <c r="AW602">
        <v>1.26</v>
      </c>
      <c r="AX602">
        <v>3.49</v>
      </c>
      <c r="AY602">
        <v>3.3</v>
      </c>
      <c r="AZ602">
        <v>177.923</v>
      </c>
      <c r="BA602">
        <v>0</v>
      </c>
      <c r="BB602">
        <v>0</v>
      </c>
      <c r="BC602">
        <v>0</v>
      </c>
      <c r="BD602">
        <v>0</v>
      </c>
    </row>
    <row r="603" spans="1:56" x14ac:dyDescent="0.25">
      <c r="A603" s="23">
        <v>46304</v>
      </c>
      <c r="B603">
        <v>602</v>
      </c>
      <c r="C603" t="s">
        <v>82</v>
      </c>
      <c r="D603" t="s">
        <v>83</v>
      </c>
      <c r="E603">
        <v>2</v>
      </c>
      <c r="F603">
        <v>180</v>
      </c>
      <c r="G603">
        <v>1</v>
      </c>
      <c r="H603" t="s">
        <v>96</v>
      </c>
      <c r="I603" t="s">
        <v>91</v>
      </c>
      <c r="J603" t="s">
        <v>85</v>
      </c>
      <c r="K603" t="s">
        <v>86</v>
      </c>
      <c r="L603" t="s">
        <v>71</v>
      </c>
      <c r="M603" t="s">
        <v>87</v>
      </c>
      <c r="O603" t="s">
        <v>88</v>
      </c>
      <c r="P603" t="s">
        <v>27</v>
      </c>
      <c r="Q603" t="s">
        <v>73</v>
      </c>
      <c r="R603" t="s">
        <v>76</v>
      </c>
      <c r="S603" t="s">
        <v>74</v>
      </c>
      <c r="T603" t="s">
        <v>75</v>
      </c>
      <c r="X603" t="s">
        <v>77</v>
      </c>
      <c r="Z603" t="s">
        <v>72</v>
      </c>
      <c r="AA603" t="s">
        <v>94</v>
      </c>
      <c r="AB603">
        <v>5</v>
      </c>
      <c r="AC603">
        <v>748804.03</v>
      </c>
      <c r="AD603">
        <v>8930519.8200000003</v>
      </c>
      <c r="AE603">
        <v>194.98</v>
      </c>
      <c r="AF603">
        <v>748804.03</v>
      </c>
      <c r="AG603">
        <v>8930519.8200000003</v>
      </c>
      <c r="AH603">
        <v>179.4</v>
      </c>
      <c r="AI603">
        <v>15.58</v>
      </c>
      <c r="AJ603">
        <v>0.6</v>
      </c>
      <c r="AK603">
        <v>3.37</v>
      </c>
      <c r="AL603">
        <v>2.93</v>
      </c>
      <c r="AM603">
        <v>0</v>
      </c>
      <c r="AN603">
        <v>0</v>
      </c>
      <c r="AO603">
        <v>358</v>
      </c>
      <c r="AP603">
        <v>3.25</v>
      </c>
      <c r="AQ603">
        <v>0.42</v>
      </c>
      <c r="AR603">
        <v>0.06</v>
      </c>
      <c r="AS603">
        <v>7.0000000000000007E-2</v>
      </c>
      <c r="AT603">
        <v>17.510000000000002</v>
      </c>
      <c r="AU603">
        <v>5.57</v>
      </c>
      <c r="AV603">
        <v>0.36</v>
      </c>
      <c r="AW603">
        <v>1.19</v>
      </c>
      <c r="AX603">
        <v>4.17</v>
      </c>
      <c r="AY603">
        <v>3.3</v>
      </c>
      <c r="AZ603">
        <v>178.797</v>
      </c>
      <c r="BA603">
        <v>0</v>
      </c>
      <c r="BB603">
        <v>0</v>
      </c>
      <c r="BC603">
        <v>0</v>
      </c>
      <c r="BD603">
        <v>0</v>
      </c>
    </row>
    <row r="604" spans="1:56" x14ac:dyDescent="0.25">
      <c r="A604" s="23">
        <v>46304</v>
      </c>
      <c r="B604">
        <v>603</v>
      </c>
      <c r="C604" t="s">
        <v>82</v>
      </c>
      <c r="D604" t="s">
        <v>83</v>
      </c>
      <c r="E604">
        <v>2</v>
      </c>
      <c r="F604">
        <v>180</v>
      </c>
      <c r="G604">
        <v>1</v>
      </c>
      <c r="H604" t="s">
        <v>96</v>
      </c>
      <c r="I604" t="s">
        <v>91</v>
      </c>
      <c r="J604" t="s">
        <v>85</v>
      </c>
      <c r="K604" t="s">
        <v>86</v>
      </c>
      <c r="L604" t="s">
        <v>71</v>
      </c>
      <c r="M604" t="s">
        <v>87</v>
      </c>
      <c r="O604" t="s">
        <v>88</v>
      </c>
      <c r="P604" t="s">
        <v>27</v>
      </c>
      <c r="Q604" t="s">
        <v>73</v>
      </c>
      <c r="R604" t="s">
        <v>76</v>
      </c>
      <c r="S604" t="s">
        <v>74</v>
      </c>
      <c r="T604" t="s">
        <v>75</v>
      </c>
      <c r="X604" t="s">
        <v>77</v>
      </c>
      <c r="Z604" t="s">
        <v>72</v>
      </c>
      <c r="AA604" t="s">
        <v>94</v>
      </c>
      <c r="AB604">
        <v>5</v>
      </c>
      <c r="AC604">
        <v>748807.29</v>
      </c>
      <c r="AD604">
        <v>8930520.6600000001</v>
      </c>
      <c r="AE604">
        <v>195.02</v>
      </c>
      <c r="AF604">
        <v>748807.29</v>
      </c>
      <c r="AG604">
        <v>8930520.6600000001</v>
      </c>
      <c r="AH604">
        <v>179.4</v>
      </c>
      <c r="AI604">
        <v>15.62</v>
      </c>
      <c r="AJ604">
        <v>0.6</v>
      </c>
      <c r="AK604">
        <v>3.37</v>
      </c>
      <c r="AL604">
        <v>2.93</v>
      </c>
      <c r="AM604">
        <v>0</v>
      </c>
      <c r="AN604">
        <v>0</v>
      </c>
      <c r="AO604">
        <v>358</v>
      </c>
      <c r="AP604">
        <v>3.25</v>
      </c>
      <c r="AQ604">
        <v>0.4</v>
      </c>
      <c r="AR604">
        <v>0.06</v>
      </c>
      <c r="AS604">
        <v>7.0000000000000007E-2</v>
      </c>
      <c r="AT604">
        <v>17.54</v>
      </c>
      <c r="AU604">
        <v>5.54</v>
      </c>
      <c r="AV604">
        <v>0.34</v>
      </c>
      <c r="AW604">
        <v>1.17</v>
      </c>
      <c r="AX604">
        <v>4.42</v>
      </c>
      <c r="AY604">
        <v>3.3</v>
      </c>
      <c r="AZ604">
        <v>179.37899999999999</v>
      </c>
      <c r="BA604">
        <v>0</v>
      </c>
      <c r="BB604">
        <v>0</v>
      </c>
      <c r="BC604">
        <v>0</v>
      </c>
      <c r="BD604">
        <v>0</v>
      </c>
    </row>
    <row r="605" spans="1:56" x14ac:dyDescent="0.25">
      <c r="A605" s="23">
        <v>46304</v>
      </c>
      <c r="B605">
        <v>604</v>
      </c>
      <c r="C605" t="s">
        <v>82</v>
      </c>
      <c r="D605" t="s">
        <v>83</v>
      </c>
      <c r="E605">
        <v>2</v>
      </c>
      <c r="F605">
        <v>180</v>
      </c>
      <c r="G605">
        <v>1</v>
      </c>
      <c r="H605" t="s">
        <v>96</v>
      </c>
      <c r="I605" t="s">
        <v>91</v>
      </c>
      <c r="J605" t="s">
        <v>90</v>
      </c>
      <c r="K605" t="s">
        <v>86</v>
      </c>
      <c r="L605" t="s">
        <v>71</v>
      </c>
      <c r="M605" t="s">
        <v>87</v>
      </c>
      <c r="O605" t="s">
        <v>88</v>
      </c>
      <c r="P605" t="s">
        <v>27</v>
      </c>
      <c r="Q605" t="s">
        <v>73</v>
      </c>
      <c r="R605" t="s">
        <v>76</v>
      </c>
      <c r="S605" t="s">
        <v>74</v>
      </c>
      <c r="T605" t="s">
        <v>75</v>
      </c>
      <c r="X605" t="s">
        <v>77</v>
      </c>
      <c r="Z605" t="s">
        <v>72</v>
      </c>
      <c r="AA605" t="s">
        <v>94</v>
      </c>
      <c r="AB605">
        <v>5</v>
      </c>
      <c r="AC605">
        <v>748810.59</v>
      </c>
      <c r="AD605">
        <v>8930521.3399999999</v>
      </c>
      <c r="AE605">
        <v>195.26</v>
      </c>
      <c r="AF605">
        <v>748810.59</v>
      </c>
      <c r="AG605">
        <v>8930521.3399999999</v>
      </c>
      <c r="AH605">
        <v>179.4</v>
      </c>
      <c r="AI605">
        <v>15.86</v>
      </c>
      <c r="AJ605">
        <v>0.6</v>
      </c>
      <c r="AK605">
        <v>3.37</v>
      </c>
      <c r="AL605">
        <v>2.93</v>
      </c>
      <c r="AM605">
        <v>0</v>
      </c>
      <c r="AN605">
        <v>0</v>
      </c>
      <c r="AO605">
        <v>358</v>
      </c>
      <c r="AP605">
        <v>3.25</v>
      </c>
      <c r="AQ605">
        <v>0.39</v>
      </c>
      <c r="AR605">
        <v>0.06</v>
      </c>
      <c r="AS605">
        <v>0.06</v>
      </c>
      <c r="AT605">
        <v>16.920000000000002</v>
      </c>
      <c r="AU605">
        <v>5.52</v>
      </c>
      <c r="AV605">
        <v>0.35</v>
      </c>
      <c r="AW605">
        <v>1.1100000000000001</v>
      </c>
      <c r="AX605">
        <v>3.77</v>
      </c>
      <c r="AY605">
        <v>3.3</v>
      </c>
      <c r="AZ605">
        <v>182.874</v>
      </c>
      <c r="BA605">
        <v>0</v>
      </c>
      <c r="BB605">
        <v>0</v>
      </c>
      <c r="BC605">
        <v>0</v>
      </c>
      <c r="BD605">
        <v>0</v>
      </c>
    </row>
    <row r="606" spans="1:56" x14ac:dyDescent="0.25">
      <c r="A606" s="23">
        <v>46304</v>
      </c>
      <c r="B606">
        <v>605</v>
      </c>
      <c r="C606" t="s">
        <v>82</v>
      </c>
      <c r="D606" t="s">
        <v>83</v>
      </c>
      <c r="E606">
        <v>2</v>
      </c>
      <c r="F606">
        <v>180</v>
      </c>
      <c r="G606">
        <v>1</v>
      </c>
      <c r="H606" t="s">
        <v>96</v>
      </c>
      <c r="I606" t="s">
        <v>91</v>
      </c>
      <c r="J606" t="s">
        <v>85</v>
      </c>
      <c r="K606" t="s">
        <v>86</v>
      </c>
      <c r="L606" t="s">
        <v>71</v>
      </c>
      <c r="M606" t="s">
        <v>87</v>
      </c>
      <c r="O606" t="s">
        <v>88</v>
      </c>
      <c r="P606" t="s">
        <v>27</v>
      </c>
      <c r="Q606" t="s">
        <v>73</v>
      </c>
      <c r="R606" t="s">
        <v>76</v>
      </c>
      <c r="S606" t="s">
        <v>74</v>
      </c>
      <c r="T606" t="s">
        <v>75</v>
      </c>
      <c r="X606" t="s">
        <v>77</v>
      </c>
      <c r="Z606" t="s">
        <v>72</v>
      </c>
      <c r="AA606" t="s">
        <v>94</v>
      </c>
      <c r="AB606">
        <v>5</v>
      </c>
      <c r="AC606">
        <v>748812.51</v>
      </c>
      <c r="AD606">
        <v>8930518.9100000001</v>
      </c>
      <c r="AE606">
        <v>195.52</v>
      </c>
      <c r="AF606">
        <v>748812.51</v>
      </c>
      <c r="AG606">
        <v>8930518.9100000001</v>
      </c>
      <c r="AH606">
        <v>179.4</v>
      </c>
      <c r="AI606">
        <v>16.12</v>
      </c>
      <c r="AJ606">
        <v>0.6</v>
      </c>
      <c r="AK606">
        <v>3.37</v>
      </c>
      <c r="AL606">
        <v>2.93</v>
      </c>
      <c r="AM606">
        <v>0</v>
      </c>
      <c r="AN606">
        <v>0</v>
      </c>
      <c r="AO606">
        <v>358</v>
      </c>
      <c r="AP606">
        <v>3.26</v>
      </c>
      <c r="AQ606">
        <v>0.47</v>
      </c>
      <c r="AR606">
        <v>7.0000000000000007E-2</v>
      </c>
      <c r="AS606">
        <v>0.06</v>
      </c>
      <c r="AT606">
        <v>17.12</v>
      </c>
      <c r="AU606">
        <v>5.49</v>
      </c>
      <c r="AV606">
        <v>0.4</v>
      </c>
      <c r="AW606">
        <v>1.17</v>
      </c>
      <c r="AX606">
        <v>0.72</v>
      </c>
      <c r="AY606">
        <v>3.3</v>
      </c>
      <c r="AZ606">
        <v>186.65899999999999</v>
      </c>
      <c r="BA606">
        <v>0</v>
      </c>
      <c r="BB606">
        <v>0</v>
      </c>
      <c r="BC606">
        <v>0</v>
      </c>
      <c r="BD606">
        <v>0</v>
      </c>
    </row>
    <row r="607" spans="1:56" x14ac:dyDescent="0.25">
      <c r="A607" s="23">
        <v>46304</v>
      </c>
      <c r="B607">
        <v>606</v>
      </c>
      <c r="C607" t="s">
        <v>82</v>
      </c>
      <c r="D607" t="s">
        <v>83</v>
      </c>
      <c r="E607">
        <v>2</v>
      </c>
      <c r="F607">
        <v>180</v>
      </c>
      <c r="G607">
        <v>1</v>
      </c>
      <c r="H607" t="s">
        <v>96</v>
      </c>
      <c r="I607" t="s">
        <v>91</v>
      </c>
      <c r="J607" t="s">
        <v>85</v>
      </c>
      <c r="K607" t="s">
        <v>86</v>
      </c>
      <c r="L607" t="s">
        <v>71</v>
      </c>
      <c r="M607" t="s">
        <v>87</v>
      </c>
      <c r="O607" t="s">
        <v>88</v>
      </c>
      <c r="P607" t="s">
        <v>27</v>
      </c>
      <c r="Q607" t="s">
        <v>73</v>
      </c>
      <c r="R607" t="s">
        <v>76</v>
      </c>
      <c r="S607" t="s">
        <v>74</v>
      </c>
      <c r="T607" t="s">
        <v>75</v>
      </c>
      <c r="X607" t="s">
        <v>77</v>
      </c>
      <c r="Z607" t="s">
        <v>72</v>
      </c>
      <c r="AA607" t="s">
        <v>94</v>
      </c>
      <c r="AB607">
        <v>5</v>
      </c>
      <c r="AC607">
        <v>748809.85</v>
      </c>
      <c r="AD607">
        <v>8930518.1999999993</v>
      </c>
      <c r="AE607">
        <v>195.28</v>
      </c>
      <c r="AF607">
        <v>748809.85</v>
      </c>
      <c r="AG607">
        <v>8930518.1999999993</v>
      </c>
      <c r="AH607">
        <v>179.4</v>
      </c>
      <c r="AI607">
        <v>15.88</v>
      </c>
      <c r="AJ607">
        <v>0.6</v>
      </c>
      <c r="AK607">
        <v>3.37</v>
      </c>
      <c r="AL607">
        <v>2.93</v>
      </c>
      <c r="AM607">
        <v>0</v>
      </c>
      <c r="AN607">
        <v>0</v>
      </c>
      <c r="AO607">
        <v>358</v>
      </c>
      <c r="AP607">
        <v>3.25</v>
      </c>
      <c r="AQ607">
        <v>0.47</v>
      </c>
      <c r="AR607">
        <v>7.0000000000000007E-2</v>
      </c>
      <c r="AS607">
        <v>0.06</v>
      </c>
      <c r="AT607">
        <v>17.37</v>
      </c>
      <c r="AU607">
        <v>5.56</v>
      </c>
      <c r="AV607">
        <v>0.39</v>
      </c>
      <c r="AW607">
        <v>1.2</v>
      </c>
      <c r="AX607">
        <v>2.19</v>
      </c>
      <c r="AY607">
        <v>3.3</v>
      </c>
      <c r="AZ607">
        <v>183.16499999999999</v>
      </c>
      <c r="BA607">
        <v>0</v>
      </c>
      <c r="BB607">
        <v>0</v>
      </c>
      <c r="BC607">
        <v>0</v>
      </c>
      <c r="BD607">
        <v>0</v>
      </c>
    </row>
    <row r="608" spans="1:56" x14ac:dyDescent="0.25">
      <c r="A608" s="23">
        <v>46304</v>
      </c>
      <c r="B608">
        <v>607</v>
      </c>
      <c r="C608" t="s">
        <v>82</v>
      </c>
      <c r="D608" t="s">
        <v>83</v>
      </c>
      <c r="E608">
        <v>2</v>
      </c>
      <c r="F608">
        <v>180</v>
      </c>
      <c r="G608">
        <v>1</v>
      </c>
      <c r="H608" t="s">
        <v>96</v>
      </c>
      <c r="I608" t="s">
        <v>91</v>
      </c>
      <c r="J608" t="s">
        <v>85</v>
      </c>
      <c r="K608" t="s">
        <v>86</v>
      </c>
      <c r="L608" t="s">
        <v>71</v>
      </c>
      <c r="M608" t="s">
        <v>87</v>
      </c>
      <c r="O608" t="s">
        <v>88</v>
      </c>
      <c r="P608" t="s">
        <v>27</v>
      </c>
      <c r="Q608" t="s">
        <v>73</v>
      </c>
      <c r="R608" t="s">
        <v>76</v>
      </c>
      <c r="S608" t="s">
        <v>74</v>
      </c>
      <c r="T608" t="s">
        <v>75</v>
      </c>
      <c r="X608" t="s">
        <v>77</v>
      </c>
      <c r="Z608" t="s">
        <v>72</v>
      </c>
      <c r="AA608" t="s">
        <v>94</v>
      </c>
      <c r="AB608">
        <v>5</v>
      </c>
      <c r="AC608">
        <v>748806.57</v>
      </c>
      <c r="AD608">
        <v>8930517.4499999993</v>
      </c>
      <c r="AE608">
        <v>195.24</v>
      </c>
      <c r="AF608">
        <v>748806.57</v>
      </c>
      <c r="AG608">
        <v>8930517.4499999993</v>
      </c>
      <c r="AH608">
        <v>179.4</v>
      </c>
      <c r="AI608">
        <v>15.84</v>
      </c>
      <c r="AJ608">
        <v>0.6</v>
      </c>
      <c r="AK608">
        <v>3.37</v>
      </c>
      <c r="AL608">
        <v>2.93</v>
      </c>
      <c r="AM608">
        <v>0</v>
      </c>
      <c r="AN608">
        <v>0</v>
      </c>
      <c r="AO608">
        <v>358</v>
      </c>
      <c r="AP608">
        <v>3.25</v>
      </c>
      <c r="AQ608">
        <v>0.46</v>
      </c>
      <c r="AR608">
        <v>7.0000000000000007E-2</v>
      </c>
      <c r="AS608">
        <v>7.0000000000000007E-2</v>
      </c>
      <c r="AT608">
        <v>17.48</v>
      </c>
      <c r="AU608">
        <v>5.62</v>
      </c>
      <c r="AV608">
        <v>0.38</v>
      </c>
      <c r="AW608">
        <v>1.22</v>
      </c>
      <c r="AX608">
        <v>3.89</v>
      </c>
      <c r="AY608">
        <v>3.3</v>
      </c>
      <c r="AZ608">
        <v>182.58199999999999</v>
      </c>
      <c r="BA608">
        <v>0</v>
      </c>
      <c r="BB608">
        <v>0</v>
      </c>
      <c r="BC608">
        <v>0</v>
      </c>
      <c r="BD608">
        <v>0</v>
      </c>
    </row>
    <row r="609" spans="1:56" x14ac:dyDescent="0.25">
      <c r="A609" s="23">
        <v>46304</v>
      </c>
      <c r="B609">
        <v>608</v>
      </c>
      <c r="C609" t="s">
        <v>82</v>
      </c>
      <c r="D609" t="s">
        <v>83</v>
      </c>
      <c r="E609">
        <v>2</v>
      </c>
      <c r="F609">
        <v>180</v>
      </c>
      <c r="G609">
        <v>1</v>
      </c>
      <c r="H609" t="s">
        <v>96</v>
      </c>
      <c r="I609" t="s">
        <v>91</v>
      </c>
      <c r="J609" t="s">
        <v>85</v>
      </c>
      <c r="K609" t="s">
        <v>86</v>
      </c>
      <c r="L609" t="s">
        <v>71</v>
      </c>
      <c r="M609" t="s">
        <v>87</v>
      </c>
      <c r="O609" t="s">
        <v>88</v>
      </c>
      <c r="P609" t="s">
        <v>27</v>
      </c>
      <c r="Q609" t="s">
        <v>73</v>
      </c>
      <c r="R609" t="s">
        <v>76</v>
      </c>
      <c r="S609" t="s">
        <v>74</v>
      </c>
      <c r="T609" t="s">
        <v>75</v>
      </c>
      <c r="X609" t="s">
        <v>77</v>
      </c>
      <c r="Z609" t="s">
        <v>72</v>
      </c>
      <c r="AA609" t="s">
        <v>94</v>
      </c>
      <c r="AB609">
        <v>5</v>
      </c>
      <c r="AC609">
        <v>748803.33</v>
      </c>
      <c r="AD609">
        <v>8930516.5199999996</v>
      </c>
      <c r="AE609">
        <v>195.14</v>
      </c>
      <c r="AF609">
        <v>748803.33</v>
      </c>
      <c r="AG609">
        <v>8930516.5199999996</v>
      </c>
      <c r="AH609">
        <v>179.4</v>
      </c>
      <c r="AI609">
        <v>15.74</v>
      </c>
      <c r="AJ609">
        <v>0.6</v>
      </c>
      <c r="AK609">
        <v>3.37</v>
      </c>
      <c r="AL609">
        <v>2.93</v>
      </c>
      <c r="AM609">
        <v>0</v>
      </c>
      <c r="AN609">
        <v>0</v>
      </c>
      <c r="AO609">
        <v>358</v>
      </c>
      <c r="AP609">
        <v>3.25</v>
      </c>
      <c r="AQ609">
        <v>0.46</v>
      </c>
      <c r="AR609">
        <v>7.0000000000000007E-2</v>
      </c>
      <c r="AS609">
        <v>7.0000000000000007E-2</v>
      </c>
      <c r="AT609">
        <v>17.47</v>
      </c>
      <c r="AU609">
        <v>5.62</v>
      </c>
      <c r="AV609">
        <v>0.38</v>
      </c>
      <c r="AW609">
        <v>1.22</v>
      </c>
      <c r="AX609">
        <v>3.84</v>
      </c>
      <c r="AY609">
        <v>3.3</v>
      </c>
      <c r="AZ609">
        <v>181.126</v>
      </c>
      <c r="BA609">
        <v>0</v>
      </c>
      <c r="BB609">
        <v>0</v>
      </c>
      <c r="BC609">
        <v>0</v>
      </c>
      <c r="BD609">
        <v>0</v>
      </c>
    </row>
    <row r="610" spans="1:56" x14ac:dyDescent="0.25">
      <c r="A610" s="23">
        <v>46304</v>
      </c>
      <c r="B610">
        <v>609</v>
      </c>
      <c r="C610" t="s">
        <v>82</v>
      </c>
      <c r="D610" t="s">
        <v>83</v>
      </c>
      <c r="E610">
        <v>2</v>
      </c>
      <c r="F610">
        <v>180</v>
      </c>
      <c r="G610">
        <v>1</v>
      </c>
      <c r="H610" t="s">
        <v>96</v>
      </c>
      <c r="I610" t="s">
        <v>91</v>
      </c>
      <c r="J610" t="s">
        <v>85</v>
      </c>
      <c r="K610" t="s">
        <v>86</v>
      </c>
      <c r="L610" t="s">
        <v>71</v>
      </c>
      <c r="M610" t="s">
        <v>87</v>
      </c>
      <c r="O610" t="s">
        <v>88</v>
      </c>
      <c r="P610" t="s">
        <v>27</v>
      </c>
      <c r="Q610" t="s">
        <v>73</v>
      </c>
      <c r="R610" t="s">
        <v>76</v>
      </c>
      <c r="S610" t="s">
        <v>74</v>
      </c>
      <c r="T610" t="s">
        <v>75</v>
      </c>
      <c r="X610" t="s">
        <v>77</v>
      </c>
      <c r="Z610" t="s">
        <v>72</v>
      </c>
      <c r="AA610" t="s">
        <v>94</v>
      </c>
      <c r="AB610">
        <v>5</v>
      </c>
      <c r="AC610">
        <v>748800.13</v>
      </c>
      <c r="AD610">
        <v>8930515.4700000007</v>
      </c>
      <c r="AE610">
        <v>195.1</v>
      </c>
      <c r="AF610">
        <v>748800.13</v>
      </c>
      <c r="AG610">
        <v>8930515.4700000007</v>
      </c>
      <c r="AH610">
        <v>179.4</v>
      </c>
      <c r="AI610">
        <v>15.7</v>
      </c>
      <c r="AJ610">
        <v>0.6</v>
      </c>
      <c r="AK610">
        <v>3.37</v>
      </c>
      <c r="AL610">
        <v>2.93</v>
      </c>
      <c r="AM610">
        <v>0</v>
      </c>
      <c r="AN610">
        <v>0</v>
      </c>
      <c r="AO610">
        <v>358</v>
      </c>
      <c r="AP610">
        <v>3.28</v>
      </c>
      <c r="AQ610">
        <v>0.49</v>
      </c>
      <c r="AR610">
        <v>0.06</v>
      </c>
      <c r="AS610">
        <v>7.0000000000000007E-2</v>
      </c>
      <c r="AT610">
        <v>17.989999999999998</v>
      </c>
      <c r="AU610">
        <v>5.87</v>
      </c>
      <c r="AV610">
        <v>0.37</v>
      </c>
      <c r="AW610">
        <v>1.32</v>
      </c>
      <c r="AX610">
        <v>3.31</v>
      </c>
      <c r="AY610">
        <v>3.3</v>
      </c>
      <c r="AZ610">
        <v>180.54400000000001</v>
      </c>
      <c r="BA610">
        <v>0</v>
      </c>
      <c r="BB610">
        <v>0</v>
      </c>
      <c r="BC610">
        <v>0</v>
      </c>
      <c r="BD610">
        <v>0</v>
      </c>
    </row>
    <row r="611" spans="1:56" x14ac:dyDescent="0.25">
      <c r="A611" s="23">
        <v>46304</v>
      </c>
      <c r="B611">
        <v>610</v>
      </c>
      <c r="C611" t="s">
        <v>82</v>
      </c>
      <c r="D611" t="s">
        <v>83</v>
      </c>
      <c r="E611">
        <v>2</v>
      </c>
      <c r="F611">
        <v>180</v>
      </c>
      <c r="G611">
        <v>1</v>
      </c>
      <c r="H611" t="s">
        <v>96</v>
      </c>
      <c r="I611" t="s">
        <v>91</v>
      </c>
      <c r="J611" t="s">
        <v>85</v>
      </c>
      <c r="K611" t="s">
        <v>86</v>
      </c>
      <c r="L611" t="s">
        <v>71</v>
      </c>
      <c r="M611" t="s">
        <v>87</v>
      </c>
      <c r="O611" t="s">
        <v>88</v>
      </c>
      <c r="P611" t="s">
        <v>27</v>
      </c>
      <c r="Q611" t="s">
        <v>73</v>
      </c>
      <c r="R611" t="s">
        <v>76</v>
      </c>
      <c r="S611" t="s">
        <v>74</v>
      </c>
      <c r="T611" t="s">
        <v>75</v>
      </c>
      <c r="X611" t="s">
        <v>77</v>
      </c>
      <c r="Z611" t="s">
        <v>72</v>
      </c>
      <c r="AA611" t="s">
        <v>94</v>
      </c>
      <c r="AB611">
        <v>5</v>
      </c>
      <c r="AC611">
        <v>748796.88</v>
      </c>
      <c r="AD611">
        <v>8930514.5999999996</v>
      </c>
      <c r="AE611">
        <v>195.23</v>
      </c>
      <c r="AF611">
        <v>748796.88</v>
      </c>
      <c r="AG611">
        <v>8930514.5999999996</v>
      </c>
      <c r="AH611">
        <v>179.4</v>
      </c>
      <c r="AI611">
        <v>15.83</v>
      </c>
      <c r="AJ611">
        <v>0.6</v>
      </c>
      <c r="AK611">
        <v>3.37</v>
      </c>
      <c r="AL611">
        <v>2.93</v>
      </c>
      <c r="AM611">
        <v>0</v>
      </c>
      <c r="AN611">
        <v>0</v>
      </c>
      <c r="AO611">
        <v>358</v>
      </c>
      <c r="AP611">
        <v>3.32</v>
      </c>
      <c r="AQ611">
        <v>0.52</v>
      </c>
      <c r="AR611">
        <v>0.06</v>
      </c>
      <c r="AS611">
        <v>7.0000000000000007E-2</v>
      </c>
      <c r="AT611">
        <v>18.57</v>
      </c>
      <c r="AU611">
        <v>6.17</v>
      </c>
      <c r="AV611">
        <v>0.37</v>
      </c>
      <c r="AW611">
        <v>1.44</v>
      </c>
      <c r="AX611">
        <v>2.77</v>
      </c>
      <c r="AY611">
        <v>3.3</v>
      </c>
      <c r="AZ611">
        <v>182.43700000000001</v>
      </c>
      <c r="BA611">
        <v>0</v>
      </c>
      <c r="BB611">
        <v>0</v>
      </c>
      <c r="BC611">
        <v>0</v>
      </c>
      <c r="BD611">
        <v>0</v>
      </c>
    </row>
    <row r="612" spans="1:56" x14ac:dyDescent="0.25">
      <c r="A612" s="23">
        <v>46304</v>
      </c>
      <c r="B612">
        <v>611</v>
      </c>
      <c r="C612" t="s">
        <v>82</v>
      </c>
      <c r="D612" t="s">
        <v>83</v>
      </c>
      <c r="E612">
        <v>2</v>
      </c>
      <c r="F612">
        <v>180</v>
      </c>
      <c r="G612">
        <v>1</v>
      </c>
      <c r="H612" t="s">
        <v>96</v>
      </c>
      <c r="I612" t="s">
        <v>91</v>
      </c>
      <c r="J612" t="s">
        <v>85</v>
      </c>
      <c r="K612" t="s">
        <v>86</v>
      </c>
      <c r="L612" t="s">
        <v>71</v>
      </c>
      <c r="M612" t="s">
        <v>87</v>
      </c>
      <c r="O612" t="s">
        <v>88</v>
      </c>
      <c r="P612" t="s">
        <v>27</v>
      </c>
      <c r="Q612" t="s">
        <v>73</v>
      </c>
      <c r="R612" t="s">
        <v>76</v>
      </c>
      <c r="S612" t="s">
        <v>74</v>
      </c>
      <c r="T612" t="s">
        <v>75</v>
      </c>
      <c r="X612" t="s">
        <v>77</v>
      </c>
      <c r="Z612" t="s">
        <v>72</v>
      </c>
      <c r="AA612" t="s">
        <v>94</v>
      </c>
      <c r="AB612">
        <v>5</v>
      </c>
      <c r="AC612">
        <v>748793.58</v>
      </c>
      <c r="AD612">
        <v>8930513.9600000009</v>
      </c>
      <c r="AE612">
        <v>195.48</v>
      </c>
      <c r="AF612">
        <v>748793.58</v>
      </c>
      <c r="AG612">
        <v>8930513.9600000009</v>
      </c>
      <c r="AH612">
        <v>179.4</v>
      </c>
      <c r="AI612">
        <v>16.079999999999998</v>
      </c>
      <c r="AJ612">
        <v>0.6</v>
      </c>
      <c r="AK612">
        <v>3.37</v>
      </c>
      <c r="AL612">
        <v>2.93</v>
      </c>
      <c r="AM612">
        <v>0</v>
      </c>
      <c r="AN612">
        <v>0</v>
      </c>
      <c r="AO612">
        <v>358</v>
      </c>
      <c r="AP612">
        <v>3.32</v>
      </c>
      <c r="AQ612">
        <v>0.51</v>
      </c>
      <c r="AR612">
        <v>0.06</v>
      </c>
      <c r="AS612">
        <v>7.0000000000000007E-2</v>
      </c>
      <c r="AT612">
        <v>17.010000000000002</v>
      </c>
      <c r="AU612">
        <v>6.22</v>
      </c>
      <c r="AV612">
        <v>0.28000000000000003</v>
      </c>
      <c r="AW612">
        <v>1.17</v>
      </c>
      <c r="AX612">
        <v>2.85</v>
      </c>
      <c r="AY612">
        <v>3.3</v>
      </c>
      <c r="AZ612">
        <v>186.077</v>
      </c>
      <c r="BA612">
        <v>0</v>
      </c>
      <c r="BB612">
        <v>0</v>
      </c>
      <c r="BC612">
        <v>0</v>
      </c>
      <c r="BD612">
        <v>0</v>
      </c>
    </row>
    <row r="613" spans="1:56" x14ac:dyDescent="0.25">
      <c r="A613" s="23">
        <v>46304</v>
      </c>
      <c r="B613">
        <v>612</v>
      </c>
      <c r="C613" t="s">
        <v>82</v>
      </c>
      <c r="D613" t="s">
        <v>83</v>
      </c>
      <c r="E613">
        <v>2</v>
      </c>
      <c r="F613">
        <v>180</v>
      </c>
      <c r="G613">
        <v>1</v>
      </c>
      <c r="H613" t="s">
        <v>96</v>
      </c>
      <c r="I613" t="s">
        <v>78</v>
      </c>
      <c r="J613" t="s">
        <v>90</v>
      </c>
      <c r="K613" t="s">
        <v>86</v>
      </c>
      <c r="L613" t="s">
        <v>71</v>
      </c>
      <c r="M613" t="s">
        <v>87</v>
      </c>
      <c r="O613" t="s">
        <v>88</v>
      </c>
      <c r="P613" t="s">
        <v>27</v>
      </c>
      <c r="Q613" t="s">
        <v>73</v>
      </c>
      <c r="R613" t="s">
        <v>76</v>
      </c>
      <c r="S613" t="s">
        <v>74</v>
      </c>
      <c r="T613" t="s">
        <v>75</v>
      </c>
      <c r="X613" t="s">
        <v>77</v>
      </c>
      <c r="Z613" t="s">
        <v>72</v>
      </c>
      <c r="AA613" t="s">
        <v>94</v>
      </c>
      <c r="AB613">
        <v>5</v>
      </c>
      <c r="AC613">
        <v>748790.26</v>
      </c>
      <c r="AD613">
        <v>8930513.4000000004</v>
      </c>
      <c r="AE613">
        <v>195.21</v>
      </c>
      <c r="AF613">
        <v>748790.26</v>
      </c>
      <c r="AG613">
        <v>8930513.4000000004</v>
      </c>
      <c r="AH613">
        <v>179.4</v>
      </c>
      <c r="AI613">
        <v>15.81</v>
      </c>
      <c r="AJ613">
        <v>0.6</v>
      </c>
      <c r="AK613">
        <v>3.37</v>
      </c>
      <c r="AL613">
        <v>2.93</v>
      </c>
      <c r="AM613">
        <v>0</v>
      </c>
      <c r="AN613">
        <v>0</v>
      </c>
      <c r="AO613">
        <v>358</v>
      </c>
      <c r="AP613">
        <v>3.29</v>
      </c>
      <c r="AQ613">
        <v>0.46</v>
      </c>
      <c r="AR613">
        <v>0.06</v>
      </c>
      <c r="AS613">
        <v>0.05</v>
      </c>
      <c r="AT613">
        <v>14.32</v>
      </c>
      <c r="AU613">
        <v>6.14</v>
      </c>
      <c r="AV613">
        <v>0.15</v>
      </c>
      <c r="AW613">
        <v>0.71</v>
      </c>
      <c r="AX613">
        <v>2.48</v>
      </c>
      <c r="AY613">
        <v>3.3</v>
      </c>
      <c r="AZ613">
        <v>182.14599999999999</v>
      </c>
      <c r="BA613">
        <v>0</v>
      </c>
      <c r="BB613">
        <v>0</v>
      </c>
      <c r="BC613">
        <v>0</v>
      </c>
      <c r="BD613">
        <v>0</v>
      </c>
    </row>
    <row r="614" spans="1:56" x14ac:dyDescent="0.25">
      <c r="A614" s="23">
        <v>46304</v>
      </c>
      <c r="B614">
        <v>613</v>
      </c>
      <c r="C614" t="s">
        <v>82</v>
      </c>
      <c r="D614" t="s">
        <v>83</v>
      </c>
      <c r="E614">
        <v>2</v>
      </c>
      <c r="F614">
        <v>180</v>
      </c>
      <c r="G614">
        <v>1</v>
      </c>
      <c r="H614" t="s">
        <v>96</v>
      </c>
      <c r="I614" t="s">
        <v>78</v>
      </c>
      <c r="J614" t="s">
        <v>90</v>
      </c>
      <c r="K614" t="s">
        <v>86</v>
      </c>
      <c r="L614" t="s">
        <v>71</v>
      </c>
      <c r="M614" t="s">
        <v>87</v>
      </c>
      <c r="O614" t="s">
        <v>88</v>
      </c>
      <c r="P614" t="s">
        <v>27</v>
      </c>
      <c r="Q614" t="s">
        <v>73</v>
      </c>
      <c r="R614" t="s">
        <v>76</v>
      </c>
      <c r="S614" t="s">
        <v>74</v>
      </c>
      <c r="T614" t="s">
        <v>75</v>
      </c>
      <c r="X614" t="s">
        <v>77</v>
      </c>
      <c r="Z614" t="s">
        <v>72</v>
      </c>
      <c r="AA614" t="s">
        <v>94</v>
      </c>
      <c r="AB614">
        <v>5</v>
      </c>
      <c r="AC614">
        <v>748786.94</v>
      </c>
      <c r="AD614">
        <v>8930512.8200000003</v>
      </c>
      <c r="AE614">
        <v>194.56</v>
      </c>
      <c r="AF614">
        <v>748786.94</v>
      </c>
      <c r="AG614">
        <v>8930512.8200000003</v>
      </c>
      <c r="AH614">
        <v>179.4</v>
      </c>
      <c r="AI614">
        <v>15.16</v>
      </c>
      <c r="AJ614">
        <v>0.6</v>
      </c>
      <c r="AK614">
        <v>3.37</v>
      </c>
      <c r="AL614">
        <v>2.93</v>
      </c>
      <c r="AM614">
        <v>0</v>
      </c>
      <c r="AN614">
        <v>0</v>
      </c>
      <c r="AO614">
        <v>358</v>
      </c>
      <c r="AP614">
        <v>3.24</v>
      </c>
      <c r="AQ614">
        <v>0.37</v>
      </c>
      <c r="AR614">
        <v>0.05</v>
      </c>
      <c r="AS614">
        <v>0.04</v>
      </c>
      <c r="AT614">
        <v>11.43</v>
      </c>
      <c r="AU614">
        <v>5.51</v>
      </c>
      <c r="AV614">
        <v>0.01</v>
      </c>
      <c r="AW614">
        <v>0.08</v>
      </c>
      <c r="AX614">
        <v>0.37</v>
      </c>
      <c r="AY614">
        <v>3.3</v>
      </c>
      <c r="AZ614">
        <v>172.68199999999999</v>
      </c>
      <c r="BA614">
        <v>0</v>
      </c>
      <c r="BB614">
        <v>0</v>
      </c>
      <c r="BC614">
        <v>0</v>
      </c>
      <c r="BD614">
        <v>0</v>
      </c>
    </row>
    <row r="615" spans="1:56" x14ac:dyDescent="0.25">
      <c r="A615" s="23">
        <v>46304</v>
      </c>
      <c r="B615">
        <v>614</v>
      </c>
      <c r="C615" t="s">
        <v>82</v>
      </c>
      <c r="D615" t="s">
        <v>83</v>
      </c>
      <c r="E615">
        <v>2</v>
      </c>
      <c r="F615">
        <v>180</v>
      </c>
      <c r="G615">
        <v>1</v>
      </c>
      <c r="H615" t="s">
        <v>95</v>
      </c>
      <c r="I615" t="s">
        <v>78</v>
      </c>
      <c r="J615" t="s">
        <v>90</v>
      </c>
      <c r="K615" t="s">
        <v>86</v>
      </c>
      <c r="L615" t="s">
        <v>71</v>
      </c>
      <c r="M615" t="s">
        <v>87</v>
      </c>
      <c r="O615" t="s">
        <v>88</v>
      </c>
      <c r="P615" t="s">
        <v>27</v>
      </c>
      <c r="Q615" t="s">
        <v>73</v>
      </c>
      <c r="R615" t="s">
        <v>76</v>
      </c>
      <c r="S615" t="s">
        <v>74</v>
      </c>
      <c r="T615" t="s">
        <v>75</v>
      </c>
      <c r="X615" t="s">
        <v>77</v>
      </c>
      <c r="Z615" t="s">
        <v>72</v>
      </c>
      <c r="AA615" t="s">
        <v>94</v>
      </c>
      <c r="AB615">
        <v>5</v>
      </c>
      <c r="AC615">
        <v>748783.62</v>
      </c>
      <c r="AD615">
        <v>8930512.1999999993</v>
      </c>
      <c r="AE615">
        <v>194.64</v>
      </c>
      <c r="AF615">
        <v>748783.62</v>
      </c>
      <c r="AG615">
        <v>8930512.1999999993</v>
      </c>
      <c r="AH615">
        <v>179.4</v>
      </c>
      <c r="AI615">
        <v>15.24</v>
      </c>
      <c r="AJ615">
        <v>0.6</v>
      </c>
      <c r="AK615">
        <v>3.37</v>
      </c>
      <c r="AL615">
        <v>2.93</v>
      </c>
      <c r="AM615">
        <v>0</v>
      </c>
      <c r="AN615">
        <v>0</v>
      </c>
      <c r="AO615">
        <v>358</v>
      </c>
      <c r="AP615">
        <v>3.24</v>
      </c>
      <c r="AQ615">
        <v>0.35</v>
      </c>
      <c r="AR615">
        <v>0.05</v>
      </c>
      <c r="AS615">
        <v>0.03</v>
      </c>
      <c r="AT615">
        <v>11.16</v>
      </c>
      <c r="AU615">
        <v>5.39</v>
      </c>
      <c r="AV615">
        <v>0</v>
      </c>
      <c r="AW615">
        <v>0</v>
      </c>
      <c r="AX615">
        <v>0</v>
      </c>
      <c r="AY615">
        <v>3.3</v>
      </c>
      <c r="AZ615">
        <v>173.846</v>
      </c>
      <c r="BA615">
        <v>0</v>
      </c>
      <c r="BB615">
        <v>0</v>
      </c>
      <c r="BC615">
        <v>0</v>
      </c>
      <c r="BD615">
        <v>0</v>
      </c>
    </row>
    <row r="616" spans="1:56" x14ac:dyDescent="0.25">
      <c r="A616" s="23">
        <v>46304</v>
      </c>
      <c r="B616">
        <v>615</v>
      </c>
      <c r="C616" t="s">
        <v>82</v>
      </c>
      <c r="D616" t="s">
        <v>83</v>
      </c>
      <c r="E616">
        <v>2</v>
      </c>
      <c r="F616">
        <v>180</v>
      </c>
      <c r="G616">
        <v>1</v>
      </c>
      <c r="H616" t="s">
        <v>95</v>
      </c>
      <c r="I616" t="s">
        <v>78</v>
      </c>
      <c r="J616" t="s">
        <v>90</v>
      </c>
      <c r="K616" t="s">
        <v>86</v>
      </c>
      <c r="L616" t="s">
        <v>71</v>
      </c>
      <c r="M616" t="s">
        <v>87</v>
      </c>
      <c r="O616" t="s">
        <v>88</v>
      </c>
      <c r="P616" t="s">
        <v>27</v>
      </c>
      <c r="Q616" t="s">
        <v>73</v>
      </c>
      <c r="R616" t="s">
        <v>76</v>
      </c>
      <c r="S616" t="s">
        <v>74</v>
      </c>
      <c r="T616" t="s">
        <v>75</v>
      </c>
      <c r="X616" t="s">
        <v>77</v>
      </c>
      <c r="Z616" t="s">
        <v>72</v>
      </c>
      <c r="AA616" t="s">
        <v>94</v>
      </c>
      <c r="AB616">
        <v>5</v>
      </c>
      <c r="AC616">
        <v>748781</v>
      </c>
      <c r="AD616">
        <v>8930511.5500000007</v>
      </c>
      <c r="AE616">
        <v>194.44</v>
      </c>
      <c r="AF616">
        <v>748781</v>
      </c>
      <c r="AG616">
        <v>8930511.5500000007</v>
      </c>
      <c r="AH616">
        <v>179.4</v>
      </c>
      <c r="AI616">
        <v>15.04</v>
      </c>
      <c r="AJ616">
        <v>0.6</v>
      </c>
      <c r="AK616">
        <v>3.37</v>
      </c>
      <c r="AL616">
        <v>2.93</v>
      </c>
      <c r="AM616">
        <v>0</v>
      </c>
      <c r="AN616">
        <v>0</v>
      </c>
      <c r="AO616">
        <v>358</v>
      </c>
      <c r="AP616">
        <v>3.23</v>
      </c>
      <c r="AQ616">
        <v>0.36</v>
      </c>
      <c r="AR616">
        <v>0.05</v>
      </c>
      <c r="AS616">
        <v>0.03</v>
      </c>
      <c r="AT616">
        <v>11.4</v>
      </c>
      <c r="AU616">
        <v>5.35</v>
      </c>
      <c r="AV616">
        <v>0.02</v>
      </c>
      <c r="AW616">
        <v>0.39</v>
      </c>
      <c r="AX616">
        <v>0</v>
      </c>
      <c r="AY616">
        <v>3.3</v>
      </c>
      <c r="AZ616">
        <v>170.934</v>
      </c>
      <c r="BA616">
        <v>0</v>
      </c>
      <c r="BB616">
        <v>0</v>
      </c>
      <c r="BC616">
        <v>0</v>
      </c>
      <c r="BD616">
        <v>0</v>
      </c>
    </row>
    <row r="617" spans="1:56" x14ac:dyDescent="0.25">
      <c r="A617" s="23">
        <v>46304</v>
      </c>
      <c r="B617">
        <v>616</v>
      </c>
      <c r="C617" t="s">
        <v>82</v>
      </c>
      <c r="D617" t="s">
        <v>83</v>
      </c>
      <c r="E617">
        <v>2</v>
      </c>
      <c r="F617">
        <v>180</v>
      </c>
      <c r="G617">
        <v>0</v>
      </c>
      <c r="H617" t="s">
        <v>95</v>
      </c>
      <c r="I617" t="s">
        <v>78</v>
      </c>
      <c r="J617" t="s">
        <v>90</v>
      </c>
      <c r="K617" t="s">
        <v>86</v>
      </c>
      <c r="L617" t="s">
        <v>71</v>
      </c>
      <c r="M617" t="s">
        <v>87</v>
      </c>
      <c r="O617" t="s">
        <v>88</v>
      </c>
      <c r="P617" t="s">
        <v>27</v>
      </c>
      <c r="Q617" t="s">
        <v>73</v>
      </c>
      <c r="R617" t="s">
        <v>76</v>
      </c>
      <c r="S617" t="s">
        <v>74</v>
      </c>
      <c r="T617" t="s">
        <v>75</v>
      </c>
      <c r="X617" t="s">
        <v>77</v>
      </c>
      <c r="Z617" t="s">
        <v>72</v>
      </c>
      <c r="AA617" t="s">
        <v>94</v>
      </c>
      <c r="AB617">
        <v>5</v>
      </c>
      <c r="AC617">
        <v>748777.13</v>
      </c>
      <c r="AD617">
        <v>8930510.5399999991</v>
      </c>
      <c r="AE617">
        <v>190.42</v>
      </c>
      <c r="AF617">
        <v>748777.13</v>
      </c>
      <c r="AG617">
        <v>8930510.5399999991</v>
      </c>
      <c r="AH617">
        <v>179.4</v>
      </c>
      <c r="AI617">
        <v>11.02</v>
      </c>
      <c r="AJ617">
        <v>0.6</v>
      </c>
      <c r="AK617">
        <v>3.37</v>
      </c>
      <c r="AL617">
        <v>2.93</v>
      </c>
      <c r="AM617">
        <v>0</v>
      </c>
      <c r="AN617">
        <v>0</v>
      </c>
      <c r="AO617">
        <v>358</v>
      </c>
      <c r="AP617">
        <v>3.2</v>
      </c>
      <c r="AQ617">
        <v>0.32</v>
      </c>
      <c r="AR617">
        <v>0.04</v>
      </c>
      <c r="AS617">
        <v>0.03</v>
      </c>
      <c r="AT617">
        <v>10.1</v>
      </c>
      <c r="AU617">
        <v>4.47</v>
      </c>
      <c r="AV617">
        <v>0.05</v>
      </c>
      <c r="AW617">
        <v>0.89</v>
      </c>
      <c r="AX617">
        <v>0</v>
      </c>
      <c r="AY617">
        <v>3.3</v>
      </c>
      <c r="AZ617">
        <v>112.40300000000001</v>
      </c>
      <c r="BA617">
        <v>0</v>
      </c>
      <c r="BB617">
        <v>0</v>
      </c>
      <c r="BC617">
        <v>0</v>
      </c>
      <c r="BD617">
        <v>0</v>
      </c>
    </row>
    <row r="618" spans="1:56" x14ac:dyDescent="0.25">
      <c r="A618" s="23">
        <v>46304</v>
      </c>
      <c r="B618">
        <v>617</v>
      </c>
      <c r="C618" t="s">
        <v>82</v>
      </c>
      <c r="D618" t="s">
        <v>83</v>
      </c>
      <c r="E618">
        <v>2</v>
      </c>
      <c r="F618">
        <v>180</v>
      </c>
      <c r="G618">
        <v>0</v>
      </c>
      <c r="H618" t="s">
        <v>95</v>
      </c>
      <c r="I618" t="s">
        <v>78</v>
      </c>
      <c r="J618" t="s">
        <v>90</v>
      </c>
      <c r="K618" t="s">
        <v>86</v>
      </c>
      <c r="L618" t="s">
        <v>71</v>
      </c>
      <c r="M618" t="s">
        <v>87</v>
      </c>
      <c r="O618" t="s">
        <v>88</v>
      </c>
      <c r="P618" t="s">
        <v>27</v>
      </c>
      <c r="Q618" t="s">
        <v>73</v>
      </c>
      <c r="R618" t="s">
        <v>76</v>
      </c>
      <c r="S618" t="s">
        <v>74</v>
      </c>
      <c r="T618" t="s">
        <v>75</v>
      </c>
      <c r="X618" t="s">
        <v>77</v>
      </c>
      <c r="Z618" t="s">
        <v>72</v>
      </c>
      <c r="AA618" t="s">
        <v>94</v>
      </c>
      <c r="AB618">
        <v>5</v>
      </c>
      <c r="AC618">
        <v>748774.18</v>
      </c>
      <c r="AD618">
        <v>8930508.9399999995</v>
      </c>
      <c r="AE618">
        <v>190.4</v>
      </c>
      <c r="AF618">
        <v>748774.18</v>
      </c>
      <c r="AG618">
        <v>8930508.9399999995</v>
      </c>
      <c r="AH618">
        <v>179.4</v>
      </c>
      <c r="AI618">
        <v>11</v>
      </c>
      <c r="AJ618">
        <v>0.6</v>
      </c>
      <c r="AK618">
        <v>3.37</v>
      </c>
      <c r="AL618">
        <v>2.93</v>
      </c>
      <c r="AM618">
        <v>0</v>
      </c>
      <c r="AN618">
        <v>0</v>
      </c>
      <c r="AO618">
        <v>358</v>
      </c>
      <c r="AP618">
        <v>3.15</v>
      </c>
      <c r="AQ618">
        <v>0.23</v>
      </c>
      <c r="AR618">
        <v>0.03</v>
      </c>
      <c r="AS618">
        <v>0.02</v>
      </c>
      <c r="AT618">
        <v>7.78</v>
      </c>
      <c r="AU618">
        <v>3.24</v>
      </c>
      <c r="AV618">
        <v>0.09</v>
      </c>
      <c r="AW618">
        <v>1.31</v>
      </c>
      <c r="AX618">
        <v>0</v>
      </c>
      <c r="AY618">
        <v>3.3</v>
      </c>
      <c r="AZ618">
        <v>112.11199999999999</v>
      </c>
      <c r="BA618">
        <v>0</v>
      </c>
      <c r="BB618">
        <v>0</v>
      </c>
      <c r="BC618">
        <v>0</v>
      </c>
      <c r="BD618">
        <v>0</v>
      </c>
    </row>
    <row r="619" spans="1:56" x14ac:dyDescent="0.25">
      <c r="A619" s="23">
        <v>46304</v>
      </c>
      <c r="B619">
        <v>618</v>
      </c>
      <c r="C619" t="s">
        <v>82</v>
      </c>
      <c r="D619" t="s">
        <v>83</v>
      </c>
      <c r="E619">
        <v>2</v>
      </c>
      <c r="F619">
        <v>180</v>
      </c>
      <c r="G619">
        <v>0</v>
      </c>
      <c r="H619" t="s">
        <v>95</v>
      </c>
      <c r="I619" t="s">
        <v>78</v>
      </c>
      <c r="J619" t="s">
        <v>70</v>
      </c>
      <c r="K619" t="s">
        <v>86</v>
      </c>
      <c r="L619" t="s">
        <v>71</v>
      </c>
      <c r="M619" t="s">
        <v>87</v>
      </c>
      <c r="O619" t="s">
        <v>88</v>
      </c>
      <c r="P619" t="s">
        <v>27</v>
      </c>
      <c r="Q619" t="s">
        <v>73</v>
      </c>
      <c r="R619" t="s">
        <v>76</v>
      </c>
      <c r="S619" t="s">
        <v>74</v>
      </c>
      <c r="T619" t="s">
        <v>75</v>
      </c>
      <c r="X619" t="s">
        <v>77</v>
      </c>
      <c r="Z619" t="s">
        <v>72</v>
      </c>
      <c r="AA619" t="s">
        <v>94</v>
      </c>
      <c r="AB619">
        <v>5</v>
      </c>
      <c r="AC619">
        <v>748771.35</v>
      </c>
      <c r="AD619">
        <v>8930507.1099999994</v>
      </c>
      <c r="AE619">
        <v>190.35</v>
      </c>
      <c r="AF619">
        <v>748771.35</v>
      </c>
      <c r="AG619">
        <v>8930507.1099999994</v>
      </c>
      <c r="AH619">
        <v>179.4</v>
      </c>
      <c r="AI619">
        <v>10.95</v>
      </c>
      <c r="AJ619">
        <v>0.6</v>
      </c>
      <c r="AK619">
        <v>3.37</v>
      </c>
      <c r="AL619">
        <v>2.93</v>
      </c>
      <c r="AM619">
        <v>0</v>
      </c>
      <c r="AN619">
        <v>0</v>
      </c>
      <c r="AO619">
        <v>358</v>
      </c>
      <c r="AP619">
        <v>3.12</v>
      </c>
      <c r="AQ619">
        <v>0.17</v>
      </c>
      <c r="AR619">
        <v>0.02</v>
      </c>
      <c r="AS619">
        <v>0.02</v>
      </c>
      <c r="AT619">
        <v>5.81</v>
      </c>
      <c r="AU619">
        <v>2.21</v>
      </c>
      <c r="AV619">
        <v>0.08</v>
      </c>
      <c r="AW619">
        <v>0.97</v>
      </c>
      <c r="AX619">
        <v>0</v>
      </c>
      <c r="AY619">
        <v>3.3</v>
      </c>
      <c r="AZ619">
        <v>111.384</v>
      </c>
      <c r="BA619">
        <v>0</v>
      </c>
      <c r="BB619">
        <v>0</v>
      </c>
      <c r="BC619">
        <v>0</v>
      </c>
      <c r="BD619">
        <v>0</v>
      </c>
    </row>
    <row r="620" spans="1:56" x14ac:dyDescent="0.25">
      <c r="A620" s="23">
        <v>46304</v>
      </c>
      <c r="B620">
        <v>619</v>
      </c>
      <c r="C620" t="s">
        <v>82</v>
      </c>
      <c r="D620" t="s">
        <v>83</v>
      </c>
      <c r="E620">
        <v>2</v>
      </c>
      <c r="F620">
        <v>180</v>
      </c>
      <c r="G620">
        <v>0</v>
      </c>
      <c r="H620" t="s">
        <v>95</v>
      </c>
      <c r="I620" t="s">
        <v>78</v>
      </c>
      <c r="J620" t="s">
        <v>70</v>
      </c>
      <c r="K620" t="s">
        <v>86</v>
      </c>
      <c r="L620" t="s">
        <v>71</v>
      </c>
      <c r="M620" t="s">
        <v>87</v>
      </c>
      <c r="O620" t="s">
        <v>88</v>
      </c>
      <c r="P620" t="s">
        <v>27</v>
      </c>
      <c r="Q620" t="s">
        <v>73</v>
      </c>
      <c r="R620" t="s">
        <v>76</v>
      </c>
      <c r="S620" t="s">
        <v>74</v>
      </c>
      <c r="T620" t="s">
        <v>75</v>
      </c>
      <c r="X620" t="s">
        <v>77</v>
      </c>
      <c r="Z620" t="s">
        <v>72</v>
      </c>
      <c r="AA620" t="s">
        <v>94</v>
      </c>
      <c r="AB620">
        <v>5</v>
      </c>
      <c r="AC620">
        <v>748768.52</v>
      </c>
      <c r="AD620">
        <v>8930505.2899999991</v>
      </c>
      <c r="AE620">
        <v>190.28</v>
      </c>
      <c r="AF620">
        <v>748768.52</v>
      </c>
      <c r="AG620">
        <v>8930505.2899999991</v>
      </c>
      <c r="AH620">
        <v>179.4</v>
      </c>
      <c r="AI620">
        <v>10.88</v>
      </c>
      <c r="AJ620">
        <v>0.6</v>
      </c>
      <c r="AK620">
        <v>3.37</v>
      </c>
      <c r="AL620">
        <v>2.93</v>
      </c>
      <c r="AM620">
        <v>0</v>
      </c>
      <c r="AN620">
        <v>0</v>
      </c>
      <c r="AO620">
        <v>358</v>
      </c>
      <c r="AP620">
        <v>3.08</v>
      </c>
      <c r="AQ620">
        <v>0.13</v>
      </c>
      <c r="AR620">
        <v>0.02</v>
      </c>
      <c r="AS620">
        <v>0.02</v>
      </c>
      <c r="AT620">
        <v>4.3600000000000003</v>
      </c>
      <c r="AU620">
        <v>1.5</v>
      </c>
      <c r="AV620">
        <v>7.0000000000000007E-2</v>
      </c>
      <c r="AW620">
        <v>0.49</v>
      </c>
      <c r="AX620">
        <v>0</v>
      </c>
      <c r="AY620">
        <v>3.3</v>
      </c>
      <c r="AZ620">
        <v>110.36499999999999</v>
      </c>
      <c r="BA620">
        <v>0</v>
      </c>
      <c r="BB620">
        <v>0</v>
      </c>
      <c r="BC620">
        <v>0</v>
      </c>
      <c r="BD620">
        <v>0</v>
      </c>
    </row>
    <row r="621" spans="1:56" x14ac:dyDescent="0.25">
      <c r="A621" s="23">
        <v>46304</v>
      </c>
      <c r="B621">
        <v>620</v>
      </c>
      <c r="C621" t="s">
        <v>82</v>
      </c>
      <c r="D621" t="s">
        <v>83</v>
      </c>
      <c r="E621">
        <v>2</v>
      </c>
      <c r="F621">
        <v>180</v>
      </c>
      <c r="G621">
        <v>0</v>
      </c>
      <c r="H621" t="s">
        <v>95</v>
      </c>
      <c r="I621" t="s">
        <v>78</v>
      </c>
      <c r="J621" t="s">
        <v>70</v>
      </c>
      <c r="K621" t="s">
        <v>86</v>
      </c>
      <c r="L621" t="s">
        <v>71</v>
      </c>
      <c r="M621" t="s">
        <v>87</v>
      </c>
      <c r="O621" t="s">
        <v>88</v>
      </c>
      <c r="P621" t="s">
        <v>27</v>
      </c>
      <c r="Q621" t="s">
        <v>73</v>
      </c>
      <c r="R621" t="s">
        <v>76</v>
      </c>
      <c r="S621" t="s">
        <v>74</v>
      </c>
      <c r="T621" t="s">
        <v>75</v>
      </c>
      <c r="X621" t="s">
        <v>77</v>
      </c>
      <c r="Z621" t="s">
        <v>72</v>
      </c>
      <c r="AA621" t="s">
        <v>94</v>
      </c>
      <c r="AB621">
        <v>5</v>
      </c>
      <c r="AC621">
        <v>748765.69</v>
      </c>
      <c r="AD621">
        <v>8930503.4600000009</v>
      </c>
      <c r="AE621">
        <v>190.23</v>
      </c>
      <c r="AF621">
        <v>748765.69</v>
      </c>
      <c r="AG621">
        <v>8930503.4600000009</v>
      </c>
      <c r="AH621">
        <v>179.4</v>
      </c>
      <c r="AI621">
        <v>10.83</v>
      </c>
      <c r="AJ621">
        <v>0.6</v>
      </c>
      <c r="AK621">
        <v>3.37</v>
      </c>
      <c r="AL621">
        <v>2.93</v>
      </c>
      <c r="AM621">
        <v>0</v>
      </c>
      <c r="AN621">
        <v>0</v>
      </c>
      <c r="AO621">
        <v>358</v>
      </c>
      <c r="AP621">
        <v>3.09</v>
      </c>
      <c r="AQ621">
        <v>0.15</v>
      </c>
      <c r="AR621">
        <v>0.02</v>
      </c>
      <c r="AS621">
        <v>0.02</v>
      </c>
      <c r="AT621">
        <v>4.97</v>
      </c>
      <c r="AU621">
        <v>1.64</v>
      </c>
      <c r="AV621">
        <v>0.09</v>
      </c>
      <c r="AW621">
        <v>0.47</v>
      </c>
      <c r="AX621">
        <v>0</v>
      </c>
      <c r="AY621">
        <v>3.3</v>
      </c>
      <c r="AZ621">
        <v>109.637</v>
      </c>
      <c r="BA621">
        <v>0</v>
      </c>
      <c r="BB621">
        <v>0</v>
      </c>
      <c r="BC621">
        <v>0</v>
      </c>
      <c r="BD621">
        <v>0</v>
      </c>
    </row>
    <row r="622" spans="1:56" x14ac:dyDescent="0.25">
      <c r="A622" s="23">
        <v>46304</v>
      </c>
      <c r="B622">
        <v>621</v>
      </c>
      <c r="C622" t="s">
        <v>82</v>
      </c>
      <c r="D622" t="s">
        <v>83</v>
      </c>
      <c r="E622">
        <v>2</v>
      </c>
      <c r="F622">
        <v>180</v>
      </c>
      <c r="G622">
        <v>0</v>
      </c>
      <c r="H622" t="s">
        <v>95</v>
      </c>
      <c r="I622" t="s">
        <v>78</v>
      </c>
      <c r="J622" t="s">
        <v>70</v>
      </c>
      <c r="K622" t="s">
        <v>86</v>
      </c>
      <c r="L622" t="s">
        <v>71</v>
      </c>
      <c r="M622" t="s">
        <v>87</v>
      </c>
      <c r="O622" t="s">
        <v>88</v>
      </c>
      <c r="P622" t="s">
        <v>27</v>
      </c>
      <c r="Q622" t="s">
        <v>73</v>
      </c>
      <c r="R622" t="s">
        <v>76</v>
      </c>
      <c r="S622" t="s">
        <v>74</v>
      </c>
      <c r="T622" t="s">
        <v>75</v>
      </c>
      <c r="X622" t="s">
        <v>77</v>
      </c>
      <c r="Z622" t="s">
        <v>72</v>
      </c>
      <c r="AA622" t="s">
        <v>94</v>
      </c>
      <c r="AB622">
        <v>5</v>
      </c>
      <c r="AC622">
        <v>748762.86</v>
      </c>
      <c r="AD622">
        <v>8930501.6300000008</v>
      </c>
      <c r="AE622">
        <v>190.1</v>
      </c>
      <c r="AF622">
        <v>748762.86</v>
      </c>
      <c r="AG622">
        <v>8930501.6300000008</v>
      </c>
      <c r="AH622">
        <v>179.4</v>
      </c>
      <c r="AI622">
        <v>10.7</v>
      </c>
      <c r="AJ622">
        <v>0.6</v>
      </c>
      <c r="AK622">
        <v>3.37</v>
      </c>
      <c r="AL622">
        <v>2.93</v>
      </c>
      <c r="AM622">
        <v>0</v>
      </c>
      <c r="AN622">
        <v>0</v>
      </c>
      <c r="AO622">
        <v>358</v>
      </c>
      <c r="AP622">
        <v>3.12</v>
      </c>
      <c r="AQ622">
        <v>0.18</v>
      </c>
      <c r="AR622">
        <v>0.03</v>
      </c>
      <c r="AS622">
        <v>0.02</v>
      </c>
      <c r="AT622">
        <v>6.32</v>
      </c>
      <c r="AU622">
        <v>2.08</v>
      </c>
      <c r="AV622">
        <v>0.11</v>
      </c>
      <c r="AW622">
        <v>0.59</v>
      </c>
      <c r="AX622">
        <v>0</v>
      </c>
      <c r="AY622">
        <v>3.3</v>
      </c>
      <c r="AZ622">
        <v>107.744</v>
      </c>
      <c r="BA622">
        <v>0</v>
      </c>
      <c r="BB622">
        <v>0</v>
      </c>
      <c r="BC622">
        <v>0</v>
      </c>
      <c r="BD622">
        <v>0</v>
      </c>
    </row>
    <row r="623" spans="1:56" x14ac:dyDescent="0.25">
      <c r="A623" s="23">
        <v>46304</v>
      </c>
      <c r="B623">
        <v>622</v>
      </c>
      <c r="C623" t="s">
        <v>82</v>
      </c>
      <c r="D623" t="s">
        <v>83</v>
      </c>
      <c r="E623">
        <v>2</v>
      </c>
      <c r="F623">
        <v>180</v>
      </c>
      <c r="G623">
        <v>0</v>
      </c>
      <c r="H623" t="s">
        <v>95</v>
      </c>
      <c r="I623" t="s">
        <v>78</v>
      </c>
      <c r="J623" t="s">
        <v>70</v>
      </c>
      <c r="K623" t="s">
        <v>86</v>
      </c>
      <c r="L623" t="s">
        <v>71</v>
      </c>
      <c r="M623" t="s">
        <v>87</v>
      </c>
      <c r="O623" t="s">
        <v>88</v>
      </c>
      <c r="P623" t="s">
        <v>27</v>
      </c>
      <c r="Q623" t="s">
        <v>73</v>
      </c>
      <c r="R623" t="s">
        <v>76</v>
      </c>
      <c r="S623" t="s">
        <v>74</v>
      </c>
      <c r="T623" t="s">
        <v>75</v>
      </c>
      <c r="X623" t="s">
        <v>77</v>
      </c>
      <c r="Z623" t="s">
        <v>72</v>
      </c>
      <c r="AA623" t="s">
        <v>94</v>
      </c>
      <c r="AB623">
        <v>5</v>
      </c>
      <c r="AC623">
        <v>748760.03</v>
      </c>
      <c r="AD623">
        <v>8930499.8000000007</v>
      </c>
      <c r="AE623">
        <v>190.07</v>
      </c>
      <c r="AF623">
        <v>748760.03</v>
      </c>
      <c r="AG623">
        <v>8930499.8000000007</v>
      </c>
      <c r="AH623">
        <v>179.4</v>
      </c>
      <c r="AI623">
        <v>10.67</v>
      </c>
      <c r="AJ623">
        <v>0.6</v>
      </c>
      <c r="AK623">
        <v>3.37</v>
      </c>
      <c r="AL623">
        <v>2.93</v>
      </c>
      <c r="AM623">
        <v>0</v>
      </c>
      <c r="AN623">
        <v>0</v>
      </c>
      <c r="AO623">
        <v>358</v>
      </c>
      <c r="AP623">
        <v>3.14</v>
      </c>
      <c r="AQ623">
        <v>0.23</v>
      </c>
      <c r="AR623">
        <v>0.03</v>
      </c>
      <c r="AS623">
        <v>0.03</v>
      </c>
      <c r="AT623">
        <v>7.84</v>
      </c>
      <c r="AU623">
        <v>2.5299999999999998</v>
      </c>
      <c r="AV623">
        <v>0.15</v>
      </c>
      <c r="AW623">
        <v>0.7</v>
      </c>
      <c r="AX623">
        <v>1.05</v>
      </c>
      <c r="AY623">
        <v>3.3</v>
      </c>
      <c r="AZ623">
        <v>107.307</v>
      </c>
      <c r="BA623">
        <v>0</v>
      </c>
      <c r="BB623">
        <v>0</v>
      </c>
      <c r="BC623">
        <v>0</v>
      </c>
      <c r="BD623">
        <v>0</v>
      </c>
    </row>
    <row r="624" spans="1:56" x14ac:dyDescent="0.25">
      <c r="A624" s="23">
        <v>46304</v>
      </c>
      <c r="B624">
        <v>623</v>
      </c>
      <c r="C624" t="s">
        <v>82</v>
      </c>
      <c r="D624" t="s">
        <v>83</v>
      </c>
      <c r="E624">
        <v>2</v>
      </c>
      <c r="F624">
        <v>180</v>
      </c>
      <c r="G624">
        <v>1</v>
      </c>
      <c r="H624" t="s">
        <v>95</v>
      </c>
      <c r="I624" t="s">
        <v>91</v>
      </c>
      <c r="J624" t="s">
        <v>85</v>
      </c>
      <c r="K624" t="s">
        <v>86</v>
      </c>
      <c r="L624" t="s">
        <v>71</v>
      </c>
      <c r="M624" t="s">
        <v>87</v>
      </c>
      <c r="O624" t="s">
        <v>88</v>
      </c>
      <c r="P624" t="s">
        <v>27</v>
      </c>
      <c r="Q624" t="s">
        <v>73</v>
      </c>
      <c r="R624" t="s">
        <v>76</v>
      </c>
      <c r="S624" t="s">
        <v>74</v>
      </c>
      <c r="T624" t="s">
        <v>75</v>
      </c>
      <c r="X624" t="s">
        <v>77</v>
      </c>
      <c r="Z624" t="s">
        <v>72</v>
      </c>
      <c r="AA624" t="s">
        <v>94</v>
      </c>
      <c r="AB624">
        <v>5</v>
      </c>
      <c r="AC624">
        <v>748757.2</v>
      </c>
      <c r="AD624">
        <v>8930497.9700000007</v>
      </c>
      <c r="AE624">
        <v>190</v>
      </c>
      <c r="AF624">
        <v>748757.2</v>
      </c>
      <c r="AG624">
        <v>8930497.9700000007</v>
      </c>
      <c r="AH624">
        <v>179.4</v>
      </c>
      <c r="AI624">
        <v>10.6</v>
      </c>
      <c r="AJ624">
        <v>0.6</v>
      </c>
      <c r="AK624">
        <v>3.37</v>
      </c>
      <c r="AL624">
        <v>2.93</v>
      </c>
      <c r="AM624">
        <v>0</v>
      </c>
      <c r="AN624">
        <v>0</v>
      </c>
      <c r="AO624">
        <v>358</v>
      </c>
      <c r="AP624">
        <v>3.2</v>
      </c>
      <c r="AQ624">
        <v>0.3</v>
      </c>
      <c r="AR624">
        <v>0.04</v>
      </c>
      <c r="AS624">
        <v>0.04</v>
      </c>
      <c r="AT624">
        <v>10.039999999999999</v>
      </c>
      <c r="AU624">
        <v>3.2</v>
      </c>
      <c r="AV624">
        <v>0.19</v>
      </c>
      <c r="AW624">
        <v>0.89</v>
      </c>
      <c r="AX624">
        <v>4.5</v>
      </c>
      <c r="AY624">
        <v>3.3</v>
      </c>
      <c r="AZ624">
        <v>106.288</v>
      </c>
      <c r="BA624">
        <v>0</v>
      </c>
      <c r="BB624">
        <v>0</v>
      </c>
      <c r="BC624">
        <v>0</v>
      </c>
      <c r="BD624">
        <v>0</v>
      </c>
    </row>
    <row r="625" spans="1:56" x14ac:dyDescent="0.25">
      <c r="A625" s="23">
        <v>46304</v>
      </c>
      <c r="B625">
        <v>624</v>
      </c>
      <c r="C625" t="s">
        <v>82</v>
      </c>
      <c r="D625" t="s">
        <v>83</v>
      </c>
      <c r="E625">
        <v>2</v>
      </c>
      <c r="F625">
        <v>180</v>
      </c>
      <c r="G625">
        <v>1</v>
      </c>
      <c r="H625" t="s">
        <v>95</v>
      </c>
      <c r="I625" t="s">
        <v>91</v>
      </c>
      <c r="J625" t="s">
        <v>85</v>
      </c>
      <c r="K625" t="s">
        <v>86</v>
      </c>
      <c r="L625" t="s">
        <v>71</v>
      </c>
      <c r="M625" t="s">
        <v>87</v>
      </c>
      <c r="O625" t="s">
        <v>88</v>
      </c>
      <c r="P625" t="s">
        <v>27</v>
      </c>
      <c r="Q625" t="s">
        <v>73</v>
      </c>
      <c r="R625" t="s">
        <v>76</v>
      </c>
      <c r="S625" t="s">
        <v>74</v>
      </c>
      <c r="T625" t="s">
        <v>75</v>
      </c>
      <c r="X625" t="s">
        <v>77</v>
      </c>
      <c r="Z625" t="s">
        <v>72</v>
      </c>
      <c r="AA625" t="s">
        <v>94</v>
      </c>
      <c r="AB625">
        <v>5</v>
      </c>
      <c r="AC625">
        <v>748754.37</v>
      </c>
      <c r="AD625">
        <v>8930496.1400000006</v>
      </c>
      <c r="AE625">
        <v>190.05</v>
      </c>
      <c r="AF625">
        <v>748754.37</v>
      </c>
      <c r="AG625">
        <v>8930496.1400000006</v>
      </c>
      <c r="AH625">
        <v>179.4</v>
      </c>
      <c r="AI625">
        <v>10.65</v>
      </c>
      <c r="AJ625">
        <v>0.6</v>
      </c>
      <c r="AK625">
        <v>3.37</v>
      </c>
      <c r="AL625">
        <v>2.93</v>
      </c>
      <c r="AM625">
        <v>0</v>
      </c>
      <c r="AN625">
        <v>0</v>
      </c>
      <c r="AO625">
        <v>358</v>
      </c>
      <c r="AP625">
        <v>3.26</v>
      </c>
      <c r="AQ625">
        <v>0.38</v>
      </c>
      <c r="AR625">
        <v>0.05</v>
      </c>
      <c r="AS625">
        <v>0.05</v>
      </c>
      <c r="AT625">
        <v>12.93</v>
      </c>
      <c r="AU625">
        <v>4.1399999999999997</v>
      </c>
      <c r="AV625">
        <v>0.24</v>
      </c>
      <c r="AW625">
        <v>1.18</v>
      </c>
      <c r="AX625">
        <v>5.82</v>
      </c>
      <c r="AY625">
        <v>3.3</v>
      </c>
      <c r="AZ625">
        <v>107.01600000000001</v>
      </c>
      <c r="BA625">
        <v>0</v>
      </c>
      <c r="BB625">
        <v>0</v>
      </c>
      <c r="BC625">
        <v>0</v>
      </c>
      <c r="BD625">
        <v>0</v>
      </c>
    </row>
    <row r="626" spans="1:56" x14ac:dyDescent="0.25">
      <c r="A626" s="23">
        <v>46304</v>
      </c>
      <c r="B626">
        <v>625</v>
      </c>
      <c r="C626" t="s">
        <v>82</v>
      </c>
      <c r="D626" t="s">
        <v>83</v>
      </c>
      <c r="E626">
        <v>2</v>
      </c>
      <c r="F626">
        <v>180</v>
      </c>
      <c r="G626">
        <v>1</v>
      </c>
      <c r="H626" t="s">
        <v>95</v>
      </c>
      <c r="I626" t="s">
        <v>91</v>
      </c>
      <c r="J626" t="s">
        <v>85</v>
      </c>
      <c r="K626" t="s">
        <v>86</v>
      </c>
      <c r="L626" t="s">
        <v>71</v>
      </c>
      <c r="M626" t="s">
        <v>87</v>
      </c>
      <c r="O626" t="s">
        <v>88</v>
      </c>
      <c r="P626" t="s">
        <v>27</v>
      </c>
      <c r="Q626" t="s">
        <v>73</v>
      </c>
      <c r="R626" t="s">
        <v>76</v>
      </c>
      <c r="S626" t="s">
        <v>74</v>
      </c>
      <c r="T626" t="s">
        <v>75</v>
      </c>
      <c r="X626" t="s">
        <v>77</v>
      </c>
      <c r="Z626" t="s">
        <v>72</v>
      </c>
      <c r="AA626" t="s">
        <v>94</v>
      </c>
      <c r="AB626">
        <v>5</v>
      </c>
      <c r="AC626">
        <v>748751.59</v>
      </c>
      <c r="AD626">
        <v>8930494.2300000004</v>
      </c>
      <c r="AE626">
        <v>190.05</v>
      </c>
      <c r="AF626">
        <v>748751.59</v>
      </c>
      <c r="AG626">
        <v>8930494.2300000004</v>
      </c>
      <c r="AH626">
        <v>179.4</v>
      </c>
      <c r="AI626">
        <v>10.65</v>
      </c>
      <c r="AJ626">
        <v>0.6</v>
      </c>
      <c r="AK626">
        <v>3.37</v>
      </c>
      <c r="AL626">
        <v>2.93</v>
      </c>
      <c r="AM626">
        <v>0</v>
      </c>
      <c r="AN626">
        <v>0</v>
      </c>
      <c r="AO626">
        <v>358</v>
      </c>
      <c r="AP626">
        <v>3.33</v>
      </c>
      <c r="AQ626">
        <v>0.48</v>
      </c>
      <c r="AR626">
        <v>7.0000000000000007E-2</v>
      </c>
      <c r="AS626">
        <v>0.06</v>
      </c>
      <c r="AT626">
        <v>16.27</v>
      </c>
      <c r="AU626">
        <v>5.23</v>
      </c>
      <c r="AV626">
        <v>0.3</v>
      </c>
      <c r="AW626">
        <v>1.53</v>
      </c>
      <c r="AX626">
        <v>7.3</v>
      </c>
      <c r="AY626">
        <v>3.3</v>
      </c>
      <c r="AZ626">
        <v>107.01600000000001</v>
      </c>
      <c r="BA626">
        <v>0</v>
      </c>
      <c r="BB626">
        <v>0</v>
      </c>
      <c r="BC626">
        <v>0</v>
      </c>
      <c r="BD626">
        <v>0</v>
      </c>
    </row>
    <row r="627" spans="1:56" x14ac:dyDescent="0.25">
      <c r="A627" s="23">
        <v>46304</v>
      </c>
      <c r="B627">
        <v>626</v>
      </c>
      <c r="C627" t="s">
        <v>82</v>
      </c>
      <c r="D627" t="s">
        <v>83</v>
      </c>
      <c r="E627">
        <v>2</v>
      </c>
      <c r="F627">
        <v>180</v>
      </c>
      <c r="G627">
        <v>1</v>
      </c>
      <c r="H627" t="s">
        <v>95</v>
      </c>
      <c r="I627" t="s">
        <v>91</v>
      </c>
      <c r="J627" t="s">
        <v>85</v>
      </c>
      <c r="K627" t="s">
        <v>86</v>
      </c>
      <c r="L627" t="s">
        <v>71</v>
      </c>
      <c r="M627" t="s">
        <v>87</v>
      </c>
      <c r="O627" t="s">
        <v>88</v>
      </c>
      <c r="P627" t="s">
        <v>27</v>
      </c>
      <c r="Q627" t="s">
        <v>73</v>
      </c>
      <c r="R627" t="s">
        <v>76</v>
      </c>
      <c r="S627" t="s">
        <v>74</v>
      </c>
      <c r="T627" t="s">
        <v>75</v>
      </c>
      <c r="X627" t="s">
        <v>77</v>
      </c>
      <c r="Z627" t="s">
        <v>72</v>
      </c>
      <c r="AA627" t="s">
        <v>94</v>
      </c>
      <c r="AB627">
        <v>5</v>
      </c>
      <c r="AC627">
        <v>748748.89</v>
      </c>
      <c r="AD627">
        <v>8930492.2200000007</v>
      </c>
      <c r="AE627">
        <v>190.03</v>
      </c>
      <c r="AF627">
        <v>748748.89</v>
      </c>
      <c r="AG627">
        <v>8930492.2200000007</v>
      </c>
      <c r="AH627">
        <v>179.4</v>
      </c>
      <c r="AI627">
        <v>10.63</v>
      </c>
      <c r="AJ627">
        <v>0.6</v>
      </c>
      <c r="AK627">
        <v>3.37</v>
      </c>
      <c r="AL627">
        <v>2.93</v>
      </c>
      <c r="AM627">
        <v>0</v>
      </c>
      <c r="AN627">
        <v>0</v>
      </c>
      <c r="AO627">
        <v>358</v>
      </c>
      <c r="AP627">
        <v>3.34</v>
      </c>
      <c r="AQ627">
        <v>0.52</v>
      </c>
      <c r="AR627">
        <v>7.0000000000000007E-2</v>
      </c>
      <c r="AS627">
        <v>7.0000000000000007E-2</v>
      </c>
      <c r="AT627">
        <v>18.36</v>
      </c>
      <c r="AU627">
        <v>5.64</v>
      </c>
      <c r="AV627">
        <v>0.35</v>
      </c>
      <c r="AW627">
        <v>1.51</v>
      </c>
      <c r="AX627">
        <v>8.7200000000000006</v>
      </c>
      <c r="AY627">
        <v>3.3</v>
      </c>
      <c r="AZ627">
        <v>106.72499999999999</v>
      </c>
      <c r="BA627">
        <v>0</v>
      </c>
      <c r="BB627">
        <v>0</v>
      </c>
      <c r="BC627">
        <v>0</v>
      </c>
      <c r="BD627">
        <v>0</v>
      </c>
    </row>
    <row r="628" spans="1:56" x14ac:dyDescent="0.25">
      <c r="A628" s="23">
        <v>46304</v>
      </c>
      <c r="B628">
        <v>627</v>
      </c>
      <c r="C628" t="s">
        <v>82</v>
      </c>
      <c r="D628" t="s">
        <v>83</v>
      </c>
      <c r="E628">
        <v>2</v>
      </c>
      <c r="F628">
        <v>180</v>
      </c>
      <c r="G628">
        <v>1</v>
      </c>
      <c r="H628" t="s">
        <v>95</v>
      </c>
      <c r="I628" t="s">
        <v>91</v>
      </c>
      <c r="J628" t="s">
        <v>85</v>
      </c>
      <c r="K628" t="s">
        <v>86</v>
      </c>
      <c r="L628" t="s">
        <v>71</v>
      </c>
      <c r="M628" t="s">
        <v>87</v>
      </c>
      <c r="O628" t="s">
        <v>88</v>
      </c>
      <c r="P628" t="s">
        <v>27</v>
      </c>
      <c r="Q628" t="s">
        <v>73</v>
      </c>
      <c r="R628" t="s">
        <v>76</v>
      </c>
      <c r="S628" t="s">
        <v>74</v>
      </c>
      <c r="T628" t="s">
        <v>75</v>
      </c>
      <c r="X628" t="s">
        <v>77</v>
      </c>
      <c r="Z628" t="s">
        <v>72</v>
      </c>
      <c r="AA628" t="s">
        <v>94</v>
      </c>
      <c r="AB628">
        <v>5</v>
      </c>
      <c r="AC628">
        <v>748746.22</v>
      </c>
      <c r="AD628">
        <v>8930490.1699999999</v>
      </c>
      <c r="AE628">
        <v>189.94</v>
      </c>
      <c r="AF628">
        <v>748746.22</v>
      </c>
      <c r="AG628">
        <v>8930490.1699999999</v>
      </c>
      <c r="AH628">
        <v>179.4</v>
      </c>
      <c r="AI628">
        <v>10.54</v>
      </c>
      <c r="AJ628">
        <v>0.6</v>
      </c>
      <c r="AK628">
        <v>3.37</v>
      </c>
      <c r="AL628">
        <v>2.93</v>
      </c>
      <c r="AM628">
        <v>0</v>
      </c>
      <c r="AN628">
        <v>0</v>
      </c>
      <c r="AO628">
        <v>358</v>
      </c>
      <c r="AP628">
        <v>3.35</v>
      </c>
      <c r="AQ628">
        <v>0.62</v>
      </c>
      <c r="AR628">
        <v>0.08</v>
      </c>
      <c r="AS628">
        <v>0.08</v>
      </c>
      <c r="AT628">
        <v>19.899999999999999</v>
      </c>
      <c r="AU628">
        <v>5.72</v>
      </c>
      <c r="AV628">
        <v>0.36</v>
      </c>
      <c r="AW628">
        <v>1.7</v>
      </c>
      <c r="AX628">
        <v>8.1300000000000008</v>
      </c>
      <c r="AY628">
        <v>3.3</v>
      </c>
      <c r="AZ628">
        <v>105.414</v>
      </c>
      <c r="BA628">
        <v>0</v>
      </c>
      <c r="BB628">
        <v>0</v>
      </c>
      <c r="BC628">
        <v>0</v>
      </c>
      <c r="BD628">
        <v>0</v>
      </c>
    </row>
    <row r="629" spans="1:56" x14ac:dyDescent="0.25">
      <c r="A629" s="23">
        <v>46304</v>
      </c>
      <c r="B629">
        <v>628</v>
      </c>
      <c r="C629" t="s">
        <v>82</v>
      </c>
      <c r="D629" t="s">
        <v>83</v>
      </c>
      <c r="E629">
        <v>2</v>
      </c>
      <c r="F629">
        <v>180</v>
      </c>
      <c r="G629">
        <v>1</v>
      </c>
      <c r="H629" t="s">
        <v>95</v>
      </c>
      <c r="I629" t="s">
        <v>91</v>
      </c>
      <c r="J629" t="s">
        <v>97</v>
      </c>
      <c r="K629" t="s">
        <v>86</v>
      </c>
      <c r="L629" t="s">
        <v>71</v>
      </c>
      <c r="M629" t="s">
        <v>87</v>
      </c>
      <c r="O629" t="s">
        <v>88</v>
      </c>
      <c r="P629" t="s">
        <v>27</v>
      </c>
      <c r="Q629" t="s">
        <v>73</v>
      </c>
      <c r="R629" t="s">
        <v>76</v>
      </c>
      <c r="S629" t="s">
        <v>74</v>
      </c>
      <c r="T629" t="s">
        <v>75</v>
      </c>
      <c r="X629" t="s">
        <v>77</v>
      </c>
      <c r="Z629" t="s">
        <v>72</v>
      </c>
      <c r="AA629" t="s">
        <v>94</v>
      </c>
      <c r="AB629">
        <v>5</v>
      </c>
      <c r="AC629">
        <v>748743.54</v>
      </c>
      <c r="AD629">
        <v>8930488.1300000008</v>
      </c>
      <c r="AE629">
        <v>189.82</v>
      </c>
      <c r="AF629">
        <v>748743.54</v>
      </c>
      <c r="AG629">
        <v>8930488.1300000008</v>
      </c>
      <c r="AH629">
        <v>179.4</v>
      </c>
      <c r="AI629">
        <v>10.42</v>
      </c>
      <c r="AJ629">
        <v>0.6</v>
      </c>
      <c r="AK629">
        <v>3.37</v>
      </c>
      <c r="AL629">
        <v>2.93</v>
      </c>
      <c r="AM629">
        <v>0</v>
      </c>
      <c r="AN629">
        <v>0</v>
      </c>
      <c r="AO629">
        <v>358</v>
      </c>
      <c r="AP629">
        <v>3.37</v>
      </c>
      <c r="AQ629">
        <v>0.73</v>
      </c>
      <c r="AR629">
        <v>0.1</v>
      </c>
      <c r="AS629">
        <v>0.09</v>
      </c>
      <c r="AT629">
        <v>21.57</v>
      </c>
      <c r="AU629">
        <v>5.83</v>
      </c>
      <c r="AV629">
        <v>0.38</v>
      </c>
      <c r="AW629">
        <v>1.95</v>
      </c>
      <c r="AX629">
        <v>7.32</v>
      </c>
      <c r="AY629">
        <v>3.3</v>
      </c>
      <c r="AZ629">
        <v>103.667</v>
      </c>
      <c r="BA629">
        <v>0</v>
      </c>
      <c r="BB629">
        <v>0</v>
      </c>
      <c r="BC629">
        <v>0</v>
      </c>
      <c r="BD629">
        <v>0</v>
      </c>
    </row>
    <row r="630" spans="1:56" x14ac:dyDescent="0.25">
      <c r="A630" s="23">
        <v>46304</v>
      </c>
      <c r="B630">
        <v>629</v>
      </c>
      <c r="C630" t="s">
        <v>82</v>
      </c>
      <c r="D630" t="s">
        <v>83</v>
      </c>
      <c r="E630">
        <v>2</v>
      </c>
      <c r="F630">
        <v>180</v>
      </c>
      <c r="G630">
        <v>1</v>
      </c>
      <c r="H630" t="s">
        <v>95</v>
      </c>
      <c r="I630" t="s">
        <v>91</v>
      </c>
      <c r="J630" t="s">
        <v>97</v>
      </c>
      <c r="K630" t="s">
        <v>86</v>
      </c>
      <c r="L630" t="s">
        <v>71</v>
      </c>
      <c r="M630" t="s">
        <v>87</v>
      </c>
      <c r="O630" t="s">
        <v>88</v>
      </c>
      <c r="P630" t="s">
        <v>27</v>
      </c>
      <c r="Q630" t="s">
        <v>73</v>
      </c>
      <c r="R630" t="s">
        <v>76</v>
      </c>
      <c r="S630" t="s">
        <v>74</v>
      </c>
      <c r="T630" t="s">
        <v>75</v>
      </c>
      <c r="X630" t="s">
        <v>77</v>
      </c>
      <c r="Z630" t="s">
        <v>72</v>
      </c>
      <c r="AA630" t="s">
        <v>94</v>
      </c>
      <c r="AB630">
        <v>5</v>
      </c>
      <c r="AC630">
        <v>748740.86</v>
      </c>
      <c r="AD630">
        <v>8930486.0800000001</v>
      </c>
      <c r="AE630">
        <v>189.85</v>
      </c>
      <c r="AF630">
        <v>748740.86</v>
      </c>
      <c r="AG630">
        <v>8930486.0800000001</v>
      </c>
      <c r="AH630">
        <v>179.4</v>
      </c>
      <c r="AI630">
        <v>10.45</v>
      </c>
      <c r="AJ630">
        <v>0.6</v>
      </c>
      <c r="AK630">
        <v>3.37</v>
      </c>
      <c r="AL630">
        <v>2.93</v>
      </c>
      <c r="AM630">
        <v>0</v>
      </c>
      <c r="AN630">
        <v>0</v>
      </c>
      <c r="AO630">
        <v>358</v>
      </c>
      <c r="AP630">
        <v>3.37</v>
      </c>
      <c r="AQ630">
        <v>0.72</v>
      </c>
      <c r="AR630">
        <v>0.09</v>
      </c>
      <c r="AS630">
        <v>0.09</v>
      </c>
      <c r="AT630">
        <v>21.26</v>
      </c>
      <c r="AU630">
        <v>5.78</v>
      </c>
      <c r="AV630">
        <v>0.38</v>
      </c>
      <c r="AW630">
        <v>1.92</v>
      </c>
      <c r="AX630">
        <v>7.43</v>
      </c>
      <c r="AY630">
        <v>3.3</v>
      </c>
      <c r="AZ630">
        <v>104.104</v>
      </c>
      <c r="BA630">
        <v>0</v>
      </c>
      <c r="BB630">
        <v>0</v>
      </c>
      <c r="BC630">
        <v>0</v>
      </c>
      <c r="BD630">
        <v>0</v>
      </c>
    </row>
    <row r="631" spans="1:56" x14ac:dyDescent="0.25">
      <c r="A631" s="23">
        <v>46304</v>
      </c>
      <c r="B631">
        <v>630</v>
      </c>
      <c r="C631" t="s">
        <v>82</v>
      </c>
      <c r="D631" t="s">
        <v>83</v>
      </c>
      <c r="E631">
        <v>2</v>
      </c>
      <c r="F631">
        <v>180</v>
      </c>
      <c r="G631">
        <v>1</v>
      </c>
      <c r="H631" t="s">
        <v>84</v>
      </c>
      <c r="I631" t="s">
        <v>91</v>
      </c>
      <c r="J631" t="s">
        <v>85</v>
      </c>
      <c r="K631" t="s">
        <v>86</v>
      </c>
      <c r="L631" t="s">
        <v>71</v>
      </c>
      <c r="M631" t="s">
        <v>87</v>
      </c>
      <c r="O631" t="s">
        <v>88</v>
      </c>
      <c r="P631" t="s">
        <v>27</v>
      </c>
      <c r="Q631" t="s">
        <v>73</v>
      </c>
      <c r="R631" t="s">
        <v>76</v>
      </c>
      <c r="S631" t="s">
        <v>74</v>
      </c>
      <c r="T631" t="s">
        <v>75</v>
      </c>
      <c r="X631" t="s">
        <v>77</v>
      </c>
      <c r="Z631" t="s">
        <v>72</v>
      </c>
      <c r="AA631" t="s">
        <v>94</v>
      </c>
      <c r="AB631">
        <v>5</v>
      </c>
      <c r="AC631">
        <v>748738.18</v>
      </c>
      <c r="AD631">
        <v>8930484.0299999993</v>
      </c>
      <c r="AE631">
        <v>189.7</v>
      </c>
      <c r="AF631">
        <v>748738.18</v>
      </c>
      <c r="AG631">
        <v>8930484.0299999993</v>
      </c>
      <c r="AH631">
        <v>179.4</v>
      </c>
      <c r="AI631">
        <v>10.3</v>
      </c>
      <c r="AJ631">
        <v>0.6</v>
      </c>
      <c r="AK631">
        <v>3.37</v>
      </c>
      <c r="AL631">
        <v>2.93</v>
      </c>
      <c r="AM631">
        <v>0</v>
      </c>
      <c r="AN631">
        <v>0</v>
      </c>
      <c r="AO631">
        <v>358</v>
      </c>
      <c r="AP631">
        <v>3.35</v>
      </c>
      <c r="AQ631">
        <v>0.67</v>
      </c>
      <c r="AR631">
        <v>0.09</v>
      </c>
      <c r="AS631">
        <v>0.08</v>
      </c>
      <c r="AT631">
        <v>20.149999999999999</v>
      </c>
      <c r="AU631">
        <v>5.61</v>
      </c>
      <c r="AV631">
        <v>0.37</v>
      </c>
      <c r="AW631">
        <v>1.79</v>
      </c>
      <c r="AX631">
        <v>7.87</v>
      </c>
      <c r="AY631">
        <v>3.3</v>
      </c>
      <c r="AZ631">
        <v>101.92</v>
      </c>
      <c r="BA631">
        <v>0</v>
      </c>
      <c r="BB631">
        <v>0</v>
      </c>
      <c r="BC631">
        <v>0</v>
      </c>
      <c r="BD631">
        <v>0</v>
      </c>
    </row>
    <row r="632" spans="1:56" x14ac:dyDescent="0.25">
      <c r="A632" s="23">
        <v>46304</v>
      </c>
      <c r="B632">
        <v>631</v>
      </c>
      <c r="C632" t="s">
        <v>82</v>
      </c>
      <c r="D632" t="s">
        <v>92</v>
      </c>
      <c r="E632">
        <v>2</v>
      </c>
      <c r="F632">
        <v>180</v>
      </c>
      <c r="G632">
        <v>1</v>
      </c>
      <c r="H632" t="s">
        <v>84</v>
      </c>
      <c r="I632" t="s">
        <v>91</v>
      </c>
      <c r="J632" t="s">
        <v>85</v>
      </c>
      <c r="K632" t="s">
        <v>86</v>
      </c>
      <c r="L632" t="s">
        <v>71</v>
      </c>
      <c r="M632" t="s">
        <v>87</v>
      </c>
      <c r="O632" t="s">
        <v>88</v>
      </c>
      <c r="P632" t="s">
        <v>27</v>
      </c>
      <c r="Q632" t="s">
        <v>73</v>
      </c>
      <c r="R632" t="s">
        <v>76</v>
      </c>
      <c r="S632" t="s">
        <v>74</v>
      </c>
      <c r="T632" t="s">
        <v>75</v>
      </c>
      <c r="X632" t="s">
        <v>77</v>
      </c>
      <c r="Z632" t="s">
        <v>72</v>
      </c>
      <c r="AA632" t="s">
        <v>94</v>
      </c>
      <c r="AB632">
        <v>5</v>
      </c>
      <c r="AC632">
        <v>748735.51</v>
      </c>
      <c r="AD632">
        <v>8930481.9900000002</v>
      </c>
      <c r="AE632">
        <v>189.57</v>
      </c>
      <c r="AF632">
        <v>748735.51</v>
      </c>
      <c r="AG632">
        <v>8930481.9900000002</v>
      </c>
      <c r="AH632">
        <v>179.4</v>
      </c>
      <c r="AI632">
        <v>10.17</v>
      </c>
      <c r="AJ632">
        <v>0.6</v>
      </c>
      <c r="AK632">
        <v>3.37</v>
      </c>
      <c r="AL632">
        <v>2.93</v>
      </c>
      <c r="AM632">
        <v>0</v>
      </c>
      <c r="AN632">
        <v>0</v>
      </c>
      <c r="AO632">
        <v>358</v>
      </c>
      <c r="AP632">
        <v>3.35</v>
      </c>
      <c r="AQ632">
        <v>0.67</v>
      </c>
      <c r="AR632">
        <v>0.09</v>
      </c>
      <c r="AS632">
        <v>0.08</v>
      </c>
      <c r="AT632">
        <v>20.09</v>
      </c>
      <c r="AU632">
        <v>5.61</v>
      </c>
      <c r="AV632">
        <v>0.37</v>
      </c>
      <c r="AW632">
        <v>1.79</v>
      </c>
      <c r="AX632">
        <v>7.88</v>
      </c>
      <c r="AY632">
        <v>3.3</v>
      </c>
      <c r="AZ632">
        <v>100.027</v>
      </c>
      <c r="BA632">
        <v>0</v>
      </c>
      <c r="BB632">
        <v>0</v>
      </c>
      <c r="BC632">
        <v>0</v>
      </c>
      <c r="BD632">
        <v>0</v>
      </c>
    </row>
    <row r="633" spans="1:56" x14ac:dyDescent="0.25">
      <c r="A633" s="23">
        <v>46304</v>
      </c>
      <c r="B633">
        <v>632</v>
      </c>
      <c r="C633" t="s">
        <v>82</v>
      </c>
      <c r="D633" t="s">
        <v>92</v>
      </c>
      <c r="E633">
        <v>2</v>
      </c>
      <c r="F633">
        <v>180</v>
      </c>
      <c r="G633">
        <v>1</v>
      </c>
      <c r="H633" t="s">
        <v>84</v>
      </c>
      <c r="I633" t="s">
        <v>91</v>
      </c>
      <c r="J633" t="s">
        <v>97</v>
      </c>
      <c r="K633" t="s">
        <v>86</v>
      </c>
      <c r="L633" t="s">
        <v>71</v>
      </c>
      <c r="M633" t="s">
        <v>87</v>
      </c>
      <c r="O633" t="s">
        <v>88</v>
      </c>
      <c r="P633" t="s">
        <v>27</v>
      </c>
      <c r="Q633" t="s">
        <v>73</v>
      </c>
      <c r="R633" t="s">
        <v>76</v>
      </c>
      <c r="S633" t="s">
        <v>74</v>
      </c>
      <c r="T633" t="s">
        <v>75</v>
      </c>
      <c r="X633" t="s">
        <v>77</v>
      </c>
      <c r="Z633" t="s">
        <v>72</v>
      </c>
      <c r="AA633" t="s">
        <v>94</v>
      </c>
      <c r="AB633">
        <v>5</v>
      </c>
      <c r="AC633">
        <v>748732.83</v>
      </c>
      <c r="AD633">
        <v>8930479.9399999995</v>
      </c>
      <c r="AE633">
        <v>189.52</v>
      </c>
      <c r="AF633">
        <v>748732.83</v>
      </c>
      <c r="AG633">
        <v>8930479.9399999995</v>
      </c>
      <c r="AH633">
        <v>179.4</v>
      </c>
      <c r="AI633">
        <v>10.119999999999999</v>
      </c>
      <c r="AJ633">
        <v>0.6</v>
      </c>
      <c r="AK633">
        <v>3.37</v>
      </c>
      <c r="AL633">
        <v>2.93</v>
      </c>
      <c r="AM633">
        <v>0</v>
      </c>
      <c r="AN633">
        <v>0</v>
      </c>
      <c r="AO633">
        <v>358</v>
      </c>
      <c r="AP633">
        <v>3.33</v>
      </c>
      <c r="AQ633">
        <v>0.73</v>
      </c>
      <c r="AR633">
        <v>0.1</v>
      </c>
      <c r="AS633">
        <v>0.09</v>
      </c>
      <c r="AT633">
        <v>19.5</v>
      </c>
      <c r="AU633">
        <v>5.83</v>
      </c>
      <c r="AV633">
        <v>0.38</v>
      </c>
      <c r="AW633">
        <v>1.95</v>
      </c>
      <c r="AX633">
        <v>7.25</v>
      </c>
      <c r="AY633">
        <v>3.3</v>
      </c>
      <c r="AZ633">
        <v>99.299000000000007</v>
      </c>
      <c r="BA633">
        <v>0</v>
      </c>
      <c r="BB633">
        <v>0</v>
      </c>
      <c r="BC633">
        <v>0</v>
      </c>
      <c r="BD633">
        <v>0</v>
      </c>
    </row>
    <row r="634" spans="1:56" x14ac:dyDescent="0.25">
      <c r="A634" s="23">
        <v>46304</v>
      </c>
      <c r="B634">
        <v>633</v>
      </c>
      <c r="C634" t="s">
        <v>82</v>
      </c>
      <c r="D634" t="s">
        <v>92</v>
      </c>
      <c r="E634">
        <v>2</v>
      </c>
      <c r="F634">
        <v>180</v>
      </c>
      <c r="G634">
        <v>1</v>
      </c>
      <c r="H634" t="s">
        <v>84</v>
      </c>
      <c r="I634" t="s">
        <v>91</v>
      </c>
      <c r="J634" t="s">
        <v>97</v>
      </c>
      <c r="K634" t="s">
        <v>79</v>
      </c>
      <c r="L634" t="s">
        <v>71</v>
      </c>
      <c r="M634" t="s">
        <v>81</v>
      </c>
      <c r="O634" t="s">
        <v>88</v>
      </c>
      <c r="P634" t="s">
        <v>27</v>
      </c>
      <c r="Q634" t="s">
        <v>73</v>
      </c>
      <c r="R634" t="s">
        <v>76</v>
      </c>
      <c r="S634" t="s">
        <v>74</v>
      </c>
      <c r="T634" t="s">
        <v>75</v>
      </c>
      <c r="X634" t="s">
        <v>77</v>
      </c>
      <c r="Z634" t="s">
        <v>72</v>
      </c>
      <c r="AA634" t="s">
        <v>94</v>
      </c>
      <c r="AB634">
        <v>5</v>
      </c>
      <c r="AC634">
        <v>748730.15</v>
      </c>
      <c r="AD634">
        <v>8930477.9000000004</v>
      </c>
      <c r="AE634">
        <v>189.59</v>
      </c>
      <c r="AF634">
        <v>748730.15</v>
      </c>
      <c r="AG634">
        <v>8930477.9000000004</v>
      </c>
      <c r="AH634">
        <v>179.4</v>
      </c>
      <c r="AI634">
        <v>10.19</v>
      </c>
      <c r="AJ634">
        <v>0.6</v>
      </c>
      <c r="AK634">
        <v>3.37</v>
      </c>
      <c r="AL634">
        <v>2.93</v>
      </c>
      <c r="AM634">
        <v>0</v>
      </c>
      <c r="AN634">
        <v>0</v>
      </c>
      <c r="AO634">
        <v>358</v>
      </c>
      <c r="AP634">
        <v>3.33</v>
      </c>
      <c r="AQ634">
        <v>0.76</v>
      </c>
      <c r="AR634">
        <v>0.11</v>
      </c>
      <c r="AS634">
        <v>0.09</v>
      </c>
      <c r="AT634">
        <v>17.920000000000002</v>
      </c>
      <c r="AU634">
        <v>6.13</v>
      </c>
      <c r="AV634">
        <v>0.37</v>
      </c>
      <c r="AW634">
        <v>2.0699999999999998</v>
      </c>
      <c r="AX634">
        <v>7.05</v>
      </c>
      <c r="AY634">
        <v>3.3</v>
      </c>
      <c r="AZ634">
        <v>100.318</v>
      </c>
      <c r="BA634">
        <v>0</v>
      </c>
      <c r="BB634">
        <v>0</v>
      </c>
      <c r="BC634">
        <v>0</v>
      </c>
      <c r="BD634">
        <v>0</v>
      </c>
    </row>
    <row r="635" spans="1:56" x14ac:dyDescent="0.25">
      <c r="A635" s="23">
        <v>46304</v>
      </c>
      <c r="B635">
        <v>634</v>
      </c>
      <c r="C635" t="s">
        <v>82</v>
      </c>
      <c r="D635" t="s">
        <v>92</v>
      </c>
      <c r="E635">
        <v>2</v>
      </c>
      <c r="F635">
        <v>180</v>
      </c>
      <c r="G635">
        <v>1</v>
      </c>
      <c r="H635" t="s">
        <v>84</v>
      </c>
      <c r="I635" t="s">
        <v>91</v>
      </c>
      <c r="J635" t="s">
        <v>97</v>
      </c>
      <c r="K635" t="s">
        <v>79</v>
      </c>
      <c r="L635" t="s">
        <v>71</v>
      </c>
      <c r="M635" t="s">
        <v>81</v>
      </c>
      <c r="O635" t="s">
        <v>88</v>
      </c>
      <c r="P635" t="s">
        <v>27</v>
      </c>
      <c r="Q635" t="s">
        <v>73</v>
      </c>
      <c r="R635" t="s">
        <v>76</v>
      </c>
      <c r="S635" t="s">
        <v>74</v>
      </c>
      <c r="T635" t="s">
        <v>75</v>
      </c>
      <c r="X635" t="s">
        <v>77</v>
      </c>
      <c r="Z635" t="s">
        <v>72</v>
      </c>
      <c r="AA635" t="s">
        <v>94</v>
      </c>
      <c r="AB635">
        <v>5</v>
      </c>
      <c r="AC635">
        <v>748727.56</v>
      </c>
      <c r="AD635">
        <v>8930475.7599999998</v>
      </c>
      <c r="AE635">
        <v>189.67</v>
      </c>
      <c r="AF635">
        <v>748727.56</v>
      </c>
      <c r="AG635">
        <v>8930475.7599999998</v>
      </c>
      <c r="AH635">
        <v>179.4</v>
      </c>
      <c r="AI635">
        <v>10.27</v>
      </c>
      <c r="AJ635">
        <v>0.6</v>
      </c>
      <c r="AK635">
        <v>3.37</v>
      </c>
      <c r="AL635">
        <v>2.93</v>
      </c>
      <c r="AM635">
        <v>0</v>
      </c>
      <c r="AN635">
        <v>0</v>
      </c>
      <c r="AO635">
        <v>358</v>
      </c>
      <c r="AP635">
        <v>3.36</v>
      </c>
      <c r="AQ635">
        <v>0.73</v>
      </c>
      <c r="AR635">
        <v>0.11</v>
      </c>
      <c r="AS635">
        <v>0.08</v>
      </c>
      <c r="AT635">
        <v>16.73</v>
      </c>
      <c r="AU635">
        <v>6.24</v>
      </c>
      <c r="AV635">
        <v>0.36</v>
      </c>
      <c r="AW635">
        <v>2.0299999999999998</v>
      </c>
      <c r="AX635">
        <v>7.53</v>
      </c>
      <c r="AY635">
        <v>3.3</v>
      </c>
      <c r="AZ635">
        <v>101.483</v>
      </c>
      <c r="BA635">
        <v>0</v>
      </c>
      <c r="BB635">
        <v>0</v>
      </c>
      <c r="BC635">
        <v>0</v>
      </c>
      <c r="BD635">
        <v>0</v>
      </c>
    </row>
    <row r="636" spans="1:56" x14ac:dyDescent="0.25">
      <c r="A636" s="23">
        <v>46304</v>
      </c>
      <c r="B636">
        <v>635</v>
      </c>
      <c r="C636" t="s">
        <v>82</v>
      </c>
      <c r="D636" t="s">
        <v>92</v>
      </c>
      <c r="E636">
        <v>2</v>
      </c>
      <c r="F636">
        <v>180</v>
      </c>
      <c r="G636">
        <v>1</v>
      </c>
      <c r="H636" t="s">
        <v>84</v>
      </c>
      <c r="I636" t="s">
        <v>91</v>
      </c>
      <c r="J636" t="s">
        <v>97</v>
      </c>
      <c r="K636" t="s">
        <v>79</v>
      </c>
      <c r="L636" t="s">
        <v>71</v>
      </c>
      <c r="M636" t="s">
        <v>81</v>
      </c>
      <c r="O636" t="s">
        <v>88</v>
      </c>
      <c r="P636" t="s">
        <v>27</v>
      </c>
      <c r="Q636" t="s">
        <v>73</v>
      </c>
      <c r="R636" t="s">
        <v>76</v>
      </c>
      <c r="S636" t="s">
        <v>74</v>
      </c>
      <c r="T636" t="s">
        <v>75</v>
      </c>
      <c r="X636" t="s">
        <v>77</v>
      </c>
      <c r="Z636" t="s">
        <v>72</v>
      </c>
      <c r="AA636" t="s">
        <v>94</v>
      </c>
      <c r="AB636">
        <v>5</v>
      </c>
      <c r="AC636">
        <v>748725.49</v>
      </c>
      <c r="AD636">
        <v>8930473.1999999993</v>
      </c>
      <c r="AE636">
        <v>189.79</v>
      </c>
      <c r="AF636">
        <v>748725.49</v>
      </c>
      <c r="AG636">
        <v>8930473.1999999993</v>
      </c>
      <c r="AH636">
        <v>179.4</v>
      </c>
      <c r="AI636">
        <v>10.39</v>
      </c>
      <c r="AJ636">
        <v>0.6</v>
      </c>
      <c r="AK636">
        <v>3.37</v>
      </c>
      <c r="AL636">
        <v>2.93</v>
      </c>
      <c r="AM636">
        <v>0</v>
      </c>
      <c r="AN636">
        <v>0</v>
      </c>
      <c r="AO636">
        <v>358</v>
      </c>
      <c r="AP636">
        <v>3.36</v>
      </c>
      <c r="AQ636">
        <v>0.73</v>
      </c>
      <c r="AR636">
        <v>0.11</v>
      </c>
      <c r="AS636">
        <v>0.08</v>
      </c>
      <c r="AT636">
        <v>16.73</v>
      </c>
      <c r="AU636">
        <v>6.23</v>
      </c>
      <c r="AV636">
        <v>0.36</v>
      </c>
      <c r="AW636">
        <v>2.0299999999999998</v>
      </c>
      <c r="AX636">
        <v>7.53</v>
      </c>
      <c r="AY636">
        <v>3.3</v>
      </c>
      <c r="AZ636">
        <v>103.23</v>
      </c>
      <c r="BA636">
        <v>0</v>
      </c>
      <c r="BB636">
        <v>0</v>
      </c>
      <c r="BC636">
        <v>0</v>
      </c>
      <c r="BD636">
        <v>0</v>
      </c>
    </row>
    <row r="637" spans="1:56" x14ac:dyDescent="0.25">
      <c r="A637" s="23">
        <v>46304</v>
      </c>
      <c r="B637">
        <v>636</v>
      </c>
      <c r="C637" t="s">
        <v>82</v>
      </c>
      <c r="D637" t="s">
        <v>92</v>
      </c>
      <c r="E637">
        <v>2</v>
      </c>
      <c r="F637">
        <v>180</v>
      </c>
      <c r="G637">
        <v>1</v>
      </c>
      <c r="H637" t="s">
        <v>84</v>
      </c>
      <c r="I637" t="s">
        <v>91</v>
      </c>
      <c r="J637" t="s">
        <v>97</v>
      </c>
      <c r="K637" t="s">
        <v>79</v>
      </c>
      <c r="L637" t="s">
        <v>71</v>
      </c>
      <c r="M637" t="s">
        <v>81</v>
      </c>
      <c r="O637" t="s">
        <v>88</v>
      </c>
      <c r="P637" t="s">
        <v>27</v>
      </c>
      <c r="Q637" t="s">
        <v>73</v>
      </c>
      <c r="R637" t="s">
        <v>76</v>
      </c>
      <c r="S637" t="s">
        <v>74</v>
      </c>
      <c r="T637" t="s">
        <v>75</v>
      </c>
      <c r="X637" t="s">
        <v>77</v>
      </c>
      <c r="Z637" t="s">
        <v>72</v>
      </c>
      <c r="AA637" t="s">
        <v>94</v>
      </c>
      <c r="AB637">
        <v>5</v>
      </c>
      <c r="AC637">
        <v>748724.16</v>
      </c>
      <c r="AD637">
        <v>8930470.1600000001</v>
      </c>
      <c r="AE637">
        <v>189.71</v>
      </c>
      <c r="AF637">
        <v>748724.16</v>
      </c>
      <c r="AG637">
        <v>8930470.1600000001</v>
      </c>
      <c r="AH637">
        <v>179.4</v>
      </c>
      <c r="AI637">
        <v>10.31</v>
      </c>
      <c r="AJ637">
        <v>0.6</v>
      </c>
      <c r="AK637">
        <v>3.37</v>
      </c>
      <c r="AL637">
        <v>2.93</v>
      </c>
      <c r="AM637">
        <v>0</v>
      </c>
      <c r="AN637">
        <v>0</v>
      </c>
      <c r="AO637">
        <v>358</v>
      </c>
      <c r="AP637">
        <v>3.34</v>
      </c>
      <c r="AQ637">
        <v>0.65</v>
      </c>
      <c r="AR637">
        <v>0.1</v>
      </c>
      <c r="AS637">
        <v>0.08</v>
      </c>
      <c r="AT637">
        <v>15.62</v>
      </c>
      <c r="AU637">
        <v>6.1</v>
      </c>
      <c r="AV637">
        <v>0.33</v>
      </c>
      <c r="AW637">
        <v>1.96</v>
      </c>
      <c r="AX637">
        <v>7.95</v>
      </c>
      <c r="AY637">
        <v>3.3</v>
      </c>
      <c r="AZ637">
        <v>102.066</v>
      </c>
      <c r="BA637">
        <v>0</v>
      </c>
      <c r="BB637">
        <v>0</v>
      </c>
      <c r="BC637">
        <v>0</v>
      </c>
      <c r="BD637">
        <v>0</v>
      </c>
    </row>
    <row r="638" spans="1:56" x14ac:dyDescent="0.25">
      <c r="A638" s="23">
        <v>46304</v>
      </c>
      <c r="B638">
        <v>637</v>
      </c>
      <c r="C638" t="s">
        <v>82</v>
      </c>
      <c r="D638" t="s">
        <v>92</v>
      </c>
      <c r="E638">
        <v>0</v>
      </c>
      <c r="F638">
        <v>180</v>
      </c>
      <c r="G638">
        <v>0</v>
      </c>
      <c r="H638" t="s">
        <v>84</v>
      </c>
      <c r="J638" t="s">
        <v>85</v>
      </c>
      <c r="K638" t="s">
        <v>79</v>
      </c>
      <c r="L638" t="s">
        <v>71</v>
      </c>
      <c r="M638" t="s">
        <v>81</v>
      </c>
      <c r="O638" t="s">
        <v>88</v>
      </c>
      <c r="P638" t="s">
        <v>27</v>
      </c>
      <c r="Q638" t="s">
        <v>73</v>
      </c>
      <c r="R638" t="s">
        <v>76</v>
      </c>
      <c r="S638" t="s">
        <v>74</v>
      </c>
      <c r="T638" t="s">
        <v>75</v>
      </c>
      <c r="X638" t="s">
        <v>77</v>
      </c>
      <c r="Z638" t="s">
        <v>72</v>
      </c>
      <c r="AA638" t="s">
        <v>94</v>
      </c>
      <c r="AB638">
        <v>5</v>
      </c>
      <c r="AC638">
        <v>748723.13</v>
      </c>
      <c r="AD638">
        <v>8930466.9499999993</v>
      </c>
      <c r="AE638">
        <v>189.7</v>
      </c>
      <c r="AF638">
        <v>748723.13</v>
      </c>
      <c r="AG638">
        <v>8930466.9499999993</v>
      </c>
      <c r="AH638">
        <v>179.4</v>
      </c>
      <c r="AI638">
        <v>10.3</v>
      </c>
      <c r="AJ638">
        <v>0.6</v>
      </c>
      <c r="AK638">
        <v>3.37</v>
      </c>
      <c r="AL638">
        <v>2.93</v>
      </c>
      <c r="AM638">
        <v>0</v>
      </c>
      <c r="AN638">
        <v>0</v>
      </c>
      <c r="AO638">
        <v>358</v>
      </c>
      <c r="AP638">
        <v>3.27</v>
      </c>
      <c r="AQ638">
        <v>0.53</v>
      </c>
      <c r="AR638">
        <v>0.09</v>
      </c>
      <c r="AS638">
        <v>7.0000000000000007E-2</v>
      </c>
      <c r="AT638">
        <v>13.39</v>
      </c>
      <c r="AU638">
        <v>5.56</v>
      </c>
      <c r="AV638">
        <v>0.27</v>
      </c>
      <c r="AW638">
        <v>1.76</v>
      </c>
      <c r="AX638">
        <v>7.92</v>
      </c>
      <c r="AY638">
        <v>3.3</v>
      </c>
      <c r="AZ638">
        <v>101.92</v>
      </c>
      <c r="BA638">
        <v>0</v>
      </c>
      <c r="BB638">
        <v>0</v>
      </c>
      <c r="BC638">
        <v>0</v>
      </c>
      <c r="BD638">
        <v>0</v>
      </c>
    </row>
    <row r="639" spans="1:56" x14ac:dyDescent="0.25">
      <c r="A639" s="23">
        <v>46304</v>
      </c>
      <c r="B639">
        <v>638</v>
      </c>
      <c r="C639" t="s">
        <v>82</v>
      </c>
      <c r="D639" t="s">
        <v>92</v>
      </c>
      <c r="E639">
        <v>0</v>
      </c>
      <c r="F639">
        <v>180</v>
      </c>
      <c r="G639">
        <v>0</v>
      </c>
      <c r="H639" t="s">
        <v>84</v>
      </c>
      <c r="J639" t="s">
        <v>85</v>
      </c>
      <c r="K639" t="s">
        <v>79</v>
      </c>
      <c r="L639" t="s">
        <v>71</v>
      </c>
      <c r="M639" t="s">
        <v>81</v>
      </c>
      <c r="O639" t="s">
        <v>88</v>
      </c>
      <c r="P639" t="s">
        <v>27</v>
      </c>
      <c r="Q639" t="s">
        <v>73</v>
      </c>
      <c r="R639" t="s">
        <v>76</v>
      </c>
      <c r="S639" t="s">
        <v>74</v>
      </c>
      <c r="T639" t="s">
        <v>75</v>
      </c>
      <c r="X639" t="s">
        <v>77</v>
      </c>
      <c r="Z639" t="s">
        <v>72</v>
      </c>
      <c r="AA639" t="s">
        <v>94</v>
      </c>
      <c r="AB639">
        <v>5</v>
      </c>
      <c r="AC639">
        <v>748722.47</v>
      </c>
      <c r="AD639">
        <v>8930463.6899999995</v>
      </c>
      <c r="AE639">
        <v>189.72</v>
      </c>
      <c r="AF639">
        <v>748722.47</v>
      </c>
      <c r="AG639">
        <v>8930463.6899999995</v>
      </c>
      <c r="AH639">
        <v>179.4</v>
      </c>
      <c r="AI639">
        <v>10.32</v>
      </c>
      <c r="AJ639">
        <v>0.6</v>
      </c>
      <c r="AK639">
        <v>3.37</v>
      </c>
      <c r="AL639">
        <v>2.93</v>
      </c>
      <c r="AM639">
        <v>0</v>
      </c>
      <c r="AN639">
        <v>0</v>
      </c>
      <c r="AO639">
        <v>358</v>
      </c>
      <c r="AP639">
        <v>3.21</v>
      </c>
      <c r="AQ639">
        <v>0.47</v>
      </c>
      <c r="AR639">
        <v>0.08</v>
      </c>
      <c r="AS639">
        <v>0.06</v>
      </c>
      <c r="AT639">
        <v>11.91</v>
      </c>
      <c r="AU639">
        <v>4.95</v>
      </c>
      <c r="AV639">
        <v>0.24</v>
      </c>
      <c r="AW639">
        <v>1.56</v>
      </c>
      <c r="AX639">
        <v>7.07</v>
      </c>
      <c r="AY639">
        <v>3.3</v>
      </c>
      <c r="AZ639">
        <v>102.211</v>
      </c>
      <c r="BA639">
        <v>0</v>
      </c>
      <c r="BB639">
        <v>0</v>
      </c>
      <c r="BC639">
        <v>0</v>
      </c>
      <c r="BD639">
        <v>0</v>
      </c>
    </row>
    <row r="640" spans="1:56" x14ac:dyDescent="0.25">
      <c r="A640" s="23">
        <v>46304</v>
      </c>
      <c r="B640">
        <v>639</v>
      </c>
      <c r="C640" t="s">
        <v>82</v>
      </c>
      <c r="D640" t="s">
        <v>92</v>
      </c>
      <c r="E640">
        <v>0</v>
      </c>
      <c r="F640">
        <v>180</v>
      </c>
      <c r="G640">
        <v>0</v>
      </c>
      <c r="H640" t="s">
        <v>98</v>
      </c>
      <c r="J640" t="s">
        <v>70</v>
      </c>
      <c r="K640" t="s">
        <v>79</v>
      </c>
      <c r="L640" t="s">
        <v>71</v>
      </c>
      <c r="M640" t="s">
        <v>81</v>
      </c>
      <c r="O640" t="s">
        <v>88</v>
      </c>
      <c r="P640" t="s">
        <v>27</v>
      </c>
      <c r="Q640" t="s">
        <v>73</v>
      </c>
      <c r="R640" t="s">
        <v>76</v>
      </c>
      <c r="S640" t="s">
        <v>74</v>
      </c>
      <c r="T640" t="s">
        <v>75</v>
      </c>
      <c r="X640" t="s">
        <v>77</v>
      </c>
      <c r="Z640" t="s">
        <v>72</v>
      </c>
      <c r="AA640" t="s">
        <v>94</v>
      </c>
      <c r="AB640">
        <v>5</v>
      </c>
      <c r="AC640">
        <v>748721.98</v>
      </c>
      <c r="AD640">
        <v>8930460.3800000008</v>
      </c>
      <c r="AE640">
        <v>189.77</v>
      </c>
      <c r="AF640">
        <v>748721.98</v>
      </c>
      <c r="AG640">
        <v>8930460.3800000008</v>
      </c>
      <c r="AH640">
        <v>179.4</v>
      </c>
      <c r="AI640">
        <v>10.37</v>
      </c>
      <c r="AJ640">
        <v>0.6</v>
      </c>
      <c r="AK640">
        <v>3.37</v>
      </c>
      <c r="AL640">
        <v>2.93</v>
      </c>
      <c r="AM640">
        <v>0</v>
      </c>
      <c r="AN640">
        <v>0</v>
      </c>
      <c r="AO640">
        <v>358</v>
      </c>
      <c r="AP640">
        <v>3.01</v>
      </c>
      <c r="AQ640">
        <v>0.21</v>
      </c>
      <c r="AR640">
        <v>0.04</v>
      </c>
      <c r="AS640">
        <v>0.03</v>
      </c>
      <c r="AT640">
        <v>5.48</v>
      </c>
      <c r="AU640">
        <v>2.23</v>
      </c>
      <c r="AV640">
        <v>0.11</v>
      </c>
      <c r="AW640">
        <v>0.71</v>
      </c>
      <c r="AX640">
        <v>3.27</v>
      </c>
      <c r="AY640">
        <v>3.3</v>
      </c>
      <c r="AZ640">
        <v>102.93899999999999</v>
      </c>
      <c r="BA640">
        <v>0</v>
      </c>
      <c r="BB640">
        <v>0</v>
      </c>
      <c r="BC640">
        <v>0</v>
      </c>
      <c r="BD640">
        <v>0</v>
      </c>
    </row>
    <row r="641" spans="1:56" x14ac:dyDescent="0.25">
      <c r="A641" s="23">
        <v>46304</v>
      </c>
      <c r="B641">
        <v>640</v>
      </c>
      <c r="C641" t="s">
        <v>82</v>
      </c>
      <c r="D641" t="s">
        <v>92</v>
      </c>
      <c r="E641">
        <v>0</v>
      </c>
      <c r="F641">
        <v>180</v>
      </c>
      <c r="G641">
        <v>0</v>
      </c>
      <c r="H641" t="s">
        <v>84</v>
      </c>
      <c r="J641" t="s">
        <v>70</v>
      </c>
      <c r="K641" t="s">
        <v>86</v>
      </c>
      <c r="L641" t="s">
        <v>71</v>
      </c>
      <c r="M641" t="s">
        <v>87</v>
      </c>
      <c r="O641" t="s">
        <v>88</v>
      </c>
      <c r="P641" t="s">
        <v>27</v>
      </c>
      <c r="Q641" t="s">
        <v>73</v>
      </c>
      <c r="R641" t="s">
        <v>76</v>
      </c>
      <c r="S641" t="s">
        <v>74</v>
      </c>
      <c r="T641" t="s">
        <v>75</v>
      </c>
      <c r="X641" t="s">
        <v>77</v>
      </c>
      <c r="Z641" t="s">
        <v>72</v>
      </c>
      <c r="AA641" t="s">
        <v>94</v>
      </c>
      <c r="AB641">
        <v>5</v>
      </c>
      <c r="AC641">
        <v>748692.87</v>
      </c>
      <c r="AD641">
        <v>8930412.8499999996</v>
      </c>
      <c r="AE641">
        <v>188.6</v>
      </c>
      <c r="AF641">
        <v>748692.87</v>
      </c>
      <c r="AG641">
        <v>8930412.8499999996</v>
      </c>
      <c r="AH641">
        <v>179.4</v>
      </c>
      <c r="AI641">
        <v>9.1999999999999993</v>
      </c>
      <c r="AJ641">
        <v>0.6</v>
      </c>
      <c r="AK641">
        <v>3.37</v>
      </c>
      <c r="AL641">
        <v>2.93</v>
      </c>
      <c r="AM641">
        <v>0</v>
      </c>
      <c r="AN641">
        <v>0</v>
      </c>
      <c r="AO641">
        <v>358</v>
      </c>
      <c r="AP641">
        <v>2.81</v>
      </c>
      <c r="AQ641">
        <v>0</v>
      </c>
      <c r="AR641">
        <v>0</v>
      </c>
      <c r="AS641">
        <v>0</v>
      </c>
      <c r="AT641">
        <v>0</v>
      </c>
      <c r="AU641">
        <v>0</v>
      </c>
      <c r="AV641">
        <v>0</v>
      </c>
      <c r="AW641">
        <v>0</v>
      </c>
      <c r="AX641">
        <v>0</v>
      </c>
      <c r="AY641">
        <v>3.3</v>
      </c>
      <c r="AZ641">
        <v>85.903999999999996</v>
      </c>
      <c r="BA641">
        <v>0</v>
      </c>
      <c r="BB641">
        <v>0</v>
      </c>
      <c r="BC641">
        <v>0</v>
      </c>
      <c r="BD641">
        <v>0</v>
      </c>
    </row>
    <row r="642" spans="1:56" x14ac:dyDescent="0.25">
      <c r="A642" s="23">
        <v>46304</v>
      </c>
      <c r="B642">
        <v>641</v>
      </c>
      <c r="C642" t="s">
        <v>82</v>
      </c>
      <c r="D642" t="s">
        <v>92</v>
      </c>
      <c r="E642">
        <v>0</v>
      </c>
      <c r="F642">
        <v>180</v>
      </c>
      <c r="G642">
        <v>0</v>
      </c>
      <c r="H642" t="s">
        <v>98</v>
      </c>
      <c r="J642" t="s">
        <v>70</v>
      </c>
      <c r="K642" t="s">
        <v>86</v>
      </c>
      <c r="L642" t="s">
        <v>71</v>
      </c>
      <c r="M642" t="s">
        <v>87</v>
      </c>
      <c r="O642" t="s">
        <v>88</v>
      </c>
      <c r="P642" t="s">
        <v>27</v>
      </c>
      <c r="Q642" t="s">
        <v>73</v>
      </c>
      <c r="R642" t="s">
        <v>76</v>
      </c>
      <c r="S642" t="s">
        <v>74</v>
      </c>
      <c r="T642" t="s">
        <v>75</v>
      </c>
      <c r="X642" t="s">
        <v>77</v>
      </c>
      <c r="Z642" t="s">
        <v>72</v>
      </c>
      <c r="AA642" t="s">
        <v>94</v>
      </c>
      <c r="AB642">
        <v>5</v>
      </c>
      <c r="AC642">
        <v>748695.32</v>
      </c>
      <c r="AD642">
        <v>8930414.1899999995</v>
      </c>
      <c r="AE642">
        <v>188.64</v>
      </c>
      <c r="AF642">
        <v>748695.32</v>
      </c>
      <c r="AG642">
        <v>8930414.1899999995</v>
      </c>
      <c r="AH642">
        <v>179.4</v>
      </c>
      <c r="AI642">
        <v>9.24</v>
      </c>
      <c r="AJ642">
        <v>0.6</v>
      </c>
      <c r="AK642">
        <v>3.37</v>
      </c>
      <c r="AL642">
        <v>2.93</v>
      </c>
      <c r="AM642">
        <v>0</v>
      </c>
      <c r="AN642">
        <v>0</v>
      </c>
      <c r="AO642">
        <v>358</v>
      </c>
      <c r="AP642">
        <v>2.81</v>
      </c>
      <c r="AQ642">
        <v>0</v>
      </c>
      <c r="AR642">
        <v>0</v>
      </c>
      <c r="AS642">
        <v>0</v>
      </c>
      <c r="AT642">
        <v>0</v>
      </c>
      <c r="AU642">
        <v>0</v>
      </c>
      <c r="AV642">
        <v>0</v>
      </c>
      <c r="AW642">
        <v>0</v>
      </c>
      <c r="AX642">
        <v>0</v>
      </c>
      <c r="AY642">
        <v>3.3</v>
      </c>
      <c r="AZ642">
        <v>86.486000000000004</v>
      </c>
      <c r="BA642">
        <v>0</v>
      </c>
      <c r="BB642">
        <v>0</v>
      </c>
      <c r="BC642">
        <v>0</v>
      </c>
      <c r="BD642">
        <v>0</v>
      </c>
    </row>
    <row r="643" spans="1:56" x14ac:dyDescent="0.25">
      <c r="A643" s="23">
        <v>46304</v>
      </c>
      <c r="B643">
        <v>642</v>
      </c>
      <c r="C643" t="s">
        <v>82</v>
      </c>
      <c r="D643" t="s">
        <v>92</v>
      </c>
      <c r="E643">
        <v>0</v>
      </c>
      <c r="F643">
        <v>180</v>
      </c>
      <c r="G643">
        <v>0</v>
      </c>
      <c r="H643" t="s">
        <v>98</v>
      </c>
      <c r="J643" t="s">
        <v>70</v>
      </c>
      <c r="K643" t="s">
        <v>86</v>
      </c>
      <c r="L643" t="s">
        <v>71</v>
      </c>
      <c r="M643" t="s">
        <v>87</v>
      </c>
      <c r="O643" t="s">
        <v>88</v>
      </c>
      <c r="P643" t="s">
        <v>27</v>
      </c>
      <c r="Q643" t="s">
        <v>73</v>
      </c>
      <c r="R643" t="s">
        <v>76</v>
      </c>
      <c r="S643" t="s">
        <v>74</v>
      </c>
      <c r="T643" t="s">
        <v>75</v>
      </c>
      <c r="X643" t="s">
        <v>77</v>
      </c>
      <c r="Z643" t="s">
        <v>72</v>
      </c>
      <c r="AA643" t="s">
        <v>94</v>
      </c>
      <c r="AB643">
        <v>5</v>
      </c>
      <c r="AC643">
        <v>748697.03</v>
      </c>
      <c r="AD643">
        <v>8930412.6699999999</v>
      </c>
      <c r="AE643">
        <v>188.62</v>
      </c>
      <c r="AF643">
        <v>748697.03</v>
      </c>
      <c r="AG643">
        <v>8930412.6699999999</v>
      </c>
      <c r="AH643">
        <v>179.4</v>
      </c>
      <c r="AI643">
        <v>9.2200000000000006</v>
      </c>
      <c r="AJ643">
        <v>0.6</v>
      </c>
      <c r="AK643">
        <v>3.37</v>
      </c>
      <c r="AL643">
        <v>2.93</v>
      </c>
      <c r="AM643">
        <v>0</v>
      </c>
      <c r="AN643">
        <v>0</v>
      </c>
      <c r="AO643">
        <v>358</v>
      </c>
      <c r="AP643">
        <v>2.8</v>
      </c>
      <c r="AQ643">
        <v>0</v>
      </c>
      <c r="AR643">
        <v>0</v>
      </c>
      <c r="AS643">
        <v>0</v>
      </c>
      <c r="AT643">
        <v>0</v>
      </c>
      <c r="AU643">
        <v>0</v>
      </c>
      <c r="AV643">
        <v>0</v>
      </c>
      <c r="AW643">
        <v>0</v>
      </c>
      <c r="AX643">
        <v>0</v>
      </c>
      <c r="AY643">
        <v>3.3</v>
      </c>
      <c r="AZ643">
        <v>86.194999999999993</v>
      </c>
      <c r="BA643">
        <v>0</v>
      </c>
      <c r="BB643">
        <v>0</v>
      </c>
      <c r="BC643">
        <v>0</v>
      </c>
      <c r="BD643">
        <v>0</v>
      </c>
    </row>
    <row r="644" spans="1:56" x14ac:dyDescent="0.25">
      <c r="A644" s="23">
        <v>46304</v>
      </c>
      <c r="B644">
        <v>643</v>
      </c>
      <c r="C644" t="s">
        <v>82</v>
      </c>
      <c r="D644" t="s">
        <v>92</v>
      </c>
      <c r="E644">
        <v>0</v>
      </c>
      <c r="F644">
        <v>180</v>
      </c>
      <c r="G644">
        <v>0</v>
      </c>
      <c r="H644" t="s">
        <v>98</v>
      </c>
      <c r="J644" t="s">
        <v>70</v>
      </c>
      <c r="K644" t="s">
        <v>86</v>
      </c>
      <c r="L644" t="s">
        <v>71</v>
      </c>
      <c r="M644" t="s">
        <v>87</v>
      </c>
      <c r="O644" t="s">
        <v>88</v>
      </c>
      <c r="P644" t="s">
        <v>27</v>
      </c>
      <c r="Q644" t="s">
        <v>73</v>
      </c>
      <c r="R644" t="s">
        <v>76</v>
      </c>
      <c r="S644" t="s">
        <v>74</v>
      </c>
      <c r="T644" t="s">
        <v>75</v>
      </c>
      <c r="X644" t="s">
        <v>77</v>
      </c>
      <c r="Z644" t="s">
        <v>72</v>
      </c>
      <c r="AA644" t="s">
        <v>94</v>
      </c>
      <c r="AB644">
        <v>5</v>
      </c>
      <c r="AC644">
        <v>748697.36</v>
      </c>
      <c r="AD644">
        <v>8930416.2799999993</v>
      </c>
      <c r="AE644">
        <v>188.7</v>
      </c>
      <c r="AF644">
        <v>748697.36</v>
      </c>
      <c r="AG644">
        <v>8930416.2799999993</v>
      </c>
      <c r="AH644">
        <v>179.4</v>
      </c>
      <c r="AI644">
        <v>9.3000000000000007</v>
      </c>
      <c r="AJ644">
        <v>0.6</v>
      </c>
      <c r="AK644">
        <v>3.37</v>
      </c>
      <c r="AL644">
        <v>2.93</v>
      </c>
      <c r="AM644">
        <v>0</v>
      </c>
      <c r="AN644">
        <v>0</v>
      </c>
      <c r="AO644">
        <v>358</v>
      </c>
      <c r="AP644">
        <v>2.81</v>
      </c>
      <c r="AQ644">
        <v>0</v>
      </c>
      <c r="AR644">
        <v>0</v>
      </c>
      <c r="AS644">
        <v>0</v>
      </c>
      <c r="AT644">
        <v>0</v>
      </c>
      <c r="AU644">
        <v>0</v>
      </c>
      <c r="AV644">
        <v>0</v>
      </c>
      <c r="AW644">
        <v>0</v>
      </c>
      <c r="AX644">
        <v>0</v>
      </c>
      <c r="AY644">
        <v>3.3</v>
      </c>
      <c r="AZ644">
        <v>87.36</v>
      </c>
      <c r="BA644">
        <v>0</v>
      </c>
      <c r="BB644">
        <v>0</v>
      </c>
      <c r="BC644">
        <v>0</v>
      </c>
      <c r="BD644">
        <v>0</v>
      </c>
    </row>
    <row r="645" spans="1:56" x14ac:dyDescent="0.25">
      <c r="A645" s="23">
        <v>46304</v>
      </c>
      <c r="B645">
        <v>644</v>
      </c>
      <c r="C645" t="s">
        <v>82</v>
      </c>
      <c r="D645" t="s">
        <v>92</v>
      </c>
      <c r="E645">
        <v>0</v>
      </c>
      <c r="F645">
        <v>180</v>
      </c>
      <c r="G645">
        <v>0</v>
      </c>
      <c r="H645" t="s">
        <v>98</v>
      </c>
      <c r="J645" t="s">
        <v>70</v>
      </c>
      <c r="K645" t="s">
        <v>86</v>
      </c>
      <c r="L645" t="s">
        <v>71</v>
      </c>
      <c r="M645" t="s">
        <v>87</v>
      </c>
      <c r="O645" t="s">
        <v>88</v>
      </c>
      <c r="P645" t="s">
        <v>27</v>
      </c>
      <c r="Q645" t="s">
        <v>73</v>
      </c>
      <c r="R645" t="s">
        <v>76</v>
      </c>
      <c r="S645" t="s">
        <v>74</v>
      </c>
      <c r="T645" t="s">
        <v>75</v>
      </c>
      <c r="X645" t="s">
        <v>77</v>
      </c>
      <c r="Z645" t="s">
        <v>72</v>
      </c>
      <c r="AA645" t="s">
        <v>94</v>
      </c>
      <c r="AB645">
        <v>5</v>
      </c>
      <c r="AC645">
        <v>748698.75</v>
      </c>
      <c r="AD645">
        <v>8930419.2200000007</v>
      </c>
      <c r="AE645">
        <v>188.78</v>
      </c>
      <c r="AF645">
        <v>748698.75</v>
      </c>
      <c r="AG645">
        <v>8930419.2200000007</v>
      </c>
      <c r="AH645">
        <v>179.4</v>
      </c>
      <c r="AI645">
        <v>9.3800000000000008</v>
      </c>
      <c r="AJ645">
        <v>0.6</v>
      </c>
      <c r="AK645">
        <v>3.37</v>
      </c>
      <c r="AL645">
        <v>2.93</v>
      </c>
      <c r="AM645">
        <v>0</v>
      </c>
      <c r="AN645">
        <v>0</v>
      </c>
      <c r="AO645">
        <v>358</v>
      </c>
      <c r="AP645">
        <v>2.8</v>
      </c>
      <c r="AQ645">
        <v>0</v>
      </c>
      <c r="AR645">
        <v>0</v>
      </c>
      <c r="AS645">
        <v>0</v>
      </c>
      <c r="AT645">
        <v>0</v>
      </c>
      <c r="AU645">
        <v>0</v>
      </c>
      <c r="AV645">
        <v>0</v>
      </c>
      <c r="AW645">
        <v>0</v>
      </c>
      <c r="AX645">
        <v>0</v>
      </c>
      <c r="AY645">
        <v>3.3</v>
      </c>
      <c r="AZ645">
        <v>88.525000000000006</v>
      </c>
      <c r="BA645">
        <v>0</v>
      </c>
      <c r="BB645">
        <v>0</v>
      </c>
      <c r="BC645">
        <v>0</v>
      </c>
      <c r="BD645">
        <v>0</v>
      </c>
    </row>
    <row r="646" spans="1:56" x14ac:dyDescent="0.25">
      <c r="A646" s="23">
        <v>46304</v>
      </c>
      <c r="B646">
        <v>645</v>
      </c>
      <c r="C646" t="s">
        <v>82</v>
      </c>
      <c r="D646" t="s">
        <v>92</v>
      </c>
      <c r="E646">
        <v>0</v>
      </c>
      <c r="F646">
        <v>180</v>
      </c>
      <c r="G646">
        <v>0</v>
      </c>
      <c r="H646" t="s">
        <v>98</v>
      </c>
      <c r="J646" t="s">
        <v>85</v>
      </c>
      <c r="K646" t="s">
        <v>79</v>
      </c>
      <c r="L646" t="s">
        <v>71</v>
      </c>
      <c r="M646" t="s">
        <v>81</v>
      </c>
      <c r="O646" t="s">
        <v>88</v>
      </c>
      <c r="P646" t="s">
        <v>27</v>
      </c>
      <c r="Q646" t="s">
        <v>73</v>
      </c>
      <c r="R646" t="s">
        <v>76</v>
      </c>
      <c r="S646" t="s">
        <v>74</v>
      </c>
      <c r="T646" t="s">
        <v>75</v>
      </c>
      <c r="X646" t="s">
        <v>77</v>
      </c>
      <c r="Z646" t="s">
        <v>72</v>
      </c>
      <c r="AA646" t="s">
        <v>94</v>
      </c>
      <c r="AB646">
        <v>5</v>
      </c>
      <c r="AC646">
        <v>748724.52</v>
      </c>
      <c r="AD646">
        <v>8930462.8300000001</v>
      </c>
      <c r="AE646">
        <v>188.99</v>
      </c>
      <c r="AF646">
        <v>748724.52</v>
      </c>
      <c r="AG646">
        <v>8930462.8300000001</v>
      </c>
      <c r="AH646">
        <v>179.4</v>
      </c>
      <c r="AI646">
        <v>9.59</v>
      </c>
      <c r="AJ646">
        <v>0.6</v>
      </c>
      <c r="AK646">
        <v>3.37</v>
      </c>
      <c r="AL646">
        <v>2.93</v>
      </c>
      <c r="AM646">
        <v>0</v>
      </c>
      <c r="AN646">
        <v>0</v>
      </c>
      <c r="AO646">
        <v>358</v>
      </c>
      <c r="AP646">
        <v>3.2</v>
      </c>
      <c r="AQ646">
        <v>0.47</v>
      </c>
      <c r="AR646">
        <v>0.08</v>
      </c>
      <c r="AS646">
        <v>0.06</v>
      </c>
      <c r="AT646">
        <v>11.85</v>
      </c>
      <c r="AU646">
        <v>4.92</v>
      </c>
      <c r="AV646">
        <v>0.24</v>
      </c>
      <c r="AW646">
        <v>1.55</v>
      </c>
      <c r="AX646">
        <v>7.02</v>
      </c>
      <c r="AY646">
        <v>3.3</v>
      </c>
      <c r="AZ646">
        <v>91.581999999999994</v>
      </c>
      <c r="BA646">
        <v>0</v>
      </c>
      <c r="BB646">
        <v>0</v>
      </c>
      <c r="BC646">
        <v>0</v>
      </c>
      <c r="BD646">
        <v>0</v>
      </c>
    </row>
    <row r="647" spans="1:56" x14ac:dyDescent="0.25">
      <c r="A647" s="23">
        <v>46304</v>
      </c>
      <c r="B647">
        <v>646</v>
      </c>
      <c r="C647" t="s">
        <v>82</v>
      </c>
      <c r="D647" t="s">
        <v>92</v>
      </c>
      <c r="E647">
        <v>0</v>
      </c>
      <c r="F647">
        <v>180</v>
      </c>
      <c r="G647">
        <v>0</v>
      </c>
      <c r="H647" t="s">
        <v>98</v>
      </c>
      <c r="J647" t="s">
        <v>85</v>
      </c>
      <c r="K647" t="s">
        <v>79</v>
      </c>
      <c r="L647" t="s">
        <v>71</v>
      </c>
      <c r="M647" t="s">
        <v>81</v>
      </c>
      <c r="O647" t="s">
        <v>88</v>
      </c>
      <c r="P647" t="s">
        <v>27</v>
      </c>
      <c r="Q647" t="s">
        <v>73</v>
      </c>
      <c r="R647" t="s">
        <v>76</v>
      </c>
      <c r="S647" t="s">
        <v>74</v>
      </c>
      <c r="T647" t="s">
        <v>75</v>
      </c>
      <c r="X647" t="s">
        <v>77</v>
      </c>
      <c r="Z647" t="s">
        <v>72</v>
      </c>
      <c r="AA647" t="s">
        <v>94</v>
      </c>
      <c r="AB647">
        <v>5</v>
      </c>
      <c r="AC647">
        <v>748725.61</v>
      </c>
      <c r="AD647">
        <v>8930465.0800000001</v>
      </c>
      <c r="AE647">
        <v>189.49</v>
      </c>
      <c r="AF647">
        <v>748725.61</v>
      </c>
      <c r="AG647">
        <v>8930465.0800000001</v>
      </c>
      <c r="AH647">
        <v>179.4</v>
      </c>
      <c r="AI647">
        <v>10.09</v>
      </c>
      <c r="AJ647">
        <v>0.6</v>
      </c>
      <c r="AK647">
        <v>3.37</v>
      </c>
      <c r="AL647">
        <v>2.93</v>
      </c>
      <c r="AM647">
        <v>0</v>
      </c>
      <c r="AN647">
        <v>0</v>
      </c>
      <c r="AO647">
        <v>358</v>
      </c>
      <c r="AP647">
        <v>3.22</v>
      </c>
      <c r="AQ647">
        <v>0.5</v>
      </c>
      <c r="AR647">
        <v>0.08</v>
      </c>
      <c r="AS647">
        <v>0.06</v>
      </c>
      <c r="AT647">
        <v>12.45</v>
      </c>
      <c r="AU647">
        <v>5.16</v>
      </c>
      <c r="AV647">
        <v>0.25</v>
      </c>
      <c r="AW647">
        <v>1.63</v>
      </c>
      <c r="AX647">
        <v>7.35</v>
      </c>
      <c r="AY647">
        <v>3.3</v>
      </c>
      <c r="AZ647">
        <v>98.861999999999995</v>
      </c>
      <c r="BA647">
        <v>0</v>
      </c>
      <c r="BB647">
        <v>0</v>
      </c>
      <c r="BC647">
        <v>0</v>
      </c>
      <c r="BD647">
        <v>0</v>
      </c>
    </row>
    <row r="648" spans="1:56" x14ac:dyDescent="0.25">
      <c r="A648" s="23">
        <v>46304</v>
      </c>
      <c r="B648">
        <v>647</v>
      </c>
      <c r="C648" t="s">
        <v>82</v>
      </c>
      <c r="D648" t="s">
        <v>92</v>
      </c>
      <c r="E648">
        <v>0</v>
      </c>
      <c r="F648">
        <v>180</v>
      </c>
      <c r="G648">
        <v>0</v>
      </c>
      <c r="H648" t="s">
        <v>84</v>
      </c>
      <c r="J648" t="s">
        <v>85</v>
      </c>
      <c r="K648" t="s">
        <v>79</v>
      </c>
      <c r="L648" t="s">
        <v>71</v>
      </c>
      <c r="M648" t="s">
        <v>81</v>
      </c>
      <c r="O648" t="s">
        <v>88</v>
      </c>
      <c r="P648" t="s">
        <v>27</v>
      </c>
      <c r="Q648" t="s">
        <v>73</v>
      </c>
      <c r="R648" t="s">
        <v>76</v>
      </c>
      <c r="S648" t="s">
        <v>74</v>
      </c>
      <c r="T648" t="s">
        <v>75</v>
      </c>
      <c r="X648" t="s">
        <v>77</v>
      </c>
      <c r="Z648" t="s">
        <v>72</v>
      </c>
      <c r="AA648" t="s">
        <v>94</v>
      </c>
      <c r="AB648">
        <v>5</v>
      </c>
      <c r="AC648">
        <v>748726.62</v>
      </c>
      <c r="AD648">
        <v>8930468.2899999991</v>
      </c>
      <c r="AE648">
        <v>189.74</v>
      </c>
      <c r="AF648">
        <v>748726.62</v>
      </c>
      <c r="AG648">
        <v>8930468.2899999991</v>
      </c>
      <c r="AH648">
        <v>179.4</v>
      </c>
      <c r="AI648">
        <v>10.34</v>
      </c>
      <c r="AJ648">
        <v>0.6</v>
      </c>
      <c r="AK648">
        <v>3.37</v>
      </c>
      <c r="AL648">
        <v>2.93</v>
      </c>
      <c r="AM648">
        <v>0</v>
      </c>
      <c r="AN648">
        <v>0</v>
      </c>
      <c r="AO648">
        <v>358</v>
      </c>
      <c r="AP648">
        <v>3.26</v>
      </c>
      <c r="AQ648">
        <v>0.53</v>
      </c>
      <c r="AR648">
        <v>0.09</v>
      </c>
      <c r="AS648">
        <v>7.0000000000000007E-2</v>
      </c>
      <c r="AT648">
        <v>13.2</v>
      </c>
      <c r="AU648">
        <v>5.44</v>
      </c>
      <c r="AV648">
        <v>0.27</v>
      </c>
      <c r="AW648">
        <v>1.72</v>
      </c>
      <c r="AX648">
        <v>7.69</v>
      </c>
      <c r="AY648">
        <v>3.3</v>
      </c>
      <c r="AZ648">
        <v>102.502</v>
      </c>
      <c r="BA648">
        <v>0</v>
      </c>
      <c r="BB648">
        <v>0</v>
      </c>
      <c r="BC648">
        <v>0</v>
      </c>
      <c r="BD648">
        <v>0</v>
      </c>
    </row>
    <row r="649" spans="1:56" x14ac:dyDescent="0.25">
      <c r="A649" s="23">
        <v>46304</v>
      </c>
      <c r="B649">
        <v>648</v>
      </c>
      <c r="C649" t="s">
        <v>82</v>
      </c>
      <c r="D649" t="s">
        <v>92</v>
      </c>
      <c r="E649">
        <v>0</v>
      </c>
      <c r="F649">
        <v>180</v>
      </c>
      <c r="G649">
        <v>0</v>
      </c>
      <c r="H649" t="s">
        <v>84</v>
      </c>
      <c r="J649" t="s">
        <v>97</v>
      </c>
      <c r="K649" t="s">
        <v>79</v>
      </c>
      <c r="L649" t="s">
        <v>71</v>
      </c>
      <c r="M649" t="s">
        <v>81</v>
      </c>
      <c r="O649" t="s">
        <v>88</v>
      </c>
      <c r="P649" t="s">
        <v>27</v>
      </c>
      <c r="Q649" t="s">
        <v>73</v>
      </c>
      <c r="R649" t="s">
        <v>76</v>
      </c>
      <c r="S649" t="s">
        <v>74</v>
      </c>
      <c r="T649" t="s">
        <v>75</v>
      </c>
      <c r="X649" t="s">
        <v>77</v>
      </c>
      <c r="Z649" t="s">
        <v>72</v>
      </c>
      <c r="AA649" t="s">
        <v>94</v>
      </c>
      <c r="AB649">
        <v>5</v>
      </c>
      <c r="AC649">
        <v>748727.63</v>
      </c>
      <c r="AD649">
        <v>8930471.5099999998</v>
      </c>
      <c r="AE649">
        <v>189.71</v>
      </c>
      <c r="AF649">
        <v>748727.63</v>
      </c>
      <c r="AG649">
        <v>8930471.5099999998</v>
      </c>
      <c r="AH649">
        <v>179.4</v>
      </c>
      <c r="AI649">
        <v>10.31</v>
      </c>
      <c r="AJ649">
        <v>0.6</v>
      </c>
      <c r="AK649">
        <v>3.37</v>
      </c>
      <c r="AL649">
        <v>2.93</v>
      </c>
      <c r="AM649">
        <v>0</v>
      </c>
      <c r="AN649">
        <v>0</v>
      </c>
      <c r="AO649">
        <v>358</v>
      </c>
      <c r="AP649">
        <v>3.33</v>
      </c>
      <c r="AQ649">
        <v>0.68</v>
      </c>
      <c r="AR649">
        <v>0.1</v>
      </c>
      <c r="AS649">
        <v>0.08</v>
      </c>
      <c r="AT649">
        <v>15.83</v>
      </c>
      <c r="AU649">
        <v>5.95</v>
      </c>
      <c r="AV649">
        <v>0.34</v>
      </c>
      <c r="AW649">
        <v>1.93</v>
      </c>
      <c r="AX649">
        <v>7.29</v>
      </c>
      <c r="AY649">
        <v>3.3</v>
      </c>
      <c r="AZ649">
        <v>102.066</v>
      </c>
      <c r="BA649">
        <v>0</v>
      </c>
      <c r="BB649">
        <v>0</v>
      </c>
      <c r="BC649">
        <v>0</v>
      </c>
      <c r="BD649">
        <v>0</v>
      </c>
    </row>
    <row r="650" spans="1:56" x14ac:dyDescent="0.25">
      <c r="A650" s="23">
        <v>46304</v>
      </c>
      <c r="B650">
        <v>649</v>
      </c>
      <c r="C650" t="s">
        <v>82</v>
      </c>
      <c r="D650" t="s">
        <v>92</v>
      </c>
      <c r="E650">
        <v>0</v>
      </c>
      <c r="F650">
        <v>180</v>
      </c>
      <c r="G650">
        <v>0</v>
      </c>
      <c r="H650" t="s">
        <v>84</v>
      </c>
      <c r="J650" t="s">
        <v>97</v>
      </c>
      <c r="K650" t="s">
        <v>79</v>
      </c>
      <c r="L650" t="s">
        <v>71</v>
      </c>
      <c r="M650" t="s">
        <v>81</v>
      </c>
      <c r="O650" t="s">
        <v>88</v>
      </c>
      <c r="P650" t="s">
        <v>27</v>
      </c>
      <c r="Q650" t="s">
        <v>73</v>
      </c>
      <c r="R650" t="s">
        <v>76</v>
      </c>
      <c r="S650" t="s">
        <v>74</v>
      </c>
      <c r="T650" t="s">
        <v>75</v>
      </c>
      <c r="X650" t="s">
        <v>77</v>
      </c>
      <c r="Z650" t="s">
        <v>72</v>
      </c>
      <c r="AA650" t="s">
        <v>94</v>
      </c>
      <c r="AB650">
        <v>5</v>
      </c>
      <c r="AC650">
        <v>748729.85</v>
      </c>
      <c r="AD650">
        <v>8930473.9800000004</v>
      </c>
      <c r="AE650">
        <v>189.69</v>
      </c>
      <c r="AF650">
        <v>748729.85</v>
      </c>
      <c r="AG650">
        <v>8930473.9800000004</v>
      </c>
      <c r="AH650">
        <v>179.4</v>
      </c>
      <c r="AI650">
        <v>10.29</v>
      </c>
      <c r="AJ650">
        <v>0.6</v>
      </c>
      <c r="AK650">
        <v>3.37</v>
      </c>
      <c r="AL650">
        <v>2.93</v>
      </c>
      <c r="AM650">
        <v>0</v>
      </c>
      <c r="AN650">
        <v>0</v>
      </c>
      <c r="AO650">
        <v>358</v>
      </c>
      <c r="AP650">
        <v>3.33</v>
      </c>
      <c r="AQ650">
        <v>0.75</v>
      </c>
      <c r="AR650">
        <v>0.11</v>
      </c>
      <c r="AS650">
        <v>0.09</v>
      </c>
      <c r="AT650">
        <v>17.66</v>
      </c>
      <c r="AU650">
        <v>6.12</v>
      </c>
      <c r="AV650">
        <v>0.36</v>
      </c>
      <c r="AW650">
        <v>2.0499999999999998</v>
      </c>
      <c r="AX650">
        <v>7.1</v>
      </c>
      <c r="AY650">
        <v>3.3</v>
      </c>
      <c r="AZ650">
        <v>101.774</v>
      </c>
      <c r="BA650">
        <v>0</v>
      </c>
      <c r="BB650">
        <v>0</v>
      </c>
      <c r="BC650">
        <v>0</v>
      </c>
      <c r="BD650">
        <v>0</v>
      </c>
    </row>
    <row r="651" spans="1:56" x14ac:dyDescent="0.25">
      <c r="A651" s="23">
        <v>46304</v>
      </c>
      <c r="B651">
        <v>650</v>
      </c>
      <c r="C651" t="s">
        <v>82</v>
      </c>
      <c r="D651" t="s">
        <v>92</v>
      </c>
      <c r="E651">
        <v>2</v>
      </c>
      <c r="F651">
        <v>180</v>
      </c>
      <c r="G651">
        <v>1</v>
      </c>
      <c r="H651" t="s">
        <v>84</v>
      </c>
      <c r="I651" t="s">
        <v>91</v>
      </c>
      <c r="J651" t="s">
        <v>97</v>
      </c>
      <c r="K651" t="s">
        <v>79</v>
      </c>
      <c r="L651" t="s">
        <v>71</v>
      </c>
      <c r="M651" t="s">
        <v>81</v>
      </c>
      <c r="O651" t="s">
        <v>88</v>
      </c>
      <c r="P651" t="s">
        <v>27</v>
      </c>
      <c r="Q651" t="s">
        <v>73</v>
      </c>
      <c r="R651" t="s">
        <v>76</v>
      </c>
      <c r="S651" t="s">
        <v>74</v>
      </c>
      <c r="T651" t="s">
        <v>75</v>
      </c>
      <c r="X651" t="s">
        <v>77</v>
      </c>
      <c r="Z651" t="s">
        <v>72</v>
      </c>
      <c r="AA651" t="s">
        <v>94</v>
      </c>
      <c r="AB651">
        <v>5</v>
      </c>
      <c r="AC651">
        <v>748732.53</v>
      </c>
      <c r="AD651">
        <v>8930476.0199999996</v>
      </c>
      <c r="AE651">
        <v>189.7</v>
      </c>
      <c r="AF651">
        <v>748732.53</v>
      </c>
      <c r="AG651">
        <v>8930476.0199999996</v>
      </c>
      <c r="AH651">
        <v>179.4</v>
      </c>
      <c r="AI651">
        <v>10.3</v>
      </c>
      <c r="AJ651">
        <v>0.6</v>
      </c>
      <c r="AK651">
        <v>3.37</v>
      </c>
      <c r="AL651">
        <v>2.93</v>
      </c>
      <c r="AM651">
        <v>0</v>
      </c>
      <c r="AN651">
        <v>0</v>
      </c>
      <c r="AO651">
        <v>358</v>
      </c>
      <c r="AP651">
        <v>3.31</v>
      </c>
      <c r="AQ651">
        <v>0.79</v>
      </c>
      <c r="AR651">
        <v>0.1</v>
      </c>
      <c r="AS651">
        <v>0.09</v>
      </c>
      <c r="AT651">
        <v>18.93</v>
      </c>
      <c r="AU651">
        <v>6.03</v>
      </c>
      <c r="AV651">
        <v>0.38</v>
      </c>
      <c r="AW651">
        <v>2.11</v>
      </c>
      <c r="AX651">
        <v>6.65</v>
      </c>
      <c r="AY651">
        <v>3.3</v>
      </c>
      <c r="AZ651">
        <v>101.92</v>
      </c>
      <c r="BA651">
        <v>0</v>
      </c>
      <c r="BB651">
        <v>0</v>
      </c>
      <c r="BC651">
        <v>0</v>
      </c>
      <c r="BD651">
        <v>0</v>
      </c>
    </row>
    <row r="652" spans="1:56" x14ac:dyDescent="0.25">
      <c r="A652" s="23">
        <v>46304</v>
      </c>
      <c r="B652">
        <v>651</v>
      </c>
      <c r="C652" t="s">
        <v>82</v>
      </c>
      <c r="D652" t="s">
        <v>92</v>
      </c>
      <c r="E652">
        <v>2</v>
      </c>
      <c r="F652">
        <v>180</v>
      </c>
      <c r="G652">
        <v>1</v>
      </c>
      <c r="H652" t="s">
        <v>84</v>
      </c>
      <c r="I652" t="s">
        <v>91</v>
      </c>
      <c r="J652" t="s">
        <v>97</v>
      </c>
      <c r="K652" t="s">
        <v>86</v>
      </c>
      <c r="L652" t="s">
        <v>71</v>
      </c>
      <c r="M652" t="s">
        <v>87</v>
      </c>
      <c r="O652" t="s">
        <v>88</v>
      </c>
      <c r="P652" t="s">
        <v>27</v>
      </c>
      <c r="Q652" t="s">
        <v>73</v>
      </c>
      <c r="R652" t="s">
        <v>76</v>
      </c>
      <c r="S652" t="s">
        <v>74</v>
      </c>
      <c r="T652" t="s">
        <v>75</v>
      </c>
      <c r="X652" t="s">
        <v>77</v>
      </c>
      <c r="Z652" t="s">
        <v>72</v>
      </c>
      <c r="AA652" t="s">
        <v>94</v>
      </c>
      <c r="AB652">
        <v>5</v>
      </c>
      <c r="AC652">
        <v>748735.2</v>
      </c>
      <c r="AD652">
        <v>8930478.0700000003</v>
      </c>
      <c r="AE652">
        <v>189.58</v>
      </c>
      <c r="AF652">
        <v>748735.2</v>
      </c>
      <c r="AG652">
        <v>8930478.0700000003</v>
      </c>
      <c r="AH652">
        <v>179.4</v>
      </c>
      <c r="AI652">
        <v>10.18</v>
      </c>
      <c r="AJ652">
        <v>0.6</v>
      </c>
      <c r="AK652">
        <v>3.37</v>
      </c>
      <c r="AL652">
        <v>2.93</v>
      </c>
      <c r="AM652">
        <v>0</v>
      </c>
      <c r="AN652">
        <v>0</v>
      </c>
      <c r="AO652">
        <v>358</v>
      </c>
      <c r="AP652">
        <v>3.31</v>
      </c>
      <c r="AQ652">
        <v>0.79</v>
      </c>
      <c r="AR652">
        <v>0.1</v>
      </c>
      <c r="AS652">
        <v>0.09</v>
      </c>
      <c r="AT652">
        <v>18.95</v>
      </c>
      <c r="AU652">
        <v>6.03</v>
      </c>
      <c r="AV652">
        <v>0.38</v>
      </c>
      <c r="AW652">
        <v>2.1</v>
      </c>
      <c r="AX652">
        <v>6.67</v>
      </c>
      <c r="AY652">
        <v>3.3</v>
      </c>
      <c r="AZ652">
        <v>100.173</v>
      </c>
      <c r="BA652">
        <v>0</v>
      </c>
      <c r="BB652">
        <v>0</v>
      </c>
      <c r="BC652">
        <v>0</v>
      </c>
      <c r="BD652">
        <v>0</v>
      </c>
    </row>
    <row r="653" spans="1:56" x14ac:dyDescent="0.25">
      <c r="A653" s="23">
        <v>46304</v>
      </c>
      <c r="B653">
        <v>652</v>
      </c>
      <c r="C653" t="s">
        <v>82</v>
      </c>
      <c r="D653" t="s">
        <v>83</v>
      </c>
      <c r="E653">
        <v>2</v>
      </c>
      <c r="F653">
        <v>180</v>
      </c>
      <c r="G653">
        <v>1</v>
      </c>
      <c r="H653" t="s">
        <v>84</v>
      </c>
      <c r="I653" t="s">
        <v>91</v>
      </c>
      <c r="J653" t="s">
        <v>85</v>
      </c>
      <c r="K653" t="s">
        <v>86</v>
      </c>
      <c r="L653" t="s">
        <v>71</v>
      </c>
      <c r="M653" t="s">
        <v>87</v>
      </c>
      <c r="O653" t="s">
        <v>88</v>
      </c>
      <c r="P653" t="s">
        <v>27</v>
      </c>
      <c r="Q653" t="s">
        <v>73</v>
      </c>
      <c r="R653" t="s">
        <v>76</v>
      </c>
      <c r="S653" t="s">
        <v>74</v>
      </c>
      <c r="T653" t="s">
        <v>75</v>
      </c>
      <c r="X653" t="s">
        <v>77</v>
      </c>
      <c r="Z653" t="s">
        <v>72</v>
      </c>
      <c r="AA653" t="s">
        <v>94</v>
      </c>
      <c r="AB653">
        <v>5</v>
      </c>
      <c r="AC653">
        <v>748737.88</v>
      </c>
      <c r="AD653">
        <v>8930480.1199999992</v>
      </c>
      <c r="AE653">
        <v>189.71</v>
      </c>
      <c r="AF653">
        <v>748737.88</v>
      </c>
      <c r="AG653">
        <v>8930480.1199999992</v>
      </c>
      <c r="AH653">
        <v>179.4</v>
      </c>
      <c r="AI653">
        <v>10.31</v>
      </c>
      <c r="AJ653">
        <v>0.6</v>
      </c>
      <c r="AK653">
        <v>3.37</v>
      </c>
      <c r="AL653">
        <v>2.93</v>
      </c>
      <c r="AM653">
        <v>0</v>
      </c>
      <c r="AN653">
        <v>0</v>
      </c>
      <c r="AO653">
        <v>358</v>
      </c>
      <c r="AP653">
        <v>3.33</v>
      </c>
      <c r="AQ653">
        <v>0.73</v>
      </c>
      <c r="AR653">
        <v>0.1</v>
      </c>
      <c r="AS653">
        <v>0.09</v>
      </c>
      <c r="AT653">
        <v>19.559999999999999</v>
      </c>
      <c r="AU653">
        <v>5.8</v>
      </c>
      <c r="AV653">
        <v>0.38</v>
      </c>
      <c r="AW653">
        <v>1.93</v>
      </c>
      <c r="AX653">
        <v>7.32</v>
      </c>
      <c r="AY653">
        <v>3.3</v>
      </c>
      <c r="AZ653">
        <v>102.066</v>
      </c>
      <c r="BA653">
        <v>0</v>
      </c>
      <c r="BB653">
        <v>0</v>
      </c>
      <c r="BC653">
        <v>0</v>
      </c>
      <c r="BD653">
        <v>0</v>
      </c>
    </row>
    <row r="654" spans="1:56" x14ac:dyDescent="0.25">
      <c r="A654" s="23">
        <v>46304</v>
      </c>
      <c r="B654">
        <v>653</v>
      </c>
      <c r="C654" t="s">
        <v>82</v>
      </c>
      <c r="D654" t="s">
        <v>83</v>
      </c>
      <c r="E654">
        <v>2</v>
      </c>
      <c r="F654">
        <v>180</v>
      </c>
      <c r="G654">
        <v>1</v>
      </c>
      <c r="H654" t="s">
        <v>84</v>
      </c>
      <c r="I654" t="s">
        <v>91</v>
      </c>
      <c r="J654" t="s">
        <v>97</v>
      </c>
      <c r="K654" t="s">
        <v>86</v>
      </c>
      <c r="L654" t="s">
        <v>71</v>
      </c>
      <c r="M654" t="s">
        <v>87</v>
      </c>
      <c r="O654" t="s">
        <v>88</v>
      </c>
      <c r="P654" t="s">
        <v>27</v>
      </c>
      <c r="Q654" t="s">
        <v>73</v>
      </c>
      <c r="R654" t="s">
        <v>76</v>
      </c>
      <c r="S654" t="s">
        <v>74</v>
      </c>
      <c r="T654" t="s">
        <v>75</v>
      </c>
      <c r="X654" t="s">
        <v>77</v>
      </c>
      <c r="Z654" t="s">
        <v>72</v>
      </c>
      <c r="AA654" t="s">
        <v>94</v>
      </c>
      <c r="AB654">
        <v>5</v>
      </c>
      <c r="AC654">
        <v>748740.56</v>
      </c>
      <c r="AD654">
        <v>8930482.1600000001</v>
      </c>
      <c r="AE654">
        <v>189.71</v>
      </c>
      <c r="AF654">
        <v>748740.56</v>
      </c>
      <c r="AG654">
        <v>8930482.1600000001</v>
      </c>
      <c r="AH654">
        <v>179.4</v>
      </c>
      <c r="AI654">
        <v>10.31</v>
      </c>
      <c r="AJ654">
        <v>0.6</v>
      </c>
      <c r="AK654">
        <v>3.37</v>
      </c>
      <c r="AL654">
        <v>2.93</v>
      </c>
      <c r="AM654">
        <v>0</v>
      </c>
      <c r="AN654">
        <v>0</v>
      </c>
      <c r="AO654">
        <v>358</v>
      </c>
      <c r="AP654">
        <v>3.37</v>
      </c>
      <c r="AQ654">
        <v>0.71</v>
      </c>
      <c r="AR654">
        <v>0.09</v>
      </c>
      <c r="AS654">
        <v>0.09</v>
      </c>
      <c r="AT654">
        <v>21.13</v>
      </c>
      <c r="AU654">
        <v>5.76</v>
      </c>
      <c r="AV654">
        <v>0.38</v>
      </c>
      <c r="AW654">
        <v>1.9</v>
      </c>
      <c r="AX654">
        <v>7.49</v>
      </c>
      <c r="AY654">
        <v>3.3</v>
      </c>
      <c r="AZ654">
        <v>102.066</v>
      </c>
      <c r="BA654">
        <v>0</v>
      </c>
      <c r="BB654">
        <v>0</v>
      </c>
      <c r="BC654">
        <v>0</v>
      </c>
      <c r="BD654">
        <v>0</v>
      </c>
    </row>
    <row r="655" spans="1:56" x14ac:dyDescent="0.25">
      <c r="A655" s="23">
        <v>46304</v>
      </c>
      <c r="B655">
        <v>654</v>
      </c>
      <c r="C655" t="s">
        <v>82</v>
      </c>
      <c r="D655" t="s">
        <v>83</v>
      </c>
      <c r="E655">
        <v>2</v>
      </c>
      <c r="F655">
        <v>180</v>
      </c>
      <c r="G655">
        <v>1</v>
      </c>
      <c r="H655" t="s">
        <v>95</v>
      </c>
      <c r="I655" t="s">
        <v>91</v>
      </c>
      <c r="J655" t="s">
        <v>97</v>
      </c>
      <c r="K655" t="s">
        <v>86</v>
      </c>
      <c r="L655" t="s">
        <v>71</v>
      </c>
      <c r="M655" t="s">
        <v>87</v>
      </c>
      <c r="O655" t="s">
        <v>88</v>
      </c>
      <c r="P655" t="s">
        <v>27</v>
      </c>
      <c r="Q655" t="s">
        <v>73</v>
      </c>
      <c r="R655" t="s">
        <v>76</v>
      </c>
      <c r="S655" t="s">
        <v>74</v>
      </c>
      <c r="T655" t="s">
        <v>75</v>
      </c>
      <c r="X655" t="s">
        <v>77</v>
      </c>
      <c r="Z655" t="s">
        <v>72</v>
      </c>
      <c r="AA655" t="s">
        <v>94</v>
      </c>
      <c r="AB655">
        <v>5</v>
      </c>
      <c r="AC655">
        <v>748743.24</v>
      </c>
      <c r="AD655">
        <v>8930484.2100000009</v>
      </c>
      <c r="AE655">
        <v>189.8</v>
      </c>
      <c r="AF655">
        <v>748743.24</v>
      </c>
      <c r="AG655">
        <v>8930484.2100000009</v>
      </c>
      <c r="AH655">
        <v>179.4</v>
      </c>
      <c r="AI655">
        <v>10.4</v>
      </c>
      <c r="AJ655">
        <v>0.6</v>
      </c>
      <c r="AK655">
        <v>3.37</v>
      </c>
      <c r="AL655">
        <v>2.93</v>
      </c>
      <c r="AM655">
        <v>0</v>
      </c>
      <c r="AN655">
        <v>0</v>
      </c>
      <c r="AO655">
        <v>358</v>
      </c>
      <c r="AP655">
        <v>3.37</v>
      </c>
      <c r="AQ655">
        <v>0.74</v>
      </c>
      <c r="AR655">
        <v>0.1</v>
      </c>
      <c r="AS655">
        <v>0.09</v>
      </c>
      <c r="AT655">
        <v>21.64</v>
      </c>
      <c r="AU655">
        <v>5.84</v>
      </c>
      <c r="AV655">
        <v>0.38</v>
      </c>
      <c r="AW655">
        <v>1.96</v>
      </c>
      <c r="AX655">
        <v>7.29</v>
      </c>
      <c r="AY655">
        <v>3.3</v>
      </c>
      <c r="AZ655">
        <v>103.376</v>
      </c>
      <c r="BA655">
        <v>0</v>
      </c>
      <c r="BB655">
        <v>0</v>
      </c>
      <c r="BC655">
        <v>0</v>
      </c>
      <c r="BD655">
        <v>0</v>
      </c>
    </row>
    <row r="656" spans="1:56" x14ac:dyDescent="0.25">
      <c r="A656" s="23">
        <v>46304</v>
      </c>
      <c r="B656">
        <v>655</v>
      </c>
      <c r="C656" t="s">
        <v>82</v>
      </c>
      <c r="D656" t="s">
        <v>83</v>
      </c>
      <c r="E656">
        <v>2</v>
      </c>
      <c r="F656">
        <v>180</v>
      </c>
      <c r="G656">
        <v>1</v>
      </c>
      <c r="H656" t="s">
        <v>95</v>
      </c>
      <c r="I656" t="s">
        <v>91</v>
      </c>
      <c r="J656" t="s">
        <v>97</v>
      </c>
      <c r="K656" t="s">
        <v>86</v>
      </c>
      <c r="L656" t="s">
        <v>71</v>
      </c>
      <c r="M656" t="s">
        <v>87</v>
      </c>
      <c r="O656" t="s">
        <v>88</v>
      </c>
      <c r="P656" t="s">
        <v>27</v>
      </c>
      <c r="Q656" t="s">
        <v>73</v>
      </c>
      <c r="R656" t="s">
        <v>76</v>
      </c>
      <c r="S656" t="s">
        <v>74</v>
      </c>
      <c r="T656" t="s">
        <v>75</v>
      </c>
      <c r="X656" t="s">
        <v>77</v>
      </c>
      <c r="Z656" t="s">
        <v>72</v>
      </c>
      <c r="AA656" t="s">
        <v>94</v>
      </c>
      <c r="AB656">
        <v>5</v>
      </c>
      <c r="AC656">
        <v>748745.91</v>
      </c>
      <c r="AD656">
        <v>8930486.25</v>
      </c>
      <c r="AE656">
        <v>189.95</v>
      </c>
      <c r="AF656">
        <v>748745.91</v>
      </c>
      <c r="AG656">
        <v>8930486.25</v>
      </c>
      <c r="AH656">
        <v>179.4</v>
      </c>
      <c r="AI656">
        <v>10.55</v>
      </c>
      <c r="AJ656">
        <v>0.6</v>
      </c>
      <c r="AK656">
        <v>3.37</v>
      </c>
      <c r="AL656">
        <v>2.93</v>
      </c>
      <c r="AM656">
        <v>0</v>
      </c>
      <c r="AN656">
        <v>0</v>
      </c>
      <c r="AO656">
        <v>358</v>
      </c>
      <c r="AP656">
        <v>3.37</v>
      </c>
      <c r="AQ656">
        <v>0.74</v>
      </c>
      <c r="AR656">
        <v>0.1</v>
      </c>
      <c r="AS656">
        <v>0.09</v>
      </c>
      <c r="AT656">
        <v>21.64</v>
      </c>
      <c r="AU656">
        <v>5.84</v>
      </c>
      <c r="AV656">
        <v>0.38</v>
      </c>
      <c r="AW656">
        <v>1.96</v>
      </c>
      <c r="AX656">
        <v>7.29</v>
      </c>
      <c r="AY656">
        <v>3.3</v>
      </c>
      <c r="AZ656">
        <v>105.56</v>
      </c>
      <c r="BA656">
        <v>0</v>
      </c>
      <c r="BB656">
        <v>0</v>
      </c>
      <c r="BC656">
        <v>0</v>
      </c>
      <c r="BD656">
        <v>0</v>
      </c>
    </row>
    <row r="657" spans="1:56" x14ac:dyDescent="0.25">
      <c r="A657" s="23">
        <v>46304</v>
      </c>
      <c r="B657">
        <v>656</v>
      </c>
      <c r="C657" t="s">
        <v>82</v>
      </c>
      <c r="D657" t="s">
        <v>83</v>
      </c>
      <c r="E657">
        <v>2</v>
      </c>
      <c r="F657">
        <v>180</v>
      </c>
      <c r="G657">
        <v>1</v>
      </c>
      <c r="H657" t="s">
        <v>95</v>
      </c>
      <c r="I657" t="s">
        <v>91</v>
      </c>
      <c r="J657" t="s">
        <v>97</v>
      </c>
      <c r="K657" t="s">
        <v>86</v>
      </c>
      <c r="L657" t="s">
        <v>71</v>
      </c>
      <c r="M657" t="s">
        <v>87</v>
      </c>
      <c r="O657" t="s">
        <v>88</v>
      </c>
      <c r="P657" t="s">
        <v>27</v>
      </c>
      <c r="Q657" t="s">
        <v>73</v>
      </c>
      <c r="R657" t="s">
        <v>76</v>
      </c>
      <c r="S657" t="s">
        <v>74</v>
      </c>
      <c r="T657" t="s">
        <v>75</v>
      </c>
      <c r="X657" t="s">
        <v>77</v>
      </c>
      <c r="Z657" t="s">
        <v>72</v>
      </c>
      <c r="AA657" t="s">
        <v>94</v>
      </c>
      <c r="AB657">
        <v>5</v>
      </c>
      <c r="AC657">
        <v>748748.59</v>
      </c>
      <c r="AD657">
        <v>8930488.3000000007</v>
      </c>
      <c r="AE657">
        <v>190.03</v>
      </c>
      <c r="AF657">
        <v>748748.59</v>
      </c>
      <c r="AG657">
        <v>8930488.3000000007</v>
      </c>
      <c r="AH657">
        <v>179.4</v>
      </c>
      <c r="AI657">
        <v>10.63</v>
      </c>
      <c r="AJ657">
        <v>0.6</v>
      </c>
      <c r="AK657">
        <v>3.37</v>
      </c>
      <c r="AL657">
        <v>2.93</v>
      </c>
      <c r="AM657">
        <v>0</v>
      </c>
      <c r="AN657">
        <v>0</v>
      </c>
      <c r="AO657">
        <v>358</v>
      </c>
      <c r="AP657">
        <v>3.37</v>
      </c>
      <c r="AQ657">
        <v>0.71</v>
      </c>
      <c r="AR657">
        <v>0.09</v>
      </c>
      <c r="AS657">
        <v>0.09</v>
      </c>
      <c r="AT657">
        <v>21.19</v>
      </c>
      <c r="AU657">
        <v>5.83</v>
      </c>
      <c r="AV657">
        <v>0.37</v>
      </c>
      <c r="AW657">
        <v>1.93</v>
      </c>
      <c r="AX657">
        <v>7.54</v>
      </c>
      <c r="AY657">
        <v>3.3</v>
      </c>
      <c r="AZ657">
        <v>106.72499999999999</v>
      </c>
      <c r="BA657">
        <v>0</v>
      </c>
      <c r="BB657">
        <v>0</v>
      </c>
      <c r="BC657">
        <v>0</v>
      </c>
      <c r="BD657">
        <v>0</v>
      </c>
    </row>
    <row r="658" spans="1:56" x14ac:dyDescent="0.25">
      <c r="A658" s="23">
        <v>46304</v>
      </c>
      <c r="B658">
        <v>657</v>
      </c>
      <c r="C658" t="s">
        <v>82</v>
      </c>
      <c r="D658" t="s">
        <v>83</v>
      </c>
      <c r="E658">
        <v>2</v>
      </c>
      <c r="F658">
        <v>180</v>
      </c>
      <c r="G658">
        <v>1</v>
      </c>
      <c r="H658" t="s">
        <v>95</v>
      </c>
      <c r="I658" t="s">
        <v>91</v>
      </c>
      <c r="J658" t="s">
        <v>85</v>
      </c>
      <c r="K658" t="s">
        <v>86</v>
      </c>
      <c r="L658" t="s">
        <v>71</v>
      </c>
      <c r="M658" t="s">
        <v>87</v>
      </c>
      <c r="O658" t="s">
        <v>88</v>
      </c>
      <c r="P658" t="s">
        <v>27</v>
      </c>
      <c r="Q658" t="s">
        <v>73</v>
      </c>
      <c r="R658" t="s">
        <v>76</v>
      </c>
      <c r="S658" t="s">
        <v>74</v>
      </c>
      <c r="T658" t="s">
        <v>75</v>
      </c>
      <c r="X658" t="s">
        <v>77</v>
      </c>
      <c r="Z658" t="s">
        <v>72</v>
      </c>
      <c r="AA658" t="s">
        <v>94</v>
      </c>
      <c r="AB658">
        <v>5</v>
      </c>
      <c r="AC658">
        <v>748751.27</v>
      </c>
      <c r="AD658">
        <v>8930490.3499999996</v>
      </c>
      <c r="AE658">
        <v>190.04</v>
      </c>
      <c r="AF658">
        <v>748751.27</v>
      </c>
      <c r="AG658">
        <v>8930490.3499999996</v>
      </c>
      <c r="AH658">
        <v>179.4</v>
      </c>
      <c r="AI658">
        <v>10.64</v>
      </c>
      <c r="AJ658">
        <v>0.6</v>
      </c>
      <c r="AK658">
        <v>3.37</v>
      </c>
      <c r="AL658">
        <v>2.93</v>
      </c>
      <c r="AM658">
        <v>0</v>
      </c>
      <c r="AN658">
        <v>0</v>
      </c>
      <c r="AO658">
        <v>358</v>
      </c>
      <c r="AP658">
        <v>3.37</v>
      </c>
      <c r="AQ658">
        <v>0.56999999999999995</v>
      </c>
      <c r="AR658">
        <v>0.08</v>
      </c>
      <c r="AS658">
        <v>7.0000000000000007E-2</v>
      </c>
      <c r="AT658">
        <v>18.399999999999999</v>
      </c>
      <c r="AU658">
        <v>5.69</v>
      </c>
      <c r="AV658">
        <v>0.34</v>
      </c>
      <c r="AW658">
        <v>1.66</v>
      </c>
      <c r="AX658">
        <v>8.6300000000000008</v>
      </c>
      <c r="AY658">
        <v>3.3</v>
      </c>
      <c r="AZ658">
        <v>106.87</v>
      </c>
      <c r="BA658">
        <v>0</v>
      </c>
      <c r="BB658">
        <v>0</v>
      </c>
      <c r="BC658">
        <v>0</v>
      </c>
      <c r="BD658">
        <v>0</v>
      </c>
    </row>
    <row r="659" spans="1:56" x14ac:dyDescent="0.25">
      <c r="A659" s="23">
        <v>46304</v>
      </c>
      <c r="B659">
        <v>658</v>
      </c>
      <c r="C659" t="s">
        <v>82</v>
      </c>
      <c r="D659" t="s">
        <v>83</v>
      </c>
      <c r="E659">
        <v>2</v>
      </c>
      <c r="F659">
        <v>180</v>
      </c>
      <c r="G659">
        <v>1</v>
      </c>
      <c r="H659" t="s">
        <v>95</v>
      </c>
      <c r="I659" t="s">
        <v>91</v>
      </c>
      <c r="J659" t="s">
        <v>85</v>
      </c>
      <c r="K659" t="s">
        <v>86</v>
      </c>
      <c r="L659" t="s">
        <v>71</v>
      </c>
      <c r="M659" t="s">
        <v>87</v>
      </c>
      <c r="O659" t="s">
        <v>88</v>
      </c>
      <c r="P659" t="s">
        <v>27</v>
      </c>
      <c r="Q659" t="s">
        <v>73</v>
      </c>
      <c r="R659" t="s">
        <v>76</v>
      </c>
      <c r="S659" t="s">
        <v>74</v>
      </c>
      <c r="T659" t="s">
        <v>75</v>
      </c>
      <c r="X659" t="s">
        <v>77</v>
      </c>
      <c r="Z659" t="s">
        <v>72</v>
      </c>
      <c r="AA659" t="s">
        <v>94</v>
      </c>
      <c r="AB659">
        <v>5</v>
      </c>
      <c r="AC659">
        <v>748753.95</v>
      </c>
      <c r="AD659">
        <v>8930492.3900000006</v>
      </c>
      <c r="AE659">
        <v>190.05</v>
      </c>
      <c r="AF659">
        <v>748753.95</v>
      </c>
      <c r="AG659">
        <v>8930492.3900000006</v>
      </c>
      <c r="AH659">
        <v>179.4</v>
      </c>
      <c r="AI659">
        <v>10.65</v>
      </c>
      <c r="AJ659">
        <v>0.6</v>
      </c>
      <c r="AK659">
        <v>3.37</v>
      </c>
      <c r="AL659">
        <v>2.93</v>
      </c>
      <c r="AM659">
        <v>0</v>
      </c>
      <c r="AN659">
        <v>0</v>
      </c>
      <c r="AO659">
        <v>358</v>
      </c>
      <c r="AP659">
        <v>3.31</v>
      </c>
      <c r="AQ659">
        <v>0.45</v>
      </c>
      <c r="AR659">
        <v>0.06</v>
      </c>
      <c r="AS659">
        <v>0.06</v>
      </c>
      <c r="AT659">
        <v>15.18</v>
      </c>
      <c r="AU659">
        <v>4.79</v>
      </c>
      <c r="AV659">
        <v>0.28999999999999998</v>
      </c>
      <c r="AW659">
        <v>1.31</v>
      </c>
      <c r="AX659">
        <v>7.15</v>
      </c>
      <c r="AY659">
        <v>3.3</v>
      </c>
      <c r="AZ659">
        <v>107.01600000000001</v>
      </c>
      <c r="BA659">
        <v>0</v>
      </c>
      <c r="BB659">
        <v>0</v>
      </c>
      <c r="BC659">
        <v>0</v>
      </c>
      <c r="BD659">
        <v>0</v>
      </c>
    </row>
    <row r="660" spans="1:56" x14ac:dyDescent="0.25">
      <c r="A660" s="23">
        <v>46304</v>
      </c>
      <c r="B660">
        <v>659</v>
      </c>
      <c r="C660" t="s">
        <v>82</v>
      </c>
      <c r="D660" t="s">
        <v>83</v>
      </c>
      <c r="E660">
        <v>2</v>
      </c>
      <c r="F660">
        <v>180</v>
      </c>
      <c r="G660">
        <v>1</v>
      </c>
      <c r="H660" t="s">
        <v>95</v>
      </c>
      <c r="I660" t="s">
        <v>91</v>
      </c>
      <c r="J660" t="s">
        <v>85</v>
      </c>
      <c r="K660" t="s">
        <v>86</v>
      </c>
      <c r="L660" t="s">
        <v>71</v>
      </c>
      <c r="M660" t="s">
        <v>87</v>
      </c>
      <c r="O660" t="s">
        <v>88</v>
      </c>
      <c r="P660" t="s">
        <v>27</v>
      </c>
      <c r="Q660" t="s">
        <v>73</v>
      </c>
      <c r="R660" t="s">
        <v>76</v>
      </c>
      <c r="S660" t="s">
        <v>74</v>
      </c>
      <c r="T660" t="s">
        <v>75</v>
      </c>
      <c r="X660" t="s">
        <v>77</v>
      </c>
      <c r="Z660" t="s">
        <v>72</v>
      </c>
      <c r="AA660" t="s">
        <v>94</v>
      </c>
      <c r="AB660">
        <v>5</v>
      </c>
      <c r="AC660">
        <v>748756.77</v>
      </c>
      <c r="AD660">
        <v>8930494.2300000004</v>
      </c>
      <c r="AE660">
        <v>189.97</v>
      </c>
      <c r="AF660">
        <v>748756.77</v>
      </c>
      <c r="AG660">
        <v>8930494.2300000004</v>
      </c>
      <c r="AH660">
        <v>179.4</v>
      </c>
      <c r="AI660">
        <v>10.57</v>
      </c>
      <c r="AJ660">
        <v>0.6</v>
      </c>
      <c r="AK660">
        <v>3.37</v>
      </c>
      <c r="AL660">
        <v>2.93</v>
      </c>
      <c r="AM660">
        <v>0</v>
      </c>
      <c r="AN660">
        <v>0</v>
      </c>
      <c r="AO660">
        <v>358</v>
      </c>
      <c r="AP660">
        <v>3.25</v>
      </c>
      <c r="AQ660">
        <v>0.36</v>
      </c>
      <c r="AR660">
        <v>0.05</v>
      </c>
      <c r="AS660">
        <v>0.05</v>
      </c>
      <c r="AT660">
        <v>12.22</v>
      </c>
      <c r="AU660">
        <v>3.86</v>
      </c>
      <c r="AV660">
        <v>0.23</v>
      </c>
      <c r="AW660">
        <v>1.05</v>
      </c>
      <c r="AX660">
        <v>5.68</v>
      </c>
      <c r="AY660">
        <v>3.3</v>
      </c>
      <c r="AZ660">
        <v>105.851</v>
      </c>
      <c r="BA660">
        <v>0</v>
      </c>
      <c r="BB660">
        <v>0</v>
      </c>
      <c r="BC660">
        <v>0</v>
      </c>
      <c r="BD660">
        <v>0</v>
      </c>
    </row>
    <row r="661" spans="1:56" x14ac:dyDescent="0.25">
      <c r="A661" s="23">
        <v>46304</v>
      </c>
      <c r="B661">
        <v>660</v>
      </c>
      <c r="C661" t="s">
        <v>82</v>
      </c>
      <c r="D661" t="s">
        <v>83</v>
      </c>
      <c r="E661">
        <v>2</v>
      </c>
      <c r="F661">
        <v>180</v>
      </c>
      <c r="G661">
        <v>0</v>
      </c>
      <c r="H661" t="s">
        <v>95</v>
      </c>
      <c r="I661" t="s">
        <v>78</v>
      </c>
      <c r="J661" t="s">
        <v>85</v>
      </c>
      <c r="K661" t="s">
        <v>86</v>
      </c>
      <c r="L661" t="s">
        <v>71</v>
      </c>
      <c r="M661" t="s">
        <v>87</v>
      </c>
      <c r="O661" t="s">
        <v>88</v>
      </c>
      <c r="P661" t="s">
        <v>27</v>
      </c>
      <c r="Q661" t="s">
        <v>73</v>
      </c>
      <c r="R661" t="s">
        <v>76</v>
      </c>
      <c r="S661" t="s">
        <v>74</v>
      </c>
      <c r="T661" t="s">
        <v>75</v>
      </c>
      <c r="X661" t="s">
        <v>77</v>
      </c>
      <c r="Z661" t="s">
        <v>72</v>
      </c>
      <c r="AA661" t="s">
        <v>94</v>
      </c>
      <c r="AB661">
        <v>5</v>
      </c>
      <c r="AC661">
        <v>748759.6</v>
      </c>
      <c r="AD661">
        <v>8930496.0600000005</v>
      </c>
      <c r="AE661">
        <v>190.07</v>
      </c>
      <c r="AF661">
        <v>748759.6</v>
      </c>
      <c r="AG661">
        <v>8930496.0600000005</v>
      </c>
      <c r="AH661">
        <v>179.4</v>
      </c>
      <c r="AI661">
        <v>10.67</v>
      </c>
      <c r="AJ661">
        <v>0.6</v>
      </c>
      <c r="AK661">
        <v>3.37</v>
      </c>
      <c r="AL661">
        <v>2.93</v>
      </c>
      <c r="AM661">
        <v>0</v>
      </c>
      <c r="AN661">
        <v>0</v>
      </c>
      <c r="AO661">
        <v>358</v>
      </c>
      <c r="AP661">
        <v>3.18</v>
      </c>
      <c r="AQ661">
        <v>0.28000000000000003</v>
      </c>
      <c r="AR661">
        <v>0.04</v>
      </c>
      <c r="AS661">
        <v>0.04</v>
      </c>
      <c r="AT661">
        <v>9.41</v>
      </c>
      <c r="AU661">
        <v>3.01</v>
      </c>
      <c r="AV661">
        <v>0.19</v>
      </c>
      <c r="AW661">
        <v>0.8</v>
      </c>
      <c r="AX661">
        <v>2.75</v>
      </c>
      <c r="AY661">
        <v>3.3</v>
      </c>
      <c r="AZ661">
        <v>107.307</v>
      </c>
      <c r="BA661">
        <v>0</v>
      </c>
      <c r="BB661">
        <v>0</v>
      </c>
      <c r="BC661">
        <v>0</v>
      </c>
      <c r="BD661">
        <v>0</v>
      </c>
    </row>
    <row r="662" spans="1:56" x14ac:dyDescent="0.25">
      <c r="A662" s="23">
        <v>46304</v>
      </c>
      <c r="B662">
        <v>661</v>
      </c>
      <c r="C662" t="s">
        <v>82</v>
      </c>
      <c r="D662" t="s">
        <v>83</v>
      </c>
      <c r="E662">
        <v>2</v>
      </c>
      <c r="F662">
        <v>180</v>
      </c>
      <c r="G662">
        <v>0</v>
      </c>
      <c r="H662" t="s">
        <v>95</v>
      </c>
      <c r="I662" t="s">
        <v>78</v>
      </c>
      <c r="J662" t="s">
        <v>70</v>
      </c>
      <c r="K662" t="s">
        <v>86</v>
      </c>
      <c r="L662" t="s">
        <v>71</v>
      </c>
      <c r="M662" t="s">
        <v>87</v>
      </c>
      <c r="O662" t="s">
        <v>88</v>
      </c>
      <c r="P662" t="s">
        <v>27</v>
      </c>
      <c r="Q662" t="s">
        <v>73</v>
      </c>
      <c r="R662" t="s">
        <v>76</v>
      </c>
      <c r="S662" t="s">
        <v>74</v>
      </c>
      <c r="T662" t="s">
        <v>75</v>
      </c>
      <c r="X662" t="s">
        <v>77</v>
      </c>
      <c r="Z662" t="s">
        <v>72</v>
      </c>
      <c r="AA662" t="s">
        <v>94</v>
      </c>
      <c r="AB662">
        <v>5</v>
      </c>
      <c r="AC662">
        <v>748762.43</v>
      </c>
      <c r="AD662">
        <v>8930497.8900000006</v>
      </c>
      <c r="AE662">
        <v>190.09</v>
      </c>
      <c r="AF662">
        <v>748762.43</v>
      </c>
      <c r="AG662">
        <v>8930497.8900000006</v>
      </c>
      <c r="AH662">
        <v>179.4</v>
      </c>
      <c r="AI662">
        <v>10.69</v>
      </c>
      <c r="AJ662">
        <v>0.6</v>
      </c>
      <c r="AK662">
        <v>3.37</v>
      </c>
      <c r="AL662">
        <v>2.93</v>
      </c>
      <c r="AM662">
        <v>0</v>
      </c>
      <c r="AN662">
        <v>0</v>
      </c>
      <c r="AO662">
        <v>358</v>
      </c>
      <c r="AP662">
        <v>3.13</v>
      </c>
      <c r="AQ662">
        <v>0.23</v>
      </c>
      <c r="AR662">
        <v>0.03</v>
      </c>
      <c r="AS662">
        <v>0.03</v>
      </c>
      <c r="AT662">
        <v>7.42</v>
      </c>
      <c r="AU662">
        <v>2.41</v>
      </c>
      <c r="AV662">
        <v>0.15</v>
      </c>
      <c r="AW662">
        <v>0.62</v>
      </c>
      <c r="AX662">
        <v>0</v>
      </c>
      <c r="AY662">
        <v>3.3</v>
      </c>
      <c r="AZ662">
        <v>107.598</v>
      </c>
      <c r="BA662">
        <v>0</v>
      </c>
      <c r="BB662">
        <v>0</v>
      </c>
      <c r="BC662">
        <v>0</v>
      </c>
      <c r="BD662">
        <v>0</v>
      </c>
    </row>
    <row r="663" spans="1:56" x14ac:dyDescent="0.25">
      <c r="A663" s="23">
        <v>46304</v>
      </c>
      <c r="B663">
        <v>662</v>
      </c>
      <c r="C663" t="s">
        <v>82</v>
      </c>
      <c r="D663" t="s">
        <v>83</v>
      </c>
      <c r="E663">
        <v>2</v>
      </c>
      <c r="F663">
        <v>180</v>
      </c>
      <c r="G663">
        <v>0</v>
      </c>
      <c r="H663" t="s">
        <v>95</v>
      </c>
      <c r="I663" t="s">
        <v>78</v>
      </c>
      <c r="J663" t="s">
        <v>70</v>
      </c>
      <c r="K663" t="s">
        <v>86</v>
      </c>
      <c r="L663" t="s">
        <v>71</v>
      </c>
      <c r="M663" t="s">
        <v>87</v>
      </c>
      <c r="O663" t="s">
        <v>88</v>
      </c>
      <c r="P663" t="s">
        <v>27</v>
      </c>
      <c r="Q663" t="s">
        <v>73</v>
      </c>
      <c r="R663" t="s">
        <v>76</v>
      </c>
      <c r="S663" t="s">
        <v>74</v>
      </c>
      <c r="T663" t="s">
        <v>75</v>
      </c>
      <c r="X663" t="s">
        <v>77</v>
      </c>
      <c r="Z663" t="s">
        <v>72</v>
      </c>
      <c r="AA663" t="s">
        <v>94</v>
      </c>
      <c r="AB663">
        <v>5</v>
      </c>
      <c r="AC663">
        <v>748765.27</v>
      </c>
      <c r="AD663">
        <v>8930499.7100000009</v>
      </c>
      <c r="AE663">
        <v>190.23</v>
      </c>
      <c r="AF663">
        <v>748765.27</v>
      </c>
      <c r="AG663">
        <v>8930499.7100000009</v>
      </c>
      <c r="AH663">
        <v>179.4</v>
      </c>
      <c r="AI663">
        <v>10.83</v>
      </c>
      <c r="AJ663">
        <v>0.6</v>
      </c>
      <c r="AK663">
        <v>3.37</v>
      </c>
      <c r="AL663">
        <v>2.93</v>
      </c>
      <c r="AM663">
        <v>0</v>
      </c>
      <c r="AN663">
        <v>0</v>
      </c>
      <c r="AO663">
        <v>358</v>
      </c>
      <c r="AP663">
        <v>3.1</v>
      </c>
      <c r="AQ663">
        <v>0.17</v>
      </c>
      <c r="AR663">
        <v>0.02</v>
      </c>
      <c r="AS663">
        <v>0.02</v>
      </c>
      <c r="AT663">
        <v>5.8</v>
      </c>
      <c r="AU663">
        <v>1.9</v>
      </c>
      <c r="AV663">
        <v>0.11</v>
      </c>
      <c r="AW663">
        <v>0.51</v>
      </c>
      <c r="AX663">
        <v>0</v>
      </c>
      <c r="AY663">
        <v>3.3</v>
      </c>
      <c r="AZ663">
        <v>109.637</v>
      </c>
      <c r="BA663">
        <v>0</v>
      </c>
      <c r="BB663">
        <v>0</v>
      </c>
      <c r="BC663">
        <v>0</v>
      </c>
      <c r="BD663">
        <v>0</v>
      </c>
    </row>
    <row r="664" spans="1:56" x14ac:dyDescent="0.25">
      <c r="A664" s="23">
        <v>46304</v>
      </c>
      <c r="B664">
        <v>663</v>
      </c>
      <c r="C664" t="s">
        <v>82</v>
      </c>
      <c r="D664" t="s">
        <v>83</v>
      </c>
      <c r="E664">
        <v>2</v>
      </c>
      <c r="F664">
        <v>180</v>
      </c>
      <c r="G664">
        <v>0</v>
      </c>
      <c r="H664" t="s">
        <v>95</v>
      </c>
      <c r="I664" t="s">
        <v>78</v>
      </c>
      <c r="J664" t="s">
        <v>70</v>
      </c>
      <c r="K664" t="s">
        <v>86</v>
      </c>
      <c r="L664" t="s">
        <v>71</v>
      </c>
      <c r="M664" t="s">
        <v>87</v>
      </c>
      <c r="O664" t="s">
        <v>88</v>
      </c>
      <c r="P664" t="s">
        <v>27</v>
      </c>
      <c r="Q664" t="s">
        <v>73</v>
      </c>
      <c r="R664" t="s">
        <v>76</v>
      </c>
      <c r="S664" t="s">
        <v>74</v>
      </c>
      <c r="T664" t="s">
        <v>75</v>
      </c>
      <c r="X664" t="s">
        <v>77</v>
      </c>
      <c r="Z664" t="s">
        <v>72</v>
      </c>
      <c r="AA664" t="s">
        <v>94</v>
      </c>
      <c r="AB664">
        <v>5</v>
      </c>
      <c r="AC664">
        <v>748768.1</v>
      </c>
      <c r="AD664">
        <v>8930501.5399999991</v>
      </c>
      <c r="AE664">
        <v>190.23</v>
      </c>
      <c r="AF664">
        <v>748768.1</v>
      </c>
      <c r="AG664">
        <v>8930501.5399999991</v>
      </c>
      <c r="AH664">
        <v>179.4</v>
      </c>
      <c r="AI664">
        <v>10.83</v>
      </c>
      <c r="AJ664">
        <v>0.6</v>
      </c>
      <c r="AK664">
        <v>3.37</v>
      </c>
      <c r="AL664">
        <v>2.93</v>
      </c>
      <c r="AM664">
        <v>0</v>
      </c>
      <c r="AN664">
        <v>0</v>
      </c>
      <c r="AO664">
        <v>358</v>
      </c>
      <c r="AP664">
        <v>3.09</v>
      </c>
      <c r="AQ664">
        <v>0.14000000000000001</v>
      </c>
      <c r="AR664">
        <v>0.02</v>
      </c>
      <c r="AS664">
        <v>0.02</v>
      </c>
      <c r="AT664">
        <v>4.59</v>
      </c>
      <c r="AU664">
        <v>1.53</v>
      </c>
      <c r="AV664">
        <v>0.08</v>
      </c>
      <c r="AW664">
        <v>0.45</v>
      </c>
      <c r="AX664">
        <v>0</v>
      </c>
      <c r="AY664">
        <v>3.3</v>
      </c>
      <c r="AZ664">
        <v>109.637</v>
      </c>
      <c r="BA664">
        <v>0</v>
      </c>
      <c r="BB664">
        <v>0</v>
      </c>
      <c r="BC664">
        <v>0</v>
      </c>
      <c r="BD664">
        <v>0</v>
      </c>
    </row>
    <row r="665" spans="1:56" x14ac:dyDescent="0.25">
      <c r="A665" s="23">
        <v>46304</v>
      </c>
      <c r="B665">
        <v>664</v>
      </c>
      <c r="C665" t="s">
        <v>82</v>
      </c>
      <c r="D665" t="s">
        <v>83</v>
      </c>
      <c r="E665">
        <v>2</v>
      </c>
      <c r="F665">
        <v>180</v>
      </c>
      <c r="G665">
        <v>0</v>
      </c>
      <c r="H665" t="s">
        <v>95</v>
      </c>
      <c r="I665" t="s">
        <v>78</v>
      </c>
      <c r="J665" t="s">
        <v>70</v>
      </c>
      <c r="K665" t="s">
        <v>86</v>
      </c>
      <c r="L665" t="s">
        <v>71</v>
      </c>
      <c r="M665" t="s">
        <v>87</v>
      </c>
      <c r="O665" t="s">
        <v>88</v>
      </c>
      <c r="P665" t="s">
        <v>27</v>
      </c>
      <c r="Q665" t="s">
        <v>73</v>
      </c>
      <c r="R665" t="s">
        <v>76</v>
      </c>
      <c r="S665" t="s">
        <v>74</v>
      </c>
      <c r="T665" t="s">
        <v>75</v>
      </c>
      <c r="X665" t="s">
        <v>77</v>
      </c>
      <c r="Z665" t="s">
        <v>72</v>
      </c>
      <c r="AA665" t="s">
        <v>94</v>
      </c>
      <c r="AB665">
        <v>5</v>
      </c>
      <c r="AC665">
        <v>748770.93</v>
      </c>
      <c r="AD665">
        <v>8930503.3599999994</v>
      </c>
      <c r="AE665">
        <v>190.3</v>
      </c>
      <c r="AF665">
        <v>748770.93</v>
      </c>
      <c r="AG665">
        <v>8930503.3599999994</v>
      </c>
      <c r="AH665">
        <v>179.4</v>
      </c>
      <c r="AI665">
        <v>10.9</v>
      </c>
      <c r="AJ665">
        <v>0.6</v>
      </c>
      <c r="AK665">
        <v>3.37</v>
      </c>
      <c r="AL665">
        <v>2.93</v>
      </c>
      <c r="AM665">
        <v>0</v>
      </c>
      <c r="AN665">
        <v>0</v>
      </c>
      <c r="AO665">
        <v>358</v>
      </c>
      <c r="AP665">
        <v>3.11</v>
      </c>
      <c r="AQ665">
        <v>0.16</v>
      </c>
      <c r="AR665">
        <v>0.02</v>
      </c>
      <c r="AS665">
        <v>0.02</v>
      </c>
      <c r="AT665">
        <v>5.35</v>
      </c>
      <c r="AU665">
        <v>1.98</v>
      </c>
      <c r="AV665">
        <v>0.08</v>
      </c>
      <c r="AW665">
        <v>0.82</v>
      </c>
      <c r="AX665">
        <v>0</v>
      </c>
      <c r="AY665">
        <v>3.3</v>
      </c>
      <c r="AZ665">
        <v>110.65600000000001</v>
      </c>
      <c r="BA665">
        <v>0</v>
      </c>
      <c r="BB665">
        <v>0</v>
      </c>
      <c r="BC665">
        <v>0</v>
      </c>
      <c r="BD665">
        <v>0</v>
      </c>
    </row>
    <row r="666" spans="1:56" x14ac:dyDescent="0.25">
      <c r="A666" s="23">
        <v>46304</v>
      </c>
      <c r="B666">
        <v>665</v>
      </c>
      <c r="C666" t="s">
        <v>82</v>
      </c>
      <c r="D666" t="s">
        <v>83</v>
      </c>
      <c r="E666">
        <v>2</v>
      </c>
      <c r="F666">
        <v>180</v>
      </c>
      <c r="G666">
        <v>0</v>
      </c>
      <c r="H666" t="s">
        <v>95</v>
      </c>
      <c r="I666" t="s">
        <v>78</v>
      </c>
      <c r="J666" t="s">
        <v>90</v>
      </c>
      <c r="K666" t="s">
        <v>86</v>
      </c>
      <c r="L666" t="s">
        <v>71</v>
      </c>
      <c r="M666" t="s">
        <v>87</v>
      </c>
      <c r="O666" t="s">
        <v>88</v>
      </c>
      <c r="P666" t="s">
        <v>27</v>
      </c>
      <c r="Q666" t="s">
        <v>73</v>
      </c>
      <c r="R666" t="s">
        <v>76</v>
      </c>
      <c r="S666" t="s">
        <v>74</v>
      </c>
      <c r="T666" t="s">
        <v>75</v>
      </c>
      <c r="X666" t="s">
        <v>77</v>
      </c>
      <c r="Z666" t="s">
        <v>72</v>
      </c>
      <c r="AA666" t="s">
        <v>94</v>
      </c>
      <c r="AB666">
        <v>5</v>
      </c>
      <c r="AC666">
        <v>748773.76</v>
      </c>
      <c r="AD666">
        <v>8930505.1899999995</v>
      </c>
      <c r="AE666">
        <v>190.36</v>
      </c>
      <c r="AF666">
        <v>748773.76</v>
      </c>
      <c r="AG666">
        <v>8930505.1899999995</v>
      </c>
      <c r="AH666">
        <v>179.4</v>
      </c>
      <c r="AI666">
        <v>10.96</v>
      </c>
      <c r="AJ666">
        <v>0.6</v>
      </c>
      <c r="AK666">
        <v>3.37</v>
      </c>
      <c r="AL666">
        <v>2.93</v>
      </c>
      <c r="AM666">
        <v>0</v>
      </c>
      <c r="AN666">
        <v>0</v>
      </c>
      <c r="AO666">
        <v>358</v>
      </c>
      <c r="AP666">
        <v>3.13</v>
      </c>
      <c r="AQ666">
        <v>0.21</v>
      </c>
      <c r="AR666">
        <v>0.03</v>
      </c>
      <c r="AS666">
        <v>0.02</v>
      </c>
      <c r="AT666">
        <v>7.23</v>
      </c>
      <c r="AU666">
        <v>2.94</v>
      </c>
      <c r="AV666">
        <v>0.1</v>
      </c>
      <c r="AW666">
        <v>1.43</v>
      </c>
      <c r="AX666">
        <v>0</v>
      </c>
      <c r="AY666">
        <v>3.3</v>
      </c>
      <c r="AZ666">
        <v>111.53</v>
      </c>
      <c r="BA666">
        <v>0</v>
      </c>
      <c r="BB666">
        <v>0</v>
      </c>
      <c r="BC666">
        <v>0</v>
      </c>
      <c r="BD666">
        <v>0</v>
      </c>
    </row>
    <row r="667" spans="1:56" x14ac:dyDescent="0.25">
      <c r="A667" s="23">
        <v>46304</v>
      </c>
      <c r="B667">
        <v>666</v>
      </c>
      <c r="C667" t="s">
        <v>82</v>
      </c>
      <c r="D667" t="s">
        <v>83</v>
      </c>
      <c r="E667">
        <v>2</v>
      </c>
      <c r="F667">
        <v>180</v>
      </c>
      <c r="G667">
        <v>0</v>
      </c>
      <c r="H667" t="s">
        <v>95</v>
      </c>
      <c r="I667" t="s">
        <v>78</v>
      </c>
      <c r="J667" t="s">
        <v>90</v>
      </c>
      <c r="K667" t="s">
        <v>86</v>
      </c>
      <c r="L667" t="s">
        <v>71</v>
      </c>
      <c r="M667" t="s">
        <v>87</v>
      </c>
      <c r="O667" t="s">
        <v>88</v>
      </c>
      <c r="P667" t="s">
        <v>27</v>
      </c>
      <c r="Q667" t="s">
        <v>73</v>
      </c>
      <c r="R667" t="s">
        <v>76</v>
      </c>
      <c r="S667" t="s">
        <v>74</v>
      </c>
      <c r="T667" t="s">
        <v>75</v>
      </c>
      <c r="X667" t="s">
        <v>77</v>
      </c>
      <c r="Z667" t="s">
        <v>72</v>
      </c>
      <c r="AA667" t="s">
        <v>94</v>
      </c>
      <c r="AB667">
        <v>5</v>
      </c>
      <c r="AC667">
        <v>748776.6</v>
      </c>
      <c r="AD667">
        <v>8930507.0199999996</v>
      </c>
      <c r="AE667">
        <v>190.39</v>
      </c>
      <c r="AF667">
        <v>748776.6</v>
      </c>
      <c r="AG667">
        <v>8930507.0199999996</v>
      </c>
      <c r="AH667">
        <v>179.4</v>
      </c>
      <c r="AI667">
        <v>10.99</v>
      </c>
      <c r="AJ667">
        <v>0.6</v>
      </c>
      <c r="AK667">
        <v>3.37</v>
      </c>
      <c r="AL667">
        <v>2.93</v>
      </c>
      <c r="AM667">
        <v>0</v>
      </c>
      <c r="AN667">
        <v>0</v>
      </c>
      <c r="AO667">
        <v>358</v>
      </c>
      <c r="AP667">
        <v>3.16</v>
      </c>
      <c r="AQ667">
        <v>0.27</v>
      </c>
      <c r="AR667">
        <v>0.04</v>
      </c>
      <c r="AS667">
        <v>0.03</v>
      </c>
      <c r="AT667">
        <v>9.19</v>
      </c>
      <c r="AU667">
        <v>3.95</v>
      </c>
      <c r="AV667">
        <v>0.11</v>
      </c>
      <c r="AW667">
        <v>2.0499999999999998</v>
      </c>
      <c r="AX667">
        <v>0</v>
      </c>
      <c r="AY667">
        <v>3.3</v>
      </c>
      <c r="AZ667">
        <v>111.96599999999999</v>
      </c>
      <c r="BA667">
        <v>0</v>
      </c>
      <c r="BB667">
        <v>0</v>
      </c>
      <c r="BC667">
        <v>0</v>
      </c>
      <c r="BD667">
        <v>0</v>
      </c>
    </row>
    <row r="668" spans="1:56" x14ac:dyDescent="0.25">
      <c r="A668" s="23">
        <v>46304</v>
      </c>
      <c r="B668">
        <v>667</v>
      </c>
      <c r="C668" t="s">
        <v>82</v>
      </c>
      <c r="D668" t="s">
        <v>83</v>
      </c>
      <c r="E668">
        <v>2</v>
      </c>
      <c r="F668">
        <v>180</v>
      </c>
      <c r="G668">
        <v>1</v>
      </c>
      <c r="H668" t="s">
        <v>95</v>
      </c>
      <c r="I668" t="s">
        <v>78</v>
      </c>
      <c r="J668" t="s">
        <v>90</v>
      </c>
      <c r="K668" t="s">
        <v>86</v>
      </c>
      <c r="L668" t="s">
        <v>71</v>
      </c>
      <c r="M668" t="s">
        <v>87</v>
      </c>
      <c r="O668" t="s">
        <v>88</v>
      </c>
      <c r="P668" t="s">
        <v>27</v>
      </c>
      <c r="Q668" t="s">
        <v>73</v>
      </c>
      <c r="R668" t="s">
        <v>76</v>
      </c>
      <c r="S668" t="s">
        <v>74</v>
      </c>
      <c r="T668" t="s">
        <v>75</v>
      </c>
      <c r="X668" t="s">
        <v>77</v>
      </c>
      <c r="Z668" t="s">
        <v>72</v>
      </c>
      <c r="AA668" t="s">
        <v>94</v>
      </c>
      <c r="AB668">
        <v>5</v>
      </c>
      <c r="AC668">
        <v>748779.08</v>
      </c>
      <c r="AD668">
        <v>8930508.0700000003</v>
      </c>
      <c r="AE668">
        <v>192.44</v>
      </c>
      <c r="AF668">
        <v>748779.08</v>
      </c>
      <c r="AG668">
        <v>8930508.0700000003</v>
      </c>
      <c r="AH668">
        <v>179.4</v>
      </c>
      <c r="AI668">
        <v>13.04</v>
      </c>
      <c r="AJ668">
        <v>0.6</v>
      </c>
      <c r="AK668">
        <v>3.37</v>
      </c>
      <c r="AL668">
        <v>2.93</v>
      </c>
      <c r="AM668">
        <v>0</v>
      </c>
      <c r="AN668">
        <v>0</v>
      </c>
      <c r="AO668">
        <v>358</v>
      </c>
      <c r="AP668">
        <v>3.18</v>
      </c>
      <c r="AQ668">
        <v>0.32</v>
      </c>
      <c r="AR668">
        <v>0.04</v>
      </c>
      <c r="AS668">
        <v>0.03</v>
      </c>
      <c r="AT668">
        <v>10.97</v>
      </c>
      <c r="AU668">
        <v>4.76</v>
      </c>
      <c r="AV668">
        <v>0.13</v>
      </c>
      <c r="AW668">
        <v>2.5099999999999998</v>
      </c>
      <c r="AX668">
        <v>0</v>
      </c>
      <c r="AY668">
        <v>3.3</v>
      </c>
      <c r="AZ668">
        <v>141.81399999999999</v>
      </c>
      <c r="BA668">
        <v>0</v>
      </c>
      <c r="BB668">
        <v>0</v>
      </c>
      <c r="BC668">
        <v>0</v>
      </c>
      <c r="BD668">
        <v>0</v>
      </c>
    </row>
    <row r="669" spans="1:56" x14ac:dyDescent="0.25">
      <c r="A669" s="23">
        <v>46304</v>
      </c>
      <c r="B669">
        <v>668</v>
      </c>
      <c r="C669" t="s">
        <v>82</v>
      </c>
      <c r="D669" t="s">
        <v>83</v>
      </c>
      <c r="E669">
        <v>2</v>
      </c>
      <c r="F669">
        <v>180</v>
      </c>
      <c r="G669">
        <v>1</v>
      </c>
      <c r="H669" t="s">
        <v>95</v>
      </c>
      <c r="I669" t="s">
        <v>78</v>
      </c>
      <c r="J669" t="s">
        <v>90</v>
      </c>
      <c r="K669" t="s">
        <v>86</v>
      </c>
      <c r="L669" t="s">
        <v>71</v>
      </c>
      <c r="M669" t="s">
        <v>87</v>
      </c>
      <c r="O669" t="s">
        <v>88</v>
      </c>
      <c r="P669" t="s">
        <v>27</v>
      </c>
      <c r="Q669" t="s">
        <v>73</v>
      </c>
      <c r="R669" t="s">
        <v>76</v>
      </c>
      <c r="S669" t="s">
        <v>74</v>
      </c>
      <c r="T669" t="s">
        <v>75</v>
      </c>
      <c r="X669" t="s">
        <v>77</v>
      </c>
      <c r="Z669" t="s">
        <v>72</v>
      </c>
      <c r="AA669" t="s">
        <v>94</v>
      </c>
      <c r="AB669">
        <v>5</v>
      </c>
      <c r="AC669">
        <v>748782.98</v>
      </c>
      <c r="AD669">
        <v>8930508.9600000009</v>
      </c>
      <c r="AE669">
        <v>194.63</v>
      </c>
      <c r="AF669">
        <v>748782.98</v>
      </c>
      <c r="AG669">
        <v>8930508.9600000009</v>
      </c>
      <c r="AH669">
        <v>179.4</v>
      </c>
      <c r="AI669">
        <v>15.23</v>
      </c>
      <c r="AJ669">
        <v>0.6</v>
      </c>
      <c r="AK669">
        <v>3.37</v>
      </c>
      <c r="AL669">
        <v>2.93</v>
      </c>
      <c r="AM669">
        <v>0</v>
      </c>
      <c r="AN669">
        <v>0</v>
      </c>
      <c r="AO669">
        <v>358</v>
      </c>
      <c r="AP669">
        <v>3.21</v>
      </c>
      <c r="AQ669">
        <v>0.31</v>
      </c>
      <c r="AR669">
        <v>0.04</v>
      </c>
      <c r="AS669">
        <v>0.03</v>
      </c>
      <c r="AT669">
        <v>10.86</v>
      </c>
      <c r="AU669">
        <v>4.9400000000000004</v>
      </c>
      <c r="AV669">
        <v>0.09</v>
      </c>
      <c r="AW669">
        <v>1.93</v>
      </c>
      <c r="AX669">
        <v>0</v>
      </c>
      <c r="AY669">
        <v>3.3</v>
      </c>
      <c r="AZ669">
        <v>173.70099999999999</v>
      </c>
      <c r="BA669">
        <v>0</v>
      </c>
      <c r="BB669">
        <v>0</v>
      </c>
      <c r="BC669">
        <v>0</v>
      </c>
      <c r="BD669">
        <v>0</v>
      </c>
    </row>
    <row r="670" spans="1:56" x14ac:dyDescent="0.25">
      <c r="A670" s="23">
        <v>46304</v>
      </c>
      <c r="B670">
        <v>669</v>
      </c>
      <c r="C670" t="s">
        <v>82</v>
      </c>
      <c r="D670" t="s">
        <v>83</v>
      </c>
      <c r="E670">
        <v>2</v>
      </c>
      <c r="F670">
        <v>180</v>
      </c>
      <c r="G670">
        <v>1</v>
      </c>
      <c r="H670" t="s">
        <v>96</v>
      </c>
      <c r="I670" t="s">
        <v>78</v>
      </c>
      <c r="J670" t="s">
        <v>90</v>
      </c>
      <c r="K670" t="s">
        <v>86</v>
      </c>
      <c r="L670" t="s">
        <v>71</v>
      </c>
      <c r="M670" t="s">
        <v>87</v>
      </c>
      <c r="O670" t="s">
        <v>88</v>
      </c>
      <c r="P670" t="s">
        <v>27</v>
      </c>
      <c r="Q670" t="s">
        <v>73</v>
      </c>
      <c r="R670" t="s">
        <v>76</v>
      </c>
      <c r="S670" t="s">
        <v>74</v>
      </c>
      <c r="T670" t="s">
        <v>75</v>
      </c>
      <c r="X670" t="s">
        <v>77</v>
      </c>
      <c r="Z670" t="s">
        <v>72</v>
      </c>
      <c r="AA670" t="s">
        <v>94</v>
      </c>
      <c r="AB670">
        <v>5</v>
      </c>
      <c r="AC670">
        <v>748786.27</v>
      </c>
      <c r="AD670">
        <v>8930509.7100000009</v>
      </c>
      <c r="AE670">
        <v>194.31</v>
      </c>
      <c r="AF670">
        <v>748786.27</v>
      </c>
      <c r="AG670">
        <v>8930509.7100000009</v>
      </c>
      <c r="AH670">
        <v>179.4</v>
      </c>
      <c r="AI670">
        <v>14.91</v>
      </c>
      <c r="AJ670">
        <v>0.6</v>
      </c>
      <c r="AK670">
        <v>3.37</v>
      </c>
      <c r="AL670">
        <v>2.93</v>
      </c>
      <c r="AM670">
        <v>0</v>
      </c>
      <c r="AN670">
        <v>0</v>
      </c>
      <c r="AO670">
        <v>358</v>
      </c>
      <c r="AP670">
        <v>3.22</v>
      </c>
      <c r="AQ670">
        <v>0.33</v>
      </c>
      <c r="AR670">
        <v>0.04</v>
      </c>
      <c r="AS670">
        <v>0.03</v>
      </c>
      <c r="AT670">
        <v>11.02</v>
      </c>
      <c r="AU670">
        <v>5.1100000000000003</v>
      </c>
      <c r="AV670">
        <v>7.0000000000000007E-2</v>
      </c>
      <c r="AW670">
        <v>1.42</v>
      </c>
      <c r="AX670">
        <v>0.1</v>
      </c>
      <c r="AY670">
        <v>3.3</v>
      </c>
      <c r="AZ670">
        <v>169.042</v>
      </c>
      <c r="BA670">
        <v>0</v>
      </c>
      <c r="BB670">
        <v>0</v>
      </c>
      <c r="BC670">
        <v>0</v>
      </c>
      <c r="BD670">
        <v>0</v>
      </c>
    </row>
    <row r="671" spans="1:56" x14ac:dyDescent="0.25">
      <c r="A671" s="23">
        <v>46304</v>
      </c>
      <c r="B671">
        <v>670</v>
      </c>
      <c r="C671" t="s">
        <v>82</v>
      </c>
      <c r="D671" t="s">
        <v>83</v>
      </c>
      <c r="E671">
        <v>2</v>
      </c>
      <c r="F671">
        <v>180</v>
      </c>
      <c r="G671">
        <v>1</v>
      </c>
      <c r="H671" t="s">
        <v>96</v>
      </c>
      <c r="I671" t="s">
        <v>78</v>
      </c>
      <c r="J671" t="s">
        <v>90</v>
      </c>
      <c r="K671" t="s">
        <v>86</v>
      </c>
      <c r="L671" t="s">
        <v>71</v>
      </c>
      <c r="M671" t="s">
        <v>87</v>
      </c>
      <c r="O671" t="s">
        <v>88</v>
      </c>
      <c r="P671" t="s">
        <v>27</v>
      </c>
      <c r="Q671" t="s">
        <v>73</v>
      </c>
      <c r="R671" t="s">
        <v>76</v>
      </c>
      <c r="S671" t="s">
        <v>74</v>
      </c>
      <c r="T671" t="s">
        <v>75</v>
      </c>
      <c r="X671" t="s">
        <v>77</v>
      </c>
      <c r="Z671" t="s">
        <v>72</v>
      </c>
      <c r="AA671" t="s">
        <v>94</v>
      </c>
      <c r="AB671">
        <v>5</v>
      </c>
      <c r="AC671">
        <v>748789.58</v>
      </c>
      <c r="AD671">
        <v>8930510.3100000005</v>
      </c>
      <c r="AE671">
        <v>194.76</v>
      </c>
      <c r="AF671">
        <v>748789.58</v>
      </c>
      <c r="AG671">
        <v>8930510.3100000005</v>
      </c>
      <c r="AH671">
        <v>179.4</v>
      </c>
      <c r="AI671">
        <v>15.36</v>
      </c>
      <c r="AJ671">
        <v>0.6</v>
      </c>
      <c r="AK671">
        <v>3.37</v>
      </c>
      <c r="AL671">
        <v>2.93</v>
      </c>
      <c r="AM671">
        <v>0</v>
      </c>
      <c r="AN671">
        <v>0</v>
      </c>
      <c r="AO671">
        <v>358</v>
      </c>
      <c r="AP671">
        <v>3.28</v>
      </c>
      <c r="AQ671">
        <v>0.45</v>
      </c>
      <c r="AR671">
        <v>0.05</v>
      </c>
      <c r="AS671">
        <v>0.05</v>
      </c>
      <c r="AT671">
        <v>13.83</v>
      </c>
      <c r="AU671">
        <v>5.85</v>
      </c>
      <c r="AV671">
        <v>0.14000000000000001</v>
      </c>
      <c r="AW671">
        <v>1.1100000000000001</v>
      </c>
      <c r="AX671">
        <v>2.14</v>
      </c>
      <c r="AY671">
        <v>3.3</v>
      </c>
      <c r="AZ671">
        <v>175.59399999999999</v>
      </c>
      <c r="BA671">
        <v>0</v>
      </c>
      <c r="BB671">
        <v>0</v>
      </c>
      <c r="BC671">
        <v>0</v>
      </c>
      <c r="BD671">
        <v>0</v>
      </c>
    </row>
    <row r="672" spans="1:56" x14ac:dyDescent="0.25">
      <c r="A672" s="23">
        <v>46304</v>
      </c>
      <c r="B672">
        <v>671</v>
      </c>
      <c r="C672" t="s">
        <v>82</v>
      </c>
      <c r="D672" t="s">
        <v>83</v>
      </c>
      <c r="E672">
        <v>2</v>
      </c>
      <c r="F672">
        <v>180</v>
      </c>
      <c r="G672">
        <v>1</v>
      </c>
      <c r="H672" t="s">
        <v>96</v>
      </c>
      <c r="I672" t="s">
        <v>91</v>
      </c>
      <c r="J672" t="s">
        <v>85</v>
      </c>
      <c r="K672" t="s">
        <v>86</v>
      </c>
      <c r="L672" t="s">
        <v>71</v>
      </c>
      <c r="M672" t="s">
        <v>87</v>
      </c>
      <c r="O672" t="s">
        <v>88</v>
      </c>
      <c r="P672" t="s">
        <v>27</v>
      </c>
      <c r="Q672" t="s">
        <v>73</v>
      </c>
      <c r="R672" t="s">
        <v>76</v>
      </c>
      <c r="S672" t="s">
        <v>74</v>
      </c>
      <c r="T672" t="s">
        <v>75</v>
      </c>
      <c r="X672" t="s">
        <v>77</v>
      </c>
      <c r="Z672" t="s">
        <v>72</v>
      </c>
      <c r="AA672" t="s">
        <v>94</v>
      </c>
      <c r="AB672">
        <v>5</v>
      </c>
      <c r="AC672">
        <v>748792.9</v>
      </c>
      <c r="AD672">
        <v>8930510.8800000008</v>
      </c>
      <c r="AE672">
        <v>195.29</v>
      </c>
      <c r="AF672">
        <v>748792.9</v>
      </c>
      <c r="AG672">
        <v>8930510.8800000008</v>
      </c>
      <c r="AH672">
        <v>179.4</v>
      </c>
      <c r="AI672">
        <v>15.89</v>
      </c>
      <c r="AJ672">
        <v>0.6</v>
      </c>
      <c r="AK672">
        <v>3.37</v>
      </c>
      <c r="AL672">
        <v>2.93</v>
      </c>
      <c r="AM672">
        <v>0</v>
      </c>
      <c r="AN672">
        <v>0</v>
      </c>
      <c r="AO672">
        <v>358</v>
      </c>
      <c r="AP672">
        <v>3.32</v>
      </c>
      <c r="AQ672">
        <v>0.52</v>
      </c>
      <c r="AR672">
        <v>0.06</v>
      </c>
      <c r="AS672">
        <v>0.06</v>
      </c>
      <c r="AT672">
        <v>16.57</v>
      </c>
      <c r="AU672">
        <v>6.08</v>
      </c>
      <c r="AV672">
        <v>0.25</v>
      </c>
      <c r="AW672">
        <v>1.2</v>
      </c>
      <c r="AX672">
        <v>2.77</v>
      </c>
      <c r="AY672">
        <v>3.3</v>
      </c>
      <c r="AZ672">
        <v>183.31</v>
      </c>
      <c r="BA672">
        <v>0</v>
      </c>
      <c r="BB672">
        <v>0</v>
      </c>
      <c r="BC672">
        <v>0</v>
      </c>
      <c r="BD672">
        <v>0</v>
      </c>
    </row>
    <row r="673" spans="1:56" x14ac:dyDescent="0.25">
      <c r="A673" s="23">
        <v>46304</v>
      </c>
      <c r="B673">
        <v>672</v>
      </c>
      <c r="C673" t="s">
        <v>82</v>
      </c>
      <c r="D673" t="s">
        <v>83</v>
      </c>
      <c r="E673">
        <v>2</v>
      </c>
      <c r="F673">
        <v>180</v>
      </c>
      <c r="G673">
        <v>1</v>
      </c>
      <c r="H673" t="s">
        <v>96</v>
      </c>
      <c r="I673" t="s">
        <v>91</v>
      </c>
      <c r="J673" t="s">
        <v>85</v>
      </c>
      <c r="K673" t="s">
        <v>86</v>
      </c>
      <c r="L673" t="s">
        <v>71</v>
      </c>
      <c r="M673" t="s">
        <v>87</v>
      </c>
      <c r="O673" t="s">
        <v>88</v>
      </c>
      <c r="P673" t="s">
        <v>27</v>
      </c>
      <c r="Q673" t="s">
        <v>73</v>
      </c>
      <c r="R673" t="s">
        <v>76</v>
      </c>
      <c r="S673" t="s">
        <v>74</v>
      </c>
      <c r="T673" t="s">
        <v>75</v>
      </c>
      <c r="X673" t="s">
        <v>77</v>
      </c>
      <c r="Z673" t="s">
        <v>72</v>
      </c>
      <c r="AA673" t="s">
        <v>94</v>
      </c>
      <c r="AB673">
        <v>5</v>
      </c>
      <c r="AC673">
        <v>748796.23</v>
      </c>
      <c r="AD673">
        <v>8930511.4399999995</v>
      </c>
      <c r="AE673">
        <v>195.41</v>
      </c>
      <c r="AF673">
        <v>748796.23</v>
      </c>
      <c r="AG673">
        <v>8930511.4399999995</v>
      </c>
      <c r="AH673">
        <v>179.4</v>
      </c>
      <c r="AI673">
        <v>16.010000000000002</v>
      </c>
      <c r="AJ673">
        <v>0.6</v>
      </c>
      <c r="AK673">
        <v>3.37</v>
      </c>
      <c r="AL673">
        <v>2.93</v>
      </c>
      <c r="AM673">
        <v>0</v>
      </c>
      <c r="AN673">
        <v>0</v>
      </c>
      <c r="AO673">
        <v>358</v>
      </c>
      <c r="AP673">
        <v>3.32</v>
      </c>
      <c r="AQ673">
        <v>0.53</v>
      </c>
      <c r="AR673">
        <v>0.06</v>
      </c>
      <c r="AS673">
        <v>7.0000000000000007E-2</v>
      </c>
      <c r="AT673">
        <v>18.440000000000001</v>
      </c>
      <c r="AU673">
        <v>6.14</v>
      </c>
      <c r="AV673">
        <v>0.35</v>
      </c>
      <c r="AW673">
        <v>1.48</v>
      </c>
      <c r="AX673">
        <v>2.82</v>
      </c>
      <c r="AY673">
        <v>3.3</v>
      </c>
      <c r="AZ673">
        <v>185.05799999999999</v>
      </c>
      <c r="BA673">
        <v>0</v>
      </c>
      <c r="BB673">
        <v>0</v>
      </c>
      <c r="BC673">
        <v>0</v>
      </c>
      <c r="BD673">
        <v>0</v>
      </c>
    </row>
    <row r="674" spans="1:56" x14ac:dyDescent="0.25">
      <c r="A674" s="23">
        <v>46304</v>
      </c>
      <c r="B674">
        <v>673</v>
      </c>
      <c r="C674" t="s">
        <v>82</v>
      </c>
      <c r="D674" t="s">
        <v>83</v>
      </c>
      <c r="E674">
        <v>2</v>
      </c>
      <c r="F674">
        <v>180</v>
      </c>
      <c r="G674">
        <v>1</v>
      </c>
      <c r="H674" t="s">
        <v>96</v>
      </c>
      <c r="I674" t="s">
        <v>91</v>
      </c>
      <c r="J674" t="s">
        <v>85</v>
      </c>
      <c r="K674" t="s">
        <v>86</v>
      </c>
      <c r="L674" t="s">
        <v>71</v>
      </c>
      <c r="M674" t="s">
        <v>87</v>
      </c>
      <c r="O674" t="s">
        <v>88</v>
      </c>
      <c r="P674" t="s">
        <v>27</v>
      </c>
      <c r="Q674" t="s">
        <v>73</v>
      </c>
      <c r="R674" t="s">
        <v>76</v>
      </c>
      <c r="S674" t="s">
        <v>74</v>
      </c>
      <c r="T674" t="s">
        <v>75</v>
      </c>
      <c r="X674" t="s">
        <v>77</v>
      </c>
      <c r="Z674" t="s">
        <v>72</v>
      </c>
      <c r="AA674" t="s">
        <v>94</v>
      </c>
      <c r="AB674">
        <v>5</v>
      </c>
      <c r="AC674">
        <v>748799.5</v>
      </c>
      <c r="AD674">
        <v>8930512.2100000009</v>
      </c>
      <c r="AE674">
        <v>195.25</v>
      </c>
      <c r="AF674">
        <v>748799.5</v>
      </c>
      <c r="AG674">
        <v>8930512.2100000009</v>
      </c>
      <c r="AH674">
        <v>179.4</v>
      </c>
      <c r="AI674">
        <v>15.85</v>
      </c>
      <c r="AJ674">
        <v>0.6</v>
      </c>
      <c r="AK674">
        <v>3.37</v>
      </c>
      <c r="AL674">
        <v>2.93</v>
      </c>
      <c r="AM674">
        <v>0</v>
      </c>
      <c r="AN674">
        <v>0</v>
      </c>
      <c r="AO674">
        <v>358</v>
      </c>
      <c r="AP674">
        <v>3.29</v>
      </c>
      <c r="AQ674">
        <v>0.5</v>
      </c>
      <c r="AR674">
        <v>0.06</v>
      </c>
      <c r="AS674">
        <v>7.0000000000000007E-2</v>
      </c>
      <c r="AT674">
        <v>18.21</v>
      </c>
      <c r="AU674">
        <v>5.98</v>
      </c>
      <c r="AV674">
        <v>0.37</v>
      </c>
      <c r="AW674">
        <v>1.36</v>
      </c>
      <c r="AX674">
        <v>3.16</v>
      </c>
      <c r="AY674">
        <v>3.3</v>
      </c>
      <c r="AZ674">
        <v>182.72800000000001</v>
      </c>
      <c r="BA674">
        <v>0</v>
      </c>
      <c r="BB674">
        <v>0</v>
      </c>
      <c r="BC674">
        <v>0</v>
      </c>
      <c r="BD674">
        <v>0</v>
      </c>
    </row>
    <row r="675" spans="1:56" x14ac:dyDescent="0.25">
      <c r="A675" s="23">
        <v>46304</v>
      </c>
      <c r="B675">
        <v>674</v>
      </c>
      <c r="C675" t="s">
        <v>82</v>
      </c>
      <c r="D675" t="s">
        <v>83</v>
      </c>
      <c r="E675">
        <v>2</v>
      </c>
      <c r="F675">
        <v>180</v>
      </c>
      <c r="G675">
        <v>1</v>
      </c>
      <c r="H675" t="s">
        <v>96</v>
      </c>
      <c r="I675" t="s">
        <v>91</v>
      </c>
      <c r="J675" t="s">
        <v>85</v>
      </c>
      <c r="K675" t="s">
        <v>86</v>
      </c>
      <c r="L675" t="s">
        <v>71</v>
      </c>
      <c r="M675" t="s">
        <v>87</v>
      </c>
      <c r="O675" t="s">
        <v>88</v>
      </c>
      <c r="P675" t="s">
        <v>27</v>
      </c>
      <c r="Q675" t="s">
        <v>73</v>
      </c>
      <c r="R675" t="s">
        <v>76</v>
      </c>
      <c r="S675" t="s">
        <v>74</v>
      </c>
      <c r="T675" t="s">
        <v>75</v>
      </c>
      <c r="X675" t="s">
        <v>77</v>
      </c>
      <c r="Z675" t="s">
        <v>72</v>
      </c>
      <c r="AA675" t="s">
        <v>94</v>
      </c>
      <c r="AB675">
        <v>5</v>
      </c>
      <c r="AC675">
        <v>748802.7</v>
      </c>
      <c r="AD675">
        <v>8930513.2400000002</v>
      </c>
      <c r="AE675">
        <v>195.19</v>
      </c>
      <c r="AF675">
        <v>748802.7</v>
      </c>
      <c r="AG675">
        <v>8930513.2400000002</v>
      </c>
      <c r="AH675">
        <v>179.4</v>
      </c>
      <c r="AI675">
        <v>15.79</v>
      </c>
      <c r="AJ675">
        <v>0.6</v>
      </c>
      <c r="AK675">
        <v>3.37</v>
      </c>
      <c r="AL675">
        <v>2.93</v>
      </c>
      <c r="AM675">
        <v>0</v>
      </c>
      <c r="AN675">
        <v>0</v>
      </c>
      <c r="AO675">
        <v>358</v>
      </c>
      <c r="AP675">
        <v>3.25</v>
      </c>
      <c r="AQ675">
        <v>0.46</v>
      </c>
      <c r="AR675">
        <v>7.0000000000000007E-2</v>
      </c>
      <c r="AS675">
        <v>7.0000000000000007E-2</v>
      </c>
      <c r="AT675">
        <v>17.47</v>
      </c>
      <c r="AU675">
        <v>5.62</v>
      </c>
      <c r="AV675">
        <v>0.38</v>
      </c>
      <c r="AW675">
        <v>1.22</v>
      </c>
      <c r="AX675">
        <v>3.86</v>
      </c>
      <c r="AY675">
        <v>3.3</v>
      </c>
      <c r="AZ675">
        <v>181.85400000000001</v>
      </c>
      <c r="BA675">
        <v>0</v>
      </c>
      <c r="BB675">
        <v>0</v>
      </c>
      <c r="BC675">
        <v>0</v>
      </c>
      <c r="BD675">
        <v>0</v>
      </c>
    </row>
    <row r="676" spans="1:56" x14ac:dyDescent="0.25">
      <c r="A676" s="23">
        <v>46304</v>
      </c>
      <c r="B676">
        <v>675</v>
      </c>
      <c r="C676" t="s">
        <v>82</v>
      </c>
      <c r="D676" t="s">
        <v>83</v>
      </c>
      <c r="E676">
        <v>2</v>
      </c>
      <c r="F676">
        <v>180</v>
      </c>
      <c r="G676">
        <v>1</v>
      </c>
      <c r="H676" t="s">
        <v>96</v>
      </c>
      <c r="I676" t="s">
        <v>91</v>
      </c>
      <c r="J676" t="s">
        <v>85</v>
      </c>
      <c r="K676" t="s">
        <v>86</v>
      </c>
      <c r="L676" t="s">
        <v>71</v>
      </c>
      <c r="M676" t="s">
        <v>87</v>
      </c>
      <c r="O676" t="s">
        <v>88</v>
      </c>
      <c r="P676" t="s">
        <v>27</v>
      </c>
      <c r="Q676" t="s">
        <v>73</v>
      </c>
      <c r="R676" t="s">
        <v>76</v>
      </c>
      <c r="S676" t="s">
        <v>74</v>
      </c>
      <c r="T676" t="s">
        <v>75</v>
      </c>
      <c r="X676" t="s">
        <v>77</v>
      </c>
      <c r="Z676" t="s">
        <v>72</v>
      </c>
      <c r="AA676" t="s">
        <v>94</v>
      </c>
      <c r="AB676">
        <v>5</v>
      </c>
      <c r="AC676">
        <v>748805.91</v>
      </c>
      <c r="AD676">
        <v>8930514.2799999993</v>
      </c>
      <c r="AE676">
        <v>195.39</v>
      </c>
      <c r="AF676">
        <v>748805.91</v>
      </c>
      <c r="AG676">
        <v>8930514.2799999993</v>
      </c>
      <c r="AH676">
        <v>179.4</v>
      </c>
      <c r="AI676">
        <v>15.99</v>
      </c>
      <c r="AJ676">
        <v>0.6</v>
      </c>
      <c r="AK676">
        <v>3.37</v>
      </c>
      <c r="AL676">
        <v>2.93</v>
      </c>
      <c r="AM676">
        <v>0</v>
      </c>
      <c r="AN676">
        <v>0</v>
      </c>
      <c r="AO676">
        <v>358</v>
      </c>
      <c r="AP676">
        <v>3.25</v>
      </c>
      <c r="AQ676">
        <v>0.46</v>
      </c>
      <c r="AR676">
        <v>7.0000000000000007E-2</v>
      </c>
      <c r="AS676">
        <v>7.0000000000000007E-2</v>
      </c>
      <c r="AT676">
        <v>17.48</v>
      </c>
      <c r="AU676">
        <v>5.62</v>
      </c>
      <c r="AV676">
        <v>0.38</v>
      </c>
      <c r="AW676">
        <v>1.22</v>
      </c>
      <c r="AX676">
        <v>3.96</v>
      </c>
      <c r="AY676">
        <v>3.3</v>
      </c>
      <c r="AZ676">
        <v>184.76599999999999</v>
      </c>
      <c r="BA676">
        <v>0</v>
      </c>
      <c r="BB676">
        <v>0</v>
      </c>
      <c r="BC676">
        <v>0</v>
      </c>
      <c r="BD676">
        <v>0</v>
      </c>
    </row>
    <row r="677" spans="1:56" x14ac:dyDescent="0.25">
      <c r="A677" s="23">
        <v>46304</v>
      </c>
      <c r="B677">
        <v>676</v>
      </c>
      <c r="C677" t="s">
        <v>82</v>
      </c>
      <c r="D677" t="s">
        <v>83</v>
      </c>
      <c r="E677">
        <v>2</v>
      </c>
      <c r="F677">
        <v>180</v>
      </c>
      <c r="G677">
        <v>1</v>
      </c>
      <c r="H677" t="s">
        <v>96</v>
      </c>
      <c r="I677" t="s">
        <v>91</v>
      </c>
      <c r="J677" t="s">
        <v>85</v>
      </c>
      <c r="K677" t="s">
        <v>86</v>
      </c>
      <c r="L677" t="s">
        <v>71</v>
      </c>
      <c r="M677" t="s">
        <v>87</v>
      </c>
      <c r="O677" t="s">
        <v>88</v>
      </c>
      <c r="P677" t="s">
        <v>27</v>
      </c>
      <c r="Q677" t="s">
        <v>73</v>
      </c>
      <c r="R677" t="s">
        <v>76</v>
      </c>
      <c r="S677" t="s">
        <v>74</v>
      </c>
      <c r="T677" t="s">
        <v>75</v>
      </c>
      <c r="X677" t="s">
        <v>77</v>
      </c>
      <c r="Z677" t="s">
        <v>72</v>
      </c>
      <c r="AA677" t="s">
        <v>94</v>
      </c>
      <c r="AB677">
        <v>5</v>
      </c>
      <c r="AC677">
        <v>748809.18</v>
      </c>
      <c r="AD677">
        <v>8930515.0700000003</v>
      </c>
      <c r="AE677">
        <v>195.5</v>
      </c>
      <c r="AF677">
        <v>748809.18</v>
      </c>
      <c r="AG677">
        <v>8930515.0700000003</v>
      </c>
      <c r="AH677">
        <v>179.4</v>
      </c>
      <c r="AI677">
        <v>16.100000000000001</v>
      </c>
      <c r="AJ677">
        <v>0.6</v>
      </c>
      <c r="AK677">
        <v>3.37</v>
      </c>
      <c r="AL677">
        <v>2.93</v>
      </c>
      <c r="AM677">
        <v>0</v>
      </c>
      <c r="AN677">
        <v>0</v>
      </c>
      <c r="AO677">
        <v>358</v>
      </c>
      <c r="AP677">
        <v>3.25</v>
      </c>
      <c r="AQ677">
        <v>0.47</v>
      </c>
      <c r="AR677">
        <v>7.0000000000000007E-2</v>
      </c>
      <c r="AS677">
        <v>7.0000000000000007E-2</v>
      </c>
      <c r="AT677">
        <v>17.43</v>
      </c>
      <c r="AU677">
        <v>5.59</v>
      </c>
      <c r="AV677">
        <v>0.39</v>
      </c>
      <c r="AW677">
        <v>1.21</v>
      </c>
      <c r="AX677">
        <v>2.97</v>
      </c>
      <c r="AY677">
        <v>3.3</v>
      </c>
      <c r="AZ677">
        <v>186.36799999999999</v>
      </c>
      <c r="BA677">
        <v>0</v>
      </c>
      <c r="BB677">
        <v>0</v>
      </c>
      <c r="BC677">
        <v>0</v>
      </c>
      <c r="BD677">
        <v>0</v>
      </c>
    </row>
    <row r="678" spans="1:56" x14ac:dyDescent="0.25">
      <c r="A678" s="23">
        <v>46304</v>
      </c>
      <c r="B678">
        <v>677</v>
      </c>
      <c r="C678" t="s">
        <v>82</v>
      </c>
      <c r="D678" t="s">
        <v>83</v>
      </c>
      <c r="E678">
        <v>2</v>
      </c>
      <c r="F678">
        <v>180</v>
      </c>
      <c r="G678">
        <v>1</v>
      </c>
      <c r="H678" t="s">
        <v>96</v>
      </c>
      <c r="I678" t="s">
        <v>91</v>
      </c>
      <c r="J678" t="s">
        <v>85</v>
      </c>
      <c r="K678" t="s">
        <v>86</v>
      </c>
      <c r="L678" t="s">
        <v>71</v>
      </c>
      <c r="M678" t="s">
        <v>87</v>
      </c>
      <c r="O678" t="s">
        <v>88</v>
      </c>
      <c r="P678" t="s">
        <v>27</v>
      </c>
      <c r="Q678" t="s">
        <v>73</v>
      </c>
      <c r="R678" t="s">
        <v>76</v>
      </c>
      <c r="S678" t="s">
        <v>74</v>
      </c>
      <c r="T678" t="s">
        <v>75</v>
      </c>
      <c r="X678" t="s">
        <v>77</v>
      </c>
      <c r="Z678" t="s">
        <v>72</v>
      </c>
      <c r="AA678" t="s">
        <v>94</v>
      </c>
      <c r="AB678">
        <v>5</v>
      </c>
      <c r="AC678">
        <v>748812.48</v>
      </c>
      <c r="AD678">
        <v>8930515.75</v>
      </c>
      <c r="AE678">
        <v>195.67</v>
      </c>
      <c r="AF678">
        <v>748812.48</v>
      </c>
      <c r="AG678">
        <v>8930515.75</v>
      </c>
      <c r="AH678">
        <v>179.4</v>
      </c>
      <c r="AI678">
        <v>16.27</v>
      </c>
      <c r="AJ678">
        <v>0.6</v>
      </c>
      <c r="AK678">
        <v>3.37</v>
      </c>
      <c r="AL678">
        <v>2.93</v>
      </c>
      <c r="AM678">
        <v>0</v>
      </c>
      <c r="AN678">
        <v>0</v>
      </c>
      <c r="AO678">
        <v>358</v>
      </c>
      <c r="AP678">
        <v>3.26</v>
      </c>
      <c r="AQ678">
        <v>0.49</v>
      </c>
      <c r="AR678">
        <v>0.08</v>
      </c>
      <c r="AS678">
        <v>0.06</v>
      </c>
      <c r="AT678">
        <v>17.260000000000002</v>
      </c>
      <c r="AU678">
        <v>5.48</v>
      </c>
      <c r="AV678">
        <v>0.41</v>
      </c>
      <c r="AW678">
        <v>1.19</v>
      </c>
      <c r="AX678">
        <v>0</v>
      </c>
      <c r="AY678">
        <v>3.3</v>
      </c>
      <c r="AZ678">
        <v>188.84299999999999</v>
      </c>
      <c r="BA678">
        <v>0</v>
      </c>
      <c r="BB678">
        <v>0</v>
      </c>
      <c r="BC678">
        <v>0</v>
      </c>
      <c r="BD678">
        <v>0</v>
      </c>
    </row>
    <row r="679" spans="1:56" x14ac:dyDescent="0.25">
      <c r="A679" s="23">
        <v>46304</v>
      </c>
      <c r="B679">
        <v>678</v>
      </c>
      <c r="C679" t="s">
        <v>82</v>
      </c>
      <c r="D679" t="s">
        <v>83</v>
      </c>
      <c r="E679">
        <v>2</v>
      </c>
      <c r="F679">
        <v>180</v>
      </c>
      <c r="G679">
        <v>1</v>
      </c>
      <c r="H679" t="s">
        <v>96</v>
      </c>
      <c r="I679" t="s">
        <v>91</v>
      </c>
      <c r="J679" t="s">
        <v>85</v>
      </c>
      <c r="K679" t="s">
        <v>86</v>
      </c>
      <c r="L679" t="s">
        <v>71</v>
      </c>
      <c r="M679" t="s">
        <v>87</v>
      </c>
      <c r="O679" t="s">
        <v>88</v>
      </c>
      <c r="P679" t="s">
        <v>27</v>
      </c>
      <c r="Q679" t="s">
        <v>73</v>
      </c>
      <c r="R679" t="s">
        <v>76</v>
      </c>
      <c r="S679" t="s">
        <v>74</v>
      </c>
      <c r="T679" t="s">
        <v>75</v>
      </c>
      <c r="X679" t="s">
        <v>77</v>
      </c>
      <c r="Z679" t="s">
        <v>72</v>
      </c>
      <c r="AA679" t="s">
        <v>94</v>
      </c>
      <c r="AB679">
        <v>5</v>
      </c>
      <c r="AC679">
        <v>748814.89</v>
      </c>
      <c r="AD679">
        <v>8930513.25</v>
      </c>
      <c r="AE679">
        <v>196.17</v>
      </c>
      <c r="AF679">
        <v>748814.89</v>
      </c>
      <c r="AG679">
        <v>8930513.25</v>
      </c>
      <c r="AH679">
        <v>179.4</v>
      </c>
      <c r="AI679">
        <v>16.77</v>
      </c>
      <c r="AJ679">
        <v>0.6</v>
      </c>
      <c r="AK679">
        <v>3.37</v>
      </c>
      <c r="AL679">
        <v>2.93</v>
      </c>
      <c r="AM679">
        <v>0</v>
      </c>
      <c r="AN679">
        <v>0</v>
      </c>
      <c r="AO679">
        <v>358</v>
      </c>
      <c r="AP679">
        <v>3.26</v>
      </c>
      <c r="AQ679">
        <v>0.49</v>
      </c>
      <c r="AR679">
        <v>0.08</v>
      </c>
      <c r="AS679">
        <v>0.06</v>
      </c>
      <c r="AT679">
        <v>17.239999999999998</v>
      </c>
      <c r="AU679">
        <v>5.48</v>
      </c>
      <c r="AV679">
        <v>0.41</v>
      </c>
      <c r="AW679">
        <v>1.2</v>
      </c>
      <c r="AX679">
        <v>0</v>
      </c>
      <c r="AY679">
        <v>3.3</v>
      </c>
      <c r="AZ679">
        <v>196.12299999999999</v>
      </c>
      <c r="BA679">
        <v>0</v>
      </c>
      <c r="BB679">
        <v>0</v>
      </c>
      <c r="BC679">
        <v>0</v>
      </c>
      <c r="BD679">
        <v>0</v>
      </c>
    </row>
    <row r="680" spans="1:56" x14ac:dyDescent="0.25">
      <c r="A680" s="23">
        <v>46304</v>
      </c>
      <c r="B680">
        <v>679</v>
      </c>
      <c r="C680" t="s">
        <v>82</v>
      </c>
      <c r="D680" t="s">
        <v>83</v>
      </c>
      <c r="E680">
        <v>2</v>
      </c>
      <c r="F680">
        <v>180</v>
      </c>
      <c r="G680">
        <v>1</v>
      </c>
      <c r="H680" t="s">
        <v>96</v>
      </c>
      <c r="I680" t="s">
        <v>91</v>
      </c>
      <c r="J680" t="s">
        <v>85</v>
      </c>
      <c r="K680" t="s">
        <v>86</v>
      </c>
      <c r="L680" t="s">
        <v>71</v>
      </c>
      <c r="M680" t="s">
        <v>87</v>
      </c>
      <c r="O680" t="s">
        <v>88</v>
      </c>
      <c r="P680" t="s">
        <v>27</v>
      </c>
      <c r="Q680" t="s">
        <v>73</v>
      </c>
      <c r="R680" t="s">
        <v>76</v>
      </c>
      <c r="S680" t="s">
        <v>74</v>
      </c>
      <c r="T680" t="s">
        <v>75</v>
      </c>
      <c r="X680" t="s">
        <v>77</v>
      </c>
      <c r="Z680" t="s">
        <v>72</v>
      </c>
      <c r="AA680" t="s">
        <v>94</v>
      </c>
      <c r="AB680">
        <v>5</v>
      </c>
      <c r="AC680">
        <v>748811.59</v>
      </c>
      <c r="AD680">
        <v>8930512.5700000003</v>
      </c>
      <c r="AE680">
        <v>195.82</v>
      </c>
      <c r="AF680">
        <v>748811.59</v>
      </c>
      <c r="AG680">
        <v>8930512.5700000003</v>
      </c>
      <c r="AH680">
        <v>179.4</v>
      </c>
      <c r="AI680">
        <v>16.420000000000002</v>
      </c>
      <c r="AJ680">
        <v>0.6</v>
      </c>
      <c r="AK680">
        <v>3.37</v>
      </c>
      <c r="AL680">
        <v>2.93</v>
      </c>
      <c r="AM680">
        <v>0</v>
      </c>
      <c r="AN680">
        <v>0</v>
      </c>
      <c r="AO680">
        <v>358</v>
      </c>
      <c r="AP680">
        <v>3.26</v>
      </c>
      <c r="AQ680">
        <v>0.49</v>
      </c>
      <c r="AR680">
        <v>7.0000000000000007E-2</v>
      </c>
      <c r="AS680">
        <v>0.06</v>
      </c>
      <c r="AT680">
        <v>17.27</v>
      </c>
      <c r="AU680">
        <v>5.49</v>
      </c>
      <c r="AV680">
        <v>0.41</v>
      </c>
      <c r="AW680">
        <v>1.2</v>
      </c>
      <c r="AX680">
        <v>0.28999999999999998</v>
      </c>
      <c r="AY680">
        <v>3.3</v>
      </c>
      <c r="AZ680">
        <v>191.02699999999999</v>
      </c>
      <c r="BA680">
        <v>0</v>
      </c>
      <c r="BB680">
        <v>0</v>
      </c>
      <c r="BC680">
        <v>0</v>
      </c>
      <c r="BD680">
        <v>0</v>
      </c>
    </row>
    <row r="681" spans="1:56" x14ac:dyDescent="0.25">
      <c r="A681" s="23">
        <v>46304</v>
      </c>
      <c r="B681">
        <v>680</v>
      </c>
      <c r="C681" t="s">
        <v>82</v>
      </c>
      <c r="D681" t="s">
        <v>83</v>
      </c>
      <c r="E681">
        <v>2</v>
      </c>
      <c r="F681">
        <v>180</v>
      </c>
      <c r="G681">
        <v>1</v>
      </c>
      <c r="H681" t="s">
        <v>96</v>
      </c>
      <c r="I681" t="s">
        <v>91</v>
      </c>
      <c r="J681" t="s">
        <v>85</v>
      </c>
      <c r="K681" t="s">
        <v>86</v>
      </c>
      <c r="L681" t="s">
        <v>71</v>
      </c>
      <c r="M681" t="s">
        <v>87</v>
      </c>
      <c r="O681" t="s">
        <v>88</v>
      </c>
      <c r="P681" t="s">
        <v>27</v>
      </c>
      <c r="Q681" t="s">
        <v>73</v>
      </c>
      <c r="R681" t="s">
        <v>76</v>
      </c>
      <c r="S681" t="s">
        <v>74</v>
      </c>
      <c r="T681" t="s">
        <v>75</v>
      </c>
      <c r="X681" t="s">
        <v>77</v>
      </c>
      <c r="Z681" t="s">
        <v>72</v>
      </c>
      <c r="AA681" t="s">
        <v>94</v>
      </c>
      <c r="AB681">
        <v>5</v>
      </c>
      <c r="AC681">
        <v>748808.29</v>
      </c>
      <c r="AD681">
        <v>8930511.8900000006</v>
      </c>
      <c r="AE681">
        <v>195.56</v>
      </c>
      <c r="AF681">
        <v>748808.29</v>
      </c>
      <c r="AG681">
        <v>8930511.8900000006</v>
      </c>
      <c r="AH681">
        <v>179.4</v>
      </c>
      <c r="AI681">
        <v>16.16</v>
      </c>
      <c r="AJ681">
        <v>0.6</v>
      </c>
      <c r="AK681">
        <v>3.37</v>
      </c>
      <c r="AL681">
        <v>2.93</v>
      </c>
      <c r="AM681">
        <v>0</v>
      </c>
      <c r="AN681">
        <v>0</v>
      </c>
      <c r="AO681">
        <v>358</v>
      </c>
      <c r="AP681">
        <v>3.25</v>
      </c>
      <c r="AQ681">
        <v>0.46</v>
      </c>
      <c r="AR681">
        <v>7.0000000000000007E-2</v>
      </c>
      <c r="AS681">
        <v>7.0000000000000007E-2</v>
      </c>
      <c r="AT681">
        <v>17.489999999999998</v>
      </c>
      <c r="AU681">
        <v>5.61</v>
      </c>
      <c r="AV681">
        <v>0.38</v>
      </c>
      <c r="AW681">
        <v>1.23</v>
      </c>
      <c r="AX681">
        <v>3.83</v>
      </c>
      <c r="AY681">
        <v>3.3</v>
      </c>
      <c r="AZ681">
        <v>187.24199999999999</v>
      </c>
      <c r="BA681">
        <v>0</v>
      </c>
      <c r="BB681">
        <v>0</v>
      </c>
      <c r="BC681">
        <v>0</v>
      </c>
      <c r="BD681">
        <v>0</v>
      </c>
    </row>
    <row r="682" spans="1:56" x14ac:dyDescent="0.25">
      <c r="A682" s="23">
        <v>46304</v>
      </c>
      <c r="B682">
        <v>681</v>
      </c>
      <c r="C682" t="s">
        <v>82</v>
      </c>
      <c r="D682" t="s">
        <v>83</v>
      </c>
      <c r="E682">
        <v>2</v>
      </c>
      <c r="F682">
        <v>180</v>
      </c>
      <c r="G682">
        <v>1</v>
      </c>
      <c r="H682" t="s">
        <v>96</v>
      </c>
      <c r="I682" t="s">
        <v>91</v>
      </c>
      <c r="J682" t="s">
        <v>85</v>
      </c>
      <c r="K682" t="s">
        <v>86</v>
      </c>
      <c r="L682" t="s">
        <v>71</v>
      </c>
      <c r="M682" t="s">
        <v>87</v>
      </c>
      <c r="O682" t="s">
        <v>88</v>
      </c>
      <c r="P682" t="s">
        <v>27</v>
      </c>
      <c r="Q682" t="s">
        <v>73</v>
      </c>
      <c r="R682" t="s">
        <v>76</v>
      </c>
      <c r="S682" t="s">
        <v>74</v>
      </c>
      <c r="T682" t="s">
        <v>75</v>
      </c>
      <c r="X682" t="s">
        <v>77</v>
      </c>
      <c r="Z682" t="s">
        <v>72</v>
      </c>
      <c r="AA682" t="s">
        <v>94</v>
      </c>
      <c r="AB682">
        <v>5</v>
      </c>
      <c r="AC682">
        <v>748805.04</v>
      </c>
      <c r="AD682">
        <v>8930511.0199999996</v>
      </c>
      <c r="AE682">
        <v>195.3</v>
      </c>
      <c r="AF682">
        <v>748805.04</v>
      </c>
      <c r="AG682">
        <v>8930511.0199999996</v>
      </c>
      <c r="AH682">
        <v>179.4</v>
      </c>
      <c r="AI682">
        <v>15.9</v>
      </c>
      <c r="AJ682">
        <v>0.6</v>
      </c>
      <c r="AK682">
        <v>3.37</v>
      </c>
      <c r="AL682">
        <v>2.93</v>
      </c>
      <c r="AM682">
        <v>0</v>
      </c>
      <c r="AN682">
        <v>0</v>
      </c>
      <c r="AO682">
        <v>358</v>
      </c>
      <c r="AP682">
        <v>3.26</v>
      </c>
      <c r="AQ682">
        <v>0.49</v>
      </c>
      <c r="AR682">
        <v>7.0000000000000007E-2</v>
      </c>
      <c r="AS682">
        <v>7.0000000000000007E-2</v>
      </c>
      <c r="AT682">
        <v>17.57</v>
      </c>
      <c r="AU682">
        <v>5.63</v>
      </c>
      <c r="AV682">
        <v>0.37</v>
      </c>
      <c r="AW682">
        <v>1.32</v>
      </c>
      <c r="AX682">
        <v>3.61</v>
      </c>
      <c r="AY682">
        <v>3.3</v>
      </c>
      <c r="AZ682">
        <v>183.45599999999999</v>
      </c>
      <c r="BA682">
        <v>0</v>
      </c>
      <c r="BB682">
        <v>0</v>
      </c>
      <c r="BC682">
        <v>0</v>
      </c>
      <c r="BD682">
        <v>0</v>
      </c>
    </row>
    <row r="683" spans="1:56" x14ac:dyDescent="0.25">
      <c r="A683" s="23">
        <v>46304</v>
      </c>
      <c r="B683">
        <v>682</v>
      </c>
      <c r="C683" t="s">
        <v>82</v>
      </c>
      <c r="D683" t="s">
        <v>83</v>
      </c>
      <c r="E683">
        <v>2</v>
      </c>
      <c r="F683">
        <v>180</v>
      </c>
      <c r="G683">
        <v>1</v>
      </c>
      <c r="H683" t="s">
        <v>96</v>
      </c>
      <c r="I683" t="s">
        <v>91</v>
      </c>
      <c r="J683" t="s">
        <v>85</v>
      </c>
      <c r="K683" t="s">
        <v>86</v>
      </c>
      <c r="L683" t="s">
        <v>71</v>
      </c>
      <c r="M683" t="s">
        <v>87</v>
      </c>
      <c r="O683" t="s">
        <v>88</v>
      </c>
      <c r="P683" t="s">
        <v>27</v>
      </c>
      <c r="Q683" t="s">
        <v>73</v>
      </c>
      <c r="R683" t="s">
        <v>76</v>
      </c>
      <c r="S683" t="s">
        <v>74</v>
      </c>
      <c r="T683" t="s">
        <v>75</v>
      </c>
      <c r="X683" t="s">
        <v>77</v>
      </c>
      <c r="Z683" t="s">
        <v>72</v>
      </c>
      <c r="AA683" t="s">
        <v>94</v>
      </c>
      <c r="AB683">
        <v>5</v>
      </c>
      <c r="AC683">
        <v>748801.84</v>
      </c>
      <c r="AD683">
        <v>8930509.9600000009</v>
      </c>
      <c r="AE683">
        <v>195.31</v>
      </c>
      <c r="AF683">
        <v>748801.84</v>
      </c>
      <c r="AG683">
        <v>8930509.9600000009</v>
      </c>
      <c r="AH683">
        <v>179.4</v>
      </c>
      <c r="AI683">
        <v>15.91</v>
      </c>
      <c r="AJ683">
        <v>0.6</v>
      </c>
      <c r="AK683">
        <v>3.37</v>
      </c>
      <c r="AL683">
        <v>2.93</v>
      </c>
      <c r="AM683">
        <v>0</v>
      </c>
      <c r="AN683">
        <v>0</v>
      </c>
      <c r="AO683">
        <v>358</v>
      </c>
      <c r="AP683">
        <v>3.27</v>
      </c>
      <c r="AQ683">
        <v>0.54</v>
      </c>
      <c r="AR683">
        <v>7.0000000000000007E-2</v>
      </c>
      <c r="AS683">
        <v>7.0000000000000007E-2</v>
      </c>
      <c r="AT683">
        <v>17.739999999999998</v>
      </c>
      <c r="AU683">
        <v>5.64</v>
      </c>
      <c r="AV683">
        <v>0.37</v>
      </c>
      <c r="AW683">
        <v>1.48</v>
      </c>
      <c r="AX683">
        <v>3.14</v>
      </c>
      <c r="AY683">
        <v>3.3</v>
      </c>
      <c r="AZ683">
        <v>183.602</v>
      </c>
      <c r="BA683">
        <v>0</v>
      </c>
      <c r="BB683">
        <v>0</v>
      </c>
      <c r="BC683">
        <v>0</v>
      </c>
      <c r="BD683">
        <v>0</v>
      </c>
    </row>
    <row r="684" spans="1:56" x14ac:dyDescent="0.25">
      <c r="A684" s="23">
        <v>46304</v>
      </c>
      <c r="B684">
        <v>683</v>
      </c>
      <c r="C684" t="s">
        <v>82</v>
      </c>
      <c r="D684" t="s">
        <v>83</v>
      </c>
      <c r="E684">
        <v>2</v>
      </c>
      <c r="F684">
        <v>180</v>
      </c>
      <c r="G684">
        <v>1</v>
      </c>
      <c r="H684" t="s">
        <v>96</v>
      </c>
      <c r="I684" t="s">
        <v>91</v>
      </c>
      <c r="J684" t="s">
        <v>85</v>
      </c>
      <c r="K684" t="s">
        <v>86</v>
      </c>
      <c r="L684" t="s">
        <v>71</v>
      </c>
      <c r="M684" t="s">
        <v>87</v>
      </c>
      <c r="O684" t="s">
        <v>88</v>
      </c>
      <c r="P684" t="s">
        <v>27</v>
      </c>
      <c r="Q684" t="s">
        <v>73</v>
      </c>
      <c r="R684" t="s">
        <v>76</v>
      </c>
      <c r="S684" t="s">
        <v>74</v>
      </c>
      <c r="T684" t="s">
        <v>75</v>
      </c>
      <c r="X684" t="s">
        <v>77</v>
      </c>
      <c r="Z684" t="s">
        <v>72</v>
      </c>
      <c r="AA684" t="s">
        <v>94</v>
      </c>
      <c r="AB684">
        <v>5</v>
      </c>
      <c r="AC684">
        <v>748798.61</v>
      </c>
      <c r="AD684">
        <v>8930509.0099999998</v>
      </c>
      <c r="AE684">
        <v>195.41</v>
      </c>
      <c r="AF684">
        <v>748798.61</v>
      </c>
      <c r="AG684">
        <v>8930509.0099999998</v>
      </c>
      <c r="AH684">
        <v>179.4</v>
      </c>
      <c r="AI684">
        <v>16.010000000000002</v>
      </c>
      <c r="AJ684">
        <v>0.6</v>
      </c>
      <c r="AK684">
        <v>3.37</v>
      </c>
      <c r="AL684">
        <v>2.93</v>
      </c>
      <c r="AM684">
        <v>0</v>
      </c>
      <c r="AN684">
        <v>0</v>
      </c>
      <c r="AO684">
        <v>358</v>
      </c>
      <c r="AP684">
        <v>3.34</v>
      </c>
      <c r="AQ684">
        <v>0.59</v>
      </c>
      <c r="AR684">
        <v>7.0000000000000007E-2</v>
      </c>
      <c r="AS684">
        <v>7.0000000000000007E-2</v>
      </c>
      <c r="AT684">
        <v>18.52</v>
      </c>
      <c r="AU684">
        <v>5.82</v>
      </c>
      <c r="AV684">
        <v>0.32</v>
      </c>
      <c r="AW684">
        <v>1.86</v>
      </c>
      <c r="AX684">
        <v>2.75</v>
      </c>
      <c r="AY684">
        <v>3.3</v>
      </c>
      <c r="AZ684">
        <v>185.05799999999999</v>
      </c>
      <c r="BA684">
        <v>0</v>
      </c>
      <c r="BB684">
        <v>0</v>
      </c>
      <c r="BC684">
        <v>0</v>
      </c>
      <c r="BD684">
        <v>0</v>
      </c>
    </row>
    <row r="685" spans="1:56" x14ac:dyDescent="0.25">
      <c r="A685" s="23">
        <v>46304</v>
      </c>
      <c r="B685">
        <v>684</v>
      </c>
      <c r="C685" t="s">
        <v>82</v>
      </c>
      <c r="D685" t="s">
        <v>83</v>
      </c>
      <c r="E685">
        <v>2</v>
      </c>
      <c r="F685">
        <v>180</v>
      </c>
      <c r="G685">
        <v>1</v>
      </c>
      <c r="H685" t="s">
        <v>96</v>
      </c>
      <c r="I685" t="s">
        <v>91</v>
      </c>
      <c r="J685" t="s">
        <v>85</v>
      </c>
      <c r="K685" t="s">
        <v>86</v>
      </c>
      <c r="L685" t="s">
        <v>71</v>
      </c>
      <c r="M685" t="s">
        <v>87</v>
      </c>
      <c r="O685" t="s">
        <v>88</v>
      </c>
      <c r="P685" t="s">
        <v>27</v>
      </c>
      <c r="Q685" t="s">
        <v>73</v>
      </c>
      <c r="R685" t="s">
        <v>76</v>
      </c>
      <c r="S685" t="s">
        <v>74</v>
      </c>
      <c r="T685" t="s">
        <v>75</v>
      </c>
      <c r="X685" t="s">
        <v>77</v>
      </c>
      <c r="Z685" t="s">
        <v>72</v>
      </c>
      <c r="AA685" t="s">
        <v>94</v>
      </c>
      <c r="AB685">
        <v>5</v>
      </c>
      <c r="AC685">
        <v>748795.32</v>
      </c>
      <c r="AD685">
        <v>8930508.3100000005</v>
      </c>
      <c r="AE685">
        <v>195.33</v>
      </c>
      <c r="AF685">
        <v>748795.32</v>
      </c>
      <c r="AG685">
        <v>8930508.3100000005</v>
      </c>
      <c r="AH685">
        <v>179.4</v>
      </c>
      <c r="AI685">
        <v>15.93</v>
      </c>
      <c r="AJ685">
        <v>0.6</v>
      </c>
      <c r="AK685">
        <v>3.37</v>
      </c>
      <c r="AL685">
        <v>2.93</v>
      </c>
      <c r="AM685">
        <v>0</v>
      </c>
      <c r="AN685">
        <v>0</v>
      </c>
      <c r="AO685">
        <v>358</v>
      </c>
      <c r="AP685">
        <v>3.35</v>
      </c>
      <c r="AQ685">
        <v>0.59</v>
      </c>
      <c r="AR685">
        <v>0.06</v>
      </c>
      <c r="AS685">
        <v>7.0000000000000007E-2</v>
      </c>
      <c r="AT685">
        <v>17.96</v>
      </c>
      <c r="AU685">
        <v>5.75</v>
      </c>
      <c r="AV685">
        <v>0.28000000000000003</v>
      </c>
      <c r="AW685">
        <v>1.84</v>
      </c>
      <c r="AX685">
        <v>2.73</v>
      </c>
      <c r="AY685">
        <v>3.3</v>
      </c>
      <c r="AZ685">
        <v>183.893</v>
      </c>
      <c r="BA685">
        <v>0</v>
      </c>
      <c r="BB685">
        <v>0</v>
      </c>
      <c r="BC685">
        <v>0</v>
      </c>
      <c r="BD685">
        <v>0</v>
      </c>
    </row>
    <row r="686" spans="1:56" x14ac:dyDescent="0.25">
      <c r="A686" s="23">
        <v>46304</v>
      </c>
      <c r="B686">
        <v>685</v>
      </c>
      <c r="C686" t="s">
        <v>82</v>
      </c>
      <c r="D686" t="s">
        <v>83</v>
      </c>
      <c r="E686">
        <v>2</v>
      </c>
      <c r="F686">
        <v>180</v>
      </c>
      <c r="G686">
        <v>1</v>
      </c>
      <c r="H686" t="s">
        <v>96</v>
      </c>
      <c r="I686" t="s">
        <v>91</v>
      </c>
      <c r="J686" t="s">
        <v>85</v>
      </c>
      <c r="K686" t="s">
        <v>86</v>
      </c>
      <c r="L686" t="s">
        <v>71</v>
      </c>
      <c r="M686" t="s">
        <v>87</v>
      </c>
      <c r="O686" t="s">
        <v>88</v>
      </c>
      <c r="P686" t="s">
        <v>27</v>
      </c>
      <c r="Q686" t="s">
        <v>73</v>
      </c>
      <c r="R686" t="s">
        <v>76</v>
      </c>
      <c r="S686" t="s">
        <v>74</v>
      </c>
      <c r="T686" t="s">
        <v>75</v>
      </c>
      <c r="X686" t="s">
        <v>77</v>
      </c>
      <c r="Z686" t="s">
        <v>72</v>
      </c>
      <c r="AA686" t="s">
        <v>94</v>
      </c>
      <c r="AB686">
        <v>5</v>
      </c>
      <c r="AC686">
        <v>748792</v>
      </c>
      <c r="AD686">
        <v>8930507.75</v>
      </c>
      <c r="AE686">
        <v>194.87</v>
      </c>
      <c r="AF686">
        <v>748792</v>
      </c>
      <c r="AG686">
        <v>8930507.75</v>
      </c>
      <c r="AH686">
        <v>179.4</v>
      </c>
      <c r="AI686">
        <v>15.47</v>
      </c>
      <c r="AJ686">
        <v>0.6</v>
      </c>
      <c r="AK686">
        <v>3.37</v>
      </c>
      <c r="AL686">
        <v>2.93</v>
      </c>
      <c r="AM686">
        <v>0</v>
      </c>
      <c r="AN686">
        <v>0</v>
      </c>
      <c r="AO686">
        <v>358</v>
      </c>
      <c r="AP686">
        <v>3.33</v>
      </c>
      <c r="AQ686">
        <v>0.53</v>
      </c>
      <c r="AR686">
        <v>0.06</v>
      </c>
      <c r="AS686">
        <v>0.06</v>
      </c>
      <c r="AT686">
        <v>16.02</v>
      </c>
      <c r="AU686">
        <v>5.63</v>
      </c>
      <c r="AV686">
        <v>0.2</v>
      </c>
      <c r="AW686">
        <v>1.43</v>
      </c>
      <c r="AX686">
        <v>2.58</v>
      </c>
      <c r="AY686">
        <v>3.3</v>
      </c>
      <c r="AZ686">
        <v>177.19499999999999</v>
      </c>
      <c r="BA686">
        <v>0</v>
      </c>
      <c r="BB686">
        <v>0</v>
      </c>
      <c r="BC686">
        <v>0</v>
      </c>
      <c r="BD686">
        <v>0</v>
      </c>
    </row>
    <row r="687" spans="1:56" x14ac:dyDescent="0.25">
      <c r="A687" s="23">
        <v>46304</v>
      </c>
      <c r="B687">
        <v>686</v>
      </c>
      <c r="C687" t="s">
        <v>82</v>
      </c>
      <c r="D687" t="s">
        <v>83</v>
      </c>
      <c r="E687">
        <v>2</v>
      </c>
      <c r="F687">
        <v>180</v>
      </c>
      <c r="G687">
        <v>1</v>
      </c>
      <c r="H687" t="s">
        <v>96</v>
      </c>
      <c r="I687" t="s">
        <v>78</v>
      </c>
      <c r="J687" t="s">
        <v>90</v>
      </c>
      <c r="K687" t="s">
        <v>86</v>
      </c>
      <c r="L687" t="s">
        <v>71</v>
      </c>
      <c r="M687" t="s">
        <v>87</v>
      </c>
      <c r="O687" t="s">
        <v>88</v>
      </c>
      <c r="P687" t="s">
        <v>27</v>
      </c>
      <c r="Q687" t="s">
        <v>73</v>
      </c>
      <c r="R687" t="s">
        <v>76</v>
      </c>
      <c r="S687" t="s">
        <v>74</v>
      </c>
      <c r="T687" t="s">
        <v>75</v>
      </c>
      <c r="X687" t="s">
        <v>77</v>
      </c>
      <c r="Z687" t="s">
        <v>72</v>
      </c>
      <c r="AA687" t="s">
        <v>94</v>
      </c>
      <c r="AB687">
        <v>5</v>
      </c>
      <c r="AC687">
        <v>748788.68</v>
      </c>
      <c r="AD687">
        <v>8930507.1799999997</v>
      </c>
      <c r="AE687">
        <v>194.25</v>
      </c>
      <c r="AF687">
        <v>748788.68</v>
      </c>
      <c r="AG687">
        <v>8930507.1799999997</v>
      </c>
      <c r="AH687">
        <v>179.4</v>
      </c>
      <c r="AI687">
        <v>14.85</v>
      </c>
      <c r="AJ687">
        <v>0.6</v>
      </c>
      <c r="AK687">
        <v>3.37</v>
      </c>
      <c r="AL687">
        <v>2.93</v>
      </c>
      <c r="AM687">
        <v>0</v>
      </c>
      <c r="AN687">
        <v>0</v>
      </c>
      <c r="AO687">
        <v>358</v>
      </c>
      <c r="AP687">
        <v>3.25</v>
      </c>
      <c r="AQ687">
        <v>0.41</v>
      </c>
      <c r="AR687">
        <v>0.05</v>
      </c>
      <c r="AS687">
        <v>0.04</v>
      </c>
      <c r="AT687">
        <v>13.18</v>
      </c>
      <c r="AU687">
        <v>5.38</v>
      </c>
      <c r="AV687">
        <v>0.17</v>
      </c>
      <c r="AW687">
        <v>2.11</v>
      </c>
      <c r="AX687">
        <v>1.34</v>
      </c>
      <c r="AY687">
        <v>3.3</v>
      </c>
      <c r="AZ687">
        <v>168.16800000000001</v>
      </c>
      <c r="BA687">
        <v>0</v>
      </c>
      <c r="BB687">
        <v>0</v>
      </c>
      <c r="BC687">
        <v>0</v>
      </c>
      <c r="BD687">
        <v>0</v>
      </c>
    </row>
    <row r="688" spans="1:56" x14ac:dyDescent="0.25">
      <c r="A688" s="23">
        <v>46304</v>
      </c>
      <c r="B688">
        <v>687</v>
      </c>
      <c r="C688" t="s">
        <v>82</v>
      </c>
      <c r="D688" t="s">
        <v>83</v>
      </c>
      <c r="E688">
        <v>2</v>
      </c>
      <c r="F688">
        <v>180</v>
      </c>
      <c r="G688">
        <v>1</v>
      </c>
      <c r="H688" t="s">
        <v>96</v>
      </c>
      <c r="I688" t="s">
        <v>78</v>
      </c>
      <c r="J688" t="s">
        <v>90</v>
      </c>
      <c r="K688" t="s">
        <v>86</v>
      </c>
      <c r="L688" t="s">
        <v>71</v>
      </c>
      <c r="M688" t="s">
        <v>87</v>
      </c>
      <c r="O688" t="s">
        <v>88</v>
      </c>
      <c r="P688" t="s">
        <v>27</v>
      </c>
      <c r="Q688" t="s">
        <v>73</v>
      </c>
      <c r="R688" t="s">
        <v>76</v>
      </c>
      <c r="S688" t="s">
        <v>74</v>
      </c>
      <c r="T688" t="s">
        <v>75</v>
      </c>
      <c r="X688" t="s">
        <v>77</v>
      </c>
      <c r="Z688" t="s">
        <v>72</v>
      </c>
      <c r="AA688" t="s">
        <v>94</v>
      </c>
      <c r="AB688">
        <v>5</v>
      </c>
      <c r="AC688">
        <v>748785.37</v>
      </c>
      <c r="AD688">
        <v>8930506.5700000003</v>
      </c>
      <c r="AE688">
        <v>194.28</v>
      </c>
      <c r="AF688">
        <v>748785.37</v>
      </c>
      <c r="AG688">
        <v>8930506.5700000003</v>
      </c>
      <c r="AH688">
        <v>179.4</v>
      </c>
      <c r="AI688">
        <v>14.88</v>
      </c>
      <c r="AJ688">
        <v>0.6</v>
      </c>
      <c r="AK688">
        <v>3.37</v>
      </c>
      <c r="AL688">
        <v>2.93</v>
      </c>
      <c r="AM688">
        <v>0</v>
      </c>
      <c r="AN688">
        <v>0</v>
      </c>
      <c r="AO688">
        <v>358</v>
      </c>
      <c r="AP688">
        <v>3.2</v>
      </c>
      <c r="AQ688">
        <v>0.31</v>
      </c>
      <c r="AR688">
        <v>0.04</v>
      </c>
      <c r="AS688">
        <v>0.03</v>
      </c>
      <c r="AT688">
        <v>10.77</v>
      </c>
      <c r="AU688">
        <v>4.84</v>
      </c>
      <c r="AV688">
        <v>0.11</v>
      </c>
      <c r="AW688">
        <v>2.41</v>
      </c>
      <c r="AX688">
        <v>0</v>
      </c>
      <c r="AY688">
        <v>3.3</v>
      </c>
      <c r="AZ688">
        <v>168.60499999999999</v>
      </c>
      <c r="BA688">
        <v>0</v>
      </c>
      <c r="BB688">
        <v>0</v>
      </c>
      <c r="BC688">
        <v>0</v>
      </c>
      <c r="BD688">
        <v>0</v>
      </c>
    </row>
    <row r="689" spans="1:56" x14ac:dyDescent="0.25">
      <c r="A689" s="23">
        <v>46304</v>
      </c>
      <c r="B689">
        <v>688</v>
      </c>
      <c r="C689" t="s">
        <v>82</v>
      </c>
      <c r="D689" t="s">
        <v>83</v>
      </c>
      <c r="E689">
        <v>2</v>
      </c>
      <c r="F689">
        <v>180</v>
      </c>
      <c r="G689">
        <v>1</v>
      </c>
      <c r="H689" t="s">
        <v>96</v>
      </c>
      <c r="I689" t="s">
        <v>78</v>
      </c>
      <c r="J689" t="s">
        <v>90</v>
      </c>
      <c r="K689" t="s">
        <v>86</v>
      </c>
      <c r="L689" t="s">
        <v>71</v>
      </c>
      <c r="M689" t="s">
        <v>87</v>
      </c>
      <c r="O689" t="s">
        <v>88</v>
      </c>
      <c r="P689" t="s">
        <v>27</v>
      </c>
      <c r="Q689" t="s">
        <v>73</v>
      </c>
      <c r="R689" t="s">
        <v>76</v>
      </c>
      <c r="S689" t="s">
        <v>74</v>
      </c>
      <c r="T689" t="s">
        <v>75</v>
      </c>
      <c r="X689" t="s">
        <v>77</v>
      </c>
      <c r="Z689" t="s">
        <v>72</v>
      </c>
      <c r="AA689" t="s">
        <v>94</v>
      </c>
      <c r="AB689">
        <v>5</v>
      </c>
      <c r="AC689">
        <v>748783.35</v>
      </c>
      <c r="AD689">
        <v>8930506.1400000006</v>
      </c>
      <c r="AE689">
        <v>194.45</v>
      </c>
      <c r="AF689">
        <v>748782.19</v>
      </c>
      <c r="AG689">
        <v>8930505.5199999996</v>
      </c>
      <c r="AH689">
        <v>179.4</v>
      </c>
      <c r="AI689">
        <v>15.1</v>
      </c>
      <c r="AJ689">
        <v>0.6</v>
      </c>
      <c r="AK689">
        <v>3.37</v>
      </c>
      <c r="AL689">
        <v>2.93</v>
      </c>
      <c r="AM689">
        <v>242</v>
      </c>
      <c r="AN689">
        <v>5</v>
      </c>
      <c r="AO689">
        <v>358</v>
      </c>
      <c r="AP689">
        <v>3.2</v>
      </c>
      <c r="AQ689">
        <v>0.31</v>
      </c>
      <c r="AR689">
        <v>0.04</v>
      </c>
      <c r="AS689">
        <v>0.03</v>
      </c>
      <c r="AT689">
        <v>10.92</v>
      </c>
      <c r="AU689">
        <v>4.83</v>
      </c>
      <c r="AV689">
        <v>0.12</v>
      </c>
      <c r="AW689">
        <v>2.44</v>
      </c>
      <c r="AX689">
        <v>0</v>
      </c>
      <c r="AY689">
        <v>3.3</v>
      </c>
      <c r="AZ689">
        <v>171.80799999999999</v>
      </c>
      <c r="BA689">
        <v>0</v>
      </c>
      <c r="BB689">
        <v>0</v>
      </c>
      <c r="BC689">
        <v>0</v>
      </c>
      <c r="BD689">
        <v>0</v>
      </c>
    </row>
    <row r="690" spans="1:56" x14ac:dyDescent="0.25">
      <c r="A690" s="23">
        <v>46304</v>
      </c>
      <c r="B690">
        <v>689</v>
      </c>
      <c r="C690" t="s">
        <v>82</v>
      </c>
      <c r="D690" t="s">
        <v>83</v>
      </c>
      <c r="E690">
        <v>2</v>
      </c>
      <c r="F690">
        <v>180</v>
      </c>
      <c r="G690">
        <v>0</v>
      </c>
      <c r="H690" t="s">
        <v>95</v>
      </c>
      <c r="I690" t="s">
        <v>78</v>
      </c>
      <c r="J690" t="s">
        <v>90</v>
      </c>
      <c r="K690" t="s">
        <v>86</v>
      </c>
      <c r="L690" t="s">
        <v>71</v>
      </c>
      <c r="M690" t="s">
        <v>87</v>
      </c>
      <c r="O690" t="s">
        <v>88</v>
      </c>
      <c r="P690" t="s">
        <v>27</v>
      </c>
      <c r="Q690" t="s">
        <v>73</v>
      </c>
      <c r="R690" t="s">
        <v>76</v>
      </c>
      <c r="S690" t="s">
        <v>74</v>
      </c>
      <c r="T690" t="s">
        <v>75</v>
      </c>
      <c r="X690" t="s">
        <v>77</v>
      </c>
      <c r="Z690" t="s">
        <v>72</v>
      </c>
      <c r="AA690" t="s">
        <v>94</v>
      </c>
      <c r="AB690">
        <v>5</v>
      </c>
      <c r="AC690">
        <v>748778.93</v>
      </c>
      <c r="AD690">
        <v>8930504.8300000001</v>
      </c>
      <c r="AE690">
        <v>190.38</v>
      </c>
      <c r="AF690">
        <v>748778.93</v>
      </c>
      <c r="AG690">
        <v>8930504.8300000001</v>
      </c>
      <c r="AH690">
        <v>179.4</v>
      </c>
      <c r="AI690">
        <v>10.98</v>
      </c>
      <c r="AJ690">
        <v>0.6</v>
      </c>
      <c r="AK690">
        <v>3.37</v>
      </c>
      <c r="AL690">
        <v>2.93</v>
      </c>
      <c r="AM690">
        <v>0</v>
      </c>
      <c r="AN690">
        <v>0</v>
      </c>
      <c r="AO690">
        <v>358</v>
      </c>
      <c r="AP690">
        <v>3.19</v>
      </c>
      <c r="AQ690">
        <v>0.32</v>
      </c>
      <c r="AR690">
        <v>0.04</v>
      </c>
      <c r="AS690">
        <v>0.03</v>
      </c>
      <c r="AT690">
        <v>10.73</v>
      </c>
      <c r="AU690">
        <v>4.74</v>
      </c>
      <c r="AV690">
        <v>0.13</v>
      </c>
      <c r="AW690">
        <v>2.48</v>
      </c>
      <c r="AX690">
        <v>0</v>
      </c>
      <c r="AY690">
        <v>3.3</v>
      </c>
      <c r="AZ690">
        <v>111.821</v>
      </c>
      <c r="BA690">
        <v>0</v>
      </c>
      <c r="BB690">
        <v>0</v>
      </c>
      <c r="BC690">
        <v>0</v>
      </c>
      <c r="BD690">
        <v>0</v>
      </c>
    </row>
    <row r="691" spans="1:56" x14ac:dyDescent="0.25">
      <c r="A691" s="23">
        <v>46304</v>
      </c>
      <c r="B691">
        <v>690</v>
      </c>
      <c r="C691" t="s">
        <v>82</v>
      </c>
      <c r="D691" t="s">
        <v>83</v>
      </c>
      <c r="E691">
        <v>2</v>
      </c>
      <c r="F691">
        <v>180</v>
      </c>
      <c r="G691">
        <v>0</v>
      </c>
      <c r="H691" t="s">
        <v>95</v>
      </c>
      <c r="I691" t="s">
        <v>78</v>
      </c>
      <c r="J691" t="s">
        <v>90</v>
      </c>
      <c r="K691" t="s">
        <v>86</v>
      </c>
      <c r="L691" t="s">
        <v>71</v>
      </c>
      <c r="M691" t="s">
        <v>87</v>
      </c>
      <c r="O691" t="s">
        <v>88</v>
      </c>
      <c r="P691" t="s">
        <v>27</v>
      </c>
      <c r="Q691" t="s">
        <v>73</v>
      </c>
      <c r="R691" t="s">
        <v>76</v>
      </c>
      <c r="S691" t="s">
        <v>74</v>
      </c>
      <c r="T691" t="s">
        <v>75</v>
      </c>
      <c r="X691" t="s">
        <v>77</v>
      </c>
      <c r="Z691" t="s">
        <v>72</v>
      </c>
      <c r="AA691" t="s">
        <v>94</v>
      </c>
      <c r="AB691">
        <v>5</v>
      </c>
      <c r="AC691">
        <v>748776.03</v>
      </c>
      <c r="AD691">
        <v>8930503.1600000001</v>
      </c>
      <c r="AE691">
        <v>190.35</v>
      </c>
      <c r="AF691">
        <v>748776.03</v>
      </c>
      <c r="AG691">
        <v>8930503.1600000001</v>
      </c>
      <c r="AH691">
        <v>179.4</v>
      </c>
      <c r="AI691">
        <v>10.95</v>
      </c>
      <c r="AJ691">
        <v>0.6</v>
      </c>
      <c r="AK691">
        <v>3.37</v>
      </c>
      <c r="AL691">
        <v>2.93</v>
      </c>
      <c r="AM691">
        <v>0</v>
      </c>
      <c r="AN691">
        <v>0</v>
      </c>
      <c r="AO691">
        <v>358</v>
      </c>
      <c r="AP691">
        <v>3.16</v>
      </c>
      <c r="AQ691">
        <v>0.27</v>
      </c>
      <c r="AR691">
        <v>0.04</v>
      </c>
      <c r="AS691">
        <v>0.03</v>
      </c>
      <c r="AT691">
        <v>9.07</v>
      </c>
      <c r="AU691">
        <v>3.84</v>
      </c>
      <c r="AV691">
        <v>0.11</v>
      </c>
      <c r="AW691">
        <v>1.95</v>
      </c>
      <c r="AX691">
        <v>0</v>
      </c>
      <c r="AY691">
        <v>3.3</v>
      </c>
      <c r="AZ691">
        <v>111.384</v>
      </c>
      <c r="BA691">
        <v>0</v>
      </c>
      <c r="BB691">
        <v>0</v>
      </c>
      <c r="BC691">
        <v>0</v>
      </c>
      <c r="BD691">
        <v>0</v>
      </c>
    </row>
    <row r="692" spans="1:56" x14ac:dyDescent="0.25">
      <c r="A692" s="23">
        <v>46304</v>
      </c>
      <c r="B692">
        <v>691</v>
      </c>
      <c r="C692" t="s">
        <v>82</v>
      </c>
      <c r="D692" t="s">
        <v>83</v>
      </c>
      <c r="E692">
        <v>2</v>
      </c>
      <c r="F692">
        <v>180</v>
      </c>
      <c r="G692">
        <v>0</v>
      </c>
      <c r="H692" t="s">
        <v>95</v>
      </c>
      <c r="I692" t="s">
        <v>78</v>
      </c>
      <c r="J692" t="s">
        <v>70</v>
      </c>
      <c r="K692" t="s">
        <v>86</v>
      </c>
      <c r="L692" t="s">
        <v>71</v>
      </c>
      <c r="M692" t="s">
        <v>87</v>
      </c>
      <c r="O692" t="s">
        <v>88</v>
      </c>
      <c r="P692" t="s">
        <v>27</v>
      </c>
      <c r="Q692" t="s">
        <v>73</v>
      </c>
      <c r="R692" t="s">
        <v>76</v>
      </c>
      <c r="S692" t="s">
        <v>74</v>
      </c>
      <c r="T692" t="s">
        <v>75</v>
      </c>
      <c r="X692" t="s">
        <v>77</v>
      </c>
      <c r="Z692" t="s">
        <v>72</v>
      </c>
      <c r="AA692" t="s">
        <v>94</v>
      </c>
      <c r="AB692">
        <v>5</v>
      </c>
      <c r="AC692">
        <v>748773.2</v>
      </c>
      <c r="AD692">
        <v>8930501.3399999999</v>
      </c>
      <c r="AE692">
        <v>190.33</v>
      </c>
      <c r="AF692">
        <v>748773.2</v>
      </c>
      <c r="AG692">
        <v>8930501.3399999999</v>
      </c>
      <c r="AH692">
        <v>179.4</v>
      </c>
      <c r="AI692">
        <v>10.93</v>
      </c>
      <c r="AJ692">
        <v>0.6</v>
      </c>
      <c r="AK692">
        <v>3.37</v>
      </c>
      <c r="AL692">
        <v>2.93</v>
      </c>
      <c r="AM692">
        <v>0</v>
      </c>
      <c r="AN692">
        <v>0</v>
      </c>
      <c r="AO692">
        <v>358</v>
      </c>
      <c r="AP692">
        <v>3.14</v>
      </c>
      <c r="AQ692">
        <v>0.22</v>
      </c>
      <c r="AR692">
        <v>0.03</v>
      </c>
      <c r="AS692">
        <v>0.02</v>
      </c>
      <c r="AT692">
        <v>7.32</v>
      </c>
      <c r="AU692">
        <v>2.89</v>
      </c>
      <c r="AV692">
        <v>0.1</v>
      </c>
      <c r="AW692">
        <v>1.34</v>
      </c>
      <c r="AX692">
        <v>0</v>
      </c>
      <c r="AY692">
        <v>3.3</v>
      </c>
      <c r="AZ692">
        <v>111.093</v>
      </c>
      <c r="BA692">
        <v>0</v>
      </c>
      <c r="BB692">
        <v>0</v>
      </c>
      <c r="BC692">
        <v>0</v>
      </c>
      <c r="BD692">
        <v>0</v>
      </c>
    </row>
    <row r="693" spans="1:56" x14ac:dyDescent="0.25">
      <c r="A693" s="23">
        <v>46304</v>
      </c>
      <c r="B693">
        <v>692</v>
      </c>
      <c r="C693" t="s">
        <v>82</v>
      </c>
      <c r="D693" t="s">
        <v>83</v>
      </c>
      <c r="E693">
        <v>2</v>
      </c>
      <c r="F693">
        <v>180</v>
      </c>
      <c r="G693">
        <v>0</v>
      </c>
      <c r="H693" t="s">
        <v>95</v>
      </c>
      <c r="I693" t="s">
        <v>78</v>
      </c>
      <c r="J693" t="s">
        <v>70</v>
      </c>
      <c r="K693" t="s">
        <v>86</v>
      </c>
      <c r="L693" t="s">
        <v>71</v>
      </c>
      <c r="M693" t="s">
        <v>87</v>
      </c>
      <c r="O693" t="s">
        <v>88</v>
      </c>
      <c r="P693" t="s">
        <v>27</v>
      </c>
      <c r="Q693" t="s">
        <v>73</v>
      </c>
      <c r="R693" t="s">
        <v>76</v>
      </c>
      <c r="S693" t="s">
        <v>74</v>
      </c>
      <c r="T693" t="s">
        <v>75</v>
      </c>
      <c r="X693" t="s">
        <v>77</v>
      </c>
      <c r="Z693" t="s">
        <v>72</v>
      </c>
      <c r="AA693" t="s">
        <v>94</v>
      </c>
      <c r="AB693">
        <v>5</v>
      </c>
      <c r="AC693">
        <v>748770.37</v>
      </c>
      <c r="AD693">
        <v>8930499.5099999998</v>
      </c>
      <c r="AE693">
        <v>190.24</v>
      </c>
      <c r="AF693">
        <v>748770.37</v>
      </c>
      <c r="AG693">
        <v>8930499.5099999998</v>
      </c>
      <c r="AH693">
        <v>179.4</v>
      </c>
      <c r="AI693">
        <v>10.84</v>
      </c>
      <c r="AJ693">
        <v>0.6</v>
      </c>
      <c r="AK693">
        <v>3.37</v>
      </c>
      <c r="AL693">
        <v>2.93</v>
      </c>
      <c r="AM693">
        <v>0</v>
      </c>
      <c r="AN693">
        <v>0</v>
      </c>
      <c r="AO693">
        <v>358</v>
      </c>
      <c r="AP693">
        <v>3.11</v>
      </c>
      <c r="AQ693">
        <v>0.16</v>
      </c>
      <c r="AR693">
        <v>0.02</v>
      </c>
      <c r="AS693">
        <v>0.02</v>
      </c>
      <c r="AT693">
        <v>5.46</v>
      </c>
      <c r="AU693">
        <v>1.92</v>
      </c>
      <c r="AV693">
        <v>0.09</v>
      </c>
      <c r="AW693">
        <v>0.69</v>
      </c>
      <c r="AX693">
        <v>0</v>
      </c>
      <c r="AY693">
        <v>3.3</v>
      </c>
      <c r="AZ693">
        <v>109.782</v>
      </c>
      <c r="BA693">
        <v>0</v>
      </c>
      <c r="BB693">
        <v>0</v>
      </c>
      <c r="BC693">
        <v>0</v>
      </c>
      <c r="BD693">
        <v>0</v>
      </c>
    </row>
    <row r="694" spans="1:56" x14ac:dyDescent="0.25">
      <c r="A694" s="23">
        <v>46304</v>
      </c>
      <c r="B694">
        <v>693</v>
      </c>
      <c r="C694" t="s">
        <v>82</v>
      </c>
      <c r="D694" t="s">
        <v>83</v>
      </c>
      <c r="E694">
        <v>2</v>
      </c>
      <c r="F694">
        <v>180</v>
      </c>
      <c r="G694">
        <v>0</v>
      </c>
      <c r="H694" t="s">
        <v>95</v>
      </c>
      <c r="I694" t="s">
        <v>78</v>
      </c>
      <c r="J694" t="s">
        <v>70</v>
      </c>
      <c r="K694" t="s">
        <v>86</v>
      </c>
      <c r="L694" t="s">
        <v>71</v>
      </c>
      <c r="M694" t="s">
        <v>87</v>
      </c>
      <c r="O694" t="s">
        <v>88</v>
      </c>
      <c r="P694" t="s">
        <v>27</v>
      </c>
      <c r="Q694" t="s">
        <v>73</v>
      </c>
      <c r="R694" t="s">
        <v>76</v>
      </c>
      <c r="S694" t="s">
        <v>74</v>
      </c>
      <c r="T694" t="s">
        <v>75</v>
      </c>
      <c r="X694" t="s">
        <v>77</v>
      </c>
      <c r="Z694" t="s">
        <v>72</v>
      </c>
      <c r="AA694" t="s">
        <v>94</v>
      </c>
      <c r="AB694">
        <v>5</v>
      </c>
      <c r="AC694">
        <v>748767.53</v>
      </c>
      <c r="AD694">
        <v>8930497.6899999995</v>
      </c>
      <c r="AE694">
        <v>190.18</v>
      </c>
      <c r="AF694">
        <v>748767.53</v>
      </c>
      <c r="AG694">
        <v>8930497.6899999995</v>
      </c>
      <c r="AH694">
        <v>179.4</v>
      </c>
      <c r="AI694">
        <v>10.78</v>
      </c>
      <c r="AJ694">
        <v>0.6</v>
      </c>
      <c r="AK694">
        <v>3.37</v>
      </c>
      <c r="AL694">
        <v>2.93</v>
      </c>
      <c r="AM694">
        <v>0</v>
      </c>
      <c r="AN694">
        <v>0</v>
      </c>
      <c r="AO694">
        <v>358</v>
      </c>
      <c r="AP694">
        <v>3.09</v>
      </c>
      <c r="AQ694">
        <v>0.17</v>
      </c>
      <c r="AR694">
        <v>0.02</v>
      </c>
      <c r="AS694">
        <v>0.02</v>
      </c>
      <c r="AT694">
        <v>5.57</v>
      </c>
      <c r="AU694">
        <v>1.82</v>
      </c>
      <c r="AV694">
        <v>0.11</v>
      </c>
      <c r="AW694">
        <v>0.48</v>
      </c>
      <c r="AX694">
        <v>0</v>
      </c>
      <c r="AY694">
        <v>3.3</v>
      </c>
      <c r="AZ694">
        <v>108.90900000000001</v>
      </c>
      <c r="BA694">
        <v>0</v>
      </c>
      <c r="BB694">
        <v>0</v>
      </c>
      <c r="BC694">
        <v>0</v>
      </c>
      <c r="BD694">
        <v>0</v>
      </c>
    </row>
    <row r="695" spans="1:56" x14ac:dyDescent="0.25">
      <c r="A695" s="23">
        <v>46304</v>
      </c>
      <c r="B695">
        <v>694</v>
      </c>
      <c r="C695" t="s">
        <v>82</v>
      </c>
      <c r="D695" t="s">
        <v>83</v>
      </c>
      <c r="E695">
        <v>2</v>
      </c>
      <c r="F695">
        <v>180</v>
      </c>
      <c r="G695">
        <v>0</v>
      </c>
      <c r="H695" t="s">
        <v>95</v>
      </c>
      <c r="I695" t="s">
        <v>78</v>
      </c>
      <c r="J695" t="s">
        <v>70</v>
      </c>
      <c r="K695" t="s">
        <v>86</v>
      </c>
      <c r="L695" t="s">
        <v>71</v>
      </c>
      <c r="M695" t="s">
        <v>87</v>
      </c>
      <c r="O695" t="s">
        <v>88</v>
      </c>
      <c r="P695" t="s">
        <v>27</v>
      </c>
      <c r="Q695" t="s">
        <v>73</v>
      </c>
      <c r="R695" t="s">
        <v>76</v>
      </c>
      <c r="S695" t="s">
        <v>74</v>
      </c>
      <c r="T695" t="s">
        <v>75</v>
      </c>
      <c r="X695" t="s">
        <v>77</v>
      </c>
      <c r="Z695" t="s">
        <v>72</v>
      </c>
      <c r="AA695" t="s">
        <v>94</v>
      </c>
      <c r="AB695">
        <v>5</v>
      </c>
      <c r="AC695">
        <v>748764.7</v>
      </c>
      <c r="AD695">
        <v>8930495.8599999994</v>
      </c>
      <c r="AE695">
        <v>190.18</v>
      </c>
      <c r="AF695">
        <v>748764.7</v>
      </c>
      <c r="AG695">
        <v>8930495.8599999994</v>
      </c>
      <c r="AH695">
        <v>179.4</v>
      </c>
      <c r="AI695">
        <v>10.78</v>
      </c>
      <c r="AJ695">
        <v>0.6</v>
      </c>
      <c r="AK695">
        <v>3.37</v>
      </c>
      <c r="AL695">
        <v>2.93</v>
      </c>
      <c r="AM695">
        <v>0</v>
      </c>
      <c r="AN695">
        <v>0</v>
      </c>
      <c r="AO695">
        <v>358</v>
      </c>
      <c r="AP695">
        <v>3.12</v>
      </c>
      <c r="AQ695">
        <v>0.22</v>
      </c>
      <c r="AR695">
        <v>0.03</v>
      </c>
      <c r="AS695">
        <v>0.03</v>
      </c>
      <c r="AT695">
        <v>7.23</v>
      </c>
      <c r="AU695">
        <v>2.35</v>
      </c>
      <c r="AV695">
        <v>0.15</v>
      </c>
      <c r="AW695">
        <v>0.6</v>
      </c>
      <c r="AX695">
        <v>0</v>
      </c>
      <c r="AY695">
        <v>3.3</v>
      </c>
      <c r="AZ695">
        <v>108.90900000000001</v>
      </c>
      <c r="BA695">
        <v>0</v>
      </c>
      <c r="BB695">
        <v>0</v>
      </c>
      <c r="BC695">
        <v>0</v>
      </c>
      <c r="BD695">
        <v>0</v>
      </c>
    </row>
    <row r="696" spans="1:56" x14ac:dyDescent="0.25">
      <c r="A696" s="23">
        <v>46304</v>
      </c>
      <c r="B696">
        <v>695</v>
      </c>
      <c r="C696" t="s">
        <v>82</v>
      </c>
      <c r="D696" t="s">
        <v>83</v>
      </c>
      <c r="E696">
        <v>2</v>
      </c>
      <c r="F696">
        <v>180</v>
      </c>
      <c r="G696">
        <v>0</v>
      </c>
      <c r="H696" t="s">
        <v>95</v>
      </c>
      <c r="I696" t="s">
        <v>78</v>
      </c>
      <c r="J696" t="s">
        <v>85</v>
      </c>
      <c r="K696" t="s">
        <v>86</v>
      </c>
      <c r="L696" t="s">
        <v>71</v>
      </c>
      <c r="M696" t="s">
        <v>87</v>
      </c>
      <c r="O696" t="s">
        <v>88</v>
      </c>
      <c r="P696" t="s">
        <v>27</v>
      </c>
      <c r="Q696" t="s">
        <v>73</v>
      </c>
      <c r="R696" t="s">
        <v>76</v>
      </c>
      <c r="S696" t="s">
        <v>74</v>
      </c>
      <c r="T696" t="s">
        <v>75</v>
      </c>
      <c r="X696" t="s">
        <v>77</v>
      </c>
      <c r="Z696" t="s">
        <v>72</v>
      </c>
      <c r="AA696" t="s">
        <v>94</v>
      </c>
      <c r="AB696">
        <v>5</v>
      </c>
      <c r="AC696">
        <v>748761.87</v>
      </c>
      <c r="AD696">
        <v>8930494.0399999991</v>
      </c>
      <c r="AE696">
        <v>190.09</v>
      </c>
      <c r="AF696">
        <v>748761.87</v>
      </c>
      <c r="AG696">
        <v>8930494.0399999991</v>
      </c>
      <c r="AH696">
        <v>179.4</v>
      </c>
      <c r="AI696">
        <v>10.69</v>
      </c>
      <c r="AJ696">
        <v>0.6</v>
      </c>
      <c r="AK696">
        <v>3.37</v>
      </c>
      <c r="AL696">
        <v>2.93</v>
      </c>
      <c r="AM696">
        <v>0</v>
      </c>
      <c r="AN696">
        <v>0</v>
      </c>
      <c r="AO696">
        <v>358</v>
      </c>
      <c r="AP696">
        <v>3.16</v>
      </c>
      <c r="AQ696">
        <v>0.28999999999999998</v>
      </c>
      <c r="AR696">
        <v>0.04</v>
      </c>
      <c r="AS696">
        <v>0.04</v>
      </c>
      <c r="AT696">
        <v>9.35</v>
      </c>
      <c r="AU696">
        <v>3.03</v>
      </c>
      <c r="AV696">
        <v>0.19</v>
      </c>
      <c r="AW696">
        <v>0.78</v>
      </c>
      <c r="AX696">
        <v>0.1</v>
      </c>
      <c r="AY696">
        <v>3.3</v>
      </c>
      <c r="AZ696">
        <v>107.598</v>
      </c>
      <c r="BA696">
        <v>0</v>
      </c>
      <c r="BB696">
        <v>0</v>
      </c>
      <c r="BC696">
        <v>0</v>
      </c>
      <c r="BD696">
        <v>0</v>
      </c>
    </row>
    <row r="697" spans="1:56" x14ac:dyDescent="0.25">
      <c r="A697" s="23">
        <v>46304</v>
      </c>
      <c r="B697">
        <v>696</v>
      </c>
      <c r="C697" t="s">
        <v>82</v>
      </c>
      <c r="D697" t="s">
        <v>83</v>
      </c>
      <c r="E697">
        <v>2</v>
      </c>
      <c r="F697">
        <v>180</v>
      </c>
      <c r="G697">
        <v>1</v>
      </c>
      <c r="H697" t="s">
        <v>95</v>
      </c>
      <c r="I697" t="s">
        <v>91</v>
      </c>
      <c r="J697" t="s">
        <v>85</v>
      </c>
      <c r="K697" t="s">
        <v>86</v>
      </c>
      <c r="L697" t="s">
        <v>71</v>
      </c>
      <c r="M697" t="s">
        <v>87</v>
      </c>
      <c r="O697" t="s">
        <v>88</v>
      </c>
      <c r="P697" t="s">
        <v>27</v>
      </c>
      <c r="Q697" t="s">
        <v>73</v>
      </c>
      <c r="R697" t="s">
        <v>76</v>
      </c>
      <c r="S697" t="s">
        <v>74</v>
      </c>
      <c r="T697" t="s">
        <v>75</v>
      </c>
      <c r="X697" t="s">
        <v>77</v>
      </c>
      <c r="Z697" t="s">
        <v>72</v>
      </c>
      <c r="AA697" t="s">
        <v>94</v>
      </c>
      <c r="AB697">
        <v>5</v>
      </c>
      <c r="AC697">
        <v>748759.03</v>
      </c>
      <c r="AD697">
        <v>8930492.2100000009</v>
      </c>
      <c r="AE697">
        <v>190.03</v>
      </c>
      <c r="AF697">
        <v>748759.03</v>
      </c>
      <c r="AG697">
        <v>8930492.2100000009</v>
      </c>
      <c r="AH697">
        <v>179.4</v>
      </c>
      <c r="AI697">
        <v>10.63</v>
      </c>
      <c r="AJ697">
        <v>0.6</v>
      </c>
      <c r="AK697">
        <v>3.37</v>
      </c>
      <c r="AL697">
        <v>2.93</v>
      </c>
      <c r="AM697">
        <v>0</v>
      </c>
      <c r="AN697">
        <v>0</v>
      </c>
      <c r="AO697">
        <v>358</v>
      </c>
      <c r="AP697">
        <v>3.24</v>
      </c>
      <c r="AQ697">
        <v>0.36</v>
      </c>
      <c r="AR697">
        <v>0.05</v>
      </c>
      <c r="AS697">
        <v>0.05</v>
      </c>
      <c r="AT697">
        <v>12.11</v>
      </c>
      <c r="AU697">
        <v>3.84</v>
      </c>
      <c r="AV697">
        <v>0.23</v>
      </c>
      <c r="AW697">
        <v>1.04</v>
      </c>
      <c r="AX697">
        <v>4.5599999999999996</v>
      </c>
      <c r="AY697">
        <v>3.3</v>
      </c>
      <c r="AZ697">
        <v>106.72499999999999</v>
      </c>
      <c r="BA697">
        <v>0</v>
      </c>
      <c r="BB697">
        <v>0</v>
      </c>
      <c r="BC697">
        <v>0</v>
      </c>
      <c r="BD697">
        <v>0</v>
      </c>
    </row>
    <row r="698" spans="1:56" x14ac:dyDescent="0.25">
      <c r="A698" s="23">
        <v>46304</v>
      </c>
      <c r="B698">
        <v>697</v>
      </c>
      <c r="C698" t="s">
        <v>82</v>
      </c>
      <c r="D698" t="s">
        <v>83</v>
      </c>
      <c r="E698">
        <v>2</v>
      </c>
      <c r="F698">
        <v>180</v>
      </c>
      <c r="G698">
        <v>1</v>
      </c>
      <c r="H698" t="s">
        <v>95</v>
      </c>
      <c r="I698" t="s">
        <v>91</v>
      </c>
      <c r="J698" t="s">
        <v>85</v>
      </c>
      <c r="K698" t="s">
        <v>86</v>
      </c>
      <c r="L698" t="s">
        <v>71</v>
      </c>
      <c r="M698" t="s">
        <v>87</v>
      </c>
      <c r="O698" t="s">
        <v>88</v>
      </c>
      <c r="P698" t="s">
        <v>27</v>
      </c>
      <c r="Q698" t="s">
        <v>73</v>
      </c>
      <c r="R698" t="s">
        <v>76</v>
      </c>
      <c r="S698" t="s">
        <v>74</v>
      </c>
      <c r="T698" t="s">
        <v>75</v>
      </c>
      <c r="X698" t="s">
        <v>77</v>
      </c>
      <c r="Z698" t="s">
        <v>72</v>
      </c>
      <c r="AA698" t="s">
        <v>94</v>
      </c>
      <c r="AB698">
        <v>5</v>
      </c>
      <c r="AC698">
        <v>748756.23</v>
      </c>
      <c r="AD698">
        <v>8930490.3499999996</v>
      </c>
      <c r="AE698">
        <v>190.01</v>
      </c>
      <c r="AF698">
        <v>748756.23</v>
      </c>
      <c r="AG698">
        <v>8930490.3499999996</v>
      </c>
      <c r="AH698">
        <v>179.4</v>
      </c>
      <c r="AI698">
        <v>10.61</v>
      </c>
      <c r="AJ698">
        <v>0.6</v>
      </c>
      <c r="AK698">
        <v>3.37</v>
      </c>
      <c r="AL698">
        <v>2.93</v>
      </c>
      <c r="AM698">
        <v>0</v>
      </c>
      <c r="AN698">
        <v>0</v>
      </c>
      <c r="AO698">
        <v>358</v>
      </c>
      <c r="AP698">
        <v>3.32</v>
      </c>
      <c r="AQ698">
        <v>0.49</v>
      </c>
      <c r="AR698">
        <v>7.0000000000000007E-2</v>
      </c>
      <c r="AS698">
        <v>0.06</v>
      </c>
      <c r="AT698">
        <v>15.98</v>
      </c>
      <c r="AU698">
        <v>5</v>
      </c>
      <c r="AV698">
        <v>0.28999999999999998</v>
      </c>
      <c r="AW698">
        <v>1.47</v>
      </c>
      <c r="AX698">
        <v>7.59</v>
      </c>
      <c r="AY698">
        <v>3.3</v>
      </c>
      <c r="AZ698">
        <v>106.434</v>
      </c>
      <c r="BA698">
        <v>0</v>
      </c>
      <c r="BB698">
        <v>0</v>
      </c>
      <c r="BC698">
        <v>0</v>
      </c>
      <c r="BD698">
        <v>0</v>
      </c>
    </row>
    <row r="699" spans="1:56" x14ac:dyDescent="0.25">
      <c r="A699" s="23">
        <v>46304</v>
      </c>
      <c r="B699">
        <v>698</v>
      </c>
      <c r="C699" t="s">
        <v>82</v>
      </c>
      <c r="D699" t="s">
        <v>83</v>
      </c>
      <c r="E699">
        <v>2</v>
      </c>
      <c r="F699">
        <v>180</v>
      </c>
      <c r="G699">
        <v>1</v>
      </c>
      <c r="H699" t="s">
        <v>95</v>
      </c>
      <c r="I699" t="s">
        <v>91</v>
      </c>
      <c r="J699" t="s">
        <v>85</v>
      </c>
      <c r="K699" t="s">
        <v>86</v>
      </c>
      <c r="L699" t="s">
        <v>71</v>
      </c>
      <c r="M699" t="s">
        <v>87</v>
      </c>
      <c r="O699" t="s">
        <v>88</v>
      </c>
      <c r="P699" t="s">
        <v>27</v>
      </c>
      <c r="Q699" t="s">
        <v>73</v>
      </c>
      <c r="R699" t="s">
        <v>76</v>
      </c>
      <c r="S699" t="s">
        <v>74</v>
      </c>
      <c r="T699" t="s">
        <v>75</v>
      </c>
      <c r="X699" t="s">
        <v>77</v>
      </c>
      <c r="Z699" t="s">
        <v>72</v>
      </c>
      <c r="AA699" t="s">
        <v>94</v>
      </c>
      <c r="AB699">
        <v>5</v>
      </c>
      <c r="AC699">
        <v>748753.51</v>
      </c>
      <c r="AD699">
        <v>8930488.3699999992</v>
      </c>
      <c r="AE699">
        <v>190.08</v>
      </c>
      <c r="AF699">
        <v>748753.51</v>
      </c>
      <c r="AG699">
        <v>8930488.3699999992</v>
      </c>
      <c r="AH699">
        <v>179.4</v>
      </c>
      <c r="AI699">
        <v>10.68</v>
      </c>
      <c r="AJ699">
        <v>0.6</v>
      </c>
      <c r="AK699">
        <v>3.37</v>
      </c>
      <c r="AL699">
        <v>2.93</v>
      </c>
      <c r="AM699">
        <v>0</v>
      </c>
      <c r="AN699">
        <v>0</v>
      </c>
      <c r="AO699">
        <v>358</v>
      </c>
      <c r="AP699">
        <v>3.37</v>
      </c>
      <c r="AQ699">
        <v>0.6</v>
      </c>
      <c r="AR699">
        <v>0.08</v>
      </c>
      <c r="AS699">
        <v>7.0000000000000007E-2</v>
      </c>
      <c r="AT699">
        <v>18.66</v>
      </c>
      <c r="AU699">
        <v>5.78</v>
      </c>
      <c r="AV699">
        <v>0.33</v>
      </c>
      <c r="AW699">
        <v>1.84</v>
      </c>
      <c r="AX699">
        <v>8.91</v>
      </c>
      <c r="AY699">
        <v>3.3</v>
      </c>
      <c r="AZ699">
        <v>107.453</v>
      </c>
      <c r="BA699">
        <v>0</v>
      </c>
      <c r="BB699">
        <v>0</v>
      </c>
      <c r="BC699">
        <v>0</v>
      </c>
      <c r="BD699">
        <v>0</v>
      </c>
    </row>
    <row r="700" spans="1:56" x14ac:dyDescent="0.25">
      <c r="A700" s="23">
        <v>46304</v>
      </c>
      <c r="B700">
        <v>699</v>
      </c>
      <c r="C700" t="s">
        <v>82</v>
      </c>
      <c r="D700" t="s">
        <v>83</v>
      </c>
      <c r="E700">
        <v>2</v>
      </c>
      <c r="F700">
        <v>180</v>
      </c>
      <c r="G700">
        <v>1</v>
      </c>
      <c r="H700" t="s">
        <v>95</v>
      </c>
      <c r="I700" t="s">
        <v>91</v>
      </c>
      <c r="J700" t="s">
        <v>85</v>
      </c>
      <c r="K700" t="s">
        <v>86</v>
      </c>
      <c r="L700" t="s">
        <v>71</v>
      </c>
      <c r="M700" t="s">
        <v>87</v>
      </c>
      <c r="O700" t="s">
        <v>88</v>
      </c>
      <c r="P700" t="s">
        <v>27</v>
      </c>
      <c r="Q700" t="s">
        <v>73</v>
      </c>
      <c r="R700" t="s">
        <v>76</v>
      </c>
      <c r="S700" t="s">
        <v>74</v>
      </c>
      <c r="T700" t="s">
        <v>75</v>
      </c>
      <c r="X700" t="s">
        <v>77</v>
      </c>
      <c r="Z700" t="s">
        <v>72</v>
      </c>
      <c r="AA700" t="s">
        <v>94</v>
      </c>
      <c r="AB700">
        <v>5</v>
      </c>
      <c r="AC700">
        <v>748750.83</v>
      </c>
      <c r="AD700">
        <v>8930486.3200000003</v>
      </c>
      <c r="AE700">
        <v>190.09</v>
      </c>
      <c r="AF700">
        <v>748750.83</v>
      </c>
      <c r="AG700">
        <v>8930486.3200000003</v>
      </c>
      <c r="AH700">
        <v>179.4</v>
      </c>
      <c r="AI700">
        <v>10.69</v>
      </c>
      <c r="AJ700">
        <v>0.6</v>
      </c>
      <c r="AK700">
        <v>3.37</v>
      </c>
      <c r="AL700">
        <v>2.93</v>
      </c>
      <c r="AM700">
        <v>0</v>
      </c>
      <c r="AN700">
        <v>0</v>
      </c>
      <c r="AO700">
        <v>358</v>
      </c>
      <c r="AP700">
        <v>3.37</v>
      </c>
      <c r="AQ700">
        <v>0.64</v>
      </c>
      <c r="AR700">
        <v>0.08</v>
      </c>
      <c r="AS700">
        <v>0.08</v>
      </c>
      <c r="AT700">
        <v>19.53</v>
      </c>
      <c r="AU700">
        <v>5.82</v>
      </c>
      <c r="AV700">
        <v>0.34</v>
      </c>
      <c r="AW700">
        <v>1.89</v>
      </c>
      <c r="AX700">
        <v>8.5399999999999991</v>
      </c>
      <c r="AY700">
        <v>3.3</v>
      </c>
      <c r="AZ700">
        <v>107.598</v>
      </c>
      <c r="BA700">
        <v>0</v>
      </c>
      <c r="BB700">
        <v>0</v>
      </c>
      <c r="BC700">
        <v>0</v>
      </c>
      <c r="BD700">
        <v>0</v>
      </c>
    </row>
    <row r="701" spans="1:56" x14ac:dyDescent="0.25">
      <c r="A701" s="23">
        <v>46304</v>
      </c>
      <c r="B701">
        <v>700</v>
      </c>
      <c r="C701" t="s">
        <v>82</v>
      </c>
      <c r="D701" t="s">
        <v>83</v>
      </c>
      <c r="E701">
        <v>2</v>
      </c>
      <c r="F701">
        <v>180</v>
      </c>
      <c r="G701">
        <v>1</v>
      </c>
      <c r="H701" t="s">
        <v>95</v>
      </c>
      <c r="I701" t="s">
        <v>91</v>
      </c>
      <c r="J701" t="s">
        <v>97</v>
      </c>
      <c r="K701" t="s">
        <v>86</v>
      </c>
      <c r="L701" t="s">
        <v>71</v>
      </c>
      <c r="M701" t="s">
        <v>87</v>
      </c>
      <c r="O701" t="s">
        <v>88</v>
      </c>
      <c r="P701" t="s">
        <v>27</v>
      </c>
      <c r="Q701" t="s">
        <v>73</v>
      </c>
      <c r="R701" t="s">
        <v>76</v>
      </c>
      <c r="S701" t="s">
        <v>74</v>
      </c>
      <c r="T701" t="s">
        <v>75</v>
      </c>
      <c r="X701" t="s">
        <v>77</v>
      </c>
      <c r="Z701" t="s">
        <v>72</v>
      </c>
      <c r="AA701" t="s">
        <v>94</v>
      </c>
      <c r="AB701">
        <v>5</v>
      </c>
      <c r="AC701">
        <v>748748.15</v>
      </c>
      <c r="AD701">
        <v>8930484.2699999996</v>
      </c>
      <c r="AE701">
        <v>190.04</v>
      </c>
      <c r="AF701">
        <v>748748.15</v>
      </c>
      <c r="AG701">
        <v>8930484.2699999996</v>
      </c>
      <c r="AH701">
        <v>179.4</v>
      </c>
      <c r="AI701">
        <v>10.64</v>
      </c>
      <c r="AJ701">
        <v>0.6</v>
      </c>
      <c r="AK701">
        <v>3.37</v>
      </c>
      <c r="AL701">
        <v>2.93</v>
      </c>
      <c r="AM701">
        <v>0</v>
      </c>
      <c r="AN701">
        <v>0</v>
      </c>
      <c r="AO701">
        <v>358</v>
      </c>
      <c r="AP701">
        <v>3.37</v>
      </c>
      <c r="AQ701">
        <v>0.73</v>
      </c>
      <c r="AR701">
        <v>0.1</v>
      </c>
      <c r="AS701">
        <v>0.09</v>
      </c>
      <c r="AT701">
        <v>21.57</v>
      </c>
      <c r="AU701">
        <v>5.84</v>
      </c>
      <c r="AV701">
        <v>0.37</v>
      </c>
      <c r="AW701">
        <v>1.96</v>
      </c>
      <c r="AX701">
        <v>7.33</v>
      </c>
      <c r="AY701">
        <v>3.3</v>
      </c>
      <c r="AZ701">
        <v>106.87</v>
      </c>
      <c r="BA701">
        <v>0</v>
      </c>
      <c r="BB701">
        <v>0</v>
      </c>
      <c r="BC701">
        <v>0</v>
      </c>
      <c r="BD701">
        <v>0</v>
      </c>
    </row>
    <row r="702" spans="1:56" x14ac:dyDescent="0.25">
      <c r="A702" s="23">
        <v>46304</v>
      </c>
      <c r="B702">
        <v>701</v>
      </c>
      <c r="C702" t="s">
        <v>82</v>
      </c>
      <c r="D702" t="s">
        <v>83</v>
      </c>
      <c r="E702">
        <v>2</v>
      </c>
      <c r="F702">
        <v>180</v>
      </c>
      <c r="G702">
        <v>1</v>
      </c>
      <c r="H702" t="s">
        <v>95</v>
      </c>
      <c r="I702" t="s">
        <v>91</v>
      </c>
      <c r="J702" t="s">
        <v>97</v>
      </c>
      <c r="K702" t="s">
        <v>86</v>
      </c>
      <c r="L702" t="s">
        <v>71</v>
      </c>
      <c r="M702" t="s">
        <v>87</v>
      </c>
      <c r="O702" t="s">
        <v>88</v>
      </c>
      <c r="P702" t="s">
        <v>27</v>
      </c>
      <c r="Q702" t="s">
        <v>73</v>
      </c>
      <c r="R702" t="s">
        <v>76</v>
      </c>
      <c r="S702" t="s">
        <v>74</v>
      </c>
      <c r="T702" t="s">
        <v>75</v>
      </c>
      <c r="X702" t="s">
        <v>77</v>
      </c>
      <c r="Z702" t="s">
        <v>72</v>
      </c>
      <c r="AA702" t="s">
        <v>94</v>
      </c>
      <c r="AB702">
        <v>5</v>
      </c>
      <c r="AC702">
        <v>748745.47</v>
      </c>
      <c r="AD702">
        <v>8930482.2300000004</v>
      </c>
      <c r="AE702">
        <v>189.89</v>
      </c>
      <c r="AF702">
        <v>748745.47</v>
      </c>
      <c r="AG702">
        <v>8930482.2300000004</v>
      </c>
      <c r="AH702">
        <v>179.4</v>
      </c>
      <c r="AI702">
        <v>10.49</v>
      </c>
      <c r="AJ702">
        <v>0.6</v>
      </c>
      <c r="AK702">
        <v>3.37</v>
      </c>
      <c r="AL702">
        <v>2.93</v>
      </c>
      <c r="AM702">
        <v>0</v>
      </c>
      <c r="AN702">
        <v>0</v>
      </c>
      <c r="AO702">
        <v>358</v>
      </c>
      <c r="AP702">
        <v>3.37</v>
      </c>
      <c r="AQ702">
        <v>0.74</v>
      </c>
      <c r="AR702">
        <v>0.1</v>
      </c>
      <c r="AS702">
        <v>0.09</v>
      </c>
      <c r="AT702">
        <v>21.64</v>
      </c>
      <c r="AU702">
        <v>5.84</v>
      </c>
      <c r="AV702">
        <v>0.38</v>
      </c>
      <c r="AW702">
        <v>1.96</v>
      </c>
      <c r="AX702">
        <v>7.29</v>
      </c>
      <c r="AY702">
        <v>3.3</v>
      </c>
      <c r="AZ702">
        <v>104.68600000000001</v>
      </c>
      <c r="BA702">
        <v>0</v>
      </c>
      <c r="BB702">
        <v>0</v>
      </c>
      <c r="BC702">
        <v>0</v>
      </c>
      <c r="BD702">
        <v>0</v>
      </c>
    </row>
    <row r="703" spans="1:56" x14ac:dyDescent="0.25">
      <c r="A703" s="23">
        <v>46304</v>
      </c>
      <c r="B703">
        <v>702</v>
      </c>
      <c r="C703" t="s">
        <v>82</v>
      </c>
      <c r="D703" t="s">
        <v>83</v>
      </c>
      <c r="E703">
        <v>2</v>
      </c>
      <c r="F703">
        <v>180</v>
      </c>
      <c r="G703">
        <v>1</v>
      </c>
      <c r="H703" t="s">
        <v>95</v>
      </c>
      <c r="I703" t="s">
        <v>91</v>
      </c>
      <c r="J703" t="s">
        <v>97</v>
      </c>
      <c r="K703" t="s">
        <v>86</v>
      </c>
      <c r="L703" t="s">
        <v>71</v>
      </c>
      <c r="M703" t="s">
        <v>87</v>
      </c>
      <c r="O703" t="s">
        <v>88</v>
      </c>
      <c r="P703" t="s">
        <v>27</v>
      </c>
      <c r="Q703" t="s">
        <v>73</v>
      </c>
      <c r="R703" t="s">
        <v>76</v>
      </c>
      <c r="S703" t="s">
        <v>74</v>
      </c>
      <c r="T703" t="s">
        <v>75</v>
      </c>
      <c r="X703" t="s">
        <v>77</v>
      </c>
      <c r="Z703" t="s">
        <v>72</v>
      </c>
      <c r="AA703" t="s">
        <v>94</v>
      </c>
      <c r="AB703">
        <v>5</v>
      </c>
      <c r="AC703">
        <v>748742.8</v>
      </c>
      <c r="AD703">
        <v>8930480.1799999997</v>
      </c>
      <c r="AE703">
        <v>189.78</v>
      </c>
      <c r="AF703">
        <v>748742.8</v>
      </c>
      <c r="AG703">
        <v>8930480.1799999997</v>
      </c>
      <c r="AH703">
        <v>179.4</v>
      </c>
      <c r="AI703">
        <v>10.38</v>
      </c>
      <c r="AJ703">
        <v>0.6</v>
      </c>
      <c r="AK703">
        <v>3.37</v>
      </c>
      <c r="AL703">
        <v>2.93</v>
      </c>
      <c r="AM703">
        <v>0</v>
      </c>
      <c r="AN703">
        <v>0</v>
      </c>
      <c r="AO703">
        <v>358</v>
      </c>
      <c r="AP703">
        <v>3.4</v>
      </c>
      <c r="AQ703">
        <v>0.73</v>
      </c>
      <c r="AR703">
        <v>0.1</v>
      </c>
      <c r="AS703">
        <v>0.09</v>
      </c>
      <c r="AT703">
        <v>21.23</v>
      </c>
      <c r="AU703">
        <v>5.74</v>
      </c>
      <c r="AV703">
        <v>0.37</v>
      </c>
      <c r="AW703">
        <v>1.96</v>
      </c>
      <c r="AX703">
        <v>7.35</v>
      </c>
      <c r="AY703">
        <v>3.3</v>
      </c>
      <c r="AZ703">
        <v>103.08499999999999</v>
      </c>
      <c r="BA703">
        <v>0</v>
      </c>
      <c r="BB703">
        <v>0</v>
      </c>
      <c r="BC703">
        <v>0</v>
      </c>
      <c r="BD703">
        <v>0</v>
      </c>
    </row>
    <row r="704" spans="1:56" x14ac:dyDescent="0.25">
      <c r="A704" s="23">
        <v>46304</v>
      </c>
      <c r="B704">
        <v>703</v>
      </c>
      <c r="C704" t="s">
        <v>82</v>
      </c>
      <c r="D704" t="s">
        <v>83</v>
      </c>
      <c r="E704">
        <v>2</v>
      </c>
      <c r="F704">
        <v>180</v>
      </c>
      <c r="G704">
        <v>1</v>
      </c>
      <c r="H704" t="s">
        <v>84</v>
      </c>
      <c r="I704" t="s">
        <v>91</v>
      </c>
      <c r="J704" t="s">
        <v>97</v>
      </c>
      <c r="K704" t="s">
        <v>86</v>
      </c>
      <c r="L704" t="s">
        <v>71</v>
      </c>
      <c r="M704" t="s">
        <v>87</v>
      </c>
      <c r="O704" t="s">
        <v>88</v>
      </c>
      <c r="P704" t="s">
        <v>27</v>
      </c>
      <c r="Q704" t="s">
        <v>73</v>
      </c>
      <c r="R704" t="s">
        <v>76</v>
      </c>
      <c r="S704" t="s">
        <v>74</v>
      </c>
      <c r="T704" t="s">
        <v>75</v>
      </c>
      <c r="X704" t="s">
        <v>77</v>
      </c>
      <c r="Z704" t="s">
        <v>72</v>
      </c>
      <c r="AA704" t="s">
        <v>94</v>
      </c>
      <c r="AB704">
        <v>5</v>
      </c>
      <c r="AC704">
        <v>748740.12</v>
      </c>
      <c r="AD704">
        <v>8930478.1300000008</v>
      </c>
      <c r="AE704">
        <v>189.73</v>
      </c>
      <c r="AF704">
        <v>748740.12</v>
      </c>
      <c r="AG704">
        <v>8930478.1300000008</v>
      </c>
      <c r="AH704">
        <v>179.4</v>
      </c>
      <c r="AI704">
        <v>10.33</v>
      </c>
      <c r="AJ704">
        <v>0.6</v>
      </c>
      <c r="AK704">
        <v>3.37</v>
      </c>
      <c r="AL704">
        <v>2.93</v>
      </c>
      <c r="AM704">
        <v>0</v>
      </c>
      <c r="AN704">
        <v>0</v>
      </c>
      <c r="AO704">
        <v>358</v>
      </c>
      <c r="AP704">
        <v>3.37</v>
      </c>
      <c r="AQ704">
        <v>0.75</v>
      </c>
      <c r="AR704">
        <v>0.1</v>
      </c>
      <c r="AS704">
        <v>0.09</v>
      </c>
      <c r="AT704">
        <v>19.940000000000001</v>
      </c>
      <c r="AU704">
        <v>5.81</v>
      </c>
      <c r="AV704">
        <v>0.37</v>
      </c>
      <c r="AW704">
        <v>2.02</v>
      </c>
      <c r="AX704">
        <v>7.08</v>
      </c>
      <c r="AY704">
        <v>3.3</v>
      </c>
      <c r="AZ704">
        <v>102.357</v>
      </c>
      <c r="BA704">
        <v>0</v>
      </c>
      <c r="BB704">
        <v>0</v>
      </c>
      <c r="BC704">
        <v>0</v>
      </c>
      <c r="BD704">
        <v>0</v>
      </c>
    </row>
    <row r="705" spans="1:56" x14ac:dyDescent="0.25">
      <c r="A705" s="23">
        <v>46304</v>
      </c>
      <c r="B705">
        <v>704</v>
      </c>
      <c r="C705" t="s">
        <v>82</v>
      </c>
      <c r="D705" t="s">
        <v>83</v>
      </c>
      <c r="E705">
        <v>2</v>
      </c>
      <c r="F705">
        <v>180</v>
      </c>
      <c r="G705">
        <v>1</v>
      </c>
      <c r="H705" t="s">
        <v>84</v>
      </c>
      <c r="I705" t="s">
        <v>91</v>
      </c>
      <c r="J705" t="s">
        <v>97</v>
      </c>
      <c r="K705" t="s">
        <v>86</v>
      </c>
      <c r="L705" t="s">
        <v>71</v>
      </c>
      <c r="M705" t="s">
        <v>87</v>
      </c>
      <c r="O705" t="s">
        <v>88</v>
      </c>
      <c r="P705" t="s">
        <v>27</v>
      </c>
      <c r="Q705" t="s">
        <v>73</v>
      </c>
      <c r="R705" t="s">
        <v>76</v>
      </c>
      <c r="S705" t="s">
        <v>74</v>
      </c>
      <c r="T705" t="s">
        <v>75</v>
      </c>
      <c r="X705" t="s">
        <v>77</v>
      </c>
      <c r="Z705" t="s">
        <v>72</v>
      </c>
      <c r="AA705" t="s">
        <v>94</v>
      </c>
      <c r="AB705">
        <v>5</v>
      </c>
      <c r="AC705">
        <v>748737.44</v>
      </c>
      <c r="AD705">
        <v>8930476.0800000001</v>
      </c>
      <c r="AE705">
        <v>189.69</v>
      </c>
      <c r="AF705">
        <v>748737.44</v>
      </c>
      <c r="AG705">
        <v>8930476.0800000001</v>
      </c>
      <c r="AH705">
        <v>179.4</v>
      </c>
      <c r="AI705">
        <v>10.29</v>
      </c>
      <c r="AJ705">
        <v>0.6</v>
      </c>
      <c r="AK705">
        <v>3.37</v>
      </c>
      <c r="AL705">
        <v>2.93</v>
      </c>
      <c r="AM705">
        <v>0</v>
      </c>
      <c r="AN705">
        <v>0</v>
      </c>
      <c r="AO705">
        <v>358</v>
      </c>
      <c r="AP705">
        <v>3.31</v>
      </c>
      <c r="AQ705">
        <v>0.79</v>
      </c>
      <c r="AR705">
        <v>0.1</v>
      </c>
      <c r="AS705">
        <v>0.09</v>
      </c>
      <c r="AT705">
        <v>18.93</v>
      </c>
      <c r="AU705">
        <v>6.03</v>
      </c>
      <c r="AV705">
        <v>0.38</v>
      </c>
      <c r="AW705">
        <v>2.11</v>
      </c>
      <c r="AX705">
        <v>6.65</v>
      </c>
      <c r="AY705">
        <v>3.3</v>
      </c>
      <c r="AZ705">
        <v>101.774</v>
      </c>
      <c r="BA705">
        <v>0</v>
      </c>
      <c r="BB705">
        <v>0</v>
      </c>
      <c r="BC705">
        <v>0</v>
      </c>
      <c r="BD705">
        <v>0</v>
      </c>
    </row>
    <row r="706" spans="1:56" x14ac:dyDescent="0.25">
      <c r="A706" s="23">
        <v>46304</v>
      </c>
      <c r="B706">
        <v>705</v>
      </c>
      <c r="C706" t="s">
        <v>82</v>
      </c>
      <c r="D706" t="s">
        <v>83</v>
      </c>
      <c r="E706">
        <v>0</v>
      </c>
      <c r="F706">
        <v>180</v>
      </c>
      <c r="G706">
        <v>0</v>
      </c>
      <c r="H706" t="s">
        <v>84</v>
      </c>
      <c r="J706" t="s">
        <v>97</v>
      </c>
      <c r="K706" t="s">
        <v>79</v>
      </c>
      <c r="L706" t="s">
        <v>71</v>
      </c>
      <c r="M706" t="s">
        <v>87</v>
      </c>
      <c r="O706" t="s">
        <v>88</v>
      </c>
      <c r="P706" t="s">
        <v>27</v>
      </c>
      <c r="Q706" t="s">
        <v>73</v>
      </c>
      <c r="R706" t="s">
        <v>76</v>
      </c>
      <c r="S706" t="s">
        <v>74</v>
      </c>
      <c r="T706" t="s">
        <v>75</v>
      </c>
      <c r="X706" t="s">
        <v>77</v>
      </c>
      <c r="Z706" t="s">
        <v>72</v>
      </c>
      <c r="AA706" t="s">
        <v>94</v>
      </c>
      <c r="AB706">
        <v>5</v>
      </c>
      <c r="AC706">
        <v>748734.77</v>
      </c>
      <c r="AD706">
        <v>8930474.0399999991</v>
      </c>
      <c r="AE706">
        <v>189.7</v>
      </c>
      <c r="AF706">
        <v>748734.77</v>
      </c>
      <c r="AG706">
        <v>8930474.0399999991</v>
      </c>
      <c r="AH706">
        <v>179.4</v>
      </c>
      <c r="AI706">
        <v>10.3</v>
      </c>
      <c r="AJ706">
        <v>0.6</v>
      </c>
      <c r="AK706">
        <v>3.37</v>
      </c>
      <c r="AL706">
        <v>2.93</v>
      </c>
      <c r="AM706">
        <v>0</v>
      </c>
      <c r="AN706">
        <v>0</v>
      </c>
      <c r="AO706">
        <v>358</v>
      </c>
      <c r="AP706">
        <v>3.31</v>
      </c>
      <c r="AQ706">
        <v>0.79</v>
      </c>
      <c r="AR706">
        <v>0.1</v>
      </c>
      <c r="AS706">
        <v>0.09</v>
      </c>
      <c r="AT706">
        <v>18.93</v>
      </c>
      <c r="AU706">
        <v>6.03</v>
      </c>
      <c r="AV706">
        <v>0.38</v>
      </c>
      <c r="AW706">
        <v>2.11</v>
      </c>
      <c r="AX706">
        <v>6.65</v>
      </c>
      <c r="AY706">
        <v>3.3</v>
      </c>
      <c r="AZ706">
        <v>101.92</v>
      </c>
      <c r="BA706">
        <v>0</v>
      </c>
      <c r="BB706">
        <v>0</v>
      </c>
      <c r="BC706">
        <v>0</v>
      </c>
      <c r="BD706">
        <v>0</v>
      </c>
    </row>
    <row r="707" spans="1:56" x14ac:dyDescent="0.25">
      <c r="A707" s="23">
        <v>46304</v>
      </c>
      <c r="B707">
        <v>706</v>
      </c>
      <c r="C707" t="s">
        <v>82</v>
      </c>
      <c r="D707" t="s">
        <v>92</v>
      </c>
      <c r="E707">
        <v>0</v>
      </c>
      <c r="F707">
        <v>180</v>
      </c>
      <c r="G707">
        <v>0</v>
      </c>
      <c r="H707" t="s">
        <v>84</v>
      </c>
      <c r="J707" t="s">
        <v>97</v>
      </c>
      <c r="K707" t="s">
        <v>79</v>
      </c>
      <c r="L707" t="s">
        <v>71</v>
      </c>
      <c r="M707" t="s">
        <v>81</v>
      </c>
      <c r="O707" t="s">
        <v>88</v>
      </c>
      <c r="P707" t="s">
        <v>27</v>
      </c>
      <c r="Q707" t="s">
        <v>73</v>
      </c>
      <c r="R707" t="s">
        <v>76</v>
      </c>
      <c r="S707" t="s">
        <v>74</v>
      </c>
      <c r="T707" t="s">
        <v>75</v>
      </c>
      <c r="X707" t="s">
        <v>77</v>
      </c>
      <c r="Z707" t="s">
        <v>72</v>
      </c>
      <c r="AA707" t="s">
        <v>94</v>
      </c>
      <c r="AB707">
        <v>5</v>
      </c>
      <c r="AC707">
        <v>748732.09</v>
      </c>
      <c r="AD707">
        <v>8930471.9900000002</v>
      </c>
      <c r="AE707">
        <v>189.72</v>
      </c>
      <c r="AF707">
        <v>748732.09</v>
      </c>
      <c r="AG707">
        <v>8930471.9900000002</v>
      </c>
      <c r="AH707">
        <v>179.4</v>
      </c>
      <c r="AI707">
        <v>10.32</v>
      </c>
      <c r="AJ707">
        <v>0.6</v>
      </c>
      <c r="AK707">
        <v>3.37</v>
      </c>
      <c r="AL707">
        <v>2.93</v>
      </c>
      <c r="AM707">
        <v>0</v>
      </c>
      <c r="AN707">
        <v>0</v>
      </c>
      <c r="AO707">
        <v>358</v>
      </c>
      <c r="AP707">
        <v>3.3</v>
      </c>
      <c r="AQ707">
        <v>0.79</v>
      </c>
      <c r="AR707">
        <v>0.1</v>
      </c>
      <c r="AS707">
        <v>0.09</v>
      </c>
      <c r="AT707">
        <v>18.78</v>
      </c>
      <c r="AU707">
        <v>5.99</v>
      </c>
      <c r="AV707">
        <v>0.37</v>
      </c>
      <c r="AW707">
        <v>2.09</v>
      </c>
      <c r="AX707">
        <v>6.6</v>
      </c>
      <c r="AY707">
        <v>3.3</v>
      </c>
      <c r="AZ707">
        <v>102.211</v>
      </c>
      <c r="BA707">
        <v>0</v>
      </c>
      <c r="BB707">
        <v>0</v>
      </c>
      <c r="BC707">
        <v>0</v>
      </c>
      <c r="BD707">
        <v>0</v>
      </c>
    </row>
    <row r="708" spans="1:56" x14ac:dyDescent="0.25">
      <c r="A708" s="23">
        <v>46304</v>
      </c>
      <c r="B708">
        <v>707</v>
      </c>
      <c r="C708" t="s">
        <v>82</v>
      </c>
      <c r="D708" t="s">
        <v>92</v>
      </c>
      <c r="E708">
        <v>0</v>
      </c>
      <c r="F708">
        <v>180</v>
      </c>
      <c r="G708">
        <v>0</v>
      </c>
      <c r="H708" t="s">
        <v>98</v>
      </c>
      <c r="J708" t="s">
        <v>97</v>
      </c>
      <c r="K708" t="s">
        <v>79</v>
      </c>
      <c r="L708" t="s">
        <v>71</v>
      </c>
      <c r="M708" t="s">
        <v>81</v>
      </c>
      <c r="O708" t="s">
        <v>88</v>
      </c>
      <c r="P708" t="s">
        <v>27</v>
      </c>
      <c r="Q708" t="s">
        <v>73</v>
      </c>
      <c r="R708" t="s">
        <v>76</v>
      </c>
      <c r="S708" t="s">
        <v>74</v>
      </c>
      <c r="T708" t="s">
        <v>75</v>
      </c>
      <c r="X708" t="s">
        <v>77</v>
      </c>
      <c r="Z708" t="s">
        <v>72</v>
      </c>
      <c r="AA708" t="s">
        <v>94</v>
      </c>
      <c r="AB708">
        <v>5</v>
      </c>
      <c r="AC708">
        <v>748730.15</v>
      </c>
      <c r="AD708">
        <v>8930469.4199999999</v>
      </c>
      <c r="AE708">
        <v>189.75</v>
      </c>
      <c r="AF708">
        <v>748730.15</v>
      </c>
      <c r="AG708">
        <v>8930469.4199999999</v>
      </c>
      <c r="AH708">
        <v>179.4</v>
      </c>
      <c r="AI708">
        <v>10.35</v>
      </c>
      <c r="AJ708">
        <v>0.6</v>
      </c>
      <c r="AK708">
        <v>3.37</v>
      </c>
      <c r="AL708">
        <v>2.93</v>
      </c>
      <c r="AM708">
        <v>0</v>
      </c>
      <c r="AN708">
        <v>0</v>
      </c>
      <c r="AO708">
        <v>358</v>
      </c>
      <c r="AP708">
        <v>3.26</v>
      </c>
      <c r="AQ708">
        <v>0.61</v>
      </c>
      <c r="AR708">
        <v>0.09</v>
      </c>
      <c r="AS708">
        <v>7.0000000000000007E-2</v>
      </c>
      <c r="AT708">
        <v>15.12</v>
      </c>
      <c r="AU708">
        <v>5.36</v>
      </c>
      <c r="AV708">
        <v>0.3</v>
      </c>
      <c r="AW708">
        <v>1.75</v>
      </c>
      <c r="AX708">
        <v>6.71</v>
      </c>
      <c r="AY708">
        <v>3.3</v>
      </c>
      <c r="AZ708">
        <v>102.648</v>
      </c>
      <c r="BA708">
        <v>0</v>
      </c>
      <c r="BB708">
        <v>0</v>
      </c>
      <c r="BC708">
        <v>0</v>
      </c>
      <c r="BD708">
        <v>0</v>
      </c>
    </row>
    <row r="709" spans="1:56" x14ac:dyDescent="0.25">
      <c r="A709" s="23">
        <v>46304</v>
      </c>
      <c r="B709">
        <v>708</v>
      </c>
      <c r="C709" t="s">
        <v>82</v>
      </c>
      <c r="D709" t="s">
        <v>92</v>
      </c>
      <c r="E709">
        <v>0</v>
      </c>
      <c r="F709">
        <v>180</v>
      </c>
      <c r="G709">
        <v>0</v>
      </c>
      <c r="H709" t="s">
        <v>98</v>
      </c>
      <c r="J709" t="s">
        <v>85</v>
      </c>
      <c r="K709" t="s">
        <v>79</v>
      </c>
      <c r="L709" t="s">
        <v>71</v>
      </c>
      <c r="M709" t="s">
        <v>81</v>
      </c>
      <c r="O709" t="s">
        <v>88</v>
      </c>
      <c r="P709" t="s">
        <v>27</v>
      </c>
      <c r="Q709" t="s">
        <v>73</v>
      </c>
      <c r="R709" t="s">
        <v>76</v>
      </c>
      <c r="S709" t="s">
        <v>74</v>
      </c>
      <c r="T709" t="s">
        <v>75</v>
      </c>
      <c r="X709" t="s">
        <v>77</v>
      </c>
      <c r="Z709" t="s">
        <v>72</v>
      </c>
      <c r="AA709" t="s">
        <v>94</v>
      </c>
      <c r="AB709">
        <v>5</v>
      </c>
      <c r="AC709">
        <v>748729.2</v>
      </c>
      <c r="AD709">
        <v>8930466.4000000004</v>
      </c>
      <c r="AE709">
        <v>189.78</v>
      </c>
      <c r="AF709">
        <v>748729.2</v>
      </c>
      <c r="AG709">
        <v>8930466.4000000004</v>
      </c>
      <c r="AH709">
        <v>179.4</v>
      </c>
      <c r="AI709">
        <v>10.38</v>
      </c>
      <c r="AJ709">
        <v>0.6</v>
      </c>
      <c r="AK709">
        <v>3.37</v>
      </c>
      <c r="AL709">
        <v>2.93</v>
      </c>
      <c r="AM709">
        <v>0</v>
      </c>
      <c r="AN709">
        <v>0</v>
      </c>
      <c r="AO709">
        <v>358</v>
      </c>
      <c r="AP709">
        <v>3.22</v>
      </c>
      <c r="AQ709">
        <v>0.51</v>
      </c>
      <c r="AR709">
        <v>0.08</v>
      </c>
      <c r="AS709">
        <v>0.06</v>
      </c>
      <c r="AT709">
        <v>12.98</v>
      </c>
      <c r="AU709">
        <v>5.03</v>
      </c>
      <c r="AV709">
        <v>0.26</v>
      </c>
      <c r="AW709">
        <v>1.6</v>
      </c>
      <c r="AX709">
        <v>6.88</v>
      </c>
      <c r="AY709">
        <v>3.3</v>
      </c>
      <c r="AZ709">
        <v>103.08499999999999</v>
      </c>
      <c r="BA709">
        <v>0</v>
      </c>
      <c r="BB709">
        <v>0</v>
      </c>
      <c r="BC709">
        <v>0</v>
      </c>
      <c r="BD709">
        <v>0</v>
      </c>
    </row>
    <row r="710" spans="1:56" x14ac:dyDescent="0.25">
      <c r="A710" s="23">
        <v>46304</v>
      </c>
      <c r="B710">
        <v>709</v>
      </c>
      <c r="C710" t="s">
        <v>82</v>
      </c>
      <c r="D710" t="s">
        <v>92</v>
      </c>
      <c r="E710">
        <v>0</v>
      </c>
      <c r="F710">
        <v>180</v>
      </c>
      <c r="G710">
        <v>0</v>
      </c>
      <c r="H710" t="s">
        <v>98</v>
      </c>
      <c r="J710" t="s">
        <v>97</v>
      </c>
      <c r="K710" t="s">
        <v>79</v>
      </c>
      <c r="L710" t="s">
        <v>71</v>
      </c>
      <c r="M710" t="s">
        <v>81</v>
      </c>
      <c r="O710" t="s">
        <v>88</v>
      </c>
      <c r="P710" t="s">
        <v>27</v>
      </c>
      <c r="Q710" t="s">
        <v>73</v>
      </c>
      <c r="R710" t="s">
        <v>76</v>
      </c>
      <c r="S710" t="s">
        <v>74</v>
      </c>
      <c r="T710" t="s">
        <v>75</v>
      </c>
      <c r="X710" t="s">
        <v>77</v>
      </c>
      <c r="Z710" t="s">
        <v>72</v>
      </c>
      <c r="AA710" t="s">
        <v>94</v>
      </c>
      <c r="AB710">
        <v>5</v>
      </c>
      <c r="AC710">
        <v>748731.44</v>
      </c>
      <c r="AD710">
        <v>8930465.4000000004</v>
      </c>
      <c r="AE710">
        <v>189.83</v>
      </c>
      <c r="AF710">
        <v>748731.44</v>
      </c>
      <c r="AG710">
        <v>8930465.4000000004</v>
      </c>
      <c r="AH710">
        <v>179.4</v>
      </c>
      <c r="AI710">
        <v>10.43</v>
      </c>
      <c r="AJ710">
        <v>0.6</v>
      </c>
      <c r="AK710">
        <v>3.37</v>
      </c>
      <c r="AL710">
        <v>2.93</v>
      </c>
      <c r="AM710">
        <v>0</v>
      </c>
      <c r="AN710">
        <v>0</v>
      </c>
      <c r="AO710">
        <v>358</v>
      </c>
      <c r="AP710">
        <v>3.26</v>
      </c>
      <c r="AQ710">
        <v>0.57999999999999996</v>
      </c>
      <c r="AR710">
        <v>0.08</v>
      </c>
      <c r="AS710">
        <v>7.0000000000000007E-2</v>
      </c>
      <c r="AT710">
        <v>15.35</v>
      </c>
      <c r="AU710">
        <v>5.14</v>
      </c>
      <c r="AV710">
        <v>0.28999999999999998</v>
      </c>
      <c r="AW710">
        <v>1.66</v>
      </c>
      <c r="AX710">
        <v>6.33</v>
      </c>
      <c r="AY710">
        <v>3.3</v>
      </c>
      <c r="AZ710">
        <v>103.813</v>
      </c>
      <c r="BA710">
        <v>0</v>
      </c>
      <c r="BB710">
        <v>0</v>
      </c>
      <c r="BC710">
        <v>0</v>
      </c>
      <c r="BD710">
        <v>0</v>
      </c>
    </row>
    <row r="711" spans="1:56" x14ac:dyDescent="0.25">
      <c r="A711" s="23">
        <v>46304</v>
      </c>
      <c r="B711">
        <v>710</v>
      </c>
      <c r="C711" t="s">
        <v>82</v>
      </c>
      <c r="D711" t="s">
        <v>92</v>
      </c>
      <c r="E711">
        <v>0</v>
      </c>
      <c r="F711">
        <v>180</v>
      </c>
      <c r="G711">
        <v>0</v>
      </c>
      <c r="H711" t="s">
        <v>98</v>
      </c>
      <c r="J711" t="s">
        <v>97</v>
      </c>
      <c r="K711" t="s">
        <v>79</v>
      </c>
      <c r="L711" t="s">
        <v>71</v>
      </c>
      <c r="M711" t="s">
        <v>81</v>
      </c>
      <c r="O711" t="s">
        <v>88</v>
      </c>
      <c r="P711" t="s">
        <v>27</v>
      </c>
      <c r="Q711" t="s">
        <v>73</v>
      </c>
      <c r="R711" t="s">
        <v>76</v>
      </c>
      <c r="S711" t="s">
        <v>74</v>
      </c>
      <c r="T711" t="s">
        <v>75</v>
      </c>
      <c r="X711" t="s">
        <v>77</v>
      </c>
      <c r="Z711" t="s">
        <v>72</v>
      </c>
      <c r="AA711" t="s">
        <v>94</v>
      </c>
      <c r="AB711">
        <v>5</v>
      </c>
      <c r="AC711">
        <v>748732.47</v>
      </c>
      <c r="AD711">
        <v>8930467.3800000008</v>
      </c>
      <c r="AE711">
        <v>189.75</v>
      </c>
      <c r="AF711">
        <v>748732.47</v>
      </c>
      <c r="AG711">
        <v>8930467.3800000008</v>
      </c>
      <c r="AH711">
        <v>179.4</v>
      </c>
      <c r="AI711">
        <v>10.35</v>
      </c>
      <c r="AJ711">
        <v>0.6</v>
      </c>
      <c r="AK711">
        <v>3.37</v>
      </c>
      <c r="AL711">
        <v>2.93</v>
      </c>
      <c r="AM711">
        <v>0</v>
      </c>
      <c r="AN711">
        <v>0</v>
      </c>
      <c r="AO711">
        <v>358</v>
      </c>
      <c r="AP711">
        <v>3.31</v>
      </c>
      <c r="AQ711">
        <v>0.63</v>
      </c>
      <c r="AR711">
        <v>0.09</v>
      </c>
      <c r="AS711">
        <v>7.0000000000000007E-2</v>
      </c>
      <c r="AT711">
        <v>16.78</v>
      </c>
      <c r="AU711">
        <v>5.51</v>
      </c>
      <c r="AV711">
        <v>0.32</v>
      </c>
      <c r="AW711">
        <v>1.78</v>
      </c>
      <c r="AX711">
        <v>6.66</v>
      </c>
      <c r="AY711">
        <v>3.3</v>
      </c>
      <c r="AZ711">
        <v>102.648</v>
      </c>
      <c r="BA711">
        <v>0</v>
      </c>
      <c r="BB711">
        <v>0</v>
      </c>
      <c r="BC711">
        <v>0</v>
      </c>
      <c r="BD711">
        <v>0</v>
      </c>
    </row>
    <row r="712" spans="1:56" x14ac:dyDescent="0.25">
      <c r="A712" s="23">
        <v>46304</v>
      </c>
      <c r="B712">
        <v>711</v>
      </c>
      <c r="C712" t="s">
        <v>82</v>
      </c>
      <c r="D712" t="s">
        <v>83</v>
      </c>
      <c r="E712">
        <v>0</v>
      </c>
      <c r="F712">
        <v>180</v>
      </c>
      <c r="G712">
        <v>0</v>
      </c>
      <c r="H712" t="s">
        <v>98</v>
      </c>
      <c r="J712" t="s">
        <v>97</v>
      </c>
      <c r="K712" t="s">
        <v>86</v>
      </c>
      <c r="L712" t="s">
        <v>71</v>
      </c>
      <c r="M712" t="s">
        <v>81</v>
      </c>
      <c r="O712" t="s">
        <v>88</v>
      </c>
      <c r="P712" t="s">
        <v>27</v>
      </c>
      <c r="Q712" t="s">
        <v>73</v>
      </c>
      <c r="R712" t="s">
        <v>76</v>
      </c>
      <c r="S712" t="s">
        <v>74</v>
      </c>
      <c r="T712" t="s">
        <v>75</v>
      </c>
      <c r="X712" t="s">
        <v>77</v>
      </c>
      <c r="Z712" t="s">
        <v>72</v>
      </c>
      <c r="AA712" t="s">
        <v>94</v>
      </c>
      <c r="AB712">
        <v>5</v>
      </c>
      <c r="AC712">
        <v>748734.09</v>
      </c>
      <c r="AD712">
        <v>8930469.8399999999</v>
      </c>
      <c r="AE712">
        <v>189.75</v>
      </c>
      <c r="AF712">
        <v>748734.09</v>
      </c>
      <c r="AG712">
        <v>8930469.8399999999</v>
      </c>
      <c r="AH712">
        <v>179.4</v>
      </c>
      <c r="AI712">
        <v>10.35</v>
      </c>
      <c r="AJ712">
        <v>0.6</v>
      </c>
      <c r="AK712">
        <v>3.37</v>
      </c>
      <c r="AL712">
        <v>2.93</v>
      </c>
      <c r="AM712">
        <v>0</v>
      </c>
      <c r="AN712">
        <v>0</v>
      </c>
      <c r="AO712">
        <v>358</v>
      </c>
      <c r="AP712">
        <v>3.32</v>
      </c>
      <c r="AQ712">
        <v>0.72</v>
      </c>
      <c r="AR712">
        <v>0.1</v>
      </c>
      <c r="AS712">
        <v>0.08</v>
      </c>
      <c r="AT712">
        <v>18.07</v>
      </c>
      <c r="AU712">
        <v>5.85</v>
      </c>
      <c r="AV712">
        <v>0.35</v>
      </c>
      <c r="AW712">
        <v>1.96</v>
      </c>
      <c r="AX712">
        <v>6.79</v>
      </c>
      <c r="AY712">
        <v>3.3</v>
      </c>
      <c r="AZ712">
        <v>102.648</v>
      </c>
      <c r="BA712">
        <v>0</v>
      </c>
      <c r="BB712">
        <v>0</v>
      </c>
      <c r="BC712">
        <v>0</v>
      </c>
      <c r="BD712">
        <v>0</v>
      </c>
    </row>
    <row r="713" spans="1:56" x14ac:dyDescent="0.25">
      <c r="A713" s="23">
        <v>46304</v>
      </c>
      <c r="B713">
        <v>712</v>
      </c>
      <c r="C713" t="s">
        <v>82</v>
      </c>
      <c r="D713" t="s">
        <v>83</v>
      </c>
      <c r="E713">
        <v>0</v>
      </c>
      <c r="F713">
        <v>180</v>
      </c>
      <c r="G713">
        <v>0</v>
      </c>
      <c r="H713" t="s">
        <v>84</v>
      </c>
      <c r="J713" t="s">
        <v>97</v>
      </c>
      <c r="K713" t="s">
        <v>86</v>
      </c>
      <c r="L713" t="s">
        <v>71</v>
      </c>
      <c r="M713" t="s">
        <v>87</v>
      </c>
      <c r="O713" t="s">
        <v>88</v>
      </c>
      <c r="P713" t="s">
        <v>27</v>
      </c>
      <c r="Q713" t="s">
        <v>73</v>
      </c>
      <c r="R713" t="s">
        <v>76</v>
      </c>
      <c r="S713" t="s">
        <v>74</v>
      </c>
      <c r="T713" t="s">
        <v>75</v>
      </c>
      <c r="X713" t="s">
        <v>77</v>
      </c>
      <c r="Z713" t="s">
        <v>72</v>
      </c>
      <c r="AA713" t="s">
        <v>94</v>
      </c>
      <c r="AB713">
        <v>5</v>
      </c>
      <c r="AC713">
        <v>748736.76</v>
      </c>
      <c r="AD713">
        <v>8930471.8900000006</v>
      </c>
      <c r="AE713">
        <v>189.74</v>
      </c>
      <c r="AF713">
        <v>748736.76</v>
      </c>
      <c r="AG713">
        <v>8930471.8900000006</v>
      </c>
      <c r="AH713">
        <v>179.4</v>
      </c>
      <c r="AI713">
        <v>10.34</v>
      </c>
      <c r="AJ713">
        <v>0.6</v>
      </c>
      <c r="AK713">
        <v>3.37</v>
      </c>
      <c r="AL713">
        <v>2.93</v>
      </c>
      <c r="AM713">
        <v>0</v>
      </c>
      <c r="AN713">
        <v>0</v>
      </c>
      <c r="AO713">
        <v>358</v>
      </c>
      <c r="AP713">
        <v>3.31</v>
      </c>
      <c r="AQ713">
        <v>0.79</v>
      </c>
      <c r="AR713">
        <v>0.1</v>
      </c>
      <c r="AS713">
        <v>0.09</v>
      </c>
      <c r="AT713">
        <v>18.93</v>
      </c>
      <c r="AU713">
        <v>6.04</v>
      </c>
      <c r="AV713">
        <v>0.38</v>
      </c>
      <c r="AW713">
        <v>2.1</v>
      </c>
      <c r="AX713">
        <v>6.66</v>
      </c>
      <c r="AY713">
        <v>3.3</v>
      </c>
      <c r="AZ713">
        <v>102.502</v>
      </c>
      <c r="BA713">
        <v>0</v>
      </c>
      <c r="BB713">
        <v>0</v>
      </c>
      <c r="BC713">
        <v>0</v>
      </c>
      <c r="BD713">
        <v>0</v>
      </c>
    </row>
    <row r="714" spans="1:56" x14ac:dyDescent="0.25">
      <c r="A714" s="23">
        <v>46304</v>
      </c>
      <c r="B714">
        <v>713</v>
      </c>
      <c r="C714" t="s">
        <v>82</v>
      </c>
      <c r="D714" t="s">
        <v>83</v>
      </c>
      <c r="E714">
        <v>2</v>
      </c>
      <c r="F714">
        <v>180</v>
      </c>
      <c r="G714">
        <v>1</v>
      </c>
      <c r="H714" t="s">
        <v>84</v>
      </c>
      <c r="I714" t="s">
        <v>91</v>
      </c>
      <c r="J714" t="s">
        <v>97</v>
      </c>
      <c r="K714" t="s">
        <v>86</v>
      </c>
      <c r="L714" t="s">
        <v>71</v>
      </c>
      <c r="M714" t="s">
        <v>87</v>
      </c>
      <c r="O714" t="s">
        <v>88</v>
      </c>
      <c r="P714" t="s">
        <v>27</v>
      </c>
      <c r="Q714" t="s">
        <v>73</v>
      </c>
      <c r="R714" t="s">
        <v>76</v>
      </c>
      <c r="S714" t="s">
        <v>74</v>
      </c>
      <c r="T714" t="s">
        <v>75</v>
      </c>
      <c r="X714" t="s">
        <v>77</v>
      </c>
      <c r="Z714" t="s">
        <v>72</v>
      </c>
      <c r="AA714" t="s">
        <v>94</v>
      </c>
      <c r="AB714">
        <v>5</v>
      </c>
      <c r="AC714">
        <v>748739.44</v>
      </c>
      <c r="AD714">
        <v>8930473.9299999997</v>
      </c>
      <c r="AE714">
        <v>189.72</v>
      </c>
      <c r="AF714">
        <v>748739.44</v>
      </c>
      <c r="AG714">
        <v>8930473.9299999997</v>
      </c>
      <c r="AH714">
        <v>179.4</v>
      </c>
      <c r="AI714">
        <v>10.32</v>
      </c>
      <c r="AJ714">
        <v>0.6</v>
      </c>
      <c r="AK714">
        <v>3.37</v>
      </c>
      <c r="AL714">
        <v>2.93</v>
      </c>
      <c r="AM714">
        <v>0</v>
      </c>
      <c r="AN714">
        <v>0</v>
      </c>
      <c r="AO714">
        <v>358</v>
      </c>
      <c r="AP714">
        <v>3.35</v>
      </c>
      <c r="AQ714">
        <v>0.77</v>
      </c>
      <c r="AR714">
        <v>0.1</v>
      </c>
      <c r="AS714">
        <v>0.09</v>
      </c>
      <c r="AT714">
        <v>19.55</v>
      </c>
      <c r="AU714">
        <v>5.89</v>
      </c>
      <c r="AV714">
        <v>0.37</v>
      </c>
      <c r="AW714">
        <v>2.06</v>
      </c>
      <c r="AX714">
        <v>6.91</v>
      </c>
      <c r="AY714">
        <v>3.3</v>
      </c>
      <c r="AZ714">
        <v>102.211</v>
      </c>
      <c r="BA714">
        <v>0</v>
      </c>
      <c r="BB714">
        <v>0</v>
      </c>
      <c r="BC714">
        <v>0</v>
      </c>
      <c r="BD714">
        <v>0</v>
      </c>
    </row>
    <row r="715" spans="1:56" x14ac:dyDescent="0.25">
      <c r="A715" s="23">
        <v>46304</v>
      </c>
      <c r="B715">
        <v>714</v>
      </c>
      <c r="C715" t="s">
        <v>82</v>
      </c>
      <c r="D715" t="s">
        <v>83</v>
      </c>
      <c r="E715">
        <v>2</v>
      </c>
      <c r="F715">
        <v>180</v>
      </c>
      <c r="G715">
        <v>1</v>
      </c>
      <c r="H715" t="s">
        <v>84</v>
      </c>
      <c r="I715" t="s">
        <v>91</v>
      </c>
      <c r="J715" t="s">
        <v>97</v>
      </c>
      <c r="K715" t="s">
        <v>86</v>
      </c>
      <c r="L715" t="s">
        <v>71</v>
      </c>
      <c r="M715" t="s">
        <v>87</v>
      </c>
      <c r="O715" t="s">
        <v>88</v>
      </c>
      <c r="P715" t="s">
        <v>27</v>
      </c>
      <c r="Q715" t="s">
        <v>73</v>
      </c>
      <c r="R715" t="s">
        <v>76</v>
      </c>
      <c r="S715" t="s">
        <v>74</v>
      </c>
      <c r="T715" t="s">
        <v>75</v>
      </c>
      <c r="X715" t="s">
        <v>77</v>
      </c>
      <c r="Z715" t="s">
        <v>72</v>
      </c>
      <c r="AA715" t="s">
        <v>94</v>
      </c>
      <c r="AB715">
        <v>5</v>
      </c>
      <c r="AC715">
        <v>748742.12</v>
      </c>
      <c r="AD715">
        <v>8930475.9800000004</v>
      </c>
      <c r="AE715">
        <v>189.71</v>
      </c>
      <c r="AF715">
        <v>748742.12</v>
      </c>
      <c r="AG715">
        <v>8930475.9800000004</v>
      </c>
      <c r="AH715">
        <v>179.4</v>
      </c>
      <c r="AI715">
        <v>10.31</v>
      </c>
      <c r="AJ715">
        <v>0.6</v>
      </c>
      <c r="AK715">
        <v>3.37</v>
      </c>
      <c r="AL715">
        <v>2.93</v>
      </c>
      <c r="AM715">
        <v>0</v>
      </c>
      <c r="AN715">
        <v>0</v>
      </c>
      <c r="AO715">
        <v>358</v>
      </c>
      <c r="AP715">
        <v>3.43</v>
      </c>
      <c r="AQ715">
        <v>0.72</v>
      </c>
      <c r="AR715">
        <v>0.1</v>
      </c>
      <c r="AS715">
        <v>0.09</v>
      </c>
      <c r="AT715">
        <v>20.73</v>
      </c>
      <c r="AU715">
        <v>5.62</v>
      </c>
      <c r="AV715">
        <v>0.37</v>
      </c>
      <c r="AW715">
        <v>1.96</v>
      </c>
      <c r="AX715">
        <v>7.42</v>
      </c>
      <c r="AY715">
        <v>3.3</v>
      </c>
      <c r="AZ715">
        <v>102.066</v>
      </c>
      <c r="BA715">
        <v>0</v>
      </c>
      <c r="BB715">
        <v>0</v>
      </c>
      <c r="BC715">
        <v>0</v>
      </c>
      <c r="BD715">
        <v>0</v>
      </c>
    </row>
    <row r="716" spans="1:56" x14ac:dyDescent="0.25">
      <c r="A716" s="23">
        <v>46304</v>
      </c>
      <c r="B716">
        <v>715</v>
      </c>
      <c r="C716" t="s">
        <v>82</v>
      </c>
      <c r="D716" t="s">
        <v>83</v>
      </c>
      <c r="E716">
        <v>2</v>
      </c>
      <c r="F716">
        <v>180</v>
      </c>
      <c r="G716">
        <v>1</v>
      </c>
      <c r="H716" t="s">
        <v>95</v>
      </c>
      <c r="I716" t="s">
        <v>91</v>
      </c>
      <c r="J716" t="s">
        <v>97</v>
      </c>
      <c r="K716" t="s">
        <v>86</v>
      </c>
      <c r="L716" t="s">
        <v>71</v>
      </c>
      <c r="M716" t="s">
        <v>87</v>
      </c>
      <c r="O716" t="s">
        <v>88</v>
      </c>
      <c r="P716" t="s">
        <v>27</v>
      </c>
      <c r="Q716" t="s">
        <v>73</v>
      </c>
      <c r="R716" t="s">
        <v>76</v>
      </c>
      <c r="S716" t="s">
        <v>74</v>
      </c>
      <c r="T716" t="s">
        <v>75</v>
      </c>
      <c r="X716" t="s">
        <v>77</v>
      </c>
      <c r="Z716" t="s">
        <v>72</v>
      </c>
      <c r="AA716" t="s">
        <v>94</v>
      </c>
      <c r="AB716">
        <v>5</v>
      </c>
      <c r="AC716">
        <v>748744.8</v>
      </c>
      <c r="AD716">
        <v>8930478.0299999993</v>
      </c>
      <c r="AE716">
        <v>189.77</v>
      </c>
      <c r="AF716">
        <v>748744.8</v>
      </c>
      <c r="AG716">
        <v>8930478.0299999993</v>
      </c>
      <c r="AH716">
        <v>179.4</v>
      </c>
      <c r="AI716">
        <v>10.37</v>
      </c>
      <c r="AJ716">
        <v>0.6</v>
      </c>
      <c r="AK716">
        <v>3.37</v>
      </c>
      <c r="AL716">
        <v>2.93</v>
      </c>
      <c r="AM716">
        <v>0</v>
      </c>
      <c r="AN716">
        <v>0</v>
      </c>
      <c r="AO716">
        <v>358</v>
      </c>
      <c r="AP716">
        <v>3.43</v>
      </c>
      <c r="AQ716">
        <v>0.72</v>
      </c>
      <c r="AR716">
        <v>0.1</v>
      </c>
      <c r="AS716">
        <v>0.09</v>
      </c>
      <c r="AT716">
        <v>20.74</v>
      </c>
      <c r="AU716">
        <v>5.62</v>
      </c>
      <c r="AV716">
        <v>0.37</v>
      </c>
      <c r="AW716">
        <v>1.95</v>
      </c>
      <c r="AX716">
        <v>7.42</v>
      </c>
      <c r="AY716">
        <v>3.3</v>
      </c>
      <c r="AZ716">
        <v>102.93899999999999</v>
      </c>
      <c r="BA716">
        <v>0</v>
      </c>
      <c r="BB716">
        <v>0</v>
      </c>
      <c r="BC716">
        <v>0</v>
      </c>
      <c r="BD716">
        <v>0</v>
      </c>
    </row>
    <row r="717" spans="1:56" x14ac:dyDescent="0.25">
      <c r="A717" s="23">
        <v>46304</v>
      </c>
      <c r="B717">
        <v>716</v>
      </c>
      <c r="C717" t="s">
        <v>82</v>
      </c>
      <c r="D717" t="s">
        <v>83</v>
      </c>
      <c r="E717">
        <v>2</v>
      </c>
      <c r="F717">
        <v>180</v>
      </c>
      <c r="G717">
        <v>1</v>
      </c>
      <c r="H717" t="s">
        <v>95</v>
      </c>
      <c r="I717" t="s">
        <v>91</v>
      </c>
      <c r="J717" t="s">
        <v>97</v>
      </c>
      <c r="K717" t="s">
        <v>86</v>
      </c>
      <c r="L717" t="s">
        <v>71</v>
      </c>
      <c r="M717" t="s">
        <v>87</v>
      </c>
      <c r="O717" t="s">
        <v>88</v>
      </c>
      <c r="P717" t="s">
        <v>27</v>
      </c>
      <c r="Q717" t="s">
        <v>73</v>
      </c>
      <c r="R717" t="s">
        <v>76</v>
      </c>
      <c r="S717" t="s">
        <v>74</v>
      </c>
      <c r="T717" t="s">
        <v>75</v>
      </c>
      <c r="X717" t="s">
        <v>77</v>
      </c>
      <c r="Z717" t="s">
        <v>72</v>
      </c>
      <c r="AA717" t="s">
        <v>94</v>
      </c>
      <c r="AB717">
        <v>5</v>
      </c>
      <c r="AC717">
        <v>748747.47</v>
      </c>
      <c r="AD717">
        <v>8930480.0700000003</v>
      </c>
      <c r="AE717">
        <v>189.82</v>
      </c>
      <c r="AF717">
        <v>748747.47</v>
      </c>
      <c r="AG717">
        <v>8930480.0700000003</v>
      </c>
      <c r="AH717">
        <v>179.4</v>
      </c>
      <c r="AI717">
        <v>10.42</v>
      </c>
      <c r="AJ717">
        <v>0.6</v>
      </c>
      <c r="AK717">
        <v>3.37</v>
      </c>
      <c r="AL717">
        <v>2.93</v>
      </c>
      <c r="AM717">
        <v>0</v>
      </c>
      <c r="AN717">
        <v>0</v>
      </c>
      <c r="AO717">
        <v>358</v>
      </c>
      <c r="AP717">
        <v>3.4</v>
      </c>
      <c r="AQ717">
        <v>0.73</v>
      </c>
      <c r="AR717">
        <v>0.1</v>
      </c>
      <c r="AS717">
        <v>0.09</v>
      </c>
      <c r="AT717">
        <v>21.2</v>
      </c>
      <c r="AU717">
        <v>5.73</v>
      </c>
      <c r="AV717">
        <v>0.37</v>
      </c>
      <c r="AW717">
        <v>1.96</v>
      </c>
      <c r="AX717">
        <v>7.35</v>
      </c>
      <c r="AY717">
        <v>3.3</v>
      </c>
      <c r="AZ717">
        <v>103.667</v>
      </c>
      <c r="BA717">
        <v>0</v>
      </c>
      <c r="BB717">
        <v>0</v>
      </c>
      <c r="BC717">
        <v>0</v>
      </c>
      <c r="BD717">
        <v>0</v>
      </c>
    </row>
    <row r="718" spans="1:56" x14ac:dyDescent="0.25">
      <c r="A718" s="23">
        <v>46304</v>
      </c>
      <c r="B718">
        <v>717</v>
      </c>
      <c r="C718" t="s">
        <v>82</v>
      </c>
      <c r="D718" t="s">
        <v>83</v>
      </c>
      <c r="E718">
        <v>2</v>
      </c>
      <c r="F718">
        <v>180</v>
      </c>
      <c r="G718">
        <v>1</v>
      </c>
      <c r="H718" t="s">
        <v>95</v>
      </c>
      <c r="I718" t="s">
        <v>91</v>
      </c>
      <c r="J718" t="s">
        <v>85</v>
      </c>
      <c r="K718" t="s">
        <v>86</v>
      </c>
      <c r="L718" t="s">
        <v>71</v>
      </c>
      <c r="M718" t="s">
        <v>87</v>
      </c>
      <c r="O718" t="s">
        <v>88</v>
      </c>
      <c r="P718" t="s">
        <v>27</v>
      </c>
      <c r="Q718" t="s">
        <v>73</v>
      </c>
      <c r="R718" t="s">
        <v>76</v>
      </c>
      <c r="S718" t="s">
        <v>74</v>
      </c>
      <c r="T718" t="s">
        <v>75</v>
      </c>
      <c r="X718" t="s">
        <v>77</v>
      </c>
      <c r="Z718" t="s">
        <v>72</v>
      </c>
      <c r="AA718" t="s">
        <v>94</v>
      </c>
      <c r="AB718">
        <v>5</v>
      </c>
      <c r="AC718">
        <v>748750.15</v>
      </c>
      <c r="AD718">
        <v>8930482.1199999992</v>
      </c>
      <c r="AE718">
        <v>190.01</v>
      </c>
      <c r="AF718">
        <v>748750.15</v>
      </c>
      <c r="AG718">
        <v>8930482.1199999992</v>
      </c>
      <c r="AH718">
        <v>179.4</v>
      </c>
      <c r="AI718">
        <v>10.61</v>
      </c>
      <c r="AJ718">
        <v>0.6</v>
      </c>
      <c r="AK718">
        <v>3.37</v>
      </c>
      <c r="AL718">
        <v>2.93</v>
      </c>
      <c r="AM718">
        <v>0</v>
      </c>
      <c r="AN718">
        <v>0</v>
      </c>
      <c r="AO718">
        <v>358</v>
      </c>
      <c r="AP718">
        <v>3.37</v>
      </c>
      <c r="AQ718">
        <v>0.67</v>
      </c>
      <c r="AR718">
        <v>0.09</v>
      </c>
      <c r="AS718">
        <v>0.08</v>
      </c>
      <c r="AT718">
        <v>20.079999999999998</v>
      </c>
      <c r="AU718">
        <v>5.83</v>
      </c>
      <c r="AV718">
        <v>0.35</v>
      </c>
      <c r="AW718">
        <v>1.91</v>
      </c>
      <c r="AX718">
        <v>8.2100000000000009</v>
      </c>
      <c r="AY718">
        <v>3.3</v>
      </c>
      <c r="AZ718">
        <v>106.434</v>
      </c>
      <c r="BA718">
        <v>0</v>
      </c>
      <c r="BB718">
        <v>0</v>
      </c>
      <c r="BC718">
        <v>0</v>
      </c>
      <c r="BD718">
        <v>0</v>
      </c>
    </row>
    <row r="719" spans="1:56" x14ac:dyDescent="0.25">
      <c r="A719" s="23">
        <v>46304</v>
      </c>
      <c r="B719">
        <v>718</v>
      </c>
      <c r="C719" t="s">
        <v>82</v>
      </c>
      <c r="D719" t="s">
        <v>83</v>
      </c>
      <c r="E719">
        <v>2</v>
      </c>
      <c r="F719">
        <v>180</v>
      </c>
      <c r="G719">
        <v>1</v>
      </c>
      <c r="H719" t="s">
        <v>95</v>
      </c>
      <c r="I719" t="s">
        <v>91</v>
      </c>
      <c r="J719" t="s">
        <v>85</v>
      </c>
      <c r="K719" t="s">
        <v>86</v>
      </c>
      <c r="L719" t="s">
        <v>71</v>
      </c>
      <c r="M719" t="s">
        <v>87</v>
      </c>
      <c r="O719" t="s">
        <v>88</v>
      </c>
      <c r="P719" t="s">
        <v>27</v>
      </c>
      <c r="Q719" t="s">
        <v>73</v>
      </c>
      <c r="R719" t="s">
        <v>76</v>
      </c>
      <c r="S719" t="s">
        <v>74</v>
      </c>
      <c r="T719" t="s">
        <v>75</v>
      </c>
      <c r="X719" t="s">
        <v>77</v>
      </c>
      <c r="Z719" t="s">
        <v>72</v>
      </c>
      <c r="AA719" t="s">
        <v>94</v>
      </c>
      <c r="AB719">
        <v>5</v>
      </c>
      <c r="AC719">
        <v>748752.83</v>
      </c>
      <c r="AD719">
        <v>8930484.1600000001</v>
      </c>
      <c r="AE719">
        <v>190.16</v>
      </c>
      <c r="AF719">
        <v>748752.83</v>
      </c>
      <c r="AG719">
        <v>8930484.1600000001</v>
      </c>
      <c r="AH719">
        <v>179.4</v>
      </c>
      <c r="AI719">
        <v>10.76</v>
      </c>
      <c r="AJ719">
        <v>0.6</v>
      </c>
      <c r="AK719">
        <v>3.37</v>
      </c>
      <c r="AL719">
        <v>2.93</v>
      </c>
      <c r="AM719">
        <v>0</v>
      </c>
      <c r="AN719">
        <v>0</v>
      </c>
      <c r="AO719">
        <v>358</v>
      </c>
      <c r="AP719">
        <v>3.37</v>
      </c>
      <c r="AQ719">
        <v>0.61</v>
      </c>
      <c r="AR719">
        <v>0.08</v>
      </c>
      <c r="AS719">
        <v>7.0000000000000007E-2</v>
      </c>
      <c r="AT719">
        <v>18.84</v>
      </c>
      <c r="AU719">
        <v>5.82</v>
      </c>
      <c r="AV719">
        <v>0.33</v>
      </c>
      <c r="AW719">
        <v>1.87</v>
      </c>
      <c r="AX719">
        <v>8.9600000000000009</v>
      </c>
      <c r="AY719">
        <v>3.3</v>
      </c>
      <c r="AZ719">
        <v>108.61799999999999</v>
      </c>
      <c r="BA719">
        <v>0</v>
      </c>
      <c r="BB719">
        <v>0</v>
      </c>
      <c r="BC719">
        <v>0</v>
      </c>
      <c r="BD719">
        <v>0</v>
      </c>
    </row>
    <row r="720" spans="1:56" x14ac:dyDescent="0.25">
      <c r="A720" s="23">
        <v>46304</v>
      </c>
      <c r="B720">
        <v>719</v>
      </c>
      <c r="C720" t="s">
        <v>82</v>
      </c>
      <c r="D720" t="s">
        <v>83</v>
      </c>
      <c r="E720">
        <v>2</v>
      </c>
      <c r="F720">
        <v>180</v>
      </c>
      <c r="G720">
        <v>1</v>
      </c>
      <c r="H720" t="s">
        <v>95</v>
      </c>
      <c r="I720" t="s">
        <v>91</v>
      </c>
      <c r="J720" t="s">
        <v>85</v>
      </c>
      <c r="K720" t="s">
        <v>86</v>
      </c>
      <c r="L720" t="s">
        <v>71</v>
      </c>
      <c r="M720" t="s">
        <v>87</v>
      </c>
      <c r="O720" t="s">
        <v>88</v>
      </c>
      <c r="P720" t="s">
        <v>27</v>
      </c>
      <c r="Q720" t="s">
        <v>73</v>
      </c>
      <c r="R720" t="s">
        <v>76</v>
      </c>
      <c r="S720" t="s">
        <v>74</v>
      </c>
      <c r="T720" t="s">
        <v>75</v>
      </c>
      <c r="X720" t="s">
        <v>77</v>
      </c>
      <c r="Z720" t="s">
        <v>72</v>
      </c>
      <c r="AA720" t="s">
        <v>94</v>
      </c>
      <c r="AB720">
        <v>5</v>
      </c>
      <c r="AC720">
        <v>748755.51</v>
      </c>
      <c r="AD720">
        <v>8930486.2100000009</v>
      </c>
      <c r="AE720">
        <v>190.06</v>
      </c>
      <c r="AF720">
        <v>748755.51</v>
      </c>
      <c r="AG720">
        <v>8930486.2100000009</v>
      </c>
      <c r="AH720">
        <v>179.4</v>
      </c>
      <c r="AI720">
        <v>10.66</v>
      </c>
      <c r="AJ720">
        <v>0.6</v>
      </c>
      <c r="AK720">
        <v>3.37</v>
      </c>
      <c r="AL720">
        <v>2.93</v>
      </c>
      <c r="AM720">
        <v>0</v>
      </c>
      <c r="AN720">
        <v>0</v>
      </c>
      <c r="AO720">
        <v>358</v>
      </c>
      <c r="AP720">
        <v>3.37</v>
      </c>
      <c r="AQ720">
        <v>0.61</v>
      </c>
      <c r="AR720">
        <v>0.08</v>
      </c>
      <c r="AS720">
        <v>7.0000000000000007E-2</v>
      </c>
      <c r="AT720">
        <v>18.79</v>
      </c>
      <c r="AU720">
        <v>5.82</v>
      </c>
      <c r="AV720">
        <v>0.33</v>
      </c>
      <c r="AW720">
        <v>1.87</v>
      </c>
      <c r="AX720">
        <v>8.9700000000000006</v>
      </c>
      <c r="AY720">
        <v>3.3</v>
      </c>
      <c r="AZ720">
        <v>107.16200000000001</v>
      </c>
      <c r="BA720">
        <v>0</v>
      </c>
      <c r="BB720">
        <v>0</v>
      </c>
      <c r="BC720">
        <v>0</v>
      </c>
      <c r="BD720">
        <v>0</v>
      </c>
    </row>
    <row r="721" spans="1:56" x14ac:dyDescent="0.25">
      <c r="A721" s="23">
        <v>46304</v>
      </c>
      <c r="B721">
        <v>720</v>
      </c>
      <c r="C721" t="s">
        <v>82</v>
      </c>
      <c r="D721" t="s">
        <v>83</v>
      </c>
      <c r="E721">
        <v>2</v>
      </c>
      <c r="F721">
        <v>180</v>
      </c>
      <c r="G721">
        <v>1</v>
      </c>
      <c r="H721" t="s">
        <v>95</v>
      </c>
      <c r="I721" t="s">
        <v>91</v>
      </c>
      <c r="J721" t="s">
        <v>85</v>
      </c>
      <c r="K721" t="s">
        <v>86</v>
      </c>
      <c r="L721" t="s">
        <v>71</v>
      </c>
      <c r="M721" t="s">
        <v>87</v>
      </c>
      <c r="O721" t="s">
        <v>88</v>
      </c>
      <c r="P721" t="s">
        <v>27</v>
      </c>
      <c r="Q721" t="s">
        <v>73</v>
      </c>
      <c r="R721" t="s">
        <v>76</v>
      </c>
      <c r="S721" t="s">
        <v>74</v>
      </c>
      <c r="T721" t="s">
        <v>75</v>
      </c>
      <c r="X721" t="s">
        <v>77</v>
      </c>
      <c r="Z721" t="s">
        <v>72</v>
      </c>
      <c r="AA721" t="s">
        <v>94</v>
      </c>
      <c r="AB721">
        <v>5</v>
      </c>
      <c r="AC721">
        <v>748758.22</v>
      </c>
      <c r="AD721">
        <v>8930488.2100000009</v>
      </c>
      <c r="AE721">
        <v>189.95</v>
      </c>
      <c r="AF721">
        <v>748758.22</v>
      </c>
      <c r="AG721">
        <v>8930488.2100000009</v>
      </c>
      <c r="AH721">
        <v>179.4</v>
      </c>
      <c r="AI721">
        <v>10.55</v>
      </c>
      <c r="AJ721">
        <v>0.6</v>
      </c>
      <c r="AK721">
        <v>3.37</v>
      </c>
      <c r="AL721">
        <v>2.93</v>
      </c>
      <c r="AM721">
        <v>0</v>
      </c>
      <c r="AN721">
        <v>0</v>
      </c>
      <c r="AO721">
        <v>358</v>
      </c>
      <c r="AP721">
        <v>3.33</v>
      </c>
      <c r="AQ721">
        <v>0.55000000000000004</v>
      </c>
      <c r="AR721">
        <v>7.0000000000000007E-2</v>
      </c>
      <c r="AS721">
        <v>7.0000000000000007E-2</v>
      </c>
      <c r="AT721">
        <v>17.18</v>
      </c>
      <c r="AU721">
        <v>5.34</v>
      </c>
      <c r="AV721">
        <v>0.3</v>
      </c>
      <c r="AW721">
        <v>1.7</v>
      </c>
      <c r="AX721">
        <v>7.97</v>
      </c>
      <c r="AY721">
        <v>3.3</v>
      </c>
      <c r="AZ721">
        <v>105.56</v>
      </c>
      <c r="BA721">
        <v>0</v>
      </c>
      <c r="BB721">
        <v>0</v>
      </c>
      <c r="BC721">
        <v>0</v>
      </c>
      <c r="BD721">
        <v>0</v>
      </c>
    </row>
    <row r="722" spans="1:56" x14ac:dyDescent="0.25">
      <c r="A722" s="23">
        <v>46304</v>
      </c>
      <c r="B722">
        <v>721</v>
      </c>
      <c r="C722" t="s">
        <v>82</v>
      </c>
      <c r="D722" t="s">
        <v>83</v>
      </c>
      <c r="E722">
        <v>2</v>
      </c>
      <c r="F722">
        <v>180</v>
      </c>
      <c r="G722">
        <v>1</v>
      </c>
      <c r="H722" t="s">
        <v>95</v>
      </c>
      <c r="I722" t="s">
        <v>91</v>
      </c>
      <c r="J722" t="s">
        <v>85</v>
      </c>
      <c r="K722" t="s">
        <v>86</v>
      </c>
      <c r="L722" t="s">
        <v>71</v>
      </c>
      <c r="M722" t="s">
        <v>87</v>
      </c>
      <c r="O722" t="s">
        <v>88</v>
      </c>
      <c r="P722" t="s">
        <v>27</v>
      </c>
      <c r="Q722" t="s">
        <v>73</v>
      </c>
      <c r="R722" t="s">
        <v>76</v>
      </c>
      <c r="S722" t="s">
        <v>74</v>
      </c>
      <c r="T722" t="s">
        <v>75</v>
      </c>
      <c r="X722" t="s">
        <v>77</v>
      </c>
      <c r="Z722" t="s">
        <v>72</v>
      </c>
      <c r="AA722" t="s">
        <v>94</v>
      </c>
      <c r="AB722">
        <v>5</v>
      </c>
      <c r="AC722">
        <v>748761.05</v>
      </c>
      <c r="AD722">
        <v>8930490.0399999991</v>
      </c>
      <c r="AE722">
        <v>190.08</v>
      </c>
      <c r="AF722">
        <v>748761.05</v>
      </c>
      <c r="AG722">
        <v>8930490.0399999991</v>
      </c>
      <c r="AH722">
        <v>179.4</v>
      </c>
      <c r="AI722">
        <v>10.68</v>
      </c>
      <c r="AJ722">
        <v>0.6</v>
      </c>
      <c r="AK722">
        <v>3.37</v>
      </c>
      <c r="AL722">
        <v>2.93</v>
      </c>
      <c r="AM722">
        <v>0</v>
      </c>
      <c r="AN722">
        <v>0</v>
      </c>
      <c r="AO722">
        <v>358</v>
      </c>
      <c r="AP722">
        <v>3.23</v>
      </c>
      <c r="AQ722">
        <v>0.4</v>
      </c>
      <c r="AR722">
        <v>0.05</v>
      </c>
      <c r="AS722">
        <v>0.05</v>
      </c>
      <c r="AT722">
        <v>12.79</v>
      </c>
      <c r="AU722">
        <v>4.13</v>
      </c>
      <c r="AV722">
        <v>0.25</v>
      </c>
      <c r="AW722">
        <v>1.1299999999999999</v>
      </c>
      <c r="AX722">
        <v>1.29</v>
      </c>
      <c r="AY722">
        <v>3.3</v>
      </c>
      <c r="AZ722">
        <v>107.453</v>
      </c>
      <c r="BA722">
        <v>0</v>
      </c>
      <c r="BB722">
        <v>0</v>
      </c>
      <c r="BC722">
        <v>0</v>
      </c>
      <c r="BD722">
        <v>0</v>
      </c>
    </row>
    <row r="723" spans="1:56" x14ac:dyDescent="0.25">
      <c r="A723" s="23">
        <v>46304</v>
      </c>
      <c r="B723">
        <v>722</v>
      </c>
      <c r="C723" t="s">
        <v>82</v>
      </c>
      <c r="D723" t="s">
        <v>83</v>
      </c>
      <c r="E723">
        <v>2</v>
      </c>
      <c r="F723">
        <v>180</v>
      </c>
      <c r="G723">
        <v>0</v>
      </c>
      <c r="H723" t="s">
        <v>95</v>
      </c>
      <c r="I723" t="s">
        <v>78</v>
      </c>
      <c r="J723" t="s">
        <v>85</v>
      </c>
      <c r="K723" t="s">
        <v>86</v>
      </c>
      <c r="L723" t="s">
        <v>71</v>
      </c>
      <c r="M723" t="s">
        <v>87</v>
      </c>
      <c r="O723" t="s">
        <v>88</v>
      </c>
      <c r="P723" t="s">
        <v>27</v>
      </c>
      <c r="Q723" t="s">
        <v>73</v>
      </c>
      <c r="R723" t="s">
        <v>76</v>
      </c>
      <c r="S723" t="s">
        <v>74</v>
      </c>
      <c r="T723" t="s">
        <v>75</v>
      </c>
      <c r="X723" t="s">
        <v>77</v>
      </c>
      <c r="Z723" t="s">
        <v>72</v>
      </c>
      <c r="AA723" t="s">
        <v>94</v>
      </c>
      <c r="AB723">
        <v>5</v>
      </c>
      <c r="AC723">
        <v>748763.88</v>
      </c>
      <c r="AD723">
        <v>8930491.8599999994</v>
      </c>
      <c r="AE723">
        <v>190.12</v>
      </c>
      <c r="AF723">
        <v>748763.88</v>
      </c>
      <c r="AG723">
        <v>8930491.8599999994</v>
      </c>
      <c r="AH723">
        <v>179.4</v>
      </c>
      <c r="AI723">
        <v>10.72</v>
      </c>
      <c r="AJ723">
        <v>0.6</v>
      </c>
      <c r="AK723">
        <v>3.37</v>
      </c>
      <c r="AL723">
        <v>2.93</v>
      </c>
      <c r="AM723">
        <v>0</v>
      </c>
      <c r="AN723">
        <v>0</v>
      </c>
      <c r="AO723">
        <v>358</v>
      </c>
      <c r="AP723">
        <v>3.17</v>
      </c>
      <c r="AQ723">
        <v>0.3</v>
      </c>
      <c r="AR723">
        <v>0.04</v>
      </c>
      <c r="AS723">
        <v>0.04</v>
      </c>
      <c r="AT723">
        <v>9.86</v>
      </c>
      <c r="AU723">
        <v>3.2</v>
      </c>
      <c r="AV723">
        <v>0.2</v>
      </c>
      <c r="AW723">
        <v>0.83</v>
      </c>
      <c r="AX723">
        <v>0</v>
      </c>
      <c r="AY723">
        <v>3.3</v>
      </c>
      <c r="AZ723">
        <v>108.035</v>
      </c>
      <c r="BA723">
        <v>0</v>
      </c>
      <c r="BB723">
        <v>0</v>
      </c>
      <c r="BC723">
        <v>0</v>
      </c>
      <c r="BD723">
        <v>0</v>
      </c>
    </row>
    <row r="724" spans="1:56" x14ac:dyDescent="0.25">
      <c r="A724" s="23">
        <v>46304</v>
      </c>
      <c r="B724">
        <v>723</v>
      </c>
      <c r="C724" t="s">
        <v>82</v>
      </c>
      <c r="D724" t="s">
        <v>83</v>
      </c>
      <c r="E724">
        <v>2</v>
      </c>
      <c r="F724">
        <v>180</v>
      </c>
      <c r="G724">
        <v>0</v>
      </c>
      <c r="H724" t="s">
        <v>95</v>
      </c>
      <c r="I724" t="s">
        <v>78</v>
      </c>
      <c r="J724" t="s">
        <v>70</v>
      </c>
      <c r="K724" t="s">
        <v>86</v>
      </c>
      <c r="L724" t="s">
        <v>71</v>
      </c>
      <c r="M724" t="s">
        <v>87</v>
      </c>
      <c r="O724" t="s">
        <v>88</v>
      </c>
      <c r="P724" t="s">
        <v>27</v>
      </c>
      <c r="Q724" t="s">
        <v>73</v>
      </c>
      <c r="R724" t="s">
        <v>76</v>
      </c>
      <c r="S724" t="s">
        <v>74</v>
      </c>
      <c r="T724" t="s">
        <v>75</v>
      </c>
      <c r="X724" t="s">
        <v>77</v>
      </c>
      <c r="Z724" t="s">
        <v>72</v>
      </c>
      <c r="AA724" t="s">
        <v>94</v>
      </c>
      <c r="AB724">
        <v>5</v>
      </c>
      <c r="AC724">
        <v>748766.71999999997</v>
      </c>
      <c r="AD724">
        <v>8930493.6899999995</v>
      </c>
      <c r="AE724">
        <v>190.13</v>
      </c>
      <c r="AF724">
        <v>748766.71999999997</v>
      </c>
      <c r="AG724">
        <v>8930493.6899999995</v>
      </c>
      <c r="AH724">
        <v>179.4</v>
      </c>
      <c r="AI724">
        <v>10.73</v>
      </c>
      <c r="AJ724">
        <v>0.6</v>
      </c>
      <c r="AK724">
        <v>3.37</v>
      </c>
      <c r="AL724">
        <v>2.93</v>
      </c>
      <c r="AM724">
        <v>0</v>
      </c>
      <c r="AN724">
        <v>0</v>
      </c>
      <c r="AO724">
        <v>358</v>
      </c>
      <c r="AP724">
        <v>3.13</v>
      </c>
      <c r="AQ724">
        <v>0.23</v>
      </c>
      <c r="AR724">
        <v>0.03</v>
      </c>
      <c r="AS724">
        <v>0.03</v>
      </c>
      <c r="AT724">
        <v>7.56</v>
      </c>
      <c r="AU724">
        <v>2.46</v>
      </c>
      <c r="AV724">
        <v>0.15</v>
      </c>
      <c r="AW724">
        <v>0.64</v>
      </c>
      <c r="AX724">
        <v>0</v>
      </c>
      <c r="AY724">
        <v>3.3</v>
      </c>
      <c r="AZ724">
        <v>108.181</v>
      </c>
      <c r="BA724">
        <v>0</v>
      </c>
      <c r="BB724">
        <v>0</v>
      </c>
      <c r="BC724">
        <v>0</v>
      </c>
      <c r="BD724">
        <v>0</v>
      </c>
    </row>
    <row r="725" spans="1:56" x14ac:dyDescent="0.25">
      <c r="A725" s="23">
        <v>46304</v>
      </c>
      <c r="B725">
        <v>724</v>
      </c>
      <c r="C725" t="s">
        <v>82</v>
      </c>
      <c r="D725" t="s">
        <v>83</v>
      </c>
      <c r="E725">
        <v>2</v>
      </c>
      <c r="F725">
        <v>180</v>
      </c>
      <c r="G725">
        <v>0</v>
      </c>
      <c r="H725" t="s">
        <v>95</v>
      </c>
      <c r="I725" t="s">
        <v>78</v>
      </c>
      <c r="J725" t="s">
        <v>70</v>
      </c>
      <c r="K725" t="s">
        <v>86</v>
      </c>
      <c r="L725" t="s">
        <v>71</v>
      </c>
      <c r="M725" t="s">
        <v>87</v>
      </c>
      <c r="O725" t="s">
        <v>88</v>
      </c>
      <c r="P725" t="s">
        <v>27</v>
      </c>
      <c r="Q725" t="s">
        <v>73</v>
      </c>
      <c r="R725" t="s">
        <v>76</v>
      </c>
      <c r="S725" t="s">
        <v>74</v>
      </c>
      <c r="T725" t="s">
        <v>75</v>
      </c>
      <c r="X725" t="s">
        <v>77</v>
      </c>
      <c r="Z725" t="s">
        <v>72</v>
      </c>
      <c r="AA725" t="s">
        <v>94</v>
      </c>
      <c r="AB725">
        <v>5</v>
      </c>
      <c r="AC725">
        <v>748769.55</v>
      </c>
      <c r="AD725">
        <v>8930495.5099999998</v>
      </c>
      <c r="AE725">
        <v>190.17</v>
      </c>
      <c r="AF725">
        <v>748769.55</v>
      </c>
      <c r="AG725">
        <v>8930495.5099999998</v>
      </c>
      <c r="AH725">
        <v>179.4</v>
      </c>
      <c r="AI725">
        <v>10.77</v>
      </c>
      <c r="AJ725">
        <v>0.6</v>
      </c>
      <c r="AK725">
        <v>3.37</v>
      </c>
      <c r="AL725">
        <v>2.93</v>
      </c>
      <c r="AM725">
        <v>0</v>
      </c>
      <c r="AN725">
        <v>0</v>
      </c>
      <c r="AO725">
        <v>358</v>
      </c>
      <c r="AP725">
        <v>3.12</v>
      </c>
      <c r="AQ725">
        <v>0.21</v>
      </c>
      <c r="AR725">
        <v>0.03</v>
      </c>
      <c r="AS725">
        <v>0.02</v>
      </c>
      <c r="AT725">
        <v>6.83</v>
      </c>
      <c r="AU725">
        <v>2.33</v>
      </c>
      <c r="AV725">
        <v>0.13</v>
      </c>
      <c r="AW725">
        <v>0.75</v>
      </c>
      <c r="AX725">
        <v>0</v>
      </c>
      <c r="AY725">
        <v>3.3</v>
      </c>
      <c r="AZ725">
        <v>108.76300000000001</v>
      </c>
      <c r="BA725">
        <v>0</v>
      </c>
      <c r="BB725">
        <v>0</v>
      </c>
      <c r="BC725">
        <v>0</v>
      </c>
      <c r="BD725">
        <v>0</v>
      </c>
    </row>
    <row r="726" spans="1:56" x14ac:dyDescent="0.25">
      <c r="A726" s="23">
        <v>46304</v>
      </c>
      <c r="B726">
        <v>725</v>
      </c>
      <c r="C726" t="s">
        <v>82</v>
      </c>
      <c r="D726" t="s">
        <v>83</v>
      </c>
      <c r="E726">
        <v>2</v>
      </c>
      <c r="F726">
        <v>180</v>
      </c>
      <c r="G726">
        <v>0</v>
      </c>
      <c r="H726" t="s">
        <v>95</v>
      </c>
      <c r="I726" t="s">
        <v>78</v>
      </c>
      <c r="J726" t="s">
        <v>70</v>
      </c>
      <c r="K726" t="s">
        <v>86</v>
      </c>
      <c r="L726" t="s">
        <v>71</v>
      </c>
      <c r="M726" t="s">
        <v>87</v>
      </c>
      <c r="O726" t="s">
        <v>88</v>
      </c>
      <c r="P726" t="s">
        <v>27</v>
      </c>
      <c r="Q726" t="s">
        <v>73</v>
      </c>
      <c r="R726" t="s">
        <v>76</v>
      </c>
      <c r="S726" t="s">
        <v>74</v>
      </c>
      <c r="T726" t="s">
        <v>75</v>
      </c>
      <c r="X726" t="s">
        <v>77</v>
      </c>
      <c r="Z726" t="s">
        <v>72</v>
      </c>
      <c r="AA726" t="s">
        <v>94</v>
      </c>
      <c r="AB726">
        <v>5</v>
      </c>
      <c r="AC726">
        <v>748772.38</v>
      </c>
      <c r="AD726">
        <v>8930497.3399999999</v>
      </c>
      <c r="AE726">
        <v>190.29</v>
      </c>
      <c r="AF726">
        <v>748772.38</v>
      </c>
      <c r="AG726">
        <v>8930497.3399999999</v>
      </c>
      <c r="AH726">
        <v>179.4</v>
      </c>
      <c r="AI726">
        <v>10.89</v>
      </c>
      <c r="AJ726">
        <v>0.6</v>
      </c>
      <c r="AK726">
        <v>3.37</v>
      </c>
      <c r="AL726">
        <v>2.93</v>
      </c>
      <c r="AM726">
        <v>0</v>
      </c>
      <c r="AN726">
        <v>0</v>
      </c>
      <c r="AO726">
        <v>358</v>
      </c>
      <c r="AP726">
        <v>3.15</v>
      </c>
      <c r="AQ726">
        <v>0.23</v>
      </c>
      <c r="AR726">
        <v>0.03</v>
      </c>
      <c r="AS726">
        <v>0.03</v>
      </c>
      <c r="AT726">
        <v>7.71</v>
      </c>
      <c r="AU726">
        <v>2.87</v>
      </c>
      <c r="AV726">
        <v>0.12</v>
      </c>
      <c r="AW726">
        <v>1.21</v>
      </c>
      <c r="AX726">
        <v>0</v>
      </c>
      <c r="AY726">
        <v>3.3</v>
      </c>
      <c r="AZ726">
        <v>110.51</v>
      </c>
      <c r="BA726">
        <v>0</v>
      </c>
      <c r="BB726">
        <v>0</v>
      </c>
      <c r="BC726">
        <v>0</v>
      </c>
      <c r="BD726">
        <v>0</v>
      </c>
    </row>
    <row r="727" spans="1:56" x14ac:dyDescent="0.25">
      <c r="A727" s="23">
        <v>46304</v>
      </c>
      <c r="B727">
        <v>726</v>
      </c>
      <c r="C727" t="s">
        <v>82</v>
      </c>
      <c r="D727" t="s">
        <v>83</v>
      </c>
      <c r="E727">
        <v>2</v>
      </c>
      <c r="F727">
        <v>180</v>
      </c>
      <c r="G727">
        <v>0</v>
      </c>
      <c r="H727" t="s">
        <v>95</v>
      </c>
      <c r="I727" t="s">
        <v>78</v>
      </c>
      <c r="J727" t="s">
        <v>90</v>
      </c>
      <c r="K727" t="s">
        <v>86</v>
      </c>
      <c r="L727" t="s">
        <v>71</v>
      </c>
      <c r="M727" t="s">
        <v>87</v>
      </c>
      <c r="O727" t="s">
        <v>88</v>
      </c>
      <c r="P727" t="s">
        <v>27</v>
      </c>
      <c r="Q727" t="s">
        <v>73</v>
      </c>
      <c r="R727" t="s">
        <v>76</v>
      </c>
      <c r="S727" t="s">
        <v>74</v>
      </c>
      <c r="T727" t="s">
        <v>75</v>
      </c>
      <c r="X727" t="s">
        <v>77</v>
      </c>
      <c r="Z727" t="s">
        <v>72</v>
      </c>
      <c r="AA727" t="s">
        <v>94</v>
      </c>
      <c r="AB727">
        <v>5</v>
      </c>
      <c r="AC727">
        <v>748775.22</v>
      </c>
      <c r="AD727">
        <v>8930499.1600000001</v>
      </c>
      <c r="AE727">
        <v>190.32</v>
      </c>
      <c r="AF727">
        <v>748775.22</v>
      </c>
      <c r="AG727">
        <v>8930499.1600000001</v>
      </c>
      <c r="AH727">
        <v>179.4</v>
      </c>
      <c r="AI727">
        <v>10.92</v>
      </c>
      <c r="AJ727">
        <v>0.6</v>
      </c>
      <c r="AK727">
        <v>3.37</v>
      </c>
      <c r="AL727">
        <v>2.93</v>
      </c>
      <c r="AM727">
        <v>0</v>
      </c>
      <c r="AN727">
        <v>0</v>
      </c>
      <c r="AO727">
        <v>358</v>
      </c>
      <c r="AP727">
        <v>3.17</v>
      </c>
      <c r="AQ727">
        <v>0.28000000000000003</v>
      </c>
      <c r="AR727">
        <v>0.03</v>
      </c>
      <c r="AS727">
        <v>0.03</v>
      </c>
      <c r="AT727">
        <v>9.33</v>
      </c>
      <c r="AU727">
        <v>3.77</v>
      </c>
      <c r="AV727">
        <v>0.13</v>
      </c>
      <c r="AW727">
        <v>1.83</v>
      </c>
      <c r="AX727">
        <v>0</v>
      </c>
      <c r="AY727">
        <v>3.3</v>
      </c>
      <c r="AZ727">
        <v>110.947</v>
      </c>
      <c r="BA727">
        <v>0</v>
      </c>
      <c r="BB727">
        <v>0</v>
      </c>
      <c r="BC727">
        <v>0</v>
      </c>
      <c r="BD727">
        <v>0</v>
      </c>
    </row>
    <row r="728" spans="1:56" x14ac:dyDescent="0.25">
      <c r="A728" s="23">
        <v>46304</v>
      </c>
      <c r="B728">
        <v>727</v>
      </c>
      <c r="C728" t="s">
        <v>82</v>
      </c>
      <c r="D728" t="s">
        <v>83</v>
      </c>
      <c r="E728">
        <v>2</v>
      </c>
      <c r="F728">
        <v>180</v>
      </c>
      <c r="G728">
        <v>0</v>
      </c>
      <c r="H728" t="s">
        <v>95</v>
      </c>
      <c r="I728" t="s">
        <v>78</v>
      </c>
      <c r="J728" t="s">
        <v>90</v>
      </c>
      <c r="K728" t="s">
        <v>86</v>
      </c>
      <c r="L728" t="s">
        <v>71</v>
      </c>
      <c r="M728" t="s">
        <v>87</v>
      </c>
      <c r="O728" t="s">
        <v>88</v>
      </c>
      <c r="P728" t="s">
        <v>27</v>
      </c>
      <c r="Q728" t="s">
        <v>73</v>
      </c>
      <c r="R728" t="s">
        <v>76</v>
      </c>
      <c r="S728" t="s">
        <v>74</v>
      </c>
      <c r="T728" t="s">
        <v>75</v>
      </c>
      <c r="X728" t="s">
        <v>77</v>
      </c>
      <c r="Z728" t="s">
        <v>72</v>
      </c>
      <c r="AA728" t="s">
        <v>94</v>
      </c>
      <c r="AB728">
        <v>5</v>
      </c>
      <c r="AC728">
        <v>748778.05</v>
      </c>
      <c r="AD728">
        <v>8930500.9800000004</v>
      </c>
      <c r="AE728">
        <v>190.34</v>
      </c>
      <c r="AF728">
        <v>748778.05</v>
      </c>
      <c r="AG728">
        <v>8930500.9800000004</v>
      </c>
      <c r="AH728">
        <v>179.4</v>
      </c>
      <c r="AI728">
        <v>10.94</v>
      </c>
      <c r="AJ728">
        <v>0.6</v>
      </c>
      <c r="AK728">
        <v>3.37</v>
      </c>
      <c r="AL728">
        <v>2.93</v>
      </c>
      <c r="AM728">
        <v>0</v>
      </c>
      <c r="AN728">
        <v>0</v>
      </c>
      <c r="AO728">
        <v>358</v>
      </c>
      <c r="AP728">
        <v>3.18</v>
      </c>
      <c r="AQ728">
        <v>0.32</v>
      </c>
      <c r="AR728">
        <v>0.04</v>
      </c>
      <c r="AS728">
        <v>0.03</v>
      </c>
      <c r="AT728">
        <v>10.93</v>
      </c>
      <c r="AU728">
        <v>4.67</v>
      </c>
      <c r="AV728">
        <v>0.13</v>
      </c>
      <c r="AW728">
        <v>2.41</v>
      </c>
      <c r="AX728">
        <v>0</v>
      </c>
      <c r="AY728">
        <v>3.3</v>
      </c>
      <c r="AZ728">
        <v>111.238</v>
      </c>
      <c r="BA728">
        <v>0</v>
      </c>
      <c r="BB728">
        <v>0</v>
      </c>
      <c r="BC728">
        <v>0</v>
      </c>
      <c r="BD728">
        <v>0</v>
      </c>
    </row>
    <row r="729" spans="1:56" x14ac:dyDescent="0.25">
      <c r="A729" s="23">
        <v>46304</v>
      </c>
      <c r="B729">
        <v>728</v>
      </c>
      <c r="C729" t="s">
        <v>82</v>
      </c>
      <c r="D729" t="s">
        <v>83</v>
      </c>
      <c r="E729">
        <v>2</v>
      </c>
      <c r="F729">
        <v>180</v>
      </c>
      <c r="G729">
        <v>1</v>
      </c>
      <c r="H729" t="s">
        <v>96</v>
      </c>
      <c r="I729" t="s">
        <v>78</v>
      </c>
      <c r="J729" t="s">
        <v>90</v>
      </c>
      <c r="K729" t="s">
        <v>86</v>
      </c>
      <c r="L729" t="s">
        <v>71</v>
      </c>
      <c r="M729" t="s">
        <v>87</v>
      </c>
      <c r="O729" t="s">
        <v>88</v>
      </c>
      <c r="P729" t="s">
        <v>27</v>
      </c>
      <c r="Q729" t="s">
        <v>73</v>
      </c>
      <c r="R729" t="s">
        <v>76</v>
      </c>
      <c r="S729" t="s">
        <v>74</v>
      </c>
      <c r="T729" t="s">
        <v>75</v>
      </c>
      <c r="X729" t="s">
        <v>77</v>
      </c>
      <c r="Z729" t="s">
        <v>72</v>
      </c>
      <c r="AA729" t="s">
        <v>94</v>
      </c>
      <c r="AB729">
        <v>5</v>
      </c>
      <c r="AC729">
        <v>748780.89</v>
      </c>
      <c r="AD729">
        <v>8930502.8000000007</v>
      </c>
      <c r="AE729">
        <v>193.47</v>
      </c>
      <c r="AF729">
        <v>748780.89</v>
      </c>
      <c r="AG729">
        <v>8930502.8000000007</v>
      </c>
      <c r="AH729">
        <v>179.4</v>
      </c>
      <c r="AI729">
        <v>14.07</v>
      </c>
      <c r="AJ729">
        <v>0.6</v>
      </c>
      <c r="AK729">
        <v>3.37</v>
      </c>
      <c r="AL729">
        <v>2.93</v>
      </c>
      <c r="AM729">
        <v>0</v>
      </c>
      <c r="AN729">
        <v>0</v>
      </c>
      <c r="AO729">
        <v>358</v>
      </c>
      <c r="AP729">
        <v>3.2</v>
      </c>
      <c r="AQ729">
        <v>0.32</v>
      </c>
      <c r="AR729">
        <v>0.04</v>
      </c>
      <c r="AS729">
        <v>0.03</v>
      </c>
      <c r="AT729">
        <v>11.2</v>
      </c>
      <c r="AU729">
        <v>4.8899999999999997</v>
      </c>
      <c r="AV729">
        <v>0.13</v>
      </c>
      <c r="AW729">
        <v>2.52</v>
      </c>
      <c r="AX729">
        <v>0.01</v>
      </c>
      <c r="AY729">
        <v>3.3</v>
      </c>
      <c r="AZ729">
        <v>156.81100000000001</v>
      </c>
      <c r="BA729">
        <v>0</v>
      </c>
      <c r="BB729">
        <v>0</v>
      </c>
      <c r="BC729">
        <v>0</v>
      </c>
      <c r="BD729">
        <v>0</v>
      </c>
    </row>
    <row r="730" spans="1:56" x14ac:dyDescent="0.25">
      <c r="A730" s="23">
        <v>46304</v>
      </c>
      <c r="B730">
        <v>729</v>
      </c>
      <c r="C730" t="s">
        <v>82</v>
      </c>
      <c r="D730" t="s">
        <v>83</v>
      </c>
      <c r="E730">
        <v>2</v>
      </c>
      <c r="F730">
        <v>180</v>
      </c>
      <c r="G730">
        <v>1</v>
      </c>
      <c r="H730" t="s">
        <v>96</v>
      </c>
      <c r="I730" t="s">
        <v>78</v>
      </c>
      <c r="J730" t="s">
        <v>90</v>
      </c>
      <c r="K730" t="s">
        <v>86</v>
      </c>
      <c r="L730" t="s">
        <v>71</v>
      </c>
      <c r="M730" t="s">
        <v>87</v>
      </c>
      <c r="O730" t="s">
        <v>88</v>
      </c>
      <c r="P730" t="s">
        <v>27</v>
      </c>
      <c r="Q730" t="s">
        <v>73</v>
      </c>
      <c r="R730" t="s">
        <v>76</v>
      </c>
      <c r="S730" t="s">
        <v>74</v>
      </c>
      <c r="T730" t="s">
        <v>75</v>
      </c>
      <c r="X730" t="s">
        <v>77</v>
      </c>
      <c r="Z730" t="s">
        <v>72</v>
      </c>
      <c r="AA730" t="s">
        <v>94</v>
      </c>
      <c r="AB730">
        <v>5</v>
      </c>
      <c r="AC730">
        <v>748784.21</v>
      </c>
      <c r="AD730">
        <v>8930503.3800000008</v>
      </c>
      <c r="AE730">
        <v>194.32</v>
      </c>
      <c r="AF730">
        <v>748784.21</v>
      </c>
      <c r="AG730">
        <v>8930503.3800000008</v>
      </c>
      <c r="AH730">
        <v>179.4</v>
      </c>
      <c r="AI730">
        <v>14.92</v>
      </c>
      <c r="AJ730">
        <v>0.6</v>
      </c>
      <c r="AK730">
        <v>3.37</v>
      </c>
      <c r="AL730">
        <v>2.93</v>
      </c>
      <c r="AM730">
        <v>0</v>
      </c>
      <c r="AN730">
        <v>0</v>
      </c>
      <c r="AO730">
        <v>358</v>
      </c>
      <c r="AP730">
        <v>3.21</v>
      </c>
      <c r="AQ730">
        <v>0.32</v>
      </c>
      <c r="AR730">
        <v>0.04</v>
      </c>
      <c r="AS730">
        <v>0.03</v>
      </c>
      <c r="AT730">
        <v>11.31</v>
      </c>
      <c r="AU730">
        <v>4.88</v>
      </c>
      <c r="AV730">
        <v>0.13</v>
      </c>
      <c r="AW730">
        <v>2.4</v>
      </c>
      <c r="AX730">
        <v>0.04</v>
      </c>
      <c r="AY730">
        <v>3.3</v>
      </c>
      <c r="AZ730">
        <v>169.18700000000001</v>
      </c>
      <c r="BA730">
        <v>0</v>
      </c>
      <c r="BB730">
        <v>0</v>
      </c>
      <c r="BC730">
        <v>0</v>
      </c>
      <c r="BD730">
        <v>0</v>
      </c>
    </row>
    <row r="731" spans="1:56" x14ac:dyDescent="0.25">
      <c r="A731" s="23">
        <v>46304</v>
      </c>
      <c r="B731">
        <v>730</v>
      </c>
      <c r="C731" t="s">
        <v>82</v>
      </c>
      <c r="D731" t="s">
        <v>83</v>
      </c>
      <c r="E731">
        <v>2</v>
      </c>
      <c r="F731">
        <v>180</v>
      </c>
      <c r="G731">
        <v>1</v>
      </c>
      <c r="H731" t="s">
        <v>96</v>
      </c>
      <c r="I731" t="s">
        <v>78</v>
      </c>
      <c r="J731" t="s">
        <v>90</v>
      </c>
      <c r="K731" t="s">
        <v>86</v>
      </c>
      <c r="L731" t="s">
        <v>71</v>
      </c>
      <c r="M731" t="s">
        <v>87</v>
      </c>
      <c r="O731" t="s">
        <v>88</v>
      </c>
      <c r="P731" t="s">
        <v>27</v>
      </c>
      <c r="Q731" t="s">
        <v>73</v>
      </c>
      <c r="R731" t="s">
        <v>76</v>
      </c>
      <c r="S731" t="s">
        <v>74</v>
      </c>
      <c r="T731" t="s">
        <v>75</v>
      </c>
      <c r="X731" t="s">
        <v>77</v>
      </c>
      <c r="Z731" t="s">
        <v>72</v>
      </c>
      <c r="AA731" t="s">
        <v>94</v>
      </c>
      <c r="AB731">
        <v>5</v>
      </c>
      <c r="AC731">
        <v>748787.53</v>
      </c>
      <c r="AD731">
        <v>8930503.9600000009</v>
      </c>
      <c r="AE731">
        <v>194.22</v>
      </c>
      <c r="AF731">
        <v>748787.53</v>
      </c>
      <c r="AG731">
        <v>8930503.9600000009</v>
      </c>
      <c r="AH731">
        <v>179.4</v>
      </c>
      <c r="AI731">
        <v>14.82</v>
      </c>
      <c r="AJ731">
        <v>0.6</v>
      </c>
      <c r="AK731">
        <v>3.37</v>
      </c>
      <c r="AL731">
        <v>2.93</v>
      </c>
      <c r="AM731">
        <v>0</v>
      </c>
      <c r="AN731">
        <v>0</v>
      </c>
      <c r="AO731">
        <v>358</v>
      </c>
      <c r="AP731">
        <v>3.24</v>
      </c>
      <c r="AQ731">
        <v>0.38</v>
      </c>
      <c r="AR731">
        <v>0.04</v>
      </c>
      <c r="AS731">
        <v>0.04</v>
      </c>
      <c r="AT731">
        <v>12.79</v>
      </c>
      <c r="AU731">
        <v>5.22</v>
      </c>
      <c r="AV731">
        <v>0.17</v>
      </c>
      <c r="AW731">
        <v>2.2200000000000002</v>
      </c>
      <c r="AX731">
        <v>0.72</v>
      </c>
      <c r="AY731">
        <v>3.3</v>
      </c>
      <c r="AZ731">
        <v>167.73099999999999</v>
      </c>
      <c r="BA731">
        <v>0</v>
      </c>
      <c r="BB731">
        <v>0</v>
      </c>
      <c r="BC731">
        <v>0</v>
      </c>
      <c r="BD731">
        <v>0</v>
      </c>
    </row>
    <row r="732" spans="1:56" x14ac:dyDescent="0.25">
      <c r="A732" s="23">
        <v>46304</v>
      </c>
      <c r="B732">
        <v>731</v>
      </c>
      <c r="C732" t="s">
        <v>82</v>
      </c>
      <c r="D732" t="s">
        <v>83</v>
      </c>
      <c r="E732">
        <v>2</v>
      </c>
      <c r="F732">
        <v>180</v>
      </c>
      <c r="G732">
        <v>1</v>
      </c>
      <c r="H732" t="s">
        <v>96</v>
      </c>
      <c r="I732" t="s">
        <v>91</v>
      </c>
      <c r="J732" t="s">
        <v>85</v>
      </c>
      <c r="K732" t="s">
        <v>86</v>
      </c>
      <c r="L732" t="s">
        <v>71</v>
      </c>
      <c r="M732" t="s">
        <v>87</v>
      </c>
      <c r="O732" t="s">
        <v>88</v>
      </c>
      <c r="P732" t="s">
        <v>27</v>
      </c>
      <c r="Q732" t="s">
        <v>73</v>
      </c>
      <c r="R732" t="s">
        <v>76</v>
      </c>
      <c r="S732" t="s">
        <v>74</v>
      </c>
      <c r="T732" t="s">
        <v>75</v>
      </c>
      <c r="X732" t="s">
        <v>77</v>
      </c>
      <c r="Z732" t="s">
        <v>72</v>
      </c>
      <c r="AA732" t="s">
        <v>94</v>
      </c>
      <c r="AB732">
        <v>5</v>
      </c>
      <c r="AC732">
        <v>748790.85</v>
      </c>
      <c r="AD732">
        <v>8930504.5399999991</v>
      </c>
      <c r="AE732">
        <v>194.35</v>
      </c>
      <c r="AF732">
        <v>748790.85</v>
      </c>
      <c r="AG732">
        <v>8930504.5399999991</v>
      </c>
      <c r="AH732">
        <v>179.4</v>
      </c>
      <c r="AI732">
        <v>14.95</v>
      </c>
      <c r="AJ732">
        <v>0.6</v>
      </c>
      <c r="AK732">
        <v>3.37</v>
      </c>
      <c r="AL732">
        <v>2.93</v>
      </c>
      <c r="AM732">
        <v>0</v>
      </c>
      <c r="AN732">
        <v>0</v>
      </c>
      <c r="AO732">
        <v>358</v>
      </c>
      <c r="AP732">
        <v>3.32</v>
      </c>
      <c r="AQ732">
        <v>0.51</v>
      </c>
      <c r="AR732">
        <v>0.06</v>
      </c>
      <c r="AS732">
        <v>0.06</v>
      </c>
      <c r="AT732">
        <v>15.63</v>
      </c>
      <c r="AU732">
        <v>5.67</v>
      </c>
      <c r="AV732">
        <v>0.21</v>
      </c>
      <c r="AW732">
        <v>1.56</v>
      </c>
      <c r="AX732">
        <v>2.38</v>
      </c>
      <c r="AY732">
        <v>3.3</v>
      </c>
      <c r="AZ732">
        <v>169.624</v>
      </c>
      <c r="BA732">
        <v>0</v>
      </c>
      <c r="BB732">
        <v>0</v>
      </c>
      <c r="BC732">
        <v>0</v>
      </c>
      <c r="BD732">
        <v>0</v>
      </c>
    </row>
    <row r="733" spans="1:56" x14ac:dyDescent="0.25">
      <c r="A733" s="23">
        <v>46304</v>
      </c>
      <c r="B733">
        <v>732</v>
      </c>
      <c r="C733" t="s">
        <v>82</v>
      </c>
      <c r="D733" t="s">
        <v>83</v>
      </c>
      <c r="E733">
        <v>2</v>
      </c>
      <c r="F733">
        <v>180</v>
      </c>
      <c r="G733">
        <v>1</v>
      </c>
      <c r="H733" t="s">
        <v>96</v>
      </c>
      <c r="I733" t="s">
        <v>91</v>
      </c>
      <c r="J733" t="s">
        <v>85</v>
      </c>
      <c r="K733" t="s">
        <v>86</v>
      </c>
      <c r="L733" t="s">
        <v>71</v>
      </c>
      <c r="M733" t="s">
        <v>87</v>
      </c>
      <c r="O733" t="s">
        <v>88</v>
      </c>
      <c r="P733" t="s">
        <v>27</v>
      </c>
      <c r="Q733" t="s">
        <v>73</v>
      </c>
      <c r="R733" t="s">
        <v>76</v>
      </c>
      <c r="S733" t="s">
        <v>74</v>
      </c>
      <c r="T733" t="s">
        <v>75</v>
      </c>
      <c r="X733" t="s">
        <v>77</v>
      </c>
      <c r="Z733" t="s">
        <v>72</v>
      </c>
      <c r="AA733" t="s">
        <v>94</v>
      </c>
      <c r="AB733">
        <v>5</v>
      </c>
      <c r="AC733">
        <v>748794.17</v>
      </c>
      <c r="AD733">
        <v>8930505.1199999992</v>
      </c>
      <c r="AE733">
        <v>194.85</v>
      </c>
      <c r="AF733">
        <v>748794.17</v>
      </c>
      <c r="AG733">
        <v>8930505.1199999992</v>
      </c>
      <c r="AH733">
        <v>179.4</v>
      </c>
      <c r="AI733">
        <v>15.45</v>
      </c>
      <c r="AJ733">
        <v>0.6</v>
      </c>
      <c r="AK733">
        <v>3.37</v>
      </c>
      <c r="AL733">
        <v>2.93</v>
      </c>
      <c r="AM733">
        <v>0</v>
      </c>
      <c r="AN733">
        <v>0</v>
      </c>
      <c r="AO733">
        <v>358</v>
      </c>
      <c r="AP733">
        <v>3.34</v>
      </c>
      <c r="AQ733">
        <v>0.56999999999999995</v>
      </c>
      <c r="AR733">
        <v>0.06</v>
      </c>
      <c r="AS733">
        <v>0.06</v>
      </c>
      <c r="AT733">
        <v>17.21</v>
      </c>
      <c r="AU733">
        <v>5.69</v>
      </c>
      <c r="AV733">
        <v>0.25</v>
      </c>
      <c r="AW733">
        <v>1.7</v>
      </c>
      <c r="AX733">
        <v>2.57</v>
      </c>
      <c r="AY733">
        <v>3.3</v>
      </c>
      <c r="AZ733">
        <v>176.904</v>
      </c>
      <c r="BA733">
        <v>0</v>
      </c>
      <c r="BB733">
        <v>0</v>
      </c>
      <c r="BC733">
        <v>0</v>
      </c>
      <c r="BD733">
        <v>0</v>
      </c>
    </row>
    <row r="734" spans="1:56" x14ac:dyDescent="0.25">
      <c r="A734" s="23">
        <v>46304</v>
      </c>
      <c r="B734">
        <v>733</v>
      </c>
      <c r="C734" t="s">
        <v>82</v>
      </c>
      <c r="D734" t="s">
        <v>83</v>
      </c>
      <c r="E734">
        <v>2</v>
      </c>
      <c r="F734">
        <v>180</v>
      </c>
      <c r="G734">
        <v>1</v>
      </c>
      <c r="H734" t="s">
        <v>96</v>
      </c>
      <c r="I734" t="s">
        <v>91</v>
      </c>
      <c r="J734" t="s">
        <v>85</v>
      </c>
      <c r="K734" t="s">
        <v>80</v>
      </c>
      <c r="L734" t="s">
        <v>71</v>
      </c>
      <c r="M734" t="s">
        <v>87</v>
      </c>
      <c r="O734" t="s">
        <v>88</v>
      </c>
      <c r="P734" t="s">
        <v>27</v>
      </c>
      <c r="Q734" t="s">
        <v>73</v>
      </c>
      <c r="R734" t="s">
        <v>76</v>
      </c>
      <c r="S734" t="s">
        <v>74</v>
      </c>
      <c r="T734" t="s">
        <v>75</v>
      </c>
      <c r="X734" t="s">
        <v>77</v>
      </c>
      <c r="Z734" t="s">
        <v>72</v>
      </c>
      <c r="AA734" t="s">
        <v>94</v>
      </c>
      <c r="AB734">
        <v>5</v>
      </c>
      <c r="AC734">
        <v>748797.49</v>
      </c>
      <c r="AD734">
        <v>8930505.6999999993</v>
      </c>
      <c r="AE734">
        <v>195.28</v>
      </c>
      <c r="AF734">
        <v>748797.49</v>
      </c>
      <c r="AG734">
        <v>8930505.6999999993</v>
      </c>
      <c r="AH734">
        <v>179.4</v>
      </c>
      <c r="AI734">
        <v>15.88</v>
      </c>
      <c r="AJ734">
        <v>0.6</v>
      </c>
      <c r="AK734">
        <v>3.37</v>
      </c>
      <c r="AL734">
        <v>2.93</v>
      </c>
      <c r="AM734">
        <v>0</v>
      </c>
      <c r="AN734">
        <v>0</v>
      </c>
      <c r="AO734">
        <v>358</v>
      </c>
      <c r="AP734">
        <v>3.36</v>
      </c>
      <c r="AQ734">
        <v>0.61</v>
      </c>
      <c r="AR734">
        <v>7.0000000000000007E-2</v>
      </c>
      <c r="AS734">
        <v>7.0000000000000007E-2</v>
      </c>
      <c r="AT734">
        <v>18.59</v>
      </c>
      <c r="AU734">
        <v>5.75</v>
      </c>
      <c r="AV734">
        <v>0.31</v>
      </c>
      <c r="AW734">
        <v>2.0099999999999998</v>
      </c>
      <c r="AX734">
        <v>2.71</v>
      </c>
      <c r="AY734">
        <v>3.3</v>
      </c>
      <c r="AZ734">
        <v>183.16499999999999</v>
      </c>
      <c r="BA734">
        <v>0</v>
      </c>
      <c r="BB734">
        <v>0</v>
      </c>
      <c r="BC734">
        <v>0</v>
      </c>
      <c r="BD734">
        <v>0</v>
      </c>
    </row>
    <row r="735" spans="1:56" x14ac:dyDescent="0.25">
      <c r="A735" s="23">
        <v>46304</v>
      </c>
      <c r="B735">
        <v>734</v>
      </c>
      <c r="C735" t="s">
        <v>82</v>
      </c>
      <c r="D735" t="s">
        <v>83</v>
      </c>
      <c r="E735">
        <v>2</v>
      </c>
      <c r="F735">
        <v>180</v>
      </c>
      <c r="G735">
        <v>1</v>
      </c>
      <c r="H735" t="s">
        <v>96</v>
      </c>
      <c r="I735" t="s">
        <v>91</v>
      </c>
      <c r="J735" t="s">
        <v>85</v>
      </c>
      <c r="K735" t="s">
        <v>80</v>
      </c>
      <c r="L735" t="s">
        <v>71</v>
      </c>
      <c r="M735" t="s">
        <v>87</v>
      </c>
      <c r="O735" t="s">
        <v>88</v>
      </c>
      <c r="P735" t="s">
        <v>27</v>
      </c>
      <c r="Q735" t="s">
        <v>73</v>
      </c>
      <c r="R735" t="s">
        <v>76</v>
      </c>
      <c r="S735" t="s">
        <v>74</v>
      </c>
      <c r="T735" t="s">
        <v>75</v>
      </c>
      <c r="X735" t="s">
        <v>77</v>
      </c>
      <c r="Z735" t="s">
        <v>72</v>
      </c>
      <c r="AA735" t="s">
        <v>94</v>
      </c>
      <c r="AB735">
        <v>5</v>
      </c>
      <c r="AC735">
        <v>748800.74</v>
      </c>
      <c r="AD735">
        <v>8930506.5399999991</v>
      </c>
      <c r="AE735">
        <v>195.34</v>
      </c>
      <c r="AF735">
        <v>748800.74</v>
      </c>
      <c r="AG735">
        <v>8930506.5399999991</v>
      </c>
      <c r="AH735">
        <v>179.4</v>
      </c>
      <c r="AI735">
        <v>15.94</v>
      </c>
      <c r="AJ735">
        <v>0.6</v>
      </c>
      <c r="AK735">
        <v>3.37</v>
      </c>
      <c r="AL735">
        <v>2.93</v>
      </c>
      <c r="AM735">
        <v>0</v>
      </c>
      <c r="AN735">
        <v>0</v>
      </c>
      <c r="AO735">
        <v>358</v>
      </c>
      <c r="AP735">
        <v>3.31</v>
      </c>
      <c r="AQ735">
        <v>0.61</v>
      </c>
      <c r="AR735">
        <v>0.08</v>
      </c>
      <c r="AS735">
        <v>7.0000000000000007E-2</v>
      </c>
      <c r="AT735">
        <v>18.12</v>
      </c>
      <c r="AU735">
        <v>5.67</v>
      </c>
      <c r="AV735">
        <v>0.34</v>
      </c>
      <c r="AW735">
        <v>1.8</v>
      </c>
      <c r="AX735">
        <v>2.52</v>
      </c>
      <c r="AY735">
        <v>3.3</v>
      </c>
      <c r="AZ735">
        <v>184.03800000000001</v>
      </c>
      <c r="BA735">
        <v>0</v>
      </c>
      <c r="BB735">
        <v>0</v>
      </c>
      <c r="BC735">
        <v>0</v>
      </c>
      <c r="BD735">
        <v>0</v>
      </c>
    </row>
    <row r="736" spans="1:56" x14ac:dyDescent="0.25">
      <c r="A736" s="23">
        <v>46304</v>
      </c>
      <c r="B736">
        <v>735</v>
      </c>
      <c r="C736" t="s">
        <v>82</v>
      </c>
      <c r="D736" t="s">
        <v>83</v>
      </c>
      <c r="E736">
        <v>2</v>
      </c>
      <c r="F736">
        <v>180</v>
      </c>
      <c r="G736">
        <v>1</v>
      </c>
      <c r="H736" t="s">
        <v>96</v>
      </c>
      <c r="I736" t="s">
        <v>91</v>
      </c>
      <c r="J736" t="s">
        <v>85</v>
      </c>
      <c r="K736" t="s">
        <v>80</v>
      </c>
      <c r="L736" t="s">
        <v>71</v>
      </c>
      <c r="M736" t="s">
        <v>87</v>
      </c>
      <c r="O736" t="s">
        <v>88</v>
      </c>
      <c r="P736" t="s">
        <v>27</v>
      </c>
      <c r="Q736" t="s">
        <v>73</v>
      </c>
      <c r="R736" t="s">
        <v>76</v>
      </c>
      <c r="S736" t="s">
        <v>74</v>
      </c>
      <c r="T736" t="s">
        <v>75</v>
      </c>
      <c r="X736" t="s">
        <v>77</v>
      </c>
      <c r="Z736" t="s">
        <v>72</v>
      </c>
      <c r="AA736" t="s">
        <v>94</v>
      </c>
      <c r="AB736">
        <v>5</v>
      </c>
      <c r="AC736">
        <v>748803.94</v>
      </c>
      <c r="AD736">
        <v>8930507.5999999996</v>
      </c>
      <c r="AE736">
        <v>195.21</v>
      </c>
      <c r="AF736">
        <v>748803.94</v>
      </c>
      <c r="AG736">
        <v>8930507.5999999996</v>
      </c>
      <c r="AH736">
        <v>179.4</v>
      </c>
      <c r="AI736">
        <v>15.81</v>
      </c>
      <c r="AJ736">
        <v>0.6</v>
      </c>
      <c r="AK736">
        <v>3.37</v>
      </c>
      <c r="AL736">
        <v>2.93</v>
      </c>
      <c r="AM736">
        <v>0</v>
      </c>
      <c r="AN736">
        <v>0</v>
      </c>
      <c r="AO736">
        <v>358</v>
      </c>
      <c r="AP736">
        <v>3.3</v>
      </c>
      <c r="AQ736">
        <v>0.61</v>
      </c>
      <c r="AR736">
        <v>0.08</v>
      </c>
      <c r="AS736">
        <v>7.0000000000000007E-2</v>
      </c>
      <c r="AT736">
        <v>17.920000000000002</v>
      </c>
      <c r="AU736">
        <v>5.65</v>
      </c>
      <c r="AV736">
        <v>0.36</v>
      </c>
      <c r="AW736">
        <v>1.71</v>
      </c>
      <c r="AX736">
        <v>2.39</v>
      </c>
      <c r="AY736">
        <v>3.3</v>
      </c>
      <c r="AZ736">
        <v>182.14599999999999</v>
      </c>
      <c r="BA736">
        <v>0</v>
      </c>
      <c r="BB736">
        <v>0</v>
      </c>
      <c r="BC736">
        <v>0</v>
      </c>
      <c r="BD736">
        <v>0</v>
      </c>
    </row>
    <row r="737" spans="1:56" x14ac:dyDescent="0.25">
      <c r="A737" s="23">
        <v>46304</v>
      </c>
      <c r="B737">
        <v>736</v>
      </c>
      <c r="C737" t="s">
        <v>82</v>
      </c>
      <c r="D737" t="s">
        <v>83</v>
      </c>
      <c r="E737">
        <v>2</v>
      </c>
      <c r="F737">
        <v>180</v>
      </c>
      <c r="G737">
        <v>1</v>
      </c>
      <c r="H737" t="s">
        <v>96</v>
      </c>
      <c r="I737" t="s">
        <v>91</v>
      </c>
      <c r="J737" t="s">
        <v>85</v>
      </c>
      <c r="K737" t="s">
        <v>80</v>
      </c>
      <c r="L737" t="s">
        <v>71</v>
      </c>
      <c r="M737" t="s">
        <v>87</v>
      </c>
      <c r="O737" t="s">
        <v>88</v>
      </c>
      <c r="P737" t="s">
        <v>27</v>
      </c>
      <c r="Q737" t="s">
        <v>73</v>
      </c>
      <c r="R737" t="s">
        <v>76</v>
      </c>
      <c r="S737" t="s">
        <v>74</v>
      </c>
      <c r="T737" t="s">
        <v>75</v>
      </c>
      <c r="X737" t="s">
        <v>77</v>
      </c>
      <c r="Z737" t="s">
        <v>72</v>
      </c>
      <c r="AA737" t="s">
        <v>94</v>
      </c>
      <c r="AB737">
        <v>5</v>
      </c>
      <c r="AC737">
        <v>748807.14</v>
      </c>
      <c r="AD737">
        <v>8930508.6600000001</v>
      </c>
      <c r="AE737">
        <v>195.36</v>
      </c>
      <c r="AF737">
        <v>748807.14</v>
      </c>
      <c r="AG737">
        <v>8930508.6600000001</v>
      </c>
      <c r="AH737">
        <v>179.4</v>
      </c>
      <c r="AI737">
        <v>15.96</v>
      </c>
      <c r="AJ737">
        <v>0.6</v>
      </c>
      <c r="AK737">
        <v>3.37</v>
      </c>
      <c r="AL737">
        <v>2.93</v>
      </c>
      <c r="AM737">
        <v>0</v>
      </c>
      <c r="AN737">
        <v>0</v>
      </c>
      <c r="AO737">
        <v>358</v>
      </c>
      <c r="AP737">
        <v>3.29</v>
      </c>
      <c r="AQ737">
        <v>0.59</v>
      </c>
      <c r="AR737">
        <v>0.08</v>
      </c>
      <c r="AS737">
        <v>7.0000000000000007E-2</v>
      </c>
      <c r="AT737">
        <v>17.88</v>
      </c>
      <c r="AU737">
        <v>5.64</v>
      </c>
      <c r="AV737">
        <v>0.36</v>
      </c>
      <c r="AW737">
        <v>1.66</v>
      </c>
      <c r="AX737">
        <v>2.62</v>
      </c>
      <c r="AY737">
        <v>3.3</v>
      </c>
      <c r="AZ737">
        <v>184.33</v>
      </c>
      <c r="BA737">
        <v>0</v>
      </c>
      <c r="BB737">
        <v>0</v>
      </c>
      <c r="BC737">
        <v>0</v>
      </c>
      <c r="BD737">
        <v>0</v>
      </c>
    </row>
    <row r="738" spans="1:56" x14ac:dyDescent="0.25">
      <c r="A738" s="23">
        <v>46304</v>
      </c>
      <c r="B738">
        <v>737</v>
      </c>
      <c r="C738" t="s">
        <v>82</v>
      </c>
      <c r="D738" t="s">
        <v>83</v>
      </c>
      <c r="E738">
        <v>2</v>
      </c>
      <c r="F738">
        <v>180</v>
      </c>
      <c r="G738">
        <v>1</v>
      </c>
      <c r="H738" t="s">
        <v>96</v>
      </c>
      <c r="I738" t="s">
        <v>91</v>
      </c>
      <c r="J738" t="s">
        <v>85</v>
      </c>
      <c r="K738" t="s">
        <v>86</v>
      </c>
      <c r="L738" t="s">
        <v>71</v>
      </c>
      <c r="M738" t="s">
        <v>87</v>
      </c>
      <c r="O738" t="s">
        <v>88</v>
      </c>
      <c r="P738" t="s">
        <v>27</v>
      </c>
      <c r="Q738" t="s">
        <v>73</v>
      </c>
      <c r="R738" t="s">
        <v>76</v>
      </c>
      <c r="S738" t="s">
        <v>74</v>
      </c>
      <c r="T738" t="s">
        <v>75</v>
      </c>
      <c r="X738" t="s">
        <v>77</v>
      </c>
      <c r="Z738" t="s">
        <v>72</v>
      </c>
      <c r="AA738" t="s">
        <v>94</v>
      </c>
      <c r="AB738">
        <v>5</v>
      </c>
      <c r="AC738">
        <v>748810.44</v>
      </c>
      <c r="AD738">
        <v>8930509.3399999999</v>
      </c>
      <c r="AE738">
        <v>195.69</v>
      </c>
      <c r="AF738">
        <v>748810.44</v>
      </c>
      <c r="AG738">
        <v>8930509.3399999999</v>
      </c>
      <c r="AH738">
        <v>179.4</v>
      </c>
      <c r="AI738">
        <v>16.29</v>
      </c>
      <c r="AJ738">
        <v>0.6</v>
      </c>
      <c r="AK738">
        <v>3.37</v>
      </c>
      <c r="AL738">
        <v>2.93</v>
      </c>
      <c r="AM738">
        <v>0</v>
      </c>
      <c r="AN738">
        <v>0</v>
      </c>
      <c r="AO738">
        <v>358</v>
      </c>
      <c r="AP738">
        <v>3.29</v>
      </c>
      <c r="AQ738">
        <v>0.54</v>
      </c>
      <c r="AR738">
        <v>0.08</v>
      </c>
      <c r="AS738">
        <v>0.06</v>
      </c>
      <c r="AT738">
        <v>17.43</v>
      </c>
      <c r="AU738">
        <v>5.49</v>
      </c>
      <c r="AV738">
        <v>0.37</v>
      </c>
      <c r="AW738">
        <v>1.49</v>
      </c>
      <c r="AX738">
        <v>2.52</v>
      </c>
      <c r="AY738">
        <v>3.3</v>
      </c>
      <c r="AZ738">
        <v>189.13399999999999</v>
      </c>
      <c r="BA738">
        <v>0</v>
      </c>
      <c r="BB738">
        <v>0</v>
      </c>
      <c r="BC738">
        <v>0</v>
      </c>
      <c r="BD738">
        <v>0</v>
      </c>
    </row>
    <row r="739" spans="1:56" x14ac:dyDescent="0.25">
      <c r="A739" s="23">
        <v>46304</v>
      </c>
      <c r="B739">
        <v>738</v>
      </c>
      <c r="C739" t="s">
        <v>82</v>
      </c>
      <c r="D739" t="s">
        <v>83</v>
      </c>
      <c r="E739">
        <v>2</v>
      </c>
      <c r="F739">
        <v>180</v>
      </c>
      <c r="G739">
        <v>1</v>
      </c>
      <c r="H739" t="s">
        <v>96</v>
      </c>
      <c r="I739" t="s">
        <v>91</v>
      </c>
      <c r="J739" t="s">
        <v>85</v>
      </c>
      <c r="K739" t="s">
        <v>86</v>
      </c>
      <c r="L739" t="s">
        <v>71</v>
      </c>
      <c r="M739" t="s">
        <v>87</v>
      </c>
      <c r="O739" t="s">
        <v>88</v>
      </c>
      <c r="P739" t="s">
        <v>27</v>
      </c>
      <c r="Q739" t="s">
        <v>73</v>
      </c>
      <c r="R739" t="s">
        <v>76</v>
      </c>
      <c r="S739" t="s">
        <v>74</v>
      </c>
      <c r="T739" t="s">
        <v>75</v>
      </c>
      <c r="X739" t="s">
        <v>77</v>
      </c>
      <c r="Z739" t="s">
        <v>72</v>
      </c>
      <c r="AA739" t="s">
        <v>94</v>
      </c>
      <c r="AB739">
        <v>5</v>
      </c>
      <c r="AC739">
        <v>748813.74</v>
      </c>
      <c r="AD739">
        <v>8930510.0199999996</v>
      </c>
      <c r="AE739">
        <v>195.91</v>
      </c>
      <c r="AF739">
        <v>748813.74</v>
      </c>
      <c r="AG739">
        <v>8930510.0199999996</v>
      </c>
      <c r="AH739">
        <v>179.4</v>
      </c>
      <c r="AI739">
        <v>16.510000000000002</v>
      </c>
      <c r="AJ739">
        <v>0.6</v>
      </c>
      <c r="AK739">
        <v>3.37</v>
      </c>
      <c r="AL739">
        <v>2.93</v>
      </c>
      <c r="AM739">
        <v>0</v>
      </c>
      <c r="AN739">
        <v>0</v>
      </c>
      <c r="AO739">
        <v>358</v>
      </c>
      <c r="AP739">
        <v>3.28</v>
      </c>
      <c r="AQ739">
        <v>0.52</v>
      </c>
      <c r="AR739">
        <v>0.08</v>
      </c>
      <c r="AS739">
        <v>0.06</v>
      </c>
      <c r="AT739">
        <v>17.22</v>
      </c>
      <c r="AU739">
        <v>5.42</v>
      </c>
      <c r="AV739">
        <v>0.39</v>
      </c>
      <c r="AW739">
        <v>1.37</v>
      </c>
      <c r="AX739">
        <v>1.65</v>
      </c>
      <c r="AY739">
        <v>3.3</v>
      </c>
      <c r="AZ739">
        <v>192.33799999999999</v>
      </c>
      <c r="BA739">
        <v>0</v>
      </c>
      <c r="BB739">
        <v>0</v>
      </c>
      <c r="BC739">
        <v>0</v>
      </c>
      <c r="BD739">
        <v>0</v>
      </c>
    </row>
    <row r="740" spans="1:56" x14ac:dyDescent="0.25">
      <c r="A740" s="23">
        <v>46304</v>
      </c>
      <c r="B740">
        <v>739</v>
      </c>
      <c r="C740" t="s">
        <v>82</v>
      </c>
      <c r="D740" t="s">
        <v>83</v>
      </c>
      <c r="E740">
        <v>2</v>
      </c>
      <c r="F740">
        <v>180</v>
      </c>
      <c r="G740">
        <v>1</v>
      </c>
      <c r="H740" t="s">
        <v>96</v>
      </c>
      <c r="I740" t="s">
        <v>91</v>
      </c>
      <c r="J740" t="s">
        <v>85</v>
      </c>
      <c r="K740" t="s">
        <v>86</v>
      </c>
      <c r="L740" t="s">
        <v>71</v>
      </c>
      <c r="M740" t="s">
        <v>87</v>
      </c>
      <c r="O740" t="s">
        <v>88</v>
      </c>
      <c r="P740" t="s">
        <v>27</v>
      </c>
      <c r="Q740" t="s">
        <v>73</v>
      </c>
      <c r="R740" t="s">
        <v>76</v>
      </c>
      <c r="S740" t="s">
        <v>74</v>
      </c>
      <c r="T740" t="s">
        <v>75</v>
      </c>
      <c r="X740" t="s">
        <v>77</v>
      </c>
      <c r="Z740" t="s">
        <v>72</v>
      </c>
      <c r="AA740" t="s">
        <v>94</v>
      </c>
      <c r="AB740">
        <v>5</v>
      </c>
      <c r="AC740">
        <v>748817.04</v>
      </c>
      <c r="AD740">
        <v>8930510.7100000009</v>
      </c>
      <c r="AE740">
        <v>196.06</v>
      </c>
      <c r="AF740">
        <v>748817.04</v>
      </c>
      <c r="AG740">
        <v>8930510.7100000009</v>
      </c>
      <c r="AH740">
        <v>179.4</v>
      </c>
      <c r="AI740">
        <v>16.66</v>
      </c>
      <c r="AJ740">
        <v>0.6</v>
      </c>
      <c r="AK740">
        <v>3.37</v>
      </c>
      <c r="AL740">
        <v>2.93</v>
      </c>
      <c r="AM740">
        <v>0</v>
      </c>
      <c r="AN740">
        <v>0</v>
      </c>
      <c r="AO740">
        <v>358</v>
      </c>
      <c r="AP740">
        <v>3.27</v>
      </c>
      <c r="AQ740">
        <v>0.51</v>
      </c>
      <c r="AR740">
        <v>0.08</v>
      </c>
      <c r="AS740">
        <v>0.06</v>
      </c>
      <c r="AT740">
        <v>17.23</v>
      </c>
      <c r="AU740">
        <v>5.44</v>
      </c>
      <c r="AV740">
        <v>0.4</v>
      </c>
      <c r="AW740">
        <v>1.3</v>
      </c>
      <c r="AX740">
        <v>0.99</v>
      </c>
      <c r="AY740">
        <v>3.3</v>
      </c>
      <c r="AZ740">
        <v>194.52199999999999</v>
      </c>
      <c r="BA740">
        <v>0</v>
      </c>
      <c r="BB740">
        <v>0</v>
      </c>
      <c r="BC740">
        <v>0</v>
      </c>
      <c r="BD740">
        <v>0</v>
      </c>
    </row>
    <row r="741" spans="1:56" x14ac:dyDescent="0.25">
      <c r="A741" s="23">
        <v>46304</v>
      </c>
      <c r="B741">
        <v>740</v>
      </c>
      <c r="C741" t="s">
        <v>82</v>
      </c>
      <c r="D741" t="s">
        <v>83</v>
      </c>
      <c r="E741">
        <v>2</v>
      </c>
      <c r="F741">
        <v>180</v>
      </c>
      <c r="G741">
        <v>1</v>
      </c>
      <c r="H741" t="s">
        <v>96</v>
      </c>
      <c r="I741" t="s">
        <v>91</v>
      </c>
      <c r="J741" t="s">
        <v>85</v>
      </c>
      <c r="K741" t="s">
        <v>86</v>
      </c>
      <c r="L741" t="s">
        <v>71</v>
      </c>
      <c r="M741" t="s">
        <v>87</v>
      </c>
      <c r="O741" t="s">
        <v>88</v>
      </c>
      <c r="P741" t="s">
        <v>27</v>
      </c>
      <c r="Q741" t="s">
        <v>73</v>
      </c>
      <c r="R741" t="s">
        <v>76</v>
      </c>
      <c r="S741" t="s">
        <v>74</v>
      </c>
      <c r="T741" t="s">
        <v>75</v>
      </c>
      <c r="X741" t="s">
        <v>77</v>
      </c>
      <c r="Z741" t="s">
        <v>72</v>
      </c>
      <c r="AA741" t="s">
        <v>94</v>
      </c>
      <c r="AB741">
        <v>5</v>
      </c>
      <c r="AC741">
        <v>748816.99</v>
      </c>
      <c r="AD741">
        <v>8930507.6999999993</v>
      </c>
      <c r="AE741">
        <v>195.7</v>
      </c>
      <c r="AF741">
        <v>748816.99</v>
      </c>
      <c r="AG741">
        <v>8930507.6999999993</v>
      </c>
      <c r="AH741">
        <v>179.4</v>
      </c>
      <c r="AI741">
        <v>16.3</v>
      </c>
      <c r="AJ741">
        <v>0.6</v>
      </c>
      <c r="AK741">
        <v>3.37</v>
      </c>
      <c r="AL741">
        <v>2.93</v>
      </c>
      <c r="AM741">
        <v>0</v>
      </c>
      <c r="AN741">
        <v>0</v>
      </c>
      <c r="AO741">
        <v>358</v>
      </c>
      <c r="AP741">
        <v>3.31</v>
      </c>
      <c r="AQ741">
        <v>0.55000000000000004</v>
      </c>
      <c r="AR741">
        <v>0.09</v>
      </c>
      <c r="AS741">
        <v>0.06</v>
      </c>
      <c r="AT741">
        <v>17.170000000000002</v>
      </c>
      <c r="AU741">
        <v>5.37</v>
      </c>
      <c r="AV741">
        <v>0.36</v>
      </c>
      <c r="AW741">
        <v>1.54</v>
      </c>
      <c r="AX741">
        <v>3.25</v>
      </c>
      <c r="AY741">
        <v>3.3</v>
      </c>
      <c r="AZ741">
        <v>189.28</v>
      </c>
      <c r="BA741">
        <v>0</v>
      </c>
      <c r="BB741">
        <v>0</v>
      </c>
      <c r="BC741">
        <v>0</v>
      </c>
      <c r="BD741">
        <v>0</v>
      </c>
    </row>
    <row r="742" spans="1:56" x14ac:dyDescent="0.25">
      <c r="A742" s="23">
        <v>46304</v>
      </c>
      <c r="B742">
        <v>741</v>
      </c>
      <c r="C742" t="s">
        <v>82</v>
      </c>
      <c r="D742" t="s">
        <v>83</v>
      </c>
      <c r="E742">
        <v>2</v>
      </c>
      <c r="F742">
        <v>180</v>
      </c>
      <c r="G742">
        <v>1</v>
      </c>
      <c r="H742" t="s">
        <v>96</v>
      </c>
      <c r="I742" t="s">
        <v>91</v>
      </c>
      <c r="J742" t="s">
        <v>85</v>
      </c>
      <c r="K742" t="s">
        <v>86</v>
      </c>
      <c r="L742" t="s">
        <v>71</v>
      </c>
      <c r="M742" t="s">
        <v>87</v>
      </c>
      <c r="O742" t="s">
        <v>88</v>
      </c>
      <c r="P742" t="s">
        <v>27</v>
      </c>
      <c r="Q742" t="s">
        <v>73</v>
      </c>
      <c r="R742" t="s">
        <v>76</v>
      </c>
      <c r="S742" t="s">
        <v>74</v>
      </c>
      <c r="T742" t="s">
        <v>75</v>
      </c>
      <c r="X742" t="s">
        <v>77</v>
      </c>
      <c r="Z742" t="s">
        <v>72</v>
      </c>
      <c r="AA742" t="s">
        <v>94</v>
      </c>
      <c r="AB742">
        <v>5</v>
      </c>
      <c r="AC742">
        <v>748813.69</v>
      </c>
      <c r="AD742">
        <v>8930507.0199999996</v>
      </c>
      <c r="AE742">
        <v>195.57</v>
      </c>
      <c r="AF742">
        <v>748813.69</v>
      </c>
      <c r="AG742">
        <v>8930507.0199999996</v>
      </c>
      <c r="AH742">
        <v>179.4</v>
      </c>
      <c r="AI742">
        <v>16.170000000000002</v>
      </c>
      <c r="AJ742">
        <v>0.6</v>
      </c>
      <c r="AK742">
        <v>3.37</v>
      </c>
      <c r="AL742">
        <v>2.93</v>
      </c>
      <c r="AM742">
        <v>0</v>
      </c>
      <c r="AN742">
        <v>0</v>
      </c>
      <c r="AO742">
        <v>358</v>
      </c>
      <c r="AP742">
        <v>3.31</v>
      </c>
      <c r="AQ742">
        <v>0.55000000000000004</v>
      </c>
      <c r="AR742">
        <v>0.09</v>
      </c>
      <c r="AS742">
        <v>0.06</v>
      </c>
      <c r="AT742">
        <v>17.16</v>
      </c>
      <c r="AU742">
        <v>5.38</v>
      </c>
      <c r="AV742">
        <v>0.36</v>
      </c>
      <c r="AW742">
        <v>1.54</v>
      </c>
      <c r="AX742">
        <v>3.2</v>
      </c>
      <c r="AY742">
        <v>3.3</v>
      </c>
      <c r="AZ742">
        <v>187.387</v>
      </c>
      <c r="BA742">
        <v>0</v>
      </c>
      <c r="BB742">
        <v>0</v>
      </c>
      <c r="BC742">
        <v>0</v>
      </c>
      <c r="BD742">
        <v>0</v>
      </c>
    </row>
    <row r="743" spans="1:56" x14ac:dyDescent="0.25">
      <c r="A743" s="23">
        <v>46304</v>
      </c>
      <c r="B743">
        <v>742</v>
      </c>
      <c r="C743" t="s">
        <v>82</v>
      </c>
      <c r="D743" t="s">
        <v>83</v>
      </c>
      <c r="E743">
        <v>2</v>
      </c>
      <c r="F743">
        <v>180</v>
      </c>
      <c r="G743">
        <v>1</v>
      </c>
      <c r="H743" t="s">
        <v>96</v>
      </c>
      <c r="I743" t="s">
        <v>91</v>
      </c>
      <c r="J743" t="s">
        <v>85</v>
      </c>
      <c r="K743" t="s">
        <v>80</v>
      </c>
      <c r="L743" t="s">
        <v>71</v>
      </c>
      <c r="M743" t="s">
        <v>87</v>
      </c>
      <c r="O743" t="s">
        <v>88</v>
      </c>
      <c r="P743" t="s">
        <v>27</v>
      </c>
      <c r="Q743" t="s">
        <v>73</v>
      </c>
      <c r="R743" t="s">
        <v>76</v>
      </c>
      <c r="S743" t="s">
        <v>74</v>
      </c>
      <c r="T743" t="s">
        <v>75</v>
      </c>
      <c r="X743" t="s">
        <v>77</v>
      </c>
      <c r="Z743" t="s">
        <v>72</v>
      </c>
      <c r="AA743" t="s">
        <v>94</v>
      </c>
      <c r="AB743">
        <v>5</v>
      </c>
      <c r="AC743">
        <v>748810.39</v>
      </c>
      <c r="AD743">
        <v>8930506.3399999999</v>
      </c>
      <c r="AE743">
        <v>195.48</v>
      </c>
      <c r="AF743">
        <v>748810.39</v>
      </c>
      <c r="AG743">
        <v>8930506.3399999999</v>
      </c>
      <c r="AH743">
        <v>179.4</v>
      </c>
      <c r="AI743">
        <v>16.079999999999998</v>
      </c>
      <c r="AJ743">
        <v>0.6</v>
      </c>
      <c r="AK743">
        <v>3.37</v>
      </c>
      <c r="AL743">
        <v>2.93</v>
      </c>
      <c r="AM743">
        <v>0</v>
      </c>
      <c r="AN743">
        <v>0</v>
      </c>
      <c r="AO743">
        <v>358</v>
      </c>
      <c r="AP743">
        <v>3.3</v>
      </c>
      <c r="AQ743">
        <v>0.56999999999999995</v>
      </c>
      <c r="AR743">
        <v>0.09</v>
      </c>
      <c r="AS743">
        <v>0.06</v>
      </c>
      <c r="AT743">
        <v>17.45</v>
      </c>
      <c r="AU743">
        <v>5.48</v>
      </c>
      <c r="AV743">
        <v>0.36</v>
      </c>
      <c r="AW743">
        <v>1.61</v>
      </c>
      <c r="AX743">
        <v>2.9</v>
      </c>
      <c r="AY743">
        <v>3.3</v>
      </c>
      <c r="AZ743">
        <v>186.077</v>
      </c>
      <c r="BA743">
        <v>0</v>
      </c>
      <c r="BB743">
        <v>0</v>
      </c>
      <c r="BC743">
        <v>0</v>
      </c>
      <c r="BD743">
        <v>0</v>
      </c>
    </row>
    <row r="744" spans="1:56" x14ac:dyDescent="0.25">
      <c r="A744" s="23">
        <v>46304</v>
      </c>
      <c r="B744">
        <v>743</v>
      </c>
      <c r="C744" t="s">
        <v>82</v>
      </c>
      <c r="D744" t="s">
        <v>83</v>
      </c>
      <c r="E744">
        <v>2</v>
      </c>
      <c r="F744">
        <v>180</v>
      </c>
      <c r="G744">
        <v>1</v>
      </c>
      <c r="H744" t="s">
        <v>96</v>
      </c>
      <c r="I744" t="s">
        <v>91</v>
      </c>
      <c r="J744" t="s">
        <v>85</v>
      </c>
      <c r="K744" t="s">
        <v>80</v>
      </c>
      <c r="L744" t="s">
        <v>71</v>
      </c>
      <c r="M744" t="s">
        <v>87</v>
      </c>
      <c r="O744" t="s">
        <v>88</v>
      </c>
      <c r="P744" t="s">
        <v>27</v>
      </c>
      <c r="Q744" t="s">
        <v>73</v>
      </c>
      <c r="R744" t="s">
        <v>76</v>
      </c>
      <c r="S744" t="s">
        <v>74</v>
      </c>
      <c r="T744" t="s">
        <v>75</v>
      </c>
      <c r="X744" t="s">
        <v>77</v>
      </c>
      <c r="Z744" t="s">
        <v>72</v>
      </c>
      <c r="AA744" t="s">
        <v>94</v>
      </c>
      <c r="AB744">
        <v>5</v>
      </c>
      <c r="AC744">
        <v>748807.12</v>
      </c>
      <c r="AD744">
        <v>8930505.5299999993</v>
      </c>
      <c r="AE744">
        <v>195.25</v>
      </c>
      <c r="AF744">
        <v>748807.12</v>
      </c>
      <c r="AG744">
        <v>8930505.5299999993</v>
      </c>
      <c r="AH744">
        <v>179.4</v>
      </c>
      <c r="AI744">
        <v>15.85</v>
      </c>
      <c r="AJ744">
        <v>0.6</v>
      </c>
      <c r="AK744">
        <v>3.37</v>
      </c>
      <c r="AL744">
        <v>2.93</v>
      </c>
      <c r="AM744">
        <v>0</v>
      </c>
      <c r="AN744">
        <v>0</v>
      </c>
      <c r="AO744">
        <v>358</v>
      </c>
      <c r="AP744">
        <v>3.3</v>
      </c>
      <c r="AQ744">
        <v>0.61</v>
      </c>
      <c r="AR744">
        <v>0.08</v>
      </c>
      <c r="AS744">
        <v>7.0000000000000007E-2</v>
      </c>
      <c r="AT744">
        <v>17.93</v>
      </c>
      <c r="AU744">
        <v>5.65</v>
      </c>
      <c r="AV744">
        <v>0.36</v>
      </c>
      <c r="AW744">
        <v>1.72</v>
      </c>
      <c r="AX744">
        <v>2.41</v>
      </c>
      <c r="AY744">
        <v>3.3</v>
      </c>
      <c r="AZ744">
        <v>182.72800000000001</v>
      </c>
      <c r="BA744">
        <v>0</v>
      </c>
      <c r="BB744">
        <v>0</v>
      </c>
      <c r="BC744">
        <v>0</v>
      </c>
      <c r="BD744">
        <v>0</v>
      </c>
    </row>
    <row r="745" spans="1:56" x14ac:dyDescent="0.25">
      <c r="A745" s="23">
        <v>46304</v>
      </c>
      <c r="B745">
        <v>744</v>
      </c>
      <c r="C745" t="s">
        <v>82</v>
      </c>
      <c r="D745" t="s">
        <v>83</v>
      </c>
      <c r="E745">
        <v>2</v>
      </c>
      <c r="F745">
        <v>180</v>
      </c>
      <c r="G745">
        <v>1</v>
      </c>
      <c r="H745" t="s">
        <v>96</v>
      </c>
      <c r="I745" t="s">
        <v>91</v>
      </c>
      <c r="J745" t="s">
        <v>85</v>
      </c>
      <c r="K745" t="s">
        <v>80</v>
      </c>
      <c r="L745" t="s">
        <v>71</v>
      </c>
      <c r="M745" t="s">
        <v>87</v>
      </c>
      <c r="O745" t="s">
        <v>88</v>
      </c>
      <c r="P745" t="s">
        <v>27</v>
      </c>
      <c r="Q745" t="s">
        <v>73</v>
      </c>
      <c r="R745" t="s">
        <v>76</v>
      </c>
      <c r="S745" t="s">
        <v>74</v>
      </c>
      <c r="T745" t="s">
        <v>75</v>
      </c>
      <c r="X745" t="s">
        <v>77</v>
      </c>
      <c r="Z745" t="s">
        <v>72</v>
      </c>
      <c r="AA745" t="s">
        <v>94</v>
      </c>
      <c r="AB745">
        <v>5</v>
      </c>
      <c r="AC745">
        <v>748803.91</v>
      </c>
      <c r="AD745">
        <v>8930504.5299999993</v>
      </c>
      <c r="AE745">
        <v>195.1</v>
      </c>
      <c r="AF745">
        <v>748803.91</v>
      </c>
      <c r="AG745">
        <v>8930504.5299999993</v>
      </c>
      <c r="AH745">
        <v>179.4</v>
      </c>
      <c r="AI745">
        <v>15.7</v>
      </c>
      <c r="AJ745">
        <v>0.6</v>
      </c>
      <c r="AK745">
        <v>3.37</v>
      </c>
      <c r="AL745">
        <v>2.93</v>
      </c>
      <c r="AM745">
        <v>0</v>
      </c>
      <c r="AN745">
        <v>0</v>
      </c>
      <c r="AO745">
        <v>358</v>
      </c>
      <c r="AP745">
        <v>3.3</v>
      </c>
      <c r="AQ745">
        <v>0.6</v>
      </c>
      <c r="AR745">
        <v>0.08</v>
      </c>
      <c r="AS745">
        <v>7.0000000000000007E-2</v>
      </c>
      <c r="AT745">
        <v>17.91</v>
      </c>
      <c r="AU745">
        <v>5.65</v>
      </c>
      <c r="AV745">
        <v>0.36</v>
      </c>
      <c r="AW745">
        <v>1.71</v>
      </c>
      <c r="AX745">
        <v>2.36</v>
      </c>
      <c r="AY745">
        <v>3.3</v>
      </c>
      <c r="AZ745">
        <v>180.54400000000001</v>
      </c>
      <c r="BA745">
        <v>0</v>
      </c>
      <c r="BB745">
        <v>0</v>
      </c>
      <c r="BC745">
        <v>0</v>
      </c>
      <c r="BD745">
        <v>0</v>
      </c>
    </row>
    <row r="746" spans="1:56" x14ac:dyDescent="0.25">
      <c r="A746" s="23">
        <v>46304</v>
      </c>
      <c r="B746">
        <v>745</v>
      </c>
      <c r="C746" t="s">
        <v>82</v>
      </c>
      <c r="D746" t="s">
        <v>83</v>
      </c>
      <c r="E746">
        <v>2</v>
      </c>
      <c r="F746">
        <v>180</v>
      </c>
      <c r="G746">
        <v>1</v>
      </c>
      <c r="H746" t="s">
        <v>96</v>
      </c>
      <c r="I746" t="s">
        <v>91</v>
      </c>
      <c r="J746" t="s">
        <v>85</v>
      </c>
      <c r="K746" t="s">
        <v>80</v>
      </c>
      <c r="L746" t="s">
        <v>71</v>
      </c>
      <c r="M746" t="s">
        <v>87</v>
      </c>
      <c r="O746" t="s">
        <v>88</v>
      </c>
      <c r="P746" t="s">
        <v>27</v>
      </c>
      <c r="Q746" t="s">
        <v>73</v>
      </c>
      <c r="R746" t="s">
        <v>76</v>
      </c>
      <c r="S746" t="s">
        <v>74</v>
      </c>
      <c r="T746" t="s">
        <v>75</v>
      </c>
      <c r="X746" t="s">
        <v>77</v>
      </c>
      <c r="Z746" t="s">
        <v>72</v>
      </c>
      <c r="AA746" t="s">
        <v>94</v>
      </c>
      <c r="AB746">
        <v>5</v>
      </c>
      <c r="AC746">
        <v>748800.7</v>
      </c>
      <c r="AD746">
        <v>8930503.5</v>
      </c>
      <c r="AE746">
        <v>195.22</v>
      </c>
      <c r="AF746">
        <v>748800.7</v>
      </c>
      <c r="AG746">
        <v>8930503.5</v>
      </c>
      <c r="AH746">
        <v>179.4</v>
      </c>
      <c r="AI746">
        <v>15.82</v>
      </c>
      <c r="AJ746">
        <v>0.6</v>
      </c>
      <c r="AK746">
        <v>3.37</v>
      </c>
      <c r="AL746">
        <v>2.93</v>
      </c>
      <c r="AM746">
        <v>0</v>
      </c>
      <c r="AN746">
        <v>0</v>
      </c>
      <c r="AO746">
        <v>358</v>
      </c>
      <c r="AP746">
        <v>3.32</v>
      </c>
      <c r="AQ746">
        <v>0.61</v>
      </c>
      <c r="AR746">
        <v>0.08</v>
      </c>
      <c r="AS746">
        <v>7.0000000000000007E-2</v>
      </c>
      <c r="AT746">
        <v>18.12</v>
      </c>
      <c r="AU746">
        <v>5.67</v>
      </c>
      <c r="AV746">
        <v>0.34</v>
      </c>
      <c r="AW746">
        <v>1.8</v>
      </c>
      <c r="AX746">
        <v>2.48</v>
      </c>
      <c r="AY746">
        <v>3.3</v>
      </c>
      <c r="AZ746">
        <v>182.291</v>
      </c>
      <c r="BA746">
        <v>0</v>
      </c>
      <c r="BB746">
        <v>0</v>
      </c>
      <c r="BC746">
        <v>0</v>
      </c>
      <c r="BD746">
        <v>0</v>
      </c>
    </row>
    <row r="747" spans="1:56" x14ac:dyDescent="0.25">
      <c r="A747" s="23">
        <v>46304</v>
      </c>
      <c r="B747">
        <v>746</v>
      </c>
      <c r="C747" t="s">
        <v>82</v>
      </c>
      <c r="D747" t="s">
        <v>83</v>
      </c>
      <c r="E747">
        <v>2</v>
      </c>
      <c r="F747">
        <v>180</v>
      </c>
      <c r="G747">
        <v>1</v>
      </c>
      <c r="H747" t="s">
        <v>96</v>
      </c>
      <c r="I747" t="s">
        <v>91</v>
      </c>
      <c r="J747" t="s">
        <v>85</v>
      </c>
      <c r="K747" t="s">
        <v>80</v>
      </c>
      <c r="L747" t="s">
        <v>71</v>
      </c>
      <c r="M747" t="s">
        <v>87</v>
      </c>
      <c r="O747" t="s">
        <v>88</v>
      </c>
      <c r="P747" t="s">
        <v>27</v>
      </c>
      <c r="Q747" t="s">
        <v>73</v>
      </c>
      <c r="R747" t="s">
        <v>76</v>
      </c>
      <c r="S747" t="s">
        <v>74</v>
      </c>
      <c r="T747" t="s">
        <v>75</v>
      </c>
      <c r="X747" t="s">
        <v>77</v>
      </c>
      <c r="Z747" t="s">
        <v>72</v>
      </c>
      <c r="AA747" t="s">
        <v>94</v>
      </c>
      <c r="AB747">
        <v>5</v>
      </c>
      <c r="AC747">
        <v>748797.43</v>
      </c>
      <c r="AD747">
        <v>8930502.7400000002</v>
      </c>
      <c r="AE747">
        <v>195.05</v>
      </c>
      <c r="AF747">
        <v>748797.43</v>
      </c>
      <c r="AG747">
        <v>8930502.7400000002</v>
      </c>
      <c r="AH747">
        <v>179.4</v>
      </c>
      <c r="AI747">
        <v>15.65</v>
      </c>
      <c r="AJ747">
        <v>0.6</v>
      </c>
      <c r="AK747">
        <v>3.37</v>
      </c>
      <c r="AL747">
        <v>2.93</v>
      </c>
      <c r="AM747">
        <v>0</v>
      </c>
      <c r="AN747">
        <v>0</v>
      </c>
      <c r="AO747">
        <v>358</v>
      </c>
      <c r="AP747">
        <v>3.36</v>
      </c>
      <c r="AQ747">
        <v>0.61</v>
      </c>
      <c r="AR747">
        <v>7.0000000000000007E-2</v>
      </c>
      <c r="AS747">
        <v>7.0000000000000007E-2</v>
      </c>
      <c r="AT747">
        <v>18.54</v>
      </c>
      <c r="AU747">
        <v>5.74</v>
      </c>
      <c r="AV747">
        <v>0.3</v>
      </c>
      <c r="AW747">
        <v>1.99</v>
      </c>
      <c r="AX747">
        <v>2.63</v>
      </c>
      <c r="AY747">
        <v>3.3</v>
      </c>
      <c r="AZ747">
        <v>179.816</v>
      </c>
      <c r="BA747">
        <v>0</v>
      </c>
      <c r="BB747">
        <v>0</v>
      </c>
      <c r="BC747">
        <v>0</v>
      </c>
      <c r="BD747">
        <v>0</v>
      </c>
    </row>
    <row r="748" spans="1:56" x14ac:dyDescent="0.25">
      <c r="A748" s="23">
        <v>46304</v>
      </c>
      <c r="B748">
        <v>747</v>
      </c>
      <c r="C748" t="s">
        <v>82</v>
      </c>
      <c r="D748" t="s">
        <v>83</v>
      </c>
      <c r="E748">
        <v>2</v>
      </c>
      <c r="F748">
        <v>180</v>
      </c>
      <c r="G748">
        <v>1</v>
      </c>
      <c r="H748" t="s">
        <v>96</v>
      </c>
      <c r="I748" t="s">
        <v>91</v>
      </c>
      <c r="J748" t="s">
        <v>85</v>
      </c>
      <c r="K748" t="s">
        <v>80</v>
      </c>
      <c r="L748" t="s">
        <v>71</v>
      </c>
      <c r="M748" t="s">
        <v>87</v>
      </c>
      <c r="O748" t="s">
        <v>88</v>
      </c>
      <c r="P748" t="s">
        <v>27</v>
      </c>
      <c r="Q748" t="s">
        <v>73</v>
      </c>
      <c r="R748" t="s">
        <v>76</v>
      </c>
      <c r="S748" t="s">
        <v>74</v>
      </c>
      <c r="T748" t="s">
        <v>75</v>
      </c>
      <c r="X748" t="s">
        <v>77</v>
      </c>
      <c r="Z748" t="s">
        <v>72</v>
      </c>
      <c r="AA748" t="s">
        <v>94</v>
      </c>
      <c r="AB748">
        <v>5</v>
      </c>
      <c r="AC748">
        <v>748794.1</v>
      </c>
      <c r="AD748">
        <v>8930502.1999999993</v>
      </c>
      <c r="AE748">
        <v>194.5</v>
      </c>
      <c r="AF748">
        <v>748794.1</v>
      </c>
      <c r="AG748">
        <v>8930502.1999999993</v>
      </c>
      <c r="AH748">
        <v>179.4</v>
      </c>
      <c r="AI748">
        <v>15.1</v>
      </c>
      <c r="AJ748">
        <v>0.6</v>
      </c>
      <c r="AK748">
        <v>3.37</v>
      </c>
      <c r="AL748">
        <v>2.93</v>
      </c>
      <c r="AM748">
        <v>0</v>
      </c>
      <c r="AN748">
        <v>0</v>
      </c>
      <c r="AO748">
        <v>358</v>
      </c>
      <c r="AP748">
        <v>3.34</v>
      </c>
      <c r="AQ748">
        <v>0.56999999999999995</v>
      </c>
      <c r="AR748">
        <v>0.06</v>
      </c>
      <c r="AS748">
        <v>0.06</v>
      </c>
      <c r="AT748">
        <v>17.23</v>
      </c>
      <c r="AU748">
        <v>5.67</v>
      </c>
      <c r="AV748">
        <v>0.25</v>
      </c>
      <c r="AW748">
        <v>1.69</v>
      </c>
      <c r="AX748">
        <v>2.44</v>
      </c>
      <c r="AY748">
        <v>3.3</v>
      </c>
      <c r="AZ748">
        <v>171.80799999999999</v>
      </c>
      <c r="BA748">
        <v>0</v>
      </c>
      <c r="BB748">
        <v>0</v>
      </c>
      <c r="BC748">
        <v>0</v>
      </c>
      <c r="BD748">
        <v>0</v>
      </c>
    </row>
    <row r="749" spans="1:56" x14ac:dyDescent="0.25">
      <c r="A749" s="23">
        <v>46304</v>
      </c>
      <c r="B749">
        <v>748</v>
      </c>
      <c r="C749" t="s">
        <v>82</v>
      </c>
      <c r="D749" t="s">
        <v>83</v>
      </c>
      <c r="E749">
        <v>2</v>
      </c>
      <c r="F749">
        <v>180</v>
      </c>
      <c r="G749">
        <v>1</v>
      </c>
      <c r="H749" t="s">
        <v>96</v>
      </c>
      <c r="I749" t="s">
        <v>91</v>
      </c>
      <c r="J749" t="s">
        <v>85</v>
      </c>
      <c r="K749" t="s">
        <v>86</v>
      </c>
      <c r="L749" t="s">
        <v>71</v>
      </c>
      <c r="M749" t="s">
        <v>87</v>
      </c>
      <c r="O749" t="s">
        <v>88</v>
      </c>
      <c r="P749" t="s">
        <v>27</v>
      </c>
      <c r="Q749" t="s">
        <v>73</v>
      </c>
      <c r="R749" t="s">
        <v>76</v>
      </c>
      <c r="S749" t="s">
        <v>74</v>
      </c>
      <c r="T749" t="s">
        <v>75</v>
      </c>
      <c r="X749" t="s">
        <v>77</v>
      </c>
      <c r="Z749" t="s">
        <v>72</v>
      </c>
      <c r="AA749" t="s">
        <v>94</v>
      </c>
      <c r="AB749">
        <v>5</v>
      </c>
      <c r="AC749">
        <v>748790.78</v>
      </c>
      <c r="AD749">
        <v>8930501.6600000001</v>
      </c>
      <c r="AE749">
        <v>194.2</v>
      </c>
      <c r="AF749">
        <v>748790.78</v>
      </c>
      <c r="AG749">
        <v>8930501.6600000001</v>
      </c>
      <c r="AH749">
        <v>179.4</v>
      </c>
      <c r="AI749">
        <v>14.8</v>
      </c>
      <c r="AJ749">
        <v>0.6</v>
      </c>
      <c r="AK749">
        <v>3.37</v>
      </c>
      <c r="AL749">
        <v>2.93</v>
      </c>
      <c r="AM749">
        <v>0</v>
      </c>
      <c r="AN749">
        <v>0</v>
      </c>
      <c r="AO749">
        <v>358</v>
      </c>
      <c r="AP749">
        <v>3.32</v>
      </c>
      <c r="AQ749">
        <v>0.52</v>
      </c>
      <c r="AR749">
        <v>0.06</v>
      </c>
      <c r="AS749">
        <v>0.06</v>
      </c>
      <c r="AT749">
        <v>15.77</v>
      </c>
      <c r="AU749">
        <v>5.66</v>
      </c>
      <c r="AV749">
        <v>0.22</v>
      </c>
      <c r="AW749">
        <v>1.63</v>
      </c>
      <c r="AX749">
        <v>2.37</v>
      </c>
      <c r="AY749">
        <v>3.3</v>
      </c>
      <c r="AZ749">
        <v>167.44</v>
      </c>
      <c r="BA749">
        <v>0</v>
      </c>
      <c r="BB749">
        <v>0</v>
      </c>
      <c r="BC749">
        <v>0</v>
      </c>
      <c r="BD749">
        <v>0</v>
      </c>
    </row>
    <row r="750" spans="1:56" x14ac:dyDescent="0.25">
      <c r="A750" s="23">
        <v>46304</v>
      </c>
      <c r="B750">
        <v>749</v>
      </c>
      <c r="C750" t="s">
        <v>82</v>
      </c>
      <c r="D750" t="s">
        <v>83</v>
      </c>
      <c r="E750">
        <v>2</v>
      </c>
      <c r="F750">
        <v>180</v>
      </c>
      <c r="G750">
        <v>1</v>
      </c>
      <c r="H750" t="s">
        <v>96</v>
      </c>
      <c r="I750" t="s">
        <v>91</v>
      </c>
      <c r="J750" t="s">
        <v>90</v>
      </c>
      <c r="K750" t="s">
        <v>86</v>
      </c>
      <c r="L750" t="s">
        <v>71</v>
      </c>
      <c r="M750" t="s">
        <v>87</v>
      </c>
      <c r="O750" t="s">
        <v>88</v>
      </c>
      <c r="P750" t="s">
        <v>27</v>
      </c>
      <c r="Q750" t="s">
        <v>73</v>
      </c>
      <c r="R750" t="s">
        <v>76</v>
      </c>
      <c r="S750" t="s">
        <v>74</v>
      </c>
      <c r="T750" t="s">
        <v>75</v>
      </c>
      <c r="X750" t="s">
        <v>77</v>
      </c>
      <c r="Z750" t="s">
        <v>72</v>
      </c>
      <c r="AA750" t="s">
        <v>94</v>
      </c>
      <c r="AB750">
        <v>5</v>
      </c>
      <c r="AC750">
        <v>748787.45</v>
      </c>
      <c r="AD750">
        <v>8930501.1199999992</v>
      </c>
      <c r="AE750">
        <v>194.23</v>
      </c>
      <c r="AF750">
        <v>748787.45</v>
      </c>
      <c r="AG750">
        <v>8930501.1199999992</v>
      </c>
      <c r="AH750">
        <v>179.4</v>
      </c>
      <c r="AI750">
        <v>14.83</v>
      </c>
      <c r="AJ750">
        <v>0.6</v>
      </c>
      <c r="AK750">
        <v>3.37</v>
      </c>
      <c r="AL750">
        <v>2.93</v>
      </c>
      <c r="AM750">
        <v>0</v>
      </c>
      <c r="AN750">
        <v>0</v>
      </c>
      <c r="AO750">
        <v>358</v>
      </c>
      <c r="AP750">
        <v>3.26</v>
      </c>
      <c r="AQ750">
        <v>0.43</v>
      </c>
      <c r="AR750">
        <v>0.05</v>
      </c>
      <c r="AS750">
        <v>0.05</v>
      </c>
      <c r="AT750">
        <v>13.77</v>
      </c>
      <c r="AU750">
        <v>5.38</v>
      </c>
      <c r="AV750">
        <v>0.2</v>
      </c>
      <c r="AW750">
        <v>2.17</v>
      </c>
      <c r="AX750">
        <v>1.25</v>
      </c>
      <c r="AY750">
        <v>3.3</v>
      </c>
      <c r="AZ750">
        <v>167.87700000000001</v>
      </c>
      <c r="BA750">
        <v>0</v>
      </c>
      <c r="BB750">
        <v>0</v>
      </c>
      <c r="BC750">
        <v>0</v>
      </c>
      <c r="BD750">
        <v>0</v>
      </c>
    </row>
    <row r="751" spans="1:56" x14ac:dyDescent="0.25">
      <c r="A751" s="23">
        <v>46304</v>
      </c>
      <c r="B751">
        <v>750</v>
      </c>
      <c r="C751" t="s">
        <v>82</v>
      </c>
      <c r="D751" t="s">
        <v>83</v>
      </c>
      <c r="E751">
        <v>2</v>
      </c>
      <c r="F751">
        <v>180</v>
      </c>
      <c r="G751">
        <v>1</v>
      </c>
      <c r="H751" t="s">
        <v>96</v>
      </c>
      <c r="I751" t="s">
        <v>78</v>
      </c>
      <c r="J751" t="s">
        <v>90</v>
      </c>
      <c r="K751" t="s">
        <v>86</v>
      </c>
      <c r="L751" t="s">
        <v>71</v>
      </c>
      <c r="M751" t="s">
        <v>87</v>
      </c>
      <c r="O751" t="s">
        <v>88</v>
      </c>
      <c r="P751" t="s">
        <v>27</v>
      </c>
      <c r="Q751" t="s">
        <v>73</v>
      </c>
      <c r="R751" t="s">
        <v>76</v>
      </c>
      <c r="S751" t="s">
        <v>74</v>
      </c>
      <c r="T751" t="s">
        <v>75</v>
      </c>
      <c r="X751" t="s">
        <v>77</v>
      </c>
      <c r="Z751" t="s">
        <v>72</v>
      </c>
      <c r="AA751" t="s">
        <v>94</v>
      </c>
      <c r="AB751">
        <v>5</v>
      </c>
      <c r="AC751">
        <v>748785.91</v>
      </c>
      <c r="AD751">
        <v>8930500.3699999992</v>
      </c>
      <c r="AE751">
        <v>194.33</v>
      </c>
      <c r="AF751">
        <v>748784.76</v>
      </c>
      <c r="AG751">
        <v>8930499.7599999998</v>
      </c>
      <c r="AH751">
        <v>179.4</v>
      </c>
      <c r="AI751">
        <v>14.98</v>
      </c>
      <c r="AJ751">
        <v>0.6</v>
      </c>
      <c r="AK751">
        <v>3.37</v>
      </c>
      <c r="AL751">
        <v>2.93</v>
      </c>
      <c r="AM751">
        <v>242</v>
      </c>
      <c r="AN751">
        <v>5</v>
      </c>
      <c r="AO751">
        <v>358</v>
      </c>
      <c r="AP751">
        <v>3.25</v>
      </c>
      <c r="AQ751">
        <v>0.4</v>
      </c>
      <c r="AR751">
        <v>0.04</v>
      </c>
      <c r="AS751">
        <v>0.04</v>
      </c>
      <c r="AT751">
        <v>13.26</v>
      </c>
      <c r="AU751">
        <v>5.13</v>
      </c>
      <c r="AV751">
        <v>0.19</v>
      </c>
      <c r="AW751">
        <v>2.25</v>
      </c>
      <c r="AX751">
        <v>0.81</v>
      </c>
      <c r="AY751">
        <v>3.3</v>
      </c>
      <c r="AZ751">
        <v>170.06100000000001</v>
      </c>
      <c r="BA751">
        <v>0</v>
      </c>
      <c r="BB751">
        <v>0</v>
      </c>
      <c r="BC751">
        <v>0</v>
      </c>
      <c r="BD751">
        <v>0</v>
      </c>
    </row>
    <row r="752" spans="1:56" x14ac:dyDescent="0.25">
      <c r="A752" s="23">
        <v>46304</v>
      </c>
      <c r="B752">
        <v>751</v>
      </c>
      <c r="C752" t="s">
        <v>82</v>
      </c>
      <c r="D752" t="s">
        <v>83</v>
      </c>
      <c r="E752">
        <v>2</v>
      </c>
      <c r="F752">
        <v>180</v>
      </c>
      <c r="G752">
        <v>1</v>
      </c>
      <c r="H752" t="s">
        <v>96</v>
      </c>
      <c r="I752" t="s">
        <v>78</v>
      </c>
      <c r="J752" t="s">
        <v>90</v>
      </c>
      <c r="K752" t="s">
        <v>86</v>
      </c>
      <c r="L752" t="s">
        <v>71</v>
      </c>
      <c r="M752" t="s">
        <v>87</v>
      </c>
      <c r="O752" t="s">
        <v>88</v>
      </c>
      <c r="P752" t="s">
        <v>27</v>
      </c>
      <c r="Q752" t="s">
        <v>73</v>
      </c>
      <c r="R752" t="s">
        <v>76</v>
      </c>
      <c r="S752" t="s">
        <v>74</v>
      </c>
      <c r="T752" t="s">
        <v>75</v>
      </c>
      <c r="X752" t="s">
        <v>77</v>
      </c>
      <c r="Z752" t="s">
        <v>72</v>
      </c>
      <c r="AA752" t="s">
        <v>94</v>
      </c>
      <c r="AB752">
        <v>5</v>
      </c>
      <c r="AC752">
        <v>748781.04</v>
      </c>
      <c r="AD752">
        <v>8930499.4100000001</v>
      </c>
      <c r="AE752">
        <v>190.33</v>
      </c>
      <c r="AF752">
        <v>748781.04</v>
      </c>
      <c r="AG752">
        <v>8930499.4100000001</v>
      </c>
      <c r="AH752">
        <v>179.4</v>
      </c>
      <c r="AI752">
        <v>10.93</v>
      </c>
      <c r="AJ752">
        <v>0.6</v>
      </c>
      <c r="AK752">
        <v>3.37</v>
      </c>
      <c r="AL752">
        <v>2.93</v>
      </c>
      <c r="AM752">
        <v>0</v>
      </c>
      <c r="AN752">
        <v>0</v>
      </c>
      <c r="AO752">
        <v>358</v>
      </c>
      <c r="AP752">
        <v>3.23</v>
      </c>
      <c r="AQ752">
        <v>0.36</v>
      </c>
      <c r="AR752">
        <v>0.04</v>
      </c>
      <c r="AS752">
        <v>0.04</v>
      </c>
      <c r="AT752">
        <v>12.22</v>
      </c>
      <c r="AU752">
        <v>5.0599999999999996</v>
      </c>
      <c r="AV752">
        <v>0.17</v>
      </c>
      <c r="AW752">
        <v>2.34</v>
      </c>
      <c r="AX752">
        <v>0.21</v>
      </c>
      <c r="AY752">
        <v>3.3</v>
      </c>
      <c r="AZ752">
        <v>111.093</v>
      </c>
      <c r="BA752">
        <v>0</v>
      </c>
      <c r="BB752">
        <v>0</v>
      </c>
      <c r="BC752">
        <v>0</v>
      </c>
      <c r="BD752">
        <v>0</v>
      </c>
    </row>
    <row r="753" spans="1:56" x14ac:dyDescent="0.25">
      <c r="A753" s="23">
        <v>46304</v>
      </c>
      <c r="B753">
        <v>752</v>
      </c>
      <c r="C753" t="s">
        <v>82</v>
      </c>
      <c r="D753" t="s">
        <v>83</v>
      </c>
      <c r="E753">
        <v>2</v>
      </c>
      <c r="F753">
        <v>180</v>
      </c>
      <c r="G753">
        <v>1</v>
      </c>
      <c r="H753" t="s">
        <v>95</v>
      </c>
      <c r="I753" t="s">
        <v>78</v>
      </c>
      <c r="J753" t="s">
        <v>90</v>
      </c>
      <c r="K753" t="s">
        <v>86</v>
      </c>
      <c r="L753" t="s">
        <v>71</v>
      </c>
      <c r="M753" t="s">
        <v>87</v>
      </c>
      <c r="O753" t="s">
        <v>88</v>
      </c>
      <c r="P753" t="s">
        <v>27</v>
      </c>
      <c r="Q753" t="s">
        <v>73</v>
      </c>
      <c r="R753" t="s">
        <v>76</v>
      </c>
      <c r="S753" t="s">
        <v>74</v>
      </c>
      <c r="T753" t="s">
        <v>75</v>
      </c>
      <c r="X753" t="s">
        <v>77</v>
      </c>
      <c r="Z753" t="s">
        <v>72</v>
      </c>
      <c r="AA753" t="s">
        <v>94</v>
      </c>
      <c r="AB753">
        <v>5</v>
      </c>
      <c r="AC753">
        <v>748778.2</v>
      </c>
      <c r="AD753">
        <v>8930497.5999999996</v>
      </c>
      <c r="AE753">
        <v>190.31</v>
      </c>
      <c r="AF753">
        <v>748778.2</v>
      </c>
      <c r="AG753">
        <v>8930497.5999999996</v>
      </c>
      <c r="AH753">
        <v>179.4</v>
      </c>
      <c r="AI753">
        <v>10.91</v>
      </c>
      <c r="AJ753">
        <v>0.6</v>
      </c>
      <c r="AK753">
        <v>3.37</v>
      </c>
      <c r="AL753">
        <v>2.93</v>
      </c>
      <c r="AM753">
        <v>0</v>
      </c>
      <c r="AN753">
        <v>0</v>
      </c>
      <c r="AO753">
        <v>358</v>
      </c>
      <c r="AP753">
        <v>3.21</v>
      </c>
      <c r="AQ753">
        <v>0.37</v>
      </c>
      <c r="AR753">
        <v>0.04</v>
      </c>
      <c r="AS753">
        <v>0.04</v>
      </c>
      <c r="AT753">
        <v>12.24</v>
      </c>
      <c r="AU753">
        <v>4.95</v>
      </c>
      <c r="AV753">
        <v>0.17</v>
      </c>
      <c r="AW753">
        <v>2.4</v>
      </c>
      <c r="AX753">
        <v>0.11</v>
      </c>
      <c r="AY753">
        <v>3.3</v>
      </c>
      <c r="AZ753">
        <v>110.80200000000001</v>
      </c>
      <c r="BA753">
        <v>0</v>
      </c>
      <c r="BB753">
        <v>0</v>
      </c>
      <c r="BC753">
        <v>0</v>
      </c>
      <c r="BD753">
        <v>0</v>
      </c>
    </row>
    <row r="754" spans="1:56" x14ac:dyDescent="0.25">
      <c r="A754" s="23">
        <v>46304</v>
      </c>
      <c r="B754">
        <v>753</v>
      </c>
      <c r="C754" t="s">
        <v>82</v>
      </c>
      <c r="D754" t="s">
        <v>83</v>
      </c>
      <c r="E754">
        <v>2</v>
      </c>
      <c r="F754">
        <v>180</v>
      </c>
      <c r="G754">
        <v>0</v>
      </c>
      <c r="H754" t="s">
        <v>95</v>
      </c>
      <c r="I754" t="s">
        <v>78</v>
      </c>
      <c r="J754" t="s">
        <v>90</v>
      </c>
      <c r="K754" t="s">
        <v>86</v>
      </c>
      <c r="L754" t="s">
        <v>71</v>
      </c>
      <c r="M754" t="s">
        <v>87</v>
      </c>
      <c r="O754" t="s">
        <v>88</v>
      </c>
      <c r="P754" t="s">
        <v>27</v>
      </c>
      <c r="Q754" t="s">
        <v>73</v>
      </c>
      <c r="R754" t="s">
        <v>76</v>
      </c>
      <c r="S754" t="s">
        <v>74</v>
      </c>
      <c r="T754" t="s">
        <v>75</v>
      </c>
      <c r="X754" t="s">
        <v>77</v>
      </c>
      <c r="Z754" t="s">
        <v>72</v>
      </c>
      <c r="AA754" t="s">
        <v>94</v>
      </c>
      <c r="AB754">
        <v>5</v>
      </c>
      <c r="AC754">
        <v>748775.37</v>
      </c>
      <c r="AD754">
        <v>8930495.7799999993</v>
      </c>
      <c r="AE754">
        <v>190.29</v>
      </c>
      <c r="AF754">
        <v>748775.37</v>
      </c>
      <c r="AG754">
        <v>8930495.7799999993</v>
      </c>
      <c r="AH754">
        <v>179.4</v>
      </c>
      <c r="AI754">
        <v>10.89</v>
      </c>
      <c r="AJ754">
        <v>0.6</v>
      </c>
      <c r="AK754">
        <v>3.37</v>
      </c>
      <c r="AL754">
        <v>2.93</v>
      </c>
      <c r="AM754">
        <v>0</v>
      </c>
      <c r="AN754">
        <v>0</v>
      </c>
      <c r="AO754">
        <v>358</v>
      </c>
      <c r="AP754">
        <v>3.19</v>
      </c>
      <c r="AQ754">
        <v>0.33</v>
      </c>
      <c r="AR754">
        <v>0.04</v>
      </c>
      <c r="AS754">
        <v>0.03</v>
      </c>
      <c r="AT754">
        <v>10.84</v>
      </c>
      <c r="AU754">
        <v>4.26</v>
      </c>
      <c r="AV754">
        <v>0.16</v>
      </c>
      <c r="AW754">
        <v>1.97</v>
      </c>
      <c r="AX754">
        <v>0.06</v>
      </c>
      <c r="AY754">
        <v>3.3</v>
      </c>
      <c r="AZ754">
        <v>110.51</v>
      </c>
      <c r="BA754">
        <v>0</v>
      </c>
      <c r="BB754">
        <v>0</v>
      </c>
      <c r="BC754">
        <v>0</v>
      </c>
      <c r="BD754">
        <v>0</v>
      </c>
    </row>
    <row r="755" spans="1:56" x14ac:dyDescent="0.25">
      <c r="A755" s="23">
        <v>46304</v>
      </c>
      <c r="B755">
        <v>754</v>
      </c>
      <c r="C755" t="s">
        <v>82</v>
      </c>
      <c r="D755" t="s">
        <v>83</v>
      </c>
      <c r="E755">
        <v>2</v>
      </c>
      <c r="F755">
        <v>180</v>
      </c>
      <c r="G755">
        <v>0</v>
      </c>
      <c r="H755" t="s">
        <v>95</v>
      </c>
      <c r="I755" t="s">
        <v>78</v>
      </c>
      <c r="J755" t="s">
        <v>90</v>
      </c>
      <c r="K755" t="s">
        <v>86</v>
      </c>
      <c r="L755" t="s">
        <v>71</v>
      </c>
      <c r="M755" t="s">
        <v>87</v>
      </c>
      <c r="O755" t="s">
        <v>88</v>
      </c>
      <c r="P755" t="s">
        <v>27</v>
      </c>
      <c r="Q755" t="s">
        <v>73</v>
      </c>
      <c r="R755" t="s">
        <v>76</v>
      </c>
      <c r="S755" t="s">
        <v>74</v>
      </c>
      <c r="T755" t="s">
        <v>75</v>
      </c>
      <c r="X755" t="s">
        <v>77</v>
      </c>
      <c r="Z755" t="s">
        <v>72</v>
      </c>
      <c r="AA755" t="s">
        <v>94</v>
      </c>
      <c r="AB755">
        <v>5</v>
      </c>
      <c r="AC755">
        <v>748772.53</v>
      </c>
      <c r="AD755">
        <v>8930493.9499999993</v>
      </c>
      <c r="AE755">
        <v>190.26</v>
      </c>
      <c r="AF755">
        <v>748772.53</v>
      </c>
      <c r="AG755">
        <v>8930493.9499999993</v>
      </c>
      <c r="AH755">
        <v>179.4</v>
      </c>
      <c r="AI755">
        <v>10.86</v>
      </c>
      <c r="AJ755">
        <v>0.6</v>
      </c>
      <c r="AK755">
        <v>3.37</v>
      </c>
      <c r="AL755">
        <v>2.93</v>
      </c>
      <c r="AM755">
        <v>0</v>
      </c>
      <c r="AN755">
        <v>0</v>
      </c>
      <c r="AO755">
        <v>358</v>
      </c>
      <c r="AP755">
        <v>3.19</v>
      </c>
      <c r="AQ755">
        <v>0.3</v>
      </c>
      <c r="AR755">
        <v>0.03</v>
      </c>
      <c r="AS755">
        <v>0.03</v>
      </c>
      <c r="AT755">
        <v>9.75</v>
      </c>
      <c r="AU755">
        <v>3.6</v>
      </c>
      <c r="AV755">
        <v>0.16</v>
      </c>
      <c r="AW755">
        <v>1.47</v>
      </c>
      <c r="AX755">
        <v>0.02</v>
      </c>
      <c r="AY755">
        <v>3.3</v>
      </c>
      <c r="AZ755">
        <v>110.074</v>
      </c>
      <c r="BA755">
        <v>0</v>
      </c>
      <c r="BB755">
        <v>0</v>
      </c>
      <c r="BC755">
        <v>0</v>
      </c>
      <c r="BD755">
        <v>0</v>
      </c>
    </row>
    <row r="756" spans="1:56" x14ac:dyDescent="0.25">
      <c r="A756" s="23">
        <v>46304</v>
      </c>
      <c r="B756">
        <v>755</v>
      </c>
      <c r="C756" t="s">
        <v>82</v>
      </c>
      <c r="D756" t="s">
        <v>83</v>
      </c>
      <c r="E756">
        <v>2</v>
      </c>
      <c r="F756">
        <v>180</v>
      </c>
      <c r="G756">
        <v>0</v>
      </c>
      <c r="H756" t="s">
        <v>95</v>
      </c>
      <c r="I756" t="s">
        <v>78</v>
      </c>
      <c r="J756" t="s">
        <v>70</v>
      </c>
      <c r="K756" t="s">
        <v>86</v>
      </c>
      <c r="L756" t="s">
        <v>71</v>
      </c>
      <c r="M756" t="s">
        <v>87</v>
      </c>
      <c r="O756" t="s">
        <v>88</v>
      </c>
      <c r="P756" t="s">
        <v>27</v>
      </c>
      <c r="Q756" t="s">
        <v>73</v>
      </c>
      <c r="R756" t="s">
        <v>76</v>
      </c>
      <c r="S756" t="s">
        <v>74</v>
      </c>
      <c r="T756" t="s">
        <v>75</v>
      </c>
      <c r="X756" t="s">
        <v>77</v>
      </c>
      <c r="Z756" t="s">
        <v>72</v>
      </c>
      <c r="AA756" t="s">
        <v>94</v>
      </c>
      <c r="AB756">
        <v>5</v>
      </c>
      <c r="AC756">
        <v>748769.7</v>
      </c>
      <c r="AD756">
        <v>8930492.1300000008</v>
      </c>
      <c r="AE756">
        <v>190.14</v>
      </c>
      <c r="AF756">
        <v>748769.7</v>
      </c>
      <c r="AG756">
        <v>8930492.1300000008</v>
      </c>
      <c r="AH756">
        <v>179.4</v>
      </c>
      <c r="AI756">
        <v>10.74</v>
      </c>
      <c r="AJ756">
        <v>0.6</v>
      </c>
      <c r="AK756">
        <v>3.37</v>
      </c>
      <c r="AL756">
        <v>2.93</v>
      </c>
      <c r="AM756">
        <v>0</v>
      </c>
      <c r="AN756">
        <v>0</v>
      </c>
      <c r="AO756">
        <v>358</v>
      </c>
      <c r="AP756">
        <v>3.17</v>
      </c>
      <c r="AQ756">
        <v>0.28000000000000003</v>
      </c>
      <c r="AR756">
        <v>0.03</v>
      </c>
      <c r="AS756">
        <v>0.03</v>
      </c>
      <c r="AT756">
        <v>9.1300000000000008</v>
      </c>
      <c r="AU756">
        <v>3.13</v>
      </c>
      <c r="AV756">
        <v>0.17</v>
      </c>
      <c r="AW756">
        <v>1.03</v>
      </c>
      <c r="AX756">
        <v>0</v>
      </c>
      <c r="AY756">
        <v>3.3</v>
      </c>
      <c r="AZ756">
        <v>108.32599999999999</v>
      </c>
      <c r="BA756">
        <v>0</v>
      </c>
      <c r="BB756">
        <v>0</v>
      </c>
      <c r="BC756">
        <v>0</v>
      </c>
      <c r="BD756">
        <v>0</v>
      </c>
    </row>
    <row r="757" spans="1:56" x14ac:dyDescent="0.25">
      <c r="A757" s="23">
        <v>46304</v>
      </c>
      <c r="B757">
        <v>756</v>
      </c>
      <c r="C757" t="s">
        <v>82</v>
      </c>
      <c r="D757" t="s">
        <v>83</v>
      </c>
      <c r="E757">
        <v>2</v>
      </c>
      <c r="F757">
        <v>180</v>
      </c>
      <c r="G757">
        <v>0</v>
      </c>
      <c r="H757" t="s">
        <v>95</v>
      </c>
      <c r="I757" t="s">
        <v>78</v>
      </c>
      <c r="J757" t="s">
        <v>85</v>
      </c>
      <c r="K757" t="s">
        <v>86</v>
      </c>
      <c r="L757" t="s">
        <v>71</v>
      </c>
      <c r="M757" t="s">
        <v>87</v>
      </c>
      <c r="O757" t="s">
        <v>88</v>
      </c>
      <c r="P757" t="s">
        <v>27</v>
      </c>
      <c r="Q757" t="s">
        <v>73</v>
      </c>
      <c r="R757" t="s">
        <v>76</v>
      </c>
      <c r="S757" t="s">
        <v>74</v>
      </c>
      <c r="T757" t="s">
        <v>75</v>
      </c>
      <c r="X757" t="s">
        <v>77</v>
      </c>
      <c r="Z757" t="s">
        <v>72</v>
      </c>
      <c r="AA757" t="s">
        <v>94</v>
      </c>
      <c r="AB757">
        <v>5</v>
      </c>
      <c r="AC757">
        <v>748766.86</v>
      </c>
      <c r="AD757">
        <v>8930490.3100000005</v>
      </c>
      <c r="AE757">
        <v>190.08</v>
      </c>
      <c r="AF757">
        <v>748766.86</v>
      </c>
      <c r="AG757">
        <v>8930490.3100000005</v>
      </c>
      <c r="AH757">
        <v>179.4</v>
      </c>
      <c r="AI757">
        <v>10.68</v>
      </c>
      <c r="AJ757">
        <v>0.6</v>
      </c>
      <c r="AK757">
        <v>3.37</v>
      </c>
      <c r="AL757">
        <v>2.93</v>
      </c>
      <c r="AM757">
        <v>0</v>
      </c>
      <c r="AN757">
        <v>0</v>
      </c>
      <c r="AO757">
        <v>358</v>
      </c>
      <c r="AP757">
        <v>3.17</v>
      </c>
      <c r="AQ757">
        <v>0.32</v>
      </c>
      <c r="AR757">
        <v>0.04</v>
      </c>
      <c r="AS757">
        <v>0.04</v>
      </c>
      <c r="AT757">
        <v>10.09</v>
      </c>
      <c r="AU757">
        <v>3.3</v>
      </c>
      <c r="AV757">
        <v>0.2</v>
      </c>
      <c r="AW757">
        <v>0.9</v>
      </c>
      <c r="AX757">
        <v>0</v>
      </c>
      <c r="AY757">
        <v>3.3</v>
      </c>
      <c r="AZ757">
        <v>107.453</v>
      </c>
      <c r="BA757">
        <v>0</v>
      </c>
      <c r="BB757">
        <v>0</v>
      </c>
      <c r="BC757">
        <v>0</v>
      </c>
      <c r="BD757">
        <v>0</v>
      </c>
    </row>
    <row r="758" spans="1:56" x14ac:dyDescent="0.25">
      <c r="A758" s="23">
        <v>46304</v>
      </c>
      <c r="B758">
        <v>757</v>
      </c>
      <c r="C758" t="s">
        <v>82</v>
      </c>
      <c r="D758" t="s">
        <v>83</v>
      </c>
      <c r="E758">
        <v>2</v>
      </c>
      <c r="F758">
        <v>180</v>
      </c>
      <c r="G758">
        <v>1</v>
      </c>
      <c r="H758" t="s">
        <v>95</v>
      </c>
      <c r="I758" t="s">
        <v>91</v>
      </c>
      <c r="J758" t="s">
        <v>85</v>
      </c>
      <c r="K758" t="s">
        <v>86</v>
      </c>
      <c r="L758" t="s">
        <v>71</v>
      </c>
      <c r="M758" t="s">
        <v>87</v>
      </c>
      <c r="O758" t="s">
        <v>88</v>
      </c>
      <c r="P758" t="s">
        <v>27</v>
      </c>
      <c r="Q758" t="s">
        <v>73</v>
      </c>
      <c r="R758" t="s">
        <v>76</v>
      </c>
      <c r="S758" t="s">
        <v>74</v>
      </c>
      <c r="T758" t="s">
        <v>75</v>
      </c>
      <c r="X758" t="s">
        <v>77</v>
      </c>
      <c r="Z758" t="s">
        <v>72</v>
      </c>
      <c r="AA758" t="s">
        <v>94</v>
      </c>
      <c r="AB758">
        <v>5</v>
      </c>
      <c r="AC758">
        <v>748764.03</v>
      </c>
      <c r="AD758">
        <v>8930488.4800000004</v>
      </c>
      <c r="AE758">
        <v>190.08</v>
      </c>
      <c r="AF758">
        <v>748764.03</v>
      </c>
      <c r="AG758">
        <v>8930488.4800000004</v>
      </c>
      <c r="AH758">
        <v>179.4</v>
      </c>
      <c r="AI758">
        <v>10.68</v>
      </c>
      <c r="AJ758">
        <v>0.6</v>
      </c>
      <c r="AK758">
        <v>3.37</v>
      </c>
      <c r="AL758">
        <v>2.93</v>
      </c>
      <c r="AM758">
        <v>0</v>
      </c>
      <c r="AN758">
        <v>0</v>
      </c>
      <c r="AO758">
        <v>358</v>
      </c>
      <c r="AP758">
        <v>3.22</v>
      </c>
      <c r="AQ758">
        <v>0.42</v>
      </c>
      <c r="AR758">
        <v>0.05</v>
      </c>
      <c r="AS758">
        <v>0.05</v>
      </c>
      <c r="AT758">
        <v>13.06</v>
      </c>
      <c r="AU758">
        <v>4.2699999999999996</v>
      </c>
      <c r="AV758">
        <v>0.25</v>
      </c>
      <c r="AW758">
        <v>1.18</v>
      </c>
      <c r="AX758">
        <v>0</v>
      </c>
      <c r="AY758">
        <v>3.3</v>
      </c>
      <c r="AZ758">
        <v>107.453</v>
      </c>
      <c r="BA758">
        <v>0</v>
      </c>
      <c r="BB758">
        <v>0</v>
      </c>
      <c r="BC758">
        <v>0</v>
      </c>
      <c r="BD758">
        <v>0</v>
      </c>
    </row>
    <row r="759" spans="1:56" x14ac:dyDescent="0.25">
      <c r="A759" s="23">
        <v>46304</v>
      </c>
      <c r="B759">
        <v>758</v>
      </c>
      <c r="C759" t="s">
        <v>82</v>
      </c>
      <c r="D759" t="s">
        <v>83</v>
      </c>
      <c r="E759">
        <v>2</v>
      </c>
      <c r="F759">
        <v>180</v>
      </c>
      <c r="G759">
        <v>1</v>
      </c>
      <c r="H759" t="s">
        <v>95</v>
      </c>
      <c r="I759" t="s">
        <v>91</v>
      </c>
      <c r="J759" t="s">
        <v>85</v>
      </c>
      <c r="K759" t="s">
        <v>86</v>
      </c>
      <c r="L759" t="s">
        <v>71</v>
      </c>
      <c r="M759" t="s">
        <v>87</v>
      </c>
      <c r="O759" t="s">
        <v>88</v>
      </c>
      <c r="P759" t="s">
        <v>27</v>
      </c>
      <c r="Q759" t="s">
        <v>73</v>
      </c>
      <c r="R759" t="s">
        <v>76</v>
      </c>
      <c r="S759" t="s">
        <v>74</v>
      </c>
      <c r="T759" t="s">
        <v>75</v>
      </c>
      <c r="X759" t="s">
        <v>77</v>
      </c>
      <c r="Z759" t="s">
        <v>72</v>
      </c>
      <c r="AA759" t="s">
        <v>94</v>
      </c>
      <c r="AB759">
        <v>5</v>
      </c>
      <c r="AC759">
        <v>748761.2</v>
      </c>
      <c r="AD759">
        <v>8930486.6600000001</v>
      </c>
      <c r="AE759">
        <v>190.05</v>
      </c>
      <c r="AF759">
        <v>748761.2</v>
      </c>
      <c r="AG759">
        <v>8930486.6600000001</v>
      </c>
      <c r="AH759">
        <v>179.4</v>
      </c>
      <c r="AI759">
        <v>10.65</v>
      </c>
      <c r="AJ759">
        <v>0.6</v>
      </c>
      <c r="AK759">
        <v>3.37</v>
      </c>
      <c r="AL759">
        <v>2.93</v>
      </c>
      <c r="AM759">
        <v>0</v>
      </c>
      <c r="AN759">
        <v>0</v>
      </c>
      <c r="AO759">
        <v>358</v>
      </c>
      <c r="AP759">
        <v>3.3</v>
      </c>
      <c r="AQ759">
        <v>0.55000000000000004</v>
      </c>
      <c r="AR759">
        <v>7.0000000000000007E-2</v>
      </c>
      <c r="AS759">
        <v>7.0000000000000007E-2</v>
      </c>
      <c r="AT759">
        <v>17.100000000000001</v>
      </c>
      <c r="AU759">
        <v>5.54</v>
      </c>
      <c r="AV759">
        <v>0.32</v>
      </c>
      <c r="AW759">
        <v>1.58</v>
      </c>
      <c r="AX759">
        <v>1.41</v>
      </c>
      <c r="AY759">
        <v>3.3</v>
      </c>
      <c r="AZ759">
        <v>107.01600000000001</v>
      </c>
      <c r="BA759">
        <v>0</v>
      </c>
      <c r="BB759">
        <v>0</v>
      </c>
      <c r="BC759">
        <v>0</v>
      </c>
      <c r="BD759">
        <v>0</v>
      </c>
    </row>
    <row r="760" spans="1:56" x14ac:dyDescent="0.25">
      <c r="A760" s="23">
        <v>46304</v>
      </c>
      <c r="B760">
        <v>759</v>
      </c>
      <c r="C760" t="s">
        <v>82</v>
      </c>
      <c r="D760" t="s">
        <v>83</v>
      </c>
      <c r="E760">
        <v>2</v>
      </c>
      <c r="F760">
        <v>180</v>
      </c>
      <c r="G760">
        <v>1</v>
      </c>
      <c r="H760" t="s">
        <v>95</v>
      </c>
      <c r="I760" t="s">
        <v>91</v>
      </c>
      <c r="J760" t="s">
        <v>85</v>
      </c>
      <c r="K760" t="s">
        <v>86</v>
      </c>
      <c r="L760" t="s">
        <v>71</v>
      </c>
      <c r="M760" t="s">
        <v>87</v>
      </c>
      <c r="O760" t="s">
        <v>88</v>
      </c>
      <c r="P760" t="s">
        <v>27</v>
      </c>
      <c r="Q760" t="s">
        <v>73</v>
      </c>
      <c r="R760" t="s">
        <v>76</v>
      </c>
      <c r="S760" t="s">
        <v>74</v>
      </c>
      <c r="T760" t="s">
        <v>75</v>
      </c>
      <c r="X760" t="s">
        <v>77</v>
      </c>
      <c r="Z760" t="s">
        <v>72</v>
      </c>
      <c r="AA760" t="s">
        <v>94</v>
      </c>
      <c r="AB760">
        <v>5</v>
      </c>
      <c r="AC760">
        <v>748758.43</v>
      </c>
      <c r="AD760">
        <v>8930484.7400000002</v>
      </c>
      <c r="AE760">
        <v>189.98</v>
      </c>
      <c r="AF760">
        <v>748758.43</v>
      </c>
      <c r="AG760">
        <v>8930484.7400000002</v>
      </c>
      <c r="AH760">
        <v>179.4</v>
      </c>
      <c r="AI760">
        <v>10.58</v>
      </c>
      <c r="AJ760">
        <v>0.6</v>
      </c>
      <c r="AK760">
        <v>3.37</v>
      </c>
      <c r="AL760">
        <v>2.93</v>
      </c>
      <c r="AM760">
        <v>0</v>
      </c>
      <c r="AN760">
        <v>0</v>
      </c>
      <c r="AO760">
        <v>358</v>
      </c>
      <c r="AP760">
        <v>3.37</v>
      </c>
      <c r="AQ760">
        <v>0.61</v>
      </c>
      <c r="AR760">
        <v>0.08</v>
      </c>
      <c r="AS760">
        <v>7.0000000000000007E-2</v>
      </c>
      <c r="AT760">
        <v>18.77</v>
      </c>
      <c r="AU760">
        <v>5.84</v>
      </c>
      <c r="AV760">
        <v>0.33</v>
      </c>
      <c r="AW760">
        <v>1.85</v>
      </c>
      <c r="AX760">
        <v>8.33</v>
      </c>
      <c r="AY760">
        <v>3.3</v>
      </c>
      <c r="AZ760">
        <v>105.997</v>
      </c>
      <c r="BA760">
        <v>0</v>
      </c>
      <c r="BB760">
        <v>0</v>
      </c>
      <c r="BC760">
        <v>0</v>
      </c>
      <c r="BD760">
        <v>0</v>
      </c>
    </row>
    <row r="761" spans="1:56" x14ac:dyDescent="0.25">
      <c r="A761" s="23">
        <v>46304</v>
      </c>
      <c r="B761">
        <v>760</v>
      </c>
      <c r="C761" t="s">
        <v>82</v>
      </c>
      <c r="D761" t="s">
        <v>83</v>
      </c>
      <c r="E761">
        <v>2</v>
      </c>
      <c r="F761">
        <v>180</v>
      </c>
      <c r="G761">
        <v>1</v>
      </c>
      <c r="H761" t="s">
        <v>95</v>
      </c>
      <c r="I761" t="s">
        <v>91</v>
      </c>
      <c r="J761" t="s">
        <v>85</v>
      </c>
      <c r="K761" t="s">
        <v>86</v>
      </c>
      <c r="L761" t="s">
        <v>71</v>
      </c>
      <c r="M761" t="s">
        <v>87</v>
      </c>
      <c r="O761" t="s">
        <v>88</v>
      </c>
      <c r="P761" t="s">
        <v>27</v>
      </c>
      <c r="Q761" t="s">
        <v>73</v>
      </c>
      <c r="R761" t="s">
        <v>76</v>
      </c>
      <c r="S761" t="s">
        <v>74</v>
      </c>
      <c r="T761" t="s">
        <v>75</v>
      </c>
      <c r="X761" t="s">
        <v>77</v>
      </c>
      <c r="Z761" t="s">
        <v>72</v>
      </c>
      <c r="AA761" t="s">
        <v>94</v>
      </c>
      <c r="AB761">
        <v>5</v>
      </c>
      <c r="AC761">
        <v>748755.74</v>
      </c>
      <c r="AD761">
        <v>8930482.6999999993</v>
      </c>
      <c r="AE761">
        <v>189.97</v>
      </c>
      <c r="AF761">
        <v>748755.74</v>
      </c>
      <c r="AG761">
        <v>8930482.6999999993</v>
      </c>
      <c r="AH761">
        <v>179.4</v>
      </c>
      <c r="AI761">
        <v>10.57</v>
      </c>
      <c r="AJ761">
        <v>0.6</v>
      </c>
      <c r="AK761">
        <v>3.37</v>
      </c>
      <c r="AL761">
        <v>2.93</v>
      </c>
      <c r="AM761">
        <v>0</v>
      </c>
      <c r="AN761">
        <v>0</v>
      </c>
      <c r="AO761">
        <v>358</v>
      </c>
      <c r="AP761">
        <v>3.37</v>
      </c>
      <c r="AQ761">
        <v>0.61</v>
      </c>
      <c r="AR761">
        <v>0.08</v>
      </c>
      <c r="AS761">
        <v>7.0000000000000007E-2</v>
      </c>
      <c r="AT761">
        <v>18.77</v>
      </c>
      <c r="AU761">
        <v>5.82</v>
      </c>
      <c r="AV761">
        <v>0.33</v>
      </c>
      <c r="AW761">
        <v>1.86</v>
      </c>
      <c r="AX761">
        <v>8.98</v>
      </c>
      <c r="AY761">
        <v>3.3</v>
      </c>
      <c r="AZ761">
        <v>105.851</v>
      </c>
      <c r="BA761">
        <v>0</v>
      </c>
      <c r="BB761">
        <v>0</v>
      </c>
      <c r="BC761">
        <v>0</v>
      </c>
      <c r="BD761">
        <v>0</v>
      </c>
    </row>
    <row r="762" spans="1:56" x14ac:dyDescent="0.25">
      <c r="A762" s="23">
        <v>46304</v>
      </c>
      <c r="B762">
        <v>761</v>
      </c>
      <c r="C762" t="s">
        <v>82</v>
      </c>
      <c r="D762" t="s">
        <v>83</v>
      </c>
      <c r="E762">
        <v>2</v>
      </c>
      <c r="F762">
        <v>180</v>
      </c>
      <c r="G762">
        <v>1</v>
      </c>
      <c r="H762" t="s">
        <v>95</v>
      </c>
      <c r="I762" t="s">
        <v>91</v>
      </c>
      <c r="J762" t="s">
        <v>85</v>
      </c>
      <c r="K762" t="s">
        <v>86</v>
      </c>
      <c r="L762" t="s">
        <v>71</v>
      </c>
      <c r="M762" t="s">
        <v>87</v>
      </c>
      <c r="O762" t="s">
        <v>88</v>
      </c>
      <c r="P762" t="s">
        <v>27</v>
      </c>
      <c r="Q762" t="s">
        <v>73</v>
      </c>
      <c r="R762" t="s">
        <v>76</v>
      </c>
      <c r="S762" t="s">
        <v>74</v>
      </c>
      <c r="T762" t="s">
        <v>75</v>
      </c>
      <c r="X762" t="s">
        <v>77</v>
      </c>
      <c r="Z762" t="s">
        <v>72</v>
      </c>
      <c r="AA762" t="s">
        <v>94</v>
      </c>
      <c r="AB762">
        <v>5</v>
      </c>
      <c r="AC762">
        <v>748753.07</v>
      </c>
      <c r="AD762">
        <v>8930480.6600000001</v>
      </c>
      <c r="AE762">
        <v>190.1</v>
      </c>
      <c r="AF762">
        <v>748753.07</v>
      </c>
      <c r="AG762">
        <v>8930480.6600000001</v>
      </c>
      <c r="AH762">
        <v>179.4</v>
      </c>
      <c r="AI762">
        <v>10.7</v>
      </c>
      <c r="AJ762">
        <v>0.6</v>
      </c>
      <c r="AK762">
        <v>3.37</v>
      </c>
      <c r="AL762">
        <v>2.93</v>
      </c>
      <c r="AM762">
        <v>0</v>
      </c>
      <c r="AN762">
        <v>0</v>
      </c>
      <c r="AO762">
        <v>358</v>
      </c>
      <c r="AP762">
        <v>3.39</v>
      </c>
      <c r="AQ762">
        <v>0.63</v>
      </c>
      <c r="AR762">
        <v>0.08</v>
      </c>
      <c r="AS762">
        <v>0.08</v>
      </c>
      <c r="AT762">
        <v>19.329999999999998</v>
      </c>
      <c r="AU762">
        <v>5.77</v>
      </c>
      <c r="AV762">
        <v>0.34</v>
      </c>
      <c r="AW762">
        <v>1.87</v>
      </c>
      <c r="AX762">
        <v>8.6</v>
      </c>
      <c r="AY762">
        <v>3.3</v>
      </c>
      <c r="AZ762">
        <v>107.744</v>
      </c>
      <c r="BA762">
        <v>0</v>
      </c>
      <c r="BB762">
        <v>0</v>
      </c>
      <c r="BC762">
        <v>0</v>
      </c>
      <c r="BD762">
        <v>0</v>
      </c>
    </row>
    <row r="763" spans="1:56" x14ac:dyDescent="0.25">
      <c r="A763" s="23">
        <v>46304</v>
      </c>
      <c r="B763">
        <v>762</v>
      </c>
      <c r="C763" t="s">
        <v>82</v>
      </c>
      <c r="D763" t="s">
        <v>83</v>
      </c>
      <c r="E763">
        <v>2</v>
      </c>
      <c r="F763">
        <v>180</v>
      </c>
      <c r="G763">
        <v>1</v>
      </c>
      <c r="H763" t="s">
        <v>95</v>
      </c>
      <c r="I763" t="s">
        <v>91</v>
      </c>
      <c r="J763" t="s">
        <v>85</v>
      </c>
      <c r="K763" t="s">
        <v>86</v>
      </c>
      <c r="L763" t="s">
        <v>71</v>
      </c>
      <c r="M763" t="s">
        <v>87</v>
      </c>
      <c r="O763" t="s">
        <v>88</v>
      </c>
      <c r="P763" t="s">
        <v>27</v>
      </c>
      <c r="Q763" t="s">
        <v>73</v>
      </c>
      <c r="R763" t="s">
        <v>76</v>
      </c>
      <c r="S763" t="s">
        <v>74</v>
      </c>
      <c r="T763" t="s">
        <v>75</v>
      </c>
      <c r="X763" t="s">
        <v>77</v>
      </c>
      <c r="Z763" t="s">
        <v>72</v>
      </c>
      <c r="AA763" t="s">
        <v>94</v>
      </c>
      <c r="AB763">
        <v>5</v>
      </c>
      <c r="AC763">
        <v>748750.39</v>
      </c>
      <c r="AD763">
        <v>8930478.6099999994</v>
      </c>
      <c r="AE763">
        <v>189.95</v>
      </c>
      <c r="AF763">
        <v>748750.39</v>
      </c>
      <c r="AG763">
        <v>8930478.6099999994</v>
      </c>
      <c r="AH763">
        <v>179.4</v>
      </c>
      <c r="AI763">
        <v>10.55</v>
      </c>
      <c r="AJ763">
        <v>0.6</v>
      </c>
      <c r="AK763">
        <v>3.37</v>
      </c>
      <c r="AL763">
        <v>2.93</v>
      </c>
      <c r="AM763">
        <v>0</v>
      </c>
      <c r="AN763">
        <v>0</v>
      </c>
      <c r="AO763">
        <v>358</v>
      </c>
      <c r="AP763">
        <v>3.42</v>
      </c>
      <c r="AQ763">
        <v>0.69</v>
      </c>
      <c r="AR763">
        <v>0.09</v>
      </c>
      <c r="AS763">
        <v>0.09</v>
      </c>
      <c r="AT763">
        <v>20.5</v>
      </c>
      <c r="AU763">
        <v>5.66</v>
      </c>
      <c r="AV763">
        <v>0.36</v>
      </c>
      <c r="AW763">
        <v>1.91</v>
      </c>
      <c r="AX763">
        <v>7.72</v>
      </c>
      <c r="AY763">
        <v>3.3</v>
      </c>
      <c r="AZ763">
        <v>105.56</v>
      </c>
      <c r="BA763">
        <v>0</v>
      </c>
      <c r="BB763">
        <v>0</v>
      </c>
      <c r="BC763">
        <v>0</v>
      </c>
      <c r="BD763">
        <v>0</v>
      </c>
    </row>
    <row r="764" spans="1:56" x14ac:dyDescent="0.25">
      <c r="A764" s="23">
        <v>46304</v>
      </c>
      <c r="B764">
        <v>763</v>
      </c>
      <c r="C764" t="s">
        <v>82</v>
      </c>
      <c r="D764" t="s">
        <v>83</v>
      </c>
      <c r="E764">
        <v>2</v>
      </c>
      <c r="F764">
        <v>180</v>
      </c>
      <c r="G764">
        <v>1</v>
      </c>
      <c r="H764" t="s">
        <v>95</v>
      </c>
      <c r="I764" t="s">
        <v>91</v>
      </c>
      <c r="J764" t="s">
        <v>97</v>
      </c>
      <c r="K764" t="s">
        <v>86</v>
      </c>
      <c r="L764" t="s">
        <v>71</v>
      </c>
      <c r="M764" t="s">
        <v>87</v>
      </c>
      <c r="O764" t="s">
        <v>88</v>
      </c>
      <c r="P764" t="s">
        <v>27</v>
      </c>
      <c r="Q764" t="s">
        <v>73</v>
      </c>
      <c r="R764" t="s">
        <v>76</v>
      </c>
      <c r="S764" t="s">
        <v>74</v>
      </c>
      <c r="T764" t="s">
        <v>75</v>
      </c>
      <c r="X764" t="s">
        <v>77</v>
      </c>
      <c r="Z764" t="s">
        <v>72</v>
      </c>
      <c r="AA764" t="s">
        <v>94</v>
      </c>
      <c r="AB764">
        <v>5</v>
      </c>
      <c r="AC764">
        <v>748747.71</v>
      </c>
      <c r="AD764">
        <v>8930476.5700000003</v>
      </c>
      <c r="AE764">
        <v>189.76</v>
      </c>
      <c r="AF764">
        <v>748747.71</v>
      </c>
      <c r="AG764">
        <v>8930476.5700000003</v>
      </c>
      <c r="AH764">
        <v>179.4</v>
      </c>
      <c r="AI764">
        <v>10.36</v>
      </c>
      <c r="AJ764">
        <v>0.6</v>
      </c>
      <c r="AK764">
        <v>3.37</v>
      </c>
      <c r="AL764">
        <v>2.93</v>
      </c>
      <c r="AM764">
        <v>0</v>
      </c>
      <c r="AN764">
        <v>0</v>
      </c>
      <c r="AO764">
        <v>358</v>
      </c>
      <c r="AP764">
        <v>3.43</v>
      </c>
      <c r="AQ764">
        <v>0.72</v>
      </c>
      <c r="AR764">
        <v>0.1</v>
      </c>
      <c r="AS764">
        <v>0.09</v>
      </c>
      <c r="AT764">
        <v>20.73</v>
      </c>
      <c r="AU764">
        <v>5.62</v>
      </c>
      <c r="AV764">
        <v>0.37</v>
      </c>
      <c r="AW764">
        <v>1.95</v>
      </c>
      <c r="AX764">
        <v>7.42</v>
      </c>
      <c r="AY764">
        <v>3.3</v>
      </c>
      <c r="AZ764">
        <v>102.794</v>
      </c>
      <c r="BA764">
        <v>0</v>
      </c>
      <c r="BB764">
        <v>0</v>
      </c>
      <c r="BC764">
        <v>0</v>
      </c>
      <c r="BD764">
        <v>0</v>
      </c>
    </row>
    <row r="765" spans="1:56" x14ac:dyDescent="0.25">
      <c r="A765" s="23">
        <v>46304</v>
      </c>
      <c r="B765">
        <v>764</v>
      </c>
      <c r="C765" t="s">
        <v>82</v>
      </c>
      <c r="D765" t="s">
        <v>83</v>
      </c>
      <c r="E765">
        <v>2</v>
      </c>
      <c r="F765">
        <v>180</v>
      </c>
      <c r="G765">
        <v>1</v>
      </c>
      <c r="H765" t="s">
        <v>84</v>
      </c>
      <c r="I765" t="s">
        <v>91</v>
      </c>
      <c r="J765" t="s">
        <v>97</v>
      </c>
      <c r="K765" t="s">
        <v>86</v>
      </c>
      <c r="L765" t="s">
        <v>71</v>
      </c>
      <c r="M765" t="s">
        <v>87</v>
      </c>
      <c r="O765" t="s">
        <v>88</v>
      </c>
      <c r="P765" t="s">
        <v>27</v>
      </c>
      <c r="Q765" t="s">
        <v>73</v>
      </c>
      <c r="R765" t="s">
        <v>76</v>
      </c>
      <c r="S765" t="s">
        <v>74</v>
      </c>
      <c r="T765" t="s">
        <v>75</v>
      </c>
      <c r="X765" t="s">
        <v>77</v>
      </c>
      <c r="Z765" t="s">
        <v>72</v>
      </c>
      <c r="AA765" t="s">
        <v>94</v>
      </c>
      <c r="AB765">
        <v>5</v>
      </c>
      <c r="AC765">
        <v>748745.03</v>
      </c>
      <c r="AD765">
        <v>8930474.5199999996</v>
      </c>
      <c r="AE765">
        <v>189.75</v>
      </c>
      <c r="AF765">
        <v>748745.03</v>
      </c>
      <c r="AG765">
        <v>8930474.5199999996</v>
      </c>
      <c r="AH765">
        <v>179.4</v>
      </c>
      <c r="AI765">
        <v>10.35</v>
      </c>
      <c r="AJ765">
        <v>0.6</v>
      </c>
      <c r="AK765">
        <v>3.37</v>
      </c>
      <c r="AL765">
        <v>2.93</v>
      </c>
      <c r="AM765">
        <v>0</v>
      </c>
      <c r="AN765">
        <v>0</v>
      </c>
      <c r="AO765">
        <v>358</v>
      </c>
      <c r="AP765">
        <v>3.43</v>
      </c>
      <c r="AQ765">
        <v>0.72</v>
      </c>
      <c r="AR765">
        <v>0.1</v>
      </c>
      <c r="AS765">
        <v>0.09</v>
      </c>
      <c r="AT765">
        <v>20.73</v>
      </c>
      <c r="AU765">
        <v>5.62</v>
      </c>
      <c r="AV765">
        <v>0.37</v>
      </c>
      <c r="AW765">
        <v>1.95</v>
      </c>
      <c r="AX765">
        <v>7.42</v>
      </c>
      <c r="AY765">
        <v>3.3</v>
      </c>
      <c r="AZ765">
        <v>102.648</v>
      </c>
      <c r="BA765">
        <v>0</v>
      </c>
      <c r="BB765">
        <v>0</v>
      </c>
      <c r="BC765">
        <v>0</v>
      </c>
      <c r="BD765">
        <v>0</v>
      </c>
    </row>
    <row r="766" spans="1:56" x14ac:dyDescent="0.25">
      <c r="A766" s="23">
        <v>46304</v>
      </c>
      <c r="B766">
        <v>765</v>
      </c>
      <c r="C766" t="s">
        <v>82</v>
      </c>
      <c r="D766" t="s">
        <v>83</v>
      </c>
      <c r="E766">
        <v>2</v>
      </c>
      <c r="F766">
        <v>180</v>
      </c>
      <c r="G766">
        <v>1</v>
      </c>
      <c r="H766" t="s">
        <v>84</v>
      </c>
      <c r="I766" t="s">
        <v>91</v>
      </c>
      <c r="J766" t="s">
        <v>97</v>
      </c>
      <c r="K766" t="s">
        <v>86</v>
      </c>
      <c r="L766" t="s">
        <v>71</v>
      </c>
      <c r="M766" t="s">
        <v>87</v>
      </c>
      <c r="O766" t="s">
        <v>88</v>
      </c>
      <c r="P766" t="s">
        <v>27</v>
      </c>
      <c r="Q766" t="s">
        <v>73</v>
      </c>
      <c r="R766" t="s">
        <v>76</v>
      </c>
      <c r="S766" t="s">
        <v>74</v>
      </c>
      <c r="T766" t="s">
        <v>75</v>
      </c>
      <c r="X766" t="s">
        <v>77</v>
      </c>
      <c r="Z766" t="s">
        <v>72</v>
      </c>
      <c r="AA766" t="s">
        <v>94</v>
      </c>
      <c r="AB766">
        <v>5</v>
      </c>
      <c r="AC766">
        <v>748742.35</v>
      </c>
      <c r="AD766">
        <v>8930472.4700000007</v>
      </c>
      <c r="AE766">
        <v>189.75</v>
      </c>
      <c r="AF766">
        <v>748742.35</v>
      </c>
      <c r="AG766">
        <v>8930472.4700000007</v>
      </c>
      <c r="AH766">
        <v>179.4</v>
      </c>
      <c r="AI766">
        <v>10.35</v>
      </c>
      <c r="AJ766">
        <v>0.6</v>
      </c>
      <c r="AK766">
        <v>3.37</v>
      </c>
      <c r="AL766">
        <v>2.93</v>
      </c>
      <c r="AM766">
        <v>0</v>
      </c>
      <c r="AN766">
        <v>0</v>
      </c>
      <c r="AO766">
        <v>358</v>
      </c>
      <c r="AP766">
        <v>3.43</v>
      </c>
      <c r="AQ766">
        <v>0.72</v>
      </c>
      <c r="AR766">
        <v>0.1</v>
      </c>
      <c r="AS766">
        <v>0.09</v>
      </c>
      <c r="AT766">
        <v>20.73</v>
      </c>
      <c r="AU766">
        <v>5.62</v>
      </c>
      <c r="AV766">
        <v>0.37</v>
      </c>
      <c r="AW766">
        <v>1.95</v>
      </c>
      <c r="AX766">
        <v>7.42</v>
      </c>
      <c r="AY766">
        <v>3.3</v>
      </c>
      <c r="AZ766">
        <v>102.648</v>
      </c>
      <c r="BA766">
        <v>0</v>
      </c>
      <c r="BB766">
        <v>0</v>
      </c>
      <c r="BC766">
        <v>0</v>
      </c>
      <c r="BD766">
        <v>0</v>
      </c>
    </row>
    <row r="767" spans="1:56" x14ac:dyDescent="0.25">
      <c r="A767" s="23">
        <v>46304</v>
      </c>
      <c r="B767">
        <v>766</v>
      </c>
      <c r="C767" t="s">
        <v>82</v>
      </c>
      <c r="D767" t="s">
        <v>83</v>
      </c>
      <c r="E767">
        <v>2</v>
      </c>
      <c r="F767">
        <v>180</v>
      </c>
      <c r="G767">
        <v>1</v>
      </c>
      <c r="H767" t="s">
        <v>84</v>
      </c>
      <c r="I767" t="s">
        <v>91</v>
      </c>
      <c r="J767" t="s">
        <v>97</v>
      </c>
      <c r="K767" t="s">
        <v>86</v>
      </c>
      <c r="L767" t="s">
        <v>71</v>
      </c>
      <c r="M767" t="s">
        <v>87</v>
      </c>
      <c r="O767" t="s">
        <v>88</v>
      </c>
      <c r="P767" t="s">
        <v>27</v>
      </c>
      <c r="Q767" t="s">
        <v>73</v>
      </c>
      <c r="R767" t="s">
        <v>76</v>
      </c>
      <c r="S767" t="s">
        <v>74</v>
      </c>
      <c r="T767" t="s">
        <v>75</v>
      </c>
      <c r="X767" t="s">
        <v>77</v>
      </c>
      <c r="Z767" t="s">
        <v>72</v>
      </c>
      <c r="AA767" t="s">
        <v>94</v>
      </c>
      <c r="AB767">
        <v>5</v>
      </c>
      <c r="AC767">
        <v>748739.68</v>
      </c>
      <c r="AD767">
        <v>8930470.4299999997</v>
      </c>
      <c r="AE767">
        <v>189.77</v>
      </c>
      <c r="AF767">
        <v>748739.68</v>
      </c>
      <c r="AG767">
        <v>8930470.4299999997</v>
      </c>
      <c r="AH767">
        <v>179.4</v>
      </c>
      <c r="AI767">
        <v>10.37</v>
      </c>
      <c r="AJ767">
        <v>0.6</v>
      </c>
      <c r="AK767">
        <v>3.37</v>
      </c>
      <c r="AL767">
        <v>2.93</v>
      </c>
      <c r="AM767">
        <v>0</v>
      </c>
      <c r="AN767">
        <v>0</v>
      </c>
      <c r="AO767">
        <v>358</v>
      </c>
      <c r="AP767">
        <v>3.38</v>
      </c>
      <c r="AQ767">
        <v>0.74</v>
      </c>
      <c r="AR767">
        <v>0.1</v>
      </c>
      <c r="AS767">
        <v>0.09</v>
      </c>
      <c r="AT767">
        <v>19.329999999999998</v>
      </c>
      <c r="AU767">
        <v>5.86</v>
      </c>
      <c r="AV767">
        <v>0.37</v>
      </c>
      <c r="AW767">
        <v>2</v>
      </c>
      <c r="AX767">
        <v>7.13</v>
      </c>
      <c r="AY767">
        <v>3.3</v>
      </c>
      <c r="AZ767">
        <v>102.93899999999999</v>
      </c>
      <c r="BA767">
        <v>0</v>
      </c>
      <c r="BB767">
        <v>0</v>
      </c>
      <c r="BC767">
        <v>0</v>
      </c>
      <c r="BD767">
        <v>0</v>
      </c>
    </row>
    <row r="768" spans="1:56" x14ac:dyDescent="0.25">
      <c r="A768" s="23">
        <v>46304</v>
      </c>
      <c r="B768">
        <v>767</v>
      </c>
      <c r="C768" t="s">
        <v>82</v>
      </c>
      <c r="D768" t="s">
        <v>83</v>
      </c>
      <c r="E768">
        <v>0</v>
      </c>
      <c r="F768">
        <v>180</v>
      </c>
      <c r="G768">
        <v>0</v>
      </c>
      <c r="H768" t="s">
        <v>98</v>
      </c>
      <c r="J768" t="s">
        <v>97</v>
      </c>
      <c r="K768" t="s">
        <v>86</v>
      </c>
      <c r="L768" t="s">
        <v>71</v>
      </c>
      <c r="M768" t="s">
        <v>87</v>
      </c>
      <c r="O768" t="s">
        <v>88</v>
      </c>
      <c r="P768" t="s">
        <v>27</v>
      </c>
      <c r="Q768" t="s">
        <v>73</v>
      </c>
      <c r="R768" t="s">
        <v>76</v>
      </c>
      <c r="S768" t="s">
        <v>74</v>
      </c>
      <c r="T768" t="s">
        <v>75</v>
      </c>
      <c r="X768" t="s">
        <v>77</v>
      </c>
      <c r="Z768" t="s">
        <v>72</v>
      </c>
      <c r="AA768" t="s">
        <v>94</v>
      </c>
      <c r="AB768">
        <v>5</v>
      </c>
      <c r="AC768">
        <v>748737.01</v>
      </c>
      <c r="AD768">
        <v>8930468.3699999992</v>
      </c>
      <c r="AE768">
        <v>189.78</v>
      </c>
      <c r="AF768">
        <v>748737.01</v>
      </c>
      <c r="AG768">
        <v>8930468.3699999992</v>
      </c>
      <c r="AH768">
        <v>179.4</v>
      </c>
      <c r="AI768">
        <v>10.38</v>
      </c>
      <c r="AJ768">
        <v>0.6</v>
      </c>
      <c r="AK768">
        <v>3.37</v>
      </c>
      <c r="AL768">
        <v>2.93</v>
      </c>
      <c r="AM768">
        <v>0</v>
      </c>
      <c r="AN768">
        <v>0</v>
      </c>
      <c r="AO768">
        <v>358</v>
      </c>
      <c r="AP768">
        <v>3.39</v>
      </c>
      <c r="AQ768">
        <v>0.71</v>
      </c>
      <c r="AR768">
        <v>0.1</v>
      </c>
      <c r="AS768">
        <v>0.08</v>
      </c>
      <c r="AT768">
        <v>18.75</v>
      </c>
      <c r="AU768">
        <v>6.13</v>
      </c>
      <c r="AV768">
        <v>0.36</v>
      </c>
      <c r="AW768">
        <v>1.99</v>
      </c>
      <c r="AX768">
        <v>7.39</v>
      </c>
      <c r="AY768">
        <v>3.3</v>
      </c>
      <c r="AZ768">
        <v>103.08499999999999</v>
      </c>
      <c r="BA768">
        <v>0</v>
      </c>
      <c r="BB768">
        <v>0</v>
      </c>
      <c r="BC768">
        <v>0</v>
      </c>
      <c r="BD768">
        <v>0</v>
      </c>
    </row>
    <row r="769" spans="1:56" x14ac:dyDescent="0.25">
      <c r="A769" s="23">
        <v>46304</v>
      </c>
      <c r="B769">
        <v>768</v>
      </c>
      <c r="C769" t="s">
        <v>82</v>
      </c>
      <c r="D769" t="s">
        <v>83</v>
      </c>
      <c r="E769">
        <v>0</v>
      </c>
      <c r="F769">
        <v>180</v>
      </c>
      <c r="G769">
        <v>0</v>
      </c>
      <c r="H769" t="s">
        <v>98</v>
      </c>
      <c r="J769" t="s">
        <v>97</v>
      </c>
      <c r="K769" t="s">
        <v>86</v>
      </c>
      <c r="L769" t="s">
        <v>71</v>
      </c>
      <c r="M769" t="s">
        <v>87</v>
      </c>
      <c r="O769" t="s">
        <v>88</v>
      </c>
      <c r="P769" t="s">
        <v>27</v>
      </c>
      <c r="Q769" t="s">
        <v>73</v>
      </c>
      <c r="R769" t="s">
        <v>76</v>
      </c>
      <c r="S769" t="s">
        <v>74</v>
      </c>
      <c r="T769" t="s">
        <v>75</v>
      </c>
      <c r="X769" t="s">
        <v>77</v>
      </c>
      <c r="Z769" t="s">
        <v>72</v>
      </c>
      <c r="AA769" t="s">
        <v>94</v>
      </c>
      <c r="AB769">
        <v>5</v>
      </c>
      <c r="AC769">
        <v>748735.05</v>
      </c>
      <c r="AD769">
        <v>8930465.7799999993</v>
      </c>
      <c r="AE769">
        <v>189.88</v>
      </c>
      <c r="AF769">
        <v>748735.05</v>
      </c>
      <c r="AG769">
        <v>8930465.7799999993</v>
      </c>
      <c r="AH769">
        <v>179.4</v>
      </c>
      <c r="AI769">
        <v>10.48</v>
      </c>
      <c r="AJ769">
        <v>0.6</v>
      </c>
      <c r="AK769">
        <v>3.37</v>
      </c>
      <c r="AL769">
        <v>2.93</v>
      </c>
      <c r="AM769">
        <v>0</v>
      </c>
      <c r="AN769">
        <v>0</v>
      </c>
      <c r="AO769">
        <v>358</v>
      </c>
      <c r="AP769">
        <v>3.35</v>
      </c>
      <c r="AQ769">
        <v>0.67</v>
      </c>
      <c r="AR769">
        <v>0.09</v>
      </c>
      <c r="AS769">
        <v>0.08</v>
      </c>
      <c r="AT769">
        <v>17.77</v>
      </c>
      <c r="AU769">
        <v>5.82</v>
      </c>
      <c r="AV769">
        <v>0.34</v>
      </c>
      <c r="AW769">
        <v>1.88</v>
      </c>
      <c r="AX769">
        <v>7.05</v>
      </c>
      <c r="AY769">
        <v>3.3</v>
      </c>
      <c r="AZ769">
        <v>104.541</v>
      </c>
      <c r="BA769">
        <v>0</v>
      </c>
      <c r="BB769">
        <v>0</v>
      </c>
      <c r="BC769">
        <v>0</v>
      </c>
      <c r="BD769">
        <v>0</v>
      </c>
    </row>
    <row r="770" spans="1:56" x14ac:dyDescent="0.25">
      <c r="A770" s="23">
        <v>46304</v>
      </c>
      <c r="B770">
        <v>769</v>
      </c>
      <c r="C770" t="s">
        <v>82</v>
      </c>
      <c r="D770" t="s">
        <v>83</v>
      </c>
      <c r="E770">
        <v>0</v>
      </c>
      <c r="F770">
        <v>180</v>
      </c>
      <c r="G770">
        <v>0</v>
      </c>
      <c r="H770" t="s">
        <v>98</v>
      </c>
      <c r="J770" t="s">
        <v>97</v>
      </c>
      <c r="K770" t="s">
        <v>86</v>
      </c>
      <c r="L770" t="s">
        <v>71</v>
      </c>
      <c r="M770" t="s">
        <v>87</v>
      </c>
      <c r="O770" t="s">
        <v>88</v>
      </c>
      <c r="P770" t="s">
        <v>27</v>
      </c>
      <c r="Q770" t="s">
        <v>73</v>
      </c>
      <c r="R770" t="s">
        <v>76</v>
      </c>
      <c r="S770" t="s">
        <v>74</v>
      </c>
      <c r="T770" t="s">
        <v>75</v>
      </c>
      <c r="X770" t="s">
        <v>77</v>
      </c>
      <c r="Z770" t="s">
        <v>72</v>
      </c>
      <c r="AA770" t="s">
        <v>94</v>
      </c>
      <c r="AB770">
        <v>5</v>
      </c>
      <c r="AC770">
        <v>748737.49</v>
      </c>
      <c r="AD770">
        <v>8930463.9199999999</v>
      </c>
      <c r="AE770">
        <v>189.9</v>
      </c>
      <c r="AF770">
        <v>748737.49</v>
      </c>
      <c r="AG770">
        <v>8930463.9199999999</v>
      </c>
      <c r="AH770">
        <v>179.4</v>
      </c>
      <c r="AI770">
        <v>10.5</v>
      </c>
      <c r="AJ770">
        <v>0.6</v>
      </c>
      <c r="AK770">
        <v>3.37</v>
      </c>
      <c r="AL770">
        <v>2.93</v>
      </c>
      <c r="AM770">
        <v>0</v>
      </c>
      <c r="AN770">
        <v>0</v>
      </c>
      <c r="AO770">
        <v>358</v>
      </c>
      <c r="AP770">
        <v>3.28</v>
      </c>
      <c r="AQ770">
        <v>0.6</v>
      </c>
      <c r="AR770">
        <v>0.08</v>
      </c>
      <c r="AS770">
        <v>7.0000000000000007E-2</v>
      </c>
      <c r="AT770">
        <v>15.95</v>
      </c>
      <c r="AU770">
        <v>5.23</v>
      </c>
      <c r="AV770">
        <v>0.3</v>
      </c>
      <c r="AW770">
        <v>1.69</v>
      </c>
      <c r="AX770">
        <v>6.33</v>
      </c>
      <c r="AY770">
        <v>3.3</v>
      </c>
      <c r="AZ770">
        <v>104.83199999999999</v>
      </c>
      <c r="BA770">
        <v>0</v>
      </c>
      <c r="BB770">
        <v>0</v>
      </c>
      <c r="BC770">
        <v>0</v>
      </c>
      <c r="BD770">
        <v>0</v>
      </c>
    </row>
    <row r="771" spans="1:56" x14ac:dyDescent="0.25">
      <c r="A771" s="23">
        <v>46304</v>
      </c>
      <c r="B771">
        <v>770</v>
      </c>
      <c r="C771" t="s">
        <v>82</v>
      </c>
      <c r="D771" t="s">
        <v>83</v>
      </c>
      <c r="E771">
        <v>0</v>
      </c>
      <c r="F771">
        <v>180</v>
      </c>
      <c r="G771">
        <v>0</v>
      </c>
      <c r="H771" t="s">
        <v>84</v>
      </c>
      <c r="J771" t="s">
        <v>97</v>
      </c>
      <c r="K771" t="s">
        <v>86</v>
      </c>
      <c r="L771" t="s">
        <v>71</v>
      </c>
      <c r="M771" t="s">
        <v>87</v>
      </c>
      <c r="O771" t="s">
        <v>88</v>
      </c>
      <c r="P771" t="s">
        <v>27</v>
      </c>
      <c r="Q771" t="s">
        <v>73</v>
      </c>
      <c r="R771" t="s">
        <v>76</v>
      </c>
      <c r="S771" t="s">
        <v>74</v>
      </c>
      <c r="T771" t="s">
        <v>75</v>
      </c>
      <c r="X771" t="s">
        <v>77</v>
      </c>
      <c r="Z771" t="s">
        <v>72</v>
      </c>
      <c r="AA771" t="s">
        <v>94</v>
      </c>
      <c r="AB771">
        <v>5</v>
      </c>
      <c r="AC771">
        <v>748739.27</v>
      </c>
      <c r="AD771">
        <v>8930466.4600000009</v>
      </c>
      <c r="AE771">
        <v>189.91</v>
      </c>
      <c r="AF771">
        <v>748739.27</v>
      </c>
      <c r="AG771">
        <v>8930466.4600000009</v>
      </c>
      <c r="AH771">
        <v>179.4</v>
      </c>
      <c r="AI771">
        <v>10.51</v>
      </c>
      <c r="AJ771">
        <v>0.6</v>
      </c>
      <c r="AK771">
        <v>3.37</v>
      </c>
      <c r="AL771">
        <v>2.93</v>
      </c>
      <c r="AM771">
        <v>0</v>
      </c>
      <c r="AN771">
        <v>0</v>
      </c>
      <c r="AO771">
        <v>358</v>
      </c>
      <c r="AP771">
        <v>3.4</v>
      </c>
      <c r="AQ771">
        <v>0.69</v>
      </c>
      <c r="AR771">
        <v>0.09</v>
      </c>
      <c r="AS771">
        <v>0.08</v>
      </c>
      <c r="AT771">
        <v>18.45</v>
      </c>
      <c r="AU771">
        <v>5.86</v>
      </c>
      <c r="AV771">
        <v>0.35</v>
      </c>
      <c r="AW771">
        <v>1.92</v>
      </c>
      <c r="AX771">
        <v>7.3</v>
      </c>
      <c r="AY771">
        <v>3.3</v>
      </c>
      <c r="AZ771">
        <v>104.97799999999999</v>
      </c>
      <c r="BA771">
        <v>0</v>
      </c>
      <c r="BB771">
        <v>0</v>
      </c>
      <c r="BC771">
        <v>0</v>
      </c>
      <c r="BD771">
        <v>0</v>
      </c>
    </row>
    <row r="772" spans="1:56" x14ac:dyDescent="0.25">
      <c r="A772" s="23">
        <v>46304</v>
      </c>
      <c r="B772">
        <v>771</v>
      </c>
      <c r="C772" t="s">
        <v>82</v>
      </c>
      <c r="D772" t="s">
        <v>83</v>
      </c>
      <c r="E772">
        <v>2</v>
      </c>
      <c r="F772">
        <v>180</v>
      </c>
      <c r="G772">
        <v>1</v>
      </c>
      <c r="H772" t="s">
        <v>84</v>
      </c>
      <c r="I772" t="s">
        <v>91</v>
      </c>
      <c r="J772" t="s">
        <v>85</v>
      </c>
      <c r="K772" t="s">
        <v>86</v>
      </c>
      <c r="L772" t="s">
        <v>71</v>
      </c>
      <c r="M772" t="s">
        <v>87</v>
      </c>
      <c r="O772" t="s">
        <v>88</v>
      </c>
      <c r="P772" t="s">
        <v>27</v>
      </c>
      <c r="Q772" t="s">
        <v>73</v>
      </c>
      <c r="R772" t="s">
        <v>76</v>
      </c>
      <c r="S772" t="s">
        <v>74</v>
      </c>
      <c r="T772" t="s">
        <v>75</v>
      </c>
      <c r="X772" t="s">
        <v>77</v>
      </c>
      <c r="Z772" t="s">
        <v>72</v>
      </c>
      <c r="AA772" t="s">
        <v>94</v>
      </c>
      <c r="AB772">
        <v>5</v>
      </c>
      <c r="AC772">
        <v>748741.96</v>
      </c>
      <c r="AD772">
        <v>8930468.4800000004</v>
      </c>
      <c r="AE772">
        <v>189.8</v>
      </c>
      <c r="AF772">
        <v>748741.96</v>
      </c>
      <c r="AG772">
        <v>8930468.4800000004</v>
      </c>
      <c r="AH772">
        <v>179.4</v>
      </c>
      <c r="AI772">
        <v>10.4</v>
      </c>
      <c r="AJ772">
        <v>0.6</v>
      </c>
      <c r="AK772">
        <v>3.37</v>
      </c>
      <c r="AL772">
        <v>2.93</v>
      </c>
      <c r="AM772">
        <v>0</v>
      </c>
      <c r="AN772">
        <v>0</v>
      </c>
      <c r="AO772">
        <v>358</v>
      </c>
      <c r="AP772">
        <v>3.45</v>
      </c>
      <c r="AQ772">
        <v>0.68</v>
      </c>
      <c r="AR772">
        <v>0.09</v>
      </c>
      <c r="AS772">
        <v>0.08</v>
      </c>
      <c r="AT772">
        <v>18.87</v>
      </c>
      <c r="AU772">
        <v>5.48</v>
      </c>
      <c r="AV772">
        <v>0.36</v>
      </c>
      <c r="AW772">
        <v>1.88</v>
      </c>
      <c r="AX772">
        <v>7.37</v>
      </c>
      <c r="AY772">
        <v>3.3</v>
      </c>
      <c r="AZ772">
        <v>103.376</v>
      </c>
      <c r="BA772">
        <v>0</v>
      </c>
      <c r="BB772">
        <v>0</v>
      </c>
      <c r="BC772">
        <v>0</v>
      </c>
      <c r="BD772">
        <v>0</v>
      </c>
    </row>
    <row r="773" spans="1:56" x14ac:dyDescent="0.25">
      <c r="A773" s="23">
        <v>46304</v>
      </c>
      <c r="B773">
        <v>772</v>
      </c>
      <c r="C773" t="s">
        <v>82</v>
      </c>
      <c r="D773" t="s">
        <v>83</v>
      </c>
      <c r="E773">
        <v>2</v>
      </c>
      <c r="F773">
        <v>180</v>
      </c>
      <c r="G773">
        <v>1</v>
      </c>
      <c r="H773" t="s">
        <v>84</v>
      </c>
      <c r="I773" t="s">
        <v>91</v>
      </c>
      <c r="J773" t="s">
        <v>97</v>
      </c>
      <c r="K773" t="s">
        <v>86</v>
      </c>
      <c r="L773" t="s">
        <v>71</v>
      </c>
      <c r="M773" t="s">
        <v>87</v>
      </c>
      <c r="O773" t="s">
        <v>88</v>
      </c>
      <c r="P773" t="s">
        <v>27</v>
      </c>
      <c r="Q773" t="s">
        <v>73</v>
      </c>
      <c r="R773" t="s">
        <v>76</v>
      </c>
      <c r="S773" t="s">
        <v>74</v>
      </c>
      <c r="T773" t="s">
        <v>75</v>
      </c>
      <c r="X773" t="s">
        <v>77</v>
      </c>
      <c r="Z773" t="s">
        <v>72</v>
      </c>
      <c r="AA773" t="s">
        <v>94</v>
      </c>
      <c r="AB773">
        <v>5</v>
      </c>
      <c r="AC773">
        <v>748744.64</v>
      </c>
      <c r="AD773">
        <v>8930470.5299999993</v>
      </c>
      <c r="AE773">
        <v>189.78</v>
      </c>
      <c r="AF773">
        <v>748744.64</v>
      </c>
      <c r="AG773">
        <v>8930470.5299999993</v>
      </c>
      <c r="AH773">
        <v>179.4</v>
      </c>
      <c r="AI773">
        <v>10.38</v>
      </c>
      <c r="AJ773">
        <v>0.6</v>
      </c>
      <c r="AK773">
        <v>3.37</v>
      </c>
      <c r="AL773">
        <v>2.93</v>
      </c>
      <c r="AM773">
        <v>0</v>
      </c>
      <c r="AN773">
        <v>0</v>
      </c>
      <c r="AO773">
        <v>358</v>
      </c>
      <c r="AP773">
        <v>3.44</v>
      </c>
      <c r="AQ773">
        <v>0.7</v>
      </c>
      <c r="AR773">
        <v>0.09</v>
      </c>
      <c r="AS773">
        <v>0.08</v>
      </c>
      <c r="AT773">
        <v>20.04</v>
      </c>
      <c r="AU773">
        <v>5.57</v>
      </c>
      <c r="AV773">
        <v>0.36</v>
      </c>
      <c r="AW773">
        <v>1.93</v>
      </c>
      <c r="AX773">
        <v>7.4</v>
      </c>
      <c r="AY773">
        <v>3.3</v>
      </c>
      <c r="AZ773">
        <v>103.08499999999999</v>
      </c>
      <c r="BA773">
        <v>0</v>
      </c>
      <c r="BB773">
        <v>0</v>
      </c>
      <c r="BC773">
        <v>0</v>
      </c>
      <c r="BD773">
        <v>0</v>
      </c>
    </row>
    <row r="774" spans="1:56" x14ac:dyDescent="0.25">
      <c r="A774" s="23">
        <v>46304</v>
      </c>
      <c r="B774">
        <v>773</v>
      </c>
      <c r="C774" t="s">
        <v>82</v>
      </c>
      <c r="D774" t="s">
        <v>83</v>
      </c>
      <c r="E774">
        <v>2</v>
      </c>
      <c r="F774">
        <v>180</v>
      </c>
      <c r="G774">
        <v>1</v>
      </c>
      <c r="H774" t="s">
        <v>95</v>
      </c>
      <c r="I774" t="s">
        <v>91</v>
      </c>
      <c r="J774" t="s">
        <v>97</v>
      </c>
      <c r="K774" t="s">
        <v>86</v>
      </c>
      <c r="L774" t="s">
        <v>71</v>
      </c>
      <c r="M774" t="s">
        <v>87</v>
      </c>
      <c r="O774" t="s">
        <v>88</v>
      </c>
      <c r="P774" t="s">
        <v>27</v>
      </c>
      <c r="Q774" t="s">
        <v>73</v>
      </c>
      <c r="R774" t="s">
        <v>76</v>
      </c>
      <c r="S774" t="s">
        <v>74</v>
      </c>
      <c r="T774" t="s">
        <v>75</v>
      </c>
      <c r="X774" t="s">
        <v>77</v>
      </c>
      <c r="Z774" t="s">
        <v>72</v>
      </c>
      <c r="AA774" t="s">
        <v>94</v>
      </c>
      <c r="AB774">
        <v>5</v>
      </c>
      <c r="AC774">
        <v>748747.32</v>
      </c>
      <c r="AD774">
        <v>8930472.5700000003</v>
      </c>
      <c r="AE774">
        <v>189.74</v>
      </c>
      <c r="AF774">
        <v>748747.32</v>
      </c>
      <c r="AG774">
        <v>8930472.5700000003</v>
      </c>
      <c r="AH774">
        <v>179.4</v>
      </c>
      <c r="AI774">
        <v>10.34</v>
      </c>
      <c r="AJ774">
        <v>0.6</v>
      </c>
      <c r="AK774">
        <v>3.37</v>
      </c>
      <c r="AL774">
        <v>2.93</v>
      </c>
      <c r="AM774">
        <v>0</v>
      </c>
      <c r="AN774">
        <v>0</v>
      </c>
      <c r="AO774">
        <v>358</v>
      </c>
      <c r="AP774">
        <v>3.43</v>
      </c>
      <c r="AQ774">
        <v>0.72</v>
      </c>
      <c r="AR774">
        <v>0.1</v>
      </c>
      <c r="AS774">
        <v>0.09</v>
      </c>
      <c r="AT774">
        <v>20.73</v>
      </c>
      <c r="AU774">
        <v>5.62</v>
      </c>
      <c r="AV774">
        <v>0.37</v>
      </c>
      <c r="AW774">
        <v>1.95</v>
      </c>
      <c r="AX774">
        <v>7.42</v>
      </c>
      <c r="AY774">
        <v>3.3</v>
      </c>
      <c r="AZ774">
        <v>102.502</v>
      </c>
      <c r="BA774">
        <v>0</v>
      </c>
      <c r="BB774">
        <v>0</v>
      </c>
      <c r="BC774">
        <v>0</v>
      </c>
      <c r="BD774">
        <v>0</v>
      </c>
    </row>
    <row r="775" spans="1:56" x14ac:dyDescent="0.25">
      <c r="A775" s="23">
        <v>46304</v>
      </c>
      <c r="B775">
        <v>774</v>
      </c>
      <c r="C775" t="s">
        <v>82</v>
      </c>
      <c r="D775" t="s">
        <v>83</v>
      </c>
      <c r="E775">
        <v>2</v>
      </c>
      <c r="F775">
        <v>180</v>
      </c>
      <c r="G775">
        <v>1</v>
      </c>
      <c r="H775" t="s">
        <v>95</v>
      </c>
      <c r="I775" t="s">
        <v>91</v>
      </c>
      <c r="J775" t="s">
        <v>97</v>
      </c>
      <c r="K775" t="s">
        <v>86</v>
      </c>
      <c r="L775" t="s">
        <v>71</v>
      </c>
      <c r="M775" t="s">
        <v>87</v>
      </c>
      <c r="O775" t="s">
        <v>88</v>
      </c>
      <c r="P775" t="s">
        <v>27</v>
      </c>
      <c r="Q775" t="s">
        <v>73</v>
      </c>
      <c r="R775" t="s">
        <v>76</v>
      </c>
      <c r="S775" t="s">
        <v>74</v>
      </c>
      <c r="T775" t="s">
        <v>75</v>
      </c>
      <c r="X775" t="s">
        <v>77</v>
      </c>
      <c r="Z775" t="s">
        <v>72</v>
      </c>
      <c r="AA775" t="s">
        <v>94</v>
      </c>
      <c r="AB775">
        <v>5</v>
      </c>
      <c r="AC775">
        <v>748750</v>
      </c>
      <c r="AD775">
        <v>8930474.6199999992</v>
      </c>
      <c r="AE775">
        <v>189.8</v>
      </c>
      <c r="AF775">
        <v>748750</v>
      </c>
      <c r="AG775">
        <v>8930474.6199999992</v>
      </c>
      <c r="AH775">
        <v>179.4</v>
      </c>
      <c r="AI775">
        <v>10.4</v>
      </c>
      <c r="AJ775">
        <v>0.6</v>
      </c>
      <c r="AK775">
        <v>3.37</v>
      </c>
      <c r="AL775">
        <v>2.93</v>
      </c>
      <c r="AM775">
        <v>0</v>
      </c>
      <c r="AN775">
        <v>0</v>
      </c>
      <c r="AO775">
        <v>358</v>
      </c>
      <c r="AP775">
        <v>3.43</v>
      </c>
      <c r="AQ775">
        <v>0.7</v>
      </c>
      <c r="AR775">
        <v>0.1</v>
      </c>
      <c r="AS775">
        <v>0.09</v>
      </c>
      <c r="AT775">
        <v>20.62</v>
      </c>
      <c r="AU775">
        <v>5.64</v>
      </c>
      <c r="AV775">
        <v>0.37</v>
      </c>
      <c r="AW775">
        <v>1.92</v>
      </c>
      <c r="AX775">
        <v>7.59</v>
      </c>
      <c r="AY775">
        <v>3.3</v>
      </c>
      <c r="AZ775">
        <v>103.376</v>
      </c>
      <c r="BA775">
        <v>0</v>
      </c>
      <c r="BB775">
        <v>0</v>
      </c>
      <c r="BC775">
        <v>0</v>
      </c>
      <c r="BD775">
        <v>0</v>
      </c>
    </row>
    <row r="776" spans="1:56" x14ac:dyDescent="0.25">
      <c r="A776" s="23">
        <v>46304</v>
      </c>
      <c r="B776">
        <v>775</v>
      </c>
      <c r="C776" t="s">
        <v>82</v>
      </c>
      <c r="D776" t="s">
        <v>83</v>
      </c>
      <c r="E776">
        <v>2</v>
      </c>
      <c r="F776">
        <v>180</v>
      </c>
      <c r="G776">
        <v>1</v>
      </c>
      <c r="H776" t="s">
        <v>95</v>
      </c>
      <c r="I776" t="s">
        <v>91</v>
      </c>
      <c r="J776" t="s">
        <v>85</v>
      </c>
      <c r="K776" t="s">
        <v>86</v>
      </c>
      <c r="L776" t="s">
        <v>71</v>
      </c>
      <c r="M776" t="s">
        <v>87</v>
      </c>
      <c r="O776" t="s">
        <v>88</v>
      </c>
      <c r="P776" t="s">
        <v>27</v>
      </c>
      <c r="Q776" t="s">
        <v>73</v>
      </c>
      <c r="R776" t="s">
        <v>76</v>
      </c>
      <c r="S776" t="s">
        <v>74</v>
      </c>
      <c r="T776" t="s">
        <v>75</v>
      </c>
      <c r="X776" t="s">
        <v>77</v>
      </c>
      <c r="Z776" t="s">
        <v>72</v>
      </c>
      <c r="AA776" t="s">
        <v>94</v>
      </c>
      <c r="AB776">
        <v>5</v>
      </c>
      <c r="AC776">
        <v>748752.68</v>
      </c>
      <c r="AD776">
        <v>8930476.6600000001</v>
      </c>
      <c r="AE776">
        <v>189.96</v>
      </c>
      <c r="AF776">
        <v>748752.68</v>
      </c>
      <c r="AG776">
        <v>8930476.6600000001</v>
      </c>
      <c r="AH776">
        <v>179.4</v>
      </c>
      <c r="AI776">
        <v>10.56</v>
      </c>
      <c r="AJ776">
        <v>0.6</v>
      </c>
      <c r="AK776">
        <v>3.37</v>
      </c>
      <c r="AL776">
        <v>2.93</v>
      </c>
      <c r="AM776">
        <v>0</v>
      </c>
      <c r="AN776">
        <v>0</v>
      </c>
      <c r="AO776">
        <v>358</v>
      </c>
      <c r="AP776">
        <v>3.42</v>
      </c>
      <c r="AQ776">
        <v>0.69</v>
      </c>
      <c r="AR776">
        <v>0.09</v>
      </c>
      <c r="AS776">
        <v>0.09</v>
      </c>
      <c r="AT776">
        <v>20.5</v>
      </c>
      <c r="AU776">
        <v>5.65</v>
      </c>
      <c r="AV776">
        <v>0.36</v>
      </c>
      <c r="AW776">
        <v>1.89</v>
      </c>
      <c r="AX776">
        <v>7.76</v>
      </c>
      <c r="AY776">
        <v>3.3</v>
      </c>
      <c r="AZ776">
        <v>105.706</v>
      </c>
      <c r="BA776">
        <v>0</v>
      </c>
      <c r="BB776">
        <v>0</v>
      </c>
      <c r="BC776">
        <v>0</v>
      </c>
      <c r="BD776">
        <v>0</v>
      </c>
    </row>
    <row r="777" spans="1:56" x14ac:dyDescent="0.25">
      <c r="A777" s="23">
        <v>46304</v>
      </c>
      <c r="B777">
        <v>776</v>
      </c>
      <c r="C777" t="s">
        <v>82</v>
      </c>
      <c r="D777" t="s">
        <v>83</v>
      </c>
      <c r="E777">
        <v>2</v>
      </c>
      <c r="F777">
        <v>180</v>
      </c>
      <c r="G777">
        <v>1</v>
      </c>
      <c r="H777" t="s">
        <v>95</v>
      </c>
      <c r="I777" t="s">
        <v>91</v>
      </c>
      <c r="J777" t="s">
        <v>85</v>
      </c>
      <c r="K777" t="s">
        <v>86</v>
      </c>
      <c r="L777" t="s">
        <v>71</v>
      </c>
      <c r="M777" t="s">
        <v>87</v>
      </c>
      <c r="O777" t="s">
        <v>88</v>
      </c>
      <c r="P777" t="s">
        <v>27</v>
      </c>
      <c r="Q777" t="s">
        <v>73</v>
      </c>
      <c r="R777" t="s">
        <v>76</v>
      </c>
      <c r="S777" t="s">
        <v>74</v>
      </c>
      <c r="T777" t="s">
        <v>75</v>
      </c>
      <c r="X777" t="s">
        <v>77</v>
      </c>
      <c r="Z777" t="s">
        <v>72</v>
      </c>
      <c r="AA777" t="s">
        <v>94</v>
      </c>
      <c r="AB777">
        <v>5</v>
      </c>
      <c r="AC777">
        <v>748755.36</v>
      </c>
      <c r="AD777">
        <v>8930478.6999999993</v>
      </c>
      <c r="AE777">
        <v>190.01</v>
      </c>
      <c r="AF777">
        <v>748755.36</v>
      </c>
      <c r="AG777">
        <v>8930478.6999999993</v>
      </c>
      <c r="AH777">
        <v>179.4</v>
      </c>
      <c r="AI777">
        <v>10.61</v>
      </c>
      <c r="AJ777">
        <v>0.6</v>
      </c>
      <c r="AK777">
        <v>3.37</v>
      </c>
      <c r="AL777">
        <v>2.93</v>
      </c>
      <c r="AM777">
        <v>0</v>
      </c>
      <c r="AN777">
        <v>0</v>
      </c>
      <c r="AO777">
        <v>358</v>
      </c>
      <c r="AP777">
        <v>3.41</v>
      </c>
      <c r="AQ777">
        <v>0.68</v>
      </c>
      <c r="AR777">
        <v>0.09</v>
      </c>
      <c r="AS777">
        <v>0.09</v>
      </c>
      <c r="AT777">
        <v>20.28</v>
      </c>
      <c r="AU777">
        <v>5.67</v>
      </c>
      <c r="AV777">
        <v>0.36</v>
      </c>
      <c r="AW777">
        <v>1.88</v>
      </c>
      <c r="AX777">
        <v>7.92</v>
      </c>
      <c r="AY777">
        <v>3.3</v>
      </c>
      <c r="AZ777">
        <v>106.434</v>
      </c>
      <c r="BA777">
        <v>0</v>
      </c>
      <c r="BB777">
        <v>0</v>
      </c>
      <c r="BC777">
        <v>0</v>
      </c>
      <c r="BD777">
        <v>0</v>
      </c>
    </row>
    <row r="778" spans="1:56" x14ac:dyDescent="0.25">
      <c r="A778" s="23">
        <v>46304</v>
      </c>
      <c r="B778">
        <v>777</v>
      </c>
      <c r="C778" t="s">
        <v>82</v>
      </c>
      <c r="D778" t="s">
        <v>83</v>
      </c>
      <c r="E778">
        <v>2</v>
      </c>
      <c r="F778">
        <v>180</v>
      </c>
      <c r="G778">
        <v>1</v>
      </c>
      <c r="H778" t="s">
        <v>95</v>
      </c>
      <c r="I778" t="s">
        <v>91</v>
      </c>
      <c r="J778" t="s">
        <v>85</v>
      </c>
      <c r="K778" t="s">
        <v>86</v>
      </c>
      <c r="L778" t="s">
        <v>71</v>
      </c>
      <c r="M778" t="s">
        <v>87</v>
      </c>
      <c r="O778" t="s">
        <v>88</v>
      </c>
      <c r="P778" t="s">
        <v>27</v>
      </c>
      <c r="Q778" t="s">
        <v>73</v>
      </c>
      <c r="R778" t="s">
        <v>76</v>
      </c>
      <c r="S778" t="s">
        <v>74</v>
      </c>
      <c r="T778" t="s">
        <v>75</v>
      </c>
      <c r="X778" t="s">
        <v>77</v>
      </c>
      <c r="Z778" t="s">
        <v>72</v>
      </c>
      <c r="AA778" t="s">
        <v>94</v>
      </c>
      <c r="AB778">
        <v>5</v>
      </c>
      <c r="AC778">
        <v>748758.03</v>
      </c>
      <c r="AD778">
        <v>8930480.75</v>
      </c>
      <c r="AE778">
        <v>189.9</v>
      </c>
      <c r="AF778">
        <v>748758.03</v>
      </c>
      <c r="AG778">
        <v>8930480.75</v>
      </c>
      <c r="AH778">
        <v>179.4</v>
      </c>
      <c r="AI778">
        <v>10.5</v>
      </c>
      <c r="AJ778">
        <v>0.6</v>
      </c>
      <c r="AK778">
        <v>3.37</v>
      </c>
      <c r="AL778">
        <v>2.93</v>
      </c>
      <c r="AM778">
        <v>0</v>
      </c>
      <c r="AN778">
        <v>0</v>
      </c>
      <c r="AO778">
        <v>358</v>
      </c>
      <c r="AP778">
        <v>3.38</v>
      </c>
      <c r="AQ778">
        <v>0.63</v>
      </c>
      <c r="AR778">
        <v>0.08</v>
      </c>
      <c r="AS778">
        <v>0.08</v>
      </c>
      <c r="AT778">
        <v>19.260000000000002</v>
      </c>
      <c r="AU778">
        <v>5.77</v>
      </c>
      <c r="AV778">
        <v>0.34</v>
      </c>
      <c r="AW778">
        <v>1.87</v>
      </c>
      <c r="AX778">
        <v>8.5500000000000007</v>
      </c>
      <c r="AY778">
        <v>3.3</v>
      </c>
      <c r="AZ778">
        <v>104.83199999999999</v>
      </c>
      <c r="BA778">
        <v>0</v>
      </c>
      <c r="BB778">
        <v>0</v>
      </c>
      <c r="BC778">
        <v>0</v>
      </c>
      <c r="BD778">
        <v>0</v>
      </c>
    </row>
    <row r="779" spans="1:56" x14ac:dyDescent="0.25">
      <c r="A779" s="23">
        <v>46304</v>
      </c>
      <c r="B779">
        <v>778</v>
      </c>
      <c r="C779" t="s">
        <v>82</v>
      </c>
      <c r="D779" t="s">
        <v>83</v>
      </c>
      <c r="E779">
        <v>2</v>
      </c>
      <c r="F779">
        <v>180</v>
      </c>
      <c r="G779">
        <v>1</v>
      </c>
      <c r="H779" t="s">
        <v>95</v>
      </c>
      <c r="I779" t="s">
        <v>91</v>
      </c>
      <c r="J779" t="s">
        <v>85</v>
      </c>
      <c r="K779" t="s">
        <v>86</v>
      </c>
      <c r="L779" t="s">
        <v>71</v>
      </c>
      <c r="M779" t="s">
        <v>87</v>
      </c>
      <c r="O779" t="s">
        <v>88</v>
      </c>
      <c r="P779" t="s">
        <v>27</v>
      </c>
      <c r="Q779" t="s">
        <v>73</v>
      </c>
      <c r="R779" t="s">
        <v>76</v>
      </c>
      <c r="S779" t="s">
        <v>74</v>
      </c>
      <c r="T779" t="s">
        <v>75</v>
      </c>
      <c r="X779" t="s">
        <v>77</v>
      </c>
      <c r="Z779" t="s">
        <v>72</v>
      </c>
      <c r="AA779" t="s">
        <v>94</v>
      </c>
      <c r="AB779">
        <v>5</v>
      </c>
      <c r="AC779">
        <v>748760.71</v>
      </c>
      <c r="AD779">
        <v>8930482.7899999991</v>
      </c>
      <c r="AE779">
        <v>190.12</v>
      </c>
      <c r="AF779">
        <v>748760.71</v>
      </c>
      <c r="AG779">
        <v>8930482.7899999991</v>
      </c>
      <c r="AH779">
        <v>179.4</v>
      </c>
      <c r="AI779">
        <v>10.72</v>
      </c>
      <c r="AJ779">
        <v>0.6</v>
      </c>
      <c r="AK779">
        <v>3.37</v>
      </c>
      <c r="AL779">
        <v>2.93</v>
      </c>
      <c r="AM779">
        <v>0</v>
      </c>
      <c r="AN779">
        <v>0</v>
      </c>
      <c r="AO779">
        <v>358</v>
      </c>
      <c r="AP779">
        <v>3.34</v>
      </c>
      <c r="AQ779">
        <v>0.6</v>
      </c>
      <c r="AR779">
        <v>0.08</v>
      </c>
      <c r="AS779">
        <v>7.0000000000000007E-2</v>
      </c>
      <c r="AT779">
        <v>18.760000000000002</v>
      </c>
      <c r="AU779">
        <v>6.03</v>
      </c>
      <c r="AV779">
        <v>0.34</v>
      </c>
      <c r="AW779">
        <v>1.75</v>
      </c>
      <c r="AX779">
        <v>2.66</v>
      </c>
      <c r="AY779">
        <v>3.3</v>
      </c>
      <c r="AZ779">
        <v>108.035</v>
      </c>
      <c r="BA779">
        <v>0</v>
      </c>
      <c r="BB779">
        <v>0</v>
      </c>
      <c r="BC779">
        <v>0</v>
      </c>
      <c r="BD779">
        <v>0</v>
      </c>
    </row>
    <row r="780" spans="1:56" x14ac:dyDescent="0.25">
      <c r="A780" s="23">
        <v>46304</v>
      </c>
      <c r="B780">
        <v>779</v>
      </c>
      <c r="C780" t="s">
        <v>82</v>
      </c>
      <c r="D780" t="s">
        <v>83</v>
      </c>
      <c r="E780">
        <v>2</v>
      </c>
      <c r="F780">
        <v>180</v>
      </c>
      <c r="G780">
        <v>1</v>
      </c>
      <c r="H780" t="s">
        <v>95</v>
      </c>
      <c r="I780" t="s">
        <v>91</v>
      </c>
      <c r="J780" t="s">
        <v>85</v>
      </c>
      <c r="K780" t="s">
        <v>86</v>
      </c>
      <c r="L780" t="s">
        <v>71</v>
      </c>
      <c r="M780" t="s">
        <v>87</v>
      </c>
      <c r="O780" t="s">
        <v>88</v>
      </c>
      <c r="P780" t="s">
        <v>27</v>
      </c>
      <c r="Q780" t="s">
        <v>73</v>
      </c>
      <c r="R780" t="s">
        <v>76</v>
      </c>
      <c r="S780" t="s">
        <v>74</v>
      </c>
      <c r="T780" t="s">
        <v>75</v>
      </c>
      <c r="X780" t="s">
        <v>77</v>
      </c>
      <c r="Z780" t="s">
        <v>72</v>
      </c>
      <c r="AA780" t="s">
        <v>94</v>
      </c>
      <c r="AB780">
        <v>5</v>
      </c>
      <c r="AC780">
        <v>748763.52</v>
      </c>
      <c r="AD780">
        <v>8930484.6500000004</v>
      </c>
      <c r="AE780">
        <v>190.06</v>
      </c>
      <c r="AF780">
        <v>748763.52</v>
      </c>
      <c r="AG780">
        <v>8930484.6500000004</v>
      </c>
      <c r="AH780">
        <v>179.4</v>
      </c>
      <c r="AI780">
        <v>10.66</v>
      </c>
      <c r="AJ780">
        <v>0.6</v>
      </c>
      <c r="AK780">
        <v>3.37</v>
      </c>
      <c r="AL780">
        <v>2.93</v>
      </c>
      <c r="AM780">
        <v>0</v>
      </c>
      <c r="AN780">
        <v>0</v>
      </c>
      <c r="AO780">
        <v>358</v>
      </c>
      <c r="AP780">
        <v>3.32</v>
      </c>
      <c r="AQ780">
        <v>0.59</v>
      </c>
      <c r="AR780">
        <v>0.08</v>
      </c>
      <c r="AS780">
        <v>7.0000000000000007E-2</v>
      </c>
      <c r="AT780">
        <v>18.5</v>
      </c>
      <c r="AU780">
        <v>6.05</v>
      </c>
      <c r="AV780">
        <v>0.35</v>
      </c>
      <c r="AW780">
        <v>1.68</v>
      </c>
      <c r="AX780">
        <v>0.04</v>
      </c>
      <c r="AY780">
        <v>3.3</v>
      </c>
      <c r="AZ780">
        <v>107.16200000000001</v>
      </c>
      <c r="BA780">
        <v>0</v>
      </c>
      <c r="BB780">
        <v>0</v>
      </c>
      <c r="BC780">
        <v>0</v>
      </c>
      <c r="BD780">
        <v>0</v>
      </c>
    </row>
    <row r="781" spans="1:56" x14ac:dyDescent="0.25">
      <c r="A781" s="23">
        <v>46304</v>
      </c>
      <c r="B781">
        <v>780</v>
      </c>
      <c r="C781" t="s">
        <v>82</v>
      </c>
      <c r="D781" t="s">
        <v>83</v>
      </c>
      <c r="E781">
        <v>2</v>
      </c>
      <c r="F781">
        <v>180</v>
      </c>
      <c r="G781">
        <v>1</v>
      </c>
      <c r="H781" t="s">
        <v>95</v>
      </c>
      <c r="I781" t="s">
        <v>91</v>
      </c>
      <c r="J781" t="s">
        <v>85</v>
      </c>
      <c r="K781" t="s">
        <v>86</v>
      </c>
      <c r="L781" t="s">
        <v>71</v>
      </c>
      <c r="M781" t="s">
        <v>87</v>
      </c>
      <c r="O781" t="s">
        <v>88</v>
      </c>
      <c r="P781" t="s">
        <v>27</v>
      </c>
      <c r="Q781" t="s">
        <v>73</v>
      </c>
      <c r="R781" t="s">
        <v>76</v>
      </c>
      <c r="S781" t="s">
        <v>74</v>
      </c>
      <c r="T781" t="s">
        <v>75</v>
      </c>
      <c r="X781" t="s">
        <v>77</v>
      </c>
      <c r="Z781" t="s">
        <v>72</v>
      </c>
      <c r="AA781" t="s">
        <v>94</v>
      </c>
      <c r="AB781">
        <v>5</v>
      </c>
      <c r="AC781">
        <v>748766.36</v>
      </c>
      <c r="AD781">
        <v>8930486.4800000004</v>
      </c>
      <c r="AE781">
        <v>190.03</v>
      </c>
      <c r="AF781">
        <v>748766.36</v>
      </c>
      <c r="AG781">
        <v>8930486.4800000004</v>
      </c>
      <c r="AH781">
        <v>179.4</v>
      </c>
      <c r="AI781">
        <v>10.63</v>
      </c>
      <c r="AJ781">
        <v>0.6</v>
      </c>
      <c r="AK781">
        <v>3.37</v>
      </c>
      <c r="AL781">
        <v>2.93</v>
      </c>
      <c r="AM781">
        <v>0</v>
      </c>
      <c r="AN781">
        <v>0</v>
      </c>
      <c r="AO781">
        <v>358</v>
      </c>
      <c r="AP781">
        <v>3.28</v>
      </c>
      <c r="AQ781">
        <v>0.53</v>
      </c>
      <c r="AR781">
        <v>7.0000000000000007E-2</v>
      </c>
      <c r="AS781">
        <v>7.0000000000000007E-2</v>
      </c>
      <c r="AT781">
        <v>16.5</v>
      </c>
      <c r="AU781">
        <v>5.4</v>
      </c>
      <c r="AV781">
        <v>0.31</v>
      </c>
      <c r="AW781">
        <v>1.51</v>
      </c>
      <c r="AX781">
        <v>0.02</v>
      </c>
      <c r="AY781">
        <v>3.3</v>
      </c>
      <c r="AZ781">
        <v>106.72499999999999</v>
      </c>
      <c r="BA781">
        <v>0</v>
      </c>
      <c r="BB781">
        <v>0</v>
      </c>
      <c r="BC781">
        <v>0</v>
      </c>
      <c r="BD781">
        <v>0</v>
      </c>
    </row>
    <row r="782" spans="1:56" x14ac:dyDescent="0.25">
      <c r="A782" s="23">
        <v>46304</v>
      </c>
      <c r="B782">
        <v>781</v>
      </c>
      <c r="C782" t="s">
        <v>82</v>
      </c>
      <c r="D782" t="s">
        <v>83</v>
      </c>
      <c r="E782">
        <v>2</v>
      </c>
      <c r="F782">
        <v>180</v>
      </c>
      <c r="G782">
        <v>1</v>
      </c>
      <c r="H782" t="s">
        <v>95</v>
      </c>
      <c r="I782" t="s">
        <v>78</v>
      </c>
      <c r="J782" t="s">
        <v>85</v>
      </c>
      <c r="K782" t="s">
        <v>86</v>
      </c>
      <c r="L782" t="s">
        <v>71</v>
      </c>
      <c r="M782" t="s">
        <v>87</v>
      </c>
      <c r="O782" t="s">
        <v>88</v>
      </c>
      <c r="P782" t="s">
        <v>27</v>
      </c>
      <c r="Q782" t="s">
        <v>73</v>
      </c>
      <c r="R782" t="s">
        <v>76</v>
      </c>
      <c r="S782" t="s">
        <v>74</v>
      </c>
      <c r="T782" t="s">
        <v>75</v>
      </c>
      <c r="X782" t="s">
        <v>77</v>
      </c>
      <c r="Z782" t="s">
        <v>72</v>
      </c>
      <c r="AA782" t="s">
        <v>94</v>
      </c>
      <c r="AB782">
        <v>5</v>
      </c>
      <c r="AC782">
        <v>748769.19</v>
      </c>
      <c r="AD782">
        <v>8930488.3000000007</v>
      </c>
      <c r="AE782">
        <v>190.09</v>
      </c>
      <c r="AF782">
        <v>748769.19</v>
      </c>
      <c r="AG782">
        <v>8930488.3000000007</v>
      </c>
      <c r="AH782">
        <v>179.4</v>
      </c>
      <c r="AI782">
        <v>10.69</v>
      </c>
      <c r="AJ782">
        <v>0.6</v>
      </c>
      <c r="AK782">
        <v>3.37</v>
      </c>
      <c r="AL782">
        <v>2.93</v>
      </c>
      <c r="AM782">
        <v>0</v>
      </c>
      <c r="AN782">
        <v>0</v>
      </c>
      <c r="AO782">
        <v>358</v>
      </c>
      <c r="AP782">
        <v>3.25</v>
      </c>
      <c r="AQ782">
        <v>0.47</v>
      </c>
      <c r="AR782">
        <v>0.06</v>
      </c>
      <c r="AS782">
        <v>0.06</v>
      </c>
      <c r="AT782">
        <v>14.5</v>
      </c>
      <c r="AU782">
        <v>4.84</v>
      </c>
      <c r="AV782">
        <v>0.25</v>
      </c>
      <c r="AW782">
        <v>1.62</v>
      </c>
      <c r="AX782">
        <v>0.04</v>
      </c>
      <c r="AY782">
        <v>3.3</v>
      </c>
      <c r="AZ782">
        <v>107.598</v>
      </c>
      <c r="BA782">
        <v>0</v>
      </c>
      <c r="BB782">
        <v>0</v>
      </c>
      <c r="BC782">
        <v>0</v>
      </c>
      <c r="BD782">
        <v>0</v>
      </c>
    </row>
    <row r="783" spans="1:56" x14ac:dyDescent="0.25">
      <c r="A783" s="23">
        <v>46304</v>
      </c>
      <c r="B783">
        <v>782</v>
      </c>
      <c r="C783" t="s">
        <v>82</v>
      </c>
      <c r="D783" t="s">
        <v>83</v>
      </c>
      <c r="E783">
        <v>2</v>
      </c>
      <c r="F783">
        <v>180</v>
      </c>
      <c r="G783">
        <v>0</v>
      </c>
      <c r="H783" t="s">
        <v>95</v>
      </c>
      <c r="I783" t="s">
        <v>78</v>
      </c>
      <c r="J783" t="s">
        <v>85</v>
      </c>
      <c r="K783" t="s">
        <v>86</v>
      </c>
      <c r="L783" t="s">
        <v>71</v>
      </c>
      <c r="M783" t="s">
        <v>87</v>
      </c>
      <c r="O783" t="s">
        <v>88</v>
      </c>
      <c r="P783" t="s">
        <v>27</v>
      </c>
      <c r="Q783" t="s">
        <v>73</v>
      </c>
      <c r="R783" t="s">
        <v>76</v>
      </c>
      <c r="S783" t="s">
        <v>74</v>
      </c>
      <c r="T783" t="s">
        <v>75</v>
      </c>
      <c r="X783" t="s">
        <v>77</v>
      </c>
      <c r="Z783" t="s">
        <v>72</v>
      </c>
      <c r="AA783" t="s">
        <v>94</v>
      </c>
      <c r="AB783">
        <v>5</v>
      </c>
      <c r="AC783">
        <v>748772.02</v>
      </c>
      <c r="AD783">
        <v>8930490.1300000008</v>
      </c>
      <c r="AE783">
        <v>190.23</v>
      </c>
      <c r="AF783">
        <v>748772.02</v>
      </c>
      <c r="AG783">
        <v>8930490.1300000008</v>
      </c>
      <c r="AH783">
        <v>179.4</v>
      </c>
      <c r="AI783">
        <v>10.83</v>
      </c>
      <c r="AJ783">
        <v>0.6</v>
      </c>
      <c r="AK783">
        <v>3.37</v>
      </c>
      <c r="AL783">
        <v>2.93</v>
      </c>
      <c r="AM783">
        <v>0</v>
      </c>
      <c r="AN783">
        <v>0</v>
      </c>
      <c r="AO783">
        <v>358</v>
      </c>
      <c r="AP783">
        <v>3.25</v>
      </c>
      <c r="AQ783">
        <v>0.44</v>
      </c>
      <c r="AR783">
        <v>0.05</v>
      </c>
      <c r="AS783">
        <v>0.05</v>
      </c>
      <c r="AT783">
        <v>13.6</v>
      </c>
      <c r="AU783">
        <v>4.7300000000000004</v>
      </c>
      <c r="AV783">
        <v>0.22</v>
      </c>
      <c r="AW783">
        <v>1.88</v>
      </c>
      <c r="AX783">
        <v>0.13</v>
      </c>
      <c r="AY783">
        <v>3.3</v>
      </c>
      <c r="AZ783">
        <v>109.637</v>
      </c>
      <c r="BA783">
        <v>0</v>
      </c>
      <c r="BB783">
        <v>0</v>
      </c>
      <c r="BC783">
        <v>0</v>
      </c>
      <c r="BD783">
        <v>0</v>
      </c>
    </row>
    <row r="784" spans="1:56" x14ac:dyDescent="0.25">
      <c r="A784" s="23">
        <v>46304</v>
      </c>
      <c r="B784">
        <v>783</v>
      </c>
      <c r="C784" t="s">
        <v>82</v>
      </c>
      <c r="D784" t="s">
        <v>83</v>
      </c>
      <c r="E784">
        <v>2</v>
      </c>
      <c r="F784">
        <v>180</v>
      </c>
      <c r="G784">
        <v>0</v>
      </c>
      <c r="H784" t="s">
        <v>95</v>
      </c>
      <c r="I784" t="s">
        <v>78</v>
      </c>
      <c r="J784" t="s">
        <v>85</v>
      </c>
      <c r="K784" t="s">
        <v>86</v>
      </c>
      <c r="L784" t="s">
        <v>71</v>
      </c>
      <c r="M784" t="s">
        <v>87</v>
      </c>
      <c r="O784" t="s">
        <v>88</v>
      </c>
      <c r="P784" t="s">
        <v>27</v>
      </c>
      <c r="Q784" t="s">
        <v>73</v>
      </c>
      <c r="R784" t="s">
        <v>76</v>
      </c>
      <c r="S784" t="s">
        <v>74</v>
      </c>
      <c r="T784" t="s">
        <v>75</v>
      </c>
      <c r="X784" t="s">
        <v>77</v>
      </c>
      <c r="Z784" t="s">
        <v>72</v>
      </c>
      <c r="AA784" t="s">
        <v>94</v>
      </c>
      <c r="AB784">
        <v>5</v>
      </c>
      <c r="AC784">
        <v>748774.85</v>
      </c>
      <c r="AD784">
        <v>8930491.9499999993</v>
      </c>
      <c r="AE784">
        <v>190.25</v>
      </c>
      <c r="AF784">
        <v>748774.85</v>
      </c>
      <c r="AG784">
        <v>8930491.9499999993</v>
      </c>
      <c r="AH784">
        <v>179.4</v>
      </c>
      <c r="AI784">
        <v>10.85</v>
      </c>
      <c r="AJ784">
        <v>0.6</v>
      </c>
      <c r="AK784">
        <v>3.37</v>
      </c>
      <c r="AL784">
        <v>2.93</v>
      </c>
      <c r="AM784">
        <v>0</v>
      </c>
      <c r="AN784">
        <v>0</v>
      </c>
      <c r="AO784">
        <v>358</v>
      </c>
      <c r="AP784">
        <v>3.26</v>
      </c>
      <c r="AQ784">
        <v>0.42</v>
      </c>
      <c r="AR784">
        <v>0.05</v>
      </c>
      <c r="AS784">
        <v>0.05</v>
      </c>
      <c r="AT784">
        <v>13.74</v>
      </c>
      <c r="AU784">
        <v>5.0199999999999996</v>
      </c>
      <c r="AV784">
        <v>0.22</v>
      </c>
      <c r="AW784">
        <v>2</v>
      </c>
      <c r="AX784">
        <v>0.17</v>
      </c>
      <c r="AY784">
        <v>3.3</v>
      </c>
      <c r="AZ784">
        <v>109.928</v>
      </c>
      <c r="BA784">
        <v>0</v>
      </c>
      <c r="BB784">
        <v>0</v>
      </c>
      <c r="BC784">
        <v>0</v>
      </c>
      <c r="BD784">
        <v>0</v>
      </c>
    </row>
    <row r="785" spans="1:56" x14ac:dyDescent="0.25">
      <c r="A785" s="23">
        <v>46304</v>
      </c>
      <c r="B785">
        <v>784</v>
      </c>
      <c r="C785" t="s">
        <v>82</v>
      </c>
      <c r="D785" t="s">
        <v>83</v>
      </c>
      <c r="E785">
        <v>2</v>
      </c>
      <c r="F785">
        <v>180</v>
      </c>
      <c r="G785">
        <v>1</v>
      </c>
      <c r="H785" t="s">
        <v>96</v>
      </c>
      <c r="I785" t="s">
        <v>78</v>
      </c>
      <c r="J785" t="s">
        <v>90</v>
      </c>
      <c r="K785" t="s">
        <v>86</v>
      </c>
      <c r="L785" t="s">
        <v>71</v>
      </c>
      <c r="M785" t="s">
        <v>87</v>
      </c>
      <c r="O785" t="s">
        <v>88</v>
      </c>
      <c r="P785" t="s">
        <v>27</v>
      </c>
      <c r="Q785" t="s">
        <v>73</v>
      </c>
      <c r="R785" t="s">
        <v>76</v>
      </c>
      <c r="S785" t="s">
        <v>74</v>
      </c>
      <c r="T785" t="s">
        <v>75</v>
      </c>
      <c r="X785" t="s">
        <v>77</v>
      </c>
      <c r="Z785" t="s">
        <v>72</v>
      </c>
      <c r="AA785" t="s">
        <v>94</v>
      </c>
      <c r="AB785">
        <v>5</v>
      </c>
      <c r="AC785">
        <v>748777.69</v>
      </c>
      <c r="AD785">
        <v>8930493.7799999993</v>
      </c>
      <c r="AE785">
        <v>190.28</v>
      </c>
      <c r="AF785">
        <v>748777.69</v>
      </c>
      <c r="AG785">
        <v>8930493.7799999993</v>
      </c>
      <c r="AH785">
        <v>179.4</v>
      </c>
      <c r="AI785">
        <v>10.88</v>
      </c>
      <c r="AJ785">
        <v>0.6</v>
      </c>
      <c r="AK785">
        <v>3.37</v>
      </c>
      <c r="AL785">
        <v>2.93</v>
      </c>
      <c r="AM785">
        <v>0</v>
      </c>
      <c r="AN785">
        <v>0</v>
      </c>
      <c r="AO785">
        <v>358</v>
      </c>
      <c r="AP785">
        <v>3.26</v>
      </c>
      <c r="AQ785">
        <v>0.44</v>
      </c>
      <c r="AR785">
        <v>0.05</v>
      </c>
      <c r="AS785">
        <v>0.05</v>
      </c>
      <c r="AT785">
        <v>14.24</v>
      </c>
      <c r="AU785">
        <v>5.32</v>
      </c>
      <c r="AV785">
        <v>0.22</v>
      </c>
      <c r="AW785">
        <v>2.2200000000000002</v>
      </c>
      <c r="AX785">
        <v>0.19</v>
      </c>
      <c r="AY785">
        <v>3.3</v>
      </c>
      <c r="AZ785">
        <v>110.36499999999999</v>
      </c>
      <c r="BA785">
        <v>0</v>
      </c>
      <c r="BB785">
        <v>0</v>
      </c>
      <c r="BC785">
        <v>0</v>
      </c>
      <c r="BD785">
        <v>0</v>
      </c>
    </row>
    <row r="786" spans="1:56" x14ac:dyDescent="0.25">
      <c r="A786" s="23">
        <v>46304</v>
      </c>
      <c r="B786">
        <v>785</v>
      </c>
      <c r="C786" t="s">
        <v>82</v>
      </c>
      <c r="D786" t="s">
        <v>83</v>
      </c>
      <c r="E786">
        <v>2</v>
      </c>
      <c r="F786">
        <v>180</v>
      </c>
      <c r="G786">
        <v>1</v>
      </c>
      <c r="H786" t="s">
        <v>96</v>
      </c>
      <c r="I786" t="s">
        <v>78</v>
      </c>
      <c r="J786" t="s">
        <v>90</v>
      </c>
      <c r="K786" t="s">
        <v>86</v>
      </c>
      <c r="L786" t="s">
        <v>71</v>
      </c>
      <c r="M786" t="s">
        <v>87</v>
      </c>
      <c r="O786" t="s">
        <v>88</v>
      </c>
      <c r="P786" t="s">
        <v>27</v>
      </c>
      <c r="Q786" t="s">
        <v>73</v>
      </c>
      <c r="R786" t="s">
        <v>76</v>
      </c>
      <c r="S786" t="s">
        <v>74</v>
      </c>
      <c r="T786" t="s">
        <v>75</v>
      </c>
      <c r="X786" t="s">
        <v>77</v>
      </c>
      <c r="Z786" t="s">
        <v>72</v>
      </c>
      <c r="AA786" t="s">
        <v>94</v>
      </c>
      <c r="AB786">
        <v>5</v>
      </c>
      <c r="AC786">
        <v>748780.52</v>
      </c>
      <c r="AD786">
        <v>8930495.5999999996</v>
      </c>
      <c r="AE786">
        <v>190.3</v>
      </c>
      <c r="AF786">
        <v>748780.52</v>
      </c>
      <c r="AG786">
        <v>8930495.5999999996</v>
      </c>
      <c r="AH786">
        <v>179.4</v>
      </c>
      <c r="AI786">
        <v>10.9</v>
      </c>
      <c r="AJ786">
        <v>0.6</v>
      </c>
      <c r="AK786">
        <v>3.37</v>
      </c>
      <c r="AL786">
        <v>2.93</v>
      </c>
      <c r="AM786">
        <v>0</v>
      </c>
      <c r="AN786">
        <v>0</v>
      </c>
      <c r="AO786">
        <v>358</v>
      </c>
      <c r="AP786">
        <v>3.28</v>
      </c>
      <c r="AQ786">
        <v>0.44</v>
      </c>
      <c r="AR786">
        <v>0.05</v>
      </c>
      <c r="AS786">
        <v>0.05</v>
      </c>
      <c r="AT786">
        <v>14.09</v>
      </c>
      <c r="AU786">
        <v>5.29</v>
      </c>
      <c r="AV786">
        <v>0.22</v>
      </c>
      <c r="AW786">
        <v>2.1800000000000002</v>
      </c>
      <c r="AX786">
        <v>0.25</v>
      </c>
      <c r="AY786">
        <v>3.3</v>
      </c>
      <c r="AZ786">
        <v>110.65600000000001</v>
      </c>
      <c r="BA786">
        <v>0</v>
      </c>
      <c r="BB786">
        <v>0</v>
      </c>
      <c r="BC786">
        <v>0</v>
      </c>
      <c r="BD786">
        <v>0</v>
      </c>
    </row>
    <row r="787" spans="1:56" x14ac:dyDescent="0.25">
      <c r="A787" s="23">
        <v>46304</v>
      </c>
      <c r="B787">
        <v>786</v>
      </c>
      <c r="C787" t="s">
        <v>82</v>
      </c>
      <c r="D787" t="s">
        <v>83</v>
      </c>
      <c r="E787">
        <v>2</v>
      </c>
      <c r="F787">
        <v>180</v>
      </c>
      <c r="G787">
        <v>1</v>
      </c>
      <c r="H787" t="s">
        <v>96</v>
      </c>
      <c r="I787" t="s">
        <v>78</v>
      </c>
      <c r="J787" t="s">
        <v>90</v>
      </c>
      <c r="K787" t="s">
        <v>86</v>
      </c>
      <c r="L787" t="s">
        <v>71</v>
      </c>
      <c r="M787" t="s">
        <v>87</v>
      </c>
      <c r="O787" t="s">
        <v>88</v>
      </c>
      <c r="P787" t="s">
        <v>27</v>
      </c>
      <c r="Q787" t="s">
        <v>73</v>
      </c>
      <c r="R787" t="s">
        <v>76</v>
      </c>
      <c r="S787" t="s">
        <v>74</v>
      </c>
      <c r="T787" t="s">
        <v>75</v>
      </c>
      <c r="X787" t="s">
        <v>77</v>
      </c>
      <c r="Z787" t="s">
        <v>72</v>
      </c>
      <c r="AA787" t="s">
        <v>94</v>
      </c>
      <c r="AB787">
        <v>5</v>
      </c>
      <c r="AC787">
        <v>748783.45</v>
      </c>
      <c r="AD787">
        <v>8930497.1899999995</v>
      </c>
      <c r="AE787">
        <v>194.26</v>
      </c>
      <c r="AF787">
        <v>748783.45</v>
      </c>
      <c r="AG787">
        <v>8930497.1899999995</v>
      </c>
      <c r="AH787">
        <v>179.4</v>
      </c>
      <c r="AI787">
        <v>14.86</v>
      </c>
      <c r="AJ787">
        <v>0.6</v>
      </c>
      <c r="AK787">
        <v>3.37</v>
      </c>
      <c r="AL787">
        <v>2.93</v>
      </c>
      <c r="AM787">
        <v>0</v>
      </c>
      <c r="AN787">
        <v>0</v>
      </c>
      <c r="AO787">
        <v>358</v>
      </c>
      <c r="AP787">
        <v>3.28</v>
      </c>
      <c r="AQ787">
        <v>0.46</v>
      </c>
      <c r="AR787">
        <v>0.05</v>
      </c>
      <c r="AS787">
        <v>0.05</v>
      </c>
      <c r="AT787">
        <v>14.22</v>
      </c>
      <c r="AU787">
        <v>5.25</v>
      </c>
      <c r="AV787">
        <v>0.23</v>
      </c>
      <c r="AW787">
        <v>2.19</v>
      </c>
      <c r="AX787">
        <v>1.47</v>
      </c>
      <c r="AY787">
        <v>3.3</v>
      </c>
      <c r="AZ787">
        <v>168.31399999999999</v>
      </c>
      <c r="BA787">
        <v>0</v>
      </c>
      <c r="BB787">
        <v>0</v>
      </c>
      <c r="BC787">
        <v>0</v>
      </c>
      <c r="BD787">
        <v>0</v>
      </c>
    </row>
    <row r="788" spans="1:56" x14ac:dyDescent="0.25">
      <c r="A788" s="23">
        <v>46304</v>
      </c>
      <c r="B788">
        <v>787</v>
      </c>
      <c r="C788" t="s">
        <v>82</v>
      </c>
      <c r="D788" t="s">
        <v>83</v>
      </c>
      <c r="E788">
        <v>2</v>
      </c>
      <c r="F788">
        <v>180</v>
      </c>
      <c r="G788">
        <v>1</v>
      </c>
      <c r="H788" t="s">
        <v>96</v>
      </c>
      <c r="I788" t="s">
        <v>91</v>
      </c>
      <c r="J788" t="s">
        <v>90</v>
      </c>
      <c r="K788" t="s">
        <v>86</v>
      </c>
      <c r="L788" t="s">
        <v>71</v>
      </c>
      <c r="M788" t="s">
        <v>87</v>
      </c>
      <c r="O788" t="s">
        <v>88</v>
      </c>
      <c r="P788" t="s">
        <v>27</v>
      </c>
      <c r="Q788" t="s">
        <v>73</v>
      </c>
      <c r="R788" t="s">
        <v>76</v>
      </c>
      <c r="S788" t="s">
        <v>74</v>
      </c>
      <c r="T788" t="s">
        <v>75</v>
      </c>
      <c r="X788" t="s">
        <v>77</v>
      </c>
      <c r="Z788" t="s">
        <v>72</v>
      </c>
      <c r="AA788" t="s">
        <v>94</v>
      </c>
      <c r="AB788">
        <v>5</v>
      </c>
      <c r="AC788">
        <v>748786.75</v>
      </c>
      <c r="AD788">
        <v>8930497.8599999994</v>
      </c>
      <c r="AE788">
        <v>194.23</v>
      </c>
      <c r="AF788">
        <v>748786.75</v>
      </c>
      <c r="AG788">
        <v>8930497.8599999994</v>
      </c>
      <c r="AH788">
        <v>179.4</v>
      </c>
      <c r="AI788">
        <v>14.83</v>
      </c>
      <c r="AJ788">
        <v>0.6</v>
      </c>
      <c r="AK788">
        <v>3.37</v>
      </c>
      <c r="AL788">
        <v>2.93</v>
      </c>
      <c r="AM788">
        <v>0</v>
      </c>
      <c r="AN788">
        <v>0</v>
      </c>
      <c r="AO788">
        <v>358</v>
      </c>
      <c r="AP788">
        <v>3.32</v>
      </c>
      <c r="AQ788">
        <v>0.5</v>
      </c>
      <c r="AR788">
        <v>0.05</v>
      </c>
      <c r="AS788">
        <v>0.05</v>
      </c>
      <c r="AT788">
        <v>14.99</v>
      </c>
      <c r="AU788">
        <v>5.44</v>
      </c>
      <c r="AV788">
        <v>0.25</v>
      </c>
      <c r="AW788">
        <v>2.11</v>
      </c>
      <c r="AX788">
        <v>2.1</v>
      </c>
      <c r="AY788">
        <v>3.3</v>
      </c>
      <c r="AZ788">
        <v>167.87700000000001</v>
      </c>
      <c r="BA788">
        <v>0</v>
      </c>
      <c r="BB788">
        <v>0</v>
      </c>
      <c r="BC788">
        <v>0</v>
      </c>
      <c r="BD788">
        <v>0</v>
      </c>
    </row>
    <row r="789" spans="1:56" x14ac:dyDescent="0.25">
      <c r="A789" s="23">
        <v>46304</v>
      </c>
      <c r="B789">
        <v>788</v>
      </c>
      <c r="C789" t="s">
        <v>82</v>
      </c>
      <c r="D789" t="s">
        <v>83</v>
      </c>
      <c r="E789">
        <v>2</v>
      </c>
      <c r="F789">
        <v>180</v>
      </c>
      <c r="G789">
        <v>1</v>
      </c>
      <c r="H789" t="s">
        <v>96</v>
      </c>
      <c r="I789" t="s">
        <v>91</v>
      </c>
      <c r="J789" t="s">
        <v>85</v>
      </c>
      <c r="K789" t="s">
        <v>86</v>
      </c>
      <c r="L789" t="s">
        <v>71</v>
      </c>
      <c r="M789" t="s">
        <v>87</v>
      </c>
      <c r="O789" t="s">
        <v>88</v>
      </c>
      <c r="P789" t="s">
        <v>27</v>
      </c>
      <c r="Q789" t="s">
        <v>73</v>
      </c>
      <c r="R789" t="s">
        <v>76</v>
      </c>
      <c r="S789" t="s">
        <v>74</v>
      </c>
      <c r="T789" t="s">
        <v>75</v>
      </c>
      <c r="X789" t="s">
        <v>77</v>
      </c>
      <c r="Z789" t="s">
        <v>72</v>
      </c>
      <c r="AA789" t="s">
        <v>94</v>
      </c>
      <c r="AB789">
        <v>5</v>
      </c>
      <c r="AC789">
        <v>748790.06</v>
      </c>
      <c r="AD789">
        <v>8930498.5099999998</v>
      </c>
      <c r="AE789">
        <v>194.22</v>
      </c>
      <c r="AF789">
        <v>748790.06</v>
      </c>
      <c r="AG789">
        <v>8930498.5099999998</v>
      </c>
      <c r="AH789">
        <v>179.4</v>
      </c>
      <c r="AI789">
        <v>14.82</v>
      </c>
      <c r="AJ789">
        <v>0.6</v>
      </c>
      <c r="AK789">
        <v>3.37</v>
      </c>
      <c r="AL789">
        <v>2.93</v>
      </c>
      <c r="AM789">
        <v>0</v>
      </c>
      <c r="AN789">
        <v>0</v>
      </c>
      <c r="AO789">
        <v>358</v>
      </c>
      <c r="AP789">
        <v>3.39</v>
      </c>
      <c r="AQ789">
        <v>0.52</v>
      </c>
      <c r="AR789">
        <v>0.06</v>
      </c>
      <c r="AS789">
        <v>0.06</v>
      </c>
      <c r="AT789">
        <v>15.47</v>
      </c>
      <c r="AU789">
        <v>5.51</v>
      </c>
      <c r="AV789">
        <v>0.27</v>
      </c>
      <c r="AW789">
        <v>2.0099999999999998</v>
      </c>
      <c r="AX789">
        <v>3.05</v>
      </c>
      <c r="AY789">
        <v>3.3</v>
      </c>
      <c r="AZ789">
        <v>167.73099999999999</v>
      </c>
      <c r="BA789">
        <v>0</v>
      </c>
      <c r="BB789">
        <v>0</v>
      </c>
      <c r="BC789">
        <v>0</v>
      </c>
      <c r="BD789">
        <v>0</v>
      </c>
    </row>
    <row r="790" spans="1:56" x14ac:dyDescent="0.25">
      <c r="A790" s="23">
        <v>46304</v>
      </c>
      <c r="B790">
        <v>789</v>
      </c>
      <c r="C790" t="s">
        <v>82</v>
      </c>
      <c r="D790" t="s">
        <v>83</v>
      </c>
      <c r="E790">
        <v>2</v>
      </c>
      <c r="F790">
        <v>180</v>
      </c>
      <c r="G790">
        <v>1</v>
      </c>
      <c r="H790" t="s">
        <v>96</v>
      </c>
      <c r="I790" t="s">
        <v>91</v>
      </c>
      <c r="J790" t="s">
        <v>85</v>
      </c>
      <c r="K790" t="s">
        <v>80</v>
      </c>
      <c r="L790" t="s">
        <v>71</v>
      </c>
      <c r="M790" t="s">
        <v>87</v>
      </c>
      <c r="O790" t="s">
        <v>88</v>
      </c>
      <c r="P790" t="s">
        <v>27</v>
      </c>
      <c r="Q790" t="s">
        <v>73</v>
      </c>
      <c r="R790" t="s">
        <v>76</v>
      </c>
      <c r="S790" t="s">
        <v>74</v>
      </c>
      <c r="T790" t="s">
        <v>75</v>
      </c>
      <c r="X790" t="s">
        <v>77</v>
      </c>
      <c r="Z790" t="s">
        <v>72</v>
      </c>
      <c r="AA790" t="s">
        <v>94</v>
      </c>
      <c r="AB790">
        <v>5</v>
      </c>
      <c r="AC790">
        <v>748793.38</v>
      </c>
      <c r="AD790">
        <v>8930499.0700000003</v>
      </c>
      <c r="AE790">
        <v>194.45</v>
      </c>
      <c r="AF790">
        <v>748793.38</v>
      </c>
      <c r="AG790">
        <v>8930499.0700000003</v>
      </c>
      <c r="AH790">
        <v>179.4</v>
      </c>
      <c r="AI790">
        <v>15.05</v>
      </c>
      <c r="AJ790">
        <v>0.6</v>
      </c>
      <c r="AK790">
        <v>3.37</v>
      </c>
      <c r="AL790">
        <v>2.93</v>
      </c>
      <c r="AM790">
        <v>0</v>
      </c>
      <c r="AN790">
        <v>0</v>
      </c>
      <c r="AO790">
        <v>358</v>
      </c>
      <c r="AP790">
        <v>3.43</v>
      </c>
      <c r="AQ790">
        <v>0.55000000000000004</v>
      </c>
      <c r="AR790">
        <v>7.0000000000000007E-2</v>
      </c>
      <c r="AS790">
        <v>0.06</v>
      </c>
      <c r="AT790">
        <v>16.32</v>
      </c>
      <c r="AU790">
        <v>5.51</v>
      </c>
      <c r="AV790">
        <v>0.28000000000000003</v>
      </c>
      <c r="AW790">
        <v>1.89</v>
      </c>
      <c r="AX790">
        <v>3.26</v>
      </c>
      <c r="AY790">
        <v>3.3</v>
      </c>
      <c r="AZ790">
        <v>171.08</v>
      </c>
      <c r="BA790">
        <v>0</v>
      </c>
      <c r="BB790">
        <v>0</v>
      </c>
      <c r="BC790">
        <v>0</v>
      </c>
      <c r="BD790">
        <v>0</v>
      </c>
    </row>
    <row r="791" spans="1:56" x14ac:dyDescent="0.25">
      <c r="A791" s="23">
        <v>46304</v>
      </c>
      <c r="B791">
        <v>790</v>
      </c>
      <c r="C791" t="s">
        <v>82</v>
      </c>
      <c r="D791" t="s">
        <v>83</v>
      </c>
      <c r="E791">
        <v>2</v>
      </c>
      <c r="F791">
        <v>180</v>
      </c>
      <c r="G791">
        <v>1</v>
      </c>
      <c r="H791" t="s">
        <v>96</v>
      </c>
      <c r="I791" t="s">
        <v>91</v>
      </c>
      <c r="J791" t="s">
        <v>85</v>
      </c>
      <c r="K791" t="s">
        <v>80</v>
      </c>
      <c r="L791" t="s">
        <v>71</v>
      </c>
      <c r="M791" t="s">
        <v>87</v>
      </c>
      <c r="O791" t="s">
        <v>88</v>
      </c>
      <c r="P791" t="s">
        <v>27</v>
      </c>
      <c r="Q791" t="s">
        <v>73</v>
      </c>
      <c r="R791" t="s">
        <v>76</v>
      </c>
      <c r="S791" t="s">
        <v>74</v>
      </c>
      <c r="T791" t="s">
        <v>75</v>
      </c>
      <c r="X791" t="s">
        <v>77</v>
      </c>
      <c r="Z791" t="s">
        <v>72</v>
      </c>
      <c r="AA791" t="s">
        <v>94</v>
      </c>
      <c r="AB791">
        <v>5</v>
      </c>
      <c r="AC791">
        <v>748796.71</v>
      </c>
      <c r="AD791">
        <v>8930499.6300000008</v>
      </c>
      <c r="AE791">
        <v>194.9</v>
      </c>
      <c r="AF791">
        <v>748796.71</v>
      </c>
      <c r="AG791">
        <v>8930499.6300000008</v>
      </c>
      <c r="AH791">
        <v>179.4</v>
      </c>
      <c r="AI791">
        <v>15.5</v>
      </c>
      <c r="AJ791">
        <v>0.6</v>
      </c>
      <c r="AK791">
        <v>3.37</v>
      </c>
      <c r="AL791">
        <v>2.93</v>
      </c>
      <c r="AM791">
        <v>0</v>
      </c>
      <c r="AN791">
        <v>0</v>
      </c>
      <c r="AO791">
        <v>358</v>
      </c>
      <c r="AP791">
        <v>3.44</v>
      </c>
      <c r="AQ791">
        <v>0.6</v>
      </c>
      <c r="AR791">
        <v>7.0000000000000007E-2</v>
      </c>
      <c r="AS791">
        <v>7.0000000000000007E-2</v>
      </c>
      <c r="AT791">
        <v>17.64</v>
      </c>
      <c r="AU791">
        <v>5.63</v>
      </c>
      <c r="AV791">
        <v>0.31</v>
      </c>
      <c r="AW791">
        <v>1.91</v>
      </c>
      <c r="AX791">
        <v>3.27</v>
      </c>
      <c r="AY791">
        <v>3.3</v>
      </c>
      <c r="AZ791">
        <v>177.63200000000001</v>
      </c>
      <c r="BA791">
        <v>0</v>
      </c>
      <c r="BB791">
        <v>0</v>
      </c>
      <c r="BC791">
        <v>0</v>
      </c>
      <c r="BD791">
        <v>0</v>
      </c>
    </row>
    <row r="792" spans="1:56" x14ac:dyDescent="0.25">
      <c r="A792" s="23">
        <v>46304</v>
      </c>
      <c r="B792">
        <v>791</v>
      </c>
      <c r="C792" t="s">
        <v>82</v>
      </c>
      <c r="D792" t="s">
        <v>83</v>
      </c>
      <c r="E792">
        <v>2</v>
      </c>
      <c r="F792">
        <v>180</v>
      </c>
      <c r="G792">
        <v>1</v>
      </c>
      <c r="H792" t="s">
        <v>96</v>
      </c>
      <c r="I792" t="s">
        <v>91</v>
      </c>
      <c r="J792" t="s">
        <v>85</v>
      </c>
      <c r="K792" t="s">
        <v>80</v>
      </c>
      <c r="L792" t="s">
        <v>71</v>
      </c>
      <c r="M792" t="s">
        <v>87</v>
      </c>
      <c r="O792" t="s">
        <v>88</v>
      </c>
      <c r="P792" t="s">
        <v>27</v>
      </c>
      <c r="Q792" t="s">
        <v>73</v>
      </c>
      <c r="R792" t="s">
        <v>76</v>
      </c>
      <c r="S792" t="s">
        <v>74</v>
      </c>
      <c r="T792" t="s">
        <v>75</v>
      </c>
      <c r="X792" t="s">
        <v>77</v>
      </c>
      <c r="Z792" t="s">
        <v>72</v>
      </c>
      <c r="AA792" t="s">
        <v>94</v>
      </c>
      <c r="AB792">
        <v>5</v>
      </c>
      <c r="AC792">
        <v>748800.03</v>
      </c>
      <c r="AD792">
        <v>8930500.1999999993</v>
      </c>
      <c r="AE792">
        <v>195.07</v>
      </c>
      <c r="AF792">
        <v>748800.03</v>
      </c>
      <c r="AG792">
        <v>8930500.1999999993</v>
      </c>
      <c r="AH792">
        <v>179.4</v>
      </c>
      <c r="AI792">
        <v>15.67</v>
      </c>
      <c r="AJ792">
        <v>0.6</v>
      </c>
      <c r="AK792">
        <v>3.37</v>
      </c>
      <c r="AL792">
        <v>2.93</v>
      </c>
      <c r="AM792">
        <v>0</v>
      </c>
      <c r="AN792">
        <v>0</v>
      </c>
      <c r="AO792">
        <v>358</v>
      </c>
      <c r="AP792">
        <v>3.42</v>
      </c>
      <c r="AQ792">
        <v>0.6</v>
      </c>
      <c r="AR792">
        <v>0.08</v>
      </c>
      <c r="AS792">
        <v>7.0000000000000007E-2</v>
      </c>
      <c r="AT792">
        <v>18.03</v>
      </c>
      <c r="AU792">
        <v>5.62</v>
      </c>
      <c r="AV792">
        <v>0.32</v>
      </c>
      <c r="AW792">
        <v>1.88</v>
      </c>
      <c r="AX792">
        <v>3.02</v>
      </c>
      <c r="AY792">
        <v>3.3</v>
      </c>
      <c r="AZ792">
        <v>180.107</v>
      </c>
      <c r="BA792">
        <v>0</v>
      </c>
      <c r="BB792">
        <v>0</v>
      </c>
      <c r="BC792">
        <v>0</v>
      </c>
      <c r="BD792">
        <v>0</v>
      </c>
    </row>
    <row r="793" spans="1:56" x14ac:dyDescent="0.25">
      <c r="A793" s="23">
        <v>46304</v>
      </c>
      <c r="B793">
        <v>792</v>
      </c>
      <c r="C793" t="s">
        <v>82</v>
      </c>
      <c r="D793" t="s">
        <v>83</v>
      </c>
      <c r="E793">
        <v>2</v>
      </c>
      <c r="F793">
        <v>180</v>
      </c>
      <c r="G793">
        <v>1</v>
      </c>
      <c r="H793" t="s">
        <v>96</v>
      </c>
      <c r="I793" t="s">
        <v>91</v>
      </c>
      <c r="J793" t="s">
        <v>85</v>
      </c>
      <c r="K793" t="s">
        <v>80</v>
      </c>
      <c r="L793" t="s">
        <v>71</v>
      </c>
      <c r="M793" t="s">
        <v>87</v>
      </c>
      <c r="O793" t="s">
        <v>88</v>
      </c>
      <c r="P793" t="s">
        <v>27</v>
      </c>
      <c r="Q793" t="s">
        <v>73</v>
      </c>
      <c r="R793" t="s">
        <v>76</v>
      </c>
      <c r="S793" t="s">
        <v>74</v>
      </c>
      <c r="T793" t="s">
        <v>75</v>
      </c>
      <c r="X793" t="s">
        <v>77</v>
      </c>
      <c r="Z793" t="s">
        <v>72</v>
      </c>
      <c r="AA793" t="s">
        <v>94</v>
      </c>
      <c r="AB793">
        <v>5</v>
      </c>
      <c r="AC793">
        <v>748803.29</v>
      </c>
      <c r="AD793">
        <v>8930501.0299999993</v>
      </c>
      <c r="AE793">
        <v>195.03</v>
      </c>
      <c r="AF793">
        <v>748803.29</v>
      </c>
      <c r="AG793">
        <v>8930501.0299999993</v>
      </c>
      <c r="AH793">
        <v>179.4</v>
      </c>
      <c r="AI793">
        <v>15.63</v>
      </c>
      <c r="AJ793">
        <v>0.6</v>
      </c>
      <c r="AK793">
        <v>3.37</v>
      </c>
      <c r="AL793">
        <v>2.93</v>
      </c>
      <c r="AM793">
        <v>0</v>
      </c>
      <c r="AN793">
        <v>0</v>
      </c>
      <c r="AO793">
        <v>358</v>
      </c>
      <c r="AP793">
        <v>3.36</v>
      </c>
      <c r="AQ793">
        <v>0.6</v>
      </c>
      <c r="AR793">
        <v>0.08</v>
      </c>
      <c r="AS793">
        <v>7.0000000000000007E-2</v>
      </c>
      <c r="AT793">
        <v>18</v>
      </c>
      <c r="AU793">
        <v>5.62</v>
      </c>
      <c r="AV793">
        <v>0.35</v>
      </c>
      <c r="AW793">
        <v>1.76</v>
      </c>
      <c r="AX793">
        <v>2.59</v>
      </c>
      <c r="AY793">
        <v>3.3</v>
      </c>
      <c r="AZ793">
        <v>179.52500000000001</v>
      </c>
      <c r="BA793">
        <v>0</v>
      </c>
      <c r="BB793">
        <v>0</v>
      </c>
      <c r="BC793">
        <v>0</v>
      </c>
      <c r="BD793">
        <v>0</v>
      </c>
    </row>
    <row r="794" spans="1:56" x14ac:dyDescent="0.25">
      <c r="A794" s="23">
        <v>46304</v>
      </c>
      <c r="B794">
        <v>793</v>
      </c>
      <c r="C794" t="s">
        <v>82</v>
      </c>
      <c r="D794" t="s">
        <v>83</v>
      </c>
      <c r="E794">
        <v>2</v>
      </c>
      <c r="F794">
        <v>180</v>
      </c>
      <c r="G794">
        <v>1</v>
      </c>
      <c r="H794" t="s">
        <v>96</v>
      </c>
      <c r="I794" t="s">
        <v>91</v>
      </c>
      <c r="J794" t="s">
        <v>85</v>
      </c>
      <c r="K794" t="s">
        <v>80</v>
      </c>
      <c r="L794" t="s">
        <v>71</v>
      </c>
      <c r="M794" t="s">
        <v>87</v>
      </c>
      <c r="O794" t="s">
        <v>88</v>
      </c>
      <c r="P794" t="s">
        <v>27</v>
      </c>
      <c r="Q794" t="s">
        <v>73</v>
      </c>
      <c r="R794" t="s">
        <v>76</v>
      </c>
      <c r="S794" t="s">
        <v>74</v>
      </c>
      <c r="T794" t="s">
        <v>75</v>
      </c>
      <c r="X794" t="s">
        <v>77</v>
      </c>
      <c r="Z794" t="s">
        <v>72</v>
      </c>
      <c r="AA794" t="s">
        <v>94</v>
      </c>
      <c r="AB794">
        <v>5</v>
      </c>
      <c r="AC794">
        <v>748806.46</v>
      </c>
      <c r="AD794">
        <v>8930502.1699999999</v>
      </c>
      <c r="AE794">
        <v>195.07</v>
      </c>
      <c r="AF794">
        <v>748806.46</v>
      </c>
      <c r="AG794">
        <v>8930502.1699999999</v>
      </c>
      <c r="AH794">
        <v>179.4</v>
      </c>
      <c r="AI794">
        <v>15.67</v>
      </c>
      <c r="AJ794">
        <v>0.6</v>
      </c>
      <c r="AK794">
        <v>3.37</v>
      </c>
      <c r="AL794">
        <v>2.93</v>
      </c>
      <c r="AM794">
        <v>0</v>
      </c>
      <c r="AN794">
        <v>0</v>
      </c>
      <c r="AO794">
        <v>358</v>
      </c>
      <c r="AP794">
        <v>3.3</v>
      </c>
      <c r="AQ794">
        <v>0.6</v>
      </c>
      <c r="AR794">
        <v>0.08</v>
      </c>
      <c r="AS794">
        <v>7.0000000000000007E-2</v>
      </c>
      <c r="AT794">
        <v>17.91</v>
      </c>
      <c r="AU794">
        <v>5.65</v>
      </c>
      <c r="AV794">
        <v>0.36</v>
      </c>
      <c r="AW794">
        <v>1.71</v>
      </c>
      <c r="AX794">
        <v>2.35</v>
      </c>
      <c r="AY794">
        <v>3.3</v>
      </c>
      <c r="AZ794">
        <v>180.107</v>
      </c>
      <c r="BA794">
        <v>0</v>
      </c>
      <c r="BB794">
        <v>0</v>
      </c>
      <c r="BC794">
        <v>0</v>
      </c>
      <c r="BD794">
        <v>0</v>
      </c>
    </row>
    <row r="795" spans="1:56" x14ac:dyDescent="0.25">
      <c r="A795" s="23">
        <v>46304</v>
      </c>
      <c r="B795">
        <v>794</v>
      </c>
      <c r="C795" t="s">
        <v>82</v>
      </c>
      <c r="D795" t="s">
        <v>83</v>
      </c>
      <c r="E795">
        <v>2</v>
      </c>
      <c r="F795">
        <v>180</v>
      </c>
      <c r="G795">
        <v>1</v>
      </c>
      <c r="H795" t="s">
        <v>96</v>
      </c>
      <c r="I795" t="s">
        <v>91</v>
      </c>
      <c r="J795" t="s">
        <v>85</v>
      </c>
      <c r="K795" t="s">
        <v>80</v>
      </c>
      <c r="L795" t="s">
        <v>71</v>
      </c>
      <c r="M795" t="s">
        <v>87</v>
      </c>
      <c r="O795" t="s">
        <v>88</v>
      </c>
      <c r="P795" t="s">
        <v>27</v>
      </c>
      <c r="Q795" t="s">
        <v>73</v>
      </c>
      <c r="R795" t="s">
        <v>76</v>
      </c>
      <c r="S795" t="s">
        <v>74</v>
      </c>
      <c r="T795" t="s">
        <v>75</v>
      </c>
      <c r="X795" t="s">
        <v>77</v>
      </c>
      <c r="Z795" t="s">
        <v>72</v>
      </c>
      <c r="AA795" t="s">
        <v>94</v>
      </c>
      <c r="AB795">
        <v>5</v>
      </c>
      <c r="AC795">
        <v>748809.66</v>
      </c>
      <c r="AD795">
        <v>8930503.1999999993</v>
      </c>
      <c r="AE795">
        <v>195.16</v>
      </c>
      <c r="AF795">
        <v>748809.66</v>
      </c>
      <c r="AG795">
        <v>8930503.1999999993</v>
      </c>
      <c r="AH795">
        <v>179.4</v>
      </c>
      <c r="AI795">
        <v>15.76</v>
      </c>
      <c r="AJ795">
        <v>0.6</v>
      </c>
      <c r="AK795">
        <v>3.37</v>
      </c>
      <c r="AL795">
        <v>2.93</v>
      </c>
      <c r="AM795">
        <v>0</v>
      </c>
      <c r="AN795">
        <v>0</v>
      </c>
      <c r="AO795">
        <v>358</v>
      </c>
      <c r="AP795">
        <v>3.3</v>
      </c>
      <c r="AQ795">
        <v>0.57999999999999996</v>
      </c>
      <c r="AR795">
        <v>0.08</v>
      </c>
      <c r="AS795">
        <v>0.06</v>
      </c>
      <c r="AT795">
        <v>17.600000000000001</v>
      </c>
      <c r="AU795">
        <v>5.55</v>
      </c>
      <c r="AV795">
        <v>0.36</v>
      </c>
      <c r="AW795">
        <v>1.64</v>
      </c>
      <c r="AX795">
        <v>2.64</v>
      </c>
      <c r="AY795">
        <v>3.3</v>
      </c>
      <c r="AZ795">
        <v>181.41800000000001</v>
      </c>
      <c r="BA795">
        <v>0</v>
      </c>
      <c r="BB795">
        <v>0</v>
      </c>
      <c r="BC795">
        <v>0</v>
      </c>
      <c r="BD795">
        <v>0</v>
      </c>
    </row>
    <row r="796" spans="1:56" x14ac:dyDescent="0.25">
      <c r="A796" s="23">
        <v>46304</v>
      </c>
      <c r="B796">
        <v>795</v>
      </c>
      <c r="C796" t="s">
        <v>82</v>
      </c>
      <c r="D796" t="s">
        <v>83</v>
      </c>
      <c r="E796">
        <v>2</v>
      </c>
      <c r="F796">
        <v>180</v>
      </c>
      <c r="G796">
        <v>1</v>
      </c>
      <c r="H796" t="s">
        <v>96</v>
      </c>
      <c r="I796" t="s">
        <v>91</v>
      </c>
      <c r="J796" t="s">
        <v>85</v>
      </c>
      <c r="K796" t="s">
        <v>80</v>
      </c>
      <c r="L796" t="s">
        <v>71</v>
      </c>
      <c r="M796" t="s">
        <v>87</v>
      </c>
      <c r="O796" t="s">
        <v>88</v>
      </c>
      <c r="P796" t="s">
        <v>27</v>
      </c>
      <c r="Q796" t="s">
        <v>73</v>
      </c>
      <c r="R796" t="s">
        <v>76</v>
      </c>
      <c r="S796" t="s">
        <v>74</v>
      </c>
      <c r="T796" t="s">
        <v>75</v>
      </c>
      <c r="X796" t="s">
        <v>77</v>
      </c>
      <c r="Z796" t="s">
        <v>72</v>
      </c>
      <c r="AA796" t="s">
        <v>94</v>
      </c>
      <c r="AB796">
        <v>5</v>
      </c>
      <c r="AC796">
        <v>748812.96</v>
      </c>
      <c r="AD796">
        <v>8930503.8800000008</v>
      </c>
      <c r="AE796">
        <v>195.54</v>
      </c>
      <c r="AF796">
        <v>748812.96</v>
      </c>
      <c r="AG796">
        <v>8930503.8800000008</v>
      </c>
      <c r="AH796">
        <v>179.4</v>
      </c>
      <c r="AI796">
        <v>16.14</v>
      </c>
      <c r="AJ796">
        <v>0.6</v>
      </c>
      <c r="AK796">
        <v>3.37</v>
      </c>
      <c r="AL796">
        <v>2.93</v>
      </c>
      <c r="AM796">
        <v>0</v>
      </c>
      <c r="AN796">
        <v>0</v>
      </c>
      <c r="AO796">
        <v>358</v>
      </c>
      <c r="AP796">
        <v>3.31</v>
      </c>
      <c r="AQ796">
        <v>0.55000000000000004</v>
      </c>
      <c r="AR796">
        <v>0.09</v>
      </c>
      <c r="AS796">
        <v>0.06</v>
      </c>
      <c r="AT796">
        <v>17.16</v>
      </c>
      <c r="AU796">
        <v>5.38</v>
      </c>
      <c r="AV796">
        <v>0.36</v>
      </c>
      <c r="AW796">
        <v>1.54</v>
      </c>
      <c r="AX796">
        <v>3.19</v>
      </c>
      <c r="AY796">
        <v>3.3</v>
      </c>
      <c r="AZ796">
        <v>186.95</v>
      </c>
      <c r="BA796">
        <v>0</v>
      </c>
      <c r="BB796">
        <v>0</v>
      </c>
      <c r="BC796">
        <v>0</v>
      </c>
      <c r="BD796">
        <v>0</v>
      </c>
    </row>
    <row r="797" spans="1:56" x14ac:dyDescent="0.25">
      <c r="A797" s="23">
        <v>46304</v>
      </c>
      <c r="B797">
        <v>796</v>
      </c>
      <c r="C797" t="s">
        <v>82</v>
      </c>
      <c r="D797" t="s">
        <v>83</v>
      </c>
      <c r="E797">
        <v>2</v>
      </c>
      <c r="F797">
        <v>180</v>
      </c>
      <c r="G797">
        <v>1</v>
      </c>
      <c r="H797" t="s">
        <v>96</v>
      </c>
      <c r="I797" t="s">
        <v>91</v>
      </c>
      <c r="J797" t="s">
        <v>85</v>
      </c>
      <c r="K797" t="s">
        <v>80</v>
      </c>
      <c r="L797" t="s">
        <v>71</v>
      </c>
      <c r="M797" t="s">
        <v>87</v>
      </c>
      <c r="O797" t="s">
        <v>88</v>
      </c>
      <c r="P797" t="s">
        <v>27</v>
      </c>
      <c r="Q797" t="s">
        <v>73</v>
      </c>
      <c r="R797" t="s">
        <v>76</v>
      </c>
      <c r="S797" t="s">
        <v>74</v>
      </c>
      <c r="T797" t="s">
        <v>75</v>
      </c>
      <c r="X797" t="s">
        <v>77</v>
      </c>
      <c r="Z797" t="s">
        <v>72</v>
      </c>
      <c r="AA797" t="s">
        <v>94</v>
      </c>
      <c r="AB797">
        <v>5</v>
      </c>
      <c r="AC797">
        <v>748816.26</v>
      </c>
      <c r="AD797">
        <v>8930504.5600000005</v>
      </c>
      <c r="AE797">
        <v>195.41</v>
      </c>
      <c r="AF797">
        <v>748816.26</v>
      </c>
      <c r="AG797">
        <v>8930504.5600000005</v>
      </c>
      <c r="AH797">
        <v>179.4</v>
      </c>
      <c r="AI797">
        <v>16.010000000000002</v>
      </c>
      <c r="AJ797">
        <v>0.6</v>
      </c>
      <c r="AK797">
        <v>3.37</v>
      </c>
      <c r="AL797">
        <v>2.93</v>
      </c>
      <c r="AM797">
        <v>0</v>
      </c>
      <c r="AN797">
        <v>0</v>
      </c>
      <c r="AO797">
        <v>358</v>
      </c>
      <c r="AP797">
        <v>3.31</v>
      </c>
      <c r="AQ797">
        <v>0.55000000000000004</v>
      </c>
      <c r="AR797">
        <v>0.09</v>
      </c>
      <c r="AS797">
        <v>0.06</v>
      </c>
      <c r="AT797">
        <v>17.14</v>
      </c>
      <c r="AU797">
        <v>5.39</v>
      </c>
      <c r="AV797">
        <v>0.36</v>
      </c>
      <c r="AW797">
        <v>1.54</v>
      </c>
      <c r="AX797">
        <v>3.14</v>
      </c>
      <c r="AY797">
        <v>3.3</v>
      </c>
      <c r="AZ797">
        <v>185.05799999999999</v>
      </c>
      <c r="BA797">
        <v>0</v>
      </c>
      <c r="BB797">
        <v>0</v>
      </c>
      <c r="BC797">
        <v>0</v>
      </c>
      <c r="BD797">
        <v>0</v>
      </c>
    </row>
    <row r="798" spans="1:56" x14ac:dyDescent="0.25">
      <c r="A798" s="23">
        <v>46304</v>
      </c>
      <c r="B798">
        <v>797</v>
      </c>
      <c r="C798" t="s">
        <v>82</v>
      </c>
      <c r="D798" t="s">
        <v>83</v>
      </c>
      <c r="E798">
        <v>2</v>
      </c>
      <c r="F798">
        <v>180</v>
      </c>
      <c r="G798">
        <v>1</v>
      </c>
      <c r="H798" t="s">
        <v>96</v>
      </c>
      <c r="I798" t="s">
        <v>91</v>
      </c>
      <c r="J798" t="s">
        <v>85</v>
      </c>
      <c r="K798" t="s">
        <v>86</v>
      </c>
      <c r="L798" t="s">
        <v>71</v>
      </c>
      <c r="M798" t="s">
        <v>87</v>
      </c>
      <c r="O798" t="s">
        <v>88</v>
      </c>
      <c r="P798" t="s">
        <v>27</v>
      </c>
      <c r="Q798" t="s">
        <v>73</v>
      </c>
      <c r="R798" t="s">
        <v>76</v>
      </c>
      <c r="S798" t="s">
        <v>74</v>
      </c>
      <c r="T798" t="s">
        <v>75</v>
      </c>
      <c r="X798" t="s">
        <v>77</v>
      </c>
      <c r="Z798" t="s">
        <v>72</v>
      </c>
      <c r="AA798" t="s">
        <v>94</v>
      </c>
      <c r="AB798">
        <v>5</v>
      </c>
      <c r="AC798">
        <v>748819.56</v>
      </c>
      <c r="AD798">
        <v>8930505.2400000002</v>
      </c>
      <c r="AE798">
        <v>195.51</v>
      </c>
      <c r="AF798">
        <v>748819.56</v>
      </c>
      <c r="AG798">
        <v>8930505.2400000002</v>
      </c>
      <c r="AH798">
        <v>179.4</v>
      </c>
      <c r="AI798">
        <v>16.11</v>
      </c>
      <c r="AJ798">
        <v>0.6</v>
      </c>
      <c r="AK798">
        <v>3.37</v>
      </c>
      <c r="AL798">
        <v>2.93</v>
      </c>
      <c r="AM798">
        <v>0</v>
      </c>
      <c r="AN798">
        <v>0</v>
      </c>
      <c r="AO798">
        <v>358</v>
      </c>
      <c r="AP798">
        <v>3.33</v>
      </c>
      <c r="AQ798">
        <v>0.54</v>
      </c>
      <c r="AR798">
        <v>0.09</v>
      </c>
      <c r="AS798">
        <v>0.06</v>
      </c>
      <c r="AT798">
        <v>17.27</v>
      </c>
      <c r="AU798">
        <v>5.35</v>
      </c>
      <c r="AV798">
        <v>0.36</v>
      </c>
      <c r="AW798">
        <v>1.49</v>
      </c>
      <c r="AX798">
        <v>2</v>
      </c>
      <c r="AY798">
        <v>3.3</v>
      </c>
      <c r="AZ798">
        <v>186.51400000000001</v>
      </c>
      <c r="BA798">
        <v>0</v>
      </c>
      <c r="BB798">
        <v>0</v>
      </c>
      <c r="BC798">
        <v>0</v>
      </c>
      <c r="BD798">
        <v>0</v>
      </c>
    </row>
    <row r="799" spans="1:56" x14ac:dyDescent="0.25">
      <c r="A799" s="23">
        <v>46304</v>
      </c>
      <c r="B799">
        <v>798</v>
      </c>
      <c r="C799" t="s">
        <v>82</v>
      </c>
      <c r="D799" t="s">
        <v>83</v>
      </c>
      <c r="E799">
        <v>2</v>
      </c>
      <c r="F799">
        <v>180</v>
      </c>
      <c r="G799">
        <v>1</v>
      </c>
      <c r="H799" t="s">
        <v>96</v>
      </c>
      <c r="I799" t="s">
        <v>91</v>
      </c>
      <c r="J799" t="s">
        <v>85</v>
      </c>
      <c r="K799" t="s">
        <v>86</v>
      </c>
      <c r="L799" t="s">
        <v>71</v>
      </c>
      <c r="M799" t="s">
        <v>87</v>
      </c>
      <c r="O799" t="s">
        <v>88</v>
      </c>
      <c r="P799" t="s">
        <v>27</v>
      </c>
      <c r="Q799" t="s">
        <v>73</v>
      </c>
      <c r="R799" t="s">
        <v>76</v>
      </c>
      <c r="S799" t="s">
        <v>74</v>
      </c>
      <c r="T799" t="s">
        <v>75</v>
      </c>
      <c r="X799" t="s">
        <v>77</v>
      </c>
      <c r="Z799" t="s">
        <v>72</v>
      </c>
      <c r="AA799" t="s">
        <v>94</v>
      </c>
      <c r="AB799">
        <v>5</v>
      </c>
      <c r="AC799">
        <v>748822.35</v>
      </c>
      <c r="AD799">
        <v>8930502.8300000001</v>
      </c>
      <c r="AE799">
        <v>195.41</v>
      </c>
      <c r="AF799">
        <v>748822.35</v>
      </c>
      <c r="AG799">
        <v>8930502.8300000001</v>
      </c>
      <c r="AH799">
        <v>179.4</v>
      </c>
      <c r="AI799">
        <v>16.010000000000002</v>
      </c>
      <c r="AJ799">
        <v>0.6</v>
      </c>
      <c r="AK799">
        <v>3.37</v>
      </c>
      <c r="AL799">
        <v>2.93</v>
      </c>
      <c r="AM799">
        <v>0</v>
      </c>
      <c r="AN799">
        <v>0</v>
      </c>
      <c r="AO799">
        <v>358</v>
      </c>
      <c r="AP799">
        <v>3.38</v>
      </c>
      <c r="AQ799">
        <v>0.52</v>
      </c>
      <c r="AR799">
        <v>0.09</v>
      </c>
      <c r="AS799">
        <v>0.06</v>
      </c>
      <c r="AT799">
        <v>17.47</v>
      </c>
      <c r="AU799">
        <v>5.29</v>
      </c>
      <c r="AV799">
        <v>0.37</v>
      </c>
      <c r="AW799">
        <v>1.4</v>
      </c>
      <c r="AX799">
        <v>0</v>
      </c>
      <c r="AY799">
        <v>3.3</v>
      </c>
      <c r="AZ799">
        <v>185.05799999999999</v>
      </c>
      <c r="BA799">
        <v>0</v>
      </c>
      <c r="BB799">
        <v>0</v>
      </c>
      <c r="BC799">
        <v>0</v>
      </c>
      <c r="BD799">
        <v>0</v>
      </c>
    </row>
    <row r="800" spans="1:56" x14ac:dyDescent="0.25">
      <c r="A800" s="23">
        <v>46304</v>
      </c>
      <c r="B800">
        <v>799</v>
      </c>
      <c r="C800" t="s">
        <v>82</v>
      </c>
      <c r="D800" t="s">
        <v>83</v>
      </c>
      <c r="E800">
        <v>2</v>
      </c>
      <c r="F800">
        <v>180</v>
      </c>
      <c r="G800">
        <v>1</v>
      </c>
      <c r="H800" t="s">
        <v>96</v>
      </c>
      <c r="I800" t="s">
        <v>91</v>
      </c>
      <c r="J800" t="s">
        <v>85</v>
      </c>
      <c r="K800" t="s">
        <v>86</v>
      </c>
      <c r="L800" t="s">
        <v>71</v>
      </c>
      <c r="M800" t="s">
        <v>87</v>
      </c>
      <c r="O800" t="s">
        <v>88</v>
      </c>
      <c r="P800" t="s">
        <v>27</v>
      </c>
      <c r="Q800" t="s">
        <v>73</v>
      </c>
      <c r="R800" t="s">
        <v>76</v>
      </c>
      <c r="S800" t="s">
        <v>74</v>
      </c>
      <c r="T800" t="s">
        <v>75</v>
      </c>
      <c r="X800" t="s">
        <v>77</v>
      </c>
      <c r="Z800" t="s">
        <v>72</v>
      </c>
      <c r="AA800" t="s">
        <v>94</v>
      </c>
      <c r="AB800">
        <v>5</v>
      </c>
      <c r="AC800">
        <v>748819.05</v>
      </c>
      <c r="AD800">
        <v>8930502.1500000004</v>
      </c>
      <c r="AE800">
        <v>195.38</v>
      </c>
      <c r="AF800">
        <v>748819.05</v>
      </c>
      <c r="AG800">
        <v>8930502.1500000004</v>
      </c>
      <c r="AH800">
        <v>179.4</v>
      </c>
      <c r="AI800">
        <v>15.98</v>
      </c>
      <c r="AJ800">
        <v>0.6</v>
      </c>
      <c r="AK800">
        <v>3.37</v>
      </c>
      <c r="AL800">
        <v>2.93</v>
      </c>
      <c r="AM800">
        <v>0</v>
      </c>
      <c r="AN800">
        <v>0</v>
      </c>
      <c r="AO800">
        <v>358</v>
      </c>
      <c r="AP800">
        <v>3.32</v>
      </c>
      <c r="AQ800">
        <v>0.54</v>
      </c>
      <c r="AR800">
        <v>0.09</v>
      </c>
      <c r="AS800">
        <v>0.06</v>
      </c>
      <c r="AT800">
        <v>17.22</v>
      </c>
      <c r="AU800">
        <v>5.37</v>
      </c>
      <c r="AV800">
        <v>0.36</v>
      </c>
      <c r="AW800">
        <v>1.51</v>
      </c>
      <c r="AX800">
        <v>2.42</v>
      </c>
      <c r="AY800">
        <v>3.3</v>
      </c>
      <c r="AZ800">
        <v>184.62100000000001</v>
      </c>
      <c r="BA800">
        <v>0</v>
      </c>
      <c r="BB800">
        <v>0</v>
      </c>
      <c r="BC800">
        <v>0</v>
      </c>
      <c r="BD800">
        <v>0</v>
      </c>
    </row>
    <row r="801" spans="1:56" x14ac:dyDescent="0.25">
      <c r="A801" s="23">
        <v>46304</v>
      </c>
      <c r="B801">
        <v>800</v>
      </c>
      <c r="C801" t="s">
        <v>82</v>
      </c>
      <c r="D801" t="s">
        <v>83</v>
      </c>
      <c r="E801">
        <v>2</v>
      </c>
      <c r="F801">
        <v>180</v>
      </c>
      <c r="G801">
        <v>1</v>
      </c>
      <c r="H801" t="s">
        <v>96</v>
      </c>
      <c r="I801" t="s">
        <v>91</v>
      </c>
      <c r="J801" t="s">
        <v>85</v>
      </c>
      <c r="K801" t="s">
        <v>80</v>
      </c>
      <c r="L801" t="s">
        <v>71</v>
      </c>
      <c r="M801" t="s">
        <v>87</v>
      </c>
      <c r="O801" t="s">
        <v>88</v>
      </c>
      <c r="P801" t="s">
        <v>27</v>
      </c>
      <c r="Q801" t="s">
        <v>73</v>
      </c>
      <c r="R801" t="s">
        <v>76</v>
      </c>
      <c r="S801" t="s">
        <v>74</v>
      </c>
      <c r="T801" t="s">
        <v>75</v>
      </c>
      <c r="X801" t="s">
        <v>77</v>
      </c>
      <c r="Z801" t="s">
        <v>72</v>
      </c>
      <c r="AA801" t="s">
        <v>94</v>
      </c>
      <c r="AB801">
        <v>5</v>
      </c>
      <c r="AC801">
        <v>748815.75</v>
      </c>
      <c r="AD801">
        <v>8930501.4600000009</v>
      </c>
      <c r="AE801">
        <v>195.32</v>
      </c>
      <c r="AF801">
        <v>748815.75</v>
      </c>
      <c r="AG801">
        <v>8930501.4600000009</v>
      </c>
      <c r="AH801">
        <v>179.4</v>
      </c>
      <c r="AI801">
        <v>15.92</v>
      </c>
      <c r="AJ801">
        <v>0.6</v>
      </c>
      <c r="AK801">
        <v>3.37</v>
      </c>
      <c r="AL801">
        <v>2.93</v>
      </c>
      <c r="AM801">
        <v>0</v>
      </c>
      <c r="AN801">
        <v>0</v>
      </c>
      <c r="AO801">
        <v>358</v>
      </c>
      <c r="AP801">
        <v>3.32</v>
      </c>
      <c r="AQ801">
        <v>0.56000000000000005</v>
      </c>
      <c r="AR801">
        <v>0.09</v>
      </c>
      <c r="AS801">
        <v>0.06</v>
      </c>
      <c r="AT801">
        <v>17.260000000000002</v>
      </c>
      <c r="AU801">
        <v>5.4</v>
      </c>
      <c r="AV801">
        <v>0.35</v>
      </c>
      <c r="AW801">
        <v>1.57</v>
      </c>
      <c r="AX801">
        <v>3.07</v>
      </c>
      <c r="AY801">
        <v>3.3</v>
      </c>
      <c r="AZ801">
        <v>183.74700000000001</v>
      </c>
      <c r="BA801">
        <v>0</v>
      </c>
      <c r="BB801">
        <v>0</v>
      </c>
      <c r="BC801">
        <v>0</v>
      </c>
      <c r="BD801">
        <v>0</v>
      </c>
    </row>
    <row r="802" spans="1:56" x14ac:dyDescent="0.25">
      <c r="A802" s="23">
        <v>46304</v>
      </c>
      <c r="B802">
        <v>801</v>
      </c>
      <c r="C802" t="s">
        <v>82</v>
      </c>
      <c r="D802" t="s">
        <v>83</v>
      </c>
      <c r="E802">
        <v>2</v>
      </c>
      <c r="F802">
        <v>180</v>
      </c>
      <c r="G802">
        <v>1</v>
      </c>
      <c r="H802" t="s">
        <v>96</v>
      </c>
      <c r="I802" t="s">
        <v>91</v>
      </c>
      <c r="J802" t="s">
        <v>85</v>
      </c>
      <c r="K802" t="s">
        <v>80</v>
      </c>
      <c r="L802" t="s">
        <v>71</v>
      </c>
      <c r="M802" t="s">
        <v>87</v>
      </c>
      <c r="O802" t="s">
        <v>88</v>
      </c>
      <c r="P802" t="s">
        <v>27</v>
      </c>
      <c r="Q802" t="s">
        <v>73</v>
      </c>
      <c r="R802" t="s">
        <v>76</v>
      </c>
      <c r="S802" t="s">
        <v>74</v>
      </c>
      <c r="T802" t="s">
        <v>75</v>
      </c>
      <c r="X802" t="s">
        <v>77</v>
      </c>
      <c r="Z802" t="s">
        <v>72</v>
      </c>
      <c r="AA802" t="s">
        <v>94</v>
      </c>
      <c r="AB802">
        <v>5</v>
      </c>
      <c r="AC802">
        <v>748812.45</v>
      </c>
      <c r="AD802">
        <v>8930500.7799999993</v>
      </c>
      <c r="AE802">
        <v>195.2</v>
      </c>
      <c r="AF802">
        <v>748812.45</v>
      </c>
      <c r="AG802">
        <v>8930500.7799999993</v>
      </c>
      <c r="AH802">
        <v>179.4</v>
      </c>
      <c r="AI802">
        <v>15.8</v>
      </c>
      <c r="AJ802">
        <v>0.6</v>
      </c>
      <c r="AK802">
        <v>3.37</v>
      </c>
      <c r="AL802">
        <v>2.93</v>
      </c>
      <c r="AM802">
        <v>0</v>
      </c>
      <c r="AN802">
        <v>0</v>
      </c>
      <c r="AO802">
        <v>358</v>
      </c>
      <c r="AP802">
        <v>3.34</v>
      </c>
      <c r="AQ802">
        <v>0.56999999999999995</v>
      </c>
      <c r="AR802">
        <v>0.09</v>
      </c>
      <c r="AS802">
        <v>0.06</v>
      </c>
      <c r="AT802">
        <v>17.48</v>
      </c>
      <c r="AU802">
        <v>5.41</v>
      </c>
      <c r="AV802">
        <v>0.35</v>
      </c>
      <c r="AW802">
        <v>1.63</v>
      </c>
      <c r="AX802">
        <v>2.97</v>
      </c>
      <c r="AY802">
        <v>3.3</v>
      </c>
      <c r="AZ802">
        <v>182</v>
      </c>
      <c r="BA802">
        <v>0</v>
      </c>
      <c r="BB802">
        <v>0</v>
      </c>
      <c r="BC802">
        <v>0</v>
      </c>
      <c r="BD802">
        <v>0</v>
      </c>
    </row>
    <row r="803" spans="1:56" x14ac:dyDescent="0.25">
      <c r="A803" s="23">
        <v>46304</v>
      </c>
      <c r="B803">
        <v>802</v>
      </c>
      <c r="C803" t="s">
        <v>82</v>
      </c>
      <c r="D803" t="s">
        <v>83</v>
      </c>
      <c r="E803">
        <v>2</v>
      </c>
      <c r="F803">
        <v>180</v>
      </c>
      <c r="G803">
        <v>1</v>
      </c>
      <c r="H803" t="s">
        <v>96</v>
      </c>
      <c r="I803" t="s">
        <v>91</v>
      </c>
      <c r="J803" t="s">
        <v>85</v>
      </c>
      <c r="K803" t="s">
        <v>80</v>
      </c>
      <c r="L803" t="s">
        <v>71</v>
      </c>
      <c r="M803" t="s">
        <v>87</v>
      </c>
      <c r="O803" t="s">
        <v>88</v>
      </c>
      <c r="P803" t="s">
        <v>27</v>
      </c>
      <c r="Q803" t="s">
        <v>73</v>
      </c>
      <c r="R803" t="s">
        <v>76</v>
      </c>
      <c r="S803" t="s">
        <v>74</v>
      </c>
      <c r="T803" t="s">
        <v>75</v>
      </c>
      <c r="X803" t="s">
        <v>77</v>
      </c>
      <c r="Z803" t="s">
        <v>72</v>
      </c>
      <c r="AA803" t="s">
        <v>94</v>
      </c>
      <c r="AB803">
        <v>5</v>
      </c>
      <c r="AC803">
        <v>748809.19</v>
      </c>
      <c r="AD803">
        <v>8930499.9700000007</v>
      </c>
      <c r="AE803">
        <v>195.07</v>
      </c>
      <c r="AF803">
        <v>748809.19</v>
      </c>
      <c r="AG803">
        <v>8930499.9700000007</v>
      </c>
      <c r="AH803">
        <v>179.4</v>
      </c>
      <c r="AI803">
        <v>15.67</v>
      </c>
      <c r="AJ803">
        <v>0.6</v>
      </c>
      <c r="AK803">
        <v>3.37</v>
      </c>
      <c r="AL803">
        <v>2.93</v>
      </c>
      <c r="AM803">
        <v>0</v>
      </c>
      <c r="AN803">
        <v>0</v>
      </c>
      <c r="AO803">
        <v>358</v>
      </c>
      <c r="AP803">
        <v>3.42</v>
      </c>
      <c r="AQ803">
        <v>0.6</v>
      </c>
      <c r="AR803">
        <v>0.09</v>
      </c>
      <c r="AS803">
        <v>7.0000000000000007E-2</v>
      </c>
      <c r="AT803">
        <v>18.05</v>
      </c>
      <c r="AU803">
        <v>5.53</v>
      </c>
      <c r="AV803">
        <v>0.34</v>
      </c>
      <c r="AW803">
        <v>1.8</v>
      </c>
      <c r="AX803">
        <v>2.95</v>
      </c>
      <c r="AY803">
        <v>3.3</v>
      </c>
      <c r="AZ803">
        <v>180.107</v>
      </c>
      <c r="BA803">
        <v>0</v>
      </c>
      <c r="BB803">
        <v>0</v>
      </c>
      <c r="BC803">
        <v>0</v>
      </c>
      <c r="BD803">
        <v>0</v>
      </c>
    </row>
    <row r="804" spans="1:56" x14ac:dyDescent="0.25">
      <c r="A804" s="23">
        <v>46304</v>
      </c>
      <c r="B804">
        <v>803</v>
      </c>
      <c r="C804" t="s">
        <v>82</v>
      </c>
      <c r="D804" t="s">
        <v>83</v>
      </c>
      <c r="E804">
        <v>2</v>
      </c>
      <c r="F804">
        <v>180</v>
      </c>
      <c r="G804">
        <v>1</v>
      </c>
      <c r="H804" t="s">
        <v>96</v>
      </c>
      <c r="I804" t="s">
        <v>91</v>
      </c>
      <c r="J804" t="s">
        <v>85</v>
      </c>
      <c r="K804" t="s">
        <v>80</v>
      </c>
      <c r="L804" t="s">
        <v>71</v>
      </c>
      <c r="M804" t="s">
        <v>87</v>
      </c>
      <c r="O804" t="s">
        <v>88</v>
      </c>
      <c r="P804" t="s">
        <v>27</v>
      </c>
      <c r="Q804" t="s">
        <v>73</v>
      </c>
      <c r="R804" t="s">
        <v>76</v>
      </c>
      <c r="S804" t="s">
        <v>74</v>
      </c>
      <c r="T804" t="s">
        <v>75</v>
      </c>
      <c r="X804" t="s">
        <v>77</v>
      </c>
      <c r="Z804" t="s">
        <v>72</v>
      </c>
      <c r="AA804" t="s">
        <v>94</v>
      </c>
      <c r="AB804">
        <v>5</v>
      </c>
      <c r="AC804">
        <v>748806.01</v>
      </c>
      <c r="AD804">
        <v>8930498.9000000004</v>
      </c>
      <c r="AE804">
        <v>195.03</v>
      </c>
      <c r="AF804">
        <v>748806.01</v>
      </c>
      <c r="AG804">
        <v>8930498.9000000004</v>
      </c>
      <c r="AH804">
        <v>179.4</v>
      </c>
      <c r="AI804">
        <v>15.63</v>
      </c>
      <c r="AJ804">
        <v>0.6</v>
      </c>
      <c r="AK804">
        <v>3.37</v>
      </c>
      <c r="AL804">
        <v>2.93</v>
      </c>
      <c r="AM804">
        <v>0</v>
      </c>
      <c r="AN804">
        <v>0</v>
      </c>
      <c r="AO804">
        <v>358</v>
      </c>
      <c r="AP804">
        <v>3.52</v>
      </c>
      <c r="AQ804">
        <v>0.6</v>
      </c>
      <c r="AR804">
        <v>0.09</v>
      </c>
      <c r="AS804">
        <v>7.0000000000000007E-2</v>
      </c>
      <c r="AT804">
        <v>18.27</v>
      </c>
      <c r="AU804">
        <v>5.52</v>
      </c>
      <c r="AV804">
        <v>0.32</v>
      </c>
      <c r="AW804">
        <v>1.89</v>
      </c>
      <c r="AX804">
        <v>3.32</v>
      </c>
      <c r="AY804">
        <v>3.3</v>
      </c>
      <c r="AZ804">
        <v>179.52500000000001</v>
      </c>
      <c r="BA804">
        <v>0</v>
      </c>
      <c r="BB804">
        <v>0</v>
      </c>
      <c r="BC804">
        <v>0</v>
      </c>
      <c r="BD804">
        <v>0</v>
      </c>
    </row>
    <row r="805" spans="1:56" x14ac:dyDescent="0.25">
      <c r="A805" s="23">
        <v>46304</v>
      </c>
      <c r="B805">
        <v>804</v>
      </c>
      <c r="C805" t="s">
        <v>82</v>
      </c>
      <c r="D805" t="s">
        <v>83</v>
      </c>
      <c r="E805">
        <v>2</v>
      </c>
      <c r="F805">
        <v>180</v>
      </c>
      <c r="G805">
        <v>1</v>
      </c>
      <c r="H805" t="s">
        <v>96</v>
      </c>
      <c r="I805" t="s">
        <v>91</v>
      </c>
      <c r="J805" t="s">
        <v>85</v>
      </c>
      <c r="K805" t="s">
        <v>80</v>
      </c>
      <c r="L805" t="s">
        <v>71</v>
      </c>
      <c r="M805" t="s">
        <v>87</v>
      </c>
      <c r="O805" t="s">
        <v>88</v>
      </c>
      <c r="P805" t="s">
        <v>27</v>
      </c>
      <c r="Q805" t="s">
        <v>73</v>
      </c>
      <c r="R805" t="s">
        <v>76</v>
      </c>
      <c r="S805" t="s">
        <v>74</v>
      </c>
      <c r="T805" t="s">
        <v>75</v>
      </c>
      <c r="X805" t="s">
        <v>77</v>
      </c>
      <c r="Z805" t="s">
        <v>72</v>
      </c>
      <c r="AA805" t="s">
        <v>94</v>
      </c>
      <c r="AB805">
        <v>5</v>
      </c>
      <c r="AC805">
        <v>748802.8</v>
      </c>
      <c r="AD805">
        <v>8930497.8900000006</v>
      </c>
      <c r="AE805">
        <v>194.99</v>
      </c>
      <c r="AF805">
        <v>748802.8</v>
      </c>
      <c r="AG805">
        <v>8930497.8900000006</v>
      </c>
      <c r="AH805">
        <v>179.4</v>
      </c>
      <c r="AI805">
        <v>15.59</v>
      </c>
      <c r="AJ805">
        <v>0.6</v>
      </c>
      <c r="AK805">
        <v>3.37</v>
      </c>
      <c r="AL805">
        <v>2.93</v>
      </c>
      <c r="AM805">
        <v>0</v>
      </c>
      <c r="AN805">
        <v>0</v>
      </c>
      <c r="AO805">
        <v>358</v>
      </c>
      <c r="AP805">
        <v>3.57</v>
      </c>
      <c r="AQ805">
        <v>0.6</v>
      </c>
      <c r="AR805">
        <v>0.1</v>
      </c>
      <c r="AS805">
        <v>7.0000000000000007E-2</v>
      </c>
      <c r="AT805">
        <v>18.34</v>
      </c>
      <c r="AU805">
        <v>5.5</v>
      </c>
      <c r="AV805">
        <v>0.31</v>
      </c>
      <c r="AW805">
        <v>1.93</v>
      </c>
      <c r="AX805">
        <v>3.51</v>
      </c>
      <c r="AY805">
        <v>3.3</v>
      </c>
      <c r="AZ805">
        <v>178.94200000000001</v>
      </c>
      <c r="BA805">
        <v>0</v>
      </c>
      <c r="BB805">
        <v>0</v>
      </c>
      <c r="BC805">
        <v>0</v>
      </c>
      <c r="BD805">
        <v>0</v>
      </c>
    </row>
    <row r="806" spans="1:56" x14ac:dyDescent="0.25">
      <c r="A806" s="23">
        <v>46304</v>
      </c>
      <c r="B806">
        <v>805</v>
      </c>
      <c r="C806" t="s">
        <v>82</v>
      </c>
      <c r="D806" t="s">
        <v>83</v>
      </c>
      <c r="E806">
        <v>2</v>
      </c>
      <c r="F806">
        <v>180</v>
      </c>
      <c r="G806">
        <v>1</v>
      </c>
      <c r="H806" t="s">
        <v>96</v>
      </c>
      <c r="I806" t="s">
        <v>91</v>
      </c>
      <c r="J806" t="s">
        <v>85</v>
      </c>
      <c r="K806" t="s">
        <v>80</v>
      </c>
      <c r="L806" t="s">
        <v>71</v>
      </c>
      <c r="M806" t="s">
        <v>87</v>
      </c>
      <c r="O806" t="s">
        <v>88</v>
      </c>
      <c r="P806" t="s">
        <v>27</v>
      </c>
      <c r="Q806" t="s">
        <v>73</v>
      </c>
      <c r="R806" t="s">
        <v>76</v>
      </c>
      <c r="S806" t="s">
        <v>74</v>
      </c>
      <c r="T806" t="s">
        <v>75</v>
      </c>
      <c r="X806" t="s">
        <v>77</v>
      </c>
      <c r="Z806" t="s">
        <v>72</v>
      </c>
      <c r="AA806" t="s">
        <v>94</v>
      </c>
      <c r="AB806">
        <v>5</v>
      </c>
      <c r="AC806">
        <v>748799.51</v>
      </c>
      <c r="AD806">
        <v>8930497.1600000001</v>
      </c>
      <c r="AE806">
        <v>194.98</v>
      </c>
      <c r="AF806">
        <v>748799.51</v>
      </c>
      <c r="AG806">
        <v>8930497.1600000001</v>
      </c>
      <c r="AH806">
        <v>179.4</v>
      </c>
      <c r="AI806">
        <v>15.58</v>
      </c>
      <c r="AJ806">
        <v>0.6</v>
      </c>
      <c r="AK806">
        <v>3.37</v>
      </c>
      <c r="AL806">
        <v>2.93</v>
      </c>
      <c r="AM806">
        <v>0</v>
      </c>
      <c r="AN806">
        <v>0</v>
      </c>
      <c r="AO806">
        <v>358</v>
      </c>
      <c r="AP806">
        <v>3.53</v>
      </c>
      <c r="AQ806">
        <v>0.6</v>
      </c>
      <c r="AR806">
        <v>0.08</v>
      </c>
      <c r="AS806">
        <v>7.0000000000000007E-2</v>
      </c>
      <c r="AT806">
        <v>17.600000000000001</v>
      </c>
      <c r="AU806">
        <v>5.55</v>
      </c>
      <c r="AV806">
        <v>0.32</v>
      </c>
      <c r="AW806">
        <v>1.9</v>
      </c>
      <c r="AX806">
        <v>3.65</v>
      </c>
      <c r="AY806">
        <v>3.3</v>
      </c>
      <c r="AZ806">
        <v>178.797</v>
      </c>
      <c r="BA806">
        <v>0</v>
      </c>
      <c r="BB806">
        <v>0</v>
      </c>
      <c r="BC806">
        <v>0</v>
      </c>
      <c r="BD806">
        <v>0</v>
      </c>
    </row>
    <row r="807" spans="1:56" x14ac:dyDescent="0.25">
      <c r="A807" s="23">
        <v>46304</v>
      </c>
      <c r="B807">
        <v>806</v>
      </c>
      <c r="C807" t="s">
        <v>82</v>
      </c>
      <c r="D807" t="s">
        <v>83</v>
      </c>
      <c r="E807">
        <v>2</v>
      </c>
      <c r="F807">
        <v>180</v>
      </c>
      <c r="G807">
        <v>1</v>
      </c>
      <c r="H807" t="s">
        <v>96</v>
      </c>
      <c r="I807" t="s">
        <v>91</v>
      </c>
      <c r="J807" t="s">
        <v>85</v>
      </c>
      <c r="K807" t="s">
        <v>80</v>
      </c>
      <c r="L807" t="s">
        <v>71</v>
      </c>
      <c r="M807" t="s">
        <v>87</v>
      </c>
      <c r="O807" t="s">
        <v>88</v>
      </c>
      <c r="P807" t="s">
        <v>27</v>
      </c>
      <c r="Q807" t="s">
        <v>73</v>
      </c>
      <c r="R807" t="s">
        <v>76</v>
      </c>
      <c r="S807" t="s">
        <v>74</v>
      </c>
      <c r="T807" t="s">
        <v>75</v>
      </c>
      <c r="X807" t="s">
        <v>77</v>
      </c>
      <c r="Z807" t="s">
        <v>72</v>
      </c>
      <c r="AA807" t="s">
        <v>94</v>
      </c>
      <c r="AB807">
        <v>5</v>
      </c>
      <c r="AC807">
        <v>748796.2</v>
      </c>
      <c r="AD807">
        <v>8930496.5800000001</v>
      </c>
      <c r="AE807">
        <v>194.82</v>
      </c>
      <c r="AF807">
        <v>748796.2</v>
      </c>
      <c r="AG807">
        <v>8930496.5800000001</v>
      </c>
      <c r="AH807">
        <v>179.4</v>
      </c>
      <c r="AI807">
        <v>15.42</v>
      </c>
      <c r="AJ807">
        <v>0.6</v>
      </c>
      <c r="AK807">
        <v>3.37</v>
      </c>
      <c r="AL807">
        <v>2.93</v>
      </c>
      <c r="AM807">
        <v>0</v>
      </c>
      <c r="AN807">
        <v>0</v>
      </c>
      <c r="AO807">
        <v>358</v>
      </c>
      <c r="AP807">
        <v>3.5</v>
      </c>
      <c r="AQ807">
        <v>0.6</v>
      </c>
      <c r="AR807">
        <v>7.0000000000000007E-2</v>
      </c>
      <c r="AS807">
        <v>0.06</v>
      </c>
      <c r="AT807">
        <v>17.18</v>
      </c>
      <c r="AU807">
        <v>5.58</v>
      </c>
      <c r="AV807">
        <v>0.32</v>
      </c>
      <c r="AW807">
        <v>1.88</v>
      </c>
      <c r="AX807">
        <v>3.66</v>
      </c>
      <c r="AY807">
        <v>3.3</v>
      </c>
      <c r="AZ807">
        <v>176.46700000000001</v>
      </c>
      <c r="BA807">
        <v>0</v>
      </c>
      <c r="BB807">
        <v>0</v>
      </c>
      <c r="BC807">
        <v>0</v>
      </c>
      <c r="BD807">
        <v>0</v>
      </c>
    </row>
    <row r="808" spans="1:56" x14ac:dyDescent="0.25">
      <c r="A808" s="23">
        <v>46304</v>
      </c>
      <c r="B808">
        <v>807</v>
      </c>
      <c r="C808" t="s">
        <v>82</v>
      </c>
      <c r="D808" t="s">
        <v>83</v>
      </c>
      <c r="E808">
        <v>2</v>
      </c>
      <c r="F808">
        <v>180</v>
      </c>
      <c r="G808">
        <v>1</v>
      </c>
      <c r="H808" t="s">
        <v>96</v>
      </c>
      <c r="I808" t="s">
        <v>91</v>
      </c>
      <c r="J808" t="s">
        <v>85</v>
      </c>
      <c r="K808" t="s">
        <v>80</v>
      </c>
      <c r="L808" t="s">
        <v>71</v>
      </c>
      <c r="M808" t="s">
        <v>87</v>
      </c>
      <c r="O808" t="s">
        <v>88</v>
      </c>
      <c r="P808" t="s">
        <v>27</v>
      </c>
      <c r="Q808" t="s">
        <v>73</v>
      </c>
      <c r="R808" t="s">
        <v>76</v>
      </c>
      <c r="S808" t="s">
        <v>74</v>
      </c>
      <c r="T808" t="s">
        <v>75</v>
      </c>
      <c r="X808" t="s">
        <v>77</v>
      </c>
      <c r="Z808" t="s">
        <v>72</v>
      </c>
      <c r="AA808" t="s">
        <v>94</v>
      </c>
      <c r="AB808">
        <v>5</v>
      </c>
      <c r="AC808">
        <v>748792.87</v>
      </c>
      <c r="AD808">
        <v>8930496.0099999998</v>
      </c>
      <c r="AE808">
        <v>194.58</v>
      </c>
      <c r="AF808">
        <v>748792.87</v>
      </c>
      <c r="AG808">
        <v>8930496.0099999998</v>
      </c>
      <c r="AH808">
        <v>179.4</v>
      </c>
      <c r="AI808">
        <v>15.18</v>
      </c>
      <c r="AJ808">
        <v>0.6</v>
      </c>
      <c r="AK808">
        <v>3.37</v>
      </c>
      <c r="AL808">
        <v>2.93</v>
      </c>
      <c r="AM808">
        <v>0</v>
      </c>
      <c r="AN808">
        <v>0</v>
      </c>
      <c r="AO808">
        <v>358</v>
      </c>
      <c r="AP808">
        <v>3.48</v>
      </c>
      <c r="AQ808">
        <v>0.56999999999999995</v>
      </c>
      <c r="AR808">
        <v>7.0000000000000007E-2</v>
      </c>
      <c r="AS808">
        <v>0.06</v>
      </c>
      <c r="AT808">
        <v>16.7</v>
      </c>
      <c r="AU808">
        <v>5.52</v>
      </c>
      <c r="AV808">
        <v>0.3</v>
      </c>
      <c r="AW808">
        <v>1.92</v>
      </c>
      <c r="AX808">
        <v>3.55</v>
      </c>
      <c r="AY808">
        <v>3.3</v>
      </c>
      <c r="AZ808">
        <v>172.97300000000001</v>
      </c>
      <c r="BA808">
        <v>0</v>
      </c>
      <c r="BB808">
        <v>0</v>
      </c>
      <c r="BC808">
        <v>0</v>
      </c>
      <c r="BD808">
        <v>0</v>
      </c>
    </row>
    <row r="809" spans="1:56" x14ac:dyDescent="0.25">
      <c r="A809" s="23">
        <v>46304</v>
      </c>
      <c r="B809">
        <v>808</v>
      </c>
      <c r="C809" t="s">
        <v>82</v>
      </c>
      <c r="D809" t="s">
        <v>83</v>
      </c>
      <c r="E809">
        <v>2</v>
      </c>
      <c r="F809">
        <v>180</v>
      </c>
      <c r="G809">
        <v>1</v>
      </c>
      <c r="H809" t="s">
        <v>96</v>
      </c>
      <c r="I809" t="s">
        <v>91</v>
      </c>
      <c r="J809" t="s">
        <v>85</v>
      </c>
      <c r="K809" t="s">
        <v>86</v>
      </c>
      <c r="L809" t="s">
        <v>71</v>
      </c>
      <c r="M809" t="s">
        <v>87</v>
      </c>
      <c r="O809" t="s">
        <v>88</v>
      </c>
      <c r="P809" t="s">
        <v>27</v>
      </c>
      <c r="Q809" t="s">
        <v>73</v>
      </c>
      <c r="R809" t="s">
        <v>76</v>
      </c>
      <c r="S809" t="s">
        <v>74</v>
      </c>
      <c r="T809" t="s">
        <v>75</v>
      </c>
      <c r="X809" t="s">
        <v>77</v>
      </c>
      <c r="Z809" t="s">
        <v>72</v>
      </c>
      <c r="AA809" t="s">
        <v>94</v>
      </c>
      <c r="AB809">
        <v>5</v>
      </c>
      <c r="AC809">
        <v>748789.96</v>
      </c>
      <c r="AD809">
        <v>8930495.5199999996</v>
      </c>
      <c r="AE809">
        <v>194.45</v>
      </c>
      <c r="AF809">
        <v>748789.96</v>
      </c>
      <c r="AG809">
        <v>8930495.5199999996</v>
      </c>
      <c r="AH809">
        <v>179.4</v>
      </c>
      <c r="AI809">
        <v>15.05</v>
      </c>
      <c r="AJ809">
        <v>0.6</v>
      </c>
      <c r="AK809">
        <v>3.37</v>
      </c>
      <c r="AL809">
        <v>2.93</v>
      </c>
      <c r="AM809">
        <v>0</v>
      </c>
      <c r="AN809">
        <v>0</v>
      </c>
      <c r="AO809">
        <v>358</v>
      </c>
      <c r="AP809">
        <v>3.43</v>
      </c>
      <c r="AQ809">
        <v>0.56999999999999995</v>
      </c>
      <c r="AR809">
        <v>0.06</v>
      </c>
      <c r="AS809">
        <v>0.06</v>
      </c>
      <c r="AT809">
        <v>16.46</v>
      </c>
      <c r="AU809">
        <v>5.61</v>
      </c>
      <c r="AV809">
        <v>0.3</v>
      </c>
      <c r="AW809">
        <v>1.95</v>
      </c>
      <c r="AX809">
        <v>3.18</v>
      </c>
      <c r="AY809">
        <v>3.3</v>
      </c>
      <c r="AZ809">
        <v>171.08</v>
      </c>
      <c r="BA809">
        <v>0</v>
      </c>
      <c r="BB809">
        <v>0</v>
      </c>
      <c r="BC809">
        <v>0</v>
      </c>
      <c r="BD809">
        <v>0</v>
      </c>
    </row>
    <row r="810" spans="1:56" x14ac:dyDescent="0.25">
      <c r="A810" s="23">
        <v>46304</v>
      </c>
      <c r="B810">
        <v>809</v>
      </c>
      <c r="C810" t="s">
        <v>82</v>
      </c>
      <c r="D810" t="s">
        <v>83</v>
      </c>
      <c r="E810">
        <v>2</v>
      </c>
      <c r="F810">
        <v>180</v>
      </c>
      <c r="G810">
        <v>1</v>
      </c>
      <c r="H810" t="s">
        <v>96</v>
      </c>
      <c r="I810" t="s">
        <v>91</v>
      </c>
      <c r="J810" t="s">
        <v>85</v>
      </c>
      <c r="K810" t="s">
        <v>86</v>
      </c>
      <c r="L810" t="s">
        <v>71</v>
      </c>
      <c r="M810" t="s">
        <v>87</v>
      </c>
      <c r="O810" t="s">
        <v>88</v>
      </c>
      <c r="P810" t="s">
        <v>27</v>
      </c>
      <c r="Q810" t="s">
        <v>73</v>
      </c>
      <c r="R810" t="s">
        <v>76</v>
      </c>
      <c r="S810" t="s">
        <v>74</v>
      </c>
      <c r="T810" t="s">
        <v>75</v>
      </c>
      <c r="X810" t="s">
        <v>77</v>
      </c>
      <c r="Z810" t="s">
        <v>72</v>
      </c>
      <c r="AA810" t="s">
        <v>94</v>
      </c>
      <c r="AB810">
        <v>5</v>
      </c>
      <c r="AC810">
        <v>748787.84</v>
      </c>
      <c r="AD810">
        <v>8930494.9700000007</v>
      </c>
      <c r="AE810">
        <v>194.5</v>
      </c>
      <c r="AF810">
        <v>748786.68</v>
      </c>
      <c r="AG810">
        <v>8930494.3499999996</v>
      </c>
      <c r="AH810">
        <v>179.4</v>
      </c>
      <c r="AI810">
        <v>15.15</v>
      </c>
      <c r="AJ810">
        <v>0.6</v>
      </c>
      <c r="AK810">
        <v>3.37</v>
      </c>
      <c r="AL810">
        <v>2.93</v>
      </c>
      <c r="AM810">
        <v>242</v>
      </c>
      <c r="AN810">
        <v>5</v>
      </c>
      <c r="AO810">
        <v>358</v>
      </c>
      <c r="AP810">
        <v>3.4</v>
      </c>
      <c r="AQ810">
        <v>0.59</v>
      </c>
      <c r="AR810">
        <v>0.06</v>
      </c>
      <c r="AS810">
        <v>0.06</v>
      </c>
      <c r="AT810">
        <v>16.850000000000001</v>
      </c>
      <c r="AU810">
        <v>5.79</v>
      </c>
      <c r="AV810">
        <v>0.31</v>
      </c>
      <c r="AW810">
        <v>1.95</v>
      </c>
      <c r="AX810">
        <v>2.89</v>
      </c>
      <c r="AY810">
        <v>3.3</v>
      </c>
      <c r="AZ810">
        <v>172.536</v>
      </c>
      <c r="BA810">
        <v>0</v>
      </c>
      <c r="BB810">
        <v>0</v>
      </c>
      <c r="BC810">
        <v>0</v>
      </c>
      <c r="BD810">
        <v>0</v>
      </c>
    </row>
    <row r="811" spans="1:56" x14ac:dyDescent="0.25">
      <c r="A811" s="23">
        <v>46304</v>
      </c>
      <c r="B811">
        <v>810</v>
      </c>
      <c r="C811" t="s">
        <v>82</v>
      </c>
      <c r="D811" t="s">
        <v>83</v>
      </c>
      <c r="E811">
        <v>2</v>
      </c>
      <c r="F811">
        <v>180</v>
      </c>
      <c r="G811">
        <v>1</v>
      </c>
      <c r="H811" t="s">
        <v>96</v>
      </c>
      <c r="I811" t="s">
        <v>78</v>
      </c>
      <c r="J811" t="s">
        <v>85</v>
      </c>
      <c r="K811" t="s">
        <v>86</v>
      </c>
      <c r="L811" t="s">
        <v>71</v>
      </c>
      <c r="M811" t="s">
        <v>87</v>
      </c>
      <c r="O811" t="s">
        <v>88</v>
      </c>
      <c r="P811" t="s">
        <v>27</v>
      </c>
      <c r="Q811" t="s">
        <v>73</v>
      </c>
      <c r="R811" t="s">
        <v>76</v>
      </c>
      <c r="S811" t="s">
        <v>74</v>
      </c>
      <c r="T811" t="s">
        <v>75</v>
      </c>
      <c r="X811" t="s">
        <v>77</v>
      </c>
      <c r="Z811" t="s">
        <v>72</v>
      </c>
      <c r="AA811" t="s">
        <v>94</v>
      </c>
      <c r="AB811">
        <v>5</v>
      </c>
      <c r="AC811">
        <v>748783.13</v>
      </c>
      <c r="AD811">
        <v>8930493.6500000004</v>
      </c>
      <c r="AE811">
        <v>190.29</v>
      </c>
      <c r="AF811">
        <v>748783.13</v>
      </c>
      <c r="AG811">
        <v>8930493.6500000004</v>
      </c>
      <c r="AH811">
        <v>179.4</v>
      </c>
      <c r="AI811">
        <v>10.89</v>
      </c>
      <c r="AJ811">
        <v>0.6</v>
      </c>
      <c r="AK811">
        <v>3.37</v>
      </c>
      <c r="AL811">
        <v>2.93</v>
      </c>
      <c r="AM811">
        <v>0</v>
      </c>
      <c r="AN811">
        <v>0</v>
      </c>
      <c r="AO811">
        <v>358</v>
      </c>
      <c r="AP811">
        <v>3.35</v>
      </c>
      <c r="AQ811">
        <v>0.53</v>
      </c>
      <c r="AR811">
        <v>0.05</v>
      </c>
      <c r="AS811">
        <v>0.06</v>
      </c>
      <c r="AT811">
        <v>16.05</v>
      </c>
      <c r="AU811">
        <v>5.56</v>
      </c>
      <c r="AV811">
        <v>0.28000000000000003</v>
      </c>
      <c r="AW811">
        <v>1.97</v>
      </c>
      <c r="AX811">
        <v>0.26</v>
      </c>
      <c r="AY811">
        <v>3.3</v>
      </c>
      <c r="AZ811">
        <v>110.51</v>
      </c>
      <c r="BA811">
        <v>0</v>
      </c>
      <c r="BB811">
        <v>0</v>
      </c>
      <c r="BC811">
        <v>0</v>
      </c>
      <c r="BD811">
        <v>0</v>
      </c>
    </row>
    <row r="812" spans="1:56" x14ac:dyDescent="0.25">
      <c r="A812" s="23">
        <v>46304</v>
      </c>
      <c r="B812">
        <v>811</v>
      </c>
      <c r="C812" t="s">
        <v>82</v>
      </c>
      <c r="D812" t="s">
        <v>83</v>
      </c>
      <c r="E812">
        <v>2</v>
      </c>
      <c r="F812">
        <v>180</v>
      </c>
      <c r="G812">
        <v>1</v>
      </c>
      <c r="H812" t="s">
        <v>96</v>
      </c>
      <c r="I812" t="s">
        <v>78</v>
      </c>
      <c r="J812" t="s">
        <v>85</v>
      </c>
      <c r="K812" t="s">
        <v>86</v>
      </c>
      <c r="L812" t="s">
        <v>71</v>
      </c>
      <c r="M812" t="s">
        <v>87</v>
      </c>
      <c r="O812" t="s">
        <v>88</v>
      </c>
      <c r="P812" t="s">
        <v>27</v>
      </c>
      <c r="Q812" t="s">
        <v>73</v>
      </c>
      <c r="R812" t="s">
        <v>76</v>
      </c>
      <c r="S812" t="s">
        <v>74</v>
      </c>
      <c r="T812" t="s">
        <v>75</v>
      </c>
      <c r="X812" t="s">
        <v>77</v>
      </c>
      <c r="Z812" t="s">
        <v>72</v>
      </c>
      <c r="AA812" t="s">
        <v>94</v>
      </c>
      <c r="AB812">
        <v>5</v>
      </c>
      <c r="AC812">
        <v>748780.25</v>
      </c>
      <c r="AD812">
        <v>8930491.9499999993</v>
      </c>
      <c r="AE812">
        <v>190.27</v>
      </c>
      <c r="AF812">
        <v>748780.25</v>
      </c>
      <c r="AG812">
        <v>8930491.9499999993</v>
      </c>
      <c r="AH812">
        <v>179.4</v>
      </c>
      <c r="AI812">
        <v>10.87</v>
      </c>
      <c r="AJ812">
        <v>0.6</v>
      </c>
      <c r="AK812">
        <v>3.37</v>
      </c>
      <c r="AL812">
        <v>2.93</v>
      </c>
      <c r="AM812">
        <v>0</v>
      </c>
      <c r="AN812">
        <v>0</v>
      </c>
      <c r="AO812">
        <v>358</v>
      </c>
      <c r="AP812">
        <v>3.36</v>
      </c>
      <c r="AQ812">
        <v>0.55000000000000004</v>
      </c>
      <c r="AR812">
        <v>0.06</v>
      </c>
      <c r="AS812">
        <v>0.06</v>
      </c>
      <c r="AT812">
        <v>16.77</v>
      </c>
      <c r="AU812">
        <v>5.68</v>
      </c>
      <c r="AV812">
        <v>0.3</v>
      </c>
      <c r="AW812">
        <v>1.9</v>
      </c>
      <c r="AX812">
        <v>0.22</v>
      </c>
      <c r="AY812">
        <v>3.3</v>
      </c>
      <c r="AZ812">
        <v>110.21899999999999</v>
      </c>
      <c r="BA812">
        <v>0</v>
      </c>
      <c r="BB812">
        <v>0</v>
      </c>
      <c r="BC812">
        <v>0</v>
      </c>
      <c r="BD812">
        <v>0</v>
      </c>
    </row>
    <row r="813" spans="1:56" x14ac:dyDescent="0.25">
      <c r="A813" s="23">
        <v>46304</v>
      </c>
      <c r="B813">
        <v>812</v>
      </c>
      <c r="C813" t="s">
        <v>82</v>
      </c>
      <c r="D813" t="s">
        <v>83</v>
      </c>
      <c r="E813">
        <v>2</v>
      </c>
      <c r="F813">
        <v>180</v>
      </c>
      <c r="G813">
        <v>1</v>
      </c>
      <c r="H813" t="s">
        <v>96</v>
      </c>
      <c r="I813" t="s">
        <v>78</v>
      </c>
      <c r="J813" t="s">
        <v>85</v>
      </c>
      <c r="K813" t="s">
        <v>86</v>
      </c>
      <c r="L813" t="s">
        <v>71</v>
      </c>
      <c r="M813" t="s">
        <v>87</v>
      </c>
      <c r="O813" t="s">
        <v>88</v>
      </c>
      <c r="P813" t="s">
        <v>27</v>
      </c>
      <c r="Q813" t="s">
        <v>73</v>
      </c>
      <c r="R813" t="s">
        <v>76</v>
      </c>
      <c r="S813" t="s">
        <v>74</v>
      </c>
      <c r="T813" t="s">
        <v>75</v>
      </c>
      <c r="X813" t="s">
        <v>77</v>
      </c>
      <c r="Z813" t="s">
        <v>72</v>
      </c>
      <c r="AA813" t="s">
        <v>94</v>
      </c>
      <c r="AB813">
        <v>5</v>
      </c>
      <c r="AC813">
        <v>748777.42</v>
      </c>
      <c r="AD813">
        <v>8930490.1199999992</v>
      </c>
      <c r="AE813">
        <v>190.24</v>
      </c>
      <c r="AF813">
        <v>748777.42</v>
      </c>
      <c r="AG813">
        <v>8930490.1199999992</v>
      </c>
      <c r="AH813">
        <v>179.4</v>
      </c>
      <c r="AI813">
        <v>10.84</v>
      </c>
      <c r="AJ813">
        <v>0.6</v>
      </c>
      <c r="AK813">
        <v>3.37</v>
      </c>
      <c r="AL813">
        <v>2.93</v>
      </c>
      <c r="AM813">
        <v>0</v>
      </c>
      <c r="AN813">
        <v>0</v>
      </c>
      <c r="AO813">
        <v>358</v>
      </c>
      <c r="AP813">
        <v>3.34</v>
      </c>
      <c r="AQ813">
        <v>0.57999999999999996</v>
      </c>
      <c r="AR813">
        <v>0.06</v>
      </c>
      <c r="AS813">
        <v>7.0000000000000007E-2</v>
      </c>
      <c r="AT813">
        <v>17.600000000000001</v>
      </c>
      <c r="AU813">
        <v>5.84</v>
      </c>
      <c r="AV813">
        <v>0.31</v>
      </c>
      <c r="AW813">
        <v>1.98</v>
      </c>
      <c r="AX813">
        <v>0.17</v>
      </c>
      <c r="AY813">
        <v>3.3</v>
      </c>
      <c r="AZ813">
        <v>109.782</v>
      </c>
      <c r="BA813">
        <v>0</v>
      </c>
      <c r="BB813">
        <v>0</v>
      </c>
      <c r="BC813">
        <v>0</v>
      </c>
      <c r="BD813">
        <v>0</v>
      </c>
    </row>
    <row r="814" spans="1:56" x14ac:dyDescent="0.25">
      <c r="A814" s="23">
        <v>46304</v>
      </c>
      <c r="B814">
        <v>813</v>
      </c>
      <c r="C814" t="s">
        <v>82</v>
      </c>
      <c r="D814" t="s">
        <v>83</v>
      </c>
      <c r="E814">
        <v>2</v>
      </c>
      <c r="F814">
        <v>180</v>
      </c>
      <c r="G814">
        <v>1</v>
      </c>
      <c r="H814" t="s">
        <v>96</v>
      </c>
      <c r="I814" t="s">
        <v>78</v>
      </c>
      <c r="J814" t="s">
        <v>85</v>
      </c>
      <c r="K814" t="s">
        <v>86</v>
      </c>
      <c r="L814" t="s">
        <v>71</v>
      </c>
      <c r="M814" t="s">
        <v>87</v>
      </c>
      <c r="O814" t="s">
        <v>88</v>
      </c>
      <c r="P814" t="s">
        <v>27</v>
      </c>
      <c r="Q814" t="s">
        <v>73</v>
      </c>
      <c r="R814" t="s">
        <v>76</v>
      </c>
      <c r="S814" t="s">
        <v>74</v>
      </c>
      <c r="T814" t="s">
        <v>75</v>
      </c>
      <c r="X814" t="s">
        <v>77</v>
      </c>
      <c r="Z814" t="s">
        <v>72</v>
      </c>
      <c r="AA814" t="s">
        <v>94</v>
      </c>
      <c r="AB814">
        <v>5</v>
      </c>
      <c r="AC814">
        <v>748774.59</v>
      </c>
      <c r="AD814">
        <v>8930488.3000000007</v>
      </c>
      <c r="AE814">
        <v>190.12</v>
      </c>
      <c r="AF814">
        <v>748774.59</v>
      </c>
      <c r="AG814">
        <v>8930488.3000000007</v>
      </c>
      <c r="AH814">
        <v>179.4</v>
      </c>
      <c r="AI814">
        <v>10.72</v>
      </c>
      <c r="AJ814">
        <v>0.6</v>
      </c>
      <c r="AK814">
        <v>3.37</v>
      </c>
      <c r="AL814">
        <v>2.93</v>
      </c>
      <c r="AM814">
        <v>0</v>
      </c>
      <c r="AN814">
        <v>0</v>
      </c>
      <c r="AO814">
        <v>358</v>
      </c>
      <c r="AP814">
        <v>3.34</v>
      </c>
      <c r="AQ814">
        <v>0.63</v>
      </c>
      <c r="AR814">
        <v>7.0000000000000007E-2</v>
      </c>
      <c r="AS814">
        <v>7.0000000000000007E-2</v>
      </c>
      <c r="AT814">
        <v>18.16</v>
      </c>
      <c r="AU814">
        <v>5.94</v>
      </c>
      <c r="AV814">
        <v>0.3</v>
      </c>
      <c r="AW814">
        <v>2.14</v>
      </c>
      <c r="AX814">
        <v>0.09</v>
      </c>
      <c r="AY814">
        <v>3.3</v>
      </c>
      <c r="AZ814">
        <v>108.035</v>
      </c>
      <c r="BA814">
        <v>0</v>
      </c>
      <c r="BB814">
        <v>0</v>
      </c>
      <c r="BC814">
        <v>0</v>
      </c>
      <c r="BD814">
        <v>0</v>
      </c>
    </row>
    <row r="815" spans="1:56" x14ac:dyDescent="0.25">
      <c r="A815" s="23">
        <v>46304</v>
      </c>
      <c r="B815">
        <v>814</v>
      </c>
      <c r="C815" t="s">
        <v>82</v>
      </c>
      <c r="D815" t="s">
        <v>83</v>
      </c>
      <c r="E815">
        <v>2</v>
      </c>
      <c r="F815">
        <v>180</v>
      </c>
      <c r="G815">
        <v>1</v>
      </c>
      <c r="H815" t="s">
        <v>95</v>
      </c>
      <c r="I815" t="s">
        <v>91</v>
      </c>
      <c r="J815" t="s">
        <v>85</v>
      </c>
      <c r="K815" t="s">
        <v>86</v>
      </c>
      <c r="L815" t="s">
        <v>71</v>
      </c>
      <c r="M815" t="s">
        <v>87</v>
      </c>
      <c r="O815" t="s">
        <v>88</v>
      </c>
      <c r="P815" t="s">
        <v>27</v>
      </c>
      <c r="Q815" t="s">
        <v>73</v>
      </c>
      <c r="R815" t="s">
        <v>76</v>
      </c>
      <c r="S815" t="s">
        <v>74</v>
      </c>
      <c r="T815" t="s">
        <v>75</v>
      </c>
      <c r="X815" t="s">
        <v>77</v>
      </c>
      <c r="Z815" t="s">
        <v>72</v>
      </c>
      <c r="AA815" t="s">
        <v>94</v>
      </c>
      <c r="AB815">
        <v>5</v>
      </c>
      <c r="AC815">
        <v>748771.75</v>
      </c>
      <c r="AD815">
        <v>8930486.4700000007</v>
      </c>
      <c r="AE815">
        <v>190.15</v>
      </c>
      <c r="AF815">
        <v>748771.75</v>
      </c>
      <c r="AG815">
        <v>8930486.4700000007</v>
      </c>
      <c r="AH815">
        <v>179.4</v>
      </c>
      <c r="AI815">
        <v>10.75</v>
      </c>
      <c r="AJ815">
        <v>0.6</v>
      </c>
      <c r="AK815">
        <v>3.37</v>
      </c>
      <c r="AL815">
        <v>2.93</v>
      </c>
      <c r="AM815">
        <v>0</v>
      </c>
      <c r="AN815">
        <v>0</v>
      </c>
      <c r="AO815">
        <v>358</v>
      </c>
      <c r="AP815">
        <v>3.34</v>
      </c>
      <c r="AQ815">
        <v>0.64</v>
      </c>
      <c r="AR815">
        <v>7.0000000000000007E-2</v>
      </c>
      <c r="AS815">
        <v>7.0000000000000007E-2</v>
      </c>
      <c r="AT815">
        <v>18.36</v>
      </c>
      <c r="AU815">
        <v>5.96</v>
      </c>
      <c r="AV815">
        <v>0.31</v>
      </c>
      <c r="AW815">
        <v>2.08</v>
      </c>
      <c r="AX815">
        <v>0.11</v>
      </c>
      <c r="AY815">
        <v>3.3</v>
      </c>
      <c r="AZ815">
        <v>108.47199999999999</v>
      </c>
      <c r="BA815">
        <v>0</v>
      </c>
      <c r="BB815">
        <v>0</v>
      </c>
      <c r="BC815">
        <v>0</v>
      </c>
      <c r="BD815">
        <v>0</v>
      </c>
    </row>
    <row r="816" spans="1:56" x14ac:dyDescent="0.25">
      <c r="A816" s="23">
        <v>46304</v>
      </c>
      <c r="B816">
        <v>815</v>
      </c>
      <c r="C816" t="s">
        <v>82</v>
      </c>
      <c r="D816" t="s">
        <v>83</v>
      </c>
      <c r="E816">
        <v>2</v>
      </c>
      <c r="F816">
        <v>180</v>
      </c>
      <c r="G816">
        <v>1</v>
      </c>
      <c r="H816" t="s">
        <v>95</v>
      </c>
      <c r="I816" t="s">
        <v>91</v>
      </c>
      <c r="J816" t="s">
        <v>85</v>
      </c>
      <c r="K816" t="s">
        <v>86</v>
      </c>
      <c r="L816" t="s">
        <v>71</v>
      </c>
      <c r="M816" t="s">
        <v>87</v>
      </c>
      <c r="O816" t="s">
        <v>88</v>
      </c>
      <c r="P816" t="s">
        <v>27</v>
      </c>
      <c r="Q816" t="s">
        <v>73</v>
      </c>
      <c r="R816" t="s">
        <v>76</v>
      </c>
      <c r="S816" t="s">
        <v>74</v>
      </c>
      <c r="T816" t="s">
        <v>75</v>
      </c>
      <c r="X816" t="s">
        <v>77</v>
      </c>
      <c r="Z816" t="s">
        <v>72</v>
      </c>
      <c r="AA816" t="s">
        <v>94</v>
      </c>
      <c r="AB816">
        <v>5</v>
      </c>
      <c r="AC816">
        <v>748768.92</v>
      </c>
      <c r="AD816">
        <v>8930484.6500000004</v>
      </c>
      <c r="AE816">
        <v>190.04</v>
      </c>
      <c r="AF816">
        <v>748768.92</v>
      </c>
      <c r="AG816">
        <v>8930484.6500000004</v>
      </c>
      <c r="AH816">
        <v>179.4</v>
      </c>
      <c r="AI816">
        <v>10.64</v>
      </c>
      <c r="AJ816">
        <v>0.6</v>
      </c>
      <c r="AK816">
        <v>3.37</v>
      </c>
      <c r="AL816">
        <v>2.93</v>
      </c>
      <c r="AM816">
        <v>0</v>
      </c>
      <c r="AN816">
        <v>0</v>
      </c>
      <c r="AO816">
        <v>358</v>
      </c>
      <c r="AP816">
        <v>3.33</v>
      </c>
      <c r="AQ816">
        <v>0.61</v>
      </c>
      <c r="AR816">
        <v>0.08</v>
      </c>
      <c r="AS816">
        <v>7.0000000000000007E-2</v>
      </c>
      <c r="AT816">
        <v>18.68</v>
      </c>
      <c r="AU816">
        <v>6.1</v>
      </c>
      <c r="AV816">
        <v>0.34</v>
      </c>
      <c r="AW816">
        <v>1.77</v>
      </c>
      <c r="AX816">
        <v>0.03</v>
      </c>
      <c r="AY816">
        <v>3.3</v>
      </c>
      <c r="AZ816">
        <v>106.87</v>
      </c>
      <c r="BA816">
        <v>0</v>
      </c>
      <c r="BB816">
        <v>0</v>
      </c>
      <c r="BC816">
        <v>0</v>
      </c>
      <c r="BD816">
        <v>0</v>
      </c>
    </row>
    <row r="817" spans="1:56" x14ac:dyDescent="0.25">
      <c r="A817" s="23">
        <v>46304</v>
      </c>
      <c r="B817">
        <v>816</v>
      </c>
      <c r="C817" t="s">
        <v>82</v>
      </c>
      <c r="D817" t="s">
        <v>83</v>
      </c>
      <c r="E817">
        <v>2</v>
      </c>
      <c r="F817">
        <v>180</v>
      </c>
      <c r="G817">
        <v>1</v>
      </c>
      <c r="H817" t="s">
        <v>95</v>
      </c>
      <c r="I817" t="s">
        <v>91</v>
      </c>
      <c r="J817" t="s">
        <v>85</v>
      </c>
      <c r="K817" t="s">
        <v>86</v>
      </c>
      <c r="L817" t="s">
        <v>71</v>
      </c>
      <c r="M817" t="s">
        <v>87</v>
      </c>
      <c r="O817" t="s">
        <v>88</v>
      </c>
      <c r="P817" t="s">
        <v>27</v>
      </c>
      <c r="Q817" t="s">
        <v>73</v>
      </c>
      <c r="R817" t="s">
        <v>76</v>
      </c>
      <c r="S817" t="s">
        <v>74</v>
      </c>
      <c r="T817" t="s">
        <v>75</v>
      </c>
      <c r="X817" t="s">
        <v>77</v>
      </c>
      <c r="Z817" t="s">
        <v>72</v>
      </c>
      <c r="AA817" t="s">
        <v>94</v>
      </c>
      <c r="AB817">
        <v>5</v>
      </c>
      <c r="AC817">
        <v>748766.09</v>
      </c>
      <c r="AD817">
        <v>8930482.8200000003</v>
      </c>
      <c r="AE817">
        <v>189.99</v>
      </c>
      <c r="AF817">
        <v>748766.09</v>
      </c>
      <c r="AG817">
        <v>8930482.8200000003</v>
      </c>
      <c r="AH817">
        <v>179.4</v>
      </c>
      <c r="AI817">
        <v>10.59</v>
      </c>
      <c r="AJ817">
        <v>0.6</v>
      </c>
      <c r="AK817">
        <v>3.37</v>
      </c>
      <c r="AL817">
        <v>2.93</v>
      </c>
      <c r="AM817">
        <v>0</v>
      </c>
      <c r="AN817">
        <v>0</v>
      </c>
      <c r="AO817">
        <v>358</v>
      </c>
      <c r="AP817">
        <v>3.32</v>
      </c>
      <c r="AQ817">
        <v>0.6</v>
      </c>
      <c r="AR817">
        <v>0.08</v>
      </c>
      <c r="AS817">
        <v>0.08</v>
      </c>
      <c r="AT817">
        <v>18.68</v>
      </c>
      <c r="AU817">
        <v>6.11</v>
      </c>
      <c r="AV817">
        <v>0.35</v>
      </c>
      <c r="AW817">
        <v>1.7</v>
      </c>
      <c r="AX817">
        <v>0</v>
      </c>
      <c r="AY817">
        <v>3.3</v>
      </c>
      <c r="AZ817">
        <v>106.142</v>
      </c>
      <c r="BA817">
        <v>0</v>
      </c>
      <c r="BB817">
        <v>0</v>
      </c>
      <c r="BC817">
        <v>0</v>
      </c>
      <c r="BD817">
        <v>0</v>
      </c>
    </row>
    <row r="818" spans="1:56" x14ac:dyDescent="0.25">
      <c r="A818" s="23">
        <v>46304</v>
      </c>
      <c r="B818">
        <v>817</v>
      </c>
      <c r="C818" t="s">
        <v>82</v>
      </c>
      <c r="D818" t="s">
        <v>83</v>
      </c>
      <c r="E818">
        <v>2</v>
      </c>
      <c r="F818">
        <v>180</v>
      </c>
      <c r="G818">
        <v>1</v>
      </c>
      <c r="H818" t="s">
        <v>95</v>
      </c>
      <c r="I818" t="s">
        <v>91</v>
      </c>
      <c r="J818" t="s">
        <v>85</v>
      </c>
      <c r="K818" t="s">
        <v>86</v>
      </c>
      <c r="L818" t="s">
        <v>71</v>
      </c>
      <c r="M818" t="s">
        <v>87</v>
      </c>
      <c r="O818" t="s">
        <v>88</v>
      </c>
      <c r="P818" t="s">
        <v>27</v>
      </c>
      <c r="Q818" t="s">
        <v>73</v>
      </c>
      <c r="R818" t="s">
        <v>76</v>
      </c>
      <c r="S818" t="s">
        <v>74</v>
      </c>
      <c r="T818" t="s">
        <v>75</v>
      </c>
      <c r="X818" t="s">
        <v>77</v>
      </c>
      <c r="Z818" t="s">
        <v>72</v>
      </c>
      <c r="AA818" t="s">
        <v>94</v>
      </c>
      <c r="AB818">
        <v>5</v>
      </c>
      <c r="AC818">
        <v>748763.28</v>
      </c>
      <c r="AD818">
        <v>8930480.9600000009</v>
      </c>
      <c r="AE818">
        <v>190.03</v>
      </c>
      <c r="AF818">
        <v>748763.28</v>
      </c>
      <c r="AG818">
        <v>8930480.9600000009</v>
      </c>
      <c r="AH818">
        <v>179.4</v>
      </c>
      <c r="AI818">
        <v>10.63</v>
      </c>
      <c r="AJ818">
        <v>0.6</v>
      </c>
      <c r="AK818">
        <v>3.37</v>
      </c>
      <c r="AL818">
        <v>2.93</v>
      </c>
      <c r="AM818">
        <v>0</v>
      </c>
      <c r="AN818">
        <v>0</v>
      </c>
      <c r="AO818">
        <v>358</v>
      </c>
      <c r="AP818">
        <v>3.34</v>
      </c>
      <c r="AQ818">
        <v>0.61</v>
      </c>
      <c r="AR818">
        <v>0.08</v>
      </c>
      <c r="AS818">
        <v>0.08</v>
      </c>
      <c r="AT818">
        <v>18.96</v>
      </c>
      <c r="AU818">
        <v>6.15</v>
      </c>
      <c r="AV818">
        <v>0.35</v>
      </c>
      <c r="AW818">
        <v>1.73</v>
      </c>
      <c r="AX818">
        <v>1.76</v>
      </c>
      <c r="AY818">
        <v>3.3</v>
      </c>
      <c r="AZ818">
        <v>106.72499999999999</v>
      </c>
      <c r="BA818">
        <v>0</v>
      </c>
      <c r="BB818">
        <v>0</v>
      </c>
      <c r="BC818">
        <v>0</v>
      </c>
      <c r="BD818">
        <v>0</v>
      </c>
    </row>
    <row r="819" spans="1:56" x14ac:dyDescent="0.25">
      <c r="A819" s="23">
        <v>46304</v>
      </c>
      <c r="B819">
        <v>818</v>
      </c>
      <c r="C819" t="s">
        <v>82</v>
      </c>
      <c r="D819" t="s">
        <v>83</v>
      </c>
      <c r="E819">
        <v>2</v>
      </c>
      <c r="F819">
        <v>180</v>
      </c>
      <c r="G819">
        <v>1</v>
      </c>
      <c r="H819" t="s">
        <v>95</v>
      </c>
      <c r="I819" t="s">
        <v>91</v>
      </c>
      <c r="J819" t="s">
        <v>85</v>
      </c>
      <c r="K819" t="s">
        <v>86</v>
      </c>
      <c r="L819" t="s">
        <v>71</v>
      </c>
      <c r="M819" t="s">
        <v>87</v>
      </c>
      <c r="O819" t="s">
        <v>88</v>
      </c>
      <c r="P819" t="s">
        <v>27</v>
      </c>
      <c r="Q819" t="s">
        <v>73</v>
      </c>
      <c r="R819" t="s">
        <v>76</v>
      </c>
      <c r="S819" t="s">
        <v>74</v>
      </c>
      <c r="T819" t="s">
        <v>75</v>
      </c>
      <c r="X819" t="s">
        <v>77</v>
      </c>
      <c r="Z819" t="s">
        <v>72</v>
      </c>
      <c r="AA819" t="s">
        <v>94</v>
      </c>
      <c r="AB819">
        <v>5</v>
      </c>
      <c r="AC819">
        <v>748760.55</v>
      </c>
      <c r="AD819">
        <v>8930478.9900000002</v>
      </c>
      <c r="AE819">
        <v>189.91</v>
      </c>
      <c r="AF819">
        <v>748760.55</v>
      </c>
      <c r="AG819">
        <v>8930478.9900000002</v>
      </c>
      <c r="AH819">
        <v>179.4</v>
      </c>
      <c r="AI819">
        <v>10.51</v>
      </c>
      <c r="AJ819">
        <v>0.6</v>
      </c>
      <c r="AK819">
        <v>3.37</v>
      </c>
      <c r="AL819">
        <v>2.93</v>
      </c>
      <c r="AM819">
        <v>0</v>
      </c>
      <c r="AN819">
        <v>0</v>
      </c>
      <c r="AO819">
        <v>358</v>
      </c>
      <c r="AP819">
        <v>3.38</v>
      </c>
      <c r="AQ819">
        <v>0.66</v>
      </c>
      <c r="AR819">
        <v>0.09</v>
      </c>
      <c r="AS819">
        <v>0.08</v>
      </c>
      <c r="AT819">
        <v>19.829999999999998</v>
      </c>
      <c r="AU819">
        <v>6.04</v>
      </c>
      <c r="AV819">
        <v>0.36</v>
      </c>
      <c r="AW819">
        <v>1.83</v>
      </c>
      <c r="AX819">
        <v>6.77</v>
      </c>
      <c r="AY819">
        <v>3.3</v>
      </c>
      <c r="AZ819">
        <v>104.97799999999999</v>
      </c>
      <c r="BA819">
        <v>0</v>
      </c>
      <c r="BB819">
        <v>0</v>
      </c>
      <c r="BC819">
        <v>0</v>
      </c>
      <c r="BD819">
        <v>0</v>
      </c>
    </row>
    <row r="820" spans="1:56" x14ac:dyDescent="0.25">
      <c r="A820" s="23">
        <v>46304</v>
      </c>
      <c r="B820">
        <v>819</v>
      </c>
      <c r="C820" t="s">
        <v>82</v>
      </c>
      <c r="D820" t="s">
        <v>83</v>
      </c>
      <c r="E820">
        <v>2</v>
      </c>
      <c r="F820">
        <v>180</v>
      </c>
      <c r="G820">
        <v>1</v>
      </c>
      <c r="H820" t="s">
        <v>95</v>
      </c>
      <c r="I820" t="s">
        <v>91</v>
      </c>
      <c r="J820" t="s">
        <v>85</v>
      </c>
      <c r="K820" t="s">
        <v>86</v>
      </c>
      <c r="L820" t="s">
        <v>71</v>
      </c>
      <c r="M820" t="s">
        <v>87</v>
      </c>
      <c r="O820" t="s">
        <v>88</v>
      </c>
      <c r="P820" t="s">
        <v>27</v>
      </c>
      <c r="Q820" t="s">
        <v>73</v>
      </c>
      <c r="R820" t="s">
        <v>76</v>
      </c>
      <c r="S820" t="s">
        <v>74</v>
      </c>
      <c r="T820" t="s">
        <v>75</v>
      </c>
      <c r="X820" t="s">
        <v>77</v>
      </c>
      <c r="Z820" t="s">
        <v>72</v>
      </c>
      <c r="AA820" t="s">
        <v>94</v>
      </c>
      <c r="AB820">
        <v>5</v>
      </c>
      <c r="AC820">
        <v>748757.87</v>
      </c>
      <c r="AD820">
        <v>8930476.9399999995</v>
      </c>
      <c r="AE820">
        <v>189.88</v>
      </c>
      <c r="AF820">
        <v>748757.87</v>
      </c>
      <c r="AG820">
        <v>8930476.9399999995</v>
      </c>
      <c r="AH820">
        <v>179.4</v>
      </c>
      <c r="AI820">
        <v>10.48</v>
      </c>
      <c r="AJ820">
        <v>0.6</v>
      </c>
      <c r="AK820">
        <v>3.37</v>
      </c>
      <c r="AL820">
        <v>2.93</v>
      </c>
      <c r="AM820">
        <v>0</v>
      </c>
      <c r="AN820">
        <v>0</v>
      </c>
      <c r="AO820">
        <v>358</v>
      </c>
      <c r="AP820">
        <v>3.42</v>
      </c>
      <c r="AQ820">
        <v>0.69</v>
      </c>
      <c r="AR820">
        <v>0.09</v>
      </c>
      <c r="AS820">
        <v>0.09</v>
      </c>
      <c r="AT820">
        <v>20.5</v>
      </c>
      <c r="AU820">
        <v>5.65</v>
      </c>
      <c r="AV820">
        <v>0.36</v>
      </c>
      <c r="AW820">
        <v>1.89</v>
      </c>
      <c r="AX820">
        <v>7.76</v>
      </c>
      <c r="AY820">
        <v>3.3</v>
      </c>
      <c r="AZ820">
        <v>104.541</v>
      </c>
      <c r="BA820">
        <v>0</v>
      </c>
      <c r="BB820">
        <v>0</v>
      </c>
      <c r="BC820">
        <v>0</v>
      </c>
      <c r="BD820">
        <v>0</v>
      </c>
    </row>
    <row r="821" spans="1:56" x14ac:dyDescent="0.25">
      <c r="A821" s="23">
        <v>46304</v>
      </c>
      <c r="B821">
        <v>820</v>
      </c>
      <c r="C821" t="s">
        <v>82</v>
      </c>
      <c r="D821" t="s">
        <v>83</v>
      </c>
      <c r="E821">
        <v>2</v>
      </c>
      <c r="F821">
        <v>180</v>
      </c>
      <c r="G821">
        <v>1</v>
      </c>
      <c r="H821" t="s">
        <v>95</v>
      </c>
      <c r="I821" t="s">
        <v>91</v>
      </c>
      <c r="J821" t="s">
        <v>85</v>
      </c>
      <c r="K821" t="s">
        <v>86</v>
      </c>
      <c r="L821" t="s">
        <v>71</v>
      </c>
      <c r="M821" t="s">
        <v>87</v>
      </c>
      <c r="O821" t="s">
        <v>88</v>
      </c>
      <c r="P821" t="s">
        <v>27</v>
      </c>
      <c r="Q821" t="s">
        <v>73</v>
      </c>
      <c r="R821" t="s">
        <v>76</v>
      </c>
      <c r="S821" t="s">
        <v>74</v>
      </c>
      <c r="T821" t="s">
        <v>75</v>
      </c>
      <c r="X821" t="s">
        <v>77</v>
      </c>
      <c r="Z821" t="s">
        <v>72</v>
      </c>
      <c r="AA821" t="s">
        <v>94</v>
      </c>
      <c r="AB821">
        <v>5</v>
      </c>
      <c r="AC821">
        <v>748755.19</v>
      </c>
      <c r="AD821">
        <v>8930474.9000000004</v>
      </c>
      <c r="AE821">
        <v>189.87</v>
      </c>
      <c r="AF821">
        <v>748755.19</v>
      </c>
      <c r="AG821">
        <v>8930474.9000000004</v>
      </c>
      <c r="AH821">
        <v>179.4</v>
      </c>
      <c r="AI821">
        <v>10.47</v>
      </c>
      <c r="AJ821">
        <v>0.6</v>
      </c>
      <c r="AK821">
        <v>3.37</v>
      </c>
      <c r="AL821">
        <v>2.93</v>
      </c>
      <c r="AM821">
        <v>0</v>
      </c>
      <c r="AN821">
        <v>0</v>
      </c>
      <c r="AO821">
        <v>358</v>
      </c>
      <c r="AP821">
        <v>3.42</v>
      </c>
      <c r="AQ821">
        <v>0.69</v>
      </c>
      <c r="AR821">
        <v>0.09</v>
      </c>
      <c r="AS821">
        <v>0.09</v>
      </c>
      <c r="AT821">
        <v>20.5</v>
      </c>
      <c r="AU821">
        <v>5.65</v>
      </c>
      <c r="AV821">
        <v>0.36</v>
      </c>
      <c r="AW821">
        <v>1.89</v>
      </c>
      <c r="AX821">
        <v>7.76</v>
      </c>
      <c r="AY821">
        <v>3.3</v>
      </c>
      <c r="AZ821">
        <v>104.395</v>
      </c>
      <c r="BA821">
        <v>0</v>
      </c>
      <c r="BB821">
        <v>0</v>
      </c>
      <c r="BC821">
        <v>0</v>
      </c>
      <c r="BD821">
        <v>0</v>
      </c>
    </row>
    <row r="822" spans="1:56" x14ac:dyDescent="0.25">
      <c r="A822" s="23">
        <v>46304</v>
      </c>
      <c r="B822">
        <v>821</v>
      </c>
      <c r="C822" t="s">
        <v>82</v>
      </c>
      <c r="D822" t="s">
        <v>83</v>
      </c>
      <c r="E822">
        <v>2</v>
      </c>
      <c r="F822">
        <v>180</v>
      </c>
      <c r="G822">
        <v>1</v>
      </c>
      <c r="H822" t="s">
        <v>95</v>
      </c>
      <c r="I822" t="s">
        <v>91</v>
      </c>
      <c r="J822" t="s">
        <v>85</v>
      </c>
      <c r="K822" t="s">
        <v>86</v>
      </c>
      <c r="L822" t="s">
        <v>71</v>
      </c>
      <c r="M822" t="s">
        <v>87</v>
      </c>
      <c r="O822" t="s">
        <v>88</v>
      </c>
      <c r="P822" t="s">
        <v>27</v>
      </c>
      <c r="Q822" t="s">
        <v>73</v>
      </c>
      <c r="R822" t="s">
        <v>76</v>
      </c>
      <c r="S822" t="s">
        <v>74</v>
      </c>
      <c r="T822" t="s">
        <v>75</v>
      </c>
      <c r="X822" t="s">
        <v>77</v>
      </c>
      <c r="Z822" t="s">
        <v>72</v>
      </c>
      <c r="AA822" t="s">
        <v>94</v>
      </c>
      <c r="AB822">
        <v>5</v>
      </c>
      <c r="AC822">
        <v>748752.51</v>
      </c>
      <c r="AD822">
        <v>8930472.8499999996</v>
      </c>
      <c r="AE822">
        <v>189.71</v>
      </c>
      <c r="AF822">
        <v>748752.51</v>
      </c>
      <c r="AG822">
        <v>8930472.8499999996</v>
      </c>
      <c r="AH822">
        <v>179.4</v>
      </c>
      <c r="AI822">
        <v>10.31</v>
      </c>
      <c r="AJ822">
        <v>0.6</v>
      </c>
      <c r="AK822">
        <v>3.37</v>
      </c>
      <c r="AL822">
        <v>2.93</v>
      </c>
      <c r="AM822">
        <v>0</v>
      </c>
      <c r="AN822">
        <v>0</v>
      </c>
      <c r="AO822">
        <v>358</v>
      </c>
      <c r="AP822">
        <v>3.42</v>
      </c>
      <c r="AQ822">
        <v>0.69</v>
      </c>
      <c r="AR822">
        <v>0.09</v>
      </c>
      <c r="AS822">
        <v>0.09</v>
      </c>
      <c r="AT822">
        <v>20.5</v>
      </c>
      <c r="AU822">
        <v>5.65</v>
      </c>
      <c r="AV822">
        <v>0.36</v>
      </c>
      <c r="AW822">
        <v>1.89</v>
      </c>
      <c r="AX822">
        <v>7.76</v>
      </c>
      <c r="AY822">
        <v>3.3</v>
      </c>
      <c r="AZ822">
        <v>102.066</v>
      </c>
      <c r="BA822">
        <v>0</v>
      </c>
      <c r="BB822">
        <v>0</v>
      </c>
      <c r="BC822">
        <v>0</v>
      </c>
      <c r="BD822">
        <v>0</v>
      </c>
    </row>
    <row r="823" spans="1:56" x14ac:dyDescent="0.25">
      <c r="A823" s="23">
        <v>46304</v>
      </c>
      <c r="B823">
        <v>822</v>
      </c>
      <c r="C823" t="s">
        <v>82</v>
      </c>
      <c r="D823" t="s">
        <v>83</v>
      </c>
      <c r="E823">
        <v>2</v>
      </c>
      <c r="F823">
        <v>180</v>
      </c>
      <c r="G823">
        <v>1</v>
      </c>
      <c r="H823" t="s">
        <v>95</v>
      </c>
      <c r="I823" t="s">
        <v>91</v>
      </c>
      <c r="J823" t="s">
        <v>85</v>
      </c>
      <c r="K823" t="s">
        <v>86</v>
      </c>
      <c r="L823" t="s">
        <v>71</v>
      </c>
      <c r="M823" t="s">
        <v>87</v>
      </c>
      <c r="O823" t="s">
        <v>88</v>
      </c>
      <c r="P823" t="s">
        <v>27</v>
      </c>
      <c r="Q823" t="s">
        <v>73</v>
      </c>
      <c r="R823" t="s">
        <v>76</v>
      </c>
      <c r="S823" t="s">
        <v>74</v>
      </c>
      <c r="T823" t="s">
        <v>75</v>
      </c>
      <c r="X823" t="s">
        <v>77</v>
      </c>
      <c r="Z823" t="s">
        <v>72</v>
      </c>
      <c r="AA823" t="s">
        <v>94</v>
      </c>
      <c r="AB823">
        <v>5</v>
      </c>
      <c r="AC823">
        <v>748749.84</v>
      </c>
      <c r="AD823">
        <v>8930470.8100000005</v>
      </c>
      <c r="AE823">
        <v>189.62</v>
      </c>
      <c r="AF823">
        <v>748749.84</v>
      </c>
      <c r="AG823">
        <v>8930470.8100000005</v>
      </c>
      <c r="AH823">
        <v>179.4</v>
      </c>
      <c r="AI823">
        <v>10.220000000000001</v>
      </c>
      <c r="AJ823">
        <v>0.6</v>
      </c>
      <c r="AK823">
        <v>3.37</v>
      </c>
      <c r="AL823">
        <v>2.93</v>
      </c>
      <c r="AM823">
        <v>0</v>
      </c>
      <c r="AN823">
        <v>0</v>
      </c>
      <c r="AO823">
        <v>358</v>
      </c>
      <c r="AP823">
        <v>3.43</v>
      </c>
      <c r="AQ823">
        <v>0.69</v>
      </c>
      <c r="AR823">
        <v>0.09</v>
      </c>
      <c r="AS823">
        <v>0.09</v>
      </c>
      <c r="AT823">
        <v>20.16</v>
      </c>
      <c r="AU823">
        <v>5.56</v>
      </c>
      <c r="AV823">
        <v>0.36</v>
      </c>
      <c r="AW823">
        <v>1.9</v>
      </c>
      <c r="AX823">
        <v>7.54</v>
      </c>
      <c r="AY823">
        <v>3.3</v>
      </c>
      <c r="AZ823">
        <v>100.755</v>
      </c>
      <c r="BA823">
        <v>0</v>
      </c>
      <c r="BB823">
        <v>0</v>
      </c>
      <c r="BC823">
        <v>0</v>
      </c>
      <c r="BD823">
        <v>0</v>
      </c>
    </row>
    <row r="824" spans="1:56" x14ac:dyDescent="0.25">
      <c r="A824" s="23">
        <v>46304</v>
      </c>
      <c r="B824">
        <v>823</v>
      </c>
      <c r="C824" t="s">
        <v>82</v>
      </c>
      <c r="D824" t="s">
        <v>83</v>
      </c>
      <c r="E824">
        <v>2</v>
      </c>
      <c r="F824">
        <v>180</v>
      </c>
      <c r="G824">
        <v>1</v>
      </c>
      <c r="H824" t="s">
        <v>84</v>
      </c>
      <c r="I824" t="s">
        <v>91</v>
      </c>
      <c r="J824" t="s">
        <v>85</v>
      </c>
      <c r="K824" t="s">
        <v>86</v>
      </c>
      <c r="L824" t="s">
        <v>71</v>
      </c>
      <c r="M824" t="s">
        <v>87</v>
      </c>
      <c r="O824" t="s">
        <v>88</v>
      </c>
      <c r="P824" t="s">
        <v>27</v>
      </c>
      <c r="Q824" t="s">
        <v>73</v>
      </c>
      <c r="R824" t="s">
        <v>76</v>
      </c>
      <c r="S824" t="s">
        <v>74</v>
      </c>
      <c r="T824" t="s">
        <v>75</v>
      </c>
      <c r="X824" t="s">
        <v>77</v>
      </c>
      <c r="Z824" t="s">
        <v>72</v>
      </c>
      <c r="AA824" t="s">
        <v>94</v>
      </c>
      <c r="AB824">
        <v>5</v>
      </c>
      <c r="AC824">
        <v>748747.16</v>
      </c>
      <c r="AD824">
        <v>8930468.7599999998</v>
      </c>
      <c r="AE824">
        <v>189.77</v>
      </c>
      <c r="AF824">
        <v>748747.16</v>
      </c>
      <c r="AG824">
        <v>8930468.7599999998</v>
      </c>
      <c r="AH824">
        <v>179.4</v>
      </c>
      <c r="AI824">
        <v>10.37</v>
      </c>
      <c r="AJ824">
        <v>0.6</v>
      </c>
      <c r="AK824">
        <v>3.37</v>
      </c>
      <c r="AL824">
        <v>2.93</v>
      </c>
      <c r="AM824">
        <v>0</v>
      </c>
      <c r="AN824">
        <v>0</v>
      </c>
      <c r="AO824">
        <v>358</v>
      </c>
      <c r="AP824">
        <v>3.45</v>
      </c>
      <c r="AQ824">
        <v>0.68</v>
      </c>
      <c r="AR824">
        <v>0.09</v>
      </c>
      <c r="AS824">
        <v>0.08</v>
      </c>
      <c r="AT824">
        <v>19</v>
      </c>
      <c r="AU824">
        <v>5.48</v>
      </c>
      <c r="AV824">
        <v>0.36</v>
      </c>
      <c r="AW824">
        <v>1.88</v>
      </c>
      <c r="AX824">
        <v>7.37</v>
      </c>
      <c r="AY824">
        <v>3.3</v>
      </c>
      <c r="AZ824">
        <v>102.93899999999999</v>
      </c>
      <c r="BA824">
        <v>0</v>
      </c>
      <c r="BB824">
        <v>0</v>
      </c>
      <c r="BC824">
        <v>0</v>
      </c>
      <c r="BD824">
        <v>0</v>
      </c>
    </row>
    <row r="825" spans="1:56" x14ac:dyDescent="0.25">
      <c r="A825" s="23">
        <v>46304</v>
      </c>
      <c r="B825">
        <v>824</v>
      </c>
      <c r="C825" t="s">
        <v>82</v>
      </c>
      <c r="D825" t="s">
        <v>83</v>
      </c>
      <c r="E825">
        <v>2</v>
      </c>
      <c r="F825">
        <v>180</v>
      </c>
      <c r="G825">
        <v>1</v>
      </c>
      <c r="H825" t="s">
        <v>84</v>
      </c>
      <c r="I825" t="s">
        <v>91</v>
      </c>
      <c r="J825" t="s">
        <v>85</v>
      </c>
      <c r="K825" t="s">
        <v>86</v>
      </c>
      <c r="L825" t="s">
        <v>71</v>
      </c>
      <c r="M825" t="s">
        <v>87</v>
      </c>
      <c r="O825" t="s">
        <v>88</v>
      </c>
      <c r="P825" t="s">
        <v>27</v>
      </c>
      <c r="Q825" t="s">
        <v>73</v>
      </c>
      <c r="R825" t="s">
        <v>76</v>
      </c>
      <c r="S825" t="s">
        <v>74</v>
      </c>
      <c r="T825" t="s">
        <v>75</v>
      </c>
      <c r="X825" t="s">
        <v>77</v>
      </c>
      <c r="Z825" t="s">
        <v>72</v>
      </c>
      <c r="AA825" t="s">
        <v>94</v>
      </c>
      <c r="AB825">
        <v>5</v>
      </c>
      <c r="AC825">
        <v>748744.48</v>
      </c>
      <c r="AD825">
        <v>8930466.7200000007</v>
      </c>
      <c r="AE825">
        <v>189.95</v>
      </c>
      <c r="AF825">
        <v>748744.48</v>
      </c>
      <c r="AG825">
        <v>8930466.7200000007</v>
      </c>
      <c r="AH825">
        <v>179.4</v>
      </c>
      <c r="AI825">
        <v>10.55</v>
      </c>
      <c r="AJ825">
        <v>0.6</v>
      </c>
      <c r="AK825">
        <v>3.37</v>
      </c>
      <c r="AL825">
        <v>2.93</v>
      </c>
      <c r="AM825">
        <v>0</v>
      </c>
      <c r="AN825">
        <v>0</v>
      </c>
      <c r="AO825">
        <v>358</v>
      </c>
      <c r="AP825">
        <v>3.46</v>
      </c>
      <c r="AQ825">
        <v>0.67</v>
      </c>
      <c r="AR825">
        <v>0.09</v>
      </c>
      <c r="AS825">
        <v>0.08</v>
      </c>
      <c r="AT825">
        <v>18.7</v>
      </c>
      <c r="AU825">
        <v>5.46</v>
      </c>
      <c r="AV825">
        <v>0.36</v>
      </c>
      <c r="AW825">
        <v>1.87</v>
      </c>
      <c r="AX825">
        <v>7.36</v>
      </c>
      <c r="AY825">
        <v>3.3</v>
      </c>
      <c r="AZ825">
        <v>105.56</v>
      </c>
      <c r="BA825">
        <v>0</v>
      </c>
      <c r="BB825">
        <v>0</v>
      </c>
      <c r="BC825">
        <v>0</v>
      </c>
      <c r="BD825">
        <v>0</v>
      </c>
    </row>
    <row r="826" spans="1:56" x14ac:dyDescent="0.25">
      <c r="A826" s="23">
        <v>46304</v>
      </c>
      <c r="B826">
        <v>825</v>
      </c>
      <c r="C826" t="s">
        <v>82</v>
      </c>
      <c r="D826" t="s">
        <v>83</v>
      </c>
      <c r="E826">
        <v>2</v>
      </c>
      <c r="F826">
        <v>180</v>
      </c>
      <c r="G826">
        <v>1</v>
      </c>
      <c r="H826" t="s">
        <v>84</v>
      </c>
      <c r="I826" t="s">
        <v>91</v>
      </c>
      <c r="J826" t="s">
        <v>85</v>
      </c>
      <c r="K826" t="s">
        <v>86</v>
      </c>
      <c r="L826" t="s">
        <v>71</v>
      </c>
      <c r="M826" t="s">
        <v>87</v>
      </c>
      <c r="O826" t="s">
        <v>88</v>
      </c>
      <c r="P826" t="s">
        <v>27</v>
      </c>
      <c r="Q826" t="s">
        <v>73</v>
      </c>
      <c r="R826" t="s">
        <v>76</v>
      </c>
      <c r="S826" t="s">
        <v>74</v>
      </c>
      <c r="T826" t="s">
        <v>75</v>
      </c>
      <c r="X826" t="s">
        <v>77</v>
      </c>
      <c r="Z826" t="s">
        <v>72</v>
      </c>
      <c r="AA826" t="s">
        <v>94</v>
      </c>
      <c r="AB826">
        <v>5</v>
      </c>
      <c r="AC826">
        <v>748741.89</v>
      </c>
      <c r="AD826">
        <v>8930464.5800000001</v>
      </c>
      <c r="AE826">
        <v>189.96</v>
      </c>
      <c r="AF826">
        <v>748741.89</v>
      </c>
      <c r="AG826">
        <v>8930464.5800000001</v>
      </c>
      <c r="AH826">
        <v>179.4</v>
      </c>
      <c r="AI826">
        <v>10.56</v>
      </c>
      <c r="AJ826">
        <v>0.6</v>
      </c>
      <c r="AK826">
        <v>3.37</v>
      </c>
      <c r="AL826">
        <v>2.93</v>
      </c>
      <c r="AM826">
        <v>0</v>
      </c>
      <c r="AN826">
        <v>0</v>
      </c>
      <c r="AO826">
        <v>358</v>
      </c>
      <c r="AP826">
        <v>3.42</v>
      </c>
      <c r="AQ826">
        <v>0.65</v>
      </c>
      <c r="AR826">
        <v>0.09</v>
      </c>
      <c r="AS826">
        <v>0.08</v>
      </c>
      <c r="AT826">
        <v>18.09</v>
      </c>
      <c r="AU826">
        <v>5.29</v>
      </c>
      <c r="AV826">
        <v>0.35</v>
      </c>
      <c r="AW826">
        <v>1.81</v>
      </c>
      <c r="AX826">
        <v>7.12</v>
      </c>
      <c r="AY826">
        <v>3.3</v>
      </c>
      <c r="AZ826">
        <v>105.706</v>
      </c>
      <c r="BA826">
        <v>0</v>
      </c>
      <c r="BB826">
        <v>0</v>
      </c>
      <c r="BC826">
        <v>0</v>
      </c>
      <c r="BD826">
        <v>0</v>
      </c>
    </row>
    <row r="827" spans="1:56" x14ac:dyDescent="0.25">
      <c r="A827" s="23">
        <v>46304</v>
      </c>
      <c r="B827">
        <v>826</v>
      </c>
      <c r="C827" t="s">
        <v>82</v>
      </c>
      <c r="D827" t="s">
        <v>83</v>
      </c>
      <c r="E827">
        <v>0</v>
      </c>
      <c r="F827">
        <v>180</v>
      </c>
      <c r="G827">
        <v>0</v>
      </c>
      <c r="H827" t="s">
        <v>84</v>
      </c>
      <c r="J827" t="s">
        <v>85</v>
      </c>
      <c r="K827" t="s">
        <v>86</v>
      </c>
      <c r="L827" t="s">
        <v>71</v>
      </c>
      <c r="M827" t="s">
        <v>87</v>
      </c>
      <c r="O827" t="s">
        <v>88</v>
      </c>
      <c r="P827" t="s">
        <v>27</v>
      </c>
      <c r="Q827" t="s">
        <v>73</v>
      </c>
      <c r="R827" t="s">
        <v>76</v>
      </c>
      <c r="S827" t="s">
        <v>74</v>
      </c>
      <c r="T827" t="s">
        <v>75</v>
      </c>
      <c r="X827" t="s">
        <v>77</v>
      </c>
      <c r="Z827" t="s">
        <v>72</v>
      </c>
      <c r="AA827" t="s">
        <v>94</v>
      </c>
      <c r="AB827">
        <v>5</v>
      </c>
      <c r="AC827">
        <v>748740.22</v>
      </c>
      <c r="AD827">
        <v>8930461.9600000009</v>
      </c>
      <c r="AE827">
        <v>189.73</v>
      </c>
      <c r="AF827">
        <v>748740.22</v>
      </c>
      <c r="AG827">
        <v>8930461.9600000009</v>
      </c>
      <c r="AH827">
        <v>179.4</v>
      </c>
      <c r="AI827">
        <v>10.33</v>
      </c>
      <c r="AJ827">
        <v>0.6</v>
      </c>
      <c r="AK827">
        <v>3.37</v>
      </c>
      <c r="AL827">
        <v>2.93</v>
      </c>
      <c r="AM827">
        <v>0</v>
      </c>
      <c r="AN827">
        <v>0</v>
      </c>
      <c r="AO827">
        <v>358</v>
      </c>
      <c r="AP827">
        <v>3.32</v>
      </c>
      <c r="AQ827">
        <v>0.6</v>
      </c>
      <c r="AR827">
        <v>0.08</v>
      </c>
      <c r="AS827">
        <v>7.0000000000000007E-2</v>
      </c>
      <c r="AT827">
        <v>16.3</v>
      </c>
      <c r="AU827">
        <v>5</v>
      </c>
      <c r="AV827">
        <v>0.31</v>
      </c>
      <c r="AW827">
        <v>1.67</v>
      </c>
      <c r="AX827">
        <v>6.44</v>
      </c>
      <c r="AY827">
        <v>3.3</v>
      </c>
      <c r="AZ827">
        <v>102.357</v>
      </c>
      <c r="BA827">
        <v>0</v>
      </c>
      <c r="BB827">
        <v>0</v>
      </c>
      <c r="BC827">
        <v>0</v>
      </c>
      <c r="BD827">
        <v>0</v>
      </c>
    </row>
    <row r="828" spans="1:56" x14ac:dyDescent="0.25">
      <c r="A828" s="23">
        <v>46304</v>
      </c>
      <c r="B828">
        <v>827</v>
      </c>
      <c r="C828" t="s">
        <v>82</v>
      </c>
      <c r="D828" t="s">
        <v>83</v>
      </c>
      <c r="E828">
        <v>2</v>
      </c>
      <c r="F828">
        <v>180</v>
      </c>
      <c r="G828">
        <v>0</v>
      </c>
      <c r="H828" t="s">
        <v>84</v>
      </c>
      <c r="J828" t="s">
        <v>85</v>
      </c>
      <c r="K828" t="s">
        <v>86</v>
      </c>
      <c r="L828" t="s">
        <v>71</v>
      </c>
      <c r="M828" t="s">
        <v>87</v>
      </c>
      <c r="O828" t="s">
        <v>88</v>
      </c>
      <c r="P828" t="s">
        <v>27</v>
      </c>
      <c r="Q828" t="s">
        <v>73</v>
      </c>
      <c r="R828" t="s">
        <v>76</v>
      </c>
      <c r="S828" t="s">
        <v>74</v>
      </c>
      <c r="T828" t="s">
        <v>75</v>
      </c>
      <c r="X828" t="s">
        <v>77</v>
      </c>
      <c r="Z828" t="s">
        <v>72</v>
      </c>
      <c r="AA828" t="s">
        <v>94</v>
      </c>
      <c r="AB828">
        <v>5</v>
      </c>
      <c r="AC828">
        <v>748742.69</v>
      </c>
      <c r="AD828">
        <v>8930460.0399999991</v>
      </c>
      <c r="AE828">
        <v>189.95</v>
      </c>
      <c r="AF828">
        <v>748742.69</v>
      </c>
      <c r="AG828">
        <v>8930460.0399999991</v>
      </c>
      <c r="AH828">
        <v>179.4</v>
      </c>
      <c r="AI828">
        <v>10.55</v>
      </c>
      <c r="AJ828">
        <v>0.6</v>
      </c>
      <c r="AK828">
        <v>3.37</v>
      </c>
      <c r="AL828">
        <v>2.93</v>
      </c>
      <c r="AM828">
        <v>0</v>
      </c>
      <c r="AN828">
        <v>0</v>
      </c>
      <c r="AO828">
        <v>358</v>
      </c>
      <c r="AP828">
        <v>3.36</v>
      </c>
      <c r="AQ828">
        <v>0.59</v>
      </c>
      <c r="AR828">
        <v>0.08</v>
      </c>
      <c r="AS828">
        <v>7.0000000000000007E-2</v>
      </c>
      <c r="AT828">
        <v>17.260000000000002</v>
      </c>
      <c r="AU828">
        <v>5.0999999999999996</v>
      </c>
      <c r="AV828">
        <v>0.32</v>
      </c>
      <c r="AW828">
        <v>1.64</v>
      </c>
      <c r="AX828">
        <v>6.62</v>
      </c>
      <c r="AY828">
        <v>3.3</v>
      </c>
      <c r="AZ828">
        <v>105.56</v>
      </c>
      <c r="BA828">
        <v>0</v>
      </c>
      <c r="BB828">
        <v>0</v>
      </c>
      <c r="BC828">
        <v>0</v>
      </c>
      <c r="BD828">
        <v>0</v>
      </c>
    </row>
    <row r="829" spans="1:56" x14ac:dyDescent="0.25">
      <c r="A829" s="23">
        <v>46304</v>
      </c>
      <c r="B829">
        <v>828</v>
      </c>
      <c r="C829" t="s">
        <v>82</v>
      </c>
      <c r="D829" t="s">
        <v>83</v>
      </c>
      <c r="E829">
        <v>2</v>
      </c>
      <c r="F829">
        <v>180</v>
      </c>
      <c r="G829">
        <v>1</v>
      </c>
      <c r="H829" t="s">
        <v>84</v>
      </c>
      <c r="I829" t="s">
        <v>91</v>
      </c>
      <c r="J829" t="s">
        <v>85</v>
      </c>
      <c r="K829" t="s">
        <v>86</v>
      </c>
      <c r="L829" t="s">
        <v>71</v>
      </c>
      <c r="M829" t="s">
        <v>87</v>
      </c>
      <c r="O829" t="s">
        <v>88</v>
      </c>
      <c r="P829" t="s">
        <v>27</v>
      </c>
      <c r="Q829" t="s">
        <v>73</v>
      </c>
      <c r="R829" t="s">
        <v>76</v>
      </c>
      <c r="S829" t="s">
        <v>74</v>
      </c>
      <c r="T829" t="s">
        <v>75</v>
      </c>
      <c r="X829" t="s">
        <v>77</v>
      </c>
      <c r="Z829" t="s">
        <v>72</v>
      </c>
      <c r="AA829" t="s">
        <v>94</v>
      </c>
      <c r="AB829">
        <v>5</v>
      </c>
      <c r="AC829">
        <v>748744.24</v>
      </c>
      <c r="AD829">
        <v>8930462.8499999996</v>
      </c>
      <c r="AE829">
        <v>189.96</v>
      </c>
      <c r="AF829">
        <v>748744.24</v>
      </c>
      <c r="AG829">
        <v>8930462.8499999996</v>
      </c>
      <c r="AH829">
        <v>179.4</v>
      </c>
      <c r="AI829">
        <v>10.56</v>
      </c>
      <c r="AJ829">
        <v>0.6</v>
      </c>
      <c r="AK829">
        <v>3.37</v>
      </c>
      <c r="AL829">
        <v>2.93</v>
      </c>
      <c r="AM829">
        <v>0</v>
      </c>
      <c r="AN829">
        <v>0</v>
      </c>
      <c r="AO829">
        <v>358</v>
      </c>
      <c r="AP829">
        <v>3.45</v>
      </c>
      <c r="AQ829">
        <v>0.67</v>
      </c>
      <c r="AR829">
        <v>0.09</v>
      </c>
      <c r="AS829">
        <v>0.08</v>
      </c>
      <c r="AT829">
        <v>18.54</v>
      </c>
      <c r="AU829">
        <v>5.41</v>
      </c>
      <c r="AV829">
        <v>0.36</v>
      </c>
      <c r="AW829">
        <v>1.85</v>
      </c>
      <c r="AX829">
        <v>7.3</v>
      </c>
      <c r="AY829">
        <v>3.3</v>
      </c>
      <c r="AZ829">
        <v>105.706</v>
      </c>
      <c r="BA829">
        <v>0</v>
      </c>
      <c r="BB829">
        <v>0</v>
      </c>
      <c r="BC829">
        <v>0</v>
      </c>
      <c r="BD829">
        <v>0</v>
      </c>
    </row>
    <row r="830" spans="1:56" x14ac:dyDescent="0.25">
      <c r="A830" s="23">
        <v>46304</v>
      </c>
      <c r="B830">
        <v>829</v>
      </c>
      <c r="C830" t="s">
        <v>82</v>
      </c>
      <c r="D830" t="s">
        <v>83</v>
      </c>
      <c r="E830">
        <v>2</v>
      </c>
      <c r="F830">
        <v>180</v>
      </c>
      <c r="G830">
        <v>1</v>
      </c>
      <c r="H830" t="s">
        <v>84</v>
      </c>
      <c r="I830" t="s">
        <v>91</v>
      </c>
      <c r="J830" t="s">
        <v>85</v>
      </c>
      <c r="K830" t="s">
        <v>86</v>
      </c>
      <c r="L830" t="s">
        <v>71</v>
      </c>
      <c r="M830" t="s">
        <v>87</v>
      </c>
      <c r="O830" t="s">
        <v>88</v>
      </c>
      <c r="P830" t="s">
        <v>27</v>
      </c>
      <c r="Q830" t="s">
        <v>73</v>
      </c>
      <c r="R830" t="s">
        <v>76</v>
      </c>
      <c r="S830" t="s">
        <v>74</v>
      </c>
      <c r="T830" t="s">
        <v>75</v>
      </c>
      <c r="X830" t="s">
        <v>77</v>
      </c>
      <c r="Z830" t="s">
        <v>72</v>
      </c>
      <c r="AA830" t="s">
        <v>94</v>
      </c>
      <c r="AB830">
        <v>5</v>
      </c>
      <c r="AC830">
        <v>748746.91</v>
      </c>
      <c r="AD830">
        <v>8930464.8900000006</v>
      </c>
      <c r="AE830">
        <v>190.04</v>
      </c>
      <c r="AF830">
        <v>748746.91</v>
      </c>
      <c r="AG830">
        <v>8930464.8900000006</v>
      </c>
      <c r="AH830">
        <v>179.4</v>
      </c>
      <c r="AI830">
        <v>10.64</v>
      </c>
      <c r="AJ830">
        <v>0.6</v>
      </c>
      <c r="AK830">
        <v>3.37</v>
      </c>
      <c r="AL830">
        <v>2.93</v>
      </c>
      <c r="AM830">
        <v>0</v>
      </c>
      <c r="AN830">
        <v>0</v>
      </c>
      <c r="AO830">
        <v>358</v>
      </c>
      <c r="AP830">
        <v>3.46</v>
      </c>
      <c r="AQ830">
        <v>0.67</v>
      </c>
      <c r="AR830">
        <v>0.09</v>
      </c>
      <c r="AS830">
        <v>0.08</v>
      </c>
      <c r="AT830">
        <v>18.7</v>
      </c>
      <c r="AU830">
        <v>5.46</v>
      </c>
      <c r="AV830">
        <v>0.36</v>
      </c>
      <c r="AW830">
        <v>1.87</v>
      </c>
      <c r="AX830">
        <v>7.37</v>
      </c>
      <c r="AY830">
        <v>3.3</v>
      </c>
      <c r="AZ830">
        <v>106.87</v>
      </c>
      <c r="BA830">
        <v>0</v>
      </c>
      <c r="BB830">
        <v>0</v>
      </c>
      <c r="BC830">
        <v>0</v>
      </c>
      <c r="BD830">
        <v>0</v>
      </c>
    </row>
    <row r="831" spans="1:56" x14ac:dyDescent="0.25">
      <c r="A831" s="23">
        <v>46304</v>
      </c>
      <c r="B831">
        <v>830</v>
      </c>
      <c r="C831" t="s">
        <v>82</v>
      </c>
      <c r="D831" t="s">
        <v>83</v>
      </c>
      <c r="E831">
        <v>2</v>
      </c>
      <c r="F831">
        <v>180</v>
      </c>
      <c r="G831">
        <v>1</v>
      </c>
      <c r="H831" t="s">
        <v>95</v>
      </c>
      <c r="I831" t="s">
        <v>91</v>
      </c>
      <c r="J831" t="s">
        <v>85</v>
      </c>
      <c r="K831" t="s">
        <v>86</v>
      </c>
      <c r="L831" t="s">
        <v>71</v>
      </c>
      <c r="M831" t="s">
        <v>87</v>
      </c>
      <c r="O831" t="s">
        <v>88</v>
      </c>
      <c r="P831" t="s">
        <v>27</v>
      </c>
      <c r="Q831" t="s">
        <v>73</v>
      </c>
      <c r="R831" t="s">
        <v>76</v>
      </c>
      <c r="S831" t="s">
        <v>74</v>
      </c>
      <c r="T831" t="s">
        <v>75</v>
      </c>
      <c r="X831" t="s">
        <v>77</v>
      </c>
      <c r="Z831" t="s">
        <v>72</v>
      </c>
      <c r="AA831" t="s">
        <v>94</v>
      </c>
      <c r="AB831">
        <v>5</v>
      </c>
      <c r="AC831">
        <v>748749.59</v>
      </c>
      <c r="AD831">
        <v>8930466.9399999995</v>
      </c>
      <c r="AE831">
        <v>189.99</v>
      </c>
      <c r="AF831">
        <v>748749.59</v>
      </c>
      <c r="AG831">
        <v>8930466.9399999995</v>
      </c>
      <c r="AH831">
        <v>179.4</v>
      </c>
      <c r="AI831">
        <v>10.59</v>
      </c>
      <c r="AJ831">
        <v>0.6</v>
      </c>
      <c r="AK831">
        <v>3.37</v>
      </c>
      <c r="AL831">
        <v>2.93</v>
      </c>
      <c r="AM831">
        <v>0</v>
      </c>
      <c r="AN831">
        <v>0</v>
      </c>
      <c r="AO831">
        <v>358</v>
      </c>
      <c r="AP831">
        <v>3.46</v>
      </c>
      <c r="AQ831">
        <v>0.66</v>
      </c>
      <c r="AR831">
        <v>0.09</v>
      </c>
      <c r="AS831">
        <v>0.08</v>
      </c>
      <c r="AT831">
        <v>18.829999999999998</v>
      </c>
      <c r="AU831">
        <v>5.38</v>
      </c>
      <c r="AV831">
        <v>0.36</v>
      </c>
      <c r="AW831">
        <v>1.85</v>
      </c>
      <c r="AX831">
        <v>7.45</v>
      </c>
      <c r="AY831">
        <v>3.3</v>
      </c>
      <c r="AZ831">
        <v>106.142</v>
      </c>
      <c r="BA831">
        <v>0</v>
      </c>
      <c r="BB831">
        <v>0</v>
      </c>
      <c r="BC831">
        <v>0</v>
      </c>
      <c r="BD831">
        <v>0</v>
      </c>
    </row>
    <row r="832" spans="1:56" x14ac:dyDescent="0.25">
      <c r="A832" s="23">
        <v>46304</v>
      </c>
      <c r="B832">
        <v>831</v>
      </c>
      <c r="C832" t="s">
        <v>82</v>
      </c>
      <c r="D832" t="s">
        <v>83</v>
      </c>
      <c r="E832">
        <v>2</v>
      </c>
      <c r="F832">
        <v>180</v>
      </c>
      <c r="G832">
        <v>1</v>
      </c>
      <c r="H832" t="s">
        <v>95</v>
      </c>
      <c r="I832" t="s">
        <v>91</v>
      </c>
      <c r="J832" t="s">
        <v>85</v>
      </c>
      <c r="K832" t="s">
        <v>86</v>
      </c>
      <c r="L832" t="s">
        <v>71</v>
      </c>
      <c r="M832" t="s">
        <v>87</v>
      </c>
      <c r="O832" t="s">
        <v>88</v>
      </c>
      <c r="P832" t="s">
        <v>27</v>
      </c>
      <c r="Q832" t="s">
        <v>73</v>
      </c>
      <c r="R832" t="s">
        <v>76</v>
      </c>
      <c r="S832" t="s">
        <v>74</v>
      </c>
      <c r="T832" t="s">
        <v>75</v>
      </c>
      <c r="X832" t="s">
        <v>77</v>
      </c>
      <c r="Z832" t="s">
        <v>72</v>
      </c>
      <c r="AA832" t="s">
        <v>94</v>
      </c>
      <c r="AB832">
        <v>5</v>
      </c>
      <c r="AC832">
        <v>748752.27</v>
      </c>
      <c r="AD832">
        <v>8930468.9800000004</v>
      </c>
      <c r="AE832">
        <v>189.85</v>
      </c>
      <c r="AF832">
        <v>748752.27</v>
      </c>
      <c r="AG832">
        <v>8930468.9800000004</v>
      </c>
      <c r="AH832">
        <v>179.4</v>
      </c>
      <c r="AI832">
        <v>10.45</v>
      </c>
      <c r="AJ832">
        <v>0.6</v>
      </c>
      <c r="AK832">
        <v>3.37</v>
      </c>
      <c r="AL832">
        <v>2.93</v>
      </c>
      <c r="AM832">
        <v>0</v>
      </c>
      <c r="AN832">
        <v>0</v>
      </c>
      <c r="AO832">
        <v>358</v>
      </c>
      <c r="AP832">
        <v>3.45</v>
      </c>
      <c r="AQ832">
        <v>0.66</v>
      </c>
      <c r="AR832">
        <v>0.09</v>
      </c>
      <c r="AS832">
        <v>0.08</v>
      </c>
      <c r="AT832">
        <v>19.34</v>
      </c>
      <c r="AU832">
        <v>5.32</v>
      </c>
      <c r="AV832">
        <v>0.36</v>
      </c>
      <c r="AW832">
        <v>1.83</v>
      </c>
      <c r="AX832">
        <v>7.62</v>
      </c>
      <c r="AY832">
        <v>3.3</v>
      </c>
      <c r="AZ832">
        <v>104.104</v>
      </c>
      <c r="BA832">
        <v>0</v>
      </c>
      <c r="BB832">
        <v>0</v>
      </c>
      <c r="BC832">
        <v>0</v>
      </c>
      <c r="BD832">
        <v>0</v>
      </c>
    </row>
    <row r="833" spans="1:56" x14ac:dyDescent="0.25">
      <c r="A833" s="23">
        <v>46304</v>
      </c>
      <c r="B833">
        <v>832</v>
      </c>
      <c r="C833" t="s">
        <v>82</v>
      </c>
      <c r="D833" t="s">
        <v>83</v>
      </c>
      <c r="E833">
        <v>2</v>
      </c>
      <c r="F833">
        <v>180</v>
      </c>
      <c r="G833">
        <v>1</v>
      </c>
      <c r="H833" t="s">
        <v>95</v>
      </c>
      <c r="I833" t="s">
        <v>91</v>
      </c>
      <c r="J833" t="s">
        <v>85</v>
      </c>
      <c r="K833" t="s">
        <v>86</v>
      </c>
      <c r="L833" t="s">
        <v>71</v>
      </c>
      <c r="M833" t="s">
        <v>87</v>
      </c>
      <c r="O833" t="s">
        <v>88</v>
      </c>
      <c r="P833" t="s">
        <v>27</v>
      </c>
      <c r="Q833" t="s">
        <v>73</v>
      </c>
      <c r="R833" t="s">
        <v>76</v>
      </c>
      <c r="S833" t="s">
        <v>74</v>
      </c>
      <c r="T833" t="s">
        <v>75</v>
      </c>
      <c r="X833" t="s">
        <v>77</v>
      </c>
      <c r="Z833" t="s">
        <v>72</v>
      </c>
      <c r="AA833" t="s">
        <v>94</v>
      </c>
      <c r="AB833">
        <v>5</v>
      </c>
      <c r="AC833">
        <v>748754.95</v>
      </c>
      <c r="AD833">
        <v>8930471.0299999993</v>
      </c>
      <c r="AE833">
        <v>189.73</v>
      </c>
      <c r="AF833">
        <v>748754.95</v>
      </c>
      <c r="AG833">
        <v>8930471.0299999993</v>
      </c>
      <c r="AH833">
        <v>179.4</v>
      </c>
      <c r="AI833">
        <v>10.33</v>
      </c>
      <c r="AJ833">
        <v>0.6</v>
      </c>
      <c r="AK833">
        <v>3.37</v>
      </c>
      <c r="AL833">
        <v>2.93</v>
      </c>
      <c r="AM833">
        <v>0</v>
      </c>
      <c r="AN833">
        <v>0</v>
      </c>
      <c r="AO833">
        <v>358</v>
      </c>
      <c r="AP833">
        <v>3.43</v>
      </c>
      <c r="AQ833">
        <v>0.68</v>
      </c>
      <c r="AR833">
        <v>0.09</v>
      </c>
      <c r="AS833">
        <v>0.09</v>
      </c>
      <c r="AT833">
        <v>20.21</v>
      </c>
      <c r="AU833">
        <v>5.57</v>
      </c>
      <c r="AV833">
        <v>0.36</v>
      </c>
      <c r="AW833">
        <v>1.87</v>
      </c>
      <c r="AX833">
        <v>7.72</v>
      </c>
      <c r="AY833">
        <v>3.3</v>
      </c>
      <c r="AZ833">
        <v>102.357</v>
      </c>
      <c r="BA833">
        <v>0</v>
      </c>
      <c r="BB833">
        <v>0</v>
      </c>
      <c r="BC833">
        <v>0</v>
      </c>
      <c r="BD833">
        <v>0</v>
      </c>
    </row>
    <row r="834" spans="1:56" x14ac:dyDescent="0.25">
      <c r="A834" s="23">
        <v>46304</v>
      </c>
      <c r="B834">
        <v>833</v>
      </c>
      <c r="C834" t="s">
        <v>82</v>
      </c>
      <c r="D834" t="s">
        <v>83</v>
      </c>
      <c r="E834">
        <v>2</v>
      </c>
      <c r="F834">
        <v>180</v>
      </c>
      <c r="G834">
        <v>1</v>
      </c>
      <c r="H834" t="s">
        <v>95</v>
      </c>
      <c r="I834" t="s">
        <v>91</v>
      </c>
      <c r="J834" t="s">
        <v>85</v>
      </c>
      <c r="K834" t="s">
        <v>86</v>
      </c>
      <c r="L834" t="s">
        <v>71</v>
      </c>
      <c r="M834" t="s">
        <v>87</v>
      </c>
      <c r="O834" t="s">
        <v>88</v>
      </c>
      <c r="P834" t="s">
        <v>27</v>
      </c>
      <c r="Q834" t="s">
        <v>73</v>
      </c>
      <c r="R834" t="s">
        <v>76</v>
      </c>
      <c r="S834" t="s">
        <v>74</v>
      </c>
      <c r="T834" t="s">
        <v>75</v>
      </c>
      <c r="X834" t="s">
        <v>77</v>
      </c>
      <c r="Z834" t="s">
        <v>72</v>
      </c>
      <c r="AA834" t="s">
        <v>94</v>
      </c>
      <c r="AB834">
        <v>5</v>
      </c>
      <c r="AC834">
        <v>748757.63</v>
      </c>
      <c r="AD834">
        <v>8930473.0700000003</v>
      </c>
      <c r="AE834">
        <v>189.87</v>
      </c>
      <c r="AF834">
        <v>748757.63</v>
      </c>
      <c r="AG834">
        <v>8930473.0700000003</v>
      </c>
      <c r="AH834">
        <v>179.4</v>
      </c>
      <c r="AI834">
        <v>10.47</v>
      </c>
      <c r="AJ834">
        <v>0.6</v>
      </c>
      <c r="AK834">
        <v>3.37</v>
      </c>
      <c r="AL834">
        <v>2.93</v>
      </c>
      <c r="AM834">
        <v>0</v>
      </c>
      <c r="AN834">
        <v>0</v>
      </c>
      <c r="AO834">
        <v>358</v>
      </c>
      <c r="AP834">
        <v>3.42</v>
      </c>
      <c r="AQ834">
        <v>0.69</v>
      </c>
      <c r="AR834">
        <v>0.09</v>
      </c>
      <c r="AS834">
        <v>0.09</v>
      </c>
      <c r="AT834">
        <v>20.5</v>
      </c>
      <c r="AU834">
        <v>5.65</v>
      </c>
      <c r="AV834">
        <v>0.36</v>
      </c>
      <c r="AW834">
        <v>1.89</v>
      </c>
      <c r="AX834">
        <v>7.76</v>
      </c>
      <c r="AY834">
        <v>3.3</v>
      </c>
      <c r="AZ834">
        <v>104.395</v>
      </c>
      <c r="BA834">
        <v>0</v>
      </c>
      <c r="BB834">
        <v>0</v>
      </c>
      <c r="BC834">
        <v>0</v>
      </c>
      <c r="BD834">
        <v>0</v>
      </c>
    </row>
    <row r="835" spans="1:56" x14ac:dyDescent="0.25">
      <c r="A835" s="23">
        <v>46304</v>
      </c>
      <c r="B835">
        <v>834</v>
      </c>
      <c r="C835" t="s">
        <v>82</v>
      </c>
      <c r="D835" t="s">
        <v>83</v>
      </c>
      <c r="E835">
        <v>2</v>
      </c>
      <c r="F835">
        <v>180</v>
      </c>
      <c r="G835">
        <v>1</v>
      </c>
      <c r="H835" t="s">
        <v>95</v>
      </c>
      <c r="I835" t="s">
        <v>91</v>
      </c>
      <c r="J835" t="s">
        <v>85</v>
      </c>
      <c r="K835" t="s">
        <v>86</v>
      </c>
      <c r="L835" t="s">
        <v>71</v>
      </c>
      <c r="M835" t="s">
        <v>87</v>
      </c>
      <c r="O835" t="s">
        <v>88</v>
      </c>
      <c r="P835" t="s">
        <v>27</v>
      </c>
      <c r="Q835" t="s">
        <v>73</v>
      </c>
      <c r="R835" t="s">
        <v>76</v>
      </c>
      <c r="S835" t="s">
        <v>74</v>
      </c>
      <c r="T835" t="s">
        <v>75</v>
      </c>
      <c r="X835" t="s">
        <v>77</v>
      </c>
      <c r="Z835" t="s">
        <v>72</v>
      </c>
      <c r="AA835" t="s">
        <v>94</v>
      </c>
      <c r="AB835">
        <v>5</v>
      </c>
      <c r="AC835">
        <v>748760.31</v>
      </c>
      <c r="AD835">
        <v>8930475.1199999992</v>
      </c>
      <c r="AE835">
        <v>190.01</v>
      </c>
      <c r="AF835">
        <v>748760.31</v>
      </c>
      <c r="AG835">
        <v>8930475.1199999992</v>
      </c>
      <c r="AH835">
        <v>179.4</v>
      </c>
      <c r="AI835">
        <v>10.61</v>
      </c>
      <c r="AJ835">
        <v>0.6</v>
      </c>
      <c r="AK835">
        <v>3.37</v>
      </c>
      <c r="AL835">
        <v>2.93</v>
      </c>
      <c r="AM835">
        <v>0</v>
      </c>
      <c r="AN835">
        <v>0</v>
      </c>
      <c r="AO835">
        <v>358</v>
      </c>
      <c r="AP835">
        <v>3.4</v>
      </c>
      <c r="AQ835">
        <v>0.68</v>
      </c>
      <c r="AR835">
        <v>0.09</v>
      </c>
      <c r="AS835">
        <v>0.09</v>
      </c>
      <c r="AT835">
        <v>20.149999999999999</v>
      </c>
      <c r="AU835">
        <v>6.01</v>
      </c>
      <c r="AV835">
        <v>0.37</v>
      </c>
      <c r="AW835">
        <v>1.85</v>
      </c>
      <c r="AX835">
        <v>7.81</v>
      </c>
      <c r="AY835">
        <v>3.3</v>
      </c>
      <c r="AZ835">
        <v>106.434</v>
      </c>
      <c r="BA835">
        <v>0</v>
      </c>
      <c r="BB835">
        <v>0</v>
      </c>
      <c r="BC835">
        <v>0</v>
      </c>
      <c r="BD835">
        <v>0</v>
      </c>
    </row>
    <row r="836" spans="1:56" x14ac:dyDescent="0.25">
      <c r="A836" s="23">
        <v>46304</v>
      </c>
      <c r="B836">
        <v>835</v>
      </c>
      <c r="C836" t="s">
        <v>82</v>
      </c>
      <c r="D836" t="s">
        <v>83</v>
      </c>
      <c r="E836">
        <v>2</v>
      </c>
      <c r="F836">
        <v>180</v>
      </c>
      <c r="G836">
        <v>1</v>
      </c>
      <c r="H836" t="s">
        <v>95</v>
      </c>
      <c r="I836" t="s">
        <v>91</v>
      </c>
      <c r="J836" t="s">
        <v>85</v>
      </c>
      <c r="K836" t="s">
        <v>86</v>
      </c>
      <c r="L836" t="s">
        <v>71</v>
      </c>
      <c r="M836" t="s">
        <v>87</v>
      </c>
      <c r="O836" t="s">
        <v>88</v>
      </c>
      <c r="P836" t="s">
        <v>27</v>
      </c>
      <c r="Q836" t="s">
        <v>73</v>
      </c>
      <c r="R836" t="s">
        <v>76</v>
      </c>
      <c r="S836" t="s">
        <v>74</v>
      </c>
      <c r="T836" t="s">
        <v>75</v>
      </c>
      <c r="X836" t="s">
        <v>77</v>
      </c>
      <c r="Z836" t="s">
        <v>72</v>
      </c>
      <c r="AA836" t="s">
        <v>94</v>
      </c>
      <c r="AB836">
        <v>5</v>
      </c>
      <c r="AC836">
        <v>748762.98</v>
      </c>
      <c r="AD836">
        <v>8930477.1699999999</v>
      </c>
      <c r="AE836">
        <v>189.95</v>
      </c>
      <c r="AF836">
        <v>748762.98</v>
      </c>
      <c r="AG836">
        <v>8930477.1699999999</v>
      </c>
      <c r="AH836">
        <v>179.4</v>
      </c>
      <c r="AI836">
        <v>10.55</v>
      </c>
      <c r="AJ836">
        <v>0.6</v>
      </c>
      <c r="AK836">
        <v>3.37</v>
      </c>
      <c r="AL836">
        <v>2.93</v>
      </c>
      <c r="AM836">
        <v>0</v>
      </c>
      <c r="AN836">
        <v>0</v>
      </c>
      <c r="AO836">
        <v>358</v>
      </c>
      <c r="AP836">
        <v>3.38</v>
      </c>
      <c r="AQ836">
        <v>0.67</v>
      </c>
      <c r="AR836">
        <v>0.09</v>
      </c>
      <c r="AS836">
        <v>0.09</v>
      </c>
      <c r="AT836">
        <v>19.899999999999999</v>
      </c>
      <c r="AU836">
        <v>6.25</v>
      </c>
      <c r="AV836">
        <v>0.37</v>
      </c>
      <c r="AW836">
        <v>1.82</v>
      </c>
      <c r="AX836">
        <v>7.85</v>
      </c>
      <c r="AY836">
        <v>3.3</v>
      </c>
      <c r="AZ836">
        <v>105.56</v>
      </c>
      <c r="BA836">
        <v>0</v>
      </c>
      <c r="BB836">
        <v>0</v>
      </c>
      <c r="BC836">
        <v>0</v>
      </c>
      <c r="BD836">
        <v>0</v>
      </c>
    </row>
    <row r="837" spans="1:56" x14ac:dyDescent="0.25">
      <c r="A837" s="23">
        <v>46304</v>
      </c>
      <c r="B837">
        <v>836</v>
      </c>
      <c r="C837" t="s">
        <v>82</v>
      </c>
      <c r="D837" t="s">
        <v>83</v>
      </c>
      <c r="E837">
        <v>2</v>
      </c>
      <c r="F837">
        <v>180</v>
      </c>
      <c r="G837">
        <v>1</v>
      </c>
      <c r="H837" t="s">
        <v>95</v>
      </c>
      <c r="I837" t="s">
        <v>91</v>
      </c>
      <c r="J837" t="s">
        <v>85</v>
      </c>
      <c r="K837" t="s">
        <v>86</v>
      </c>
      <c r="L837" t="s">
        <v>71</v>
      </c>
      <c r="M837" t="s">
        <v>87</v>
      </c>
      <c r="O837" t="s">
        <v>88</v>
      </c>
      <c r="P837" t="s">
        <v>27</v>
      </c>
      <c r="Q837" t="s">
        <v>73</v>
      </c>
      <c r="R837" t="s">
        <v>76</v>
      </c>
      <c r="S837" t="s">
        <v>74</v>
      </c>
      <c r="T837" t="s">
        <v>75</v>
      </c>
      <c r="X837" t="s">
        <v>77</v>
      </c>
      <c r="Z837" t="s">
        <v>72</v>
      </c>
      <c r="AA837" t="s">
        <v>94</v>
      </c>
      <c r="AB837">
        <v>5</v>
      </c>
      <c r="AC837">
        <v>748765.73</v>
      </c>
      <c r="AD837">
        <v>8930479.1099999994</v>
      </c>
      <c r="AE837">
        <v>189.98</v>
      </c>
      <c r="AF837">
        <v>748765.73</v>
      </c>
      <c r="AG837">
        <v>8930479.1099999994</v>
      </c>
      <c r="AH837">
        <v>179.4</v>
      </c>
      <c r="AI837">
        <v>10.58</v>
      </c>
      <c r="AJ837">
        <v>0.6</v>
      </c>
      <c r="AK837">
        <v>3.37</v>
      </c>
      <c r="AL837">
        <v>2.93</v>
      </c>
      <c r="AM837">
        <v>0</v>
      </c>
      <c r="AN837">
        <v>0</v>
      </c>
      <c r="AO837">
        <v>358</v>
      </c>
      <c r="AP837">
        <v>3.37</v>
      </c>
      <c r="AQ837">
        <v>0.65</v>
      </c>
      <c r="AR837">
        <v>0.09</v>
      </c>
      <c r="AS837">
        <v>0.08</v>
      </c>
      <c r="AT837">
        <v>19.61</v>
      </c>
      <c r="AU837">
        <v>6.22</v>
      </c>
      <c r="AV837">
        <v>0.36</v>
      </c>
      <c r="AW837">
        <v>1.79</v>
      </c>
      <c r="AX837">
        <v>6.01</v>
      </c>
      <c r="AY837">
        <v>3.3</v>
      </c>
      <c r="AZ837">
        <v>105.997</v>
      </c>
      <c r="BA837">
        <v>0</v>
      </c>
      <c r="BB837">
        <v>0</v>
      </c>
      <c r="BC837">
        <v>0</v>
      </c>
      <c r="BD837">
        <v>0</v>
      </c>
    </row>
    <row r="838" spans="1:56" x14ac:dyDescent="0.25">
      <c r="A838" s="23">
        <v>46304</v>
      </c>
      <c r="B838">
        <v>837</v>
      </c>
      <c r="C838" t="s">
        <v>82</v>
      </c>
      <c r="D838" t="s">
        <v>83</v>
      </c>
      <c r="E838">
        <v>2</v>
      </c>
      <c r="F838">
        <v>180</v>
      </c>
      <c r="G838">
        <v>1</v>
      </c>
      <c r="H838" t="s">
        <v>95</v>
      </c>
      <c r="I838" t="s">
        <v>91</v>
      </c>
      <c r="J838" t="s">
        <v>85</v>
      </c>
      <c r="K838" t="s">
        <v>86</v>
      </c>
      <c r="L838" t="s">
        <v>71</v>
      </c>
      <c r="M838" t="s">
        <v>87</v>
      </c>
      <c r="O838" t="s">
        <v>88</v>
      </c>
      <c r="P838" t="s">
        <v>27</v>
      </c>
      <c r="Q838" t="s">
        <v>73</v>
      </c>
      <c r="R838" t="s">
        <v>76</v>
      </c>
      <c r="S838" t="s">
        <v>74</v>
      </c>
      <c r="T838" t="s">
        <v>75</v>
      </c>
      <c r="X838" t="s">
        <v>77</v>
      </c>
      <c r="Z838" t="s">
        <v>72</v>
      </c>
      <c r="AA838" t="s">
        <v>94</v>
      </c>
      <c r="AB838">
        <v>5</v>
      </c>
      <c r="AC838">
        <v>748768.57</v>
      </c>
      <c r="AD838">
        <v>8930480.9299999997</v>
      </c>
      <c r="AE838">
        <v>189.93</v>
      </c>
      <c r="AF838">
        <v>748768.57</v>
      </c>
      <c r="AG838">
        <v>8930480.9299999997</v>
      </c>
      <c r="AH838">
        <v>179.4</v>
      </c>
      <c r="AI838">
        <v>10.53</v>
      </c>
      <c r="AJ838">
        <v>0.6</v>
      </c>
      <c r="AK838">
        <v>3.37</v>
      </c>
      <c r="AL838">
        <v>2.93</v>
      </c>
      <c r="AM838">
        <v>0</v>
      </c>
      <c r="AN838">
        <v>0</v>
      </c>
      <c r="AO838">
        <v>358</v>
      </c>
      <c r="AP838">
        <v>3.34</v>
      </c>
      <c r="AQ838">
        <v>0.62</v>
      </c>
      <c r="AR838">
        <v>0.08</v>
      </c>
      <c r="AS838">
        <v>0.08</v>
      </c>
      <c r="AT838">
        <v>18.940000000000001</v>
      </c>
      <c r="AU838">
        <v>6.14</v>
      </c>
      <c r="AV838">
        <v>0.35</v>
      </c>
      <c r="AW838">
        <v>1.77</v>
      </c>
      <c r="AX838">
        <v>1.71</v>
      </c>
      <c r="AY838">
        <v>3.3</v>
      </c>
      <c r="AZ838">
        <v>105.26900000000001</v>
      </c>
      <c r="BA838">
        <v>0</v>
      </c>
      <c r="BB838">
        <v>0</v>
      </c>
      <c r="BC838">
        <v>0</v>
      </c>
      <c r="BD838">
        <v>0</v>
      </c>
    </row>
    <row r="839" spans="1:56" x14ac:dyDescent="0.25">
      <c r="A839" s="23">
        <v>46304</v>
      </c>
      <c r="B839">
        <v>838</v>
      </c>
      <c r="C839" t="s">
        <v>82</v>
      </c>
      <c r="D839" t="s">
        <v>83</v>
      </c>
      <c r="E839">
        <v>2</v>
      </c>
      <c r="F839">
        <v>180</v>
      </c>
      <c r="G839">
        <v>1</v>
      </c>
      <c r="H839" t="s">
        <v>96</v>
      </c>
      <c r="I839" t="s">
        <v>91</v>
      </c>
      <c r="J839" t="s">
        <v>85</v>
      </c>
      <c r="K839" t="s">
        <v>86</v>
      </c>
      <c r="L839" t="s">
        <v>71</v>
      </c>
      <c r="M839" t="s">
        <v>87</v>
      </c>
      <c r="O839" t="s">
        <v>88</v>
      </c>
      <c r="P839" t="s">
        <v>27</v>
      </c>
      <c r="Q839" t="s">
        <v>73</v>
      </c>
      <c r="R839" t="s">
        <v>76</v>
      </c>
      <c r="S839" t="s">
        <v>74</v>
      </c>
      <c r="T839" t="s">
        <v>75</v>
      </c>
      <c r="X839" t="s">
        <v>77</v>
      </c>
      <c r="Z839" t="s">
        <v>72</v>
      </c>
      <c r="AA839" t="s">
        <v>94</v>
      </c>
      <c r="AB839">
        <v>5</v>
      </c>
      <c r="AC839">
        <v>748771.4</v>
      </c>
      <c r="AD839">
        <v>8930482.7599999998</v>
      </c>
      <c r="AE839">
        <v>190.17</v>
      </c>
      <c r="AF839">
        <v>748771.4</v>
      </c>
      <c r="AG839">
        <v>8930482.7599999998</v>
      </c>
      <c r="AH839">
        <v>179.4</v>
      </c>
      <c r="AI839">
        <v>10.77</v>
      </c>
      <c r="AJ839">
        <v>0.6</v>
      </c>
      <c r="AK839">
        <v>3.37</v>
      </c>
      <c r="AL839">
        <v>2.93</v>
      </c>
      <c r="AM839">
        <v>0</v>
      </c>
      <c r="AN839">
        <v>0</v>
      </c>
      <c r="AO839">
        <v>358</v>
      </c>
      <c r="AP839">
        <v>3.35</v>
      </c>
      <c r="AQ839">
        <v>0.64</v>
      </c>
      <c r="AR839">
        <v>7.0000000000000007E-2</v>
      </c>
      <c r="AS839">
        <v>7.0000000000000007E-2</v>
      </c>
      <c r="AT839">
        <v>18.63</v>
      </c>
      <c r="AU839">
        <v>6.03</v>
      </c>
      <c r="AV839">
        <v>0.31</v>
      </c>
      <c r="AW839">
        <v>2.0499999999999998</v>
      </c>
      <c r="AX839">
        <v>0.12</v>
      </c>
      <c r="AY839">
        <v>3.3</v>
      </c>
      <c r="AZ839">
        <v>108.76300000000001</v>
      </c>
      <c r="BA839">
        <v>0</v>
      </c>
      <c r="BB839">
        <v>0</v>
      </c>
      <c r="BC839">
        <v>0</v>
      </c>
      <c r="BD839">
        <v>0</v>
      </c>
    </row>
    <row r="840" spans="1:56" x14ac:dyDescent="0.25">
      <c r="A840" s="23">
        <v>46304</v>
      </c>
      <c r="B840">
        <v>839</v>
      </c>
      <c r="C840" t="s">
        <v>82</v>
      </c>
      <c r="D840" t="s">
        <v>83</v>
      </c>
      <c r="E840">
        <v>2</v>
      </c>
      <c r="F840">
        <v>180</v>
      </c>
      <c r="G840">
        <v>1</v>
      </c>
      <c r="H840" t="s">
        <v>96</v>
      </c>
      <c r="I840" t="s">
        <v>91</v>
      </c>
      <c r="J840" t="s">
        <v>85</v>
      </c>
      <c r="K840" t="s">
        <v>86</v>
      </c>
      <c r="L840" t="s">
        <v>71</v>
      </c>
      <c r="M840" t="s">
        <v>87</v>
      </c>
      <c r="O840" t="s">
        <v>88</v>
      </c>
      <c r="P840" t="s">
        <v>27</v>
      </c>
      <c r="Q840" t="s">
        <v>73</v>
      </c>
      <c r="R840" t="s">
        <v>76</v>
      </c>
      <c r="S840" t="s">
        <v>74</v>
      </c>
      <c r="T840" t="s">
        <v>75</v>
      </c>
      <c r="X840" t="s">
        <v>77</v>
      </c>
      <c r="Z840" t="s">
        <v>72</v>
      </c>
      <c r="AA840" t="s">
        <v>94</v>
      </c>
      <c r="AB840">
        <v>5</v>
      </c>
      <c r="AC840">
        <v>748774.23</v>
      </c>
      <c r="AD840">
        <v>8930484.5800000001</v>
      </c>
      <c r="AE840">
        <v>190.18</v>
      </c>
      <c r="AF840">
        <v>748774.23</v>
      </c>
      <c r="AG840">
        <v>8930484.5800000001</v>
      </c>
      <c r="AH840">
        <v>179.4</v>
      </c>
      <c r="AI840">
        <v>10.78</v>
      </c>
      <c r="AJ840">
        <v>0.6</v>
      </c>
      <c r="AK840">
        <v>3.37</v>
      </c>
      <c r="AL840">
        <v>2.93</v>
      </c>
      <c r="AM840">
        <v>0</v>
      </c>
      <c r="AN840">
        <v>0</v>
      </c>
      <c r="AO840">
        <v>358</v>
      </c>
      <c r="AP840">
        <v>3.35</v>
      </c>
      <c r="AQ840">
        <v>0.65</v>
      </c>
      <c r="AR840">
        <v>7.0000000000000007E-2</v>
      </c>
      <c r="AS840">
        <v>7.0000000000000007E-2</v>
      </c>
      <c r="AT840">
        <v>18.61</v>
      </c>
      <c r="AU840">
        <v>6.02</v>
      </c>
      <c r="AV840">
        <v>0.31</v>
      </c>
      <c r="AW840">
        <v>2.09</v>
      </c>
      <c r="AX840">
        <v>0.13</v>
      </c>
      <c r="AY840">
        <v>3.3</v>
      </c>
      <c r="AZ840">
        <v>108.90900000000001</v>
      </c>
      <c r="BA840">
        <v>0</v>
      </c>
      <c r="BB840">
        <v>0</v>
      </c>
      <c r="BC840">
        <v>0</v>
      </c>
      <c r="BD840">
        <v>0</v>
      </c>
    </row>
    <row r="841" spans="1:56" x14ac:dyDescent="0.25">
      <c r="A841" s="23">
        <v>46304</v>
      </c>
      <c r="B841">
        <v>840</v>
      </c>
      <c r="C841" t="s">
        <v>82</v>
      </c>
      <c r="D841" t="s">
        <v>83</v>
      </c>
      <c r="E841">
        <v>2</v>
      </c>
      <c r="F841">
        <v>180</v>
      </c>
      <c r="G841">
        <v>1</v>
      </c>
      <c r="H841" t="s">
        <v>96</v>
      </c>
      <c r="I841" t="s">
        <v>91</v>
      </c>
      <c r="J841" t="s">
        <v>85</v>
      </c>
      <c r="K841" t="s">
        <v>86</v>
      </c>
      <c r="L841" t="s">
        <v>71</v>
      </c>
      <c r="M841" t="s">
        <v>87</v>
      </c>
      <c r="O841" t="s">
        <v>88</v>
      </c>
      <c r="P841" t="s">
        <v>27</v>
      </c>
      <c r="Q841" t="s">
        <v>73</v>
      </c>
      <c r="R841" t="s">
        <v>76</v>
      </c>
      <c r="S841" t="s">
        <v>74</v>
      </c>
      <c r="T841" t="s">
        <v>75</v>
      </c>
      <c r="X841" t="s">
        <v>77</v>
      </c>
      <c r="Z841" t="s">
        <v>72</v>
      </c>
      <c r="AA841" t="s">
        <v>94</v>
      </c>
      <c r="AB841">
        <v>5</v>
      </c>
      <c r="AC841">
        <v>748777.07</v>
      </c>
      <c r="AD841">
        <v>8930486.4100000001</v>
      </c>
      <c r="AE841">
        <v>190.06</v>
      </c>
      <c r="AF841">
        <v>748777.07</v>
      </c>
      <c r="AG841">
        <v>8930486.4100000001</v>
      </c>
      <c r="AH841">
        <v>179.4</v>
      </c>
      <c r="AI841">
        <v>10.66</v>
      </c>
      <c r="AJ841">
        <v>0.6</v>
      </c>
      <c r="AK841">
        <v>3.37</v>
      </c>
      <c r="AL841">
        <v>2.93</v>
      </c>
      <c r="AM841">
        <v>0</v>
      </c>
      <c r="AN841">
        <v>0</v>
      </c>
      <c r="AO841">
        <v>358</v>
      </c>
      <c r="AP841">
        <v>3.35</v>
      </c>
      <c r="AQ841">
        <v>0.65</v>
      </c>
      <c r="AR841">
        <v>7.0000000000000007E-2</v>
      </c>
      <c r="AS841">
        <v>7.0000000000000007E-2</v>
      </c>
      <c r="AT841">
        <v>18.600000000000001</v>
      </c>
      <c r="AU841">
        <v>6.01</v>
      </c>
      <c r="AV841">
        <v>0.31</v>
      </c>
      <c r="AW841">
        <v>2.08</v>
      </c>
      <c r="AX841">
        <v>0.05</v>
      </c>
      <c r="AY841">
        <v>3.3</v>
      </c>
      <c r="AZ841">
        <v>107.16200000000001</v>
      </c>
      <c r="BA841">
        <v>0</v>
      </c>
      <c r="BB841">
        <v>0</v>
      </c>
      <c r="BC841">
        <v>0</v>
      </c>
      <c r="BD841">
        <v>0</v>
      </c>
    </row>
    <row r="842" spans="1:56" x14ac:dyDescent="0.25">
      <c r="A842" s="23">
        <v>46304</v>
      </c>
      <c r="B842">
        <v>841</v>
      </c>
      <c r="C842" t="s">
        <v>82</v>
      </c>
      <c r="D842" t="s">
        <v>83</v>
      </c>
      <c r="E842">
        <v>2</v>
      </c>
      <c r="F842">
        <v>180</v>
      </c>
      <c r="G842">
        <v>1</v>
      </c>
      <c r="H842" t="s">
        <v>96</v>
      </c>
      <c r="I842" t="s">
        <v>91</v>
      </c>
      <c r="J842" t="s">
        <v>85</v>
      </c>
      <c r="K842" t="s">
        <v>86</v>
      </c>
      <c r="L842" t="s">
        <v>71</v>
      </c>
      <c r="M842" t="s">
        <v>87</v>
      </c>
      <c r="O842" t="s">
        <v>88</v>
      </c>
      <c r="P842" t="s">
        <v>27</v>
      </c>
      <c r="Q842" t="s">
        <v>73</v>
      </c>
      <c r="R842" t="s">
        <v>76</v>
      </c>
      <c r="S842" t="s">
        <v>74</v>
      </c>
      <c r="T842" t="s">
        <v>75</v>
      </c>
      <c r="X842" t="s">
        <v>77</v>
      </c>
      <c r="Z842" t="s">
        <v>72</v>
      </c>
      <c r="AA842" t="s">
        <v>94</v>
      </c>
      <c r="AB842">
        <v>5</v>
      </c>
      <c r="AC842">
        <v>748779.9</v>
      </c>
      <c r="AD842">
        <v>8930488.2300000004</v>
      </c>
      <c r="AE842">
        <v>190.11</v>
      </c>
      <c r="AF842">
        <v>748779.9</v>
      </c>
      <c r="AG842">
        <v>8930488.2300000004</v>
      </c>
      <c r="AH842">
        <v>179.4</v>
      </c>
      <c r="AI842">
        <v>10.71</v>
      </c>
      <c r="AJ842">
        <v>0.6</v>
      </c>
      <c r="AK842">
        <v>3.37</v>
      </c>
      <c r="AL842">
        <v>2.93</v>
      </c>
      <c r="AM842">
        <v>0</v>
      </c>
      <c r="AN842">
        <v>0</v>
      </c>
      <c r="AO842">
        <v>358</v>
      </c>
      <c r="AP842">
        <v>3.39</v>
      </c>
      <c r="AQ842">
        <v>0.63</v>
      </c>
      <c r="AR842">
        <v>7.0000000000000007E-2</v>
      </c>
      <c r="AS842">
        <v>7.0000000000000007E-2</v>
      </c>
      <c r="AT842">
        <v>18.52</v>
      </c>
      <c r="AU842">
        <v>6.06</v>
      </c>
      <c r="AV842">
        <v>0.31</v>
      </c>
      <c r="AW842">
        <v>2.02</v>
      </c>
      <c r="AX842">
        <v>0.08</v>
      </c>
      <c r="AY842">
        <v>3.3</v>
      </c>
      <c r="AZ842">
        <v>107.89</v>
      </c>
      <c r="BA842">
        <v>0</v>
      </c>
      <c r="BB842">
        <v>0</v>
      </c>
      <c r="BC842">
        <v>0</v>
      </c>
      <c r="BD842">
        <v>0</v>
      </c>
    </row>
    <row r="843" spans="1:56" x14ac:dyDescent="0.25">
      <c r="A843" s="23">
        <v>46304</v>
      </c>
      <c r="B843">
        <v>842</v>
      </c>
      <c r="C843" t="s">
        <v>82</v>
      </c>
      <c r="D843" t="s">
        <v>83</v>
      </c>
      <c r="E843">
        <v>2</v>
      </c>
      <c r="F843">
        <v>180</v>
      </c>
      <c r="G843">
        <v>1</v>
      </c>
      <c r="H843" t="s">
        <v>96</v>
      </c>
      <c r="I843" t="s">
        <v>91</v>
      </c>
      <c r="J843" t="s">
        <v>85</v>
      </c>
      <c r="K843" t="s">
        <v>86</v>
      </c>
      <c r="L843" t="s">
        <v>71</v>
      </c>
      <c r="M843" t="s">
        <v>87</v>
      </c>
      <c r="O843" t="s">
        <v>88</v>
      </c>
      <c r="P843" t="s">
        <v>27</v>
      </c>
      <c r="Q843" t="s">
        <v>73</v>
      </c>
      <c r="R843" t="s">
        <v>76</v>
      </c>
      <c r="S843" t="s">
        <v>74</v>
      </c>
      <c r="T843" t="s">
        <v>75</v>
      </c>
      <c r="X843" t="s">
        <v>77</v>
      </c>
      <c r="Z843" t="s">
        <v>72</v>
      </c>
      <c r="AA843" t="s">
        <v>94</v>
      </c>
      <c r="AB843">
        <v>5</v>
      </c>
      <c r="AC843">
        <v>748782.73</v>
      </c>
      <c r="AD843">
        <v>8930490.0600000005</v>
      </c>
      <c r="AE843">
        <v>189.91</v>
      </c>
      <c r="AF843">
        <v>748782.73</v>
      </c>
      <c r="AG843">
        <v>8930490.0600000005</v>
      </c>
      <c r="AH843">
        <v>179.4</v>
      </c>
      <c r="AI843">
        <v>10.51</v>
      </c>
      <c r="AJ843">
        <v>0.6</v>
      </c>
      <c r="AK843">
        <v>3.37</v>
      </c>
      <c r="AL843">
        <v>2.93</v>
      </c>
      <c r="AM843">
        <v>0</v>
      </c>
      <c r="AN843">
        <v>0</v>
      </c>
      <c r="AO843">
        <v>358</v>
      </c>
      <c r="AP843">
        <v>3.41</v>
      </c>
      <c r="AQ843">
        <v>0.61</v>
      </c>
      <c r="AR843">
        <v>0.06</v>
      </c>
      <c r="AS843">
        <v>7.0000000000000007E-2</v>
      </c>
      <c r="AT843">
        <v>18.13</v>
      </c>
      <c r="AU843">
        <v>5.96</v>
      </c>
      <c r="AV843">
        <v>0.32</v>
      </c>
      <c r="AW843">
        <v>1.9</v>
      </c>
      <c r="AX843">
        <v>0</v>
      </c>
      <c r="AY843">
        <v>3.3</v>
      </c>
      <c r="AZ843">
        <v>104.97799999999999</v>
      </c>
      <c r="BA843">
        <v>0</v>
      </c>
      <c r="BB843">
        <v>0</v>
      </c>
      <c r="BC843">
        <v>0</v>
      </c>
      <c r="BD843">
        <v>0</v>
      </c>
    </row>
    <row r="844" spans="1:56" x14ac:dyDescent="0.25">
      <c r="A844" s="23">
        <v>46304</v>
      </c>
      <c r="B844">
        <v>843</v>
      </c>
      <c r="C844" t="s">
        <v>82</v>
      </c>
      <c r="D844" t="s">
        <v>83</v>
      </c>
      <c r="E844">
        <v>2</v>
      </c>
      <c r="F844">
        <v>180</v>
      </c>
      <c r="G844">
        <v>1</v>
      </c>
      <c r="H844" t="s">
        <v>96</v>
      </c>
      <c r="I844" t="s">
        <v>91</v>
      </c>
      <c r="J844" t="s">
        <v>85</v>
      </c>
      <c r="K844" t="s">
        <v>86</v>
      </c>
      <c r="L844" t="s">
        <v>71</v>
      </c>
      <c r="M844" t="s">
        <v>87</v>
      </c>
      <c r="O844" t="s">
        <v>88</v>
      </c>
      <c r="P844" t="s">
        <v>27</v>
      </c>
      <c r="Q844" t="s">
        <v>73</v>
      </c>
      <c r="R844" t="s">
        <v>76</v>
      </c>
      <c r="S844" t="s">
        <v>74</v>
      </c>
      <c r="T844" t="s">
        <v>75</v>
      </c>
      <c r="X844" t="s">
        <v>77</v>
      </c>
      <c r="Z844" t="s">
        <v>72</v>
      </c>
      <c r="AA844" t="s">
        <v>94</v>
      </c>
      <c r="AB844">
        <v>5</v>
      </c>
      <c r="AC844">
        <v>748785.69</v>
      </c>
      <c r="AD844">
        <v>8930491.6099999994</v>
      </c>
      <c r="AE844">
        <v>190.95</v>
      </c>
      <c r="AF844">
        <v>748785.69</v>
      </c>
      <c r="AG844">
        <v>8930491.6099999994</v>
      </c>
      <c r="AH844">
        <v>179.4</v>
      </c>
      <c r="AI844">
        <v>11.55</v>
      </c>
      <c r="AJ844">
        <v>0.6</v>
      </c>
      <c r="AK844">
        <v>3.37</v>
      </c>
      <c r="AL844">
        <v>2.93</v>
      </c>
      <c r="AM844">
        <v>0</v>
      </c>
      <c r="AN844">
        <v>0</v>
      </c>
      <c r="AO844">
        <v>358</v>
      </c>
      <c r="AP844">
        <v>3.41</v>
      </c>
      <c r="AQ844">
        <v>0.62</v>
      </c>
      <c r="AR844">
        <v>0.06</v>
      </c>
      <c r="AS844">
        <v>7.0000000000000007E-2</v>
      </c>
      <c r="AT844">
        <v>17.77</v>
      </c>
      <c r="AU844">
        <v>5.85</v>
      </c>
      <c r="AV844">
        <v>0.33</v>
      </c>
      <c r="AW844">
        <v>1.87</v>
      </c>
      <c r="AX844">
        <v>0.78</v>
      </c>
      <c r="AY844">
        <v>3.3</v>
      </c>
      <c r="AZ844">
        <v>120.12</v>
      </c>
      <c r="BA844">
        <v>0</v>
      </c>
      <c r="BB844">
        <v>0</v>
      </c>
      <c r="BC844">
        <v>0</v>
      </c>
      <c r="BD844">
        <v>0</v>
      </c>
    </row>
    <row r="845" spans="1:56" x14ac:dyDescent="0.25">
      <c r="A845" s="23">
        <v>46304</v>
      </c>
      <c r="B845">
        <v>844</v>
      </c>
      <c r="C845" t="s">
        <v>82</v>
      </c>
      <c r="D845" t="s">
        <v>83</v>
      </c>
      <c r="E845">
        <v>2</v>
      </c>
      <c r="F845">
        <v>180</v>
      </c>
      <c r="G845">
        <v>1</v>
      </c>
      <c r="H845" t="s">
        <v>96</v>
      </c>
      <c r="I845" t="s">
        <v>91</v>
      </c>
      <c r="J845" t="s">
        <v>85</v>
      </c>
      <c r="K845" t="s">
        <v>86</v>
      </c>
      <c r="L845" t="s">
        <v>71</v>
      </c>
      <c r="M845" t="s">
        <v>87</v>
      </c>
      <c r="O845" t="s">
        <v>88</v>
      </c>
      <c r="P845" t="s">
        <v>27</v>
      </c>
      <c r="Q845" t="s">
        <v>73</v>
      </c>
      <c r="R845" t="s">
        <v>76</v>
      </c>
      <c r="S845" t="s">
        <v>74</v>
      </c>
      <c r="T845" t="s">
        <v>75</v>
      </c>
      <c r="X845" t="s">
        <v>77</v>
      </c>
      <c r="Z845" t="s">
        <v>72</v>
      </c>
      <c r="AA845" t="s">
        <v>94</v>
      </c>
      <c r="AB845">
        <v>5</v>
      </c>
      <c r="AC845">
        <v>748788.99</v>
      </c>
      <c r="AD845">
        <v>8930492.3000000007</v>
      </c>
      <c r="AE845">
        <v>194.12</v>
      </c>
      <c r="AF845">
        <v>748788.99</v>
      </c>
      <c r="AG845">
        <v>8930492.3000000007</v>
      </c>
      <c r="AH845">
        <v>179.4</v>
      </c>
      <c r="AI845">
        <v>14.72</v>
      </c>
      <c r="AJ845">
        <v>0.6</v>
      </c>
      <c r="AK845">
        <v>3.37</v>
      </c>
      <c r="AL845">
        <v>2.93</v>
      </c>
      <c r="AM845">
        <v>0</v>
      </c>
      <c r="AN845">
        <v>0</v>
      </c>
      <c r="AO845">
        <v>358</v>
      </c>
      <c r="AP845">
        <v>3.44</v>
      </c>
      <c r="AQ845">
        <v>0.63</v>
      </c>
      <c r="AR845">
        <v>0.06</v>
      </c>
      <c r="AS845">
        <v>7.0000000000000007E-2</v>
      </c>
      <c r="AT845">
        <v>17.66</v>
      </c>
      <c r="AU845">
        <v>5.85</v>
      </c>
      <c r="AV845">
        <v>0.33</v>
      </c>
      <c r="AW845">
        <v>1.88</v>
      </c>
      <c r="AX845">
        <v>2.82</v>
      </c>
      <c r="AY845">
        <v>3.3</v>
      </c>
      <c r="AZ845">
        <v>166.27500000000001</v>
      </c>
      <c r="BA845">
        <v>0</v>
      </c>
      <c r="BB845">
        <v>0</v>
      </c>
      <c r="BC845">
        <v>0</v>
      </c>
      <c r="BD845">
        <v>0</v>
      </c>
    </row>
    <row r="846" spans="1:56" x14ac:dyDescent="0.25">
      <c r="A846" s="23">
        <v>46304</v>
      </c>
      <c r="B846">
        <v>845</v>
      </c>
      <c r="C846" t="s">
        <v>82</v>
      </c>
      <c r="D846" t="s">
        <v>83</v>
      </c>
      <c r="E846">
        <v>2</v>
      </c>
      <c r="F846">
        <v>180</v>
      </c>
      <c r="G846">
        <v>1</v>
      </c>
      <c r="H846" t="s">
        <v>96</v>
      </c>
      <c r="I846" t="s">
        <v>91</v>
      </c>
      <c r="J846" t="s">
        <v>85</v>
      </c>
      <c r="K846" t="s">
        <v>86</v>
      </c>
      <c r="L846" t="s">
        <v>71</v>
      </c>
      <c r="M846" t="s">
        <v>87</v>
      </c>
      <c r="O846" t="s">
        <v>88</v>
      </c>
      <c r="P846" t="s">
        <v>27</v>
      </c>
      <c r="Q846" t="s">
        <v>73</v>
      </c>
      <c r="R846" t="s">
        <v>76</v>
      </c>
      <c r="S846" t="s">
        <v>74</v>
      </c>
      <c r="T846" t="s">
        <v>75</v>
      </c>
      <c r="X846" t="s">
        <v>77</v>
      </c>
      <c r="Z846" t="s">
        <v>72</v>
      </c>
      <c r="AA846" t="s">
        <v>94</v>
      </c>
      <c r="AB846">
        <v>5</v>
      </c>
      <c r="AC846">
        <v>748792.31</v>
      </c>
      <c r="AD846">
        <v>8930492.8900000006</v>
      </c>
      <c r="AE846">
        <v>194.67</v>
      </c>
      <c r="AF846">
        <v>748792.31</v>
      </c>
      <c r="AG846">
        <v>8930492.8900000006</v>
      </c>
      <c r="AH846">
        <v>179.4</v>
      </c>
      <c r="AI846">
        <v>15.27</v>
      </c>
      <c r="AJ846">
        <v>0.6</v>
      </c>
      <c r="AK846">
        <v>3.37</v>
      </c>
      <c r="AL846">
        <v>2.93</v>
      </c>
      <c r="AM846">
        <v>0</v>
      </c>
      <c r="AN846">
        <v>0</v>
      </c>
      <c r="AO846">
        <v>358</v>
      </c>
      <c r="AP846">
        <v>3.5</v>
      </c>
      <c r="AQ846">
        <v>0.6</v>
      </c>
      <c r="AR846">
        <v>7.0000000000000007E-2</v>
      </c>
      <c r="AS846">
        <v>0.06</v>
      </c>
      <c r="AT846">
        <v>17.190000000000001</v>
      </c>
      <c r="AU846">
        <v>5.58</v>
      </c>
      <c r="AV846">
        <v>0.32</v>
      </c>
      <c r="AW846">
        <v>1.88</v>
      </c>
      <c r="AX846">
        <v>3.58</v>
      </c>
      <c r="AY846">
        <v>3.3</v>
      </c>
      <c r="AZ846">
        <v>174.28299999999999</v>
      </c>
      <c r="BA846">
        <v>0</v>
      </c>
      <c r="BB846">
        <v>0</v>
      </c>
      <c r="BC846">
        <v>0</v>
      </c>
      <c r="BD846">
        <v>0</v>
      </c>
    </row>
    <row r="847" spans="1:56" x14ac:dyDescent="0.25">
      <c r="A847" s="23">
        <v>46304</v>
      </c>
      <c r="B847">
        <v>846</v>
      </c>
      <c r="C847" t="s">
        <v>82</v>
      </c>
      <c r="D847" t="s">
        <v>83</v>
      </c>
      <c r="E847">
        <v>2</v>
      </c>
      <c r="F847">
        <v>180</v>
      </c>
      <c r="G847">
        <v>1</v>
      </c>
      <c r="H847" t="s">
        <v>96</v>
      </c>
      <c r="I847" t="s">
        <v>91</v>
      </c>
      <c r="J847" t="s">
        <v>85</v>
      </c>
      <c r="K847" t="s">
        <v>80</v>
      </c>
      <c r="L847" t="s">
        <v>71</v>
      </c>
      <c r="M847" t="s">
        <v>87</v>
      </c>
      <c r="O847" t="s">
        <v>88</v>
      </c>
      <c r="P847" t="s">
        <v>27</v>
      </c>
      <c r="Q847" t="s">
        <v>73</v>
      </c>
      <c r="R847" t="s">
        <v>76</v>
      </c>
      <c r="S847" t="s">
        <v>74</v>
      </c>
      <c r="T847" t="s">
        <v>75</v>
      </c>
      <c r="X847" t="s">
        <v>77</v>
      </c>
      <c r="Z847" t="s">
        <v>72</v>
      </c>
      <c r="AA847" t="s">
        <v>94</v>
      </c>
      <c r="AB847">
        <v>5</v>
      </c>
      <c r="AC847">
        <v>748795.62</v>
      </c>
      <c r="AD847">
        <v>8930493.4700000007</v>
      </c>
      <c r="AE847">
        <v>194.77</v>
      </c>
      <c r="AF847">
        <v>748795.62</v>
      </c>
      <c r="AG847">
        <v>8930493.4700000007</v>
      </c>
      <c r="AH847">
        <v>179.4</v>
      </c>
      <c r="AI847">
        <v>15.37</v>
      </c>
      <c r="AJ847">
        <v>0.6</v>
      </c>
      <c r="AK847">
        <v>3.37</v>
      </c>
      <c r="AL847">
        <v>2.93</v>
      </c>
      <c r="AM847">
        <v>0</v>
      </c>
      <c r="AN847">
        <v>0</v>
      </c>
      <c r="AO847">
        <v>358</v>
      </c>
      <c r="AP847">
        <v>3.5</v>
      </c>
      <c r="AQ847">
        <v>0.6</v>
      </c>
      <c r="AR847">
        <v>7.0000000000000007E-2</v>
      </c>
      <c r="AS847">
        <v>0.06</v>
      </c>
      <c r="AT847">
        <v>17.190000000000001</v>
      </c>
      <c r="AU847">
        <v>5.58</v>
      </c>
      <c r="AV847">
        <v>0.32</v>
      </c>
      <c r="AW847">
        <v>1.88</v>
      </c>
      <c r="AX847">
        <v>3.63</v>
      </c>
      <c r="AY847">
        <v>3.3</v>
      </c>
      <c r="AZ847">
        <v>175.739</v>
      </c>
      <c r="BA847">
        <v>0</v>
      </c>
      <c r="BB847">
        <v>0</v>
      </c>
      <c r="BC847">
        <v>0</v>
      </c>
      <c r="BD847">
        <v>0</v>
      </c>
    </row>
    <row r="848" spans="1:56" x14ac:dyDescent="0.25">
      <c r="A848" s="23">
        <v>46304</v>
      </c>
      <c r="B848">
        <v>847</v>
      </c>
      <c r="C848" t="s">
        <v>82</v>
      </c>
      <c r="D848" t="s">
        <v>83</v>
      </c>
      <c r="E848">
        <v>2</v>
      </c>
      <c r="F848">
        <v>180</v>
      </c>
      <c r="G848">
        <v>1</v>
      </c>
      <c r="H848" t="s">
        <v>96</v>
      </c>
      <c r="I848" t="s">
        <v>91</v>
      </c>
      <c r="J848" t="s">
        <v>85</v>
      </c>
      <c r="K848" t="s">
        <v>80</v>
      </c>
      <c r="L848" t="s">
        <v>71</v>
      </c>
      <c r="M848" t="s">
        <v>87</v>
      </c>
      <c r="O848" t="s">
        <v>88</v>
      </c>
      <c r="P848" t="s">
        <v>27</v>
      </c>
      <c r="Q848" t="s">
        <v>73</v>
      </c>
      <c r="R848" t="s">
        <v>76</v>
      </c>
      <c r="S848" t="s">
        <v>74</v>
      </c>
      <c r="T848" t="s">
        <v>75</v>
      </c>
      <c r="X848" t="s">
        <v>77</v>
      </c>
      <c r="Z848" t="s">
        <v>72</v>
      </c>
      <c r="AA848" t="s">
        <v>94</v>
      </c>
      <c r="AB848">
        <v>5</v>
      </c>
      <c r="AC848">
        <v>748798.94</v>
      </c>
      <c r="AD848">
        <v>8930494.0500000007</v>
      </c>
      <c r="AE848">
        <v>194.92</v>
      </c>
      <c r="AF848">
        <v>748798.94</v>
      </c>
      <c r="AG848">
        <v>8930494.0500000007</v>
      </c>
      <c r="AH848">
        <v>179.4</v>
      </c>
      <c r="AI848">
        <v>15.52</v>
      </c>
      <c r="AJ848">
        <v>0.6</v>
      </c>
      <c r="AK848">
        <v>3.37</v>
      </c>
      <c r="AL848">
        <v>2.93</v>
      </c>
      <c r="AM848">
        <v>0</v>
      </c>
      <c r="AN848">
        <v>0</v>
      </c>
      <c r="AO848">
        <v>358</v>
      </c>
      <c r="AP848">
        <v>3.52</v>
      </c>
      <c r="AQ848">
        <v>0.6</v>
      </c>
      <c r="AR848">
        <v>0.08</v>
      </c>
      <c r="AS848">
        <v>7.0000000000000007E-2</v>
      </c>
      <c r="AT848">
        <v>17.41</v>
      </c>
      <c r="AU848">
        <v>5.56</v>
      </c>
      <c r="AV848">
        <v>0.32</v>
      </c>
      <c r="AW848">
        <v>1.89</v>
      </c>
      <c r="AX848">
        <v>3.66</v>
      </c>
      <c r="AY848">
        <v>3.3</v>
      </c>
      <c r="AZ848">
        <v>177.923</v>
      </c>
      <c r="BA848">
        <v>0</v>
      </c>
      <c r="BB848">
        <v>0</v>
      </c>
      <c r="BC848">
        <v>0</v>
      </c>
      <c r="BD848">
        <v>0</v>
      </c>
    </row>
    <row r="849" spans="1:56" x14ac:dyDescent="0.25">
      <c r="A849" s="23">
        <v>46304</v>
      </c>
      <c r="B849">
        <v>848</v>
      </c>
      <c r="C849" t="s">
        <v>82</v>
      </c>
      <c r="D849" t="s">
        <v>83</v>
      </c>
      <c r="E849">
        <v>2</v>
      </c>
      <c r="F849">
        <v>180</v>
      </c>
      <c r="G849">
        <v>1</v>
      </c>
      <c r="H849" t="s">
        <v>96</v>
      </c>
      <c r="I849" t="s">
        <v>91</v>
      </c>
      <c r="J849" t="s">
        <v>85</v>
      </c>
      <c r="K849" t="s">
        <v>80</v>
      </c>
      <c r="L849" t="s">
        <v>71</v>
      </c>
      <c r="M849" t="s">
        <v>87</v>
      </c>
      <c r="O849" t="s">
        <v>88</v>
      </c>
      <c r="P849" t="s">
        <v>27</v>
      </c>
      <c r="Q849" t="s">
        <v>73</v>
      </c>
      <c r="R849" t="s">
        <v>76</v>
      </c>
      <c r="S849" t="s">
        <v>74</v>
      </c>
      <c r="T849" t="s">
        <v>75</v>
      </c>
      <c r="X849" t="s">
        <v>77</v>
      </c>
      <c r="Z849" t="s">
        <v>72</v>
      </c>
      <c r="AA849" t="s">
        <v>94</v>
      </c>
      <c r="AB849">
        <v>5</v>
      </c>
      <c r="AC849">
        <v>748802.24</v>
      </c>
      <c r="AD849">
        <v>8930494.7300000004</v>
      </c>
      <c r="AE849">
        <v>194.91</v>
      </c>
      <c r="AF849">
        <v>748802.24</v>
      </c>
      <c r="AG849">
        <v>8930494.7300000004</v>
      </c>
      <c r="AH849">
        <v>179.4</v>
      </c>
      <c r="AI849">
        <v>15.51</v>
      </c>
      <c r="AJ849">
        <v>0.6</v>
      </c>
      <c r="AK849">
        <v>3.37</v>
      </c>
      <c r="AL849">
        <v>2.93</v>
      </c>
      <c r="AM849">
        <v>0</v>
      </c>
      <c r="AN849">
        <v>0</v>
      </c>
      <c r="AO849">
        <v>358</v>
      </c>
      <c r="AP849">
        <v>3.57</v>
      </c>
      <c r="AQ849">
        <v>0.6</v>
      </c>
      <c r="AR849">
        <v>0.1</v>
      </c>
      <c r="AS849">
        <v>7.0000000000000007E-2</v>
      </c>
      <c r="AT849">
        <v>18.34</v>
      </c>
      <c r="AU849">
        <v>5.5</v>
      </c>
      <c r="AV849">
        <v>0.31</v>
      </c>
      <c r="AW849">
        <v>1.93</v>
      </c>
      <c r="AX849">
        <v>3.47</v>
      </c>
      <c r="AY849">
        <v>3.3</v>
      </c>
      <c r="AZ849">
        <v>177.77799999999999</v>
      </c>
      <c r="BA849">
        <v>0</v>
      </c>
      <c r="BB849">
        <v>0</v>
      </c>
      <c r="BC849">
        <v>0</v>
      </c>
      <c r="BD849">
        <v>0</v>
      </c>
    </row>
    <row r="850" spans="1:56" x14ac:dyDescent="0.25">
      <c r="A850" s="23">
        <v>46304</v>
      </c>
      <c r="B850">
        <v>849</v>
      </c>
      <c r="C850" t="s">
        <v>82</v>
      </c>
      <c r="D850" t="s">
        <v>83</v>
      </c>
      <c r="E850">
        <v>2</v>
      </c>
      <c r="F850">
        <v>180</v>
      </c>
      <c r="G850">
        <v>1</v>
      </c>
      <c r="H850" t="s">
        <v>96</v>
      </c>
      <c r="I850" t="s">
        <v>91</v>
      </c>
      <c r="J850" t="s">
        <v>85</v>
      </c>
      <c r="K850" t="s">
        <v>80</v>
      </c>
      <c r="L850" t="s">
        <v>71</v>
      </c>
      <c r="M850" t="s">
        <v>87</v>
      </c>
      <c r="O850" t="s">
        <v>88</v>
      </c>
      <c r="P850" t="s">
        <v>27</v>
      </c>
      <c r="Q850" t="s">
        <v>73</v>
      </c>
      <c r="R850" t="s">
        <v>76</v>
      </c>
      <c r="S850" t="s">
        <v>74</v>
      </c>
      <c r="T850" t="s">
        <v>75</v>
      </c>
      <c r="X850" t="s">
        <v>77</v>
      </c>
      <c r="Z850" t="s">
        <v>72</v>
      </c>
      <c r="AA850" t="s">
        <v>94</v>
      </c>
      <c r="AB850">
        <v>5</v>
      </c>
      <c r="AC850">
        <v>748805.51</v>
      </c>
      <c r="AD850">
        <v>8930495.5700000003</v>
      </c>
      <c r="AE850">
        <v>195.03</v>
      </c>
      <c r="AF850">
        <v>748805.51</v>
      </c>
      <c r="AG850">
        <v>8930495.5700000003</v>
      </c>
      <c r="AH850">
        <v>179.4</v>
      </c>
      <c r="AI850">
        <v>15.63</v>
      </c>
      <c r="AJ850">
        <v>0.6</v>
      </c>
      <c r="AK850">
        <v>3.37</v>
      </c>
      <c r="AL850">
        <v>2.93</v>
      </c>
      <c r="AM850">
        <v>0</v>
      </c>
      <c r="AN850">
        <v>0</v>
      </c>
      <c r="AO850">
        <v>358</v>
      </c>
      <c r="AP850">
        <v>3.57</v>
      </c>
      <c r="AQ850">
        <v>0.6</v>
      </c>
      <c r="AR850">
        <v>0.1</v>
      </c>
      <c r="AS850">
        <v>7.0000000000000007E-2</v>
      </c>
      <c r="AT850">
        <v>18.34</v>
      </c>
      <c r="AU850">
        <v>5.5</v>
      </c>
      <c r="AV850">
        <v>0.31</v>
      </c>
      <c r="AW850">
        <v>1.93</v>
      </c>
      <c r="AX850">
        <v>3.52</v>
      </c>
      <c r="AY850">
        <v>3.3</v>
      </c>
      <c r="AZ850">
        <v>179.52500000000001</v>
      </c>
      <c r="BA850">
        <v>0</v>
      </c>
      <c r="BB850">
        <v>0</v>
      </c>
      <c r="BC850">
        <v>0</v>
      </c>
      <c r="BD850">
        <v>0</v>
      </c>
    </row>
    <row r="851" spans="1:56" x14ac:dyDescent="0.25">
      <c r="A851" s="23">
        <v>46304</v>
      </c>
      <c r="B851">
        <v>850</v>
      </c>
      <c r="C851" t="s">
        <v>82</v>
      </c>
      <c r="D851" t="s">
        <v>83</v>
      </c>
      <c r="E851">
        <v>2</v>
      </c>
      <c r="F851">
        <v>180</v>
      </c>
      <c r="G851">
        <v>1</v>
      </c>
      <c r="H851" t="s">
        <v>96</v>
      </c>
      <c r="I851" t="s">
        <v>91</v>
      </c>
      <c r="J851" t="s">
        <v>85</v>
      </c>
      <c r="K851" t="s">
        <v>80</v>
      </c>
      <c r="L851" t="s">
        <v>71</v>
      </c>
      <c r="M851" t="s">
        <v>87</v>
      </c>
      <c r="O851" t="s">
        <v>88</v>
      </c>
      <c r="P851" t="s">
        <v>27</v>
      </c>
      <c r="Q851" t="s">
        <v>73</v>
      </c>
      <c r="R851" t="s">
        <v>76</v>
      </c>
      <c r="S851" t="s">
        <v>74</v>
      </c>
      <c r="T851" t="s">
        <v>75</v>
      </c>
      <c r="X851" t="s">
        <v>77</v>
      </c>
      <c r="Z851" t="s">
        <v>72</v>
      </c>
      <c r="AA851" t="s">
        <v>94</v>
      </c>
      <c r="AB851">
        <v>5</v>
      </c>
      <c r="AC851">
        <v>748808.64</v>
      </c>
      <c r="AD851">
        <v>8930496.8000000007</v>
      </c>
      <c r="AE851">
        <v>195.03</v>
      </c>
      <c r="AF851">
        <v>748808.64</v>
      </c>
      <c r="AG851">
        <v>8930496.8000000007</v>
      </c>
      <c r="AH851">
        <v>179.4</v>
      </c>
      <c r="AI851">
        <v>15.63</v>
      </c>
      <c r="AJ851">
        <v>0.6</v>
      </c>
      <c r="AK851">
        <v>3.37</v>
      </c>
      <c r="AL851">
        <v>2.93</v>
      </c>
      <c r="AM851">
        <v>0</v>
      </c>
      <c r="AN851">
        <v>0</v>
      </c>
      <c r="AO851">
        <v>358</v>
      </c>
      <c r="AP851">
        <v>3.56</v>
      </c>
      <c r="AQ851">
        <v>0.6</v>
      </c>
      <c r="AR851">
        <v>0.1</v>
      </c>
      <c r="AS851">
        <v>7.0000000000000007E-2</v>
      </c>
      <c r="AT851">
        <v>18.350000000000001</v>
      </c>
      <c r="AU851">
        <v>5.49</v>
      </c>
      <c r="AV851">
        <v>0.31</v>
      </c>
      <c r="AW851">
        <v>1.92</v>
      </c>
      <c r="AX851">
        <v>3.43</v>
      </c>
      <c r="AY851">
        <v>3.3</v>
      </c>
      <c r="AZ851">
        <v>179.52500000000001</v>
      </c>
      <c r="BA851">
        <v>0</v>
      </c>
      <c r="BB851">
        <v>0</v>
      </c>
      <c r="BC851">
        <v>0</v>
      </c>
      <c r="BD851">
        <v>0</v>
      </c>
    </row>
    <row r="852" spans="1:56" x14ac:dyDescent="0.25">
      <c r="A852" s="23">
        <v>46304</v>
      </c>
      <c r="B852">
        <v>851</v>
      </c>
      <c r="C852" t="s">
        <v>82</v>
      </c>
      <c r="D852" t="s">
        <v>83</v>
      </c>
      <c r="E852">
        <v>2</v>
      </c>
      <c r="F852">
        <v>180</v>
      </c>
      <c r="G852">
        <v>1</v>
      </c>
      <c r="H852" t="s">
        <v>96</v>
      </c>
      <c r="I852" t="s">
        <v>91</v>
      </c>
      <c r="J852" t="s">
        <v>85</v>
      </c>
      <c r="K852" t="s">
        <v>80</v>
      </c>
      <c r="L852" t="s">
        <v>71</v>
      </c>
      <c r="M852" t="s">
        <v>87</v>
      </c>
      <c r="O852" t="s">
        <v>88</v>
      </c>
      <c r="P852" t="s">
        <v>27</v>
      </c>
      <c r="Q852" t="s">
        <v>73</v>
      </c>
      <c r="R852" t="s">
        <v>76</v>
      </c>
      <c r="S852" t="s">
        <v>74</v>
      </c>
      <c r="T852" t="s">
        <v>75</v>
      </c>
      <c r="X852" t="s">
        <v>77</v>
      </c>
      <c r="Z852" t="s">
        <v>72</v>
      </c>
      <c r="AA852" t="s">
        <v>94</v>
      </c>
      <c r="AB852">
        <v>5</v>
      </c>
      <c r="AC852">
        <v>748811.88</v>
      </c>
      <c r="AD852">
        <v>8930497.6699999999</v>
      </c>
      <c r="AE852">
        <v>194.99</v>
      </c>
      <c r="AF852">
        <v>748811.88</v>
      </c>
      <c r="AG852">
        <v>8930497.6699999999</v>
      </c>
      <c r="AH852">
        <v>179.4</v>
      </c>
      <c r="AI852">
        <v>15.59</v>
      </c>
      <c r="AJ852">
        <v>0.6</v>
      </c>
      <c r="AK852">
        <v>3.37</v>
      </c>
      <c r="AL852">
        <v>2.93</v>
      </c>
      <c r="AM852">
        <v>0</v>
      </c>
      <c r="AN852">
        <v>0</v>
      </c>
      <c r="AO852">
        <v>358</v>
      </c>
      <c r="AP852">
        <v>3.43</v>
      </c>
      <c r="AQ852">
        <v>0.61</v>
      </c>
      <c r="AR852">
        <v>0.1</v>
      </c>
      <c r="AS852">
        <v>7.0000000000000007E-2</v>
      </c>
      <c r="AT852">
        <v>18.41</v>
      </c>
      <c r="AU852">
        <v>5.43</v>
      </c>
      <c r="AV852">
        <v>0.33</v>
      </c>
      <c r="AW852">
        <v>1.87</v>
      </c>
      <c r="AX852">
        <v>2.7</v>
      </c>
      <c r="AY852">
        <v>3.3</v>
      </c>
      <c r="AZ852">
        <v>178.94200000000001</v>
      </c>
      <c r="BA852">
        <v>0</v>
      </c>
      <c r="BB852">
        <v>0</v>
      </c>
      <c r="BC852">
        <v>0</v>
      </c>
      <c r="BD852">
        <v>0</v>
      </c>
    </row>
    <row r="853" spans="1:56" x14ac:dyDescent="0.25">
      <c r="A853" s="23">
        <v>46304</v>
      </c>
      <c r="B853">
        <v>852</v>
      </c>
      <c r="C853" t="s">
        <v>82</v>
      </c>
      <c r="D853" t="s">
        <v>83</v>
      </c>
      <c r="E853">
        <v>2</v>
      </c>
      <c r="F853">
        <v>180</v>
      </c>
      <c r="G853">
        <v>1</v>
      </c>
      <c r="H853" t="s">
        <v>96</v>
      </c>
      <c r="I853" t="s">
        <v>91</v>
      </c>
      <c r="J853" t="s">
        <v>85</v>
      </c>
      <c r="K853" t="s">
        <v>80</v>
      </c>
      <c r="L853" t="s">
        <v>71</v>
      </c>
      <c r="M853" t="s">
        <v>87</v>
      </c>
      <c r="O853" t="s">
        <v>88</v>
      </c>
      <c r="P853" t="s">
        <v>27</v>
      </c>
      <c r="Q853" t="s">
        <v>73</v>
      </c>
      <c r="R853" t="s">
        <v>76</v>
      </c>
      <c r="S853" t="s">
        <v>74</v>
      </c>
      <c r="T853" t="s">
        <v>75</v>
      </c>
      <c r="X853" t="s">
        <v>77</v>
      </c>
      <c r="Z853" t="s">
        <v>72</v>
      </c>
      <c r="AA853" t="s">
        <v>94</v>
      </c>
      <c r="AB853">
        <v>5</v>
      </c>
      <c r="AC853">
        <v>748815.18</v>
      </c>
      <c r="AD853">
        <v>8930498.3499999996</v>
      </c>
      <c r="AE853">
        <v>195.06</v>
      </c>
      <c r="AF853">
        <v>748815.18</v>
      </c>
      <c r="AG853">
        <v>8930498.3499999996</v>
      </c>
      <c r="AH853">
        <v>179.4</v>
      </c>
      <c r="AI853">
        <v>15.66</v>
      </c>
      <c r="AJ853">
        <v>0.6</v>
      </c>
      <c r="AK853">
        <v>3.37</v>
      </c>
      <c r="AL853">
        <v>2.93</v>
      </c>
      <c r="AM853">
        <v>0</v>
      </c>
      <c r="AN853">
        <v>0</v>
      </c>
      <c r="AO853">
        <v>358</v>
      </c>
      <c r="AP853">
        <v>3.42</v>
      </c>
      <c r="AQ853">
        <v>0.61</v>
      </c>
      <c r="AR853">
        <v>0.1</v>
      </c>
      <c r="AS853">
        <v>7.0000000000000007E-2</v>
      </c>
      <c r="AT853">
        <v>18.350000000000001</v>
      </c>
      <c r="AU853">
        <v>5.42</v>
      </c>
      <c r="AV853">
        <v>0.33</v>
      </c>
      <c r="AW853">
        <v>1.86</v>
      </c>
      <c r="AX853">
        <v>2.73</v>
      </c>
      <c r="AY853">
        <v>3.3</v>
      </c>
      <c r="AZ853">
        <v>179.96199999999999</v>
      </c>
      <c r="BA853">
        <v>0</v>
      </c>
      <c r="BB853">
        <v>0</v>
      </c>
      <c r="BC853">
        <v>0</v>
      </c>
      <c r="BD853">
        <v>0</v>
      </c>
    </row>
    <row r="854" spans="1:56" x14ac:dyDescent="0.25">
      <c r="A854" s="23">
        <v>46304</v>
      </c>
      <c r="B854">
        <v>853</v>
      </c>
      <c r="C854" t="s">
        <v>82</v>
      </c>
      <c r="D854" t="s">
        <v>83</v>
      </c>
      <c r="E854">
        <v>2</v>
      </c>
      <c r="F854">
        <v>180</v>
      </c>
      <c r="G854">
        <v>1</v>
      </c>
      <c r="H854" t="s">
        <v>96</v>
      </c>
      <c r="I854" t="s">
        <v>91</v>
      </c>
      <c r="J854" t="s">
        <v>85</v>
      </c>
      <c r="K854" t="s">
        <v>80</v>
      </c>
      <c r="L854" t="s">
        <v>71</v>
      </c>
      <c r="M854" t="s">
        <v>87</v>
      </c>
      <c r="O854" t="s">
        <v>88</v>
      </c>
      <c r="P854" t="s">
        <v>27</v>
      </c>
      <c r="Q854" t="s">
        <v>73</v>
      </c>
      <c r="R854" t="s">
        <v>76</v>
      </c>
      <c r="S854" t="s">
        <v>74</v>
      </c>
      <c r="T854" t="s">
        <v>75</v>
      </c>
      <c r="X854" t="s">
        <v>77</v>
      </c>
      <c r="Z854" t="s">
        <v>72</v>
      </c>
      <c r="AA854" t="s">
        <v>94</v>
      </c>
      <c r="AB854">
        <v>5</v>
      </c>
      <c r="AC854">
        <v>748818.48</v>
      </c>
      <c r="AD854">
        <v>8930499.0399999991</v>
      </c>
      <c r="AE854">
        <v>195.22</v>
      </c>
      <c r="AF854">
        <v>748818.48</v>
      </c>
      <c r="AG854">
        <v>8930499.0399999991</v>
      </c>
      <c r="AH854">
        <v>179.4</v>
      </c>
      <c r="AI854">
        <v>15.82</v>
      </c>
      <c r="AJ854">
        <v>0.6</v>
      </c>
      <c r="AK854">
        <v>3.37</v>
      </c>
      <c r="AL854">
        <v>2.93</v>
      </c>
      <c r="AM854">
        <v>0</v>
      </c>
      <c r="AN854">
        <v>0</v>
      </c>
      <c r="AO854">
        <v>358</v>
      </c>
      <c r="AP854">
        <v>3.4</v>
      </c>
      <c r="AQ854">
        <v>0.59</v>
      </c>
      <c r="AR854">
        <v>0.1</v>
      </c>
      <c r="AS854">
        <v>7.0000000000000007E-2</v>
      </c>
      <c r="AT854">
        <v>18.12</v>
      </c>
      <c r="AU854">
        <v>5.41</v>
      </c>
      <c r="AV854">
        <v>0.33</v>
      </c>
      <c r="AW854">
        <v>1.79</v>
      </c>
      <c r="AX854">
        <v>2.6</v>
      </c>
      <c r="AY854">
        <v>3.3</v>
      </c>
      <c r="AZ854">
        <v>182.291</v>
      </c>
      <c r="BA854">
        <v>0</v>
      </c>
      <c r="BB854">
        <v>0</v>
      </c>
      <c r="BC854">
        <v>0</v>
      </c>
      <c r="BD854">
        <v>0</v>
      </c>
    </row>
    <row r="855" spans="1:56" x14ac:dyDescent="0.25">
      <c r="A855" s="23">
        <v>46304</v>
      </c>
      <c r="B855">
        <v>854</v>
      </c>
      <c r="C855" t="s">
        <v>82</v>
      </c>
      <c r="D855" t="s">
        <v>83</v>
      </c>
      <c r="E855">
        <v>2</v>
      </c>
      <c r="F855">
        <v>180</v>
      </c>
      <c r="G855">
        <v>1</v>
      </c>
      <c r="H855" t="s">
        <v>96</v>
      </c>
      <c r="I855" t="s">
        <v>91</v>
      </c>
      <c r="J855" t="s">
        <v>85</v>
      </c>
      <c r="K855" t="s">
        <v>86</v>
      </c>
      <c r="L855" t="s">
        <v>71</v>
      </c>
      <c r="M855" t="s">
        <v>87</v>
      </c>
      <c r="O855" t="s">
        <v>88</v>
      </c>
      <c r="P855" t="s">
        <v>27</v>
      </c>
      <c r="Q855" t="s">
        <v>73</v>
      </c>
      <c r="R855" t="s">
        <v>76</v>
      </c>
      <c r="S855" t="s">
        <v>74</v>
      </c>
      <c r="T855" t="s">
        <v>75</v>
      </c>
      <c r="X855" t="s">
        <v>77</v>
      </c>
      <c r="Z855" t="s">
        <v>72</v>
      </c>
      <c r="AA855" t="s">
        <v>94</v>
      </c>
      <c r="AB855">
        <v>5</v>
      </c>
      <c r="AC855">
        <v>748821.78</v>
      </c>
      <c r="AD855">
        <v>8930499.7200000007</v>
      </c>
      <c r="AE855">
        <v>195.31</v>
      </c>
      <c r="AF855">
        <v>748821.78</v>
      </c>
      <c r="AG855">
        <v>8930499.7200000007</v>
      </c>
      <c r="AH855">
        <v>179.4</v>
      </c>
      <c r="AI855">
        <v>15.91</v>
      </c>
      <c r="AJ855">
        <v>0.6</v>
      </c>
      <c r="AK855">
        <v>3.37</v>
      </c>
      <c r="AL855">
        <v>2.93</v>
      </c>
      <c r="AM855">
        <v>0</v>
      </c>
      <c r="AN855">
        <v>0</v>
      </c>
      <c r="AO855">
        <v>358</v>
      </c>
      <c r="AP855">
        <v>3.35</v>
      </c>
      <c r="AQ855">
        <v>0.54</v>
      </c>
      <c r="AR855">
        <v>0.09</v>
      </c>
      <c r="AS855">
        <v>0.06</v>
      </c>
      <c r="AT855">
        <v>17.75</v>
      </c>
      <c r="AU855">
        <v>5.4</v>
      </c>
      <c r="AV855">
        <v>0.35</v>
      </c>
      <c r="AW855">
        <v>1.54</v>
      </c>
      <c r="AX855">
        <v>0.1</v>
      </c>
      <c r="AY855">
        <v>3.3</v>
      </c>
      <c r="AZ855">
        <v>183.602</v>
      </c>
      <c r="BA855">
        <v>0</v>
      </c>
      <c r="BB855">
        <v>0</v>
      </c>
      <c r="BC855">
        <v>0</v>
      </c>
      <c r="BD855">
        <v>0</v>
      </c>
    </row>
    <row r="856" spans="1:56" x14ac:dyDescent="0.25">
      <c r="A856" s="23">
        <v>46304</v>
      </c>
      <c r="B856">
        <v>855</v>
      </c>
      <c r="C856" t="s">
        <v>82</v>
      </c>
      <c r="D856" t="s">
        <v>83</v>
      </c>
      <c r="E856">
        <v>2</v>
      </c>
      <c r="F856">
        <v>180</v>
      </c>
      <c r="G856">
        <v>1</v>
      </c>
      <c r="H856" t="s">
        <v>96</v>
      </c>
      <c r="I856" t="s">
        <v>91</v>
      </c>
      <c r="J856" t="s">
        <v>85</v>
      </c>
      <c r="K856" t="s">
        <v>86</v>
      </c>
      <c r="L856" t="s">
        <v>71</v>
      </c>
      <c r="M856" t="s">
        <v>87</v>
      </c>
      <c r="O856" t="s">
        <v>88</v>
      </c>
      <c r="P856" t="s">
        <v>27</v>
      </c>
      <c r="Q856" t="s">
        <v>73</v>
      </c>
      <c r="R856" t="s">
        <v>76</v>
      </c>
      <c r="S856" t="s">
        <v>74</v>
      </c>
      <c r="T856" t="s">
        <v>75</v>
      </c>
      <c r="X856" t="s">
        <v>77</v>
      </c>
      <c r="Z856" t="s">
        <v>72</v>
      </c>
      <c r="AA856" t="s">
        <v>94</v>
      </c>
      <c r="AB856">
        <v>5</v>
      </c>
      <c r="AC856">
        <v>748824.71</v>
      </c>
      <c r="AD856">
        <v>8930497.3300000001</v>
      </c>
      <c r="AE856">
        <v>195.15</v>
      </c>
      <c r="AF856">
        <v>748824.71</v>
      </c>
      <c r="AG856">
        <v>8930497.3300000001</v>
      </c>
      <c r="AH856">
        <v>179.4</v>
      </c>
      <c r="AI856">
        <v>15.75</v>
      </c>
      <c r="AJ856">
        <v>0.6</v>
      </c>
      <c r="AK856">
        <v>3.37</v>
      </c>
      <c r="AL856">
        <v>2.93</v>
      </c>
      <c r="AM856">
        <v>0</v>
      </c>
      <c r="AN856">
        <v>0</v>
      </c>
      <c r="AO856">
        <v>358</v>
      </c>
      <c r="AP856">
        <v>3.33</v>
      </c>
      <c r="AQ856">
        <v>0.55000000000000004</v>
      </c>
      <c r="AR856">
        <v>0.09</v>
      </c>
      <c r="AS856">
        <v>0.06</v>
      </c>
      <c r="AT856">
        <v>17.940000000000001</v>
      </c>
      <c r="AU856">
        <v>5.48</v>
      </c>
      <c r="AV856">
        <v>0.34</v>
      </c>
      <c r="AW856">
        <v>1.63</v>
      </c>
      <c r="AX856">
        <v>0</v>
      </c>
      <c r="AY856">
        <v>3.3</v>
      </c>
      <c r="AZ856">
        <v>181.27199999999999</v>
      </c>
      <c r="BA856">
        <v>0</v>
      </c>
      <c r="BB856">
        <v>0</v>
      </c>
      <c r="BC856">
        <v>0</v>
      </c>
      <c r="BD856">
        <v>0</v>
      </c>
    </row>
    <row r="857" spans="1:56" x14ac:dyDescent="0.25">
      <c r="A857" s="23">
        <v>46304</v>
      </c>
      <c r="B857">
        <v>856</v>
      </c>
      <c r="C857" t="s">
        <v>82</v>
      </c>
      <c r="D857" t="s">
        <v>83</v>
      </c>
      <c r="E857">
        <v>2</v>
      </c>
      <c r="F857">
        <v>180</v>
      </c>
      <c r="G857">
        <v>1</v>
      </c>
      <c r="H857" t="s">
        <v>96</v>
      </c>
      <c r="I857" t="s">
        <v>91</v>
      </c>
      <c r="J857" t="s">
        <v>85</v>
      </c>
      <c r="K857" t="s">
        <v>86</v>
      </c>
      <c r="L857" t="s">
        <v>71</v>
      </c>
      <c r="M857" t="s">
        <v>87</v>
      </c>
      <c r="O857" t="s">
        <v>88</v>
      </c>
      <c r="P857" t="s">
        <v>27</v>
      </c>
      <c r="Q857" t="s">
        <v>73</v>
      </c>
      <c r="R857" t="s">
        <v>76</v>
      </c>
      <c r="S857" t="s">
        <v>74</v>
      </c>
      <c r="T857" t="s">
        <v>75</v>
      </c>
      <c r="X857" t="s">
        <v>77</v>
      </c>
      <c r="Z857" t="s">
        <v>72</v>
      </c>
      <c r="AA857" t="s">
        <v>94</v>
      </c>
      <c r="AB857">
        <v>5</v>
      </c>
      <c r="AC857">
        <v>748821.41</v>
      </c>
      <c r="AD857">
        <v>8930496.6500000004</v>
      </c>
      <c r="AE857">
        <v>195.07</v>
      </c>
      <c r="AF857">
        <v>748821.41</v>
      </c>
      <c r="AG857">
        <v>8930496.6500000004</v>
      </c>
      <c r="AH857">
        <v>179.4</v>
      </c>
      <c r="AI857">
        <v>15.67</v>
      </c>
      <c r="AJ857">
        <v>0.6</v>
      </c>
      <c r="AK857">
        <v>3.37</v>
      </c>
      <c r="AL857">
        <v>2.93</v>
      </c>
      <c r="AM857">
        <v>0</v>
      </c>
      <c r="AN857">
        <v>0</v>
      </c>
      <c r="AO857">
        <v>358</v>
      </c>
      <c r="AP857">
        <v>3.34</v>
      </c>
      <c r="AQ857">
        <v>0.56000000000000005</v>
      </c>
      <c r="AR857">
        <v>0.09</v>
      </c>
      <c r="AS857">
        <v>0.06</v>
      </c>
      <c r="AT857">
        <v>17.989999999999998</v>
      </c>
      <c r="AU857">
        <v>5.48</v>
      </c>
      <c r="AV857">
        <v>0.34</v>
      </c>
      <c r="AW857">
        <v>1.66</v>
      </c>
      <c r="AX857">
        <v>0.3</v>
      </c>
      <c r="AY857">
        <v>3.3</v>
      </c>
      <c r="AZ857">
        <v>180.107</v>
      </c>
      <c r="BA857">
        <v>0</v>
      </c>
      <c r="BB857">
        <v>0</v>
      </c>
      <c r="BC857">
        <v>0</v>
      </c>
      <c r="BD857">
        <v>0</v>
      </c>
    </row>
    <row r="858" spans="1:56" x14ac:dyDescent="0.25">
      <c r="A858" s="23">
        <v>46304</v>
      </c>
      <c r="B858">
        <v>857</v>
      </c>
      <c r="C858" t="s">
        <v>82</v>
      </c>
      <c r="D858" t="s">
        <v>83</v>
      </c>
      <c r="E858">
        <v>2</v>
      </c>
      <c r="F858">
        <v>180</v>
      </c>
      <c r="G858">
        <v>1</v>
      </c>
      <c r="H858" t="s">
        <v>96</v>
      </c>
      <c r="I858" t="s">
        <v>91</v>
      </c>
      <c r="J858" t="s">
        <v>85</v>
      </c>
      <c r="K858" t="s">
        <v>80</v>
      </c>
      <c r="L858" t="s">
        <v>71</v>
      </c>
      <c r="M858" t="s">
        <v>87</v>
      </c>
      <c r="O858" t="s">
        <v>88</v>
      </c>
      <c r="P858" t="s">
        <v>27</v>
      </c>
      <c r="Q858" t="s">
        <v>73</v>
      </c>
      <c r="R858" t="s">
        <v>76</v>
      </c>
      <c r="S858" t="s">
        <v>74</v>
      </c>
      <c r="T858" t="s">
        <v>75</v>
      </c>
      <c r="X858" t="s">
        <v>77</v>
      </c>
      <c r="Z858" t="s">
        <v>72</v>
      </c>
      <c r="AA858" t="s">
        <v>94</v>
      </c>
      <c r="AB858">
        <v>5</v>
      </c>
      <c r="AC858">
        <v>748818.11</v>
      </c>
      <c r="AD858">
        <v>8930495.9700000007</v>
      </c>
      <c r="AE858">
        <v>195.05</v>
      </c>
      <c r="AF858">
        <v>748818.11</v>
      </c>
      <c r="AG858">
        <v>8930495.9700000007</v>
      </c>
      <c r="AH858">
        <v>179.4</v>
      </c>
      <c r="AI858">
        <v>15.65</v>
      </c>
      <c r="AJ858">
        <v>0.6</v>
      </c>
      <c r="AK858">
        <v>3.37</v>
      </c>
      <c r="AL858">
        <v>2.93</v>
      </c>
      <c r="AM858">
        <v>0</v>
      </c>
      <c r="AN858">
        <v>0</v>
      </c>
      <c r="AO858">
        <v>358</v>
      </c>
      <c r="AP858">
        <v>3.43</v>
      </c>
      <c r="AQ858">
        <v>0.61</v>
      </c>
      <c r="AR858">
        <v>0.1</v>
      </c>
      <c r="AS858">
        <v>7.0000000000000007E-2</v>
      </c>
      <c r="AT858">
        <v>18.41</v>
      </c>
      <c r="AU858">
        <v>5.42</v>
      </c>
      <c r="AV858">
        <v>0.33</v>
      </c>
      <c r="AW858">
        <v>1.87</v>
      </c>
      <c r="AX858">
        <v>2.66</v>
      </c>
      <c r="AY858">
        <v>3.3</v>
      </c>
      <c r="AZ858">
        <v>179.816</v>
      </c>
      <c r="BA858">
        <v>0</v>
      </c>
      <c r="BB858">
        <v>0</v>
      </c>
      <c r="BC858">
        <v>0</v>
      </c>
      <c r="BD858">
        <v>0</v>
      </c>
    </row>
    <row r="859" spans="1:56" x14ac:dyDescent="0.25">
      <c r="A859" s="23">
        <v>46304</v>
      </c>
      <c r="B859">
        <v>858</v>
      </c>
      <c r="C859" t="s">
        <v>82</v>
      </c>
      <c r="D859" t="s">
        <v>83</v>
      </c>
      <c r="E859">
        <v>2</v>
      </c>
      <c r="F859">
        <v>180</v>
      </c>
      <c r="G859">
        <v>1</v>
      </c>
      <c r="H859" t="s">
        <v>96</v>
      </c>
      <c r="I859" t="s">
        <v>91</v>
      </c>
      <c r="J859" t="s">
        <v>85</v>
      </c>
      <c r="K859" t="s">
        <v>80</v>
      </c>
      <c r="L859" t="s">
        <v>71</v>
      </c>
      <c r="M859" t="s">
        <v>87</v>
      </c>
      <c r="O859" t="s">
        <v>88</v>
      </c>
      <c r="P859" t="s">
        <v>27</v>
      </c>
      <c r="Q859" t="s">
        <v>73</v>
      </c>
      <c r="R859" t="s">
        <v>76</v>
      </c>
      <c r="S859" t="s">
        <v>74</v>
      </c>
      <c r="T859" t="s">
        <v>75</v>
      </c>
      <c r="X859" t="s">
        <v>77</v>
      </c>
      <c r="Z859" t="s">
        <v>72</v>
      </c>
      <c r="AA859" t="s">
        <v>94</v>
      </c>
      <c r="AB859">
        <v>5</v>
      </c>
      <c r="AC859">
        <v>748814.81</v>
      </c>
      <c r="AD859">
        <v>8930495.2899999991</v>
      </c>
      <c r="AE859">
        <v>195.04</v>
      </c>
      <c r="AF859">
        <v>748814.81</v>
      </c>
      <c r="AG859">
        <v>8930495.2899999991</v>
      </c>
      <c r="AH859">
        <v>179.4</v>
      </c>
      <c r="AI859">
        <v>15.64</v>
      </c>
      <c r="AJ859">
        <v>0.6</v>
      </c>
      <c r="AK859">
        <v>3.37</v>
      </c>
      <c r="AL859">
        <v>2.93</v>
      </c>
      <c r="AM859">
        <v>0</v>
      </c>
      <c r="AN859">
        <v>0</v>
      </c>
      <c r="AO859">
        <v>358</v>
      </c>
      <c r="AP859">
        <v>3.43</v>
      </c>
      <c r="AQ859">
        <v>0.61</v>
      </c>
      <c r="AR859">
        <v>0.1</v>
      </c>
      <c r="AS859">
        <v>7.0000000000000007E-2</v>
      </c>
      <c r="AT859">
        <v>18.420000000000002</v>
      </c>
      <c r="AU859">
        <v>5.42</v>
      </c>
      <c r="AV859">
        <v>0.33</v>
      </c>
      <c r="AW859">
        <v>1.87</v>
      </c>
      <c r="AX859">
        <v>2.71</v>
      </c>
      <c r="AY859">
        <v>3.3</v>
      </c>
      <c r="AZ859">
        <v>179.67</v>
      </c>
      <c r="BA859">
        <v>0</v>
      </c>
      <c r="BB859">
        <v>0</v>
      </c>
      <c r="BC859">
        <v>0</v>
      </c>
      <c r="BD859">
        <v>0</v>
      </c>
    </row>
    <row r="860" spans="1:56" x14ac:dyDescent="0.25">
      <c r="A860" s="23">
        <v>46304</v>
      </c>
      <c r="B860">
        <v>859</v>
      </c>
      <c r="C860" t="s">
        <v>82</v>
      </c>
      <c r="D860" t="s">
        <v>83</v>
      </c>
      <c r="E860">
        <v>2</v>
      </c>
      <c r="F860">
        <v>180</v>
      </c>
      <c r="G860">
        <v>1</v>
      </c>
      <c r="H860" t="s">
        <v>96</v>
      </c>
      <c r="I860" t="s">
        <v>91</v>
      </c>
      <c r="J860" t="s">
        <v>85</v>
      </c>
      <c r="K860" t="s">
        <v>80</v>
      </c>
      <c r="L860" t="s">
        <v>71</v>
      </c>
      <c r="M860" t="s">
        <v>87</v>
      </c>
      <c r="O860" t="s">
        <v>88</v>
      </c>
      <c r="P860" t="s">
        <v>27</v>
      </c>
      <c r="Q860" t="s">
        <v>73</v>
      </c>
      <c r="R860" t="s">
        <v>76</v>
      </c>
      <c r="S860" t="s">
        <v>74</v>
      </c>
      <c r="T860" t="s">
        <v>75</v>
      </c>
      <c r="X860" t="s">
        <v>77</v>
      </c>
      <c r="Z860" t="s">
        <v>72</v>
      </c>
      <c r="AA860" t="s">
        <v>94</v>
      </c>
      <c r="AB860">
        <v>5</v>
      </c>
      <c r="AC860">
        <v>748811.52</v>
      </c>
      <c r="AD860">
        <v>8930494.5800000001</v>
      </c>
      <c r="AE860">
        <v>194.92</v>
      </c>
      <c r="AF860">
        <v>748811.52</v>
      </c>
      <c r="AG860">
        <v>8930494.5800000001</v>
      </c>
      <c r="AH860">
        <v>179.4</v>
      </c>
      <c r="AI860">
        <v>15.52</v>
      </c>
      <c r="AJ860">
        <v>0.6</v>
      </c>
      <c r="AK860">
        <v>3.37</v>
      </c>
      <c r="AL860">
        <v>2.93</v>
      </c>
      <c r="AM860">
        <v>0</v>
      </c>
      <c r="AN860">
        <v>0</v>
      </c>
      <c r="AO860">
        <v>358</v>
      </c>
      <c r="AP860">
        <v>3.44</v>
      </c>
      <c r="AQ860">
        <v>0.61</v>
      </c>
      <c r="AR860">
        <v>0.1</v>
      </c>
      <c r="AS860">
        <v>7.0000000000000007E-2</v>
      </c>
      <c r="AT860">
        <v>18.399999999999999</v>
      </c>
      <c r="AU860">
        <v>5.43</v>
      </c>
      <c r="AV860">
        <v>0.33</v>
      </c>
      <c r="AW860">
        <v>1.88</v>
      </c>
      <c r="AX860">
        <v>2.73</v>
      </c>
      <c r="AY860">
        <v>3.3</v>
      </c>
      <c r="AZ860">
        <v>177.923</v>
      </c>
      <c r="BA860">
        <v>0</v>
      </c>
      <c r="BB860">
        <v>0</v>
      </c>
      <c r="BC860">
        <v>0</v>
      </c>
      <c r="BD860">
        <v>0</v>
      </c>
    </row>
    <row r="861" spans="1:56" x14ac:dyDescent="0.25">
      <c r="A861" s="23">
        <v>46304</v>
      </c>
      <c r="B861">
        <v>860</v>
      </c>
      <c r="C861" t="s">
        <v>82</v>
      </c>
      <c r="D861" t="s">
        <v>83</v>
      </c>
      <c r="E861">
        <v>2</v>
      </c>
      <c r="F861">
        <v>180</v>
      </c>
      <c r="G861">
        <v>1</v>
      </c>
      <c r="H861" t="s">
        <v>96</v>
      </c>
      <c r="I861" t="s">
        <v>91</v>
      </c>
      <c r="J861" t="s">
        <v>85</v>
      </c>
      <c r="K861" t="s">
        <v>80</v>
      </c>
      <c r="L861" t="s">
        <v>71</v>
      </c>
      <c r="M861" t="s">
        <v>87</v>
      </c>
      <c r="O861" t="s">
        <v>88</v>
      </c>
      <c r="P861" t="s">
        <v>27</v>
      </c>
      <c r="Q861" t="s">
        <v>73</v>
      </c>
      <c r="R861" t="s">
        <v>76</v>
      </c>
      <c r="S861" t="s">
        <v>74</v>
      </c>
      <c r="T861" t="s">
        <v>75</v>
      </c>
      <c r="X861" t="s">
        <v>77</v>
      </c>
      <c r="Z861" t="s">
        <v>72</v>
      </c>
      <c r="AA861" t="s">
        <v>94</v>
      </c>
      <c r="AB861">
        <v>5</v>
      </c>
      <c r="AC861">
        <v>748808.33</v>
      </c>
      <c r="AD861">
        <v>8930493.5399999991</v>
      </c>
      <c r="AE861">
        <v>195.09</v>
      </c>
      <c r="AF861">
        <v>748808.33</v>
      </c>
      <c r="AG861">
        <v>8930493.5399999991</v>
      </c>
      <c r="AH861">
        <v>179.4</v>
      </c>
      <c r="AI861">
        <v>15.69</v>
      </c>
      <c r="AJ861">
        <v>0.6</v>
      </c>
      <c r="AK861">
        <v>3.37</v>
      </c>
      <c r="AL861">
        <v>2.93</v>
      </c>
      <c r="AM861">
        <v>0</v>
      </c>
      <c r="AN861">
        <v>0</v>
      </c>
      <c r="AO861">
        <v>358</v>
      </c>
      <c r="AP861">
        <v>3.57</v>
      </c>
      <c r="AQ861">
        <v>0.6</v>
      </c>
      <c r="AR861">
        <v>0.1</v>
      </c>
      <c r="AS861">
        <v>7.0000000000000007E-2</v>
      </c>
      <c r="AT861">
        <v>18.34</v>
      </c>
      <c r="AU861">
        <v>5.49</v>
      </c>
      <c r="AV861">
        <v>0.31</v>
      </c>
      <c r="AW861">
        <v>1.93</v>
      </c>
      <c r="AX861">
        <v>3.51</v>
      </c>
      <c r="AY861">
        <v>3.3</v>
      </c>
      <c r="AZ861">
        <v>180.398</v>
      </c>
      <c r="BA861">
        <v>0</v>
      </c>
      <c r="BB861">
        <v>0</v>
      </c>
      <c r="BC861">
        <v>0</v>
      </c>
      <c r="BD861">
        <v>0</v>
      </c>
    </row>
    <row r="862" spans="1:56" x14ac:dyDescent="0.25">
      <c r="A862" s="23">
        <v>46304</v>
      </c>
      <c r="B862">
        <v>861</v>
      </c>
      <c r="C862" t="s">
        <v>82</v>
      </c>
      <c r="D862" t="s">
        <v>83</v>
      </c>
      <c r="E862">
        <v>2</v>
      </c>
      <c r="F862">
        <v>180</v>
      </c>
      <c r="G862">
        <v>1</v>
      </c>
      <c r="H862" t="s">
        <v>96</v>
      </c>
      <c r="I862" t="s">
        <v>91</v>
      </c>
      <c r="J862" t="s">
        <v>85</v>
      </c>
      <c r="K862" t="s">
        <v>80</v>
      </c>
      <c r="L862" t="s">
        <v>71</v>
      </c>
      <c r="M862" t="s">
        <v>87</v>
      </c>
      <c r="O862" t="s">
        <v>88</v>
      </c>
      <c r="P862" t="s">
        <v>27</v>
      </c>
      <c r="Q862" t="s">
        <v>73</v>
      </c>
      <c r="R862" t="s">
        <v>76</v>
      </c>
      <c r="S862" t="s">
        <v>74</v>
      </c>
      <c r="T862" t="s">
        <v>75</v>
      </c>
      <c r="X862" t="s">
        <v>77</v>
      </c>
      <c r="Z862" t="s">
        <v>72</v>
      </c>
      <c r="AA862" t="s">
        <v>94</v>
      </c>
      <c r="AB862">
        <v>5</v>
      </c>
      <c r="AC862">
        <v>748805.15</v>
      </c>
      <c r="AD862">
        <v>8930492.4600000009</v>
      </c>
      <c r="AE862">
        <v>194.92</v>
      </c>
      <c r="AF862">
        <v>748805.15</v>
      </c>
      <c r="AG862">
        <v>8930492.4600000009</v>
      </c>
      <c r="AH862">
        <v>179.4</v>
      </c>
      <c r="AI862">
        <v>15.52</v>
      </c>
      <c r="AJ862">
        <v>0.6</v>
      </c>
      <c r="AK862">
        <v>3.37</v>
      </c>
      <c r="AL862">
        <v>2.93</v>
      </c>
      <c r="AM862">
        <v>0</v>
      </c>
      <c r="AN862">
        <v>0</v>
      </c>
      <c r="AO862">
        <v>358</v>
      </c>
      <c r="AP862">
        <v>3.57</v>
      </c>
      <c r="AQ862">
        <v>0.6</v>
      </c>
      <c r="AR862">
        <v>0.1</v>
      </c>
      <c r="AS862">
        <v>7.0000000000000007E-2</v>
      </c>
      <c r="AT862">
        <v>18.34</v>
      </c>
      <c r="AU862">
        <v>5.5</v>
      </c>
      <c r="AV862">
        <v>0.31</v>
      </c>
      <c r="AW862">
        <v>1.93</v>
      </c>
      <c r="AX862">
        <v>3.47</v>
      </c>
      <c r="AY862">
        <v>3.3</v>
      </c>
      <c r="AZ862">
        <v>177.923</v>
      </c>
      <c r="BA862">
        <v>0</v>
      </c>
      <c r="BB862">
        <v>0</v>
      </c>
      <c r="BC862">
        <v>0</v>
      </c>
      <c r="BD862">
        <v>0</v>
      </c>
    </row>
    <row r="863" spans="1:56" x14ac:dyDescent="0.25">
      <c r="A863" s="23">
        <v>46304</v>
      </c>
      <c r="B863">
        <v>862</v>
      </c>
      <c r="C863" t="s">
        <v>82</v>
      </c>
      <c r="D863" t="s">
        <v>83</v>
      </c>
      <c r="E863">
        <v>2</v>
      </c>
      <c r="F863">
        <v>180</v>
      </c>
      <c r="G863">
        <v>1</v>
      </c>
      <c r="H863" t="s">
        <v>96</v>
      </c>
      <c r="I863" t="s">
        <v>91</v>
      </c>
      <c r="J863" t="s">
        <v>85</v>
      </c>
      <c r="K863" t="s">
        <v>80</v>
      </c>
      <c r="L863" t="s">
        <v>71</v>
      </c>
      <c r="M863" t="s">
        <v>87</v>
      </c>
      <c r="O863" t="s">
        <v>88</v>
      </c>
      <c r="P863" t="s">
        <v>27</v>
      </c>
      <c r="Q863" t="s">
        <v>73</v>
      </c>
      <c r="R863" t="s">
        <v>76</v>
      </c>
      <c r="S863" t="s">
        <v>74</v>
      </c>
      <c r="T863" t="s">
        <v>75</v>
      </c>
      <c r="X863" t="s">
        <v>77</v>
      </c>
      <c r="Z863" t="s">
        <v>72</v>
      </c>
      <c r="AA863" t="s">
        <v>94</v>
      </c>
      <c r="AB863">
        <v>5</v>
      </c>
      <c r="AC863">
        <v>748801.88</v>
      </c>
      <c r="AD863">
        <v>8930491.6799999997</v>
      </c>
      <c r="AE863">
        <v>194.72</v>
      </c>
      <c r="AF863">
        <v>748801.88</v>
      </c>
      <c r="AG863">
        <v>8930491.6799999997</v>
      </c>
      <c r="AH863">
        <v>179.4</v>
      </c>
      <c r="AI863">
        <v>15.32</v>
      </c>
      <c r="AJ863">
        <v>0.6</v>
      </c>
      <c r="AK863">
        <v>3.37</v>
      </c>
      <c r="AL863">
        <v>2.93</v>
      </c>
      <c r="AM863">
        <v>0</v>
      </c>
      <c r="AN863">
        <v>0</v>
      </c>
      <c r="AO863">
        <v>358</v>
      </c>
      <c r="AP863">
        <v>3.56</v>
      </c>
      <c r="AQ863">
        <v>0.6</v>
      </c>
      <c r="AR863">
        <v>0.1</v>
      </c>
      <c r="AS863">
        <v>7.0000000000000007E-2</v>
      </c>
      <c r="AT863">
        <v>18.3</v>
      </c>
      <c r="AU863">
        <v>5.53</v>
      </c>
      <c r="AV863">
        <v>0.31</v>
      </c>
      <c r="AW863">
        <v>1.93</v>
      </c>
      <c r="AX863">
        <v>3.33</v>
      </c>
      <c r="AY863">
        <v>3.3</v>
      </c>
      <c r="AZ863">
        <v>175.011</v>
      </c>
      <c r="BA863">
        <v>0</v>
      </c>
      <c r="BB863">
        <v>0</v>
      </c>
      <c r="BC863">
        <v>0</v>
      </c>
      <c r="BD863">
        <v>0</v>
      </c>
    </row>
    <row r="864" spans="1:56" x14ac:dyDescent="0.25">
      <c r="A864" s="23">
        <v>46304</v>
      </c>
      <c r="B864">
        <v>863</v>
      </c>
      <c r="C864" t="s">
        <v>82</v>
      </c>
      <c r="D864" t="s">
        <v>83</v>
      </c>
      <c r="E864">
        <v>2</v>
      </c>
      <c r="F864">
        <v>180</v>
      </c>
      <c r="G864">
        <v>1</v>
      </c>
      <c r="H864" t="s">
        <v>96</v>
      </c>
      <c r="I864" t="s">
        <v>91</v>
      </c>
      <c r="J864" t="s">
        <v>85</v>
      </c>
      <c r="K864" t="s">
        <v>80</v>
      </c>
      <c r="L864" t="s">
        <v>71</v>
      </c>
      <c r="M864" t="s">
        <v>87</v>
      </c>
      <c r="O864" t="s">
        <v>88</v>
      </c>
      <c r="P864" t="s">
        <v>27</v>
      </c>
      <c r="Q864" t="s">
        <v>73</v>
      </c>
      <c r="R864" t="s">
        <v>76</v>
      </c>
      <c r="S864" t="s">
        <v>74</v>
      </c>
      <c r="T864" t="s">
        <v>75</v>
      </c>
      <c r="X864" t="s">
        <v>77</v>
      </c>
      <c r="Z864" t="s">
        <v>72</v>
      </c>
      <c r="AA864" t="s">
        <v>94</v>
      </c>
      <c r="AB864">
        <v>5</v>
      </c>
      <c r="AC864">
        <v>748798.57</v>
      </c>
      <c r="AD864">
        <v>8930491.0299999993</v>
      </c>
      <c r="AE864">
        <v>194.72</v>
      </c>
      <c r="AF864">
        <v>748798.57</v>
      </c>
      <c r="AG864">
        <v>8930491.0299999993</v>
      </c>
      <c r="AH864">
        <v>179.4</v>
      </c>
      <c r="AI864">
        <v>15.32</v>
      </c>
      <c r="AJ864">
        <v>0.6</v>
      </c>
      <c r="AK864">
        <v>3.37</v>
      </c>
      <c r="AL864">
        <v>2.93</v>
      </c>
      <c r="AM864">
        <v>0</v>
      </c>
      <c r="AN864">
        <v>0</v>
      </c>
      <c r="AO864">
        <v>358</v>
      </c>
      <c r="AP864">
        <v>3.5</v>
      </c>
      <c r="AQ864">
        <v>0.59</v>
      </c>
      <c r="AR864">
        <v>0.08</v>
      </c>
      <c r="AS864">
        <v>7.0000000000000007E-2</v>
      </c>
      <c r="AT864">
        <v>17.37</v>
      </c>
      <c r="AU864">
        <v>5.66</v>
      </c>
      <c r="AV864">
        <v>0.32</v>
      </c>
      <c r="AW864">
        <v>1.87</v>
      </c>
      <c r="AX864">
        <v>3.42</v>
      </c>
      <c r="AY864">
        <v>3.3</v>
      </c>
      <c r="AZ864">
        <v>175.011</v>
      </c>
      <c r="BA864">
        <v>0</v>
      </c>
      <c r="BB864">
        <v>0</v>
      </c>
      <c r="BC864">
        <v>0</v>
      </c>
      <c r="BD864">
        <v>0</v>
      </c>
    </row>
    <row r="865" spans="1:56" x14ac:dyDescent="0.25">
      <c r="A865" s="23">
        <v>46304</v>
      </c>
      <c r="B865">
        <v>864</v>
      </c>
      <c r="C865" t="s">
        <v>82</v>
      </c>
      <c r="D865" t="s">
        <v>83</v>
      </c>
      <c r="E865">
        <v>2</v>
      </c>
      <c r="F865">
        <v>180</v>
      </c>
      <c r="G865">
        <v>1</v>
      </c>
      <c r="H865" t="s">
        <v>96</v>
      </c>
      <c r="I865" t="s">
        <v>91</v>
      </c>
      <c r="J865" t="s">
        <v>85</v>
      </c>
      <c r="K865" t="s">
        <v>80</v>
      </c>
      <c r="L865" t="s">
        <v>71</v>
      </c>
      <c r="M865" t="s">
        <v>87</v>
      </c>
      <c r="O865" t="s">
        <v>88</v>
      </c>
      <c r="P865" t="s">
        <v>27</v>
      </c>
      <c r="Q865" t="s">
        <v>73</v>
      </c>
      <c r="R865" t="s">
        <v>76</v>
      </c>
      <c r="S865" t="s">
        <v>74</v>
      </c>
      <c r="T865" t="s">
        <v>75</v>
      </c>
      <c r="X865" t="s">
        <v>77</v>
      </c>
      <c r="Z865" t="s">
        <v>72</v>
      </c>
      <c r="AA865" t="s">
        <v>94</v>
      </c>
      <c r="AB865">
        <v>5</v>
      </c>
      <c r="AC865">
        <v>748795.25</v>
      </c>
      <c r="AD865">
        <v>8930490.4600000009</v>
      </c>
      <c r="AE865">
        <v>194.73</v>
      </c>
      <c r="AF865">
        <v>748795.25</v>
      </c>
      <c r="AG865">
        <v>8930490.4600000009</v>
      </c>
      <c r="AH865">
        <v>179.4</v>
      </c>
      <c r="AI865">
        <v>15.33</v>
      </c>
      <c r="AJ865">
        <v>0.6</v>
      </c>
      <c r="AK865">
        <v>3.37</v>
      </c>
      <c r="AL865">
        <v>2.93</v>
      </c>
      <c r="AM865">
        <v>0</v>
      </c>
      <c r="AN865">
        <v>0</v>
      </c>
      <c r="AO865">
        <v>358</v>
      </c>
      <c r="AP865">
        <v>3.49</v>
      </c>
      <c r="AQ865">
        <v>0.59</v>
      </c>
      <c r="AR865">
        <v>7.0000000000000007E-2</v>
      </c>
      <c r="AS865">
        <v>7.0000000000000007E-2</v>
      </c>
      <c r="AT865">
        <v>17.309999999999999</v>
      </c>
      <c r="AU865">
        <v>5.75</v>
      </c>
      <c r="AV865">
        <v>0.32</v>
      </c>
      <c r="AW865">
        <v>1.86</v>
      </c>
      <c r="AX865">
        <v>3.33</v>
      </c>
      <c r="AY865">
        <v>3.3</v>
      </c>
      <c r="AZ865">
        <v>175.15700000000001</v>
      </c>
      <c r="BA865">
        <v>0</v>
      </c>
      <c r="BB865">
        <v>0</v>
      </c>
      <c r="BC865">
        <v>0</v>
      </c>
      <c r="BD865">
        <v>0</v>
      </c>
    </row>
    <row r="866" spans="1:56" x14ac:dyDescent="0.25">
      <c r="A866" s="23">
        <v>46304</v>
      </c>
      <c r="B866">
        <v>865</v>
      </c>
      <c r="C866" t="s">
        <v>82</v>
      </c>
      <c r="D866" t="s">
        <v>83</v>
      </c>
      <c r="E866">
        <v>2</v>
      </c>
      <c r="F866">
        <v>180</v>
      </c>
      <c r="G866">
        <v>1</v>
      </c>
      <c r="H866" t="s">
        <v>96</v>
      </c>
      <c r="I866" t="s">
        <v>91</v>
      </c>
      <c r="J866" t="s">
        <v>85</v>
      </c>
      <c r="K866" t="s">
        <v>86</v>
      </c>
      <c r="L866" t="s">
        <v>71</v>
      </c>
      <c r="M866" t="s">
        <v>87</v>
      </c>
      <c r="O866" t="s">
        <v>88</v>
      </c>
      <c r="P866" t="s">
        <v>27</v>
      </c>
      <c r="Q866" t="s">
        <v>73</v>
      </c>
      <c r="R866" t="s">
        <v>76</v>
      </c>
      <c r="S866" t="s">
        <v>74</v>
      </c>
      <c r="T866" t="s">
        <v>75</v>
      </c>
      <c r="X866" t="s">
        <v>77</v>
      </c>
      <c r="Z866" t="s">
        <v>72</v>
      </c>
      <c r="AA866" t="s">
        <v>94</v>
      </c>
      <c r="AB866">
        <v>5</v>
      </c>
      <c r="AC866">
        <v>748792.33</v>
      </c>
      <c r="AD866">
        <v>8930489.7899999991</v>
      </c>
      <c r="AE866">
        <v>194.62</v>
      </c>
      <c r="AF866">
        <v>748792.33</v>
      </c>
      <c r="AG866">
        <v>8930489.7899999991</v>
      </c>
      <c r="AH866">
        <v>179.4</v>
      </c>
      <c r="AI866">
        <v>15.22</v>
      </c>
      <c r="AJ866">
        <v>0.6</v>
      </c>
      <c r="AK866">
        <v>3.37</v>
      </c>
      <c r="AL866">
        <v>2.93</v>
      </c>
      <c r="AM866">
        <v>0</v>
      </c>
      <c r="AN866">
        <v>0</v>
      </c>
      <c r="AO866">
        <v>358</v>
      </c>
      <c r="AP866">
        <v>3.49</v>
      </c>
      <c r="AQ866">
        <v>0.59</v>
      </c>
      <c r="AR866">
        <v>0.08</v>
      </c>
      <c r="AS866">
        <v>7.0000000000000007E-2</v>
      </c>
      <c r="AT866">
        <v>17.39</v>
      </c>
      <c r="AU866">
        <v>5.84</v>
      </c>
      <c r="AV866">
        <v>0.32</v>
      </c>
      <c r="AW866">
        <v>1.85</v>
      </c>
      <c r="AX866">
        <v>3.12</v>
      </c>
      <c r="AY866">
        <v>3.3</v>
      </c>
      <c r="AZ866">
        <v>173.55500000000001</v>
      </c>
      <c r="BA866">
        <v>0</v>
      </c>
      <c r="BB866">
        <v>0</v>
      </c>
      <c r="BC866">
        <v>0</v>
      </c>
      <c r="BD866">
        <v>0</v>
      </c>
    </row>
    <row r="867" spans="1:56" x14ac:dyDescent="0.25">
      <c r="A867" s="23">
        <v>46304</v>
      </c>
      <c r="B867">
        <v>866</v>
      </c>
      <c r="C867" t="s">
        <v>82</v>
      </c>
      <c r="D867" t="s">
        <v>83</v>
      </c>
      <c r="E867">
        <v>2</v>
      </c>
      <c r="F867">
        <v>180</v>
      </c>
      <c r="G867">
        <v>1</v>
      </c>
      <c r="H867" t="s">
        <v>96</v>
      </c>
      <c r="I867" t="s">
        <v>91</v>
      </c>
      <c r="J867" t="s">
        <v>85</v>
      </c>
      <c r="K867" t="s">
        <v>86</v>
      </c>
      <c r="L867" t="s">
        <v>71</v>
      </c>
      <c r="M867" t="s">
        <v>87</v>
      </c>
      <c r="O867" t="s">
        <v>88</v>
      </c>
      <c r="P867" t="s">
        <v>27</v>
      </c>
      <c r="Q867" t="s">
        <v>73</v>
      </c>
      <c r="R867" t="s">
        <v>76</v>
      </c>
      <c r="S867" t="s">
        <v>74</v>
      </c>
      <c r="T867" t="s">
        <v>75</v>
      </c>
      <c r="X867" t="s">
        <v>77</v>
      </c>
      <c r="Z867" t="s">
        <v>72</v>
      </c>
      <c r="AA867" t="s">
        <v>94</v>
      </c>
      <c r="AB867">
        <v>5</v>
      </c>
      <c r="AC867">
        <v>748791</v>
      </c>
      <c r="AD867">
        <v>8930489.3200000003</v>
      </c>
      <c r="AE867">
        <v>194.5</v>
      </c>
      <c r="AF867">
        <v>748789.84</v>
      </c>
      <c r="AG867">
        <v>8930488.6999999993</v>
      </c>
      <c r="AH867">
        <v>179.4</v>
      </c>
      <c r="AI867">
        <v>15.15</v>
      </c>
      <c r="AJ867">
        <v>0.6</v>
      </c>
      <c r="AK867">
        <v>3.37</v>
      </c>
      <c r="AL867">
        <v>2.93</v>
      </c>
      <c r="AM867">
        <v>242</v>
      </c>
      <c r="AN867">
        <v>5</v>
      </c>
      <c r="AO867">
        <v>358</v>
      </c>
      <c r="AP867">
        <v>3.49</v>
      </c>
      <c r="AQ867">
        <v>0.59</v>
      </c>
      <c r="AR867">
        <v>0.08</v>
      </c>
      <c r="AS867">
        <v>7.0000000000000007E-2</v>
      </c>
      <c r="AT867">
        <v>17.39</v>
      </c>
      <c r="AU867">
        <v>5.84</v>
      </c>
      <c r="AV867">
        <v>0.32</v>
      </c>
      <c r="AW867">
        <v>1.85</v>
      </c>
      <c r="AX867">
        <v>3.12</v>
      </c>
      <c r="AY867">
        <v>3.3</v>
      </c>
      <c r="AZ867">
        <v>172.536</v>
      </c>
      <c r="BA867">
        <v>0</v>
      </c>
      <c r="BB867">
        <v>0</v>
      </c>
      <c r="BC867">
        <v>0</v>
      </c>
      <c r="BD867">
        <v>0</v>
      </c>
    </row>
    <row r="868" spans="1:56" x14ac:dyDescent="0.25">
      <c r="A868" s="23">
        <v>46304</v>
      </c>
      <c r="B868">
        <v>867</v>
      </c>
      <c r="C868" t="s">
        <v>82</v>
      </c>
      <c r="D868" t="s">
        <v>83</v>
      </c>
      <c r="E868">
        <v>2</v>
      </c>
      <c r="F868">
        <v>180</v>
      </c>
      <c r="G868">
        <v>1</v>
      </c>
      <c r="H868" t="s">
        <v>96</v>
      </c>
      <c r="I868" t="s">
        <v>91</v>
      </c>
      <c r="J868" t="s">
        <v>85</v>
      </c>
      <c r="K868" t="s">
        <v>86</v>
      </c>
      <c r="L868" t="s">
        <v>71</v>
      </c>
      <c r="M868" t="s">
        <v>87</v>
      </c>
      <c r="O868" t="s">
        <v>88</v>
      </c>
      <c r="P868" t="s">
        <v>27</v>
      </c>
      <c r="Q868" t="s">
        <v>73</v>
      </c>
      <c r="R868" t="s">
        <v>76</v>
      </c>
      <c r="S868" t="s">
        <v>74</v>
      </c>
      <c r="T868" t="s">
        <v>75</v>
      </c>
      <c r="X868" t="s">
        <v>77</v>
      </c>
      <c r="Z868" t="s">
        <v>72</v>
      </c>
      <c r="AA868" t="s">
        <v>94</v>
      </c>
      <c r="AB868">
        <v>5</v>
      </c>
      <c r="AC868">
        <v>748785.5</v>
      </c>
      <c r="AD868">
        <v>8930488.0700000003</v>
      </c>
      <c r="AE868">
        <v>189.88</v>
      </c>
      <c r="AF868">
        <v>748785.5</v>
      </c>
      <c r="AG868">
        <v>8930488.0700000003</v>
      </c>
      <c r="AH868">
        <v>179.4</v>
      </c>
      <c r="AI868">
        <v>10.48</v>
      </c>
      <c r="AJ868">
        <v>0.6</v>
      </c>
      <c r="AK868">
        <v>3.37</v>
      </c>
      <c r="AL868">
        <v>2.93</v>
      </c>
      <c r="AM868">
        <v>0</v>
      </c>
      <c r="AN868">
        <v>0</v>
      </c>
      <c r="AO868">
        <v>358</v>
      </c>
      <c r="AP868">
        <v>3.42</v>
      </c>
      <c r="AQ868">
        <v>0.61</v>
      </c>
      <c r="AR868">
        <v>7.0000000000000007E-2</v>
      </c>
      <c r="AS868">
        <v>7.0000000000000007E-2</v>
      </c>
      <c r="AT868">
        <v>18.420000000000002</v>
      </c>
      <c r="AU868">
        <v>6.11</v>
      </c>
      <c r="AV868">
        <v>0.31</v>
      </c>
      <c r="AW868">
        <v>1.97</v>
      </c>
      <c r="AX868">
        <v>0</v>
      </c>
      <c r="AY868">
        <v>3.3</v>
      </c>
      <c r="AZ868">
        <v>104.541</v>
      </c>
      <c r="BA868">
        <v>0</v>
      </c>
      <c r="BB868">
        <v>0</v>
      </c>
      <c r="BC868">
        <v>0</v>
      </c>
      <c r="BD868">
        <v>0</v>
      </c>
    </row>
    <row r="869" spans="1:56" x14ac:dyDescent="0.25">
      <c r="A869" s="23">
        <v>46304</v>
      </c>
      <c r="B869">
        <v>868</v>
      </c>
      <c r="C869" t="s">
        <v>82</v>
      </c>
      <c r="D869" t="s">
        <v>83</v>
      </c>
      <c r="E869">
        <v>2</v>
      </c>
      <c r="F869">
        <v>180</v>
      </c>
      <c r="G869">
        <v>1</v>
      </c>
      <c r="H869" t="s">
        <v>96</v>
      </c>
      <c r="I869" t="s">
        <v>91</v>
      </c>
      <c r="J869" t="s">
        <v>85</v>
      </c>
      <c r="K869" t="s">
        <v>86</v>
      </c>
      <c r="L869" t="s">
        <v>71</v>
      </c>
      <c r="M869" t="s">
        <v>87</v>
      </c>
      <c r="O869" t="s">
        <v>88</v>
      </c>
      <c r="P869" t="s">
        <v>27</v>
      </c>
      <c r="Q869" t="s">
        <v>73</v>
      </c>
      <c r="R869" t="s">
        <v>76</v>
      </c>
      <c r="S869" t="s">
        <v>74</v>
      </c>
      <c r="T869" t="s">
        <v>75</v>
      </c>
      <c r="X869" t="s">
        <v>77</v>
      </c>
      <c r="Z869" t="s">
        <v>72</v>
      </c>
      <c r="AA869" t="s">
        <v>94</v>
      </c>
      <c r="AB869">
        <v>5</v>
      </c>
      <c r="AC869">
        <v>748782.56</v>
      </c>
      <c r="AD869">
        <v>8930486.4600000009</v>
      </c>
      <c r="AE869">
        <v>189.98</v>
      </c>
      <c r="AF869">
        <v>748782.56</v>
      </c>
      <c r="AG869">
        <v>8930486.4600000009</v>
      </c>
      <c r="AH869">
        <v>179.4</v>
      </c>
      <c r="AI869">
        <v>10.58</v>
      </c>
      <c r="AJ869">
        <v>0.6</v>
      </c>
      <c r="AK869">
        <v>3.37</v>
      </c>
      <c r="AL869">
        <v>2.93</v>
      </c>
      <c r="AM869">
        <v>0</v>
      </c>
      <c r="AN869">
        <v>0</v>
      </c>
      <c r="AO869">
        <v>358</v>
      </c>
      <c r="AP869">
        <v>3.42</v>
      </c>
      <c r="AQ869">
        <v>0.61</v>
      </c>
      <c r="AR869">
        <v>7.0000000000000007E-2</v>
      </c>
      <c r="AS869">
        <v>7.0000000000000007E-2</v>
      </c>
      <c r="AT869">
        <v>18.43</v>
      </c>
      <c r="AU869">
        <v>6.12</v>
      </c>
      <c r="AV869">
        <v>0.31</v>
      </c>
      <c r="AW869">
        <v>1.97</v>
      </c>
      <c r="AX869">
        <v>0</v>
      </c>
      <c r="AY869">
        <v>3.3</v>
      </c>
      <c r="AZ869">
        <v>105.997</v>
      </c>
      <c r="BA869">
        <v>0</v>
      </c>
      <c r="BB869">
        <v>0</v>
      </c>
      <c r="BC869">
        <v>0</v>
      </c>
      <c r="BD869">
        <v>0</v>
      </c>
    </row>
    <row r="870" spans="1:56" x14ac:dyDescent="0.25">
      <c r="A870" s="23">
        <v>46304</v>
      </c>
      <c r="B870">
        <v>869</v>
      </c>
      <c r="C870" t="s">
        <v>82</v>
      </c>
      <c r="D870" t="s">
        <v>83</v>
      </c>
      <c r="E870">
        <v>2</v>
      </c>
      <c r="F870">
        <v>180</v>
      </c>
      <c r="G870">
        <v>1</v>
      </c>
      <c r="H870" t="s">
        <v>96</v>
      </c>
      <c r="I870" t="s">
        <v>91</v>
      </c>
      <c r="J870" t="s">
        <v>85</v>
      </c>
      <c r="K870" t="s">
        <v>86</v>
      </c>
      <c r="L870" t="s">
        <v>71</v>
      </c>
      <c r="M870" t="s">
        <v>87</v>
      </c>
      <c r="O870" t="s">
        <v>88</v>
      </c>
      <c r="P870" t="s">
        <v>27</v>
      </c>
      <c r="Q870" t="s">
        <v>73</v>
      </c>
      <c r="R870" t="s">
        <v>76</v>
      </c>
      <c r="S870" t="s">
        <v>74</v>
      </c>
      <c r="T870" t="s">
        <v>75</v>
      </c>
      <c r="X870" t="s">
        <v>77</v>
      </c>
      <c r="Z870" t="s">
        <v>72</v>
      </c>
      <c r="AA870" t="s">
        <v>94</v>
      </c>
      <c r="AB870">
        <v>5</v>
      </c>
      <c r="AC870">
        <v>748779.73</v>
      </c>
      <c r="AD870">
        <v>8930484.6400000006</v>
      </c>
      <c r="AE870">
        <v>190.15</v>
      </c>
      <c r="AF870">
        <v>748779.73</v>
      </c>
      <c r="AG870">
        <v>8930484.6400000006</v>
      </c>
      <c r="AH870">
        <v>179.4</v>
      </c>
      <c r="AI870">
        <v>10.75</v>
      </c>
      <c r="AJ870">
        <v>0.6</v>
      </c>
      <c r="AK870">
        <v>3.37</v>
      </c>
      <c r="AL870">
        <v>2.93</v>
      </c>
      <c r="AM870">
        <v>0</v>
      </c>
      <c r="AN870">
        <v>0</v>
      </c>
      <c r="AO870">
        <v>358</v>
      </c>
      <c r="AP870">
        <v>3.38</v>
      </c>
      <c r="AQ870">
        <v>0.63</v>
      </c>
      <c r="AR870">
        <v>7.0000000000000007E-2</v>
      </c>
      <c r="AS870">
        <v>7.0000000000000007E-2</v>
      </c>
      <c r="AT870">
        <v>18.55</v>
      </c>
      <c r="AU870">
        <v>6.07</v>
      </c>
      <c r="AV870">
        <v>0.31</v>
      </c>
      <c r="AW870">
        <v>2.04</v>
      </c>
      <c r="AX870">
        <v>0.11</v>
      </c>
      <c r="AY870">
        <v>3.3</v>
      </c>
      <c r="AZ870">
        <v>108.47199999999999</v>
      </c>
      <c r="BA870">
        <v>0</v>
      </c>
      <c r="BB870">
        <v>0</v>
      </c>
      <c r="BC870">
        <v>0</v>
      </c>
      <c r="BD870">
        <v>0</v>
      </c>
    </row>
    <row r="871" spans="1:56" x14ac:dyDescent="0.25">
      <c r="A871" s="23">
        <v>46304</v>
      </c>
      <c r="B871">
        <v>870</v>
      </c>
      <c r="C871" t="s">
        <v>82</v>
      </c>
      <c r="D871" t="s">
        <v>83</v>
      </c>
      <c r="E871">
        <v>2</v>
      </c>
      <c r="F871">
        <v>180</v>
      </c>
      <c r="G871">
        <v>1</v>
      </c>
      <c r="H871" t="s">
        <v>96</v>
      </c>
      <c r="I871" t="s">
        <v>91</v>
      </c>
      <c r="J871" t="s">
        <v>85</v>
      </c>
      <c r="K871" t="s">
        <v>86</v>
      </c>
      <c r="L871" t="s">
        <v>71</v>
      </c>
      <c r="M871" t="s">
        <v>87</v>
      </c>
      <c r="O871" t="s">
        <v>88</v>
      </c>
      <c r="P871" t="s">
        <v>27</v>
      </c>
      <c r="Q871" t="s">
        <v>73</v>
      </c>
      <c r="R871" t="s">
        <v>76</v>
      </c>
      <c r="S871" t="s">
        <v>74</v>
      </c>
      <c r="T871" t="s">
        <v>75</v>
      </c>
      <c r="X871" t="s">
        <v>77</v>
      </c>
      <c r="Z871" t="s">
        <v>72</v>
      </c>
      <c r="AA871" t="s">
        <v>94</v>
      </c>
      <c r="AB871">
        <v>5</v>
      </c>
      <c r="AC871">
        <v>748776.9</v>
      </c>
      <c r="AD871">
        <v>8930482.8100000005</v>
      </c>
      <c r="AE871">
        <v>190.18</v>
      </c>
      <c r="AF871">
        <v>748776.9</v>
      </c>
      <c r="AG871">
        <v>8930482.8100000005</v>
      </c>
      <c r="AH871">
        <v>179.4</v>
      </c>
      <c r="AI871">
        <v>10.78</v>
      </c>
      <c r="AJ871">
        <v>0.6</v>
      </c>
      <c r="AK871">
        <v>3.37</v>
      </c>
      <c r="AL871">
        <v>2.93</v>
      </c>
      <c r="AM871">
        <v>0</v>
      </c>
      <c r="AN871">
        <v>0</v>
      </c>
      <c r="AO871">
        <v>358</v>
      </c>
      <c r="AP871">
        <v>3.35</v>
      </c>
      <c r="AQ871">
        <v>0.65</v>
      </c>
      <c r="AR871">
        <v>7.0000000000000007E-2</v>
      </c>
      <c r="AS871">
        <v>7.0000000000000007E-2</v>
      </c>
      <c r="AT871">
        <v>18.61</v>
      </c>
      <c r="AU871">
        <v>6.02</v>
      </c>
      <c r="AV871">
        <v>0.31</v>
      </c>
      <c r="AW871">
        <v>2.09</v>
      </c>
      <c r="AX871">
        <v>0.13</v>
      </c>
      <c r="AY871">
        <v>3.3</v>
      </c>
      <c r="AZ871">
        <v>108.90900000000001</v>
      </c>
      <c r="BA871">
        <v>0</v>
      </c>
      <c r="BB871">
        <v>0</v>
      </c>
      <c r="BC871">
        <v>0</v>
      </c>
      <c r="BD871">
        <v>0</v>
      </c>
    </row>
    <row r="872" spans="1:56" x14ac:dyDescent="0.25">
      <c r="A872" s="23">
        <v>46304</v>
      </c>
      <c r="B872">
        <v>871</v>
      </c>
      <c r="C872" t="s">
        <v>82</v>
      </c>
      <c r="D872" t="s">
        <v>83</v>
      </c>
      <c r="E872">
        <v>2</v>
      </c>
      <c r="F872">
        <v>180</v>
      </c>
      <c r="G872">
        <v>1</v>
      </c>
      <c r="H872" t="s">
        <v>96</v>
      </c>
      <c r="I872" t="s">
        <v>91</v>
      </c>
      <c r="J872" t="s">
        <v>85</v>
      </c>
      <c r="K872" t="s">
        <v>86</v>
      </c>
      <c r="L872" t="s">
        <v>71</v>
      </c>
      <c r="M872" t="s">
        <v>87</v>
      </c>
      <c r="O872" t="s">
        <v>88</v>
      </c>
      <c r="P872" t="s">
        <v>27</v>
      </c>
      <c r="Q872" t="s">
        <v>73</v>
      </c>
      <c r="R872" t="s">
        <v>76</v>
      </c>
      <c r="S872" t="s">
        <v>74</v>
      </c>
      <c r="T872" t="s">
        <v>75</v>
      </c>
      <c r="X872" t="s">
        <v>77</v>
      </c>
      <c r="Z872" t="s">
        <v>72</v>
      </c>
      <c r="AA872" t="s">
        <v>94</v>
      </c>
      <c r="AB872">
        <v>5</v>
      </c>
      <c r="AC872">
        <v>748774.06</v>
      </c>
      <c r="AD872">
        <v>8930480.9900000002</v>
      </c>
      <c r="AE872">
        <v>190.24</v>
      </c>
      <c r="AF872">
        <v>748774.06</v>
      </c>
      <c r="AG872">
        <v>8930480.9900000002</v>
      </c>
      <c r="AH872">
        <v>179.4</v>
      </c>
      <c r="AI872">
        <v>10.84</v>
      </c>
      <c r="AJ872">
        <v>0.6</v>
      </c>
      <c r="AK872">
        <v>3.37</v>
      </c>
      <c r="AL872">
        <v>2.93</v>
      </c>
      <c r="AM872">
        <v>0</v>
      </c>
      <c r="AN872">
        <v>0</v>
      </c>
      <c r="AO872">
        <v>358</v>
      </c>
      <c r="AP872">
        <v>3.37</v>
      </c>
      <c r="AQ872">
        <v>0.66</v>
      </c>
      <c r="AR872">
        <v>7.0000000000000007E-2</v>
      </c>
      <c r="AS872">
        <v>7.0000000000000007E-2</v>
      </c>
      <c r="AT872">
        <v>18.739999999999998</v>
      </c>
      <c r="AU872">
        <v>6.12</v>
      </c>
      <c r="AV872">
        <v>0.31</v>
      </c>
      <c r="AW872">
        <v>2.14</v>
      </c>
      <c r="AX872">
        <v>0.18</v>
      </c>
      <c r="AY872">
        <v>3.3</v>
      </c>
      <c r="AZ872">
        <v>109.782</v>
      </c>
      <c r="BA872">
        <v>0</v>
      </c>
      <c r="BB872">
        <v>0</v>
      </c>
      <c r="BC872">
        <v>0</v>
      </c>
      <c r="BD872">
        <v>0</v>
      </c>
    </row>
    <row r="873" spans="1:56" x14ac:dyDescent="0.25">
      <c r="A873" s="23">
        <v>46304</v>
      </c>
      <c r="B873">
        <v>872</v>
      </c>
      <c r="C873" t="s">
        <v>82</v>
      </c>
      <c r="D873" t="s">
        <v>83</v>
      </c>
      <c r="E873">
        <v>2</v>
      </c>
      <c r="F873">
        <v>180</v>
      </c>
      <c r="G873">
        <v>1</v>
      </c>
      <c r="H873" t="s">
        <v>96</v>
      </c>
      <c r="I873" t="s">
        <v>91</v>
      </c>
      <c r="J873" t="s">
        <v>97</v>
      </c>
      <c r="K873" t="s">
        <v>86</v>
      </c>
      <c r="L873" t="s">
        <v>71</v>
      </c>
      <c r="M873" t="s">
        <v>87</v>
      </c>
      <c r="O873" t="s">
        <v>88</v>
      </c>
      <c r="P873" t="s">
        <v>27</v>
      </c>
      <c r="Q873" t="s">
        <v>73</v>
      </c>
      <c r="R873" t="s">
        <v>76</v>
      </c>
      <c r="S873" t="s">
        <v>74</v>
      </c>
      <c r="T873" t="s">
        <v>75</v>
      </c>
      <c r="X873" t="s">
        <v>77</v>
      </c>
      <c r="Z873" t="s">
        <v>72</v>
      </c>
      <c r="AA873" t="s">
        <v>94</v>
      </c>
      <c r="AB873">
        <v>5</v>
      </c>
      <c r="AC873">
        <v>748771.23</v>
      </c>
      <c r="AD873">
        <v>8930479.1600000001</v>
      </c>
      <c r="AE873">
        <v>190.03</v>
      </c>
      <c r="AF873">
        <v>748771.23</v>
      </c>
      <c r="AG873">
        <v>8930479.1600000001</v>
      </c>
      <c r="AH873">
        <v>179.4</v>
      </c>
      <c r="AI873">
        <v>10.63</v>
      </c>
      <c r="AJ873">
        <v>0.6</v>
      </c>
      <c r="AK873">
        <v>3.37</v>
      </c>
      <c r="AL873">
        <v>2.93</v>
      </c>
      <c r="AM873">
        <v>0</v>
      </c>
      <c r="AN873">
        <v>0</v>
      </c>
      <c r="AO873">
        <v>358</v>
      </c>
      <c r="AP873">
        <v>3.4</v>
      </c>
      <c r="AQ873">
        <v>0.69</v>
      </c>
      <c r="AR873">
        <v>0.08</v>
      </c>
      <c r="AS873">
        <v>0.08</v>
      </c>
      <c r="AT873">
        <v>19.11</v>
      </c>
      <c r="AU873">
        <v>6.29</v>
      </c>
      <c r="AV873">
        <v>0.32</v>
      </c>
      <c r="AW873">
        <v>2.1800000000000002</v>
      </c>
      <c r="AX873">
        <v>0.98</v>
      </c>
      <c r="AY873">
        <v>3.3</v>
      </c>
      <c r="AZ873">
        <v>106.72499999999999</v>
      </c>
      <c r="BA873">
        <v>0</v>
      </c>
      <c r="BB873">
        <v>0</v>
      </c>
      <c r="BC873">
        <v>0</v>
      </c>
      <c r="BD873">
        <v>0</v>
      </c>
    </row>
    <row r="874" spans="1:56" x14ac:dyDescent="0.25">
      <c r="A874" s="23">
        <v>46304</v>
      </c>
      <c r="B874">
        <v>873</v>
      </c>
      <c r="C874" t="s">
        <v>82</v>
      </c>
      <c r="D874" t="s">
        <v>83</v>
      </c>
      <c r="E874">
        <v>2</v>
      </c>
      <c r="F874">
        <v>180</v>
      </c>
      <c r="G874">
        <v>1</v>
      </c>
      <c r="H874" t="s">
        <v>95</v>
      </c>
      <c r="I874" t="s">
        <v>91</v>
      </c>
      <c r="J874" t="s">
        <v>85</v>
      </c>
      <c r="K874" t="s">
        <v>86</v>
      </c>
      <c r="L874" t="s">
        <v>71</v>
      </c>
      <c r="M874" t="s">
        <v>87</v>
      </c>
      <c r="O874" t="s">
        <v>88</v>
      </c>
      <c r="P874" t="s">
        <v>27</v>
      </c>
      <c r="Q874" t="s">
        <v>73</v>
      </c>
      <c r="R874" t="s">
        <v>76</v>
      </c>
      <c r="S874" t="s">
        <v>74</v>
      </c>
      <c r="T874" t="s">
        <v>75</v>
      </c>
      <c r="X874" t="s">
        <v>77</v>
      </c>
      <c r="Z874" t="s">
        <v>72</v>
      </c>
      <c r="AA874" t="s">
        <v>94</v>
      </c>
      <c r="AB874">
        <v>5</v>
      </c>
      <c r="AC874">
        <v>748768.4</v>
      </c>
      <c r="AD874">
        <v>8930477.3399999999</v>
      </c>
      <c r="AE874">
        <v>190.04</v>
      </c>
      <c r="AF874">
        <v>748768.4</v>
      </c>
      <c r="AG874">
        <v>8930477.3399999999</v>
      </c>
      <c r="AH874">
        <v>179.4</v>
      </c>
      <c r="AI874">
        <v>10.64</v>
      </c>
      <c r="AJ874">
        <v>0.6</v>
      </c>
      <c r="AK874">
        <v>3.37</v>
      </c>
      <c r="AL874">
        <v>2.93</v>
      </c>
      <c r="AM874">
        <v>0</v>
      </c>
      <c r="AN874">
        <v>0</v>
      </c>
      <c r="AO874">
        <v>358</v>
      </c>
      <c r="AP874">
        <v>3.39</v>
      </c>
      <c r="AQ874">
        <v>0.67</v>
      </c>
      <c r="AR874">
        <v>0.09</v>
      </c>
      <c r="AS874">
        <v>0.08</v>
      </c>
      <c r="AT874">
        <v>19.850000000000001</v>
      </c>
      <c r="AU874">
        <v>6.26</v>
      </c>
      <c r="AV874">
        <v>0.36</v>
      </c>
      <c r="AW874">
        <v>1.86</v>
      </c>
      <c r="AX874">
        <v>7.32</v>
      </c>
      <c r="AY874">
        <v>3.3</v>
      </c>
      <c r="AZ874">
        <v>106.87</v>
      </c>
      <c r="BA874">
        <v>0</v>
      </c>
      <c r="BB874">
        <v>0</v>
      </c>
      <c r="BC874">
        <v>0</v>
      </c>
      <c r="BD874">
        <v>0</v>
      </c>
    </row>
    <row r="875" spans="1:56" x14ac:dyDescent="0.25">
      <c r="A875" s="23">
        <v>46304</v>
      </c>
      <c r="B875">
        <v>874</v>
      </c>
      <c r="C875" t="s">
        <v>82</v>
      </c>
      <c r="D875" t="s">
        <v>83</v>
      </c>
      <c r="E875">
        <v>2</v>
      </c>
      <c r="F875">
        <v>180</v>
      </c>
      <c r="G875">
        <v>1</v>
      </c>
      <c r="H875" t="s">
        <v>95</v>
      </c>
      <c r="I875" t="s">
        <v>91</v>
      </c>
      <c r="J875" t="s">
        <v>85</v>
      </c>
      <c r="K875" t="s">
        <v>86</v>
      </c>
      <c r="L875" t="s">
        <v>71</v>
      </c>
      <c r="M875" t="s">
        <v>87</v>
      </c>
      <c r="O875" t="s">
        <v>88</v>
      </c>
      <c r="P875" t="s">
        <v>27</v>
      </c>
      <c r="Q875" t="s">
        <v>73</v>
      </c>
      <c r="R875" t="s">
        <v>76</v>
      </c>
      <c r="S875" t="s">
        <v>74</v>
      </c>
      <c r="T875" t="s">
        <v>75</v>
      </c>
      <c r="X875" t="s">
        <v>77</v>
      </c>
      <c r="Z875" t="s">
        <v>72</v>
      </c>
      <c r="AA875" t="s">
        <v>94</v>
      </c>
      <c r="AB875">
        <v>5</v>
      </c>
      <c r="AC875">
        <v>748765.62</v>
      </c>
      <c r="AD875">
        <v>8930475.4399999995</v>
      </c>
      <c r="AE875">
        <v>190.04</v>
      </c>
      <c r="AF875">
        <v>748765.62</v>
      </c>
      <c r="AG875">
        <v>8930475.4399999995</v>
      </c>
      <c r="AH875">
        <v>179.4</v>
      </c>
      <c r="AI875">
        <v>10.64</v>
      </c>
      <c r="AJ875">
        <v>0.6</v>
      </c>
      <c r="AK875">
        <v>3.37</v>
      </c>
      <c r="AL875">
        <v>2.93</v>
      </c>
      <c r="AM875">
        <v>0</v>
      </c>
      <c r="AN875">
        <v>0</v>
      </c>
      <c r="AO875">
        <v>358</v>
      </c>
      <c r="AP875">
        <v>3.38</v>
      </c>
      <c r="AQ875">
        <v>0.67</v>
      </c>
      <c r="AR875">
        <v>0.09</v>
      </c>
      <c r="AS875">
        <v>0.09</v>
      </c>
      <c r="AT875">
        <v>19.899999999999999</v>
      </c>
      <c r="AU875">
        <v>6.25</v>
      </c>
      <c r="AV875">
        <v>0.37</v>
      </c>
      <c r="AW875">
        <v>1.82</v>
      </c>
      <c r="AX875">
        <v>7.84</v>
      </c>
      <c r="AY875">
        <v>3.3</v>
      </c>
      <c r="AZ875">
        <v>106.87</v>
      </c>
      <c r="BA875">
        <v>0</v>
      </c>
      <c r="BB875">
        <v>0</v>
      </c>
      <c r="BC875">
        <v>0</v>
      </c>
      <c r="BD875">
        <v>0</v>
      </c>
    </row>
    <row r="876" spans="1:56" x14ac:dyDescent="0.25">
      <c r="A876" s="23">
        <v>46304</v>
      </c>
      <c r="B876">
        <v>875</v>
      </c>
      <c r="C876" t="s">
        <v>82</v>
      </c>
      <c r="D876" t="s">
        <v>83</v>
      </c>
      <c r="E876">
        <v>2</v>
      </c>
      <c r="F876">
        <v>180</v>
      </c>
      <c r="G876">
        <v>1</v>
      </c>
      <c r="H876" t="s">
        <v>95</v>
      </c>
      <c r="I876" t="s">
        <v>91</v>
      </c>
      <c r="J876" t="s">
        <v>85</v>
      </c>
      <c r="K876" t="s">
        <v>86</v>
      </c>
      <c r="L876" t="s">
        <v>71</v>
      </c>
      <c r="M876" t="s">
        <v>87</v>
      </c>
      <c r="O876" t="s">
        <v>88</v>
      </c>
      <c r="P876" t="s">
        <v>27</v>
      </c>
      <c r="Q876" t="s">
        <v>73</v>
      </c>
      <c r="R876" t="s">
        <v>76</v>
      </c>
      <c r="S876" t="s">
        <v>74</v>
      </c>
      <c r="T876" t="s">
        <v>75</v>
      </c>
      <c r="X876" t="s">
        <v>77</v>
      </c>
      <c r="Z876" t="s">
        <v>72</v>
      </c>
      <c r="AA876" t="s">
        <v>94</v>
      </c>
      <c r="AB876">
        <v>5</v>
      </c>
      <c r="AC876">
        <v>748762.91</v>
      </c>
      <c r="AD876">
        <v>8930473.4299999997</v>
      </c>
      <c r="AE876">
        <v>190.81</v>
      </c>
      <c r="AF876">
        <v>748762.91</v>
      </c>
      <c r="AG876">
        <v>8930473.4299999997</v>
      </c>
      <c r="AH876">
        <v>179.4</v>
      </c>
      <c r="AI876">
        <v>11.41</v>
      </c>
      <c r="AJ876">
        <v>0.6</v>
      </c>
      <c r="AK876">
        <v>3.37</v>
      </c>
      <c r="AL876">
        <v>2.93</v>
      </c>
      <c r="AM876">
        <v>0</v>
      </c>
      <c r="AN876">
        <v>0</v>
      </c>
      <c r="AO876">
        <v>358</v>
      </c>
      <c r="AP876">
        <v>3.39</v>
      </c>
      <c r="AQ876">
        <v>0.68</v>
      </c>
      <c r="AR876">
        <v>0.09</v>
      </c>
      <c r="AS876">
        <v>0.09</v>
      </c>
      <c r="AT876">
        <v>19.87</v>
      </c>
      <c r="AU876">
        <v>6.3</v>
      </c>
      <c r="AV876">
        <v>0.37</v>
      </c>
      <c r="AW876">
        <v>1.83</v>
      </c>
      <c r="AX876">
        <v>7.78</v>
      </c>
      <c r="AY876">
        <v>3.3</v>
      </c>
      <c r="AZ876">
        <v>118.08199999999999</v>
      </c>
      <c r="BA876">
        <v>0</v>
      </c>
      <c r="BB876">
        <v>0</v>
      </c>
      <c r="BC876">
        <v>0</v>
      </c>
      <c r="BD876">
        <v>0</v>
      </c>
    </row>
    <row r="877" spans="1:56" x14ac:dyDescent="0.25">
      <c r="A877" s="23">
        <v>46304</v>
      </c>
      <c r="B877">
        <v>876</v>
      </c>
      <c r="C877" t="s">
        <v>82</v>
      </c>
      <c r="D877" t="s">
        <v>83</v>
      </c>
      <c r="E877">
        <v>2</v>
      </c>
      <c r="F877">
        <v>180</v>
      </c>
      <c r="G877">
        <v>1</v>
      </c>
      <c r="H877" t="s">
        <v>95</v>
      </c>
      <c r="I877" t="s">
        <v>91</v>
      </c>
      <c r="J877" t="s">
        <v>85</v>
      </c>
      <c r="K877" t="s">
        <v>86</v>
      </c>
      <c r="L877" t="s">
        <v>71</v>
      </c>
      <c r="M877" t="s">
        <v>87</v>
      </c>
      <c r="O877" t="s">
        <v>88</v>
      </c>
      <c r="P877" t="s">
        <v>27</v>
      </c>
      <c r="Q877" t="s">
        <v>73</v>
      </c>
      <c r="R877" t="s">
        <v>76</v>
      </c>
      <c r="S877" t="s">
        <v>74</v>
      </c>
      <c r="T877" t="s">
        <v>75</v>
      </c>
      <c r="X877" t="s">
        <v>77</v>
      </c>
      <c r="Z877" t="s">
        <v>72</v>
      </c>
      <c r="AA877" t="s">
        <v>94</v>
      </c>
      <c r="AB877">
        <v>5</v>
      </c>
      <c r="AC877">
        <v>748760.23</v>
      </c>
      <c r="AD877">
        <v>8930471.3800000008</v>
      </c>
      <c r="AE877">
        <v>190.5</v>
      </c>
      <c r="AF877">
        <v>748760.23</v>
      </c>
      <c r="AG877">
        <v>8930471.3800000008</v>
      </c>
      <c r="AH877">
        <v>179.4</v>
      </c>
      <c r="AI877">
        <v>11.1</v>
      </c>
      <c r="AJ877">
        <v>0.6</v>
      </c>
      <c r="AK877">
        <v>3.37</v>
      </c>
      <c r="AL877">
        <v>2.93</v>
      </c>
      <c r="AM877">
        <v>0</v>
      </c>
      <c r="AN877">
        <v>0</v>
      </c>
      <c r="AO877">
        <v>358</v>
      </c>
      <c r="AP877">
        <v>3.4</v>
      </c>
      <c r="AQ877">
        <v>0.69</v>
      </c>
      <c r="AR877">
        <v>0.09</v>
      </c>
      <c r="AS877">
        <v>0.09</v>
      </c>
      <c r="AT877">
        <v>20.170000000000002</v>
      </c>
      <c r="AU877">
        <v>6.01</v>
      </c>
      <c r="AV877">
        <v>0.37</v>
      </c>
      <c r="AW877">
        <v>1.86</v>
      </c>
      <c r="AX877">
        <v>7.76</v>
      </c>
      <c r="AY877">
        <v>3.3</v>
      </c>
      <c r="AZ877">
        <v>113.568</v>
      </c>
      <c r="BA877">
        <v>0</v>
      </c>
      <c r="BB877">
        <v>0</v>
      </c>
      <c r="BC877">
        <v>0</v>
      </c>
      <c r="BD877">
        <v>0</v>
      </c>
    </row>
    <row r="878" spans="1:56" x14ac:dyDescent="0.25">
      <c r="A878" s="23">
        <v>46304</v>
      </c>
      <c r="B878">
        <v>877</v>
      </c>
      <c r="C878" t="s">
        <v>82</v>
      </c>
      <c r="D878" t="s">
        <v>83</v>
      </c>
      <c r="E878">
        <v>2</v>
      </c>
      <c r="F878">
        <v>180</v>
      </c>
      <c r="G878">
        <v>1</v>
      </c>
      <c r="H878" t="s">
        <v>95</v>
      </c>
      <c r="I878" t="s">
        <v>91</v>
      </c>
      <c r="J878" t="s">
        <v>85</v>
      </c>
      <c r="K878" t="s">
        <v>86</v>
      </c>
      <c r="L878" t="s">
        <v>71</v>
      </c>
      <c r="M878" t="s">
        <v>87</v>
      </c>
      <c r="O878" t="s">
        <v>88</v>
      </c>
      <c r="P878" t="s">
        <v>27</v>
      </c>
      <c r="Q878" t="s">
        <v>73</v>
      </c>
      <c r="R878" t="s">
        <v>76</v>
      </c>
      <c r="S878" t="s">
        <v>74</v>
      </c>
      <c r="T878" t="s">
        <v>75</v>
      </c>
      <c r="X878" t="s">
        <v>77</v>
      </c>
      <c r="Z878" t="s">
        <v>72</v>
      </c>
      <c r="AA878" t="s">
        <v>94</v>
      </c>
      <c r="AB878">
        <v>5</v>
      </c>
      <c r="AC878">
        <v>748757.56</v>
      </c>
      <c r="AD878">
        <v>8930469.3399999999</v>
      </c>
      <c r="AE878">
        <v>189.79</v>
      </c>
      <c r="AF878">
        <v>748757.56</v>
      </c>
      <c r="AG878">
        <v>8930469.3399999999</v>
      </c>
      <c r="AH878">
        <v>179.4</v>
      </c>
      <c r="AI878">
        <v>10.39</v>
      </c>
      <c r="AJ878">
        <v>0.6</v>
      </c>
      <c r="AK878">
        <v>3.37</v>
      </c>
      <c r="AL878">
        <v>2.93</v>
      </c>
      <c r="AM878">
        <v>0</v>
      </c>
      <c r="AN878">
        <v>0</v>
      </c>
      <c r="AO878">
        <v>358</v>
      </c>
      <c r="AP878">
        <v>3.44</v>
      </c>
      <c r="AQ878">
        <v>0.66</v>
      </c>
      <c r="AR878">
        <v>0.09</v>
      </c>
      <c r="AS878">
        <v>0.08</v>
      </c>
      <c r="AT878">
        <v>19.489999999999998</v>
      </c>
      <c r="AU878">
        <v>5.36</v>
      </c>
      <c r="AV878">
        <v>0.36</v>
      </c>
      <c r="AW878">
        <v>1.84</v>
      </c>
      <c r="AX878">
        <v>7.64</v>
      </c>
      <c r="AY878">
        <v>3.3</v>
      </c>
      <c r="AZ878">
        <v>103.23</v>
      </c>
      <c r="BA878">
        <v>0</v>
      </c>
      <c r="BB878">
        <v>0</v>
      </c>
      <c r="BC878">
        <v>0</v>
      </c>
      <c r="BD878">
        <v>0</v>
      </c>
    </row>
    <row r="879" spans="1:56" x14ac:dyDescent="0.25">
      <c r="A879" s="23">
        <v>46304</v>
      </c>
      <c r="B879">
        <v>878</v>
      </c>
      <c r="C879" t="s">
        <v>82</v>
      </c>
      <c r="D879" t="s">
        <v>83</v>
      </c>
      <c r="E879">
        <v>2</v>
      </c>
      <c r="F879">
        <v>180</v>
      </c>
      <c r="G879">
        <v>1</v>
      </c>
      <c r="H879" t="s">
        <v>95</v>
      </c>
      <c r="I879" t="s">
        <v>91</v>
      </c>
      <c r="J879" t="s">
        <v>85</v>
      </c>
      <c r="K879" t="s">
        <v>86</v>
      </c>
      <c r="L879" t="s">
        <v>71</v>
      </c>
      <c r="M879" t="s">
        <v>87</v>
      </c>
      <c r="O879" t="s">
        <v>88</v>
      </c>
      <c r="P879" t="s">
        <v>27</v>
      </c>
      <c r="Q879" t="s">
        <v>73</v>
      </c>
      <c r="R879" t="s">
        <v>76</v>
      </c>
      <c r="S879" t="s">
        <v>74</v>
      </c>
      <c r="T879" t="s">
        <v>75</v>
      </c>
      <c r="X879" t="s">
        <v>77</v>
      </c>
      <c r="Z879" t="s">
        <v>72</v>
      </c>
      <c r="AA879" t="s">
        <v>94</v>
      </c>
      <c r="AB879">
        <v>5</v>
      </c>
      <c r="AC879">
        <v>748754.88</v>
      </c>
      <c r="AD879">
        <v>8930467.2899999991</v>
      </c>
      <c r="AE879">
        <v>189.91</v>
      </c>
      <c r="AF879">
        <v>748754.88</v>
      </c>
      <c r="AG879">
        <v>8930467.2899999991</v>
      </c>
      <c r="AH879">
        <v>179.4</v>
      </c>
      <c r="AI879">
        <v>10.51</v>
      </c>
      <c r="AJ879">
        <v>0.6</v>
      </c>
      <c r="AK879">
        <v>3.37</v>
      </c>
      <c r="AL879">
        <v>2.93</v>
      </c>
      <c r="AM879">
        <v>0</v>
      </c>
      <c r="AN879">
        <v>0</v>
      </c>
      <c r="AO879">
        <v>358</v>
      </c>
      <c r="AP879">
        <v>3.45</v>
      </c>
      <c r="AQ879">
        <v>0.65</v>
      </c>
      <c r="AR879">
        <v>0.09</v>
      </c>
      <c r="AS879">
        <v>0.08</v>
      </c>
      <c r="AT879">
        <v>19.05</v>
      </c>
      <c r="AU879">
        <v>5.24</v>
      </c>
      <c r="AV879">
        <v>0.36</v>
      </c>
      <c r="AW879">
        <v>1.82</v>
      </c>
      <c r="AX879">
        <v>7.58</v>
      </c>
      <c r="AY879">
        <v>3.3</v>
      </c>
      <c r="AZ879">
        <v>104.97799999999999</v>
      </c>
      <c r="BA879">
        <v>0</v>
      </c>
      <c r="BB879">
        <v>0</v>
      </c>
      <c r="BC879">
        <v>0</v>
      </c>
      <c r="BD879">
        <v>0</v>
      </c>
    </row>
    <row r="880" spans="1:56" x14ac:dyDescent="0.25">
      <c r="A880" s="23">
        <v>46304</v>
      </c>
      <c r="B880">
        <v>879</v>
      </c>
      <c r="C880" t="s">
        <v>82</v>
      </c>
      <c r="D880" t="s">
        <v>83</v>
      </c>
      <c r="E880">
        <v>2</v>
      </c>
      <c r="F880">
        <v>180</v>
      </c>
      <c r="G880">
        <v>1</v>
      </c>
      <c r="H880" t="s">
        <v>95</v>
      </c>
      <c r="I880" t="s">
        <v>91</v>
      </c>
      <c r="J880" t="s">
        <v>85</v>
      </c>
      <c r="K880" t="s">
        <v>86</v>
      </c>
      <c r="L880" t="s">
        <v>71</v>
      </c>
      <c r="M880" t="s">
        <v>87</v>
      </c>
      <c r="O880" t="s">
        <v>88</v>
      </c>
      <c r="P880" t="s">
        <v>27</v>
      </c>
      <c r="Q880" t="s">
        <v>73</v>
      </c>
      <c r="R880" t="s">
        <v>76</v>
      </c>
      <c r="S880" t="s">
        <v>74</v>
      </c>
      <c r="T880" t="s">
        <v>75</v>
      </c>
      <c r="X880" t="s">
        <v>77</v>
      </c>
      <c r="Z880" t="s">
        <v>72</v>
      </c>
      <c r="AA880" t="s">
        <v>94</v>
      </c>
      <c r="AB880">
        <v>5</v>
      </c>
      <c r="AC880">
        <v>748752.2</v>
      </c>
      <c r="AD880">
        <v>8930465.25</v>
      </c>
      <c r="AE880">
        <v>190.11</v>
      </c>
      <c r="AF880">
        <v>748752.2</v>
      </c>
      <c r="AG880">
        <v>8930465.25</v>
      </c>
      <c r="AH880">
        <v>179.4</v>
      </c>
      <c r="AI880">
        <v>10.71</v>
      </c>
      <c r="AJ880">
        <v>0.6</v>
      </c>
      <c r="AK880">
        <v>3.37</v>
      </c>
      <c r="AL880">
        <v>2.93</v>
      </c>
      <c r="AM880">
        <v>0</v>
      </c>
      <c r="AN880">
        <v>0</v>
      </c>
      <c r="AO880">
        <v>358</v>
      </c>
      <c r="AP880">
        <v>3.46</v>
      </c>
      <c r="AQ880">
        <v>0.65</v>
      </c>
      <c r="AR880">
        <v>0.09</v>
      </c>
      <c r="AS880">
        <v>0.08</v>
      </c>
      <c r="AT880">
        <v>19.05</v>
      </c>
      <c r="AU880">
        <v>5.24</v>
      </c>
      <c r="AV880">
        <v>0.36</v>
      </c>
      <c r="AW880">
        <v>1.82</v>
      </c>
      <c r="AX880">
        <v>7.59</v>
      </c>
      <c r="AY880">
        <v>3.3</v>
      </c>
      <c r="AZ880">
        <v>107.89</v>
      </c>
      <c r="BA880">
        <v>0</v>
      </c>
      <c r="BB880">
        <v>0</v>
      </c>
      <c r="BC880">
        <v>0</v>
      </c>
      <c r="BD880">
        <v>0</v>
      </c>
    </row>
    <row r="881" spans="1:56" x14ac:dyDescent="0.25">
      <c r="A881" s="23">
        <v>46304</v>
      </c>
      <c r="B881">
        <v>880</v>
      </c>
      <c r="C881" t="s">
        <v>82</v>
      </c>
      <c r="D881" t="s">
        <v>83</v>
      </c>
      <c r="E881">
        <v>2</v>
      </c>
      <c r="F881">
        <v>180</v>
      </c>
      <c r="G881">
        <v>1</v>
      </c>
      <c r="H881" t="s">
        <v>95</v>
      </c>
      <c r="I881" t="s">
        <v>91</v>
      </c>
      <c r="J881" t="s">
        <v>85</v>
      </c>
      <c r="K881" t="s">
        <v>86</v>
      </c>
      <c r="L881" t="s">
        <v>71</v>
      </c>
      <c r="M881" t="s">
        <v>87</v>
      </c>
      <c r="O881" t="s">
        <v>88</v>
      </c>
      <c r="P881" t="s">
        <v>27</v>
      </c>
      <c r="Q881" t="s">
        <v>73</v>
      </c>
      <c r="R881" t="s">
        <v>76</v>
      </c>
      <c r="S881" t="s">
        <v>74</v>
      </c>
      <c r="T881" t="s">
        <v>75</v>
      </c>
      <c r="X881" t="s">
        <v>77</v>
      </c>
      <c r="Z881" t="s">
        <v>72</v>
      </c>
      <c r="AA881" t="s">
        <v>94</v>
      </c>
      <c r="AB881">
        <v>5</v>
      </c>
      <c r="AC881">
        <v>748749.61</v>
      </c>
      <c r="AD881">
        <v>8930463.0999999996</v>
      </c>
      <c r="AE881">
        <v>190.05</v>
      </c>
      <c r="AF881">
        <v>748749.61</v>
      </c>
      <c r="AG881">
        <v>8930463.0999999996</v>
      </c>
      <c r="AH881">
        <v>179.4</v>
      </c>
      <c r="AI881">
        <v>10.65</v>
      </c>
      <c r="AJ881">
        <v>0.6</v>
      </c>
      <c r="AK881">
        <v>3.37</v>
      </c>
      <c r="AL881">
        <v>2.93</v>
      </c>
      <c r="AM881">
        <v>0</v>
      </c>
      <c r="AN881">
        <v>0</v>
      </c>
      <c r="AO881">
        <v>358</v>
      </c>
      <c r="AP881">
        <v>3.46</v>
      </c>
      <c r="AQ881">
        <v>0.66</v>
      </c>
      <c r="AR881">
        <v>0.09</v>
      </c>
      <c r="AS881">
        <v>0.08</v>
      </c>
      <c r="AT881">
        <v>18.829999999999998</v>
      </c>
      <c r="AU881">
        <v>5.37</v>
      </c>
      <c r="AV881">
        <v>0.36</v>
      </c>
      <c r="AW881">
        <v>1.85</v>
      </c>
      <c r="AX881">
        <v>7.45</v>
      </c>
      <c r="AY881">
        <v>3.3</v>
      </c>
      <c r="AZ881">
        <v>107.01600000000001</v>
      </c>
      <c r="BA881">
        <v>0</v>
      </c>
      <c r="BB881">
        <v>0</v>
      </c>
      <c r="BC881">
        <v>0</v>
      </c>
      <c r="BD881">
        <v>0</v>
      </c>
    </row>
    <row r="882" spans="1:56" x14ac:dyDescent="0.25">
      <c r="A882" s="23">
        <v>46304</v>
      </c>
      <c r="B882">
        <v>881</v>
      </c>
      <c r="C882" t="s">
        <v>82</v>
      </c>
      <c r="D882" t="s">
        <v>83</v>
      </c>
      <c r="E882">
        <v>2</v>
      </c>
      <c r="F882">
        <v>180</v>
      </c>
      <c r="G882">
        <v>1</v>
      </c>
      <c r="H882" t="s">
        <v>84</v>
      </c>
      <c r="I882" t="s">
        <v>91</v>
      </c>
      <c r="J882" t="s">
        <v>85</v>
      </c>
      <c r="K882" t="s">
        <v>86</v>
      </c>
      <c r="L882" t="s">
        <v>71</v>
      </c>
      <c r="M882" t="s">
        <v>87</v>
      </c>
      <c r="O882" t="s">
        <v>88</v>
      </c>
      <c r="P882" t="s">
        <v>27</v>
      </c>
      <c r="Q882" t="s">
        <v>73</v>
      </c>
      <c r="R882" t="s">
        <v>76</v>
      </c>
      <c r="S882" t="s">
        <v>74</v>
      </c>
      <c r="T882" t="s">
        <v>75</v>
      </c>
      <c r="X882" t="s">
        <v>77</v>
      </c>
      <c r="Z882" t="s">
        <v>72</v>
      </c>
      <c r="AA882" t="s">
        <v>94</v>
      </c>
      <c r="AB882">
        <v>5</v>
      </c>
      <c r="AC882">
        <v>748746.91</v>
      </c>
      <c r="AD882">
        <v>8930460.9000000004</v>
      </c>
      <c r="AE882">
        <v>189.88</v>
      </c>
      <c r="AF882">
        <v>748746.91</v>
      </c>
      <c r="AG882">
        <v>8930460.9000000004</v>
      </c>
      <c r="AH882">
        <v>179.4</v>
      </c>
      <c r="AI882">
        <v>10.48</v>
      </c>
      <c r="AJ882">
        <v>0.6</v>
      </c>
      <c r="AK882">
        <v>3.37</v>
      </c>
      <c r="AL882">
        <v>2.93</v>
      </c>
      <c r="AM882">
        <v>0</v>
      </c>
      <c r="AN882">
        <v>0</v>
      </c>
      <c r="AO882">
        <v>358</v>
      </c>
      <c r="AP882">
        <v>3.46</v>
      </c>
      <c r="AQ882">
        <v>0.67</v>
      </c>
      <c r="AR882">
        <v>0.09</v>
      </c>
      <c r="AS882">
        <v>0.08</v>
      </c>
      <c r="AT882">
        <v>19.02</v>
      </c>
      <c r="AU882">
        <v>5.58</v>
      </c>
      <c r="AV882">
        <v>0.36</v>
      </c>
      <c r="AW882">
        <v>1.85</v>
      </c>
      <c r="AX882">
        <v>7.39</v>
      </c>
      <c r="AY882">
        <v>3.3</v>
      </c>
      <c r="AZ882">
        <v>104.541</v>
      </c>
      <c r="BA882">
        <v>0</v>
      </c>
      <c r="BB882">
        <v>0</v>
      </c>
      <c r="BC882">
        <v>0</v>
      </c>
      <c r="BD882">
        <v>0</v>
      </c>
    </row>
    <row r="883" spans="1:56" x14ac:dyDescent="0.25">
      <c r="A883" s="23">
        <v>46304</v>
      </c>
      <c r="B883">
        <v>882</v>
      </c>
      <c r="C883" t="s">
        <v>82</v>
      </c>
      <c r="D883" t="s">
        <v>83</v>
      </c>
      <c r="E883">
        <v>2</v>
      </c>
      <c r="F883">
        <v>180</v>
      </c>
      <c r="G883">
        <v>1</v>
      </c>
      <c r="H883" t="s">
        <v>84</v>
      </c>
      <c r="I883" t="s">
        <v>91</v>
      </c>
      <c r="J883" t="s">
        <v>85</v>
      </c>
      <c r="K883" t="s">
        <v>86</v>
      </c>
      <c r="L883" t="s">
        <v>71</v>
      </c>
      <c r="M883" t="s">
        <v>87</v>
      </c>
      <c r="O883" t="s">
        <v>88</v>
      </c>
      <c r="P883" t="s">
        <v>27</v>
      </c>
      <c r="Q883" t="s">
        <v>73</v>
      </c>
      <c r="R883" t="s">
        <v>76</v>
      </c>
      <c r="S883" t="s">
        <v>74</v>
      </c>
      <c r="T883" t="s">
        <v>75</v>
      </c>
      <c r="X883" t="s">
        <v>77</v>
      </c>
      <c r="Z883" t="s">
        <v>72</v>
      </c>
      <c r="AA883" t="s">
        <v>94</v>
      </c>
      <c r="AB883">
        <v>5</v>
      </c>
      <c r="AC883">
        <v>748745.4</v>
      </c>
      <c r="AD883">
        <v>8930458.0700000003</v>
      </c>
      <c r="AE883">
        <v>189.92</v>
      </c>
      <c r="AF883">
        <v>748745.4</v>
      </c>
      <c r="AG883">
        <v>8930458.0700000003</v>
      </c>
      <c r="AH883">
        <v>179.4</v>
      </c>
      <c r="AI883">
        <v>10.52</v>
      </c>
      <c r="AJ883">
        <v>0.6</v>
      </c>
      <c r="AK883">
        <v>3.37</v>
      </c>
      <c r="AL883">
        <v>2.93</v>
      </c>
      <c r="AM883">
        <v>0</v>
      </c>
      <c r="AN883">
        <v>0</v>
      </c>
      <c r="AO883">
        <v>358</v>
      </c>
      <c r="AP883">
        <v>3.42</v>
      </c>
      <c r="AQ883">
        <v>0.63</v>
      </c>
      <c r="AR883">
        <v>0.09</v>
      </c>
      <c r="AS883">
        <v>0.08</v>
      </c>
      <c r="AT883">
        <v>19.100000000000001</v>
      </c>
      <c r="AU883">
        <v>5.7</v>
      </c>
      <c r="AV883">
        <v>0.35</v>
      </c>
      <c r="AW883">
        <v>1.71</v>
      </c>
      <c r="AX883">
        <v>7.13</v>
      </c>
      <c r="AY883">
        <v>3.3</v>
      </c>
      <c r="AZ883">
        <v>105.123</v>
      </c>
      <c r="BA883">
        <v>0</v>
      </c>
      <c r="BB883">
        <v>0</v>
      </c>
      <c r="BC883">
        <v>0</v>
      </c>
      <c r="BD883">
        <v>0</v>
      </c>
    </row>
    <row r="884" spans="1:56" x14ac:dyDescent="0.25">
      <c r="A884" s="23">
        <v>46304</v>
      </c>
      <c r="B884">
        <v>883</v>
      </c>
      <c r="C884" t="s">
        <v>82</v>
      </c>
      <c r="D884" t="s">
        <v>83</v>
      </c>
      <c r="E884">
        <v>2</v>
      </c>
      <c r="F884">
        <v>180</v>
      </c>
      <c r="G884">
        <v>1</v>
      </c>
      <c r="H884" t="s">
        <v>84</v>
      </c>
      <c r="I884" t="s">
        <v>91</v>
      </c>
      <c r="J884" t="s">
        <v>85</v>
      </c>
      <c r="K884" t="s">
        <v>86</v>
      </c>
      <c r="L884" t="s">
        <v>71</v>
      </c>
      <c r="M884" t="s">
        <v>87</v>
      </c>
      <c r="O884" t="s">
        <v>88</v>
      </c>
      <c r="P884" t="s">
        <v>27</v>
      </c>
      <c r="Q884" t="s">
        <v>73</v>
      </c>
      <c r="R884" t="s">
        <v>76</v>
      </c>
      <c r="S884" t="s">
        <v>74</v>
      </c>
      <c r="T884" t="s">
        <v>75</v>
      </c>
      <c r="X884" t="s">
        <v>77</v>
      </c>
      <c r="Z884" t="s">
        <v>72</v>
      </c>
      <c r="AA884" t="s">
        <v>94</v>
      </c>
      <c r="AB884">
        <v>5</v>
      </c>
      <c r="AC884">
        <v>748746.42</v>
      </c>
      <c r="AD884">
        <v>8930454.5500000007</v>
      </c>
      <c r="AE884">
        <v>189.27</v>
      </c>
      <c r="AF884">
        <v>748746.42</v>
      </c>
      <c r="AG884">
        <v>8930454.5500000007</v>
      </c>
      <c r="AH884">
        <v>179.4</v>
      </c>
      <c r="AI884">
        <v>9.8699999999999992</v>
      </c>
      <c r="AJ884">
        <v>0.6</v>
      </c>
      <c r="AK884">
        <v>3.37</v>
      </c>
      <c r="AL884">
        <v>2.93</v>
      </c>
      <c r="AM884">
        <v>0</v>
      </c>
      <c r="AN884">
        <v>0</v>
      </c>
      <c r="AO884">
        <v>358</v>
      </c>
      <c r="AP884">
        <v>3.38</v>
      </c>
      <c r="AQ884">
        <v>0.6</v>
      </c>
      <c r="AR884">
        <v>0.09</v>
      </c>
      <c r="AS884">
        <v>0.08</v>
      </c>
      <c r="AT884">
        <v>18.37</v>
      </c>
      <c r="AU884">
        <v>5.49</v>
      </c>
      <c r="AV884">
        <v>0.34</v>
      </c>
      <c r="AW884">
        <v>1.65</v>
      </c>
      <c r="AX884">
        <v>6.86</v>
      </c>
      <c r="AY884">
        <v>3.3</v>
      </c>
      <c r="AZ884">
        <v>95.659000000000006</v>
      </c>
      <c r="BA884">
        <v>0</v>
      </c>
      <c r="BB884">
        <v>0</v>
      </c>
      <c r="BC884">
        <v>0</v>
      </c>
      <c r="BD884">
        <v>0</v>
      </c>
    </row>
    <row r="885" spans="1:56" x14ac:dyDescent="0.25">
      <c r="A885" s="23">
        <v>46304</v>
      </c>
      <c r="B885">
        <v>884</v>
      </c>
      <c r="C885" t="s">
        <v>82</v>
      </c>
      <c r="D885" t="s">
        <v>83</v>
      </c>
      <c r="E885">
        <v>2</v>
      </c>
      <c r="F885">
        <v>180</v>
      </c>
      <c r="G885">
        <v>1</v>
      </c>
      <c r="H885" t="s">
        <v>84</v>
      </c>
      <c r="I885" t="s">
        <v>91</v>
      </c>
      <c r="J885" t="s">
        <v>85</v>
      </c>
      <c r="K885" t="s">
        <v>86</v>
      </c>
      <c r="L885" t="s">
        <v>71</v>
      </c>
      <c r="M885" t="s">
        <v>87</v>
      </c>
      <c r="O885" t="s">
        <v>88</v>
      </c>
      <c r="P885" t="s">
        <v>27</v>
      </c>
      <c r="Q885" t="s">
        <v>73</v>
      </c>
      <c r="R885" t="s">
        <v>76</v>
      </c>
      <c r="S885" t="s">
        <v>74</v>
      </c>
      <c r="T885" t="s">
        <v>75</v>
      </c>
      <c r="X885" t="s">
        <v>77</v>
      </c>
      <c r="Z885" t="s">
        <v>72</v>
      </c>
      <c r="AA885" t="s">
        <v>94</v>
      </c>
      <c r="AB885">
        <v>5</v>
      </c>
      <c r="AC885">
        <v>748748.11</v>
      </c>
      <c r="AD885">
        <v>8930456.1099999994</v>
      </c>
      <c r="AE885">
        <v>189.94</v>
      </c>
      <c r="AF885">
        <v>748748.11</v>
      </c>
      <c r="AG885">
        <v>8930456.1099999994</v>
      </c>
      <c r="AH885">
        <v>179.4</v>
      </c>
      <c r="AI885">
        <v>10.54</v>
      </c>
      <c r="AJ885">
        <v>0.6</v>
      </c>
      <c r="AK885">
        <v>3.37</v>
      </c>
      <c r="AL885">
        <v>2.93</v>
      </c>
      <c r="AM885">
        <v>0</v>
      </c>
      <c r="AN885">
        <v>0</v>
      </c>
      <c r="AO885">
        <v>358</v>
      </c>
      <c r="AP885">
        <v>3.46</v>
      </c>
      <c r="AQ885">
        <v>0.66</v>
      </c>
      <c r="AR885">
        <v>0.09</v>
      </c>
      <c r="AS885">
        <v>0.09</v>
      </c>
      <c r="AT885">
        <v>20.04</v>
      </c>
      <c r="AU885">
        <v>5.97</v>
      </c>
      <c r="AV885">
        <v>0.37</v>
      </c>
      <c r="AW885">
        <v>1.79</v>
      </c>
      <c r="AX885">
        <v>7.48</v>
      </c>
      <c r="AY885">
        <v>3.3</v>
      </c>
      <c r="AZ885">
        <v>105.414</v>
      </c>
      <c r="BA885">
        <v>0</v>
      </c>
      <c r="BB885">
        <v>0</v>
      </c>
      <c r="BC885">
        <v>0</v>
      </c>
      <c r="BD885">
        <v>0</v>
      </c>
    </row>
    <row r="886" spans="1:56" x14ac:dyDescent="0.25">
      <c r="A886" s="23">
        <v>46304</v>
      </c>
      <c r="B886">
        <v>885</v>
      </c>
      <c r="C886" t="s">
        <v>82</v>
      </c>
      <c r="D886" t="s">
        <v>83</v>
      </c>
      <c r="E886">
        <v>2</v>
      </c>
      <c r="F886">
        <v>180</v>
      </c>
      <c r="G886">
        <v>1</v>
      </c>
      <c r="H886" t="s">
        <v>95</v>
      </c>
      <c r="I886" t="s">
        <v>91</v>
      </c>
      <c r="J886" t="s">
        <v>85</v>
      </c>
      <c r="K886" t="s">
        <v>86</v>
      </c>
      <c r="L886" t="s">
        <v>71</v>
      </c>
      <c r="M886" t="s">
        <v>87</v>
      </c>
      <c r="O886" t="s">
        <v>88</v>
      </c>
      <c r="P886" t="s">
        <v>27</v>
      </c>
      <c r="Q886" t="s">
        <v>73</v>
      </c>
      <c r="R886" t="s">
        <v>76</v>
      </c>
      <c r="S886" t="s">
        <v>74</v>
      </c>
      <c r="T886" t="s">
        <v>75</v>
      </c>
      <c r="X886" t="s">
        <v>77</v>
      </c>
      <c r="Z886" t="s">
        <v>72</v>
      </c>
      <c r="AA886" t="s">
        <v>94</v>
      </c>
      <c r="AB886">
        <v>5</v>
      </c>
      <c r="AC886">
        <v>748749.59</v>
      </c>
      <c r="AD886">
        <v>8930458.9600000009</v>
      </c>
      <c r="AE886">
        <v>189.99</v>
      </c>
      <c r="AF886">
        <v>748749.59</v>
      </c>
      <c r="AG886">
        <v>8930458.9600000009</v>
      </c>
      <c r="AH886">
        <v>179.4</v>
      </c>
      <c r="AI886">
        <v>10.59</v>
      </c>
      <c r="AJ886">
        <v>0.6</v>
      </c>
      <c r="AK886">
        <v>3.37</v>
      </c>
      <c r="AL886">
        <v>2.93</v>
      </c>
      <c r="AM886">
        <v>0</v>
      </c>
      <c r="AN886">
        <v>0</v>
      </c>
      <c r="AO886">
        <v>358</v>
      </c>
      <c r="AP886">
        <v>3.46</v>
      </c>
      <c r="AQ886">
        <v>0.65</v>
      </c>
      <c r="AR886">
        <v>0.1</v>
      </c>
      <c r="AS886">
        <v>0.09</v>
      </c>
      <c r="AT886">
        <v>20.260000000000002</v>
      </c>
      <c r="AU886">
        <v>5.85</v>
      </c>
      <c r="AV886">
        <v>0.36</v>
      </c>
      <c r="AW886">
        <v>1.82</v>
      </c>
      <c r="AX886">
        <v>7.7</v>
      </c>
      <c r="AY886">
        <v>3.3</v>
      </c>
      <c r="AZ886">
        <v>106.142</v>
      </c>
      <c r="BA886">
        <v>0</v>
      </c>
      <c r="BB886">
        <v>0</v>
      </c>
      <c r="BC886">
        <v>0</v>
      </c>
      <c r="BD886">
        <v>0</v>
      </c>
    </row>
    <row r="887" spans="1:56" x14ac:dyDescent="0.25">
      <c r="A887" s="23">
        <v>46304</v>
      </c>
      <c r="B887">
        <v>886</v>
      </c>
      <c r="C887" t="s">
        <v>82</v>
      </c>
      <c r="D887" t="s">
        <v>83</v>
      </c>
      <c r="E887">
        <v>2</v>
      </c>
      <c r="F887">
        <v>180</v>
      </c>
      <c r="G887">
        <v>1</v>
      </c>
      <c r="H887" t="s">
        <v>95</v>
      </c>
      <c r="I887" t="s">
        <v>91</v>
      </c>
      <c r="J887" t="s">
        <v>85</v>
      </c>
      <c r="K887" t="s">
        <v>86</v>
      </c>
      <c r="L887" t="s">
        <v>71</v>
      </c>
      <c r="M887" t="s">
        <v>87</v>
      </c>
      <c r="O887" t="s">
        <v>88</v>
      </c>
      <c r="P887" t="s">
        <v>27</v>
      </c>
      <c r="Q887" t="s">
        <v>73</v>
      </c>
      <c r="R887" t="s">
        <v>76</v>
      </c>
      <c r="S887" t="s">
        <v>74</v>
      </c>
      <c r="T887" t="s">
        <v>75</v>
      </c>
      <c r="X887" t="s">
        <v>77</v>
      </c>
      <c r="Z887" t="s">
        <v>72</v>
      </c>
      <c r="AA887" t="s">
        <v>94</v>
      </c>
      <c r="AB887">
        <v>5</v>
      </c>
      <c r="AC887">
        <v>748751.94</v>
      </c>
      <c r="AD887">
        <v>8930461.3599999994</v>
      </c>
      <c r="AE887">
        <v>189.96</v>
      </c>
      <c r="AF887">
        <v>748751.94</v>
      </c>
      <c r="AG887">
        <v>8930461.3599999994</v>
      </c>
      <c r="AH887">
        <v>179.4</v>
      </c>
      <c r="AI887">
        <v>10.56</v>
      </c>
      <c r="AJ887">
        <v>0.6</v>
      </c>
      <c r="AK887">
        <v>3.37</v>
      </c>
      <c r="AL887">
        <v>2.93</v>
      </c>
      <c r="AM887">
        <v>0</v>
      </c>
      <c r="AN887">
        <v>0</v>
      </c>
      <c r="AO887">
        <v>358</v>
      </c>
      <c r="AP887">
        <v>3.46</v>
      </c>
      <c r="AQ887">
        <v>0.65</v>
      </c>
      <c r="AR887">
        <v>0.09</v>
      </c>
      <c r="AS887">
        <v>0.08</v>
      </c>
      <c r="AT887">
        <v>19.34</v>
      </c>
      <c r="AU887">
        <v>5.33</v>
      </c>
      <c r="AV887">
        <v>0.36</v>
      </c>
      <c r="AW887">
        <v>1.82</v>
      </c>
      <c r="AX887">
        <v>7.66</v>
      </c>
      <c r="AY887">
        <v>3.3</v>
      </c>
      <c r="AZ887">
        <v>105.706</v>
      </c>
      <c r="BA887">
        <v>0</v>
      </c>
      <c r="BB887">
        <v>0</v>
      </c>
      <c r="BC887">
        <v>0</v>
      </c>
      <c r="BD887">
        <v>0</v>
      </c>
    </row>
    <row r="888" spans="1:56" x14ac:dyDescent="0.25">
      <c r="A888" s="23">
        <v>46304</v>
      </c>
      <c r="B888">
        <v>887</v>
      </c>
      <c r="C888" t="s">
        <v>82</v>
      </c>
      <c r="D888" t="s">
        <v>83</v>
      </c>
      <c r="E888">
        <v>2</v>
      </c>
      <c r="F888">
        <v>180</v>
      </c>
      <c r="G888">
        <v>1</v>
      </c>
      <c r="H888" t="s">
        <v>95</v>
      </c>
      <c r="I888" t="s">
        <v>91</v>
      </c>
      <c r="J888" t="s">
        <v>85</v>
      </c>
      <c r="K888" t="s">
        <v>86</v>
      </c>
      <c r="L888" t="s">
        <v>71</v>
      </c>
      <c r="M888" t="s">
        <v>87</v>
      </c>
      <c r="O888" t="s">
        <v>88</v>
      </c>
      <c r="P888" t="s">
        <v>27</v>
      </c>
      <c r="Q888" t="s">
        <v>73</v>
      </c>
      <c r="R888" t="s">
        <v>76</v>
      </c>
      <c r="S888" t="s">
        <v>74</v>
      </c>
      <c r="T888" t="s">
        <v>75</v>
      </c>
      <c r="X888" t="s">
        <v>77</v>
      </c>
      <c r="Z888" t="s">
        <v>72</v>
      </c>
      <c r="AA888" t="s">
        <v>94</v>
      </c>
      <c r="AB888">
        <v>5</v>
      </c>
      <c r="AC888">
        <v>748754.63</v>
      </c>
      <c r="AD888">
        <v>8930463.4000000004</v>
      </c>
      <c r="AE888">
        <v>190.07</v>
      </c>
      <c r="AF888">
        <v>748754.63</v>
      </c>
      <c r="AG888">
        <v>8930463.4000000004</v>
      </c>
      <c r="AH888">
        <v>179.4</v>
      </c>
      <c r="AI888">
        <v>10.67</v>
      </c>
      <c r="AJ888">
        <v>0.6</v>
      </c>
      <c r="AK888">
        <v>3.37</v>
      </c>
      <c r="AL888">
        <v>2.93</v>
      </c>
      <c r="AM888">
        <v>0</v>
      </c>
      <c r="AN888">
        <v>0</v>
      </c>
      <c r="AO888">
        <v>358</v>
      </c>
      <c r="AP888">
        <v>3.46</v>
      </c>
      <c r="AQ888">
        <v>0.65</v>
      </c>
      <c r="AR888">
        <v>0.09</v>
      </c>
      <c r="AS888">
        <v>0.08</v>
      </c>
      <c r="AT888">
        <v>19.05</v>
      </c>
      <c r="AU888">
        <v>5.24</v>
      </c>
      <c r="AV888">
        <v>0.36</v>
      </c>
      <c r="AW888">
        <v>1.82</v>
      </c>
      <c r="AX888">
        <v>7.59</v>
      </c>
      <c r="AY888">
        <v>3.3</v>
      </c>
      <c r="AZ888">
        <v>107.307</v>
      </c>
      <c r="BA888">
        <v>0</v>
      </c>
      <c r="BB888">
        <v>0</v>
      </c>
      <c r="BC888">
        <v>0</v>
      </c>
      <c r="BD888">
        <v>0</v>
      </c>
    </row>
    <row r="889" spans="1:56" x14ac:dyDescent="0.25">
      <c r="A889" s="23">
        <v>46304</v>
      </c>
      <c r="B889">
        <v>888</v>
      </c>
      <c r="C889" t="s">
        <v>82</v>
      </c>
      <c r="D889" t="s">
        <v>83</v>
      </c>
      <c r="E889">
        <v>2</v>
      </c>
      <c r="F889">
        <v>180</v>
      </c>
      <c r="G889">
        <v>1</v>
      </c>
      <c r="H889" t="s">
        <v>95</v>
      </c>
      <c r="I889" t="s">
        <v>91</v>
      </c>
      <c r="J889" t="s">
        <v>85</v>
      </c>
      <c r="K889" t="s">
        <v>86</v>
      </c>
      <c r="L889" t="s">
        <v>71</v>
      </c>
      <c r="M889" t="s">
        <v>87</v>
      </c>
      <c r="O889" t="s">
        <v>88</v>
      </c>
      <c r="P889" t="s">
        <v>27</v>
      </c>
      <c r="Q889" t="s">
        <v>73</v>
      </c>
      <c r="R889" t="s">
        <v>76</v>
      </c>
      <c r="S889" t="s">
        <v>74</v>
      </c>
      <c r="T889" t="s">
        <v>75</v>
      </c>
      <c r="X889" t="s">
        <v>77</v>
      </c>
      <c r="Z889" t="s">
        <v>72</v>
      </c>
      <c r="AA889" t="s">
        <v>94</v>
      </c>
      <c r="AB889">
        <v>5</v>
      </c>
      <c r="AC889">
        <v>748757.31</v>
      </c>
      <c r="AD889">
        <v>8930465.4299999997</v>
      </c>
      <c r="AE889">
        <v>189.8</v>
      </c>
      <c r="AF889">
        <v>748757.31</v>
      </c>
      <c r="AG889">
        <v>8930465.4299999997</v>
      </c>
      <c r="AH889">
        <v>179.4</v>
      </c>
      <c r="AI889">
        <v>10.4</v>
      </c>
      <c r="AJ889">
        <v>0.6</v>
      </c>
      <c r="AK889">
        <v>3.37</v>
      </c>
      <c r="AL889">
        <v>2.93</v>
      </c>
      <c r="AM889">
        <v>0</v>
      </c>
      <c r="AN889">
        <v>0</v>
      </c>
      <c r="AO889">
        <v>358</v>
      </c>
      <c r="AP889">
        <v>3.45</v>
      </c>
      <c r="AQ889">
        <v>0.65</v>
      </c>
      <c r="AR889">
        <v>0.09</v>
      </c>
      <c r="AS889">
        <v>0.08</v>
      </c>
      <c r="AT889">
        <v>19.05</v>
      </c>
      <c r="AU889">
        <v>5.24</v>
      </c>
      <c r="AV889">
        <v>0.36</v>
      </c>
      <c r="AW889">
        <v>1.82</v>
      </c>
      <c r="AX889">
        <v>7.58</v>
      </c>
      <c r="AY889">
        <v>3.3</v>
      </c>
      <c r="AZ889">
        <v>103.376</v>
      </c>
      <c r="BA889">
        <v>0</v>
      </c>
      <c r="BB889">
        <v>0</v>
      </c>
      <c r="BC889">
        <v>0</v>
      </c>
      <c r="BD889">
        <v>0</v>
      </c>
    </row>
    <row r="890" spans="1:56" x14ac:dyDescent="0.25">
      <c r="A890" s="23">
        <v>46304</v>
      </c>
      <c r="B890">
        <v>889</v>
      </c>
      <c r="C890" t="s">
        <v>82</v>
      </c>
      <c r="D890" t="s">
        <v>83</v>
      </c>
      <c r="E890">
        <v>2</v>
      </c>
      <c r="F890">
        <v>180</v>
      </c>
      <c r="G890">
        <v>1</v>
      </c>
      <c r="H890" t="s">
        <v>95</v>
      </c>
      <c r="I890" t="s">
        <v>91</v>
      </c>
      <c r="J890" t="s">
        <v>97</v>
      </c>
      <c r="K890" t="s">
        <v>86</v>
      </c>
      <c r="L890" t="s">
        <v>71</v>
      </c>
      <c r="M890" t="s">
        <v>87</v>
      </c>
      <c r="O890" t="s">
        <v>88</v>
      </c>
      <c r="P890" t="s">
        <v>27</v>
      </c>
      <c r="Q890" t="s">
        <v>73</v>
      </c>
      <c r="R890" t="s">
        <v>76</v>
      </c>
      <c r="S890" t="s">
        <v>74</v>
      </c>
      <c r="T890" t="s">
        <v>75</v>
      </c>
      <c r="X890" t="s">
        <v>77</v>
      </c>
      <c r="Z890" t="s">
        <v>72</v>
      </c>
      <c r="AA890" t="s">
        <v>94</v>
      </c>
      <c r="AB890">
        <v>5</v>
      </c>
      <c r="AC890">
        <v>748760</v>
      </c>
      <c r="AD890">
        <v>8930467.4700000007</v>
      </c>
      <c r="AE890">
        <v>189.75</v>
      </c>
      <c r="AF890">
        <v>748760</v>
      </c>
      <c r="AG890">
        <v>8930467.4700000007</v>
      </c>
      <c r="AH890">
        <v>179.4</v>
      </c>
      <c r="AI890">
        <v>10.35</v>
      </c>
      <c r="AJ890">
        <v>0.6</v>
      </c>
      <c r="AK890">
        <v>3.37</v>
      </c>
      <c r="AL890">
        <v>2.93</v>
      </c>
      <c r="AM890">
        <v>0</v>
      </c>
      <c r="AN890">
        <v>0</v>
      </c>
      <c r="AO890">
        <v>358</v>
      </c>
      <c r="AP890">
        <v>3.44</v>
      </c>
      <c r="AQ890">
        <v>0.71</v>
      </c>
      <c r="AR890">
        <v>0.1</v>
      </c>
      <c r="AS890">
        <v>0.09</v>
      </c>
      <c r="AT890">
        <v>20.010000000000002</v>
      </c>
      <c r="AU890">
        <v>5.87</v>
      </c>
      <c r="AV890">
        <v>0.37</v>
      </c>
      <c r="AW890">
        <v>1.92</v>
      </c>
      <c r="AX890">
        <v>7.49</v>
      </c>
      <c r="AY890">
        <v>3.3</v>
      </c>
      <c r="AZ890">
        <v>102.648</v>
      </c>
      <c r="BA890">
        <v>0</v>
      </c>
      <c r="BB890">
        <v>0</v>
      </c>
      <c r="BC890">
        <v>0</v>
      </c>
      <c r="BD890">
        <v>0</v>
      </c>
    </row>
    <row r="891" spans="1:56" x14ac:dyDescent="0.25">
      <c r="A891" s="23">
        <v>46304</v>
      </c>
      <c r="B891">
        <v>890</v>
      </c>
      <c r="C891" t="s">
        <v>82</v>
      </c>
      <c r="D891" t="s">
        <v>83</v>
      </c>
      <c r="E891">
        <v>2</v>
      </c>
      <c r="F891">
        <v>180</v>
      </c>
      <c r="G891">
        <v>1</v>
      </c>
      <c r="H891" t="s">
        <v>95</v>
      </c>
      <c r="I891" t="s">
        <v>91</v>
      </c>
      <c r="J891" t="s">
        <v>97</v>
      </c>
      <c r="K891" t="s">
        <v>86</v>
      </c>
      <c r="L891" t="s">
        <v>71</v>
      </c>
      <c r="M891" t="s">
        <v>87</v>
      </c>
      <c r="O891" t="s">
        <v>88</v>
      </c>
      <c r="P891" t="s">
        <v>27</v>
      </c>
      <c r="Q891" t="s">
        <v>73</v>
      </c>
      <c r="R891" t="s">
        <v>76</v>
      </c>
      <c r="S891" t="s">
        <v>74</v>
      </c>
      <c r="T891" t="s">
        <v>75</v>
      </c>
      <c r="X891" t="s">
        <v>77</v>
      </c>
      <c r="Z891" t="s">
        <v>72</v>
      </c>
      <c r="AA891" t="s">
        <v>94</v>
      </c>
      <c r="AB891">
        <v>5</v>
      </c>
      <c r="AC891">
        <v>748762.68</v>
      </c>
      <c r="AD891">
        <v>8930469.5099999998</v>
      </c>
      <c r="AE891">
        <v>189.93</v>
      </c>
      <c r="AF891">
        <v>748762.68</v>
      </c>
      <c r="AG891">
        <v>8930469.5099999998</v>
      </c>
      <c r="AH891">
        <v>179.4</v>
      </c>
      <c r="AI891">
        <v>10.53</v>
      </c>
      <c r="AJ891">
        <v>0.6</v>
      </c>
      <c r="AK891">
        <v>3.37</v>
      </c>
      <c r="AL891">
        <v>2.93</v>
      </c>
      <c r="AM891">
        <v>0</v>
      </c>
      <c r="AN891">
        <v>0</v>
      </c>
      <c r="AO891">
        <v>358</v>
      </c>
      <c r="AP891">
        <v>3.4</v>
      </c>
      <c r="AQ891">
        <v>0.74</v>
      </c>
      <c r="AR891">
        <v>0.11</v>
      </c>
      <c r="AS891">
        <v>0.09</v>
      </c>
      <c r="AT891">
        <v>20.6</v>
      </c>
      <c r="AU891">
        <v>6.43</v>
      </c>
      <c r="AV891">
        <v>0.38</v>
      </c>
      <c r="AW891">
        <v>1.96</v>
      </c>
      <c r="AX891">
        <v>7.56</v>
      </c>
      <c r="AY891">
        <v>3.3</v>
      </c>
      <c r="AZ891">
        <v>105.26900000000001</v>
      </c>
      <c r="BA891">
        <v>0</v>
      </c>
      <c r="BB891">
        <v>0</v>
      </c>
      <c r="BC891">
        <v>0</v>
      </c>
      <c r="BD891">
        <v>0</v>
      </c>
    </row>
    <row r="892" spans="1:56" x14ac:dyDescent="0.25">
      <c r="A892" s="23">
        <v>46304</v>
      </c>
      <c r="B892">
        <v>891</v>
      </c>
      <c r="C892" t="s">
        <v>82</v>
      </c>
      <c r="D892" t="s">
        <v>83</v>
      </c>
      <c r="E892">
        <v>2</v>
      </c>
      <c r="F892">
        <v>180</v>
      </c>
      <c r="G892">
        <v>1</v>
      </c>
      <c r="H892" t="s">
        <v>95</v>
      </c>
      <c r="I892" t="s">
        <v>91</v>
      </c>
      <c r="J892" t="s">
        <v>85</v>
      </c>
      <c r="K892" t="s">
        <v>86</v>
      </c>
      <c r="L892" t="s">
        <v>71</v>
      </c>
      <c r="M892" t="s">
        <v>87</v>
      </c>
      <c r="O892" t="s">
        <v>88</v>
      </c>
      <c r="P892" t="s">
        <v>27</v>
      </c>
      <c r="Q892" t="s">
        <v>73</v>
      </c>
      <c r="R892" t="s">
        <v>76</v>
      </c>
      <c r="S892" t="s">
        <v>74</v>
      </c>
      <c r="T892" t="s">
        <v>75</v>
      </c>
      <c r="X892" t="s">
        <v>77</v>
      </c>
      <c r="Z892" t="s">
        <v>72</v>
      </c>
      <c r="AA892" t="s">
        <v>94</v>
      </c>
      <c r="AB892">
        <v>5</v>
      </c>
      <c r="AC892">
        <v>748765.36</v>
      </c>
      <c r="AD892">
        <v>8930471.5500000007</v>
      </c>
      <c r="AE892">
        <v>189.78</v>
      </c>
      <c r="AF892">
        <v>748765.36</v>
      </c>
      <c r="AG892">
        <v>8930471.5500000007</v>
      </c>
      <c r="AH892">
        <v>179.4</v>
      </c>
      <c r="AI892">
        <v>10.38</v>
      </c>
      <c r="AJ892">
        <v>0.6</v>
      </c>
      <c r="AK892">
        <v>3.37</v>
      </c>
      <c r="AL892">
        <v>2.93</v>
      </c>
      <c r="AM892">
        <v>0</v>
      </c>
      <c r="AN892">
        <v>0</v>
      </c>
      <c r="AO892">
        <v>358</v>
      </c>
      <c r="AP892">
        <v>3.39</v>
      </c>
      <c r="AQ892">
        <v>0.68</v>
      </c>
      <c r="AR892">
        <v>0.09</v>
      </c>
      <c r="AS892">
        <v>0.09</v>
      </c>
      <c r="AT892">
        <v>19.98</v>
      </c>
      <c r="AU892">
        <v>6.27</v>
      </c>
      <c r="AV892">
        <v>0.37</v>
      </c>
      <c r="AW892">
        <v>1.84</v>
      </c>
      <c r="AX892">
        <v>7.8</v>
      </c>
      <c r="AY892">
        <v>3.3</v>
      </c>
      <c r="AZ892">
        <v>103.08499999999999</v>
      </c>
      <c r="BA892">
        <v>0</v>
      </c>
      <c r="BB892">
        <v>0</v>
      </c>
      <c r="BC892">
        <v>0</v>
      </c>
      <c r="BD892">
        <v>0</v>
      </c>
    </row>
    <row r="893" spans="1:56" x14ac:dyDescent="0.25">
      <c r="A893" s="23">
        <v>46304</v>
      </c>
      <c r="B893">
        <v>892</v>
      </c>
      <c r="C893" t="s">
        <v>82</v>
      </c>
      <c r="D893" t="s">
        <v>83</v>
      </c>
      <c r="E893">
        <v>2</v>
      </c>
      <c r="F893">
        <v>180</v>
      </c>
      <c r="G893">
        <v>1</v>
      </c>
      <c r="H893" t="s">
        <v>96</v>
      </c>
      <c r="I893" t="s">
        <v>91</v>
      </c>
      <c r="J893" t="s">
        <v>85</v>
      </c>
      <c r="K893" t="s">
        <v>86</v>
      </c>
      <c r="L893" t="s">
        <v>71</v>
      </c>
      <c r="M893" t="s">
        <v>87</v>
      </c>
      <c r="O893" t="s">
        <v>88</v>
      </c>
      <c r="P893" t="s">
        <v>27</v>
      </c>
      <c r="Q893" t="s">
        <v>73</v>
      </c>
      <c r="R893" t="s">
        <v>76</v>
      </c>
      <c r="S893" t="s">
        <v>74</v>
      </c>
      <c r="T893" t="s">
        <v>75</v>
      </c>
      <c r="X893" t="s">
        <v>77</v>
      </c>
      <c r="Z893" t="s">
        <v>72</v>
      </c>
      <c r="AA893" t="s">
        <v>94</v>
      </c>
      <c r="AB893">
        <v>5</v>
      </c>
      <c r="AC893">
        <v>748768.05</v>
      </c>
      <c r="AD893">
        <v>8930473.5800000001</v>
      </c>
      <c r="AE893">
        <v>189.85</v>
      </c>
      <c r="AF893">
        <v>748768.05</v>
      </c>
      <c r="AG893">
        <v>8930473.5800000001</v>
      </c>
      <c r="AH893">
        <v>179.4</v>
      </c>
      <c r="AI893">
        <v>10.45</v>
      </c>
      <c r="AJ893">
        <v>0.6</v>
      </c>
      <c r="AK893">
        <v>3.37</v>
      </c>
      <c r="AL893">
        <v>2.93</v>
      </c>
      <c r="AM893">
        <v>0</v>
      </c>
      <c r="AN893">
        <v>0</v>
      </c>
      <c r="AO893">
        <v>358</v>
      </c>
      <c r="AP893">
        <v>3.38</v>
      </c>
      <c r="AQ893">
        <v>0.67</v>
      </c>
      <c r="AR893">
        <v>0.09</v>
      </c>
      <c r="AS893">
        <v>0.09</v>
      </c>
      <c r="AT893">
        <v>19.89</v>
      </c>
      <c r="AU893">
        <v>6.25</v>
      </c>
      <c r="AV893">
        <v>0.37</v>
      </c>
      <c r="AW893">
        <v>1.83</v>
      </c>
      <c r="AX893">
        <v>7.75</v>
      </c>
      <c r="AY893">
        <v>3.3</v>
      </c>
      <c r="AZ893">
        <v>104.104</v>
      </c>
      <c r="BA893">
        <v>0</v>
      </c>
      <c r="BB893">
        <v>0</v>
      </c>
      <c r="BC893">
        <v>0</v>
      </c>
      <c r="BD893">
        <v>0</v>
      </c>
    </row>
    <row r="894" spans="1:56" x14ac:dyDescent="0.25">
      <c r="A894" s="23">
        <v>46304</v>
      </c>
      <c r="B894">
        <v>893</v>
      </c>
      <c r="C894" t="s">
        <v>82</v>
      </c>
      <c r="D894" t="s">
        <v>83</v>
      </c>
      <c r="E894">
        <v>2</v>
      </c>
      <c r="F894">
        <v>180</v>
      </c>
      <c r="G894">
        <v>1</v>
      </c>
      <c r="H894" t="s">
        <v>96</v>
      </c>
      <c r="I894" t="s">
        <v>91</v>
      </c>
      <c r="J894" t="s">
        <v>97</v>
      </c>
      <c r="K894" t="s">
        <v>86</v>
      </c>
      <c r="L894" t="s">
        <v>71</v>
      </c>
      <c r="M894" t="s">
        <v>87</v>
      </c>
      <c r="O894" t="s">
        <v>88</v>
      </c>
      <c r="P894" t="s">
        <v>27</v>
      </c>
      <c r="Q894" t="s">
        <v>73</v>
      </c>
      <c r="R894" t="s">
        <v>76</v>
      </c>
      <c r="S894" t="s">
        <v>74</v>
      </c>
      <c r="T894" t="s">
        <v>75</v>
      </c>
      <c r="X894" t="s">
        <v>77</v>
      </c>
      <c r="Z894" t="s">
        <v>72</v>
      </c>
      <c r="AA894" t="s">
        <v>94</v>
      </c>
      <c r="AB894">
        <v>5</v>
      </c>
      <c r="AC894">
        <v>748770.86</v>
      </c>
      <c r="AD894">
        <v>8930475.4399999995</v>
      </c>
      <c r="AE894">
        <v>190.01</v>
      </c>
      <c r="AF894">
        <v>748770.86</v>
      </c>
      <c r="AG894">
        <v>8930475.4399999995</v>
      </c>
      <c r="AH894">
        <v>179.4</v>
      </c>
      <c r="AI894">
        <v>10.61</v>
      </c>
      <c r="AJ894">
        <v>0.6</v>
      </c>
      <c r="AK894">
        <v>3.37</v>
      </c>
      <c r="AL894">
        <v>2.93</v>
      </c>
      <c r="AM894">
        <v>0</v>
      </c>
      <c r="AN894">
        <v>0</v>
      </c>
      <c r="AO894">
        <v>358</v>
      </c>
      <c r="AP894">
        <v>3.41</v>
      </c>
      <c r="AQ894">
        <v>0.7</v>
      </c>
      <c r="AR894">
        <v>0.08</v>
      </c>
      <c r="AS894">
        <v>0.08</v>
      </c>
      <c r="AT894">
        <v>19.34</v>
      </c>
      <c r="AU894">
        <v>6.37</v>
      </c>
      <c r="AV894">
        <v>0.32</v>
      </c>
      <c r="AW894">
        <v>2.19</v>
      </c>
      <c r="AX894">
        <v>1.92</v>
      </c>
      <c r="AY894">
        <v>3.3</v>
      </c>
      <c r="AZ894">
        <v>106.434</v>
      </c>
      <c r="BA894">
        <v>0</v>
      </c>
      <c r="BB894">
        <v>0</v>
      </c>
      <c r="BC894">
        <v>0</v>
      </c>
      <c r="BD894">
        <v>0</v>
      </c>
    </row>
    <row r="895" spans="1:56" x14ac:dyDescent="0.25">
      <c r="A895" s="23">
        <v>46304</v>
      </c>
      <c r="B895">
        <v>894</v>
      </c>
      <c r="C895" t="s">
        <v>82</v>
      </c>
      <c r="D895" t="s">
        <v>83</v>
      </c>
      <c r="E895">
        <v>2</v>
      </c>
      <c r="F895">
        <v>180</v>
      </c>
      <c r="G895">
        <v>1</v>
      </c>
      <c r="H895" t="s">
        <v>96</v>
      </c>
      <c r="I895" t="s">
        <v>91</v>
      </c>
      <c r="J895" t="s">
        <v>97</v>
      </c>
      <c r="K895" t="s">
        <v>86</v>
      </c>
      <c r="L895" t="s">
        <v>71</v>
      </c>
      <c r="M895" t="s">
        <v>87</v>
      </c>
      <c r="O895" t="s">
        <v>88</v>
      </c>
      <c r="P895" t="s">
        <v>27</v>
      </c>
      <c r="Q895" t="s">
        <v>73</v>
      </c>
      <c r="R895" t="s">
        <v>76</v>
      </c>
      <c r="S895" t="s">
        <v>74</v>
      </c>
      <c r="T895" t="s">
        <v>75</v>
      </c>
      <c r="X895" t="s">
        <v>77</v>
      </c>
      <c r="Z895" t="s">
        <v>72</v>
      </c>
      <c r="AA895" t="s">
        <v>94</v>
      </c>
      <c r="AB895">
        <v>5</v>
      </c>
      <c r="AC895">
        <v>748773.69</v>
      </c>
      <c r="AD895">
        <v>8930477.2599999998</v>
      </c>
      <c r="AE895">
        <v>190.15</v>
      </c>
      <c r="AF895">
        <v>748773.69</v>
      </c>
      <c r="AG895">
        <v>8930477.2599999998</v>
      </c>
      <c r="AH895">
        <v>179.4</v>
      </c>
      <c r="AI895">
        <v>10.75</v>
      </c>
      <c r="AJ895">
        <v>0.6</v>
      </c>
      <c r="AK895">
        <v>3.37</v>
      </c>
      <c r="AL895">
        <v>2.93</v>
      </c>
      <c r="AM895">
        <v>0</v>
      </c>
      <c r="AN895">
        <v>0</v>
      </c>
      <c r="AO895">
        <v>358</v>
      </c>
      <c r="AP895">
        <v>3.42</v>
      </c>
      <c r="AQ895">
        <v>0.71</v>
      </c>
      <c r="AR895">
        <v>0.08</v>
      </c>
      <c r="AS895">
        <v>0.08</v>
      </c>
      <c r="AT895">
        <v>19.16</v>
      </c>
      <c r="AU895">
        <v>6.43</v>
      </c>
      <c r="AV895">
        <v>0.31</v>
      </c>
      <c r="AW895">
        <v>2.2999999999999998</v>
      </c>
      <c r="AX895">
        <v>0.11</v>
      </c>
      <c r="AY895">
        <v>3.3</v>
      </c>
      <c r="AZ895">
        <v>108.47199999999999</v>
      </c>
      <c r="BA895">
        <v>0</v>
      </c>
      <c r="BB895">
        <v>0</v>
      </c>
      <c r="BC895">
        <v>0</v>
      </c>
      <c r="BD895">
        <v>0</v>
      </c>
    </row>
    <row r="896" spans="1:56" x14ac:dyDescent="0.25">
      <c r="A896" s="23">
        <v>46304</v>
      </c>
      <c r="B896">
        <v>895</v>
      </c>
      <c r="C896" t="s">
        <v>82</v>
      </c>
      <c r="D896" t="s">
        <v>83</v>
      </c>
      <c r="E896">
        <v>2</v>
      </c>
      <c r="F896">
        <v>180</v>
      </c>
      <c r="G896">
        <v>1</v>
      </c>
      <c r="H896" t="s">
        <v>96</v>
      </c>
      <c r="I896" t="s">
        <v>91</v>
      </c>
      <c r="J896" t="s">
        <v>97</v>
      </c>
      <c r="K896" t="s">
        <v>86</v>
      </c>
      <c r="L896" t="s">
        <v>71</v>
      </c>
      <c r="M896" t="s">
        <v>87</v>
      </c>
      <c r="O896" t="s">
        <v>88</v>
      </c>
      <c r="P896" t="s">
        <v>27</v>
      </c>
      <c r="Q896" t="s">
        <v>73</v>
      </c>
      <c r="R896" t="s">
        <v>76</v>
      </c>
      <c r="S896" t="s">
        <v>74</v>
      </c>
      <c r="T896" t="s">
        <v>75</v>
      </c>
      <c r="X896" t="s">
        <v>77</v>
      </c>
      <c r="Z896" t="s">
        <v>72</v>
      </c>
      <c r="AA896" t="s">
        <v>94</v>
      </c>
      <c r="AB896">
        <v>5</v>
      </c>
      <c r="AC896">
        <v>748776.53</v>
      </c>
      <c r="AD896">
        <v>8930479.0899999999</v>
      </c>
      <c r="AE896">
        <v>190.22</v>
      </c>
      <c r="AF896">
        <v>748776.53</v>
      </c>
      <c r="AG896">
        <v>8930479.0899999999</v>
      </c>
      <c r="AH896">
        <v>179.4</v>
      </c>
      <c r="AI896">
        <v>10.82</v>
      </c>
      <c r="AJ896">
        <v>0.6</v>
      </c>
      <c r="AK896">
        <v>3.37</v>
      </c>
      <c r="AL896">
        <v>2.93</v>
      </c>
      <c r="AM896">
        <v>0</v>
      </c>
      <c r="AN896">
        <v>0</v>
      </c>
      <c r="AO896">
        <v>358</v>
      </c>
      <c r="AP896">
        <v>3.41</v>
      </c>
      <c r="AQ896">
        <v>0.7</v>
      </c>
      <c r="AR896">
        <v>0.08</v>
      </c>
      <c r="AS896">
        <v>0.08</v>
      </c>
      <c r="AT896">
        <v>19.03</v>
      </c>
      <c r="AU896">
        <v>6.35</v>
      </c>
      <c r="AV896">
        <v>0.31</v>
      </c>
      <c r="AW896">
        <v>2.25</v>
      </c>
      <c r="AX896">
        <v>0.16</v>
      </c>
      <c r="AY896">
        <v>3.3</v>
      </c>
      <c r="AZ896">
        <v>109.491</v>
      </c>
      <c r="BA896">
        <v>0</v>
      </c>
      <c r="BB896">
        <v>0</v>
      </c>
      <c r="BC896">
        <v>0</v>
      </c>
      <c r="BD896">
        <v>0</v>
      </c>
    </row>
    <row r="897" spans="1:56" x14ac:dyDescent="0.25">
      <c r="A897" s="23">
        <v>46304</v>
      </c>
      <c r="B897">
        <v>896</v>
      </c>
      <c r="C897" t="s">
        <v>82</v>
      </c>
      <c r="D897" t="s">
        <v>83</v>
      </c>
      <c r="E897">
        <v>2</v>
      </c>
      <c r="F897">
        <v>180</v>
      </c>
      <c r="G897">
        <v>1</v>
      </c>
      <c r="H897" t="s">
        <v>96</v>
      </c>
      <c r="I897" t="s">
        <v>91</v>
      </c>
      <c r="J897" t="s">
        <v>85</v>
      </c>
      <c r="K897" t="s">
        <v>86</v>
      </c>
      <c r="L897" t="s">
        <v>71</v>
      </c>
      <c r="M897" t="s">
        <v>87</v>
      </c>
      <c r="O897" t="s">
        <v>88</v>
      </c>
      <c r="P897" t="s">
        <v>27</v>
      </c>
      <c r="Q897" t="s">
        <v>73</v>
      </c>
      <c r="R897" t="s">
        <v>76</v>
      </c>
      <c r="S897" t="s">
        <v>74</v>
      </c>
      <c r="T897" t="s">
        <v>75</v>
      </c>
      <c r="X897" t="s">
        <v>77</v>
      </c>
      <c r="Z897" t="s">
        <v>72</v>
      </c>
      <c r="AA897" t="s">
        <v>94</v>
      </c>
      <c r="AB897">
        <v>5</v>
      </c>
      <c r="AC897">
        <v>748779.36</v>
      </c>
      <c r="AD897">
        <v>8930480.9100000001</v>
      </c>
      <c r="AE897">
        <v>190.13</v>
      </c>
      <c r="AF897">
        <v>748779.36</v>
      </c>
      <c r="AG897">
        <v>8930480.9100000001</v>
      </c>
      <c r="AH897">
        <v>179.4</v>
      </c>
      <c r="AI897">
        <v>10.73</v>
      </c>
      <c r="AJ897">
        <v>0.6</v>
      </c>
      <c r="AK897">
        <v>3.37</v>
      </c>
      <c r="AL897">
        <v>2.93</v>
      </c>
      <c r="AM897">
        <v>0</v>
      </c>
      <c r="AN897">
        <v>0</v>
      </c>
      <c r="AO897">
        <v>358</v>
      </c>
      <c r="AP897">
        <v>3.39</v>
      </c>
      <c r="AQ897">
        <v>0.65</v>
      </c>
      <c r="AR897">
        <v>7.0000000000000007E-2</v>
      </c>
      <c r="AS897">
        <v>7.0000000000000007E-2</v>
      </c>
      <c r="AT897">
        <v>18.63</v>
      </c>
      <c r="AU897">
        <v>6.14</v>
      </c>
      <c r="AV897">
        <v>0.31</v>
      </c>
      <c r="AW897">
        <v>2.08</v>
      </c>
      <c r="AX897">
        <v>0.09</v>
      </c>
      <c r="AY897">
        <v>3.3</v>
      </c>
      <c r="AZ897">
        <v>108.181</v>
      </c>
      <c r="BA897">
        <v>0</v>
      </c>
      <c r="BB897">
        <v>0</v>
      </c>
      <c r="BC897">
        <v>0</v>
      </c>
      <c r="BD897">
        <v>0</v>
      </c>
    </row>
    <row r="898" spans="1:56" x14ac:dyDescent="0.25">
      <c r="A898" s="23">
        <v>46304</v>
      </c>
      <c r="B898">
        <v>897</v>
      </c>
      <c r="C898" t="s">
        <v>82</v>
      </c>
      <c r="D898" t="s">
        <v>83</v>
      </c>
      <c r="E898">
        <v>2</v>
      </c>
      <c r="F898">
        <v>180</v>
      </c>
      <c r="G898">
        <v>1</v>
      </c>
      <c r="H898" t="s">
        <v>96</v>
      </c>
      <c r="I898" t="s">
        <v>91</v>
      </c>
      <c r="J898" t="s">
        <v>85</v>
      </c>
      <c r="K898" t="s">
        <v>86</v>
      </c>
      <c r="L898" t="s">
        <v>71</v>
      </c>
      <c r="M898" t="s">
        <v>87</v>
      </c>
      <c r="O898" t="s">
        <v>88</v>
      </c>
      <c r="P898" t="s">
        <v>27</v>
      </c>
      <c r="Q898" t="s">
        <v>73</v>
      </c>
      <c r="R898" t="s">
        <v>76</v>
      </c>
      <c r="S898" t="s">
        <v>74</v>
      </c>
      <c r="T898" t="s">
        <v>75</v>
      </c>
      <c r="X898" t="s">
        <v>77</v>
      </c>
      <c r="Z898" t="s">
        <v>72</v>
      </c>
      <c r="AA898" t="s">
        <v>94</v>
      </c>
      <c r="AB898">
        <v>5</v>
      </c>
      <c r="AC898">
        <v>748782.19</v>
      </c>
      <c r="AD898">
        <v>8930482.7400000002</v>
      </c>
      <c r="AE898">
        <v>190.17</v>
      </c>
      <c r="AF898">
        <v>748782.19</v>
      </c>
      <c r="AG898">
        <v>8930482.7400000002</v>
      </c>
      <c r="AH898">
        <v>179.4</v>
      </c>
      <c r="AI898">
        <v>10.77</v>
      </c>
      <c r="AJ898">
        <v>0.6</v>
      </c>
      <c r="AK898">
        <v>3.37</v>
      </c>
      <c r="AL898">
        <v>2.93</v>
      </c>
      <c r="AM898">
        <v>0</v>
      </c>
      <c r="AN898">
        <v>0</v>
      </c>
      <c r="AO898">
        <v>358</v>
      </c>
      <c r="AP898">
        <v>3.42</v>
      </c>
      <c r="AQ898">
        <v>0.62</v>
      </c>
      <c r="AR898">
        <v>7.0000000000000007E-2</v>
      </c>
      <c r="AS898">
        <v>7.0000000000000007E-2</v>
      </c>
      <c r="AT898">
        <v>18.47</v>
      </c>
      <c r="AU898">
        <v>6.13</v>
      </c>
      <c r="AV898">
        <v>0.31</v>
      </c>
      <c r="AW898">
        <v>1.99</v>
      </c>
      <c r="AX898">
        <v>0.12</v>
      </c>
      <c r="AY898">
        <v>3.3</v>
      </c>
      <c r="AZ898">
        <v>108.76300000000001</v>
      </c>
      <c r="BA898">
        <v>0</v>
      </c>
      <c r="BB898">
        <v>0</v>
      </c>
      <c r="BC898">
        <v>0</v>
      </c>
      <c r="BD898">
        <v>0</v>
      </c>
    </row>
    <row r="899" spans="1:56" x14ac:dyDescent="0.25">
      <c r="A899" s="23">
        <v>46304</v>
      </c>
      <c r="B899">
        <v>898</v>
      </c>
      <c r="C899" t="s">
        <v>82</v>
      </c>
      <c r="D899" t="s">
        <v>83</v>
      </c>
      <c r="E899">
        <v>2</v>
      </c>
      <c r="F899">
        <v>180</v>
      </c>
      <c r="G899">
        <v>1</v>
      </c>
      <c r="H899" t="s">
        <v>96</v>
      </c>
      <c r="I899" t="s">
        <v>91</v>
      </c>
      <c r="J899" t="s">
        <v>85</v>
      </c>
      <c r="K899" t="s">
        <v>86</v>
      </c>
      <c r="L899" t="s">
        <v>71</v>
      </c>
      <c r="M899" t="s">
        <v>87</v>
      </c>
      <c r="O899" t="s">
        <v>88</v>
      </c>
      <c r="P899" t="s">
        <v>27</v>
      </c>
      <c r="Q899" t="s">
        <v>73</v>
      </c>
      <c r="R899" t="s">
        <v>76</v>
      </c>
      <c r="S899" t="s">
        <v>74</v>
      </c>
      <c r="T899" t="s">
        <v>75</v>
      </c>
      <c r="X899" t="s">
        <v>77</v>
      </c>
      <c r="Z899" t="s">
        <v>72</v>
      </c>
      <c r="AA899" t="s">
        <v>94</v>
      </c>
      <c r="AB899">
        <v>5</v>
      </c>
      <c r="AC899">
        <v>748785.03</v>
      </c>
      <c r="AD899">
        <v>8930484.5700000003</v>
      </c>
      <c r="AE899">
        <v>189.81</v>
      </c>
      <c r="AF899">
        <v>748785.03</v>
      </c>
      <c r="AG899">
        <v>8930484.5700000003</v>
      </c>
      <c r="AH899">
        <v>179.4</v>
      </c>
      <c r="AI899">
        <v>10.41</v>
      </c>
      <c r="AJ899">
        <v>0.6</v>
      </c>
      <c r="AK899">
        <v>3.37</v>
      </c>
      <c r="AL899">
        <v>2.93</v>
      </c>
      <c r="AM899">
        <v>0</v>
      </c>
      <c r="AN899">
        <v>0</v>
      </c>
      <c r="AO899">
        <v>358</v>
      </c>
      <c r="AP899">
        <v>3.42</v>
      </c>
      <c r="AQ899">
        <v>0.61</v>
      </c>
      <c r="AR899">
        <v>7.0000000000000007E-2</v>
      </c>
      <c r="AS899">
        <v>7.0000000000000007E-2</v>
      </c>
      <c r="AT899">
        <v>18.43</v>
      </c>
      <c r="AU899">
        <v>6.12</v>
      </c>
      <c r="AV899">
        <v>0.31</v>
      </c>
      <c r="AW899">
        <v>1.97</v>
      </c>
      <c r="AX899">
        <v>0</v>
      </c>
      <c r="AY899">
        <v>3.3</v>
      </c>
      <c r="AZ899">
        <v>103.52200000000001</v>
      </c>
      <c r="BA899">
        <v>0</v>
      </c>
      <c r="BB899">
        <v>0</v>
      </c>
      <c r="BC899">
        <v>0</v>
      </c>
      <c r="BD899">
        <v>0</v>
      </c>
    </row>
    <row r="900" spans="1:56" x14ac:dyDescent="0.25">
      <c r="A900" s="23">
        <v>46304</v>
      </c>
      <c r="B900">
        <v>899</v>
      </c>
      <c r="C900" t="s">
        <v>82</v>
      </c>
      <c r="D900" t="s">
        <v>83</v>
      </c>
      <c r="E900">
        <v>2</v>
      </c>
      <c r="F900">
        <v>180</v>
      </c>
      <c r="G900">
        <v>1</v>
      </c>
      <c r="H900" t="s">
        <v>96</v>
      </c>
      <c r="I900" t="s">
        <v>91</v>
      </c>
      <c r="J900" t="s">
        <v>85</v>
      </c>
      <c r="K900" t="s">
        <v>86</v>
      </c>
      <c r="L900" t="s">
        <v>71</v>
      </c>
      <c r="M900" t="s">
        <v>87</v>
      </c>
      <c r="O900" t="s">
        <v>88</v>
      </c>
      <c r="P900" t="s">
        <v>27</v>
      </c>
      <c r="Q900" t="s">
        <v>73</v>
      </c>
      <c r="R900" t="s">
        <v>76</v>
      </c>
      <c r="S900" t="s">
        <v>74</v>
      </c>
      <c r="T900" t="s">
        <v>75</v>
      </c>
      <c r="X900" t="s">
        <v>77</v>
      </c>
      <c r="Z900" t="s">
        <v>72</v>
      </c>
      <c r="AA900" t="s">
        <v>94</v>
      </c>
      <c r="AB900">
        <v>5</v>
      </c>
      <c r="AC900">
        <v>748788.03</v>
      </c>
      <c r="AD900">
        <v>8930486</v>
      </c>
      <c r="AE900">
        <v>190.14</v>
      </c>
      <c r="AF900">
        <v>748788.03</v>
      </c>
      <c r="AG900">
        <v>8930486</v>
      </c>
      <c r="AH900">
        <v>179.4</v>
      </c>
      <c r="AI900">
        <v>10.74</v>
      </c>
      <c r="AJ900">
        <v>0.6</v>
      </c>
      <c r="AK900">
        <v>3.37</v>
      </c>
      <c r="AL900">
        <v>2.93</v>
      </c>
      <c r="AM900">
        <v>0</v>
      </c>
      <c r="AN900">
        <v>0</v>
      </c>
      <c r="AO900">
        <v>358</v>
      </c>
      <c r="AP900">
        <v>3.42</v>
      </c>
      <c r="AQ900">
        <v>0.62</v>
      </c>
      <c r="AR900">
        <v>7.0000000000000007E-2</v>
      </c>
      <c r="AS900">
        <v>7.0000000000000007E-2</v>
      </c>
      <c r="AT900">
        <v>18.46</v>
      </c>
      <c r="AU900">
        <v>6.13</v>
      </c>
      <c r="AV900">
        <v>0.31</v>
      </c>
      <c r="AW900">
        <v>1.98</v>
      </c>
      <c r="AX900">
        <v>0.1</v>
      </c>
      <c r="AY900">
        <v>3.3</v>
      </c>
      <c r="AZ900">
        <v>108.32599999999999</v>
      </c>
      <c r="BA900">
        <v>0</v>
      </c>
      <c r="BB900">
        <v>0</v>
      </c>
      <c r="BC900">
        <v>0</v>
      </c>
      <c r="BD900">
        <v>0</v>
      </c>
    </row>
    <row r="901" spans="1:56" x14ac:dyDescent="0.25">
      <c r="A901" s="23">
        <v>46304</v>
      </c>
      <c r="B901">
        <v>900</v>
      </c>
      <c r="C901" t="s">
        <v>82</v>
      </c>
      <c r="D901" t="s">
        <v>83</v>
      </c>
      <c r="E901">
        <v>2</v>
      </c>
      <c r="F901">
        <v>180</v>
      </c>
      <c r="G901">
        <v>1</v>
      </c>
      <c r="H901" t="s">
        <v>96</v>
      </c>
      <c r="I901" t="s">
        <v>91</v>
      </c>
      <c r="J901" t="s">
        <v>85</v>
      </c>
      <c r="K901" t="s">
        <v>86</v>
      </c>
      <c r="L901" t="s">
        <v>71</v>
      </c>
      <c r="M901" t="s">
        <v>87</v>
      </c>
      <c r="O901" t="s">
        <v>88</v>
      </c>
      <c r="P901" t="s">
        <v>27</v>
      </c>
      <c r="Q901" t="s">
        <v>73</v>
      </c>
      <c r="R901" t="s">
        <v>76</v>
      </c>
      <c r="S901" t="s">
        <v>74</v>
      </c>
      <c r="T901" t="s">
        <v>75</v>
      </c>
      <c r="X901" t="s">
        <v>77</v>
      </c>
      <c r="Z901" t="s">
        <v>72</v>
      </c>
      <c r="AA901" t="s">
        <v>94</v>
      </c>
      <c r="AB901">
        <v>5</v>
      </c>
      <c r="AC901">
        <v>748792.52</v>
      </c>
      <c r="AD901">
        <v>8930486.5600000005</v>
      </c>
      <c r="AE901">
        <v>194.15</v>
      </c>
      <c r="AF901">
        <v>748792.52</v>
      </c>
      <c r="AG901">
        <v>8930486.5600000005</v>
      </c>
      <c r="AH901">
        <v>179.4</v>
      </c>
      <c r="AI901">
        <v>14.75</v>
      </c>
      <c r="AJ901">
        <v>0.6</v>
      </c>
      <c r="AK901">
        <v>3.37</v>
      </c>
      <c r="AL901">
        <v>2.93</v>
      </c>
      <c r="AM901">
        <v>0</v>
      </c>
      <c r="AN901">
        <v>0</v>
      </c>
      <c r="AO901">
        <v>358</v>
      </c>
      <c r="AP901">
        <v>3.48</v>
      </c>
      <c r="AQ901">
        <v>0.57999999999999996</v>
      </c>
      <c r="AR901">
        <v>0.08</v>
      </c>
      <c r="AS901">
        <v>7.0000000000000007E-2</v>
      </c>
      <c r="AT901">
        <v>17.59</v>
      </c>
      <c r="AU901">
        <v>6.04</v>
      </c>
      <c r="AV901">
        <v>0.32</v>
      </c>
      <c r="AW901">
        <v>1.84</v>
      </c>
      <c r="AX901">
        <v>2.58</v>
      </c>
      <c r="AY901">
        <v>3.3</v>
      </c>
      <c r="AZ901">
        <v>166.71199999999999</v>
      </c>
      <c r="BA901">
        <v>0</v>
      </c>
      <c r="BB901">
        <v>0</v>
      </c>
      <c r="BC901">
        <v>0</v>
      </c>
      <c r="BD901">
        <v>0</v>
      </c>
    </row>
    <row r="902" spans="1:56" x14ac:dyDescent="0.25">
      <c r="A902" s="23">
        <v>46304</v>
      </c>
      <c r="B902">
        <v>901</v>
      </c>
      <c r="C902" t="s">
        <v>82</v>
      </c>
      <c r="D902" t="s">
        <v>83</v>
      </c>
      <c r="E902">
        <v>2</v>
      </c>
      <c r="F902">
        <v>180</v>
      </c>
      <c r="G902">
        <v>1</v>
      </c>
      <c r="H902" t="s">
        <v>96</v>
      </c>
      <c r="I902" t="s">
        <v>91</v>
      </c>
      <c r="J902" t="s">
        <v>85</v>
      </c>
      <c r="K902" t="s">
        <v>86</v>
      </c>
      <c r="L902" t="s">
        <v>71</v>
      </c>
      <c r="M902" t="s">
        <v>87</v>
      </c>
      <c r="O902" t="s">
        <v>88</v>
      </c>
      <c r="P902" t="s">
        <v>27</v>
      </c>
      <c r="Q902" t="s">
        <v>73</v>
      </c>
      <c r="R902" t="s">
        <v>76</v>
      </c>
      <c r="S902" t="s">
        <v>74</v>
      </c>
      <c r="T902" t="s">
        <v>75</v>
      </c>
      <c r="X902" t="s">
        <v>77</v>
      </c>
      <c r="Z902" t="s">
        <v>72</v>
      </c>
      <c r="AA902" t="s">
        <v>94</v>
      </c>
      <c r="AB902">
        <v>5</v>
      </c>
      <c r="AC902">
        <v>748794.62</v>
      </c>
      <c r="AD902">
        <v>8930487.3800000008</v>
      </c>
      <c r="AE902">
        <v>194.64</v>
      </c>
      <c r="AF902">
        <v>748794.62</v>
      </c>
      <c r="AG902">
        <v>8930487.3800000008</v>
      </c>
      <c r="AH902">
        <v>179.4</v>
      </c>
      <c r="AI902">
        <v>15.24</v>
      </c>
      <c r="AJ902">
        <v>0.6</v>
      </c>
      <c r="AK902">
        <v>3.37</v>
      </c>
      <c r="AL902">
        <v>2.93</v>
      </c>
      <c r="AM902">
        <v>0</v>
      </c>
      <c r="AN902">
        <v>0</v>
      </c>
      <c r="AO902">
        <v>358</v>
      </c>
      <c r="AP902">
        <v>3.48</v>
      </c>
      <c r="AQ902">
        <v>0.57999999999999996</v>
      </c>
      <c r="AR902">
        <v>0.08</v>
      </c>
      <c r="AS902">
        <v>7.0000000000000007E-2</v>
      </c>
      <c r="AT902">
        <v>17.53</v>
      </c>
      <c r="AU902">
        <v>6.04</v>
      </c>
      <c r="AV902">
        <v>0.32</v>
      </c>
      <c r="AW902">
        <v>1.83</v>
      </c>
      <c r="AX902">
        <v>2.8</v>
      </c>
      <c r="AY902">
        <v>3.3</v>
      </c>
      <c r="AZ902">
        <v>173.846</v>
      </c>
      <c r="BA902">
        <v>0</v>
      </c>
      <c r="BB902">
        <v>0</v>
      </c>
      <c r="BC902">
        <v>0</v>
      </c>
      <c r="BD902">
        <v>0</v>
      </c>
    </row>
    <row r="903" spans="1:56" x14ac:dyDescent="0.25">
      <c r="A903" s="23">
        <v>46304</v>
      </c>
      <c r="B903">
        <v>902</v>
      </c>
      <c r="C903" t="s">
        <v>82</v>
      </c>
      <c r="D903" t="s">
        <v>83</v>
      </c>
      <c r="E903">
        <v>2</v>
      </c>
      <c r="F903">
        <v>180</v>
      </c>
      <c r="G903">
        <v>1</v>
      </c>
      <c r="H903" t="s">
        <v>96</v>
      </c>
      <c r="I903" t="s">
        <v>91</v>
      </c>
      <c r="J903" t="s">
        <v>85</v>
      </c>
      <c r="K903" t="s">
        <v>86</v>
      </c>
      <c r="L903" t="s">
        <v>71</v>
      </c>
      <c r="M903" t="s">
        <v>87</v>
      </c>
      <c r="O903" t="s">
        <v>88</v>
      </c>
      <c r="P903" t="s">
        <v>27</v>
      </c>
      <c r="Q903" t="s">
        <v>73</v>
      </c>
      <c r="R903" t="s">
        <v>76</v>
      </c>
      <c r="S903" t="s">
        <v>74</v>
      </c>
      <c r="T903" t="s">
        <v>75</v>
      </c>
      <c r="X903" t="s">
        <v>77</v>
      </c>
      <c r="Z903" t="s">
        <v>72</v>
      </c>
      <c r="AA903" t="s">
        <v>94</v>
      </c>
      <c r="AB903">
        <v>5</v>
      </c>
      <c r="AC903">
        <v>748797.94</v>
      </c>
      <c r="AD903">
        <v>8930487.9499999993</v>
      </c>
      <c r="AE903">
        <v>194.62</v>
      </c>
      <c r="AF903">
        <v>748797.94</v>
      </c>
      <c r="AG903">
        <v>8930487.9499999993</v>
      </c>
      <c r="AH903">
        <v>179.4</v>
      </c>
      <c r="AI903">
        <v>15.22</v>
      </c>
      <c r="AJ903">
        <v>0.6</v>
      </c>
      <c r="AK903">
        <v>3.37</v>
      </c>
      <c r="AL903">
        <v>2.93</v>
      </c>
      <c r="AM903">
        <v>0</v>
      </c>
      <c r="AN903">
        <v>0</v>
      </c>
      <c r="AO903">
        <v>358</v>
      </c>
      <c r="AP903">
        <v>3.48</v>
      </c>
      <c r="AQ903">
        <v>0.57999999999999996</v>
      </c>
      <c r="AR903">
        <v>0.08</v>
      </c>
      <c r="AS903">
        <v>7.0000000000000007E-2</v>
      </c>
      <c r="AT903">
        <v>17.54</v>
      </c>
      <c r="AU903">
        <v>6.04</v>
      </c>
      <c r="AV903">
        <v>0.32</v>
      </c>
      <c r="AW903">
        <v>1.83</v>
      </c>
      <c r="AX903">
        <v>2.79</v>
      </c>
      <c r="AY903">
        <v>3.3</v>
      </c>
      <c r="AZ903">
        <v>173.55500000000001</v>
      </c>
      <c r="BA903">
        <v>0</v>
      </c>
      <c r="BB903">
        <v>0</v>
      </c>
      <c r="BC903">
        <v>0</v>
      </c>
      <c r="BD903">
        <v>0</v>
      </c>
    </row>
    <row r="904" spans="1:56" x14ac:dyDescent="0.25">
      <c r="A904" s="23">
        <v>46304</v>
      </c>
      <c r="B904">
        <v>903</v>
      </c>
      <c r="C904" t="s">
        <v>82</v>
      </c>
      <c r="D904" t="s">
        <v>83</v>
      </c>
      <c r="E904">
        <v>2</v>
      </c>
      <c r="F904">
        <v>180</v>
      </c>
      <c r="G904">
        <v>1</v>
      </c>
      <c r="H904" t="s">
        <v>96</v>
      </c>
      <c r="I904" t="s">
        <v>91</v>
      </c>
      <c r="J904" t="s">
        <v>85</v>
      </c>
      <c r="K904" t="s">
        <v>80</v>
      </c>
      <c r="L904" t="s">
        <v>71</v>
      </c>
      <c r="M904" t="s">
        <v>87</v>
      </c>
      <c r="O904" t="s">
        <v>88</v>
      </c>
      <c r="P904" t="s">
        <v>27</v>
      </c>
      <c r="Q904" t="s">
        <v>73</v>
      </c>
      <c r="R904" t="s">
        <v>76</v>
      </c>
      <c r="S904" t="s">
        <v>74</v>
      </c>
      <c r="T904" t="s">
        <v>75</v>
      </c>
      <c r="X904" t="s">
        <v>77</v>
      </c>
      <c r="Z904" t="s">
        <v>72</v>
      </c>
      <c r="AA904" t="s">
        <v>94</v>
      </c>
      <c r="AB904">
        <v>5</v>
      </c>
      <c r="AC904">
        <v>748801.27</v>
      </c>
      <c r="AD904">
        <v>8930488.5199999996</v>
      </c>
      <c r="AE904">
        <v>194.6</v>
      </c>
      <c r="AF904">
        <v>748801.27</v>
      </c>
      <c r="AG904">
        <v>8930488.5199999996</v>
      </c>
      <c r="AH904">
        <v>179.4</v>
      </c>
      <c r="AI904">
        <v>15.2</v>
      </c>
      <c r="AJ904">
        <v>0.6</v>
      </c>
      <c r="AK904">
        <v>3.37</v>
      </c>
      <c r="AL904">
        <v>2.93</v>
      </c>
      <c r="AM904">
        <v>0</v>
      </c>
      <c r="AN904">
        <v>0</v>
      </c>
      <c r="AO904">
        <v>358</v>
      </c>
      <c r="AP904">
        <v>3.42</v>
      </c>
      <c r="AQ904">
        <v>0.6</v>
      </c>
      <c r="AR904">
        <v>0.1</v>
      </c>
      <c r="AS904">
        <v>7.0000000000000007E-2</v>
      </c>
      <c r="AT904">
        <v>17.95</v>
      </c>
      <c r="AU904">
        <v>5.73</v>
      </c>
      <c r="AV904">
        <v>0.32</v>
      </c>
      <c r="AW904">
        <v>1.89</v>
      </c>
      <c r="AX904">
        <v>2.4700000000000002</v>
      </c>
      <c r="AY904">
        <v>3.3</v>
      </c>
      <c r="AZ904">
        <v>173.26400000000001</v>
      </c>
      <c r="BA904">
        <v>0</v>
      </c>
      <c r="BB904">
        <v>0</v>
      </c>
      <c r="BC904">
        <v>0</v>
      </c>
      <c r="BD904">
        <v>0</v>
      </c>
    </row>
    <row r="905" spans="1:56" x14ac:dyDescent="0.25">
      <c r="A905" s="23">
        <v>46304</v>
      </c>
      <c r="B905">
        <v>904</v>
      </c>
      <c r="C905" t="s">
        <v>82</v>
      </c>
      <c r="D905" t="s">
        <v>83</v>
      </c>
      <c r="E905">
        <v>2</v>
      </c>
      <c r="F905">
        <v>180</v>
      </c>
      <c r="G905">
        <v>1</v>
      </c>
      <c r="H905" t="s">
        <v>96</v>
      </c>
      <c r="I905" t="s">
        <v>91</v>
      </c>
      <c r="J905" t="s">
        <v>85</v>
      </c>
      <c r="K905" t="s">
        <v>86</v>
      </c>
      <c r="L905" t="s">
        <v>71</v>
      </c>
      <c r="M905" t="s">
        <v>87</v>
      </c>
      <c r="O905" t="s">
        <v>88</v>
      </c>
      <c r="P905" t="s">
        <v>27</v>
      </c>
      <c r="Q905" t="s">
        <v>73</v>
      </c>
      <c r="R905" t="s">
        <v>76</v>
      </c>
      <c r="S905" t="s">
        <v>74</v>
      </c>
      <c r="T905" t="s">
        <v>75</v>
      </c>
      <c r="X905" t="s">
        <v>77</v>
      </c>
      <c r="Z905" t="s">
        <v>72</v>
      </c>
      <c r="AA905" t="s">
        <v>94</v>
      </c>
      <c r="AB905">
        <v>5</v>
      </c>
      <c r="AC905">
        <v>748804.54</v>
      </c>
      <c r="AD905">
        <v>8930489.2899999991</v>
      </c>
      <c r="AE905">
        <v>194.67</v>
      </c>
      <c r="AF905">
        <v>748804.54</v>
      </c>
      <c r="AG905">
        <v>8930489.2899999991</v>
      </c>
      <c r="AH905">
        <v>179.4</v>
      </c>
      <c r="AI905">
        <v>15.27</v>
      </c>
      <c r="AJ905">
        <v>0.6</v>
      </c>
      <c r="AK905">
        <v>3.37</v>
      </c>
      <c r="AL905">
        <v>2.93</v>
      </c>
      <c r="AM905">
        <v>0</v>
      </c>
      <c r="AN905">
        <v>0</v>
      </c>
      <c r="AO905">
        <v>358</v>
      </c>
      <c r="AP905">
        <v>3.44</v>
      </c>
      <c r="AQ905">
        <v>0.61</v>
      </c>
      <c r="AR905">
        <v>0.1</v>
      </c>
      <c r="AS905">
        <v>7.0000000000000007E-2</v>
      </c>
      <c r="AT905">
        <v>18.09</v>
      </c>
      <c r="AU905">
        <v>5.64</v>
      </c>
      <c r="AV905">
        <v>0.32</v>
      </c>
      <c r="AW905">
        <v>1.91</v>
      </c>
      <c r="AX905">
        <v>2.64</v>
      </c>
      <c r="AY905">
        <v>3.3</v>
      </c>
      <c r="AZ905">
        <v>174.28299999999999</v>
      </c>
      <c r="BA905">
        <v>0</v>
      </c>
      <c r="BB905">
        <v>0</v>
      </c>
      <c r="BC905">
        <v>0</v>
      </c>
      <c r="BD905">
        <v>0</v>
      </c>
    </row>
    <row r="906" spans="1:56" x14ac:dyDescent="0.25">
      <c r="A906" s="23">
        <v>46304</v>
      </c>
      <c r="B906">
        <v>905</v>
      </c>
      <c r="C906" t="s">
        <v>82</v>
      </c>
      <c r="D906" t="s">
        <v>83</v>
      </c>
      <c r="E906">
        <v>2</v>
      </c>
      <c r="F906">
        <v>180</v>
      </c>
      <c r="G906">
        <v>1</v>
      </c>
      <c r="H906" t="s">
        <v>96</v>
      </c>
      <c r="I906" t="s">
        <v>91</v>
      </c>
      <c r="J906" t="s">
        <v>85</v>
      </c>
      <c r="K906" t="s">
        <v>80</v>
      </c>
      <c r="L906" t="s">
        <v>71</v>
      </c>
      <c r="M906" t="s">
        <v>87</v>
      </c>
      <c r="O906" t="s">
        <v>88</v>
      </c>
      <c r="P906" t="s">
        <v>27</v>
      </c>
      <c r="Q906" t="s">
        <v>73</v>
      </c>
      <c r="R906" t="s">
        <v>76</v>
      </c>
      <c r="S906" t="s">
        <v>74</v>
      </c>
      <c r="T906" t="s">
        <v>75</v>
      </c>
      <c r="X906" t="s">
        <v>77</v>
      </c>
      <c r="Z906" t="s">
        <v>72</v>
      </c>
      <c r="AA906" t="s">
        <v>94</v>
      </c>
      <c r="AB906">
        <v>5</v>
      </c>
      <c r="AC906">
        <v>748807.81</v>
      </c>
      <c r="AD906">
        <v>8930490.1300000008</v>
      </c>
      <c r="AE906">
        <v>194.92</v>
      </c>
      <c r="AF906">
        <v>748807.81</v>
      </c>
      <c r="AG906">
        <v>8930490.1300000008</v>
      </c>
      <c r="AH906">
        <v>179.4</v>
      </c>
      <c r="AI906">
        <v>15.52</v>
      </c>
      <c r="AJ906">
        <v>0.6</v>
      </c>
      <c r="AK906">
        <v>3.37</v>
      </c>
      <c r="AL906">
        <v>2.93</v>
      </c>
      <c r="AM906">
        <v>0</v>
      </c>
      <c r="AN906">
        <v>0</v>
      </c>
      <c r="AO906">
        <v>358</v>
      </c>
      <c r="AP906">
        <v>3.49</v>
      </c>
      <c r="AQ906">
        <v>0.61</v>
      </c>
      <c r="AR906">
        <v>0.1</v>
      </c>
      <c r="AS906">
        <v>7.0000000000000007E-2</v>
      </c>
      <c r="AT906">
        <v>18.170000000000002</v>
      </c>
      <c r="AU906">
        <v>5.59</v>
      </c>
      <c r="AV906">
        <v>0.32</v>
      </c>
      <c r="AW906">
        <v>1.92</v>
      </c>
      <c r="AX906">
        <v>3</v>
      </c>
      <c r="AY906">
        <v>3.3</v>
      </c>
      <c r="AZ906">
        <v>177.923</v>
      </c>
      <c r="BA906">
        <v>0</v>
      </c>
      <c r="BB906">
        <v>0</v>
      </c>
      <c r="BC906">
        <v>0</v>
      </c>
      <c r="BD906">
        <v>0</v>
      </c>
    </row>
    <row r="907" spans="1:56" x14ac:dyDescent="0.25">
      <c r="A907" s="23">
        <v>46304</v>
      </c>
      <c r="B907">
        <v>906</v>
      </c>
      <c r="C907" t="s">
        <v>82</v>
      </c>
      <c r="D907" t="s">
        <v>83</v>
      </c>
      <c r="E907">
        <v>2</v>
      </c>
      <c r="F907">
        <v>180</v>
      </c>
      <c r="G907">
        <v>1</v>
      </c>
      <c r="H907" t="s">
        <v>96</v>
      </c>
      <c r="I907" t="s">
        <v>91</v>
      </c>
      <c r="J907" t="s">
        <v>85</v>
      </c>
      <c r="K907" t="s">
        <v>80</v>
      </c>
      <c r="L907" t="s">
        <v>71</v>
      </c>
      <c r="M907" t="s">
        <v>87</v>
      </c>
      <c r="O907" t="s">
        <v>88</v>
      </c>
      <c r="P907" t="s">
        <v>27</v>
      </c>
      <c r="Q907" t="s">
        <v>73</v>
      </c>
      <c r="R907" t="s">
        <v>76</v>
      </c>
      <c r="S907" t="s">
        <v>74</v>
      </c>
      <c r="T907" t="s">
        <v>75</v>
      </c>
      <c r="X907" t="s">
        <v>77</v>
      </c>
      <c r="Z907" t="s">
        <v>72</v>
      </c>
      <c r="AA907" t="s">
        <v>94</v>
      </c>
      <c r="AB907">
        <v>5</v>
      </c>
      <c r="AC907">
        <v>748811</v>
      </c>
      <c r="AD907">
        <v>8930491.2100000009</v>
      </c>
      <c r="AE907">
        <v>195.05</v>
      </c>
      <c r="AF907">
        <v>748811</v>
      </c>
      <c r="AG907">
        <v>8930491.2100000009</v>
      </c>
      <c r="AH907">
        <v>179.4</v>
      </c>
      <c r="AI907">
        <v>15.65</v>
      </c>
      <c r="AJ907">
        <v>0.6</v>
      </c>
      <c r="AK907">
        <v>3.37</v>
      </c>
      <c r="AL907">
        <v>2.93</v>
      </c>
      <c r="AM907">
        <v>0</v>
      </c>
      <c r="AN907">
        <v>0</v>
      </c>
      <c r="AO907">
        <v>358</v>
      </c>
      <c r="AP907">
        <v>3.45</v>
      </c>
      <c r="AQ907">
        <v>0.61</v>
      </c>
      <c r="AR907">
        <v>0.1</v>
      </c>
      <c r="AS907">
        <v>7.0000000000000007E-2</v>
      </c>
      <c r="AT907">
        <v>18.38</v>
      </c>
      <c r="AU907">
        <v>5.48</v>
      </c>
      <c r="AV907">
        <v>0.32</v>
      </c>
      <c r="AW907">
        <v>1.89</v>
      </c>
      <c r="AX907">
        <v>2.8</v>
      </c>
      <c r="AY907">
        <v>3.3</v>
      </c>
      <c r="AZ907">
        <v>179.816</v>
      </c>
      <c r="BA907">
        <v>0</v>
      </c>
      <c r="BB907">
        <v>0</v>
      </c>
      <c r="BC907">
        <v>0</v>
      </c>
      <c r="BD907">
        <v>0</v>
      </c>
    </row>
    <row r="908" spans="1:56" x14ac:dyDescent="0.25">
      <c r="A908" s="23">
        <v>46304</v>
      </c>
      <c r="B908">
        <v>907</v>
      </c>
      <c r="C908" t="s">
        <v>82</v>
      </c>
      <c r="D908" t="s">
        <v>83</v>
      </c>
      <c r="E908">
        <v>2</v>
      </c>
      <c r="F908">
        <v>180</v>
      </c>
      <c r="G908">
        <v>1</v>
      </c>
      <c r="H908" t="s">
        <v>96</v>
      </c>
      <c r="I908" t="s">
        <v>91</v>
      </c>
      <c r="J908" t="s">
        <v>85</v>
      </c>
      <c r="K908" t="s">
        <v>80</v>
      </c>
      <c r="L908" t="s">
        <v>71</v>
      </c>
      <c r="M908" t="s">
        <v>87</v>
      </c>
      <c r="O908" t="s">
        <v>88</v>
      </c>
      <c r="P908" t="s">
        <v>27</v>
      </c>
      <c r="Q908" t="s">
        <v>73</v>
      </c>
      <c r="R908" t="s">
        <v>76</v>
      </c>
      <c r="S908" t="s">
        <v>74</v>
      </c>
      <c r="T908" t="s">
        <v>75</v>
      </c>
      <c r="X908" t="s">
        <v>77</v>
      </c>
      <c r="Z908" t="s">
        <v>72</v>
      </c>
      <c r="AA908" t="s">
        <v>94</v>
      </c>
      <c r="AB908">
        <v>5</v>
      </c>
      <c r="AC908">
        <v>748814.22</v>
      </c>
      <c r="AD908">
        <v>8930492.1699999999</v>
      </c>
      <c r="AE908">
        <v>195.02</v>
      </c>
      <c r="AF908">
        <v>748814.22</v>
      </c>
      <c r="AG908">
        <v>8930492.1699999999</v>
      </c>
      <c r="AH908">
        <v>179.4</v>
      </c>
      <c r="AI908">
        <v>15.62</v>
      </c>
      <c r="AJ908">
        <v>0.6</v>
      </c>
      <c r="AK908">
        <v>3.37</v>
      </c>
      <c r="AL908">
        <v>2.93</v>
      </c>
      <c r="AM908">
        <v>0</v>
      </c>
      <c r="AN908">
        <v>0</v>
      </c>
      <c r="AO908">
        <v>358</v>
      </c>
      <c r="AP908">
        <v>3.43</v>
      </c>
      <c r="AQ908">
        <v>0.61</v>
      </c>
      <c r="AR908">
        <v>0.1</v>
      </c>
      <c r="AS908">
        <v>7.0000000000000007E-2</v>
      </c>
      <c r="AT908">
        <v>18.420000000000002</v>
      </c>
      <c r="AU908">
        <v>5.42</v>
      </c>
      <c r="AV908">
        <v>0.33</v>
      </c>
      <c r="AW908">
        <v>1.87</v>
      </c>
      <c r="AX908">
        <v>2.7</v>
      </c>
      <c r="AY908">
        <v>3.3</v>
      </c>
      <c r="AZ908">
        <v>179.37899999999999</v>
      </c>
      <c r="BA908">
        <v>0</v>
      </c>
      <c r="BB908">
        <v>0</v>
      </c>
      <c r="BC908">
        <v>0</v>
      </c>
      <c r="BD908">
        <v>0</v>
      </c>
    </row>
    <row r="909" spans="1:56" x14ac:dyDescent="0.25">
      <c r="A909" s="23">
        <v>46304</v>
      </c>
      <c r="B909">
        <v>908</v>
      </c>
      <c r="C909" t="s">
        <v>82</v>
      </c>
      <c r="D909" t="s">
        <v>83</v>
      </c>
      <c r="E909">
        <v>2</v>
      </c>
      <c r="F909">
        <v>180</v>
      </c>
      <c r="G909">
        <v>1</v>
      </c>
      <c r="H909" t="s">
        <v>96</v>
      </c>
      <c r="I909" t="s">
        <v>91</v>
      </c>
      <c r="J909" t="s">
        <v>85</v>
      </c>
      <c r="K909" t="s">
        <v>86</v>
      </c>
      <c r="L909" t="s">
        <v>71</v>
      </c>
      <c r="M909" t="s">
        <v>87</v>
      </c>
      <c r="O909" t="s">
        <v>88</v>
      </c>
      <c r="P909" t="s">
        <v>27</v>
      </c>
      <c r="Q909" t="s">
        <v>73</v>
      </c>
      <c r="R909" t="s">
        <v>76</v>
      </c>
      <c r="S909" t="s">
        <v>74</v>
      </c>
      <c r="T909" t="s">
        <v>75</v>
      </c>
      <c r="X909" t="s">
        <v>77</v>
      </c>
      <c r="Z909" t="s">
        <v>72</v>
      </c>
      <c r="AA909" t="s">
        <v>94</v>
      </c>
      <c r="AB909">
        <v>5</v>
      </c>
      <c r="AC909">
        <v>748817.52</v>
      </c>
      <c r="AD909">
        <v>8930492.8499999996</v>
      </c>
      <c r="AE909">
        <v>195.03</v>
      </c>
      <c r="AF909">
        <v>748817.52</v>
      </c>
      <c r="AG909">
        <v>8930492.8499999996</v>
      </c>
      <c r="AH909">
        <v>179.4</v>
      </c>
      <c r="AI909">
        <v>15.63</v>
      </c>
      <c r="AJ909">
        <v>0.6</v>
      </c>
      <c r="AK909">
        <v>3.37</v>
      </c>
      <c r="AL909">
        <v>2.93</v>
      </c>
      <c r="AM909">
        <v>0</v>
      </c>
      <c r="AN909">
        <v>0</v>
      </c>
      <c r="AO909">
        <v>358</v>
      </c>
      <c r="AP909">
        <v>3.43</v>
      </c>
      <c r="AQ909">
        <v>0.61</v>
      </c>
      <c r="AR909">
        <v>0.1</v>
      </c>
      <c r="AS909">
        <v>7.0000000000000007E-2</v>
      </c>
      <c r="AT909">
        <v>18.420000000000002</v>
      </c>
      <c r="AU909">
        <v>5.42</v>
      </c>
      <c r="AV909">
        <v>0.33</v>
      </c>
      <c r="AW909">
        <v>1.87</v>
      </c>
      <c r="AX909">
        <v>2.7</v>
      </c>
      <c r="AY909">
        <v>3.3</v>
      </c>
      <c r="AZ909">
        <v>179.52500000000001</v>
      </c>
      <c r="BA909">
        <v>0</v>
      </c>
      <c r="BB909">
        <v>0</v>
      </c>
      <c r="BC909">
        <v>0</v>
      </c>
      <c r="BD909">
        <v>0</v>
      </c>
    </row>
    <row r="910" spans="1:56" x14ac:dyDescent="0.25">
      <c r="A910" s="23">
        <v>46304</v>
      </c>
      <c r="B910">
        <v>909</v>
      </c>
      <c r="C910" t="s">
        <v>82</v>
      </c>
      <c r="D910" t="s">
        <v>83</v>
      </c>
      <c r="E910">
        <v>2</v>
      </c>
      <c r="F910">
        <v>180</v>
      </c>
      <c r="G910">
        <v>1</v>
      </c>
      <c r="H910" t="s">
        <v>96</v>
      </c>
      <c r="I910" t="s">
        <v>91</v>
      </c>
      <c r="J910" t="s">
        <v>85</v>
      </c>
      <c r="K910" t="s">
        <v>86</v>
      </c>
      <c r="L910" t="s">
        <v>71</v>
      </c>
      <c r="M910" t="s">
        <v>87</v>
      </c>
      <c r="O910" t="s">
        <v>88</v>
      </c>
      <c r="P910" t="s">
        <v>27</v>
      </c>
      <c r="Q910" t="s">
        <v>73</v>
      </c>
      <c r="R910" t="s">
        <v>76</v>
      </c>
      <c r="S910" t="s">
        <v>74</v>
      </c>
      <c r="T910" t="s">
        <v>75</v>
      </c>
      <c r="X910" t="s">
        <v>77</v>
      </c>
      <c r="Z910" t="s">
        <v>72</v>
      </c>
      <c r="AA910" t="s">
        <v>94</v>
      </c>
      <c r="AB910">
        <v>5</v>
      </c>
      <c r="AC910">
        <v>748820.82</v>
      </c>
      <c r="AD910">
        <v>8930493.5399999991</v>
      </c>
      <c r="AE910">
        <v>195.1</v>
      </c>
      <c r="AF910">
        <v>748820.82</v>
      </c>
      <c r="AG910">
        <v>8930493.5399999991</v>
      </c>
      <c r="AH910">
        <v>179.4</v>
      </c>
      <c r="AI910">
        <v>15.7</v>
      </c>
      <c r="AJ910">
        <v>0.6</v>
      </c>
      <c r="AK910">
        <v>3.37</v>
      </c>
      <c r="AL910">
        <v>2.93</v>
      </c>
      <c r="AM910">
        <v>0</v>
      </c>
      <c r="AN910">
        <v>0</v>
      </c>
      <c r="AO910">
        <v>358</v>
      </c>
      <c r="AP910">
        <v>3.36</v>
      </c>
      <c r="AQ910">
        <v>0.56999999999999995</v>
      </c>
      <c r="AR910">
        <v>0.09</v>
      </c>
      <c r="AS910">
        <v>7.0000000000000007E-2</v>
      </c>
      <c r="AT910">
        <v>18.059999999999999</v>
      </c>
      <c r="AU910">
        <v>5.47</v>
      </c>
      <c r="AV910">
        <v>0.34</v>
      </c>
      <c r="AW910">
        <v>1.7</v>
      </c>
      <c r="AX910">
        <v>0.72</v>
      </c>
      <c r="AY910">
        <v>3.3</v>
      </c>
      <c r="AZ910">
        <v>180.54400000000001</v>
      </c>
      <c r="BA910">
        <v>0</v>
      </c>
      <c r="BB910">
        <v>0</v>
      </c>
      <c r="BC910">
        <v>0</v>
      </c>
      <c r="BD910">
        <v>0</v>
      </c>
    </row>
    <row r="911" spans="1:56" x14ac:dyDescent="0.25">
      <c r="A911" s="23">
        <v>46304</v>
      </c>
      <c r="B911">
        <v>910</v>
      </c>
      <c r="C911" t="s">
        <v>82</v>
      </c>
      <c r="D911" t="s">
        <v>83</v>
      </c>
      <c r="E911">
        <v>2</v>
      </c>
      <c r="F911">
        <v>180</v>
      </c>
      <c r="G911">
        <v>1</v>
      </c>
      <c r="H911" t="s">
        <v>96</v>
      </c>
      <c r="I911" t="s">
        <v>91</v>
      </c>
      <c r="J911" t="s">
        <v>85</v>
      </c>
      <c r="K911" t="s">
        <v>86</v>
      </c>
      <c r="L911" t="s">
        <v>71</v>
      </c>
      <c r="M911" t="s">
        <v>87</v>
      </c>
      <c r="O911" t="s">
        <v>88</v>
      </c>
      <c r="P911" t="s">
        <v>27</v>
      </c>
      <c r="Q911" t="s">
        <v>73</v>
      </c>
      <c r="R911" t="s">
        <v>76</v>
      </c>
      <c r="S911" t="s">
        <v>74</v>
      </c>
      <c r="T911" t="s">
        <v>75</v>
      </c>
      <c r="X911" t="s">
        <v>77</v>
      </c>
      <c r="Z911" t="s">
        <v>72</v>
      </c>
      <c r="AA911" t="s">
        <v>94</v>
      </c>
      <c r="AB911">
        <v>5</v>
      </c>
      <c r="AC911">
        <v>748824.12</v>
      </c>
      <c r="AD911">
        <v>8930494.2200000007</v>
      </c>
      <c r="AE911">
        <v>195.06</v>
      </c>
      <c r="AF911">
        <v>748824.12</v>
      </c>
      <c r="AG911">
        <v>8930494.2200000007</v>
      </c>
      <c r="AH911">
        <v>179.4</v>
      </c>
      <c r="AI911">
        <v>15.66</v>
      </c>
      <c r="AJ911">
        <v>0.6</v>
      </c>
      <c r="AK911">
        <v>3.37</v>
      </c>
      <c r="AL911">
        <v>2.93</v>
      </c>
      <c r="AM911">
        <v>0</v>
      </c>
      <c r="AN911">
        <v>0</v>
      </c>
      <c r="AO911">
        <v>358</v>
      </c>
      <c r="AP911">
        <v>3.33</v>
      </c>
      <c r="AQ911">
        <v>0.55000000000000004</v>
      </c>
      <c r="AR911">
        <v>0.09</v>
      </c>
      <c r="AS911">
        <v>0.06</v>
      </c>
      <c r="AT911">
        <v>17.940000000000001</v>
      </c>
      <c r="AU911">
        <v>5.49</v>
      </c>
      <c r="AV911">
        <v>0.34</v>
      </c>
      <c r="AW911">
        <v>1.63</v>
      </c>
      <c r="AX911">
        <v>0</v>
      </c>
      <c r="AY911">
        <v>3.3</v>
      </c>
      <c r="AZ911">
        <v>179.96199999999999</v>
      </c>
      <c r="BA911">
        <v>0</v>
      </c>
      <c r="BB911">
        <v>0</v>
      </c>
      <c r="BC911">
        <v>0</v>
      </c>
      <c r="BD911">
        <v>0</v>
      </c>
    </row>
    <row r="912" spans="1:56" x14ac:dyDescent="0.25">
      <c r="A912" s="23">
        <v>46304</v>
      </c>
      <c r="B912">
        <v>911</v>
      </c>
      <c r="C912" t="s">
        <v>82</v>
      </c>
      <c r="D912" t="s">
        <v>83</v>
      </c>
      <c r="E912">
        <v>2</v>
      </c>
      <c r="F912">
        <v>180</v>
      </c>
      <c r="G912">
        <v>1</v>
      </c>
      <c r="H912" t="s">
        <v>96</v>
      </c>
      <c r="I912" t="s">
        <v>91</v>
      </c>
      <c r="J912" t="s">
        <v>85</v>
      </c>
      <c r="K912" t="s">
        <v>86</v>
      </c>
      <c r="L912" t="s">
        <v>71</v>
      </c>
      <c r="M912" t="s">
        <v>87</v>
      </c>
      <c r="O912" t="s">
        <v>88</v>
      </c>
      <c r="P912" t="s">
        <v>27</v>
      </c>
      <c r="Q912" t="s">
        <v>73</v>
      </c>
      <c r="R912" t="s">
        <v>76</v>
      </c>
      <c r="S912" t="s">
        <v>74</v>
      </c>
      <c r="T912" t="s">
        <v>75</v>
      </c>
      <c r="X912" t="s">
        <v>77</v>
      </c>
      <c r="Z912" t="s">
        <v>72</v>
      </c>
      <c r="AA912" t="s">
        <v>94</v>
      </c>
      <c r="AB912">
        <v>5</v>
      </c>
      <c r="AC912">
        <v>748827.36</v>
      </c>
      <c r="AD912">
        <v>8930494.8699999992</v>
      </c>
      <c r="AE912">
        <v>195.05</v>
      </c>
      <c r="AF912">
        <v>748827.36</v>
      </c>
      <c r="AG912">
        <v>8930494.8699999992</v>
      </c>
      <c r="AH912">
        <v>179.4</v>
      </c>
      <c r="AI912">
        <v>15.65</v>
      </c>
      <c r="AJ912">
        <v>0.6</v>
      </c>
      <c r="AK912">
        <v>3.37</v>
      </c>
      <c r="AL912">
        <v>2.93</v>
      </c>
      <c r="AM912">
        <v>0</v>
      </c>
      <c r="AN912">
        <v>0</v>
      </c>
      <c r="AO912">
        <v>358</v>
      </c>
      <c r="AP912">
        <v>3.33</v>
      </c>
      <c r="AQ912">
        <v>0.55000000000000004</v>
      </c>
      <c r="AR912">
        <v>0.09</v>
      </c>
      <c r="AS912">
        <v>0.06</v>
      </c>
      <c r="AT912">
        <v>17.940000000000001</v>
      </c>
      <c r="AU912">
        <v>5.49</v>
      </c>
      <c r="AV912">
        <v>0.34</v>
      </c>
      <c r="AW912">
        <v>1.63</v>
      </c>
      <c r="AX912">
        <v>0</v>
      </c>
      <c r="AY912">
        <v>3.3</v>
      </c>
      <c r="AZ912">
        <v>179.816</v>
      </c>
      <c r="BA912">
        <v>0</v>
      </c>
      <c r="BB912">
        <v>0</v>
      </c>
      <c r="BC912">
        <v>0</v>
      </c>
      <c r="BD912">
        <v>0</v>
      </c>
    </row>
    <row r="913" spans="1:56" x14ac:dyDescent="0.25">
      <c r="A913" s="23">
        <v>46304</v>
      </c>
      <c r="B913">
        <v>912</v>
      </c>
      <c r="C913" t="s">
        <v>82</v>
      </c>
      <c r="D913" t="s">
        <v>83</v>
      </c>
      <c r="E913">
        <v>2</v>
      </c>
      <c r="F913">
        <v>180</v>
      </c>
      <c r="G913">
        <v>1</v>
      </c>
      <c r="H913" t="s">
        <v>96</v>
      </c>
      <c r="I913" t="s">
        <v>91</v>
      </c>
      <c r="J913" t="s">
        <v>85</v>
      </c>
      <c r="K913" t="s">
        <v>86</v>
      </c>
      <c r="L913" t="s">
        <v>71</v>
      </c>
      <c r="M913" t="s">
        <v>87</v>
      </c>
      <c r="O913" t="s">
        <v>88</v>
      </c>
      <c r="P913" t="s">
        <v>27</v>
      </c>
      <c r="Q913" t="s">
        <v>73</v>
      </c>
      <c r="R913" t="s">
        <v>76</v>
      </c>
      <c r="S913" t="s">
        <v>74</v>
      </c>
      <c r="T913" t="s">
        <v>75</v>
      </c>
      <c r="X913" t="s">
        <v>77</v>
      </c>
      <c r="Z913" t="s">
        <v>72</v>
      </c>
      <c r="AA913" t="s">
        <v>94</v>
      </c>
      <c r="AB913">
        <v>5</v>
      </c>
      <c r="AC913">
        <v>748828.82</v>
      </c>
      <c r="AD913">
        <v>8930492.1999999993</v>
      </c>
      <c r="AE913">
        <v>195.08</v>
      </c>
      <c r="AF913">
        <v>748828.82</v>
      </c>
      <c r="AG913">
        <v>8930492.1999999993</v>
      </c>
      <c r="AH913">
        <v>179.4</v>
      </c>
      <c r="AI913">
        <v>15.68</v>
      </c>
      <c r="AJ913">
        <v>0.6</v>
      </c>
      <c r="AK913">
        <v>3.37</v>
      </c>
      <c r="AL913">
        <v>2.93</v>
      </c>
      <c r="AM913">
        <v>0</v>
      </c>
      <c r="AN913">
        <v>0</v>
      </c>
      <c r="AO913">
        <v>358</v>
      </c>
      <c r="AP913">
        <v>3.32</v>
      </c>
      <c r="AQ913">
        <v>0.55000000000000004</v>
      </c>
      <c r="AR913">
        <v>0.09</v>
      </c>
      <c r="AS913">
        <v>0.06</v>
      </c>
      <c r="AT913">
        <v>17.850000000000001</v>
      </c>
      <c r="AU913">
        <v>5.43</v>
      </c>
      <c r="AV913">
        <v>0.34</v>
      </c>
      <c r="AW913">
        <v>1.62</v>
      </c>
      <c r="AX913">
        <v>0</v>
      </c>
      <c r="AY913">
        <v>3.3</v>
      </c>
      <c r="AZ913">
        <v>180.25299999999999</v>
      </c>
      <c r="BA913">
        <v>0</v>
      </c>
      <c r="BB913">
        <v>0</v>
      </c>
      <c r="BC913">
        <v>0</v>
      </c>
      <c r="BD913">
        <v>0</v>
      </c>
    </row>
    <row r="914" spans="1:56" x14ac:dyDescent="0.25">
      <c r="A914" s="23">
        <v>46304</v>
      </c>
      <c r="B914">
        <v>913</v>
      </c>
      <c r="C914" t="s">
        <v>82</v>
      </c>
      <c r="D914" t="s">
        <v>83</v>
      </c>
      <c r="E914">
        <v>2</v>
      </c>
      <c r="F914">
        <v>180</v>
      </c>
      <c r="G914">
        <v>1</v>
      </c>
      <c r="H914" t="s">
        <v>96</v>
      </c>
      <c r="I914" t="s">
        <v>91</v>
      </c>
      <c r="J914" t="s">
        <v>85</v>
      </c>
      <c r="K914" t="s">
        <v>86</v>
      </c>
      <c r="L914" t="s">
        <v>71</v>
      </c>
      <c r="M914" t="s">
        <v>87</v>
      </c>
      <c r="O914" t="s">
        <v>88</v>
      </c>
      <c r="P914" t="s">
        <v>27</v>
      </c>
      <c r="Q914" t="s">
        <v>73</v>
      </c>
      <c r="R914" t="s">
        <v>76</v>
      </c>
      <c r="S914" t="s">
        <v>74</v>
      </c>
      <c r="T914" t="s">
        <v>75</v>
      </c>
      <c r="X914" t="s">
        <v>77</v>
      </c>
      <c r="Z914" t="s">
        <v>72</v>
      </c>
      <c r="AA914" t="s">
        <v>94</v>
      </c>
      <c r="AB914">
        <v>5</v>
      </c>
      <c r="AC914">
        <v>748825.52</v>
      </c>
      <c r="AD914">
        <v>8930491.5199999996</v>
      </c>
      <c r="AE914">
        <v>195</v>
      </c>
      <c r="AF914">
        <v>748825.52</v>
      </c>
      <c r="AG914">
        <v>8930491.5199999996</v>
      </c>
      <c r="AH914">
        <v>179.4</v>
      </c>
      <c r="AI914">
        <v>15.6</v>
      </c>
      <c r="AJ914">
        <v>0.6</v>
      </c>
      <c r="AK914">
        <v>3.37</v>
      </c>
      <c r="AL914">
        <v>2.93</v>
      </c>
      <c r="AM914">
        <v>0</v>
      </c>
      <c r="AN914">
        <v>0</v>
      </c>
      <c r="AO914">
        <v>358</v>
      </c>
      <c r="AP914">
        <v>3.33</v>
      </c>
      <c r="AQ914">
        <v>0.55000000000000004</v>
      </c>
      <c r="AR914">
        <v>0.09</v>
      </c>
      <c r="AS914">
        <v>0.06</v>
      </c>
      <c r="AT914">
        <v>17.920000000000002</v>
      </c>
      <c r="AU914">
        <v>5.5</v>
      </c>
      <c r="AV914">
        <v>0.34</v>
      </c>
      <c r="AW914">
        <v>1.63</v>
      </c>
      <c r="AX914">
        <v>0</v>
      </c>
      <c r="AY914">
        <v>3.3</v>
      </c>
      <c r="AZ914">
        <v>179.08799999999999</v>
      </c>
      <c r="BA914">
        <v>0</v>
      </c>
      <c r="BB914">
        <v>0</v>
      </c>
      <c r="BC914">
        <v>0</v>
      </c>
      <c r="BD914">
        <v>0</v>
      </c>
    </row>
    <row r="915" spans="1:56" x14ac:dyDescent="0.25">
      <c r="A915" s="23">
        <v>46304</v>
      </c>
      <c r="B915">
        <v>914</v>
      </c>
      <c r="C915" t="s">
        <v>82</v>
      </c>
      <c r="D915" t="s">
        <v>83</v>
      </c>
      <c r="E915">
        <v>2</v>
      </c>
      <c r="F915">
        <v>180</v>
      </c>
      <c r="G915">
        <v>1</v>
      </c>
      <c r="H915" t="s">
        <v>96</v>
      </c>
      <c r="I915" t="s">
        <v>91</v>
      </c>
      <c r="J915" t="s">
        <v>85</v>
      </c>
      <c r="K915" t="s">
        <v>86</v>
      </c>
      <c r="L915" t="s">
        <v>71</v>
      </c>
      <c r="M915" t="s">
        <v>87</v>
      </c>
      <c r="O915" t="s">
        <v>88</v>
      </c>
      <c r="P915" t="s">
        <v>27</v>
      </c>
      <c r="Q915" t="s">
        <v>73</v>
      </c>
      <c r="R915" t="s">
        <v>76</v>
      </c>
      <c r="S915" t="s">
        <v>74</v>
      </c>
      <c r="T915" t="s">
        <v>75</v>
      </c>
      <c r="X915" t="s">
        <v>77</v>
      </c>
      <c r="Z915" t="s">
        <v>72</v>
      </c>
      <c r="AA915" t="s">
        <v>94</v>
      </c>
      <c r="AB915">
        <v>5</v>
      </c>
      <c r="AC915">
        <v>748822.22</v>
      </c>
      <c r="AD915">
        <v>8930490.8300000001</v>
      </c>
      <c r="AE915">
        <v>195.03</v>
      </c>
      <c r="AF915">
        <v>748822.22</v>
      </c>
      <c r="AG915">
        <v>8930490.8300000001</v>
      </c>
      <c r="AH915">
        <v>179.4</v>
      </c>
      <c r="AI915">
        <v>15.63</v>
      </c>
      <c r="AJ915">
        <v>0.6</v>
      </c>
      <c r="AK915">
        <v>3.37</v>
      </c>
      <c r="AL915">
        <v>2.93</v>
      </c>
      <c r="AM915">
        <v>0</v>
      </c>
      <c r="AN915">
        <v>0</v>
      </c>
      <c r="AO915">
        <v>358</v>
      </c>
      <c r="AP915">
        <v>3.33</v>
      </c>
      <c r="AQ915">
        <v>0.55000000000000004</v>
      </c>
      <c r="AR915">
        <v>0.09</v>
      </c>
      <c r="AS915">
        <v>0.06</v>
      </c>
      <c r="AT915">
        <v>17.88</v>
      </c>
      <c r="AU915">
        <v>5.51</v>
      </c>
      <c r="AV915">
        <v>0.34</v>
      </c>
      <c r="AW915">
        <v>1.63</v>
      </c>
      <c r="AX915">
        <v>0</v>
      </c>
      <c r="AY915">
        <v>3.3</v>
      </c>
      <c r="AZ915">
        <v>179.52500000000001</v>
      </c>
      <c r="BA915">
        <v>0</v>
      </c>
      <c r="BB915">
        <v>0</v>
      </c>
      <c r="BC915">
        <v>0</v>
      </c>
      <c r="BD915">
        <v>0</v>
      </c>
    </row>
    <row r="916" spans="1:56" x14ac:dyDescent="0.25">
      <c r="A916" s="23">
        <v>46304</v>
      </c>
      <c r="B916">
        <v>915</v>
      </c>
      <c r="C916" t="s">
        <v>82</v>
      </c>
      <c r="D916" t="s">
        <v>83</v>
      </c>
      <c r="E916">
        <v>2</v>
      </c>
      <c r="F916">
        <v>180</v>
      </c>
      <c r="G916">
        <v>1</v>
      </c>
      <c r="H916" t="s">
        <v>96</v>
      </c>
      <c r="I916" t="s">
        <v>91</v>
      </c>
      <c r="J916" t="s">
        <v>85</v>
      </c>
      <c r="K916" t="s">
        <v>86</v>
      </c>
      <c r="L916" t="s">
        <v>71</v>
      </c>
      <c r="M916" t="s">
        <v>87</v>
      </c>
      <c r="O916" t="s">
        <v>88</v>
      </c>
      <c r="P916" t="s">
        <v>27</v>
      </c>
      <c r="Q916" t="s">
        <v>73</v>
      </c>
      <c r="R916" t="s">
        <v>76</v>
      </c>
      <c r="S916" t="s">
        <v>74</v>
      </c>
      <c r="T916" t="s">
        <v>75</v>
      </c>
      <c r="X916" t="s">
        <v>77</v>
      </c>
      <c r="Z916" t="s">
        <v>72</v>
      </c>
      <c r="AA916" t="s">
        <v>94</v>
      </c>
      <c r="AB916">
        <v>5</v>
      </c>
      <c r="AC916">
        <v>748818.92</v>
      </c>
      <c r="AD916">
        <v>8930490.1500000004</v>
      </c>
      <c r="AE916">
        <v>195.04</v>
      </c>
      <c r="AF916">
        <v>748818.92</v>
      </c>
      <c r="AG916">
        <v>8930490.1500000004</v>
      </c>
      <c r="AH916">
        <v>179.4</v>
      </c>
      <c r="AI916">
        <v>15.64</v>
      </c>
      <c r="AJ916">
        <v>0.6</v>
      </c>
      <c r="AK916">
        <v>3.37</v>
      </c>
      <c r="AL916">
        <v>2.93</v>
      </c>
      <c r="AM916">
        <v>0</v>
      </c>
      <c r="AN916">
        <v>0</v>
      </c>
      <c r="AO916">
        <v>358</v>
      </c>
      <c r="AP916">
        <v>3.38</v>
      </c>
      <c r="AQ916">
        <v>0.6</v>
      </c>
      <c r="AR916">
        <v>0.1</v>
      </c>
      <c r="AS916">
        <v>7.0000000000000007E-2</v>
      </c>
      <c r="AT916">
        <v>18.27</v>
      </c>
      <c r="AU916">
        <v>5.54</v>
      </c>
      <c r="AV916">
        <v>0.33</v>
      </c>
      <c r="AW916">
        <v>1.85</v>
      </c>
      <c r="AX916">
        <v>2.0099999999999998</v>
      </c>
      <c r="AY916">
        <v>3.3</v>
      </c>
      <c r="AZ916">
        <v>179.67</v>
      </c>
      <c r="BA916">
        <v>0</v>
      </c>
      <c r="BB916">
        <v>0</v>
      </c>
      <c r="BC916">
        <v>0</v>
      </c>
      <c r="BD916">
        <v>0</v>
      </c>
    </row>
    <row r="917" spans="1:56" x14ac:dyDescent="0.25">
      <c r="A917" s="23">
        <v>46304</v>
      </c>
      <c r="B917">
        <v>916</v>
      </c>
      <c r="C917" t="s">
        <v>82</v>
      </c>
      <c r="D917" t="s">
        <v>83</v>
      </c>
      <c r="E917">
        <v>2</v>
      </c>
      <c r="F917">
        <v>180</v>
      </c>
      <c r="G917">
        <v>1</v>
      </c>
      <c r="H917" t="s">
        <v>96</v>
      </c>
      <c r="I917" t="s">
        <v>91</v>
      </c>
      <c r="J917" t="s">
        <v>85</v>
      </c>
      <c r="K917" t="s">
        <v>86</v>
      </c>
      <c r="L917" t="s">
        <v>71</v>
      </c>
      <c r="M917" t="s">
        <v>87</v>
      </c>
      <c r="O917" t="s">
        <v>88</v>
      </c>
      <c r="P917" t="s">
        <v>27</v>
      </c>
      <c r="Q917" t="s">
        <v>73</v>
      </c>
      <c r="R917" t="s">
        <v>76</v>
      </c>
      <c r="S917" t="s">
        <v>74</v>
      </c>
      <c r="T917" t="s">
        <v>75</v>
      </c>
      <c r="X917" t="s">
        <v>77</v>
      </c>
      <c r="Z917" t="s">
        <v>72</v>
      </c>
      <c r="AA917" t="s">
        <v>94</v>
      </c>
      <c r="AB917">
        <v>5</v>
      </c>
      <c r="AC917">
        <v>748815.62</v>
      </c>
      <c r="AD917">
        <v>8930489.4700000007</v>
      </c>
      <c r="AE917">
        <v>195.01</v>
      </c>
      <c r="AF917">
        <v>748815.62</v>
      </c>
      <c r="AG917">
        <v>8930489.4700000007</v>
      </c>
      <c r="AH917">
        <v>179.4</v>
      </c>
      <c r="AI917">
        <v>15.61</v>
      </c>
      <c r="AJ917">
        <v>0.6</v>
      </c>
      <c r="AK917">
        <v>3.37</v>
      </c>
      <c r="AL917">
        <v>2.93</v>
      </c>
      <c r="AM917">
        <v>0</v>
      </c>
      <c r="AN917">
        <v>0</v>
      </c>
      <c r="AO917">
        <v>358</v>
      </c>
      <c r="AP917">
        <v>3.38</v>
      </c>
      <c r="AQ917">
        <v>0.62</v>
      </c>
      <c r="AR917">
        <v>0.1</v>
      </c>
      <c r="AS917">
        <v>7.0000000000000007E-2</v>
      </c>
      <c r="AT917">
        <v>18.34</v>
      </c>
      <c r="AU917">
        <v>5.6</v>
      </c>
      <c r="AV917">
        <v>0.32</v>
      </c>
      <c r="AW917">
        <v>1.91</v>
      </c>
      <c r="AX917">
        <v>2.36</v>
      </c>
      <c r="AY917">
        <v>3.3</v>
      </c>
      <c r="AZ917">
        <v>179.23400000000001</v>
      </c>
      <c r="BA917">
        <v>0</v>
      </c>
      <c r="BB917">
        <v>0</v>
      </c>
      <c r="BC917">
        <v>0</v>
      </c>
      <c r="BD917">
        <v>0</v>
      </c>
    </row>
    <row r="918" spans="1:56" x14ac:dyDescent="0.25">
      <c r="A918" s="23">
        <v>46304</v>
      </c>
      <c r="B918">
        <v>917</v>
      </c>
      <c r="C918" t="s">
        <v>82</v>
      </c>
      <c r="D918" t="s">
        <v>83</v>
      </c>
      <c r="E918">
        <v>2</v>
      </c>
      <c r="F918">
        <v>180</v>
      </c>
      <c r="G918">
        <v>1</v>
      </c>
      <c r="H918" t="s">
        <v>96</v>
      </c>
      <c r="I918" t="s">
        <v>91</v>
      </c>
      <c r="J918" t="s">
        <v>85</v>
      </c>
      <c r="K918" t="s">
        <v>86</v>
      </c>
      <c r="L918" t="s">
        <v>71</v>
      </c>
      <c r="M918" t="s">
        <v>87</v>
      </c>
      <c r="O918" t="s">
        <v>88</v>
      </c>
      <c r="P918" t="s">
        <v>27</v>
      </c>
      <c r="Q918" t="s">
        <v>73</v>
      </c>
      <c r="R918" t="s">
        <v>76</v>
      </c>
      <c r="S918" t="s">
        <v>74</v>
      </c>
      <c r="T918" t="s">
        <v>75</v>
      </c>
      <c r="X918" t="s">
        <v>77</v>
      </c>
      <c r="Z918" t="s">
        <v>72</v>
      </c>
      <c r="AA918" t="s">
        <v>94</v>
      </c>
      <c r="AB918">
        <v>5</v>
      </c>
      <c r="AC918">
        <v>748813.32</v>
      </c>
      <c r="AD918">
        <v>8930488.7899999991</v>
      </c>
      <c r="AE918">
        <v>195.12</v>
      </c>
      <c r="AF918">
        <v>748813.32</v>
      </c>
      <c r="AG918">
        <v>8930488.7899999991</v>
      </c>
      <c r="AH918">
        <v>179.4</v>
      </c>
      <c r="AI918">
        <v>15.72</v>
      </c>
      <c r="AJ918">
        <v>0.6</v>
      </c>
      <c r="AK918">
        <v>3.37</v>
      </c>
      <c r="AL918">
        <v>2.93</v>
      </c>
      <c r="AM918">
        <v>0</v>
      </c>
      <c r="AN918">
        <v>0</v>
      </c>
      <c r="AO918">
        <v>358</v>
      </c>
      <c r="AP918">
        <v>3.36</v>
      </c>
      <c r="AQ918">
        <v>0.62</v>
      </c>
      <c r="AR918">
        <v>0.1</v>
      </c>
      <c r="AS918">
        <v>7.0000000000000007E-2</v>
      </c>
      <c r="AT918">
        <v>18.329999999999998</v>
      </c>
      <c r="AU918">
        <v>5.65</v>
      </c>
      <c r="AV918">
        <v>0.32</v>
      </c>
      <c r="AW918">
        <v>1.93</v>
      </c>
      <c r="AX918">
        <v>2.29</v>
      </c>
      <c r="AY918">
        <v>3.3</v>
      </c>
      <c r="AZ918">
        <v>180.83500000000001</v>
      </c>
      <c r="BA918">
        <v>0</v>
      </c>
      <c r="BB918">
        <v>0</v>
      </c>
      <c r="BC918">
        <v>0</v>
      </c>
      <c r="BD918">
        <v>0</v>
      </c>
    </row>
    <row r="919" spans="1:56" x14ac:dyDescent="0.25">
      <c r="A919" s="23">
        <v>46304</v>
      </c>
      <c r="B919">
        <v>918</v>
      </c>
      <c r="C919" t="s">
        <v>82</v>
      </c>
      <c r="D919" t="s">
        <v>83</v>
      </c>
      <c r="E919">
        <v>2</v>
      </c>
      <c r="F919">
        <v>180</v>
      </c>
      <c r="G919">
        <v>1</v>
      </c>
      <c r="H919" t="s">
        <v>96</v>
      </c>
      <c r="I919" t="s">
        <v>91</v>
      </c>
      <c r="J919" t="s">
        <v>85</v>
      </c>
      <c r="K919" t="s">
        <v>86</v>
      </c>
      <c r="L919" t="s">
        <v>71</v>
      </c>
      <c r="M919" t="s">
        <v>87</v>
      </c>
      <c r="O919" t="s">
        <v>88</v>
      </c>
      <c r="P919" t="s">
        <v>27</v>
      </c>
      <c r="Q919" t="s">
        <v>73</v>
      </c>
      <c r="R919" t="s">
        <v>76</v>
      </c>
      <c r="S919" t="s">
        <v>74</v>
      </c>
      <c r="T919" t="s">
        <v>75</v>
      </c>
      <c r="X919" t="s">
        <v>77</v>
      </c>
      <c r="Z919" t="s">
        <v>72</v>
      </c>
      <c r="AA919" t="s">
        <v>94</v>
      </c>
      <c r="AB919">
        <v>5</v>
      </c>
      <c r="AC919">
        <v>748811.02</v>
      </c>
      <c r="AD919">
        <v>8930488.1199999992</v>
      </c>
      <c r="AE919">
        <v>195.08</v>
      </c>
      <c r="AF919">
        <v>748811.02</v>
      </c>
      <c r="AG919">
        <v>8930488.1199999992</v>
      </c>
      <c r="AH919">
        <v>179.4</v>
      </c>
      <c r="AI919">
        <v>15.68</v>
      </c>
      <c r="AJ919">
        <v>0.6</v>
      </c>
      <c r="AK919">
        <v>3.37</v>
      </c>
      <c r="AL919">
        <v>2.93</v>
      </c>
      <c r="AM919">
        <v>0</v>
      </c>
      <c r="AN919">
        <v>0</v>
      </c>
      <c r="AO919">
        <v>358</v>
      </c>
      <c r="AP919">
        <v>3.36</v>
      </c>
      <c r="AQ919">
        <v>0.62</v>
      </c>
      <c r="AR919">
        <v>0.1</v>
      </c>
      <c r="AS919">
        <v>7.0000000000000007E-2</v>
      </c>
      <c r="AT919">
        <v>18.239999999999998</v>
      </c>
      <c r="AU919">
        <v>5.69</v>
      </c>
      <c r="AV919">
        <v>0.32</v>
      </c>
      <c r="AW919">
        <v>1.93</v>
      </c>
      <c r="AX919">
        <v>2.27</v>
      </c>
      <c r="AY919">
        <v>3.3</v>
      </c>
      <c r="AZ919">
        <v>180.25299999999999</v>
      </c>
      <c r="BA919">
        <v>0</v>
      </c>
      <c r="BB919">
        <v>0</v>
      </c>
      <c r="BC919">
        <v>0</v>
      </c>
      <c r="BD919">
        <v>0</v>
      </c>
    </row>
    <row r="920" spans="1:56" x14ac:dyDescent="0.25">
      <c r="A920" s="23">
        <v>46304</v>
      </c>
      <c r="B920">
        <v>919</v>
      </c>
      <c r="C920" t="s">
        <v>82</v>
      </c>
      <c r="D920" t="s">
        <v>83</v>
      </c>
      <c r="E920">
        <v>2</v>
      </c>
      <c r="F920">
        <v>180</v>
      </c>
      <c r="G920">
        <v>1</v>
      </c>
      <c r="H920" t="s">
        <v>96</v>
      </c>
      <c r="I920" t="s">
        <v>91</v>
      </c>
      <c r="J920" t="s">
        <v>85</v>
      </c>
      <c r="K920" t="s">
        <v>86</v>
      </c>
      <c r="L920" t="s">
        <v>71</v>
      </c>
      <c r="M920" t="s">
        <v>87</v>
      </c>
      <c r="O920" t="s">
        <v>88</v>
      </c>
      <c r="P920" t="s">
        <v>27</v>
      </c>
      <c r="Q920" t="s">
        <v>73</v>
      </c>
      <c r="R920" t="s">
        <v>76</v>
      </c>
      <c r="S920" t="s">
        <v>74</v>
      </c>
      <c r="T920" t="s">
        <v>75</v>
      </c>
      <c r="X920" t="s">
        <v>77</v>
      </c>
      <c r="Z920" t="s">
        <v>72</v>
      </c>
      <c r="AA920" t="s">
        <v>94</v>
      </c>
      <c r="AB920">
        <v>5</v>
      </c>
      <c r="AC920">
        <v>748807.8</v>
      </c>
      <c r="AD920">
        <v>8930487.1300000008</v>
      </c>
      <c r="AE920">
        <v>194.98</v>
      </c>
      <c r="AF920">
        <v>748807.8</v>
      </c>
      <c r="AG920">
        <v>8930487.1300000008</v>
      </c>
      <c r="AH920">
        <v>179.4</v>
      </c>
      <c r="AI920">
        <v>15.58</v>
      </c>
      <c r="AJ920">
        <v>0.6</v>
      </c>
      <c r="AK920">
        <v>3.37</v>
      </c>
      <c r="AL920">
        <v>2.93</v>
      </c>
      <c r="AM920">
        <v>0</v>
      </c>
      <c r="AN920">
        <v>0</v>
      </c>
      <c r="AO920">
        <v>358</v>
      </c>
      <c r="AP920">
        <v>3.39</v>
      </c>
      <c r="AQ920">
        <v>0.61</v>
      </c>
      <c r="AR920">
        <v>0.1</v>
      </c>
      <c r="AS920">
        <v>7.0000000000000007E-2</v>
      </c>
      <c r="AT920">
        <v>17.96</v>
      </c>
      <c r="AU920">
        <v>5.68</v>
      </c>
      <c r="AV920">
        <v>0.32</v>
      </c>
      <c r="AW920">
        <v>1.9</v>
      </c>
      <c r="AX920">
        <v>2.44</v>
      </c>
      <c r="AY920">
        <v>3.3</v>
      </c>
      <c r="AZ920">
        <v>178.797</v>
      </c>
      <c r="BA920">
        <v>0</v>
      </c>
      <c r="BB920">
        <v>0</v>
      </c>
      <c r="BC920">
        <v>0</v>
      </c>
      <c r="BD920">
        <v>0</v>
      </c>
    </row>
    <row r="921" spans="1:56" x14ac:dyDescent="0.25">
      <c r="A921" s="23">
        <v>46304</v>
      </c>
      <c r="B921">
        <v>920</v>
      </c>
      <c r="C921" t="s">
        <v>82</v>
      </c>
      <c r="D921" t="s">
        <v>83</v>
      </c>
      <c r="E921">
        <v>2</v>
      </c>
      <c r="F921">
        <v>180</v>
      </c>
      <c r="G921">
        <v>1</v>
      </c>
      <c r="H921" t="s">
        <v>96</v>
      </c>
      <c r="I921" t="s">
        <v>91</v>
      </c>
      <c r="J921" t="s">
        <v>85</v>
      </c>
      <c r="K921" t="s">
        <v>86</v>
      </c>
      <c r="L921" t="s">
        <v>71</v>
      </c>
      <c r="M921" t="s">
        <v>87</v>
      </c>
      <c r="O921" t="s">
        <v>88</v>
      </c>
      <c r="P921" t="s">
        <v>27</v>
      </c>
      <c r="Q921" t="s">
        <v>73</v>
      </c>
      <c r="R921" t="s">
        <v>76</v>
      </c>
      <c r="S921" t="s">
        <v>74</v>
      </c>
      <c r="T921" t="s">
        <v>75</v>
      </c>
      <c r="X921" t="s">
        <v>77</v>
      </c>
      <c r="Z921" t="s">
        <v>72</v>
      </c>
      <c r="AA921" t="s">
        <v>94</v>
      </c>
      <c r="AB921">
        <v>5</v>
      </c>
      <c r="AC921">
        <v>748804.54</v>
      </c>
      <c r="AD921">
        <v>8930486.2799999993</v>
      </c>
      <c r="AE921">
        <v>194.62</v>
      </c>
      <c r="AF921">
        <v>748804.54</v>
      </c>
      <c r="AG921">
        <v>8930486.2799999993</v>
      </c>
      <c r="AH921">
        <v>179.4</v>
      </c>
      <c r="AI921">
        <v>15.22</v>
      </c>
      <c r="AJ921">
        <v>0.6</v>
      </c>
      <c r="AK921">
        <v>3.37</v>
      </c>
      <c r="AL921">
        <v>2.93</v>
      </c>
      <c r="AM921">
        <v>0</v>
      </c>
      <c r="AN921">
        <v>0</v>
      </c>
      <c r="AO921">
        <v>358</v>
      </c>
      <c r="AP921">
        <v>3.39</v>
      </c>
      <c r="AQ921">
        <v>0.61</v>
      </c>
      <c r="AR921">
        <v>0.1</v>
      </c>
      <c r="AS921">
        <v>7.0000000000000007E-2</v>
      </c>
      <c r="AT921">
        <v>17.98</v>
      </c>
      <c r="AU921">
        <v>5.7</v>
      </c>
      <c r="AV921">
        <v>0.32</v>
      </c>
      <c r="AW921">
        <v>1.9</v>
      </c>
      <c r="AX921">
        <v>2.31</v>
      </c>
      <c r="AY921">
        <v>3.3</v>
      </c>
      <c r="AZ921">
        <v>173.55500000000001</v>
      </c>
      <c r="BA921">
        <v>0</v>
      </c>
      <c r="BB921">
        <v>0</v>
      </c>
      <c r="BC921">
        <v>0</v>
      </c>
      <c r="BD921">
        <v>0</v>
      </c>
    </row>
    <row r="922" spans="1:56" x14ac:dyDescent="0.25">
      <c r="A922" s="23">
        <v>46304</v>
      </c>
      <c r="B922">
        <v>921</v>
      </c>
      <c r="C922" t="s">
        <v>82</v>
      </c>
      <c r="D922" t="s">
        <v>83</v>
      </c>
      <c r="E922">
        <v>2</v>
      </c>
      <c r="F922">
        <v>180</v>
      </c>
      <c r="G922">
        <v>1</v>
      </c>
      <c r="H922" t="s">
        <v>96</v>
      </c>
      <c r="I922" t="s">
        <v>91</v>
      </c>
      <c r="J922" t="s">
        <v>85</v>
      </c>
      <c r="K922" t="s">
        <v>86</v>
      </c>
      <c r="L922" t="s">
        <v>71</v>
      </c>
      <c r="M922" t="s">
        <v>87</v>
      </c>
      <c r="O922" t="s">
        <v>88</v>
      </c>
      <c r="P922" t="s">
        <v>27</v>
      </c>
      <c r="Q922" t="s">
        <v>73</v>
      </c>
      <c r="R922" t="s">
        <v>76</v>
      </c>
      <c r="S922" t="s">
        <v>74</v>
      </c>
      <c r="T922" t="s">
        <v>75</v>
      </c>
      <c r="X922" t="s">
        <v>77</v>
      </c>
      <c r="Z922" t="s">
        <v>72</v>
      </c>
      <c r="AA922" t="s">
        <v>94</v>
      </c>
      <c r="AB922">
        <v>5</v>
      </c>
      <c r="AC922">
        <v>748801.25</v>
      </c>
      <c r="AD922">
        <v>8930485.5600000005</v>
      </c>
      <c r="AE922">
        <v>194.5</v>
      </c>
      <c r="AF922">
        <v>748801.25</v>
      </c>
      <c r="AG922">
        <v>8930485.5600000005</v>
      </c>
      <c r="AH922">
        <v>179.4</v>
      </c>
      <c r="AI922">
        <v>15.1</v>
      </c>
      <c r="AJ922">
        <v>0.6</v>
      </c>
      <c r="AK922">
        <v>3.37</v>
      </c>
      <c r="AL922">
        <v>2.93</v>
      </c>
      <c r="AM922">
        <v>0</v>
      </c>
      <c r="AN922">
        <v>0</v>
      </c>
      <c r="AO922">
        <v>358</v>
      </c>
      <c r="AP922">
        <v>3.4</v>
      </c>
      <c r="AQ922">
        <v>0.6</v>
      </c>
      <c r="AR922">
        <v>0.1</v>
      </c>
      <c r="AS922">
        <v>7.0000000000000007E-2</v>
      </c>
      <c r="AT922">
        <v>17.920000000000002</v>
      </c>
      <c r="AU922">
        <v>5.75</v>
      </c>
      <c r="AV922">
        <v>0.32</v>
      </c>
      <c r="AW922">
        <v>1.89</v>
      </c>
      <c r="AX922">
        <v>2.34</v>
      </c>
      <c r="AY922">
        <v>3.3</v>
      </c>
      <c r="AZ922">
        <v>171.80799999999999</v>
      </c>
      <c r="BA922">
        <v>0</v>
      </c>
      <c r="BB922">
        <v>0</v>
      </c>
      <c r="BC922">
        <v>0</v>
      </c>
      <c r="BD922">
        <v>0</v>
      </c>
    </row>
    <row r="923" spans="1:56" x14ac:dyDescent="0.25">
      <c r="A923" s="23">
        <v>46304</v>
      </c>
      <c r="B923">
        <v>922</v>
      </c>
      <c r="C923" t="s">
        <v>82</v>
      </c>
      <c r="D923" t="s">
        <v>83</v>
      </c>
      <c r="E923">
        <v>2</v>
      </c>
      <c r="F923">
        <v>180</v>
      </c>
      <c r="G923">
        <v>1</v>
      </c>
      <c r="H923" t="s">
        <v>96</v>
      </c>
      <c r="I923" t="s">
        <v>91</v>
      </c>
      <c r="J923" t="s">
        <v>85</v>
      </c>
      <c r="K923" t="s">
        <v>86</v>
      </c>
      <c r="L923" t="s">
        <v>71</v>
      </c>
      <c r="M923" t="s">
        <v>87</v>
      </c>
      <c r="O923" t="s">
        <v>88</v>
      </c>
      <c r="P923" t="s">
        <v>27</v>
      </c>
      <c r="Q923" t="s">
        <v>73</v>
      </c>
      <c r="R923" t="s">
        <v>76</v>
      </c>
      <c r="S923" t="s">
        <v>74</v>
      </c>
      <c r="T923" t="s">
        <v>75</v>
      </c>
      <c r="X923" t="s">
        <v>77</v>
      </c>
      <c r="Z923" t="s">
        <v>72</v>
      </c>
      <c r="AA923" t="s">
        <v>94</v>
      </c>
      <c r="AB923">
        <v>5</v>
      </c>
      <c r="AC923">
        <v>748797.93</v>
      </c>
      <c r="AD923">
        <v>8930484.9700000007</v>
      </c>
      <c r="AE923">
        <v>194.54</v>
      </c>
      <c r="AF923">
        <v>748797.93</v>
      </c>
      <c r="AG923">
        <v>8930484.9700000007</v>
      </c>
      <c r="AH923">
        <v>179.4</v>
      </c>
      <c r="AI923">
        <v>15.14</v>
      </c>
      <c r="AJ923">
        <v>0.6</v>
      </c>
      <c r="AK923">
        <v>3.37</v>
      </c>
      <c r="AL923">
        <v>2.93</v>
      </c>
      <c r="AM923">
        <v>0</v>
      </c>
      <c r="AN923">
        <v>0</v>
      </c>
      <c r="AO923">
        <v>358</v>
      </c>
      <c r="AP923">
        <v>3.48</v>
      </c>
      <c r="AQ923">
        <v>0.57999999999999996</v>
      </c>
      <c r="AR923">
        <v>0.08</v>
      </c>
      <c r="AS923">
        <v>7.0000000000000007E-2</v>
      </c>
      <c r="AT923">
        <v>17.54</v>
      </c>
      <c r="AU923">
        <v>6.04</v>
      </c>
      <c r="AV923">
        <v>0.32</v>
      </c>
      <c r="AW923">
        <v>1.83</v>
      </c>
      <c r="AX923">
        <v>2.76</v>
      </c>
      <c r="AY923">
        <v>3.3</v>
      </c>
      <c r="AZ923">
        <v>172.39</v>
      </c>
      <c r="BA923">
        <v>0</v>
      </c>
      <c r="BB923">
        <v>0</v>
      </c>
      <c r="BC923">
        <v>0</v>
      </c>
      <c r="BD923">
        <v>0</v>
      </c>
    </row>
    <row r="924" spans="1:56" x14ac:dyDescent="0.25">
      <c r="A924" s="23">
        <v>46304</v>
      </c>
      <c r="B924">
        <v>923</v>
      </c>
      <c r="C924" t="s">
        <v>82</v>
      </c>
      <c r="D924" t="s">
        <v>83</v>
      </c>
      <c r="E924">
        <v>2</v>
      </c>
      <c r="F924">
        <v>180</v>
      </c>
      <c r="G924">
        <v>1</v>
      </c>
      <c r="H924" t="s">
        <v>96</v>
      </c>
      <c r="I924" t="s">
        <v>91</v>
      </c>
      <c r="J924" t="s">
        <v>85</v>
      </c>
      <c r="K924" t="s">
        <v>86</v>
      </c>
      <c r="L924" t="s">
        <v>71</v>
      </c>
      <c r="M924" t="s">
        <v>87</v>
      </c>
      <c r="O924" t="s">
        <v>88</v>
      </c>
      <c r="P924" t="s">
        <v>27</v>
      </c>
      <c r="Q924" t="s">
        <v>73</v>
      </c>
      <c r="R924" t="s">
        <v>76</v>
      </c>
      <c r="S924" t="s">
        <v>74</v>
      </c>
      <c r="T924" t="s">
        <v>75</v>
      </c>
      <c r="X924" t="s">
        <v>77</v>
      </c>
      <c r="Z924" t="s">
        <v>72</v>
      </c>
      <c r="AA924" t="s">
        <v>94</v>
      </c>
      <c r="AB924">
        <v>5</v>
      </c>
      <c r="AC924">
        <v>748794.61</v>
      </c>
      <c r="AD924">
        <v>8930484.4100000001</v>
      </c>
      <c r="AE924">
        <v>194.28</v>
      </c>
      <c r="AF924">
        <v>748794.61</v>
      </c>
      <c r="AG924">
        <v>8930484.4100000001</v>
      </c>
      <c r="AH924">
        <v>179.4</v>
      </c>
      <c r="AI924">
        <v>14.88</v>
      </c>
      <c r="AJ924">
        <v>0.6</v>
      </c>
      <c r="AK924">
        <v>3.37</v>
      </c>
      <c r="AL924">
        <v>2.93</v>
      </c>
      <c r="AM924">
        <v>0</v>
      </c>
      <c r="AN924">
        <v>0</v>
      </c>
      <c r="AO924">
        <v>358</v>
      </c>
      <c r="AP924">
        <v>3.48</v>
      </c>
      <c r="AQ924">
        <v>0.57999999999999996</v>
      </c>
      <c r="AR924">
        <v>0.08</v>
      </c>
      <c r="AS924">
        <v>7.0000000000000007E-2</v>
      </c>
      <c r="AT924">
        <v>17.57</v>
      </c>
      <c r="AU924">
        <v>6.04</v>
      </c>
      <c r="AV924">
        <v>0.32</v>
      </c>
      <c r="AW924">
        <v>1.84</v>
      </c>
      <c r="AX924">
        <v>2.64</v>
      </c>
      <c r="AY924">
        <v>3.3</v>
      </c>
      <c r="AZ924">
        <v>168.60499999999999</v>
      </c>
      <c r="BA924">
        <v>0</v>
      </c>
      <c r="BB924">
        <v>0</v>
      </c>
      <c r="BC924">
        <v>0</v>
      </c>
      <c r="BD924">
        <v>0</v>
      </c>
    </row>
    <row r="925" spans="1:56" x14ac:dyDescent="0.25">
      <c r="A925" s="23">
        <v>46304</v>
      </c>
      <c r="B925">
        <v>924</v>
      </c>
      <c r="C925" t="s">
        <v>82</v>
      </c>
      <c r="D925" t="s">
        <v>83</v>
      </c>
      <c r="E925">
        <v>2</v>
      </c>
      <c r="F925">
        <v>180</v>
      </c>
      <c r="G925">
        <v>1</v>
      </c>
      <c r="H925" t="s">
        <v>96</v>
      </c>
      <c r="I925" t="s">
        <v>91</v>
      </c>
      <c r="J925" t="s">
        <v>85</v>
      </c>
      <c r="K925" t="s">
        <v>86</v>
      </c>
      <c r="L925" t="s">
        <v>71</v>
      </c>
      <c r="M925" t="s">
        <v>87</v>
      </c>
      <c r="O925" t="s">
        <v>88</v>
      </c>
      <c r="P925" t="s">
        <v>27</v>
      </c>
      <c r="Q925" t="s">
        <v>73</v>
      </c>
      <c r="R925" t="s">
        <v>76</v>
      </c>
      <c r="S925" t="s">
        <v>74</v>
      </c>
      <c r="T925" t="s">
        <v>75</v>
      </c>
      <c r="X925" t="s">
        <v>77</v>
      </c>
      <c r="Z925" t="s">
        <v>72</v>
      </c>
      <c r="AA925" t="s">
        <v>94</v>
      </c>
      <c r="AB925">
        <v>5</v>
      </c>
      <c r="AC925">
        <v>748788.13</v>
      </c>
      <c r="AD925">
        <v>8930482.75</v>
      </c>
      <c r="AE925">
        <v>189.76</v>
      </c>
      <c r="AF925">
        <v>748788.13</v>
      </c>
      <c r="AG925">
        <v>8930482.75</v>
      </c>
      <c r="AH925">
        <v>179.4</v>
      </c>
      <c r="AI925">
        <v>10.36</v>
      </c>
      <c r="AJ925">
        <v>0.6</v>
      </c>
      <c r="AK925">
        <v>3.37</v>
      </c>
      <c r="AL925">
        <v>2.93</v>
      </c>
      <c r="AM925">
        <v>0</v>
      </c>
      <c r="AN925">
        <v>0</v>
      </c>
      <c r="AO925">
        <v>358</v>
      </c>
      <c r="AP925">
        <v>3.42</v>
      </c>
      <c r="AQ925">
        <v>0.61</v>
      </c>
      <c r="AR925">
        <v>7.0000000000000007E-2</v>
      </c>
      <c r="AS925">
        <v>7.0000000000000007E-2</v>
      </c>
      <c r="AT925">
        <v>18.420000000000002</v>
      </c>
      <c r="AU925">
        <v>6.11</v>
      </c>
      <c r="AV925">
        <v>0.31</v>
      </c>
      <c r="AW925">
        <v>1.97</v>
      </c>
      <c r="AX925">
        <v>0</v>
      </c>
      <c r="AY925">
        <v>3.3</v>
      </c>
      <c r="AZ925">
        <v>102.794</v>
      </c>
      <c r="BA925">
        <v>0</v>
      </c>
      <c r="BB925">
        <v>0</v>
      </c>
      <c r="BC925">
        <v>0</v>
      </c>
      <c r="BD925">
        <v>0</v>
      </c>
    </row>
    <row r="926" spans="1:56" x14ac:dyDescent="0.25">
      <c r="A926" s="23">
        <v>46304</v>
      </c>
      <c r="B926">
        <v>925</v>
      </c>
      <c r="C926" t="s">
        <v>82</v>
      </c>
      <c r="D926" t="s">
        <v>83</v>
      </c>
      <c r="E926">
        <v>2</v>
      </c>
      <c r="F926">
        <v>180</v>
      </c>
      <c r="G926">
        <v>1</v>
      </c>
      <c r="H926" t="s">
        <v>96</v>
      </c>
      <c r="I926" t="s">
        <v>91</v>
      </c>
      <c r="J926" t="s">
        <v>85</v>
      </c>
      <c r="K926" t="s">
        <v>86</v>
      </c>
      <c r="L926" t="s">
        <v>71</v>
      </c>
      <c r="M926" t="s">
        <v>87</v>
      </c>
      <c r="O926" t="s">
        <v>88</v>
      </c>
      <c r="P926" t="s">
        <v>27</v>
      </c>
      <c r="Q926" t="s">
        <v>73</v>
      </c>
      <c r="R926" t="s">
        <v>76</v>
      </c>
      <c r="S926" t="s">
        <v>74</v>
      </c>
      <c r="T926" t="s">
        <v>75</v>
      </c>
      <c r="X926" t="s">
        <v>77</v>
      </c>
      <c r="Z926" t="s">
        <v>72</v>
      </c>
      <c r="AA926" t="s">
        <v>94</v>
      </c>
      <c r="AB926">
        <v>5</v>
      </c>
      <c r="AC926">
        <v>748785.18</v>
      </c>
      <c r="AD926">
        <v>8930481.1799999997</v>
      </c>
      <c r="AE926">
        <v>190.08</v>
      </c>
      <c r="AF926">
        <v>748785.18</v>
      </c>
      <c r="AG926">
        <v>8930481.1799999997</v>
      </c>
      <c r="AH926">
        <v>179.4</v>
      </c>
      <c r="AI926">
        <v>10.68</v>
      </c>
      <c r="AJ926">
        <v>0.6</v>
      </c>
      <c r="AK926">
        <v>3.37</v>
      </c>
      <c r="AL926">
        <v>2.93</v>
      </c>
      <c r="AM926">
        <v>0</v>
      </c>
      <c r="AN926">
        <v>0</v>
      </c>
      <c r="AO926">
        <v>358</v>
      </c>
      <c r="AP926">
        <v>3.43</v>
      </c>
      <c r="AQ926">
        <v>0.61</v>
      </c>
      <c r="AR926">
        <v>7.0000000000000007E-2</v>
      </c>
      <c r="AS926">
        <v>7.0000000000000007E-2</v>
      </c>
      <c r="AT926">
        <v>18.399999999999999</v>
      </c>
      <c r="AU926">
        <v>6.18</v>
      </c>
      <c r="AV926">
        <v>0.31</v>
      </c>
      <c r="AW926">
        <v>1.96</v>
      </c>
      <c r="AX926">
        <v>0.06</v>
      </c>
      <c r="AY926">
        <v>3.3</v>
      </c>
      <c r="AZ926">
        <v>107.453</v>
      </c>
      <c r="BA926">
        <v>0</v>
      </c>
      <c r="BB926">
        <v>0</v>
      </c>
      <c r="BC926">
        <v>0</v>
      </c>
      <c r="BD926">
        <v>0</v>
      </c>
    </row>
    <row r="927" spans="1:56" x14ac:dyDescent="0.25">
      <c r="A927" s="23">
        <v>46304</v>
      </c>
      <c r="B927">
        <v>926</v>
      </c>
      <c r="C927" t="s">
        <v>82</v>
      </c>
      <c r="D927" t="s">
        <v>83</v>
      </c>
      <c r="E927">
        <v>2</v>
      </c>
      <c r="F927">
        <v>180</v>
      </c>
      <c r="G927">
        <v>1</v>
      </c>
      <c r="H927" t="s">
        <v>96</v>
      </c>
      <c r="I927" t="s">
        <v>91</v>
      </c>
      <c r="J927" t="s">
        <v>85</v>
      </c>
      <c r="K927" t="s">
        <v>86</v>
      </c>
      <c r="L927" t="s">
        <v>71</v>
      </c>
      <c r="M927" t="s">
        <v>87</v>
      </c>
      <c r="O927" t="s">
        <v>88</v>
      </c>
      <c r="P927" t="s">
        <v>27</v>
      </c>
      <c r="Q927" t="s">
        <v>73</v>
      </c>
      <c r="R927" t="s">
        <v>76</v>
      </c>
      <c r="S927" t="s">
        <v>74</v>
      </c>
      <c r="T927" t="s">
        <v>75</v>
      </c>
      <c r="X927" t="s">
        <v>77</v>
      </c>
      <c r="Z927" t="s">
        <v>72</v>
      </c>
      <c r="AA927" t="s">
        <v>94</v>
      </c>
      <c r="AB927">
        <v>5</v>
      </c>
      <c r="AC927">
        <v>748782.35</v>
      </c>
      <c r="AD927">
        <v>8930479.3599999994</v>
      </c>
      <c r="AE927">
        <v>190.22</v>
      </c>
      <c r="AF927">
        <v>748782.35</v>
      </c>
      <c r="AG927">
        <v>8930479.3599999994</v>
      </c>
      <c r="AH927">
        <v>179.4</v>
      </c>
      <c r="AI927">
        <v>10.82</v>
      </c>
      <c r="AJ927">
        <v>0.6</v>
      </c>
      <c r="AK927">
        <v>3.37</v>
      </c>
      <c r="AL927">
        <v>2.93</v>
      </c>
      <c r="AM927">
        <v>0</v>
      </c>
      <c r="AN927">
        <v>0</v>
      </c>
      <c r="AO927">
        <v>358</v>
      </c>
      <c r="AP927">
        <v>3.44</v>
      </c>
      <c r="AQ927">
        <v>0.61</v>
      </c>
      <c r="AR927">
        <v>0.08</v>
      </c>
      <c r="AS927">
        <v>0.08</v>
      </c>
      <c r="AT927">
        <v>18.27</v>
      </c>
      <c r="AU927">
        <v>6.38</v>
      </c>
      <c r="AV927">
        <v>0.32</v>
      </c>
      <c r="AW927">
        <v>1.92</v>
      </c>
      <c r="AX927">
        <v>0.17</v>
      </c>
      <c r="AY927">
        <v>3.3</v>
      </c>
      <c r="AZ927">
        <v>109.491</v>
      </c>
      <c r="BA927">
        <v>0</v>
      </c>
      <c r="BB927">
        <v>0</v>
      </c>
      <c r="BC927">
        <v>0</v>
      </c>
      <c r="BD927">
        <v>0</v>
      </c>
    </row>
    <row r="928" spans="1:56" x14ac:dyDescent="0.25">
      <c r="A928" s="23">
        <v>46304</v>
      </c>
      <c r="B928">
        <v>927</v>
      </c>
      <c r="C928" t="s">
        <v>82</v>
      </c>
      <c r="D928" t="s">
        <v>83</v>
      </c>
      <c r="E928">
        <v>2</v>
      </c>
      <c r="F928">
        <v>180</v>
      </c>
      <c r="G928">
        <v>1</v>
      </c>
      <c r="H928" t="s">
        <v>96</v>
      </c>
      <c r="I928" t="s">
        <v>91</v>
      </c>
      <c r="J928" t="s">
        <v>97</v>
      </c>
      <c r="K928" t="s">
        <v>86</v>
      </c>
      <c r="L928" t="s">
        <v>71</v>
      </c>
      <c r="M928" t="s">
        <v>87</v>
      </c>
      <c r="O928" t="s">
        <v>88</v>
      </c>
      <c r="P928" t="s">
        <v>27</v>
      </c>
      <c r="Q928" t="s">
        <v>73</v>
      </c>
      <c r="R928" t="s">
        <v>76</v>
      </c>
      <c r="S928" t="s">
        <v>74</v>
      </c>
      <c r="T928" t="s">
        <v>75</v>
      </c>
      <c r="X928" t="s">
        <v>77</v>
      </c>
      <c r="Z928" t="s">
        <v>72</v>
      </c>
      <c r="AA928" t="s">
        <v>94</v>
      </c>
      <c r="AB928">
        <v>5</v>
      </c>
      <c r="AC928">
        <v>748779.52000000002</v>
      </c>
      <c r="AD928">
        <v>8930477.5299999993</v>
      </c>
      <c r="AE928">
        <v>190.21</v>
      </c>
      <c r="AF928">
        <v>748779.52000000002</v>
      </c>
      <c r="AG928">
        <v>8930477.5299999993</v>
      </c>
      <c r="AH928">
        <v>179.4</v>
      </c>
      <c r="AI928">
        <v>10.81</v>
      </c>
      <c r="AJ928">
        <v>0.6</v>
      </c>
      <c r="AK928">
        <v>3.37</v>
      </c>
      <c r="AL928">
        <v>2.93</v>
      </c>
      <c r="AM928">
        <v>0</v>
      </c>
      <c r="AN928">
        <v>0</v>
      </c>
      <c r="AO928">
        <v>358</v>
      </c>
      <c r="AP928">
        <v>3.43</v>
      </c>
      <c r="AQ928">
        <v>0.67</v>
      </c>
      <c r="AR928">
        <v>0.08</v>
      </c>
      <c r="AS928">
        <v>0.08</v>
      </c>
      <c r="AT928">
        <v>18.809999999999999</v>
      </c>
      <c r="AU928">
        <v>6.46</v>
      </c>
      <c r="AV928">
        <v>0.31</v>
      </c>
      <c r="AW928">
        <v>2.15</v>
      </c>
      <c r="AX928">
        <v>0.16</v>
      </c>
      <c r="AY928">
        <v>3.3</v>
      </c>
      <c r="AZ928">
        <v>109.346</v>
      </c>
      <c r="BA928">
        <v>0</v>
      </c>
      <c r="BB928">
        <v>0</v>
      </c>
      <c r="BC928">
        <v>0</v>
      </c>
      <c r="BD928">
        <v>0</v>
      </c>
    </row>
    <row r="929" spans="1:56" x14ac:dyDescent="0.25">
      <c r="A929" s="23">
        <v>46304</v>
      </c>
      <c r="B929">
        <v>928</v>
      </c>
      <c r="C929" t="s">
        <v>82</v>
      </c>
      <c r="D929" t="s">
        <v>83</v>
      </c>
      <c r="E929">
        <v>2</v>
      </c>
      <c r="F929">
        <v>180</v>
      </c>
      <c r="G929">
        <v>1</v>
      </c>
      <c r="H929" t="s">
        <v>96</v>
      </c>
      <c r="I929" t="s">
        <v>91</v>
      </c>
      <c r="J929" t="s">
        <v>97</v>
      </c>
      <c r="K929" t="s">
        <v>86</v>
      </c>
      <c r="L929" t="s">
        <v>71</v>
      </c>
      <c r="M929" t="s">
        <v>87</v>
      </c>
      <c r="O929" t="s">
        <v>88</v>
      </c>
      <c r="P929" t="s">
        <v>27</v>
      </c>
      <c r="Q929" t="s">
        <v>73</v>
      </c>
      <c r="R929" t="s">
        <v>76</v>
      </c>
      <c r="S929" t="s">
        <v>74</v>
      </c>
      <c r="T929" t="s">
        <v>75</v>
      </c>
      <c r="X929" t="s">
        <v>77</v>
      </c>
      <c r="Z929" t="s">
        <v>72</v>
      </c>
      <c r="AA929" t="s">
        <v>94</v>
      </c>
      <c r="AB929">
        <v>5</v>
      </c>
      <c r="AC929">
        <v>748776.68</v>
      </c>
      <c r="AD929">
        <v>8930475.6999999993</v>
      </c>
      <c r="AE929">
        <v>190.19</v>
      </c>
      <c r="AF929">
        <v>748776.68</v>
      </c>
      <c r="AG929">
        <v>8930475.6999999993</v>
      </c>
      <c r="AH929">
        <v>179.4</v>
      </c>
      <c r="AI929">
        <v>10.79</v>
      </c>
      <c r="AJ929">
        <v>0.6</v>
      </c>
      <c r="AK929">
        <v>3.37</v>
      </c>
      <c r="AL929">
        <v>2.93</v>
      </c>
      <c r="AM929">
        <v>0</v>
      </c>
      <c r="AN929">
        <v>0</v>
      </c>
      <c r="AO929">
        <v>358</v>
      </c>
      <c r="AP929">
        <v>3.42</v>
      </c>
      <c r="AQ929">
        <v>0.71</v>
      </c>
      <c r="AR929">
        <v>0.08</v>
      </c>
      <c r="AS929">
        <v>0.08</v>
      </c>
      <c r="AT929">
        <v>19.16</v>
      </c>
      <c r="AU929">
        <v>6.44</v>
      </c>
      <c r="AV929">
        <v>0.31</v>
      </c>
      <c r="AW929">
        <v>2.2999999999999998</v>
      </c>
      <c r="AX929">
        <v>0.14000000000000001</v>
      </c>
      <c r="AY929">
        <v>3.3</v>
      </c>
      <c r="AZ929">
        <v>109.054</v>
      </c>
      <c r="BA929">
        <v>0</v>
      </c>
      <c r="BB929">
        <v>0</v>
      </c>
      <c r="BC929">
        <v>0</v>
      </c>
      <c r="BD929">
        <v>0</v>
      </c>
    </row>
    <row r="930" spans="1:56" x14ac:dyDescent="0.25">
      <c r="A930" s="23">
        <v>46304</v>
      </c>
      <c r="B930">
        <v>929</v>
      </c>
      <c r="C930" t="s">
        <v>82</v>
      </c>
      <c r="D930" t="s">
        <v>83</v>
      </c>
      <c r="E930">
        <v>2</v>
      </c>
      <c r="F930">
        <v>180</v>
      </c>
      <c r="G930">
        <v>1</v>
      </c>
      <c r="H930" t="s">
        <v>96</v>
      </c>
      <c r="I930" t="s">
        <v>91</v>
      </c>
      <c r="J930" t="s">
        <v>97</v>
      </c>
      <c r="K930" t="s">
        <v>86</v>
      </c>
      <c r="L930" t="s">
        <v>71</v>
      </c>
      <c r="M930" t="s">
        <v>87</v>
      </c>
      <c r="O930" t="s">
        <v>88</v>
      </c>
      <c r="P930" t="s">
        <v>27</v>
      </c>
      <c r="Q930" t="s">
        <v>73</v>
      </c>
      <c r="R930" t="s">
        <v>76</v>
      </c>
      <c r="S930" t="s">
        <v>74</v>
      </c>
      <c r="T930" t="s">
        <v>75</v>
      </c>
      <c r="X930" t="s">
        <v>77</v>
      </c>
      <c r="Z930" t="s">
        <v>72</v>
      </c>
      <c r="AA930" t="s">
        <v>94</v>
      </c>
      <c r="AB930">
        <v>5</v>
      </c>
      <c r="AC930">
        <v>748773.85</v>
      </c>
      <c r="AD930">
        <v>8930473.8800000008</v>
      </c>
      <c r="AE930">
        <v>190.1</v>
      </c>
      <c r="AF930">
        <v>748773.85</v>
      </c>
      <c r="AG930">
        <v>8930473.8800000008</v>
      </c>
      <c r="AH930">
        <v>179.4</v>
      </c>
      <c r="AI930">
        <v>10.7</v>
      </c>
      <c r="AJ930">
        <v>0.6</v>
      </c>
      <c r="AK930">
        <v>3.37</v>
      </c>
      <c r="AL930">
        <v>2.93</v>
      </c>
      <c r="AM930">
        <v>0</v>
      </c>
      <c r="AN930">
        <v>0</v>
      </c>
      <c r="AO930">
        <v>358</v>
      </c>
      <c r="AP930">
        <v>3.42</v>
      </c>
      <c r="AQ930">
        <v>0.71</v>
      </c>
      <c r="AR930">
        <v>0.08</v>
      </c>
      <c r="AS930">
        <v>0.08</v>
      </c>
      <c r="AT930">
        <v>19.16</v>
      </c>
      <c r="AU930">
        <v>6.42</v>
      </c>
      <c r="AV930">
        <v>0.31</v>
      </c>
      <c r="AW930">
        <v>2.2999999999999998</v>
      </c>
      <c r="AX930">
        <v>7.0000000000000007E-2</v>
      </c>
      <c r="AY930">
        <v>3.3</v>
      </c>
      <c r="AZ930">
        <v>107.744</v>
      </c>
      <c r="BA930">
        <v>0</v>
      </c>
      <c r="BB930">
        <v>0</v>
      </c>
      <c r="BC930">
        <v>0</v>
      </c>
      <c r="BD930">
        <v>0</v>
      </c>
    </row>
    <row r="931" spans="1:56" x14ac:dyDescent="0.25">
      <c r="A931" s="23">
        <v>46304</v>
      </c>
      <c r="B931">
        <v>930</v>
      </c>
      <c r="C931" t="s">
        <v>82</v>
      </c>
      <c r="D931" t="s">
        <v>83</v>
      </c>
      <c r="E931">
        <v>2</v>
      </c>
      <c r="F931">
        <v>180</v>
      </c>
      <c r="G931">
        <v>1</v>
      </c>
      <c r="H931" t="s">
        <v>96</v>
      </c>
      <c r="I931" t="s">
        <v>91</v>
      </c>
      <c r="J931" t="s">
        <v>97</v>
      </c>
      <c r="K931" t="s">
        <v>86</v>
      </c>
      <c r="L931" t="s">
        <v>71</v>
      </c>
      <c r="M931" t="s">
        <v>87</v>
      </c>
      <c r="O931" t="s">
        <v>88</v>
      </c>
      <c r="P931" t="s">
        <v>27</v>
      </c>
      <c r="Q931" t="s">
        <v>73</v>
      </c>
      <c r="R931" t="s">
        <v>76</v>
      </c>
      <c r="S931" t="s">
        <v>74</v>
      </c>
      <c r="T931" t="s">
        <v>75</v>
      </c>
      <c r="X931" t="s">
        <v>77</v>
      </c>
      <c r="Z931" t="s">
        <v>72</v>
      </c>
      <c r="AA931" t="s">
        <v>94</v>
      </c>
      <c r="AB931">
        <v>5</v>
      </c>
      <c r="AC931">
        <v>748771.03</v>
      </c>
      <c r="AD931">
        <v>8930472.0399999991</v>
      </c>
      <c r="AE931">
        <v>189.96</v>
      </c>
      <c r="AF931">
        <v>748771.03</v>
      </c>
      <c r="AG931">
        <v>8930472.0399999991</v>
      </c>
      <c r="AH931">
        <v>179.4</v>
      </c>
      <c r="AI931">
        <v>10.56</v>
      </c>
      <c r="AJ931">
        <v>0.6</v>
      </c>
      <c r="AK931">
        <v>3.37</v>
      </c>
      <c r="AL931">
        <v>2.93</v>
      </c>
      <c r="AM931">
        <v>0</v>
      </c>
      <c r="AN931">
        <v>0</v>
      </c>
      <c r="AO931">
        <v>358</v>
      </c>
      <c r="AP931">
        <v>3.41</v>
      </c>
      <c r="AQ931">
        <v>0.7</v>
      </c>
      <c r="AR931">
        <v>0.08</v>
      </c>
      <c r="AS931">
        <v>0.08</v>
      </c>
      <c r="AT931">
        <v>19.309999999999999</v>
      </c>
      <c r="AU931">
        <v>6.38</v>
      </c>
      <c r="AV931">
        <v>0.32</v>
      </c>
      <c r="AW931">
        <v>2.21</v>
      </c>
      <c r="AX931">
        <v>1.59</v>
      </c>
      <c r="AY931">
        <v>3.3</v>
      </c>
      <c r="AZ931">
        <v>105.706</v>
      </c>
      <c r="BA931">
        <v>0</v>
      </c>
      <c r="BB931">
        <v>0</v>
      </c>
      <c r="BC931">
        <v>0</v>
      </c>
      <c r="BD931">
        <v>0</v>
      </c>
    </row>
    <row r="932" spans="1:56" x14ac:dyDescent="0.25">
      <c r="A932" s="23">
        <v>46304</v>
      </c>
      <c r="B932">
        <v>931</v>
      </c>
      <c r="C932" t="s">
        <v>82</v>
      </c>
      <c r="D932" t="s">
        <v>83</v>
      </c>
      <c r="E932">
        <v>2</v>
      </c>
      <c r="F932">
        <v>180</v>
      </c>
      <c r="G932">
        <v>1</v>
      </c>
      <c r="H932" t="s">
        <v>96</v>
      </c>
      <c r="I932" t="s">
        <v>91</v>
      </c>
      <c r="J932" t="s">
        <v>85</v>
      </c>
      <c r="K932" t="s">
        <v>86</v>
      </c>
      <c r="L932" t="s">
        <v>71</v>
      </c>
      <c r="M932" t="s">
        <v>87</v>
      </c>
      <c r="O932" t="s">
        <v>88</v>
      </c>
      <c r="P932" t="s">
        <v>27</v>
      </c>
      <c r="Q932" t="s">
        <v>73</v>
      </c>
      <c r="R932" t="s">
        <v>76</v>
      </c>
      <c r="S932" t="s">
        <v>74</v>
      </c>
      <c r="T932" t="s">
        <v>75</v>
      </c>
      <c r="X932" t="s">
        <v>77</v>
      </c>
      <c r="Z932" t="s">
        <v>72</v>
      </c>
      <c r="AA932" t="s">
        <v>94</v>
      </c>
      <c r="AB932">
        <v>5</v>
      </c>
      <c r="AC932">
        <v>748768.28</v>
      </c>
      <c r="AD932">
        <v>8930470.0899999999</v>
      </c>
      <c r="AE932">
        <v>189.8</v>
      </c>
      <c r="AF932">
        <v>748768.28</v>
      </c>
      <c r="AG932">
        <v>8930470.0899999999</v>
      </c>
      <c r="AH932">
        <v>179.4</v>
      </c>
      <c r="AI932">
        <v>10.4</v>
      </c>
      <c r="AJ932">
        <v>0.6</v>
      </c>
      <c r="AK932">
        <v>3.37</v>
      </c>
      <c r="AL932">
        <v>2.93</v>
      </c>
      <c r="AM932">
        <v>0</v>
      </c>
      <c r="AN932">
        <v>0</v>
      </c>
      <c r="AO932">
        <v>358</v>
      </c>
      <c r="AP932">
        <v>3.4</v>
      </c>
      <c r="AQ932">
        <v>0.72</v>
      </c>
      <c r="AR932">
        <v>0.1</v>
      </c>
      <c r="AS932">
        <v>0.09</v>
      </c>
      <c r="AT932">
        <v>20.37</v>
      </c>
      <c r="AU932">
        <v>6.39</v>
      </c>
      <c r="AV932">
        <v>0.37</v>
      </c>
      <c r="AW932">
        <v>1.94</v>
      </c>
      <c r="AX932">
        <v>7.44</v>
      </c>
      <c r="AY932">
        <v>3.3</v>
      </c>
      <c r="AZ932">
        <v>103.376</v>
      </c>
      <c r="BA932">
        <v>0</v>
      </c>
      <c r="BB932">
        <v>0</v>
      </c>
      <c r="BC932">
        <v>0</v>
      </c>
      <c r="BD932">
        <v>0</v>
      </c>
    </row>
    <row r="933" spans="1:56" x14ac:dyDescent="0.25">
      <c r="A933" s="23">
        <v>46304</v>
      </c>
      <c r="B933">
        <v>932</v>
      </c>
      <c r="C933" t="s">
        <v>82</v>
      </c>
      <c r="D933" t="s">
        <v>83</v>
      </c>
      <c r="E933">
        <v>2</v>
      </c>
      <c r="F933">
        <v>180</v>
      </c>
      <c r="G933">
        <v>1</v>
      </c>
      <c r="H933" t="s">
        <v>96</v>
      </c>
      <c r="I933" t="s">
        <v>91</v>
      </c>
      <c r="J933" t="s">
        <v>97</v>
      </c>
      <c r="K933" t="s">
        <v>86</v>
      </c>
      <c r="L933" t="s">
        <v>71</v>
      </c>
      <c r="M933" t="s">
        <v>87</v>
      </c>
      <c r="O933" t="s">
        <v>88</v>
      </c>
      <c r="P933" t="s">
        <v>27</v>
      </c>
      <c r="Q933" t="s">
        <v>73</v>
      </c>
      <c r="R933" t="s">
        <v>76</v>
      </c>
      <c r="S933" t="s">
        <v>74</v>
      </c>
      <c r="T933" t="s">
        <v>75</v>
      </c>
      <c r="X933" t="s">
        <v>77</v>
      </c>
      <c r="Z933" t="s">
        <v>72</v>
      </c>
      <c r="AA933" t="s">
        <v>94</v>
      </c>
      <c r="AB933">
        <v>5</v>
      </c>
      <c r="AC933">
        <v>748765.59</v>
      </c>
      <c r="AD933">
        <v>8930468.0600000005</v>
      </c>
      <c r="AE933">
        <v>189.78</v>
      </c>
      <c r="AF933">
        <v>748765.59</v>
      </c>
      <c r="AG933">
        <v>8930468.0600000005</v>
      </c>
      <c r="AH933">
        <v>179.4</v>
      </c>
      <c r="AI933">
        <v>10.38</v>
      </c>
      <c r="AJ933">
        <v>0.6</v>
      </c>
      <c r="AK933">
        <v>3.37</v>
      </c>
      <c r="AL933">
        <v>2.93</v>
      </c>
      <c r="AM933">
        <v>0</v>
      </c>
      <c r="AN933">
        <v>0</v>
      </c>
      <c r="AO933">
        <v>358</v>
      </c>
      <c r="AP933">
        <v>3.42</v>
      </c>
      <c r="AQ933">
        <v>0.77</v>
      </c>
      <c r="AR933">
        <v>0.11</v>
      </c>
      <c r="AS933">
        <v>0.1</v>
      </c>
      <c r="AT933">
        <v>20.97</v>
      </c>
      <c r="AU933">
        <v>6.52</v>
      </c>
      <c r="AV933">
        <v>0.38</v>
      </c>
      <c r="AW933">
        <v>2.0299999999999998</v>
      </c>
      <c r="AX933">
        <v>7.4</v>
      </c>
      <c r="AY933">
        <v>3.3</v>
      </c>
      <c r="AZ933">
        <v>103.08499999999999</v>
      </c>
      <c r="BA933">
        <v>0</v>
      </c>
      <c r="BB933">
        <v>0</v>
      </c>
      <c r="BC933">
        <v>0</v>
      </c>
      <c r="BD933">
        <v>0</v>
      </c>
    </row>
    <row r="934" spans="1:56" x14ac:dyDescent="0.25">
      <c r="A934" s="23">
        <v>46304</v>
      </c>
      <c r="B934">
        <v>933</v>
      </c>
      <c r="C934" t="s">
        <v>82</v>
      </c>
      <c r="D934" t="s">
        <v>83</v>
      </c>
      <c r="E934">
        <v>2</v>
      </c>
      <c r="F934">
        <v>180</v>
      </c>
      <c r="G934">
        <v>1</v>
      </c>
      <c r="H934" t="s">
        <v>96</v>
      </c>
      <c r="I934" t="s">
        <v>91</v>
      </c>
      <c r="J934" t="s">
        <v>97</v>
      </c>
      <c r="K934" t="s">
        <v>86</v>
      </c>
      <c r="L934" t="s">
        <v>71</v>
      </c>
      <c r="M934" t="s">
        <v>87</v>
      </c>
      <c r="O934" t="s">
        <v>88</v>
      </c>
      <c r="P934" t="s">
        <v>27</v>
      </c>
      <c r="Q934" t="s">
        <v>73</v>
      </c>
      <c r="R934" t="s">
        <v>76</v>
      </c>
      <c r="S934" t="s">
        <v>74</v>
      </c>
      <c r="T934" t="s">
        <v>75</v>
      </c>
      <c r="X934" t="s">
        <v>77</v>
      </c>
      <c r="Z934" t="s">
        <v>72</v>
      </c>
      <c r="AA934" t="s">
        <v>94</v>
      </c>
      <c r="AB934">
        <v>5</v>
      </c>
      <c r="AC934">
        <v>748762.91</v>
      </c>
      <c r="AD934">
        <v>8930466.0199999996</v>
      </c>
      <c r="AE934">
        <v>189.65</v>
      </c>
      <c r="AF934">
        <v>748762.91</v>
      </c>
      <c r="AG934">
        <v>8930466.0199999996</v>
      </c>
      <c r="AH934">
        <v>179.4</v>
      </c>
      <c r="AI934">
        <v>10.25</v>
      </c>
      <c r="AJ934">
        <v>0.6</v>
      </c>
      <c r="AK934">
        <v>3.37</v>
      </c>
      <c r="AL934">
        <v>2.93</v>
      </c>
      <c r="AM934">
        <v>0</v>
      </c>
      <c r="AN934">
        <v>0</v>
      </c>
      <c r="AO934">
        <v>358</v>
      </c>
      <c r="AP934">
        <v>3.42</v>
      </c>
      <c r="AQ934">
        <v>0.78</v>
      </c>
      <c r="AR934">
        <v>0.11</v>
      </c>
      <c r="AS934">
        <v>0.1</v>
      </c>
      <c r="AT934">
        <v>20.98</v>
      </c>
      <c r="AU934">
        <v>6.52</v>
      </c>
      <c r="AV934">
        <v>0.38</v>
      </c>
      <c r="AW934">
        <v>2.0299999999999998</v>
      </c>
      <c r="AX934">
        <v>7.4</v>
      </c>
      <c r="AY934">
        <v>3.3</v>
      </c>
      <c r="AZ934">
        <v>101.19199999999999</v>
      </c>
      <c r="BA934">
        <v>0</v>
      </c>
      <c r="BB934">
        <v>0</v>
      </c>
      <c r="BC934">
        <v>0</v>
      </c>
      <c r="BD934">
        <v>0</v>
      </c>
    </row>
    <row r="935" spans="1:56" x14ac:dyDescent="0.25">
      <c r="A935" s="23">
        <v>46304</v>
      </c>
      <c r="B935">
        <v>934</v>
      </c>
      <c r="C935" t="s">
        <v>82</v>
      </c>
      <c r="D935" t="s">
        <v>83</v>
      </c>
      <c r="E935">
        <v>2</v>
      </c>
      <c r="F935">
        <v>180</v>
      </c>
      <c r="G935">
        <v>1</v>
      </c>
      <c r="H935" t="s">
        <v>95</v>
      </c>
      <c r="I935" t="s">
        <v>91</v>
      </c>
      <c r="J935" t="s">
        <v>97</v>
      </c>
      <c r="K935" t="s">
        <v>86</v>
      </c>
      <c r="L935" t="s">
        <v>71</v>
      </c>
      <c r="M935" t="s">
        <v>87</v>
      </c>
      <c r="O935" t="s">
        <v>88</v>
      </c>
      <c r="P935" t="s">
        <v>27</v>
      </c>
      <c r="Q935" t="s">
        <v>73</v>
      </c>
      <c r="R935" t="s">
        <v>76</v>
      </c>
      <c r="S935" t="s">
        <v>74</v>
      </c>
      <c r="T935" t="s">
        <v>75</v>
      </c>
      <c r="X935" t="s">
        <v>77</v>
      </c>
      <c r="Z935" t="s">
        <v>72</v>
      </c>
      <c r="AA935" t="s">
        <v>94</v>
      </c>
      <c r="AB935">
        <v>5</v>
      </c>
      <c r="AC935">
        <v>748760.22</v>
      </c>
      <c r="AD935">
        <v>8930463.9900000002</v>
      </c>
      <c r="AE935">
        <v>189.66</v>
      </c>
      <c r="AF935">
        <v>748760.22</v>
      </c>
      <c r="AG935">
        <v>8930463.9900000002</v>
      </c>
      <c r="AH935">
        <v>179.4</v>
      </c>
      <c r="AI935">
        <v>10.26</v>
      </c>
      <c r="AJ935">
        <v>0.6</v>
      </c>
      <c r="AK935">
        <v>3.37</v>
      </c>
      <c r="AL935">
        <v>2.93</v>
      </c>
      <c r="AM935">
        <v>0</v>
      </c>
      <c r="AN935">
        <v>0</v>
      </c>
      <c r="AO935">
        <v>358</v>
      </c>
      <c r="AP935">
        <v>3.43</v>
      </c>
      <c r="AQ935">
        <v>0.72</v>
      </c>
      <c r="AR935">
        <v>0.1</v>
      </c>
      <c r="AS935">
        <v>0.09</v>
      </c>
      <c r="AT935">
        <v>20.14</v>
      </c>
      <c r="AU935">
        <v>5.96</v>
      </c>
      <c r="AV935">
        <v>0.37</v>
      </c>
      <c r="AW935">
        <v>1.94</v>
      </c>
      <c r="AX935">
        <v>7.48</v>
      </c>
      <c r="AY935">
        <v>3.3</v>
      </c>
      <c r="AZ935">
        <v>101.33799999999999</v>
      </c>
      <c r="BA935">
        <v>0</v>
      </c>
      <c r="BB935">
        <v>0</v>
      </c>
      <c r="BC935">
        <v>0</v>
      </c>
      <c r="BD935">
        <v>0</v>
      </c>
    </row>
    <row r="936" spans="1:56" x14ac:dyDescent="0.25">
      <c r="A936" s="23">
        <v>46304</v>
      </c>
      <c r="B936">
        <v>935</v>
      </c>
      <c r="C936" t="s">
        <v>82</v>
      </c>
      <c r="D936" t="s">
        <v>83</v>
      </c>
      <c r="E936">
        <v>2</v>
      </c>
      <c r="F936">
        <v>180</v>
      </c>
      <c r="G936">
        <v>1</v>
      </c>
      <c r="H936" t="s">
        <v>95</v>
      </c>
      <c r="I936" t="s">
        <v>91</v>
      </c>
      <c r="J936" t="s">
        <v>85</v>
      </c>
      <c r="K936" t="s">
        <v>86</v>
      </c>
      <c r="L936" t="s">
        <v>71</v>
      </c>
      <c r="M936" t="s">
        <v>87</v>
      </c>
      <c r="O936" t="s">
        <v>88</v>
      </c>
      <c r="P936" t="s">
        <v>27</v>
      </c>
      <c r="Q936" t="s">
        <v>73</v>
      </c>
      <c r="R936" t="s">
        <v>76</v>
      </c>
      <c r="S936" t="s">
        <v>74</v>
      </c>
      <c r="T936" t="s">
        <v>75</v>
      </c>
      <c r="X936" t="s">
        <v>77</v>
      </c>
      <c r="Z936" t="s">
        <v>72</v>
      </c>
      <c r="AA936" t="s">
        <v>94</v>
      </c>
      <c r="AB936">
        <v>5</v>
      </c>
      <c r="AC936">
        <v>748756.76</v>
      </c>
      <c r="AD936">
        <v>8930461.9700000007</v>
      </c>
      <c r="AE936">
        <v>189.68</v>
      </c>
      <c r="AF936">
        <v>748756.76</v>
      </c>
      <c r="AG936">
        <v>8930461.9700000007</v>
      </c>
      <c r="AH936">
        <v>179.4</v>
      </c>
      <c r="AI936">
        <v>10.28</v>
      </c>
      <c r="AJ936">
        <v>0.6</v>
      </c>
      <c r="AK936">
        <v>3.37</v>
      </c>
      <c r="AL936">
        <v>2.93</v>
      </c>
      <c r="AM936">
        <v>0</v>
      </c>
      <c r="AN936">
        <v>0</v>
      </c>
      <c r="AO936">
        <v>358</v>
      </c>
      <c r="AP936">
        <v>3.46</v>
      </c>
      <c r="AQ936">
        <v>0.65</v>
      </c>
      <c r="AR936">
        <v>0.09</v>
      </c>
      <c r="AS936">
        <v>0.08</v>
      </c>
      <c r="AT936">
        <v>19.07</v>
      </c>
      <c r="AU936">
        <v>5.24</v>
      </c>
      <c r="AV936">
        <v>0.36</v>
      </c>
      <c r="AW936">
        <v>1.82</v>
      </c>
      <c r="AX936">
        <v>7.59</v>
      </c>
      <c r="AY936">
        <v>3.3</v>
      </c>
      <c r="AZ936">
        <v>101.629</v>
      </c>
      <c r="BA936">
        <v>0</v>
      </c>
      <c r="BB936">
        <v>0</v>
      </c>
      <c r="BC936">
        <v>0</v>
      </c>
      <c r="BD936">
        <v>0</v>
      </c>
    </row>
    <row r="937" spans="1:56" x14ac:dyDescent="0.25">
      <c r="A937" s="23">
        <v>46304</v>
      </c>
      <c r="B937">
        <v>936</v>
      </c>
      <c r="C937" t="s">
        <v>82</v>
      </c>
      <c r="D937" t="s">
        <v>83</v>
      </c>
      <c r="E937">
        <v>2</v>
      </c>
      <c r="F937">
        <v>180</v>
      </c>
      <c r="G937">
        <v>1</v>
      </c>
      <c r="H937" t="s">
        <v>95</v>
      </c>
      <c r="I937" t="s">
        <v>91</v>
      </c>
      <c r="J937" t="s">
        <v>85</v>
      </c>
      <c r="K937" t="s">
        <v>86</v>
      </c>
      <c r="L937" t="s">
        <v>71</v>
      </c>
      <c r="M937" t="s">
        <v>87</v>
      </c>
      <c r="O937" t="s">
        <v>88</v>
      </c>
      <c r="P937" t="s">
        <v>27</v>
      </c>
      <c r="Q937" t="s">
        <v>73</v>
      </c>
      <c r="R937" t="s">
        <v>76</v>
      </c>
      <c r="S937" t="s">
        <v>74</v>
      </c>
      <c r="T937" t="s">
        <v>75</v>
      </c>
      <c r="X937" t="s">
        <v>77</v>
      </c>
      <c r="Z937" t="s">
        <v>72</v>
      </c>
      <c r="AA937" t="s">
        <v>94</v>
      </c>
      <c r="AB937">
        <v>5</v>
      </c>
      <c r="AC937">
        <v>748754.21</v>
      </c>
      <c r="AD937">
        <v>8930459.7899999991</v>
      </c>
      <c r="AE937">
        <v>189.75</v>
      </c>
      <c r="AF937">
        <v>748754.21</v>
      </c>
      <c r="AG937">
        <v>8930459.7899999991</v>
      </c>
      <c r="AH937">
        <v>179.4</v>
      </c>
      <c r="AI937">
        <v>10.35</v>
      </c>
      <c r="AJ937">
        <v>0.6</v>
      </c>
      <c r="AK937">
        <v>3.37</v>
      </c>
      <c r="AL937">
        <v>2.93</v>
      </c>
      <c r="AM937">
        <v>0</v>
      </c>
      <c r="AN937">
        <v>0</v>
      </c>
      <c r="AO937">
        <v>358</v>
      </c>
      <c r="AP937">
        <v>3.47</v>
      </c>
      <c r="AQ937">
        <v>0.64</v>
      </c>
      <c r="AR937">
        <v>0.1</v>
      </c>
      <c r="AS937">
        <v>0.09</v>
      </c>
      <c r="AT937">
        <v>20.43</v>
      </c>
      <c r="AU937">
        <v>5.64</v>
      </c>
      <c r="AV937">
        <v>0.35</v>
      </c>
      <c r="AW937">
        <v>1.82</v>
      </c>
      <c r="AX937">
        <v>7.95</v>
      </c>
      <c r="AY937">
        <v>3.3</v>
      </c>
      <c r="AZ937">
        <v>102.648</v>
      </c>
      <c r="BA937">
        <v>0</v>
      </c>
      <c r="BB937">
        <v>0</v>
      </c>
      <c r="BC937">
        <v>0</v>
      </c>
      <c r="BD937">
        <v>0</v>
      </c>
    </row>
    <row r="938" spans="1:56" x14ac:dyDescent="0.25">
      <c r="A938" s="23">
        <v>46304</v>
      </c>
      <c r="B938">
        <v>937</v>
      </c>
      <c r="C938" t="s">
        <v>82</v>
      </c>
      <c r="D938" t="s">
        <v>83</v>
      </c>
      <c r="E938">
        <v>2</v>
      </c>
      <c r="F938">
        <v>180</v>
      </c>
      <c r="G938">
        <v>1</v>
      </c>
      <c r="H938" t="s">
        <v>95</v>
      </c>
      <c r="I938" t="s">
        <v>91</v>
      </c>
      <c r="J938" t="s">
        <v>85</v>
      </c>
      <c r="K938" t="s">
        <v>86</v>
      </c>
      <c r="L938" t="s">
        <v>71</v>
      </c>
      <c r="M938" t="s">
        <v>87</v>
      </c>
      <c r="O938" t="s">
        <v>88</v>
      </c>
      <c r="P938" t="s">
        <v>27</v>
      </c>
      <c r="Q938" t="s">
        <v>73</v>
      </c>
      <c r="R938" t="s">
        <v>76</v>
      </c>
      <c r="S938" t="s">
        <v>74</v>
      </c>
      <c r="T938" t="s">
        <v>75</v>
      </c>
      <c r="X938" t="s">
        <v>77</v>
      </c>
      <c r="Z938" t="s">
        <v>72</v>
      </c>
      <c r="AA938" t="s">
        <v>94</v>
      </c>
      <c r="AB938">
        <v>5</v>
      </c>
      <c r="AC938">
        <v>748751.91</v>
      </c>
      <c r="AD938">
        <v>8930457.3399999999</v>
      </c>
      <c r="AE938">
        <v>189.96</v>
      </c>
      <c r="AF938">
        <v>748751.91</v>
      </c>
      <c r="AG938">
        <v>8930457.3399999999</v>
      </c>
      <c r="AH938">
        <v>179.4</v>
      </c>
      <c r="AI938">
        <v>10.56</v>
      </c>
      <c r="AJ938">
        <v>0.6</v>
      </c>
      <c r="AK938">
        <v>3.37</v>
      </c>
      <c r="AL938">
        <v>2.93</v>
      </c>
      <c r="AM938">
        <v>0</v>
      </c>
      <c r="AN938">
        <v>0</v>
      </c>
      <c r="AO938">
        <v>358</v>
      </c>
      <c r="AP938">
        <v>3.47</v>
      </c>
      <c r="AQ938">
        <v>0.64</v>
      </c>
      <c r="AR938">
        <v>0.11</v>
      </c>
      <c r="AS938">
        <v>0.09</v>
      </c>
      <c r="AT938">
        <v>21.48</v>
      </c>
      <c r="AU938">
        <v>5.95</v>
      </c>
      <c r="AV938">
        <v>0.35</v>
      </c>
      <c r="AW938">
        <v>1.83</v>
      </c>
      <c r="AX938">
        <v>8.2200000000000006</v>
      </c>
      <c r="AY938">
        <v>3.3</v>
      </c>
      <c r="AZ938">
        <v>105.706</v>
      </c>
      <c r="BA938">
        <v>0</v>
      </c>
      <c r="BB938">
        <v>0</v>
      </c>
      <c r="BC938">
        <v>0</v>
      </c>
      <c r="BD938">
        <v>0</v>
      </c>
    </row>
    <row r="939" spans="1:56" x14ac:dyDescent="0.25">
      <c r="A939" s="23">
        <v>46304</v>
      </c>
      <c r="B939">
        <v>938</v>
      </c>
      <c r="C939" t="s">
        <v>82</v>
      </c>
      <c r="D939" t="s">
        <v>83</v>
      </c>
      <c r="E939">
        <v>2</v>
      </c>
      <c r="F939">
        <v>180</v>
      </c>
      <c r="G939">
        <v>1</v>
      </c>
      <c r="H939" t="s">
        <v>84</v>
      </c>
      <c r="I939" t="s">
        <v>91</v>
      </c>
      <c r="J939" t="s">
        <v>85</v>
      </c>
      <c r="K939" t="s">
        <v>86</v>
      </c>
      <c r="L939" t="s">
        <v>71</v>
      </c>
      <c r="M939" t="s">
        <v>87</v>
      </c>
      <c r="O939" t="s">
        <v>88</v>
      </c>
      <c r="P939" t="s">
        <v>27</v>
      </c>
      <c r="Q939" t="s">
        <v>73</v>
      </c>
      <c r="R939" t="s">
        <v>76</v>
      </c>
      <c r="S939" t="s">
        <v>74</v>
      </c>
      <c r="T939" t="s">
        <v>75</v>
      </c>
      <c r="X939" t="s">
        <v>77</v>
      </c>
      <c r="Z939" t="s">
        <v>72</v>
      </c>
      <c r="AA939" t="s">
        <v>94</v>
      </c>
      <c r="AB939">
        <v>5</v>
      </c>
      <c r="AC939">
        <v>748750.26</v>
      </c>
      <c r="AD939">
        <v>8930454.5600000005</v>
      </c>
      <c r="AE939">
        <v>190</v>
      </c>
      <c r="AF939">
        <v>748750.26</v>
      </c>
      <c r="AG939">
        <v>8930454.5600000005</v>
      </c>
      <c r="AH939">
        <v>179.4</v>
      </c>
      <c r="AI939">
        <v>10.6</v>
      </c>
      <c r="AJ939">
        <v>0.6</v>
      </c>
      <c r="AK939">
        <v>3.37</v>
      </c>
      <c r="AL939">
        <v>2.93</v>
      </c>
      <c r="AM939">
        <v>0</v>
      </c>
      <c r="AN939">
        <v>0</v>
      </c>
      <c r="AO939">
        <v>358</v>
      </c>
      <c r="AP939">
        <v>3.47</v>
      </c>
      <c r="AQ939">
        <v>0.65</v>
      </c>
      <c r="AR939">
        <v>0.1</v>
      </c>
      <c r="AS939">
        <v>0.09</v>
      </c>
      <c r="AT939">
        <v>20.89</v>
      </c>
      <c r="AU939">
        <v>5.96</v>
      </c>
      <c r="AV939">
        <v>0.36</v>
      </c>
      <c r="AW939">
        <v>1.81</v>
      </c>
      <c r="AX939">
        <v>7.92</v>
      </c>
      <c r="AY939">
        <v>3.3</v>
      </c>
      <c r="AZ939">
        <v>106.288</v>
      </c>
      <c r="BA939">
        <v>0</v>
      </c>
      <c r="BB939">
        <v>0</v>
      </c>
      <c r="BC939">
        <v>0</v>
      </c>
      <c r="BD939">
        <v>0</v>
      </c>
    </row>
    <row r="940" spans="1:56" x14ac:dyDescent="0.25">
      <c r="A940" s="23">
        <v>46304</v>
      </c>
      <c r="B940">
        <v>939</v>
      </c>
      <c r="C940" t="s">
        <v>82</v>
      </c>
      <c r="D940" t="s">
        <v>83</v>
      </c>
      <c r="E940">
        <v>2</v>
      </c>
      <c r="F940">
        <v>180</v>
      </c>
      <c r="G940">
        <v>1</v>
      </c>
      <c r="H940" t="s">
        <v>84</v>
      </c>
      <c r="I940" t="s">
        <v>91</v>
      </c>
      <c r="J940" t="s">
        <v>85</v>
      </c>
      <c r="K940" t="s">
        <v>86</v>
      </c>
      <c r="L940" t="s">
        <v>71</v>
      </c>
      <c r="M940" t="s">
        <v>87</v>
      </c>
      <c r="O940" t="s">
        <v>88</v>
      </c>
      <c r="P940" t="s">
        <v>27</v>
      </c>
      <c r="Q940" t="s">
        <v>73</v>
      </c>
      <c r="R940" t="s">
        <v>76</v>
      </c>
      <c r="S940" t="s">
        <v>74</v>
      </c>
      <c r="T940" t="s">
        <v>75</v>
      </c>
      <c r="X940" t="s">
        <v>77</v>
      </c>
      <c r="Z940" t="s">
        <v>72</v>
      </c>
      <c r="AA940" t="s">
        <v>94</v>
      </c>
      <c r="AB940">
        <v>5</v>
      </c>
      <c r="AC940">
        <v>748748.09</v>
      </c>
      <c r="AD940">
        <v>8930452.1799999997</v>
      </c>
      <c r="AE940">
        <v>189.25</v>
      </c>
      <c r="AF940">
        <v>748748.09</v>
      </c>
      <c r="AG940">
        <v>8930452.1799999997</v>
      </c>
      <c r="AH940">
        <v>179.4</v>
      </c>
      <c r="AI940">
        <v>9.85</v>
      </c>
      <c r="AJ940">
        <v>0.6</v>
      </c>
      <c r="AK940">
        <v>3.37</v>
      </c>
      <c r="AL940">
        <v>2.93</v>
      </c>
      <c r="AM940">
        <v>0</v>
      </c>
      <c r="AN940">
        <v>0</v>
      </c>
      <c r="AO940">
        <v>358</v>
      </c>
      <c r="AP940">
        <v>3.42</v>
      </c>
      <c r="AQ940">
        <v>0.63</v>
      </c>
      <c r="AR940">
        <v>0.09</v>
      </c>
      <c r="AS940">
        <v>0.08</v>
      </c>
      <c r="AT940">
        <v>19.28</v>
      </c>
      <c r="AU940">
        <v>5.75</v>
      </c>
      <c r="AV940">
        <v>0.35</v>
      </c>
      <c r="AW940">
        <v>1.73</v>
      </c>
      <c r="AX940">
        <v>7.2</v>
      </c>
      <c r="AY940">
        <v>3.3</v>
      </c>
      <c r="AZ940">
        <v>95.367999999999995</v>
      </c>
      <c r="BA940">
        <v>0</v>
      </c>
      <c r="BB940">
        <v>0</v>
      </c>
      <c r="BC940">
        <v>0</v>
      </c>
      <c r="BD940">
        <v>0</v>
      </c>
    </row>
    <row r="941" spans="1:56" x14ac:dyDescent="0.25">
      <c r="A941" s="23">
        <v>46304</v>
      </c>
      <c r="B941">
        <v>940</v>
      </c>
      <c r="C941" t="s">
        <v>82</v>
      </c>
      <c r="D941" t="s">
        <v>83</v>
      </c>
      <c r="E941">
        <v>2</v>
      </c>
      <c r="F941">
        <v>180</v>
      </c>
      <c r="G941">
        <v>1</v>
      </c>
      <c r="H941" t="s">
        <v>84</v>
      </c>
      <c r="I941" t="s">
        <v>91</v>
      </c>
      <c r="J941" t="s">
        <v>85</v>
      </c>
      <c r="K941" t="s">
        <v>86</v>
      </c>
      <c r="L941" t="s">
        <v>71</v>
      </c>
      <c r="M941" t="s">
        <v>87</v>
      </c>
      <c r="O941" t="s">
        <v>88</v>
      </c>
      <c r="P941" t="s">
        <v>27</v>
      </c>
      <c r="Q941" t="s">
        <v>73</v>
      </c>
      <c r="R941" t="s">
        <v>76</v>
      </c>
      <c r="S941" t="s">
        <v>74</v>
      </c>
      <c r="T941" t="s">
        <v>75</v>
      </c>
      <c r="X941" t="s">
        <v>77</v>
      </c>
      <c r="Z941" t="s">
        <v>72</v>
      </c>
      <c r="AA941" t="s">
        <v>94</v>
      </c>
      <c r="AB941">
        <v>5</v>
      </c>
      <c r="AC941">
        <v>748750.44</v>
      </c>
      <c r="AD941">
        <v>8930450.2699999996</v>
      </c>
      <c r="AE941">
        <v>189.99</v>
      </c>
      <c r="AF941">
        <v>748750.44</v>
      </c>
      <c r="AG941">
        <v>8930450.2699999996</v>
      </c>
      <c r="AH941">
        <v>179.4</v>
      </c>
      <c r="AI941">
        <v>10.59</v>
      </c>
      <c r="AJ941">
        <v>0.6</v>
      </c>
      <c r="AK941">
        <v>3.37</v>
      </c>
      <c r="AL941">
        <v>2.93</v>
      </c>
      <c r="AM941">
        <v>0</v>
      </c>
      <c r="AN941">
        <v>0</v>
      </c>
      <c r="AO941">
        <v>358</v>
      </c>
      <c r="AP941">
        <v>3.47</v>
      </c>
      <c r="AQ941">
        <v>0.69</v>
      </c>
      <c r="AR941">
        <v>0.11</v>
      </c>
      <c r="AS941">
        <v>0.09</v>
      </c>
      <c r="AT941">
        <v>21.04</v>
      </c>
      <c r="AU941">
        <v>6.19</v>
      </c>
      <c r="AV941">
        <v>0.36</v>
      </c>
      <c r="AW941">
        <v>1.9</v>
      </c>
      <c r="AX941">
        <v>7.74</v>
      </c>
      <c r="AY941">
        <v>3.3</v>
      </c>
      <c r="AZ941">
        <v>106.142</v>
      </c>
      <c r="BA941">
        <v>0</v>
      </c>
      <c r="BB941">
        <v>0</v>
      </c>
      <c r="BC941">
        <v>0</v>
      </c>
      <c r="BD941">
        <v>0</v>
      </c>
    </row>
    <row r="942" spans="1:56" x14ac:dyDescent="0.25">
      <c r="A942" s="23">
        <v>46304</v>
      </c>
      <c r="B942">
        <v>941</v>
      </c>
      <c r="C942" t="s">
        <v>82</v>
      </c>
      <c r="D942" t="s">
        <v>83</v>
      </c>
      <c r="E942">
        <v>2</v>
      </c>
      <c r="F942">
        <v>180</v>
      </c>
      <c r="G942">
        <v>1</v>
      </c>
      <c r="H942" t="s">
        <v>84</v>
      </c>
      <c r="I942" t="s">
        <v>91</v>
      </c>
      <c r="J942" t="s">
        <v>85</v>
      </c>
      <c r="K942" t="s">
        <v>86</v>
      </c>
      <c r="L942" t="s">
        <v>71</v>
      </c>
      <c r="M942" t="s">
        <v>87</v>
      </c>
      <c r="O942" t="s">
        <v>88</v>
      </c>
      <c r="P942" t="s">
        <v>27</v>
      </c>
      <c r="Q942" t="s">
        <v>73</v>
      </c>
      <c r="R942" t="s">
        <v>76</v>
      </c>
      <c r="S942" t="s">
        <v>74</v>
      </c>
      <c r="T942" t="s">
        <v>75</v>
      </c>
      <c r="X942" t="s">
        <v>77</v>
      </c>
      <c r="Z942" t="s">
        <v>72</v>
      </c>
      <c r="AA942" t="s">
        <v>94</v>
      </c>
      <c r="AB942">
        <v>5</v>
      </c>
      <c r="AC942">
        <v>748752.41</v>
      </c>
      <c r="AD942">
        <v>8930453.0099999998</v>
      </c>
      <c r="AE942">
        <v>190.03</v>
      </c>
      <c r="AF942">
        <v>748752.41</v>
      </c>
      <c r="AG942">
        <v>8930453.0099999998</v>
      </c>
      <c r="AH942">
        <v>179.4</v>
      </c>
      <c r="AI942">
        <v>10.63</v>
      </c>
      <c r="AJ942">
        <v>0.6</v>
      </c>
      <c r="AK942">
        <v>3.37</v>
      </c>
      <c r="AL942">
        <v>2.93</v>
      </c>
      <c r="AM942">
        <v>0</v>
      </c>
      <c r="AN942">
        <v>0</v>
      </c>
      <c r="AO942">
        <v>358</v>
      </c>
      <c r="AP942">
        <v>3.48</v>
      </c>
      <c r="AQ942">
        <v>0.64</v>
      </c>
      <c r="AR942">
        <v>0.11</v>
      </c>
      <c r="AS942">
        <v>0.09</v>
      </c>
      <c r="AT942">
        <v>21.5</v>
      </c>
      <c r="AU942">
        <v>5.95</v>
      </c>
      <c r="AV942">
        <v>0.35</v>
      </c>
      <c r="AW942">
        <v>1.83</v>
      </c>
      <c r="AX942">
        <v>8.23</v>
      </c>
      <c r="AY942">
        <v>3.3</v>
      </c>
      <c r="AZ942">
        <v>106.72499999999999</v>
      </c>
      <c r="BA942">
        <v>0</v>
      </c>
      <c r="BB942">
        <v>0</v>
      </c>
      <c r="BC942">
        <v>0</v>
      </c>
      <c r="BD942">
        <v>0</v>
      </c>
    </row>
    <row r="943" spans="1:56" x14ac:dyDescent="0.25">
      <c r="A943" s="23">
        <v>46304</v>
      </c>
      <c r="B943">
        <v>942</v>
      </c>
      <c r="C943" t="s">
        <v>82</v>
      </c>
      <c r="D943" t="s">
        <v>83</v>
      </c>
      <c r="E943">
        <v>2</v>
      </c>
      <c r="F943">
        <v>180</v>
      </c>
      <c r="G943">
        <v>1</v>
      </c>
      <c r="H943" t="s">
        <v>95</v>
      </c>
      <c r="I943" t="s">
        <v>91</v>
      </c>
      <c r="J943" t="s">
        <v>85</v>
      </c>
      <c r="K943" t="s">
        <v>86</v>
      </c>
      <c r="L943" t="s">
        <v>71</v>
      </c>
      <c r="M943" t="s">
        <v>87</v>
      </c>
      <c r="O943" t="s">
        <v>88</v>
      </c>
      <c r="P943" t="s">
        <v>27</v>
      </c>
      <c r="Q943" t="s">
        <v>73</v>
      </c>
      <c r="R943" t="s">
        <v>76</v>
      </c>
      <c r="S943" t="s">
        <v>74</v>
      </c>
      <c r="T943" t="s">
        <v>75</v>
      </c>
      <c r="X943" t="s">
        <v>77</v>
      </c>
      <c r="Z943" t="s">
        <v>72</v>
      </c>
      <c r="AA943" t="s">
        <v>94</v>
      </c>
      <c r="AB943">
        <v>5</v>
      </c>
      <c r="AC943">
        <v>748754.22</v>
      </c>
      <c r="AD943">
        <v>8930455.7300000004</v>
      </c>
      <c r="AE943">
        <v>189.96</v>
      </c>
      <c r="AF943">
        <v>748754.22</v>
      </c>
      <c r="AG943">
        <v>8930455.7300000004</v>
      </c>
      <c r="AH943">
        <v>179.4</v>
      </c>
      <c r="AI943">
        <v>10.56</v>
      </c>
      <c r="AJ943">
        <v>0.6</v>
      </c>
      <c r="AK943">
        <v>3.37</v>
      </c>
      <c r="AL943">
        <v>2.93</v>
      </c>
      <c r="AM943">
        <v>0</v>
      </c>
      <c r="AN943">
        <v>0</v>
      </c>
      <c r="AO943">
        <v>358</v>
      </c>
      <c r="AP943">
        <v>3.48</v>
      </c>
      <c r="AQ943">
        <v>0.64</v>
      </c>
      <c r="AR943">
        <v>0.11</v>
      </c>
      <c r="AS943">
        <v>0.09</v>
      </c>
      <c r="AT943">
        <v>21.5</v>
      </c>
      <c r="AU943">
        <v>5.95</v>
      </c>
      <c r="AV943">
        <v>0.35</v>
      </c>
      <c r="AW943">
        <v>1.83</v>
      </c>
      <c r="AX943">
        <v>8.23</v>
      </c>
      <c r="AY943">
        <v>3.3</v>
      </c>
      <c r="AZ943">
        <v>105.706</v>
      </c>
      <c r="BA943">
        <v>0</v>
      </c>
      <c r="BB943">
        <v>0</v>
      </c>
      <c r="BC943">
        <v>0</v>
      </c>
      <c r="BD943">
        <v>0</v>
      </c>
    </row>
    <row r="944" spans="1:56" x14ac:dyDescent="0.25">
      <c r="A944" s="23">
        <v>46304</v>
      </c>
      <c r="B944">
        <v>943</v>
      </c>
      <c r="C944" t="s">
        <v>82</v>
      </c>
      <c r="D944" t="s">
        <v>83</v>
      </c>
      <c r="E944">
        <v>2</v>
      </c>
      <c r="F944">
        <v>180</v>
      </c>
      <c r="G944">
        <v>1</v>
      </c>
      <c r="H944" t="s">
        <v>95</v>
      </c>
      <c r="I944" t="s">
        <v>91</v>
      </c>
      <c r="J944" t="s">
        <v>85</v>
      </c>
      <c r="K944" t="s">
        <v>86</v>
      </c>
      <c r="L944" t="s">
        <v>71</v>
      </c>
      <c r="M944" t="s">
        <v>87</v>
      </c>
      <c r="O944" t="s">
        <v>88</v>
      </c>
      <c r="P944" t="s">
        <v>27</v>
      </c>
      <c r="Q944" t="s">
        <v>73</v>
      </c>
      <c r="R944" t="s">
        <v>76</v>
      </c>
      <c r="S944" t="s">
        <v>74</v>
      </c>
      <c r="T944" t="s">
        <v>75</v>
      </c>
      <c r="X944" t="s">
        <v>77</v>
      </c>
      <c r="Z944" t="s">
        <v>72</v>
      </c>
      <c r="AA944" t="s">
        <v>94</v>
      </c>
      <c r="AB944">
        <v>5</v>
      </c>
      <c r="AC944">
        <v>748756.47999999998</v>
      </c>
      <c r="AD944">
        <v>8930458.2300000004</v>
      </c>
      <c r="AE944">
        <v>189.58</v>
      </c>
      <c r="AF944">
        <v>748756.47999999998</v>
      </c>
      <c r="AG944">
        <v>8930458.2300000004</v>
      </c>
      <c r="AH944">
        <v>179.4</v>
      </c>
      <c r="AI944">
        <v>10.18</v>
      </c>
      <c r="AJ944">
        <v>0.6</v>
      </c>
      <c r="AK944">
        <v>3.37</v>
      </c>
      <c r="AL944">
        <v>2.93</v>
      </c>
      <c r="AM944">
        <v>0</v>
      </c>
      <c r="AN944">
        <v>0</v>
      </c>
      <c r="AO944">
        <v>358</v>
      </c>
      <c r="AP944">
        <v>3.47</v>
      </c>
      <c r="AQ944">
        <v>0.64</v>
      </c>
      <c r="AR944">
        <v>0.11</v>
      </c>
      <c r="AS944">
        <v>0.09</v>
      </c>
      <c r="AT944">
        <v>21.42</v>
      </c>
      <c r="AU944">
        <v>5.93</v>
      </c>
      <c r="AV944">
        <v>0.35</v>
      </c>
      <c r="AW944">
        <v>1.83</v>
      </c>
      <c r="AX944">
        <v>8.2100000000000009</v>
      </c>
      <c r="AY944">
        <v>3.3</v>
      </c>
      <c r="AZ944">
        <v>100.173</v>
      </c>
      <c r="BA944">
        <v>0</v>
      </c>
      <c r="BB944">
        <v>0</v>
      </c>
      <c r="BC944">
        <v>0</v>
      </c>
      <c r="BD944">
        <v>0</v>
      </c>
    </row>
    <row r="945" spans="1:56" x14ac:dyDescent="0.25">
      <c r="A945" s="23">
        <v>46304</v>
      </c>
      <c r="B945">
        <v>944</v>
      </c>
      <c r="C945" t="s">
        <v>82</v>
      </c>
      <c r="D945" t="s">
        <v>83</v>
      </c>
      <c r="E945">
        <v>2</v>
      </c>
      <c r="F945">
        <v>180</v>
      </c>
      <c r="G945">
        <v>1</v>
      </c>
      <c r="H945" t="s">
        <v>95</v>
      </c>
      <c r="I945" t="s">
        <v>91</v>
      </c>
      <c r="J945" t="s">
        <v>85</v>
      </c>
      <c r="K945" t="s">
        <v>86</v>
      </c>
      <c r="L945" t="s">
        <v>71</v>
      </c>
      <c r="M945" t="s">
        <v>87</v>
      </c>
      <c r="O945" t="s">
        <v>88</v>
      </c>
      <c r="P945" t="s">
        <v>27</v>
      </c>
      <c r="Q945" t="s">
        <v>73</v>
      </c>
      <c r="R945" t="s">
        <v>76</v>
      </c>
      <c r="S945" t="s">
        <v>74</v>
      </c>
      <c r="T945" t="s">
        <v>75</v>
      </c>
      <c r="X945" t="s">
        <v>77</v>
      </c>
      <c r="Z945" t="s">
        <v>72</v>
      </c>
      <c r="AA945" t="s">
        <v>94</v>
      </c>
      <c r="AB945">
        <v>5</v>
      </c>
      <c r="AC945">
        <v>748758.89</v>
      </c>
      <c r="AD945">
        <v>8930460.5399999991</v>
      </c>
      <c r="AE945">
        <v>189.54</v>
      </c>
      <c r="AF945">
        <v>748758.89</v>
      </c>
      <c r="AG945">
        <v>8930460.5399999991</v>
      </c>
      <c r="AH945">
        <v>179.4</v>
      </c>
      <c r="AI945">
        <v>10.14</v>
      </c>
      <c r="AJ945">
        <v>0.6</v>
      </c>
      <c r="AK945">
        <v>3.37</v>
      </c>
      <c r="AL945">
        <v>2.93</v>
      </c>
      <c r="AM945">
        <v>0</v>
      </c>
      <c r="AN945">
        <v>0</v>
      </c>
      <c r="AO945">
        <v>358</v>
      </c>
      <c r="AP945">
        <v>3.46</v>
      </c>
      <c r="AQ945">
        <v>0.66</v>
      </c>
      <c r="AR945">
        <v>0.1</v>
      </c>
      <c r="AS945">
        <v>0.09</v>
      </c>
      <c r="AT945">
        <v>20.14</v>
      </c>
      <c r="AU945">
        <v>5.63</v>
      </c>
      <c r="AV945">
        <v>0.36</v>
      </c>
      <c r="AW945">
        <v>1.85</v>
      </c>
      <c r="AX945">
        <v>7.74</v>
      </c>
      <c r="AY945">
        <v>3.3</v>
      </c>
      <c r="AZ945">
        <v>99.59</v>
      </c>
      <c r="BA945">
        <v>0</v>
      </c>
      <c r="BB945">
        <v>0</v>
      </c>
      <c r="BC945">
        <v>0</v>
      </c>
      <c r="BD945">
        <v>0</v>
      </c>
    </row>
    <row r="946" spans="1:56" x14ac:dyDescent="0.25">
      <c r="A946" s="23">
        <v>46304</v>
      </c>
      <c r="B946">
        <v>945</v>
      </c>
      <c r="C946" t="s">
        <v>82</v>
      </c>
      <c r="D946" t="s">
        <v>83</v>
      </c>
      <c r="E946">
        <v>2</v>
      </c>
      <c r="F946">
        <v>180</v>
      </c>
      <c r="G946">
        <v>1</v>
      </c>
      <c r="H946" t="s">
        <v>96</v>
      </c>
      <c r="I946" t="s">
        <v>91</v>
      </c>
      <c r="J946" t="s">
        <v>97</v>
      </c>
      <c r="K946" t="s">
        <v>86</v>
      </c>
      <c r="L946" t="s">
        <v>71</v>
      </c>
      <c r="M946" t="s">
        <v>87</v>
      </c>
      <c r="O946" t="s">
        <v>88</v>
      </c>
      <c r="P946" t="s">
        <v>27</v>
      </c>
      <c r="Q946" t="s">
        <v>73</v>
      </c>
      <c r="R946" t="s">
        <v>76</v>
      </c>
      <c r="S946" t="s">
        <v>74</v>
      </c>
      <c r="T946" t="s">
        <v>75</v>
      </c>
      <c r="X946" t="s">
        <v>77</v>
      </c>
      <c r="Z946" t="s">
        <v>72</v>
      </c>
      <c r="AA946" t="s">
        <v>94</v>
      </c>
      <c r="AB946">
        <v>5</v>
      </c>
      <c r="AC946">
        <v>748762.58</v>
      </c>
      <c r="AD946">
        <v>8930462.1199999992</v>
      </c>
      <c r="AE946">
        <v>189.6</v>
      </c>
      <c r="AF946">
        <v>748762.58</v>
      </c>
      <c r="AG946">
        <v>8930462.1199999992</v>
      </c>
      <c r="AH946">
        <v>179.4</v>
      </c>
      <c r="AI946">
        <v>10.199999999999999</v>
      </c>
      <c r="AJ946">
        <v>0.6</v>
      </c>
      <c r="AK946">
        <v>3.37</v>
      </c>
      <c r="AL946">
        <v>2.93</v>
      </c>
      <c r="AM946">
        <v>0</v>
      </c>
      <c r="AN946">
        <v>0</v>
      </c>
      <c r="AO946">
        <v>358</v>
      </c>
      <c r="AP946">
        <v>3.42</v>
      </c>
      <c r="AQ946">
        <v>0.78</v>
      </c>
      <c r="AR946">
        <v>0.11</v>
      </c>
      <c r="AS946">
        <v>0.1</v>
      </c>
      <c r="AT946">
        <v>20.98</v>
      </c>
      <c r="AU946">
        <v>6.52</v>
      </c>
      <c r="AV946">
        <v>0.38</v>
      </c>
      <c r="AW946">
        <v>2.0299999999999998</v>
      </c>
      <c r="AX946">
        <v>7.4</v>
      </c>
      <c r="AY946">
        <v>3.3</v>
      </c>
      <c r="AZ946">
        <v>100.464</v>
      </c>
      <c r="BA946">
        <v>0</v>
      </c>
      <c r="BB946">
        <v>0</v>
      </c>
      <c r="BC946">
        <v>0</v>
      </c>
      <c r="BD946">
        <v>0</v>
      </c>
    </row>
    <row r="947" spans="1:56" x14ac:dyDescent="0.25">
      <c r="A947" s="23">
        <v>46304</v>
      </c>
      <c r="B947">
        <v>946</v>
      </c>
      <c r="C947" t="s">
        <v>82</v>
      </c>
      <c r="D947" t="s">
        <v>83</v>
      </c>
      <c r="E947">
        <v>2</v>
      </c>
      <c r="F947">
        <v>180</v>
      </c>
      <c r="G947">
        <v>1</v>
      </c>
      <c r="H947" t="s">
        <v>96</v>
      </c>
      <c r="I947" t="s">
        <v>91</v>
      </c>
      <c r="J947" t="s">
        <v>97</v>
      </c>
      <c r="K947" t="s">
        <v>86</v>
      </c>
      <c r="L947" t="s">
        <v>71</v>
      </c>
      <c r="M947" t="s">
        <v>87</v>
      </c>
      <c r="O947" t="s">
        <v>88</v>
      </c>
      <c r="P947" t="s">
        <v>27</v>
      </c>
      <c r="Q947" t="s">
        <v>73</v>
      </c>
      <c r="R947" t="s">
        <v>76</v>
      </c>
      <c r="S947" t="s">
        <v>74</v>
      </c>
      <c r="T947" t="s">
        <v>75</v>
      </c>
      <c r="X947" t="s">
        <v>77</v>
      </c>
      <c r="Z947" t="s">
        <v>72</v>
      </c>
      <c r="AA947" t="s">
        <v>94</v>
      </c>
      <c r="AB947">
        <v>5</v>
      </c>
      <c r="AC947">
        <v>748765.26</v>
      </c>
      <c r="AD947">
        <v>8930464.1699999999</v>
      </c>
      <c r="AE947">
        <v>189.74</v>
      </c>
      <c r="AF947">
        <v>748765.26</v>
      </c>
      <c r="AG947">
        <v>8930464.1699999999</v>
      </c>
      <c r="AH947">
        <v>179.4</v>
      </c>
      <c r="AI947">
        <v>10.34</v>
      </c>
      <c r="AJ947">
        <v>0.6</v>
      </c>
      <c r="AK947">
        <v>3.37</v>
      </c>
      <c r="AL947">
        <v>2.93</v>
      </c>
      <c r="AM947">
        <v>0</v>
      </c>
      <c r="AN947">
        <v>0</v>
      </c>
      <c r="AO947">
        <v>358</v>
      </c>
      <c r="AP947">
        <v>3.42</v>
      </c>
      <c r="AQ947">
        <v>0.78</v>
      </c>
      <c r="AR947">
        <v>0.11</v>
      </c>
      <c r="AS947">
        <v>0.1</v>
      </c>
      <c r="AT947">
        <v>20.98</v>
      </c>
      <c r="AU947">
        <v>6.52</v>
      </c>
      <c r="AV947">
        <v>0.38</v>
      </c>
      <c r="AW947">
        <v>2.0299999999999998</v>
      </c>
      <c r="AX947">
        <v>7.4</v>
      </c>
      <c r="AY947">
        <v>3.3</v>
      </c>
      <c r="AZ947">
        <v>102.502</v>
      </c>
      <c r="BA947">
        <v>0</v>
      </c>
      <c r="BB947">
        <v>0</v>
      </c>
      <c r="BC947">
        <v>0</v>
      </c>
      <c r="BD947">
        <v>0</v>
      </c>
    </row>
    <row r="948" spans="1:56" x14ac:dyDescent="0.25">
      <c r="A948" s="23">
        <v>46304</v>
      </c>
      <c r="B948">
        <v>947</v>
      </c>
      <c r="C948" t="s">
        <v>82</v>
      </c>
      <c r="D948" t="s">
        <v>83</v>
      </c>
      <c r="E948">
        <v>2</v>
      </c>
      <c r="F948">
        <v>180</v>
      </c>
      <c r="G948">
        <v>1</v>
      </c>
      <c r="H948" t="s">
        <v>96</v>
      </c>
      <c r="I948" t="s">
        <v>91</v>
      </c>
      <c r="J948" t="s">
        <v>97</v>
      </c>
      <c r="K948" t="s">
        <v>86</v>
      </c>
      <c r="L948" t="s">
        <v>71</v>
      </c>
      <c r="M948" t="s">
        <v>87</v>
      </c>
      <c r="O948" t="s">
        <v>88</v>
      </c>
      <c r="P948" t="s">
        <v>27</v>
      </c>
      <c r="Q948" t="s">
        <v>73</v>
      </c>
      <c r="R948" t="s">
        <v>76</v>
      </c>
      <c r="S948" t="s">
        <v>74</v>
      </c>
      <c r="T948" t="s">
        <v>75</v>
      </c>
      <c r="X948" t="s">
        <v>77</v>
      </c>
      <c r="Z948" t="s">
        <v>72</v>
      </c>
      <c r="AA948" t="s">
        <v>94</v>
      </c>
      <c r="AB948">
        <v>5</v>
      </c>
      <c r="AC948">
        <v>748767.93</v>
      </c>
      <c r="AD948">
        <v>8930466.2200000007</v>
      </c>
      <c r="AE948">
        <v>189.91</v>
      </c>
      <c r="AF948">
        <v>748767.93</v>
      </c>
      <c r="AG948">
        <v>8930466.2200000007</v>
      </c>
      <c r="AH948">
        <v>179.4</v>
      </c>
      <c r="AI948">
        <v>10.51</v>
      </c>
      <c r="AJ948">
        <v>0.6</v>
      </c>
      <c r="AK948">
        <v>3.37</v>
      </c>
      <c r="AL948">
        <v>2.93</v>
      </c>
      <c r="AM948">
        <v>0</v>
      </c>
      <c r="AN948">
        <v>0</v>
      </c>
      <c r="AO948">
        <v>358</v>
      </c>
      <c r="AP948">
        <v>3.42</v>
      </c>
      <c r="AQ948">
        <v>0.78</v>
      </c>
      <c r="AR948">
        <v>0.11</v>
      </c>
      <c r="AS948">
        <v>0.1</v>
      </c>
      <c r="AT948">
        <v>20.98</v>
      </c>
      <c r="AU948">
        <v>6.52</v>
      </c>
      <c r="AV948">
        <v>0.38</v>
      </c>
      <c r="AW948">
        <v>2.0299999999999998</v>
      </c>
      <c r="AX948">
        <v>7.4</v>
      </c>
      <c r="AY948">
        <v>3.3</v>
      </c>
      <c r="AZ948">
        <v>104.97799999999999</v>
      </c>
      <c r="BA948">
        <v>0</v>
      </c>
      <c r="BB948">
        <v>0</v>
      </c>
      <c r="BC948">
        <v>0</v>
      </c>
      <c r="BD948">
        <v>0</v>
      </c>
    </row>
    <row r="949" spans="1:56" x14ac:dyDescent="0.25">
      <c r="A949" s="23">
        <v>46304</v>
      </c>
      <c r="B949">
        <v>948</v>
      </c>
      <c r="C949" t="s">
        <v>82</v>
      </c>
      <c r="D949" t="s">
        <v>83</v>
      </c>
      <c r="E949">
        <v>2</v>
      </c>
      <c r="F949">
        <v>180</v>
      </c>
      <c r="G949">
        <v>1</v>
      </c>
      <c r="H949" t="s">
        <v>96</v>
      </c>
      <c r="I949" t="s">
        <v>91</v>
      </c>
      <c r="J949" t="s">
        <v>97</v>
      </c>
      <c r="K949" t="s">
        <v>86</v>
      </c>
      <c r="L949" t="s">
        <v>71</v>
      </c>
      <c r="M949" t="s">
        <v>87</v>
      </c>
      <c r="O949" t="s">
        <v>88</v>
      </c>
      <c r="P949" t="s">
        <v>27</v>
      </c>
      <c r="Q949" t="s">
        <v>73</v>
      </c>
      <c r="R949" t="s">
        <v>76</v>
      </c>
      <c r="S949" t="s">
        <v>74</v>
      </c>
      <c r="T949" t="s">
        <v>75</v>
      </c>
      <c r="X949" t="s">
        <v>77</v>
      </c>
      <c r="Z949" t="s">
        <v>72</v>
      </c>
      <c r="AA949" t="s">
        <v>94</v>
      </c>
      <c r="AB949">
        <v>5</v>
      </c>
      <c r="AC949">
        <v>748770.61</v>
      </c>
      <c r="AD949">
        <v>8930468.2699999996</v>
      </c>
      <c r="AE949">
        <v>189.89</v>
      </c>
      <c r="AF949">
        <v>748770.61</v>
      </c>
      <c r="AG949">
        <v>8930468.2699999996</v>
      </c>
      <c r="AH949">
        <v>179.4</v>
      </c>
      <c r="AI949">
        <v>10.49</v>
      </c>
      <c r="AJ949">
        <v>0.6</v>
      </c>
      <c r="AK949">
        <v>3.37</v>
      </c>
      <c r="AL949">
        <v>2.93</v>
      </c>
      <c r="AM949">
        <v>0</v>
      </c>
      <c r="AN949">
        <v>0</v>
      </c>
      <c r="AO949">
        <v>358</v>
      </c>
      <c r="AP949">
        <v>3.43</v>
      </c>
      <c r="AQ949">
        <v>0.73</v>
      </c>
      <c r="AR949">
        <v>0.11</v>
      </c>
      <c r="AS949">
        <v>0.1</v>
      </c>
      <c r="AT949">
        <v>20.09</v>
      </c>
      <c r="AU949">
        <v>6.64</v>
      </c>
      <c r="AV949">
        <v>0.35</v>
      </c>
      <c r="AW949">
        <v>2.08</v>
      </c>
      <c r="AX949">
        <v>7.39</v>
      </c>
      <c r="AY949">
        <v>3.3</v>
      </c>
      <c r="AZ949">
        <v>104.68600000000001</v>
      </c>
      <c r="BA949">
        <v>0</v>
      </c>
      <c r="BB949">
        <v>0</v>
      </c>
      <c r="BC949">
        <v>0</v>
      </c>
      <c r="BD949">
        <v>0</v>
      </c>
    </row>
    <row r="950" spans="1:56" x14ac:dyDescent="0.25">
      <c r="A950" s="23">
        <v>46304</v>
      </c>
      <c r="B950">
        <v>949</v>
      </c>
      <c r="C950" t="s">
        <v>82</v>
      </c>
      <c r="D950" t="s">
        <v>83</v>
      </c>
      <c r="E950">
        <v>2</v>
      </c>
      <c r="F950">
        <v>180</v>
      </c>
      <c r="G950">
        <v>1</v>
      </c>
      <c r="H950" t="s">
        <v>96</v>
      </c>
      <c r="I950" t="s">
        <v>91</v>
      </c>
      <c r="J950" t="s">
        <v>97</v>
      </c>
      <c r="K950" t="s">
        <v>86</v>
      </c>
      <c r="L950" t="s">
        <v>71</v>
      </c>
      <c r="M950" t="s">
        <v>87</v>
      </c>
      <c r="O950" t="s">
        <v>88</v>
      </c>
      <c r="P950" t="s">
        <v>27</v>
      </c>
      <c r="Q950" t="s">
        <v>73</v>
      </c>
      <c r="R950" t="s">
        <v>76</v>
      </c>
      <c r="S950" t="s">
        <v>74</v>
      </c>
      <c r="T950" t="s">
        <v>75</v>
      </c>
      <c r="X950" t="s">
        <v>77</v>
      </c>
      <c r="Z950" t="s">
        <v>72</v>
      </c>
      <c r="AA950" t="s">
        <v>94</v>
      </c>
      <c r="AB950">
        <v>5</v>
      </c>
      <c r="AC950">
        <v>748773.43</v>
      </c>
      <c r="AD950">
        <v>8930470.1199999992</v>
      </c>
      <c r="AE950">
        <v>189.91</v>
      </c>
      <c r="AF950">
        <v>748773.43</v>
      </c>
      <c r="AG950">
        <v>8930470.1199999992</v>
      </c>
      <c r="AH950">
        <v>179.4</v>
      </c>
      <c r="AI950">
        <v>10.51</v>
      </c>
      <c r="AJ950">
        <v>0.6</v>
      </c>
      <c r="AK950">
        <v>3.37</v>
      </c>
      <c r="AL950">
        <v>2.93</v>
      </c>
      <c r="AM950">
        <v>0</v>
      </c>
      <c r="AN950">
        <v>0</v>
      </c>
      <c r="AO950">
        <v>358</v>
      </c>
      <c r="AP950">
        <v>3.43</v>
      </c>
      <c r="AQ950">
        <v>0.71</v>
      </c>
      <c r="AR950">
        <v>0.09</v>
      </c>
      <c r="AS950">
        <v>0.09</v>
      </c>
      <c r="AT950">
        <v>19.420000000000002</v>
      </c>
      <c r="AU950">
        <v>6.55</v>
      </c>
      <c r="AV950">
        <v>0.32</v>
      </c>
      <c r="AW950">
        <v>2.2000000000000002</v>
      </c>
      <c r="AX950">
        <v>3.63</v>
      </c>
      <c r="AY950">
        <v>3.3</v>
      </c>
      <c r="AZ950">
        <v>104.97799999999999</v>
      </c>
      <c r="BA950">
        <v>0</v>
      </c>
      <c r="BB950">
        <v>0</v>
      </c>
      <c r="BC950">
        <v>0</v>
      </c>
      <c r="BD950">
        <v>0</v>
      </c>
    </row>
    <row r="951" spans="1:56" x14ac:dyDescent="0.25">
      <c r="A951" s="23">
        <v>46304</v>
      </c>
      <c r="B951">
        <v>950</v>
      </c>
      <c r="C951" t="s">
        <v>82</v>
      </c>
      <c r="D951" t="s">
        <v>83</v>
      </c>
      <c r="E951">
        <v>2</v>
      </c>
      <c r="F951">
        <v>180</v>
      </c>
      <c r="G951">
        <v>1</v>
      </c>
      <c r="H951" t="s">
        <v>96</v>
      </c>
      <c r="I951" t="s">
        <v>91</v>
      </c>
      <c r="J951" t="s">
        <v>97</v>
      </c>
      <c r="K951" t="s">
        <v>86</v>
      </c>
      <c r="L951" t="s">
        <v>71</v>
      </c>
      <c r="M951" t="s">
        <v>87</v>
      </c>
      <c r="O951" t="s">
        <v>88</v>
      </c>
      <c r="P951" t="s">
        <v>27</v>
      </c>
      <c r="Q951" t="s">
        <v>73</v>
      </c>
      <c r="R951" t="s">
        <v>76</v>
      </c>
      <c r="S951" t="s">
        <v>74</v>
      </c>
      <c r="T951" t="s">
        <v>75</v>
      </c>
      <c r="X951" t="s">
        <v>77</v>
      </c>
      <c r="Z951" t="s">
        <v>72</v>
      </c>
      <c r="AA951" t="s">
        <v>94</v>
      </c>
      <c r="AB951">
        <v>5</v>
      </c>
      <c r="AC951">
        <v>748776.26</v>
      </c>
      <c r="AD951">
        <v>8930471.9499999993</v>
      </c>
      <c r="AE951">
        <v>190.05</v>
      </c>
      <c r="AF951">
        <v>748776.26</v>
      </c>
      <c r="AG951">
        <v>8930471.9499999993</v>
      </c>
      <c r="AH951">
        <v>179.4</v>
      </c>
      <c r="AI951">
        <v>10.65</v>
      </c>
      <c r="AJ951">
        <v>0.6</v>
      </c>
      <c r="AK951">
        <v>3.37</v>
      </c>
      <c r="AL951">
        <v>2.93</v>
      </c>
      <c r="AM951">
        <v>0</v>
      </c>
      <c r="AN951">
        <v>0</v>
      </c>
      <c r="AO951">
        <v>358</v>
      </c>
      <c r="AP951">
        <v>3.42</v>
      </c>
      <c r="AQ951">
        <v>0.71</v>
      </c>
      <c r="AR951">
        <v>0.08</v>
      </c>
      <c r="AS951">
        <v>0.08</v>
      </c>
      <c r="AT951">
        <v>19.170000000000002</v>
      </c>
      <c r="AU951">
        <v>6.42</v>
      </c>
      <c r="AV951">
        <v>0.31</v>
      </c>
      <c r="AW951">
        <v>2.2999999999999998</v>
      </c>
      <c r="AX951">
        <v>0.13</v>
      </c>
      <c r="AY951">
        <v>3.3</v>
      </c>
      <c r="AZ951">
        <v>107.01600000000001</v>
      </c>
      <c r="BA951">
        <v>0</v>
      </c>
      <c r="BB951">
        <v>0</v>
      </c>
      <c r="BC951">
        <v>0</v>
      </c>
      <c r="BD951">
        <v>0</v>
      </c>
    </row>
    <row r="952" spans="1:56" x14ac:dyDescent="0.25">
      <c r="A952" s="23">
        <v>46304</v>
      </c>
      <c r="B952">
        <v>951</v>
      </c>
      <c r="C952" t="s">
        <v>82</v>
      </c>
      <c r="D952" t="s">
        <v>83</v>
      </c>
      <c r="E952">
        <v>2</v>
      </c>
      <c r="F952">
        <v>180</v>
      </c>
      <c r="G952">
        <v>1</v>
      </c>
      <c r="H952" t="s">
        <v>96</v>
      </c>
      <c r="I952" t="s">
        <v>91</v>
      </c>
      <c r="J952" t="s">
        <v>97</v>
      </c>
      <c r="K952" t="s">
        <v>86</v>
      </c>
      <c r="L952" t="s">
        <v>71</v>
      </c>
      <c r="M952" t="s">
        <v>87</v>
      </c>
      <c r="O952" t="s">
        <v>88</v>
      </c>
      <c r="P952" t="s">
        <v>27</v>
      </c>
      <c r="Q952" t="s">
        <v>73</v>
      </c>
      <c r="R952" t="s">
        <v>76</v>
      </c>
      <c r="S952" t="s">
        <v>74</v>
      </c>
      <c r="T952" t="s">
        <v>75</v>
      </c>
      <c r="X952" t="s">
        <v>77</v>
      </c>
      <c r="Z952" t="s">
        <v>72</v>
      </c>
      <c r="AA952" t="s">
        <v>94</v>
      </c>
      <c r="AB952">
        <v>5</v>
      </c>
      <c r="AC952">
        <v>748779.09</v>
      </c>
      <c r="AD952">
        <v>8930473.7699999996</v>
      </c>
      <c r="AE952">
        <v>190.09</v>
      </c>
      <c r="AF952">
        <v>748779.09</v>
      </c>
      <c r="AG952">
        <v>8930473.7699999996</v>
      </c>
      <c r="AH952">
        <v>179.4</v>
      </c>
      <c r="AI952">
        <v>10.69</v>
      </c>
      <c r="AJ952">
        <v>0.6</v>
      </c>
      <c r="AK952">
        <v>3.37</v>
      </c>
      <c r="AL952">
        <v>2.93</v>
      </c>
      <c r="AM952">
        <v>0</v>
      </c>
      <c r="AN952">
        <v>0</v>
      </c>
      <c r="AO952">
        <v>358</v>
      </c>
      <c r="AP952">
        <v>3.43</v>
      </c>
      <c r="AQ952">
        <v>0.69</v>
      </c>
      <c r="AR952">
        <v>0.08</v>
      </c>
      <c r="AS952">
        <v>0.08</v>
      </c>
      <c r="AT952">
        <v>18.920000000000002</v>
      </c>
      <c r="AU952">
        <v>6.43</v>
      </c>
      <c r="AV952">
        <v>0.31</v>
      </c>
      <c r="AW952">
        <v>2.2000000000000002</v>
      </c>
      <c r="AX952">
        <v>7.0000000000000007E-2</v>
      </c>
      <c r="AY952">
        <v>3.3</v>
      </c>
      <c r="AZ952">
        <v>107.598</v>
      </c>
      <c r="BA952">
        <v>0</v>
      </c>
      <c r="BB952">
        <v>0</v>
      </c>
      <c r="BC952">
        <v>0</v>
      </c>
      <c r="BD952">
        <v>0</v>
      </c>
    </row>
    <row r="953" spans="1:56" x14ac:dyDescent="0.25">
      <c r="A953" s="23">
        <v>46304</v>
      </c>
      <c r="B953">
        <v>952</v>
      </c>
      <c r="C953" t="s">
        <v>82</v>
      </c>
      <c r="D953" t="s">
        <v>83</v>
      </c>
      <c r="E953">
        <v>2</v>
      </c>
      <c r="F953">
        <v>180</v>
      </c>
      <c r="G953">
        <v>1</v>
      </c>
      <c r="H953" t="s">
        <v>96</v>
      </c>
      <c r="I953" t="s">
        <v>91</v>
      </c>
      <c r="J953" t="s">
        <v>85</v>
      </c>
      <c r="K953" t="s">
        <v>86</v>
      </c>
      <c r="L953" t="s">
        <v>71</v>
      </c>
      <c r="M953" t="s">
        <v>87</v>
      </c>
      <c r="O953" t="s">
        <v>88</v>
      </c>
      <c r="P953" t="s">
        <v>27</v>
      </c>
      <c r="Q953" t="s">
        <v>73</v>
      </c>
      <c r="R953" t="s">
        <v>76</v>
      </c>
      <c r="S953" t="s">
        <v>74</v>
      </c>
      <c r="T953" t="s">
        <v>75</v>
      </c>
      <c r="X953" t="s">
        <v>77</v>
      </c>
      <c r="Z953" t="s">
        <v>72</v>
      </c>
      <c r="AA953" t="s">
        <v>94</v>
      </c>
      <c r="AB953">
        <v>5</v>
      </c>
      <c r="AC953">
        <v>748781.93</v>
      </c>
      <c r="AD953">
        <v>8930475.5999999996</v>
      </c>
      <c r="AE953">
        <v>190.18</v>
      </c>
      <c r="AF953">
        <v>748781.93</v>
      </c>
      <c r="AG953">
        <v>8930475.5999999996</v>
      </c>
      <c r="AH953">
        <v>179.4</v>
      </c>
      <c r="AI953">
        <v>10.78</v>
      </c>
      <c r="AJ953">
        <v>0.6</v>
      </c>
      <c r="AK953">
        <v>3.37</v>
      </c>
      <c r="AL953">
        <v>2.93</v>
      </c>
      <c r="AM953">
        <v>0</v>
      </c>
      <c r="AN953">
        <v>0</v>
      </c>
      <c r="AO953">
        <v>358</v>
      </c>
      <c r="AP953">
        <v>3.45</v>
      </c>
      <c r="AQ953">
        <v>0.6</v>
      </c>
      <c r="AR953">
        <v>0.08</v>
      </c>
      <c r="AS953">
        <v>0.08</v>
      </c>
      <c r="AT953">
        <v>18.18</v>
      </c>
      <c r="AU953">
        <v>6.48</v>
      </c>
      <c r="AV953">
        <v>0.32</v>
      </c>
      <c r="AW953">
        <v>1.89</v>
      </c>
      <c r="AX953">
        <v>0.14000000000000001</v>
      </c>
      <c r="AY953">
        <v>3.3</v>
      </c>
      <c r="AZ953">
        <v>108.90900000000001</v>
      </c>
      <c r="BA953">
        <v>0</v>
      </c>
      <c r="BB953">
        <v>0</v>
      </c>
      <c r="BC953">
        <v>0</v>
      </c>
      <c r="BD953">
        <v>0</v>
      </c>
    </row>
    <row r="954" spans="1:56" x14ac:dyDescent="0.25">
      <c r="A954" s="23">
        <v>46304</v>
      </c>
      <c r="B954">
        <v>953</v>
      </c>
      <c r="C954" t="s">
        <v>82</v>
      </c>
      <c r="D954" t="s">
        <v>83</v>
      </c>
      <c r="E954">
        <v>2</v>
      </c>
      <c r="F954">
        <v>180</v>
      </c>
      <c r="G954">
        <v>1</v>
      </c>
      <c r="H954" t="s">
        <v>96</v>
      </c>
      <c r="I954" t="s">
        <v>91</v>
      </c>
      <c r="J954" t="s">
        <v>85</v>
      </c>
      <c r="K954" t="s">
        <v>86</v>
      </c>
      <c r="L954" t="s">
        <v>71</v>
      </c>
      <c r="M954" t="s">
        <v>87</v>
      </c>
      <c r="O954" t="s">
        <v>88</v>
      </c>
      <c r="P954" t="s">
        <v>27</v>
      </c>
      <c r="Q954" t="s">
        <v>73</v>
      </c>
      <c r="R954" t="s">
        <v>76</v>
      </c>
      <c r="S954" t="s">
        <v>74</v>
      </c>
      <c r="T954" t="s">
        <v>75</v>
      </c>
      <c r="X954" t="s">
        <v>77</v>
      </c>
      <c r="Z954" t="s">
        <v>72</v>
      </c>
      <c r="AA954" t="s">
        <v>94</v>
      </c>
      <c r="AB954">
        <v>5</v>
      </c>
      <c r="AC954">
        <v>748784.76</v>
      </c>
      <c r="AD954">
        <v>8930477.4199999999</v>
      </c>
      <c r="AE954">
        <v>190.13</v>
      </c>
      <c r="AF954">
        <v>748784.76</v>
      </c>
      <c r="AG954">
        <v>8930477.4199999999</v>
      </c>
      <c r="AH954">
        <v>179.4</v>
      </c>
      <c r="AI954">
        <v>10.73</v>
      </c>
      <c r="AJ954">
        <v>0.6</v>
      </c>
      <c r="AK954">
        <v>3.37</v>
      </c>
      <c r="AL954">
        <v>2.93</v>
      </c>
      <c r="AM954">
        <v>0</v>
      </c>
      <c r="AN954">
        <v>0</v>
      </c>
      <c r="AO954">
        <v>358</v>
      </c>
      <c r="AP954">
        <v>3.45</v>
      </c>
      <c r="AQ954">
        <v>0.6</v>
      </c>
      <c r="AR954">
        <v>0.08</v>
      </c>
      <c r="AS954">
        <v>0.08</v>
      </c>
      <c r="AT954">
        <v>18.16</v>
      </c>
      <c r="AU954">
        <v>6.47</v>
      </c>
      <c r="AV954">
        <v>0.32</v>
      </c>
      <c r="AW954">
        <v>1.88</v>
      </c>
      <c r="AX954">
        <v>0.1</v>
      </c>
      <c r="AY954">
        <v>3.3</v>
      </c>
      <c r="AZ954">
        <v>108.181</v>
      </c>
      <c r="BA954">
        <v>0</v>
      </c>
      <c r="BB954">
        <v>0</v>
      </c>
      <c r="BC954">
        <v>0</v>
      </c>
      <c r="BD954">
        <v>0</v>
      </c>
    </row>
    <row r="955" spans="1:56" x14ac:dyDescent="0.25">
      <c r="A955" s="23">
        <v>46304</v>
      </c>
      <c r="B955">
        <v>954</v>
      </c>
      <c r="C955" t="s">
        <v>82</v>
      </c>
      <c r="D955" t="s">
        <v>83</v>
      </c>
      <c r="E955">
        <v>2</v>
      </c>
      <c r="F955">
        <v>180</v>
      </c>
      <c r="G955">
        <v>1</v>
      </c>
      <c r="H955" t="s">
        <v>96</v>
      </c>
      <c r="I955" t="s">
        <v>91</v>
      </c>
      <c r="J955" t="s">
        <v>85</v>
      </c>
      <c r="K955" t="s">
        <v>86</v>
      </c>
      <c r="L955" t="s">
        <v>71</v>
      </c>
      <c r="M955" t="s">
        <v>87</v>
      </c>
      <c r="O955" t="s">
        <v>88</v>
      </c>
      <c r="P955" t="s">
        <v>27</v>
      </c>
      <c r="Q955" t="s">
        <v>73</v>
      </c>
      <c r="R955" t="s">
        <v>76</v>
      </c>
      <c r="S955" t="s">
        <v>74</v>
      </c>
      <c r="T955" t="s">
        <v>75</v>
      </c>
      <c r="X955" t="s">
        <v>77</v>
      </c>
      <c r="Z955" t="s">
        <v>72</v>
      </c>
      <c r="AA955" t="s">
        <v>94</v>
      </c>
      <c r="AB955">
        <v>5</v>
      </c>
      <c r="AC955">
        <v>748787.59</v>
      </c>
      <c r="AD955">
        <v>8930479.25</v>
      </c>
      <c r="AE955">
        <v>190.32</v>
      </c>
      <c r="AF955">
        <v>748787.59</v>
      </c>
      <c r="AG955">
        <v>8930479.25</v>
      </c>
      <c r="AH955">
        <v>179.4</v>
      </c>
      <c r="AI955">
        <v>10.92</v>
      </c>
      <c r="AJ955">
        <v>0.6</v>
      </c>
      <c r="AK955">
        <v>3.37</v>
      </c>
      <c r="AL955">
        <v>2.93</v>
      </c>
      <c r="AM955">
        <v>0</v>
      </c>
      <c r="AN955">
        <v>0</v>
      </c>
      <c r="AO955">
        <v>358</v>
      </c>
      <c r="AP955">
        <v>3.44</v>
      </c>
      <c r="AQ955">
        <v>0.61</v>
      </c>
      <c r="AR955">
        <v>0.08</v>
      </c>
      <c r="AS955">
        <v>0.08</v>
      </c>
      <c r="AT955">
        <v>18.28</v>
      </c>
      <c r="AU955">
        <v>6.4</v>
      </c>
      <c r="AV955">
        <v>0.32</v>
      </c>
      <c r="AW955">
        <v>1.92</v>
      </c>
      <c r="AX955">
        <v>0.24</v>
      </c>
      <c r="AY955">
        <v>3.3</v>
      </c>
      <c r="AZ955">
        <v>110.947</v>
      </c>
      <c r="BA955">
        <v>0</v>
      </c>
      <c r="BB955">
        <v>0</v>
      </c>
      <c r="BC955">
        <v>0</v>
      </c>
      <c r="BD955">
        <v>0</v>
      </c>
    </row>
    <row r="956" spans="1:56" x14ac:dyDescent="0.25">
      <c r="A956" s="23">
        <v>46304</v>
      </c>
      <c r="B956">
        <v>955</v>
      </c>
      <c r="C956" t="s">
        <v>82</v>
      </c>
      <c r="D956" t="s">
        <v>83</v>
      </c>
      <c r="E956">
        <v>2</v>
      </c>
      <c r="F956">
        <v>180</v>
      </c>
      <c r="G956">
        <v>1</v>
      </c>
      <c r="H956" t="s">
        <v>96</v>
      </c>
      <c r="I956" t="s">
        <v>91</v>
      </c>
      <c r="J956" t="s">
        <v>85</v>
      </c>
      <c r="K956" t="s">
        <v>86</v>
      </c>
      <c r="L956" t="s">
        <v>71</v>
      </c>
      <c r="M956" t="s">
        <v>87</v>
      </c>
      <c r="O956" t="s">
        <v>88</v>
      </c>
      <c r="P956" t="s">
        <v>27</v>
      </c>
      <c r="Q956" t="s">
        <v>73</v>
      </c>
      <c r="R956" t="s">
        <v>76</v>
      </c>
      <c r="S956" t="s">
        <v>74</v>
      </c>
      <c r="T956" t="s">
        <v>75</v>
      </c>
      <c r="X956" t="s">
        <v>77</v>
      </c>
      <c r="Z956" t="s">
        <v>72</v>
      </c>
      <c r="AA956" t="s">
        <v>94</v>
      </c>
      <c r="AB956">
        <v>5</v>
      </c>
      <c r="AC956">
        <v>748790.67</v>
      </c>
      <c r="AD956">
        <v>8930480.5099999998</v>
      </c>
      <c r="AE956">
        <v>190.07</v>
      </c>
      <c r="AF956">
        <v>748790.67</v>
      </c>
      <c r="AG956">
        <v>8930480.5099999998</v>
      </c>
      <c r="AH956">
        <v>179.4</v>
      </c>
      <c r="AI956">
        <v>10.67</v>
      </c>
      <c r="AJ956">
        <v>0.6</v>
      </c>
      <c r="AK956">
        <v>3.37</v>
      </c>
      <c r="AL956">
        <v>2.93</v>
      </c>
      <c r="AM956">
        <v>0</v>
      </c>
      <c r="AN956">
        <v>0</v>
      </c>
      <c r="AO956">
        <v>358</v>
      </c>
      <c r="AP956">
        <v>3.46</v>
      </c>
      <c r="AQ956">
        <v>0.61</v>
      </c>
      <c r="AR956">
        <v>0.08</v>
      </c>
      <c r="AS956">
        <v>7.0000000000000007E-2</v>
      </c>
      <c r="AT956">
        <v>18.21</v>
      </c>
      <c r="AU956">
        <v>6.16</v>
      </c>
      <c r="AV956">
        <v>0.32</v>
      </c>
      <c r="AW956">
        <v>1.94</v>
      </c>
      <c r="AX956">
        <v>0.06</v>
      </c>
      <c r="AY956">
        <v>3.3</v>
      </c>
      <c r="AZ956">
        <v>107.307</v>
      </c>
      <c r="BA956">
        <v>0</v>
      </c>
      <c r="BB956">
        <v>0</v>
      </c>
      <c r="BC956">
        <v>0</v>
      </c>
      <c r="BD956">
        <v>0</v>
      </c>
    </row>
    <row r="957" spans="1:56" x14ac:dyDescent="0.25">
      <c r="A957" s="23">
        <v>46304</v>
      </c>
      <c r="B957">
        <v>956</v>
      </c>
      <c r="C957" t="s">
        <v>82</v>
      </c>
      <c r="D957" t="s">
        <v>83</v>
      </c>
      <c r="E957">
        <v>2</v>
      </c>
      <c r="F957">
        <v>180</v>
      </c>
      <c r="G957">
        <v>1</v>
      </c>
      <c r="H957" t="s">
        <v>96</v>
      </c>
      <c r="I957" t="s">
        <v>91</v>
      </c>
      <c r="J957" t="s">
        <v>85</v>
      </c>
      <c r="K957" t="s">
        <v>86</v>
      </c>
      <c r="L957" t="s">
        <v>71</v>
      </c>
      <c r="M957" t="s">
        <v>87</v>
      </c>
      <c r="O957" t="s">
        <v>88</v>
      </c>
      <c r="P957" t="s">
        <v>27</v>
      </c>
      <c r="Q957" t="s">
        <v>73</v>
      </c>
      <c r="R957" t="s">
        <v>76</v>
      </c>
      <c r="S957" t="s">
        <v>74</v>
      </c>
      <c r="T957" t="s">
        <v>75</v>
      </c>
      <c r="X957" t="s">
        <v>77</v>
      </c>
      <c r="Z957" t="s">
        <v>72</v>
      </c>
      <c r="AA957" t="s">
        <v>94</v>
      </c>
      <c r="AB957">
        <v>5</v>
      </c>
      <c r="AC957">
        <v>748795.27</v>
      </c>
      <c r="AD957">
        <v>8930481.1999999993</v>
      </c>
      <c r="AE957">
        <v>193.94</v>
      </c>
      <c r="AF957">
        <v>748794.15</v>
      </c>
      <c r="AG957">
        <v>8930480.5999999996</v>
      </c>
      <c r="AH957">
        <v>179.4</v>
      </c>
      <c r="AI957">
        <v>14.6</v>
      </c>
      <c r="AJ957">
        <v>0.6</v>
      </c>
      <c r="AK957">
        <v>3.37</v>
      </c>
      <c r="AL957">
        <v>2.93</v>
      </c>
      <c r="AM957">
        <v>242</v>
      </c>
      <c r="AN957">
        <v>5</v>
      </c>
      <c r="AO957">
        <v>358</v>
      </c>
      <c r="AP957">
        <v>3.46</v>
      </c>
      <c r="AQ957">
        <v>0.6</v>
      </c>
      <c r="AR957">
        <v>0.08</v>
      </c>
      <c r="AS957">
        <v>7.0000000000000007E-2</v>
      </c>
      <c r="AT957">
        <v>17.829999999999998</v>
      </c>
      <c r="AU957">
        <v>6.16</v>
      </c>
      <c r="AV957">
        <v>0.32</v>
      </c>
      <c r="AW957">
        <v>1.9</v>
      </c>
      <c r="AX957">
        <v>2.37</v>
      </c>
      <c r="AY957">
        <v>3.3</v>
      </c>
      <c r="AZ957">
        <v>164.52799999999999</v>
      </c>
      <c r="BA957">
        <v>0</v>
      </c>
      <c r="BB957">
        <v>0</v>
      </c>
      <c r="BC957">
        <v>0</v>
      </c>
      <c r="BD957">
        <v>0</v>
      </c>
    </row>
    <row r="958" spans="1:56" x14ac:dyDescent="0.25">
      <c r="A958" s="23">
        <v>46304</v>
      </c>
      <c r="B958">
        <v>957</v>
      </c>
      <c r="C958" t="s">
        <v>82</v>
      </c>
      <c r="D958" t="s">
        <v>83</v>
      </c>
      <c r="E958">
        <v>2</v>
      </c>
      <c r="F958">
        <v>180</v>
      </c>
      <c r="G958">
        <v>1</v>
      </c>
      <c r="H958" t="s">
        <v>96</v>
      </c>
      <c r="I958" t="s">
        <v>91</v>
      </c>
      <c r="J958" t="s">
        <v>85</v>
      </c>
      <c r="K958" t="s">
        <v>86</v>
      </c>
      <c r="L958" t="s">
        <v>71</v>
      </c>
      <c r="M958" t="s">
        <v>87</v>
      </c>
      <c r="O958" t="s">
        <v>88</v>
      </c>
      <c r="P958" t="s">
        <v>27</v>
      </c>
      <c r="Q958" t="s">
        <v>73</v>
      </c>
      <c r="R958" t="s">
        <v>76</v>
      </c>
      <c r="S958" t="s">
        <v>74</v>
      </c>
      <c r="T958" t="s">
        <v>75</v>
      </c>
      <c r="X958" t="s">
        <v>77</v>
      </c>
      <c r="Z958" t="s">
        <v>72</v>
      </c>
      <c r="AA958" t="s">
        <v>94</v>
      </c>
      <c r="AB958">
        <v>5</v>
      </c>
      <c r="AC958">
        <v>748797.26</v>
      </c>
      <c r="AD958">
        <v>8930481.9000000004</v>
      </c>
      <c r="AE958">
        <v>194.4</v>
      </c>
      <c r="AF958">
        <v>748797.26</v>
      </c>
      <c r="AG958">
        <v>8930481.9000000004</v>
      </c>
      <c r="AH958">
        <v>179.4</v>
      </c>
      <c r="AI958">
        <v>15</v>
      </c>
      <c r="AJ958">
        <v>0.6</v>
      </c>
      <c r="AK958">
        <v>3.37</v>
      </c>
      <c r="AL958">
        <v>2.93</v>
      </c>
      <c r="AM958">
        <v>0</v>
      </c>
      <c r="AN958">
        <v>0</v>
      </c>
      <c r="AO958">
        <v>358</v>
      </c>
      <c r="AP958">
        <v>3.48</v>
      </c>
      <c r="AQ958">
        <v>0.57999999999999996</v>
      </c>
      <c r="AR958">
        <v>0.08</v>
      </c>
      <c r="AS958">
        <v>7.0000000000000007E-2</v>
      </c>
      <c r="AT958">
        <v>17.579999999999998</v>
      </c>
      <c r="AU958">
        <v>6.05</v>
      </c>
      <c r="AV958">
        <v>0.32</v>
      </c>
      <c r="AW958">
        <v>1.84</v>
      </c>
      <c r="AX958">
        <v>2.68</v>
      </c>
      <c r="AY958">
        <v>3.3</v>
      </c>
      <c r="AZ958">
        <v>170.352</v>
      </c>
      <c r="BA958">
        <v>0</v>
      </c>
      <c r="BB958">
        <v>0</v>
      </c>
      <c r="BC958">
        <v>0</v>
      </c>
      <c r="BD958">
        <v>0</v>
      </c>
    </row>
    <row r="959" spans="1:56" x14ac:dyDescent="0.25">
      <c r="A959" s="23">
        <v>46304</v>
      </c>
      <c r="B959">
        <v>958</v>
      </c>
      <c r="C959" t="s">
        <v>82</v>
      </c>
      <c r="D959" t="s">
        <v>83</v>
      </c>
      <c r="E959">
        <v>2</v>
      </c>
      <c r="F959">
        <v>180</v>
      </c>
      <c r="G959">
        <v>1</v>
      </c>
      <c r="H959" t="s">
        <v>96</v>
      </c>
      <c r="I959" t="s">
        <v>91</v>
      </c>
      <c r="J959" t="s">
        <v>85</v>
      </c>
      <c r="K959" t="s">
        <v>86</v>
      </c>
      <c r="L959" t="s">
        <v>71</v>
      </c>
      <c r="M959" t="s">
        <v>87</v>
      </c>
      <c r="O959" t="s">
        <v>88</v>
      </c>
      <c r="P959" t="s">
        <v>27</v>
      </c>
      <c r="Q959" t="s">
        <v>73</v>
      </c>
      <c r="R959" t="s">
        <v>76</v>
      </c>
      <c r="S959" t="s">
        <v>74</v>
      </c>
      <c r="T959" t="s">
        <v>75</v>
      </c>
      <c r="X959" t="s">
        <v>77</v>
      </c>
      <c r="Z959" t="s">
        <v>72</v>
      </c>
      <c r="AA959" t="s">
        <v>94</v>
      </c>
      <c r="AB959">
        <v>5</v>
      </c>
      <c r="AC959">
        <v>748800.58</v>
      </c>
      <c r="AD959">
        <v>8930482.4600000009</v>
      </c>
      <c r="AE959">
        <v>194.51</v>
      </c>
      <c r="AF959">
        <v>748800.58</v>
      </c>
      <c r="AG959">
        <v>8930482.4600000009</v>
      </c>
      <c r="AH959">
        <v>179.4</v>
      </c>
      <c r="AI959">
        <v>15.11</v>
      </c>
      <c r="AJ959">
        <v>0.6</v>
      </c>
      <c r="AK959">
        <v>3.37</v>
      </c>
      <c r="AL959">
        <v>2.93</v>
      </c>
      <c r="AM959">
        <v>0</v>
      </c>
      <c r="AN959">
        <v>0</v>
      </c>
      <c r="AO959">
        <v>358</v>
      </c>
      <c r="AP959">
        <v>3.42</v>
      </c>
      <c r="AQ959">
        <v>0.6</v>
      </c>
      <c r="AR959">
        <v>0.09</v>
      </c>
      <c r="AS959">
        <v>7.0000000000000007E-2</v>
      </c>
      <c r="AT959">
        <v>17.84</v>
      </c>
      <c r="AU959">
        <v>5.81</v>
      </c>
      <c r="AV959">
        <v>0.32</v>
      </c>
      <c r="AW959">
        <v>1.88</v>
      </c>
      <c r="AX959">
        <v>2.4300000000000002</v>
      </c>
      <c r="AY959">
        <v>3.3</v>
      </c>
      <c r="AZ959">
        <v>171.95400000000001</v>
      </c>
      <c r="BA959">
        <v>0</v>
      </c>
      <c r="BB959">
        <v>0</v>
      </c>
      <c r="BC959">
        <v>0</v>
      </c>
      <c r="BD959">
        <v>0</v>
      </c>
    </row>
    <row r="960" spans="1:56" x14ac:dyDescent="0.25">
      <c r="A960" s="23">
        <v>46304</v>
      </c>
      <c r="B960">
        <v>959</v>
      </c>
      <c r="C960" t="s">
        <v>82</v>
      </c>
      <c r="D960" t="s">
        <v>83</v>
      </c>
      <c r="E960">
        <v>2</v>
      </c>
      <c r="F960">
        <v>180</v>
      </c>
      <c r="G960">
        <v>1</v>
      </c>
      <c r="H960" t="s">
        <v>96</v>
      </c>
      <c r="I960" t="s">
        <v>91</v>
      </c>
      <c r="J960" t="s">
        <v>85</v>
      </c>
      <c r="K960" t="s">
        <v>86</v>
      </c>
      <c r="L960" t="s">
        <v>71</v>
      </c>
      <c r="M960" t="s">
        <v>87</v>
      </c>
      <c r="O960" t="s">
        <v>88</v>
      </c>
      <c r="P960" t="s">
        <v>27</v>
      </c>
      <c r="Q960" t="s">
        <v>73</v>
      </c>
      <c r="R960" t="s">
        <v>76</v>
      </c>
      <c r="S960" t="s">
        <v>74</v>
      </c>
      <c r="T960" t="s">
        <v>75</v>
      </c>
      <c r="X960" t="s">
        <v>77</v>
      </c>
      <c r="Z960" t="s">
        <v>72</v>
      </c>
      <c r="AA960" t="s">
        <v>94</v>
      </c>
      <c r="AB960">
        <v>5</v>
      </c>
      <c r="AC960">
        <v>748803.89</v>
      </c>
      <c r="AD960">
        <v>8930483.0999999996</v>
      </c>
      <c r="AE960">
        <v>194.62</v>
      </c>
      <c r="AF960">
        <v>748803.89</v>
      </c>
      <c r="AG960">
        <v>8930483.0999999996</v>
      </c>
      <c r="AH960">
        <v>179.4</v>
      </c>
      <c r="AI960">
        <v>15.22</v>
      </c>
      <c r="AJ960">
        <v>0.6</v>
      </c>
      <c r="AK960">
        <v>3.37</v>
      </c>
      <c r="AL960">
        <v>2.93</v>
      </c>
      <c r="AM960">
        <v>0</v>
      </c>
      <c r="AN960">
        <v>0</v>
      </c>
      <c r="AO960">
        <v>358</v>
      </c>
      <c r="AP960">
        <v>3.39</v>
      </c>
      <c r="AQ960">
        <v>0.61</v>
      </c>
      <c r="AR960">
        <v>0.1</v>
      </c>
      <c r="AS960">
        <v>7.0000000000000007E-2</v>
      </c>
      <c r="AT960">
        <v>17.98</v>
      </c>
      <c r="AU960">
        <v>5.7</v>
      </c>
      <c r="AV960">
        <v>0.32</v>
      </c>
      <c r="AW960">
        <v>1.9</v>
      </c>
      <c r="AX960">
        <v>2.3199999999999998</v>
      </c>
      <c r="AY960">
        <v>3.3</v>
      </c>
      <c r="AZ960">
        <v>173.55500000000001</v>
      </c>
      <c r="BA960">
        <v>0</v>
      </c>
      <c r="BB960">
        <v>0</v>
      </c>
      <c r="BC960">
        <v>0</v>
      </c>
      <c r="BD960">
        <v>0</v>
      </c>
    </row>
    <row r="961" spans="1:56" x14ac:dyDescent="0.25">
      <c r="A961" s="23">
        <v>46304</v>
      </c>
      <c r="B961">
        <v>960</v>
      </c>
      <c r="C961" t="s">
        <v>82</v>
      </c>
      <c r="D961" t="s">
        <v>83</v>
      </c>
      <c r="E961">
        <v>2</v>
      </c>
      <c r="F961">
        <v>180</v>
      </c>
      <c r="G961">
        <v>1</v>
      </c>
      <c r="H961" t="s">
        <v>96</v>
      </c>
      <c r="I961" t="s">
        <v>91</v>
      </c>
      <c r="J961" t="s">
        <v>85</v>
      </c>
      <c r="K961" t="s">
        <v>86</v>
      </c>
      <c r="L961" t="s">
        <v>71</v>
      </c>
      <c r="M961" t="s">
        <v>87</v>
      </c>
      <c r="O961" t="s">
        <v>88</v>
      </c>
      <c r="P961" t="s">
        <v>27</v>
      </c>
      <c r="Q961" t="s">
        <v>73</v>
      </c>
      <c r="R961" t="s">
        <v>76</v>
      </c>
      <c r="S961" t="s">
        <v>74</v>
      </c>
      <c r="T961" t="s">
        <v>75</v>
      </c>
      <c r="X961" t="s">
        <v>77</v>
      </c>
      <c r="Z961" t="s">
        <v>72</v>
      </c>
      <c r="AA961" t="s">
        <v>94</v>
      </c>
      <c r="AB961">
        <v>5</v>
      </c>
      <c r="AC961">
        <v>748807.15</v>
      </c>
      <c r="AD961">
        <v>8930483.9299999997</v>
      </c>
      <c r="AE961">
        <v>194.85</v>
      </c>
      <c r="AF961">
        <v>748807.15</v>
      </c>
      <c r="AG961">
        <v>8930483.9299999997</v>
      </c>
      <c r="AH961">
        <v>179.4</v>
      </c>
      <c r="AI961">
        <v>15.45</v>
      </c>
      <c r="AJ961">
        <v>0.6</v>
      </c>
      <c r="AK961">
        <v>3.37</v>
      </c>
      <c r="AL961">
        <v>2.93</v>
      </c>
      <c r="AM961">
        <v>0</v>
      </c>
      <c r="AN961">
        <v>0</v>
      </c>
      <c r="AO961">
        <v>358</v>
      </c>
      <c r="AP961">
        <v>3.39</v>
      </c>
      <c r="AQ961">
        <v>0.61</v>
      </c>
      <c r="AR961">
        <v>0.1</v>
      </c>
      <c r="AS961">
        <v>7.0000000000000007E-2</v>
      </c>
      <c r="AT961">
        <v>17.97</v>
      </c>
      <c r="AU961">
        <v>5.69</v>
      </c>
      <c r="AV961">
        <v>0.32</v>
      </c>
      <c r="AW961">
        <v>1.9</v>
      </c>
      <c r="AX961">
        <v>2.39</v>
      </c>
      <c r="AY961">
        <v>3.3</v>
      </c>
      <c r="AZ961">
        <v>176.904</v>
      </c>
      <c r="BA961">
        <v>0</v>
      </c>
      <c r="BB961">
        <v>0</v>
      </c>
      <c r="BC961">
        <v>0</v>
      </c>
      <c r="BD961">
        <v>0</v>
      </c>
    </row>
    <row r="962" spans="1:56" x14ac:dyDescent="0.25">
      <c r="A962" s="23">
        <v>46304</v>
      </c>
      <c r="B962">
        <v>961</v>
      </c>
      <c r="C962" t="s">
        <v>82</v>
      </c>
      <c r="D962" t="s">
        <v>83</v>
      </c>
      <c r="E962">
        <v>2</v>
      </c>
      <c r="F962">
        <v>180</v>
      </c>
      <c r="G962">
        <v>1</v>
      </c>
      <c r="H962" t="s">
        <v>96</v>
      </c>
      <c r="I962" t="s">
        <v>91</v>
      </c>
      <c r="J962" t="s">
        <v>85</v>
      </c>
      <c r="K962" t="s">
        <v>86</v>
      </c>
      <c r="L962" t="s">
        <v>71</v>
      </c>
      <c r="M962" t="s">
        <v>87</v>
      </c>
      <c r="O962" t="s">
        <v>88</v>
      </c>
      <c r="P962" t="s">
        <v>27</v>
      </c>
      <c r="Q962" t="s">
        <v>73</v>
      </c>
      <c r="R962" t="s">
        <v>76</v>
      </c>
      <c r="S962" t="s">
        <v>74</v>
      </c>
      <c r="T962" t="s">
        <v>75</v>
      </c>
      <c r="X962" t="s">
        <v>77</v>
      </c>
      <c r="Z962" t="s">
        <v>72</v>
      </c>
      <c r="AA962" t="s">
        <v>94</v>
      </c>
      <c r="AB962">
        <v>5</v>
      </c>
      <c r="AC962">
        <v>748810.41</v>
      </c>
      <c r="AD962">
        <v>8930484.8000000007</v>
      </c>
      <c r="AE962">
        <v>195.17</v>
      </c>
      <c r="AF962">
        <v>748810.41</v>
      </c>
      <c r="AG962">
        <v>8930484.8000000007</v>
      </c>
      <c r="AH962">
        <v>179.4</v>
      </c>
      <c r="AI962">
        <v>15.77</v>
      </c>
      <c r="AJ962">
        <v>0.6</v>
      </c>
      <c r="AK962">
        <v>3.37</v>
      </c>
      <c r="AL962">
        <v>2.93</v>
      </c>
      <c r="AM962">
        <v>0</v>
      </c>
      <c r="AN962">
        <v>0</v>
      </c>
      <c r="AO962">
        <v>358</v>
      </c>
      <c r="AP962">
        <v>3.36</v>
      </c>
      <c r="AQ962">
        <v>0.62</v>
      </c>
      <c r="AR962">
        <v>0.1</v>
      </c>
      <c r="AS962">
        <v>7.0000000000000007E-2</v>
      </c>
      <c r="AT962">
        <v>18.18</v>
      </c>
      <c r="AU962">
        <v>5.69</v>
      </c>
      <c r="AV962">
        <v>0.32</v>
      </c>
      <c r="AW962">
        <v>1.93</v>
      </c>
      <c r="AX962">
        <v>2.33</v>
      </c>
      <c r="AY962">
        <v>3.3</v>
      </c>
      <c r="AZ962">
        <v>181.56299999999999</v>
      </c>
      <c r="BA962">
        <v>0</v>
      </c>
      <c r="BB962">
        <v>0</v>
      </c>
      <c r="BC962">
        <v>0</v>
      </c>
      <c r="BD962">
        <v>0</v>
      </c>
    </row>
    <row r="963" spans="1:56" x14ac:dyDescent="0.25">
      <c r="A963" s="23">
        <v>46304</v>
      </c>
      <c r="B963">
        <v>962</v>
      </c>
      <c r="C963" t="s">
        <v>82</v>
      </c>
      <c r="D963" t="s">
        <v>83</v>
      </c>
      <c r="E963">
        <v>2</v>
      </c>
      <c r="F963">
        <v>180</v>
      </c>
      <c r="G963">
        <v>1</v>
      </c>
      <c r="H963" t="s">
        <v>96</v>
      </c>
      <c r="I963" t="s">
        <v>91</v>
      </c>
      <c r="J963" t="s">
        <v>85</v>
      </c>
      <c r="K963" t="s">
        <v>86</v>
      </c>
      <c r="L963" t="s">
        <v>71</v>
      </c>
      <c r="M963" t="s">
        <v>87</v>
      </c>
      <c r="O963" t="s">
        <v>88</v>
      </c>
      <c r="P963" t="s">
        <v>27</v>
      </c>
      <c r="Q963" t="s">
        <v>73</v>
      </c>
      <c r="R963" t="s">
        <v>76</v>
      </c>
      <c r="S963" t="s">
        <v>74</v>
      </c>
      <c r="T963" t="s">
        <v>75</v>
      </c>
      <c r="X963" t="s">
        <v>77</v>
      </c>
      <c r="Z963" t="s">
        <v>72</v>
      </c>
      <c r="AA963" t="s">
        <v>94</v>
      </c>
      <c r="AB963">
        <v>5</v>
      </c>
      <c r="AC963">
        <v>748813.63</v>
      </c>
      <c r="AD963">
        <v>8930485.7699999996</v>
      </c>
      <c r="AE963">
        <v>195.16</v>
      </c>
      <c r="AF963">
        <v>748813.63</v>
      </c>
      <c r="AG963">
        <v>8930485.7699999996</v>
      </c>
      <c r="AH963">
        <v>179.4</v>
      </c>
      <c r="AI963">
        <v>15.76</v>
      </c>
      <c r="AJ963">
        <v>0.6</v>
      </c>
      <c r="AK963">
        <v>3.37</v>
      </c>
      <c r="AL963">
        <v>2.93</v>
      </c>
      <c r="AM963">
        <v>0</v>
      </c>
      <c r="AN963">
        <v>0</v>
      </c>
      <c r="AO963">
        <v>358</v>
      </c>
      <c r="AP963">
        <v>3.35</v>
      </c>
      <c r="AQ963">
        <v>0.62</v>
      </c>
      <c r="AR963">
        <v>0.1</v>
      </c>
      <c r="AS963">
        <v>7.0000000000000007E-2</v>
      </c>
      <c r="AT963">
        <v>18.309999999999999</v>
      </c>
      <c r="AU963">
        <v>5.69</v>
      </c>
      <c r="AV963">
        <v>0.32</v>
      </c>
      <c r="AW963">
        <v>1.94</v>
      </c>
      <c r="AX963">
        <v>2.2200000000000002</v>
      </c>
      <c r="AY963">
        <v>3.3</v>
      </c>
      <c r="AZ963">
        <v>181.41800000000001</v>
      </c>
      <c r="BA963">
        <v>0</v>
      </c>
      <c r="BB963">
        <v>0</v>
      </c>
      <c r="BC963">
        <v>0</v>
      </c>
      <c r="BD963">
        <v>0</v>
      </c>
    </row>
    <row r="964" spans="1:56" x14ac:dyDescent="0.25">
      <c r="A964" s="23">
        <v>46304</v>
      </c>
      <c r="B964">
        <v>963</v>
      </c>
      <c r="C964" t="s">
        <v>82</v>
      </c>
      <c r="D964" t="s">
        <v>83</v>
      </c>
      <c r="E964">
        <v>2</v>
      </c>
      <c r="F964">
        <v>180</v>
      </c>
      <c r="G964">
        <v>1</v>
      </c>
      <c r="H964" t="s">
        <v>96</v>
      </c>
      <c r="I964" t="s">
        <v>91</v>
      </c>
      <c r="J964" t="s">
        <v>85</v>
      </c>
      <c r="K964" t="s">
        <v>86</v>
      </c>
      <c r="L964" t="s">
        <v>71</v>
      </c>
      <c r="M964" t="s">
        <v>87</v>
      </c>
      <c r="O964" t="s">
        <v>88</v>
      </c>
      <c r="P964" t="s">
        <v>27</v>
      </c>
      <c r="Q964" t="s">
        <v>73</v>
      </c>
      <c r="R964" t="s">
        <v>76</v>
      </c>
      <c r="S964" t="s">
        <v>74</v>
      </c>
      <c r="T964" t="s">
        <v>75</v>
      </c>
      <c r="X964" t="s">
        <v>77</v>
      </c>
      <c r="Z964" t="s">
        <v>72</v>
      </c>
      <c r="AA964" t="s">
        <v>94</v>
      </c>
      <c r="AB964">
        <v>5</v>
      </c>
      <c r="AC964">
        <v>748816.85</v>
      </c>
      <c r="AD964">
        <v>8930486.7300000004</v>
      </c>
      <c r="AE964">
        <v>195.1</v>
      </c>
      <c r="AF964">
        <v>748816.85</v>
      </c>
      <c r="AG964">
        <v>8930486.7300000004</v>
      </c>
      <c r="AH964">
        <v>179.4</v>
      </c>
      <c r="AI964">
        <v>15.7</v>
      </c>
      <c r="AJ964">
        <v>0.6</v>
      </c>
      <c r="AK964">
        <v>3.37</v>
      </c>
      <c r="AL964">
        <v>2.93</v>
      </c>
      <c r="AM964">
        <v>0</v>
      </c>
      <c r="AN964">
        <v>0</v>
      </c>
      <c r="AO964">
        <v>358</v>
      </c>
      <c r="AP964">
        <v>3.35</v>
      </c>
      <c r="AQ964">
        <v>0.62</v>
      </c>
      <c r="AR964">
        <v>0.1</v>
      </c>
      <c r="AS964">
        <v>7.0000000000000007E-2</v>
      </c>
      <c r="AT964">
        <v>18.309999999999999</v>
      </c>
      <c r="AU964">
        <v>5.69</v>
      </c>
      <c r="AV964">
        <v>0.32</v>
      </c>
      <c r="AW964">
        <v>1.94</v>
      </c>
      <c r="AX964">
        <v>2.2000000000000002</v>
      </c>
      <c r="AY964">
        <v>3.3</v>
      </c>
      <c r="AZ964">
        <v>180.54400000000001</v>
      </c>
      <c r="BA964">
        <v>0</v>
      </c>
      <c r="BB964">
        <v>0</v>
      </c>
      <c r="BC964">
        <v>0</v>
      </c>
      <c r="BD964">
        <v>0</v>
      </c>
    </row>
    <row r="965" spans="1:56" x14ac:dyDescent="0.25">
      <c r="A965" s="23">
        <v>46304</v>
      </c>
      <c r="B965">
        <v>964</v>
      </c>
      <c r="C965" t="s">
        <v>82</v>
      </c>
      <c r="D965" t="s">
        <v>83</v>
      </c>
      <c r="E965">
        <v>2</v>
      </c>
      <c r="F965">
        <v>180</v>
      </c>
      <c r="G965">
        <v>1</v>
      </c>
      <c r="H965" t="s">
        <v>96</v>
      </c>
      <c r="I965" t="s">
        <v>91</v>
      </c>
      <c r="J965" t="s">
        <v>85</v>
      </c>
      <c r="K965" t="s">
        <v>86</v>
      </c>
      <c r="L965" t="s">
        <v>71</v>
      </c>
      <c r="M965" t="s">
        <v>87</v>
      </c>
      <c r="O965" t="s">
        <v>88</v>
      </c>
      <c r="P965" t="s">
        <v>27</v>
      </c>
      <c r="Q965" t="s">
        <v>73</v>
      </c>
      <c r="R965" t="s">
        <v>76</v>
      </c>
      <c r="S965" t="s">
        <v>74</v>
      </c>
      <c r="T965" t="s">
        <v>75</v>
      </c>
      <c r="X965" t="s">
        <v>77</v>
      </c>
      <c r="Z965" t="s">
        <v>72</v>
      </c>
      <c r="AA965" t="s">
        <v>94</v>
      </c>
      <c r="AB965">
        <v>5</v>
      </c>
      <c r="AC965">
        <v>748820.15</v>
      </c>
      <c r="AD965">
        <v>8930487.4100000001</v>
      </c>
      <c r="AE965">
        <v>195.02</v>
      </c>
      <c r="AF965">
        <v>748820.15</v>
      </c>
      <c r="AG965">
        <v>8930487.4100000001</v>
      </c>
      <c r="AH965">
        <v>179.4</v>
      </c>
      <c r="AI965">
        <v>15.62</v>
      </c>
      <c r="AJ965">
        <v>0.6</v>
      </c>
      <c r="AK965">
        <v>3.37</v>
      </c>
      <c r="AL965">
        <v>2.93</v>
      </c>
      <c r="AM965">
        <v>0</v>
      </c>
      <c r="AN965">
        <v>0</v>
      </c>
      <c r="AO965">
        <v>358</v>
      </c>
      <c r="AP965">
        <v>3.34</v>
      </c>
      <c r="AQ965">
        <v>0.56999999999999995</v>
      </c>
      <c r="AR965">
        <v>0.09</v>
      </c>
      <c r="AS965">
        <v>7.0000000000000007E-2</v>
      </c>
      <c r="AT965">
        <v>17.989999999999998</v>
      </c>
      <c r="AU965">
        <v>5.64</v>
      </c>
      <c r="AV965">
        <v>0.32</v>
      </c>
      <c r="AW965">
        <v>1.77</v>
      </c>
      <c r="AX965">
        <v>0.99</v>
      </c>
      <c r="AY965">
        <v>3.3</v>
      </c>
      <c r="AZ965">
        <v>179.37899999999999</v>
      </c>
      <c r="BA965">
        <v>0</v>
      </c>
      <c r="BB965">
        <v>0</v>
      </c>
      <c r="BC965">
        <v>0</v>
      </c>
      <c r="BD965">
        <v>0</v>
      </c>
    </row>
    <row r="966" spans="1:56" x14ac:dyDescent="0.25">
      <c r="A966" s="23">
        <v>46304</v>
      </c>
      <c r="B966">
        <v>965</v>
      </c>
      <c r="C966" t="s">
        <v>82</v>
      </c>
      <c r="D966" t="s">
        <v>83</v>
      </c>
      <c r="E966">
        <v>2</v>
      </c>
      <c r="F966">
        <v>180</v>
      </c>
      <c r="G966">
        <v>1</v>
      </c>
      <c r="H966" t="s">
        <v>96</v>
      </c>
      <c r="I966" t="s">
        <v>91</v>
      </c>
      <c r="J966" t="s">
        <v>85</v>
      </c>
      <c r="K966" t="s">
        <v>86</v>
      </c>
      <c r="L966" t="s">
        <v>71</v>
      </c>
      <c r="M966" t="s">
        <v>87</v>
      </c>
      <c r="O966" t="s">
        <v>88</v>
      </c>
      <c r="P966" t="s">
        <v>27</v>
      </c>
      <c r="Q966" t="s">
        <v>73</v>
      </c>
      <c r="R966" t="s">
        <v>76</v>
      </c>
      <c r="S966" t="s">
        <v>74</v>
      </c>
      <c r="T966" t="s">
        <v>75</v>
      </c>
      <c r="X966" t="s">
        <v>77</v>
      </c>
      <c r="Z966" t="s">
        <v>72</v>
      </c>
      <c r="AA966" t="s">
        <v>94</v>
      </c>
      <c r="AB966">
        <v>5</v>
      </c>
      <c r="AC966">
        <v>748823.45</v>
      </c>
      <c r="AD966">
        <v>8930488.0999999996</v>
      </c>
      <c r="AE966">
        <v>195.03</v>
      </c>
      <c r="AF966">
        <v>748823.45</v>
      </c>
      <c r="AG966">
        <v>8930488.0999999996</v>
      </c>
      <c r="AH966">
        <v>179.4</v>
      </c>
      <c r="AI966">
        <v>15.63</v>
      </c>
      <c r="AJ966">
        <v>0.6</v>
      </c>
      <c r="AK966">
        <v>3.37</v>
      </c>
      <c r="AL966">
        <v>2.93</v>
      </c>
      <c r="AM966">
        <v>0</v>
      </c>
      <c r="AN966">
        <v>0</v>
      </c>
      <c r="AO966">
        <v>358</v>
      </c>
      <c r="AP966">
        <v>3.33</v>
      </c>
      <c r="AQ966">
        <v>0.53</v>
      </c>
      <c r="AR966">
        <v>0.09</v>
      </c>
      <c r="AS966">
        <v>7.0000000000000007E-2</v>
      </c>
      <c r="AT966">
        <v>17.72</v>
      </c>
      <c r="AU966">
        <v>5.58</v>
      </c>
      <c r="AV966">
        <v>0.33</v>
      </c>
      <c r="AW966">
        <v>1.64</v>
      </c>
      <c r="AX966">
        <v>0</v>
      </c>
      <c r="AY966">
        <v>3.3</v>
      </c>
      <c r="AZ966">
        <v>179.52500000000001</v>
      </c>
      <c r="BA966">
        <v>0</v>
      </c>
      <c r="BB966">
        <v>0</v>
      </c>
      <c r="BC966">
        <v>0</v>
      </c>
      <c r="BD966">
        <v>0</v>
      </c>
    </row>
    <row r="967" spans="1:56" x14ac:dyDescent="0.25">
      <c r="A967" s="23">
        <v>46304</v>
      </c>
      <c r="B967">
        <v>966</v>
      </c>
      <c r="C967" t="s">
        <v>82</v>
      </c>
      <c r="D967" t="s">
        <v>83</v>
      </c>
      <c r="E967">
        <v>2</v>
      </c>
      <c r="F967">
        <v>180</v>
      </c>
      <c r="G967">
        <v>1</v>
      </c>
      <c r="H967" t="s">
        <v>96</v>
      </c>
      <c r="I967" t="s">
        <v>91</v>
      </c>
      <c r="J967" t="s">
        <v>85</v>
      </c>
      <c r="K967" t="s">
        <v>86</v>
      </c>
      <c r="L967" t="s">
        <v>71</v>
      </c>
      <c r="M967" t="s">
        <v>87</v>
      </c>
      <c r="O967" t="s">
        <v>88</v>
      </c>
      <c r="P967" t="s">
        <v>27</v>
      </c>
      <c r="Q967" t="s">
        <v>73</v>
      </c>
      <c r="R967" t="s">
        <v>76</v>
      </c>
      <c r="S967" t="s">
        <v>74</v>
      </c>
      <c r="T967" t="s">
        <v>75</v>
      </c>
      <c r="X967" t="s">
        <v>77</v>
      </c>
      <c r="Z967" t="s">
        <v>72</v>
      </c>
      <c r="AA967" t="s">
        <v>94</v>
      </c>
      <c r="AB967">
        <v>5</v>
      </c>
      <c r="AC967">
        <v>748826.75</v>
      </c>
      <c r="AD967">
        <v>8930488.7799999993</v>
      </c>
      <c r="AE967">
        <v>195.04</v>
      </c>
      <c r="AF967">
        <v>748826.75</v>
      </c>
      <c r="AG967">
        <v>8930488.7799999993</v>
      </c>
      <c r="AH967">
        <v>179.4</v>
      </c>
      <c r="AI967">
        <v>15.64</v>
      </c>
      <c r="AJ967">
        <v>0.6</v>
      </c>
      <c r="AK967">
        <v>3.37</v>
      </c>
      <c r="AL967">
        <v>2.93</v>
      </c>
      <c r="AM967">
        <v>0</v>
      </c>
      <c r="AN967">
        <v>0</v>
      </c>
      <c r="AO967">
        <v>358</v>
      </c>
      <c r="AP967">
        <v>3.33</v>
      </c>
      <c r="AQ967">
        <v>0.54</v>
      </c>
      <c r="AR967">
        <v>0.09</v>
      </c>
      <c r="AS967">
        <v>7.0000000000000007E-2</v>
      </c>
      <c r="AT967">
        <v>17.75</v>
      </c>
      <c r="AU967">
        <v>5.57</v>
      </c>
      <c r="AV967">
        <v>0.33</v>
      </c>
      <c r="AW967">
        <v>1.64</v>
      </c>
      <c r="AX967">
        <v>0</v>
      </c>
      <c r="AY967">
        <v>3.3</v>
      </c>
      <c r="AZ967">
        <v>179.67</v>
      </c>
      <c r="BA967">
        <v>0</v>
      </c>
      <c r="BB967">
        <v>0</v>
      </c>
      <c r="BC967">
        <v>0</v>
      </c>
      <c r="BD967">
        <v>0</v>
      </c>
    </row>
    <row r="968" spans="1:56" x14ac:dyDescent="0.25">
      <c r="A968" s="23">
        <v>46304</v>
      </c>
      <c r="B968">
        <v>967</v>
      </c>
      <c r="C968" t="s">
        <v>82</v>
      </c>
      <c r="D968" t="s">
        <v>83</v>
      </c>
      <c r="E968">
        <v>2</v>
      </c>
      <c r="F968">
        <v>180</v>
      </c>
      <c r="G968">
        <v>1</v>
      </c>
      <c r="H968" t="s">
        <v>96</v>
      </c>
      <c r="I968" t="s">
        <v>91</v>
      </c>
      <c r="J968" t="s">
        <v>85</v>
      </c>
      <c r="K968" t="s">
        <v>86</v>
      </c>
      <c r="L968" t="s">
        <v>71</v>
      </c>
      <c r="M968" t="s">
        <v>87</v>
      </c>
      <c r="O968" t="s">
        <v>88</v>
      </c>
      <c r="P968" t="s">
        <v>27</v>
      </c>
      <c r="Q968" t="s">
        <v>73</v>
      </c>
      <c r="R968" t="s">
        <v>76</v>
      </c>
      <c r="S968" t="s">
        <v>74</v>
      </c>
      <c r="T968" t="s">
        <v>75</v>
      </c>
      <c r="X968" t="s">
        <v>77</v>
      </c>
      <c r="Z968" t="s">
        <v>72</v>
      </c>
      <c r="AA968" t="s">
        <v>94</v>
      </c>
      <c r="AB968">
        <v>5</v>
      </c>
      <c r="AC968">
        <v>748830.06</v>
      </c>
      <c r="AD968">
        <v>8930489.4600000009</v>
      </c>
      <c r="AE968">
        <v>195.02</v>
      </c>
      <c r="AF968">
        <v>748830.06</v>
      </c>
      <c r="AG968">
        <v>8930489.4600000009</v>
      </c>
      <c r="AH968">
        <v>179.4</v>
      </c>
      <c r="AI968">
        <v>15.62</v>
      </c>
      <c r="AJ968">
        <v>0.6</v>
      </c>
      <c r="AK968">
        <v>3.37</v>
      </c>
      <c r="AL968">
        <v>2.93</v>
      </c>
      <c r="AM968">
        <v>0</v>
      </c>
      <c r="AN968">
        <v>0</v>
      </c>
      <c r="AO968">
        <v>358</v>
      </c>
      <c r="AP968">
        <v>3.3</v>
      </c>
      <c r="AQ968">
        <v>0.55000000000000004</v>
      </c>
      <c r="AR968">
        <v>0.08</v>
      </c>
      <c r="AS968">
        <v>0.06</v>
      </c>
      <c r="AT968">
        <v>17.73</v>
      </c>
      <c r="AU968">
        <v>5.48</v>
      </c>
      <c r="AV968">
        <v>0.33</v>
      </c>
      <c r="AW968">
        <v>1.68</v>
      </c>
      <c r="AX968">
        <v>0</v>
      </c>
      <c r="AY968">
        <v>3.3</v>
      </c>
      <c r="AZ968">
        <v>179.37899999999999</v>
      </c>
      <c r="BA968">
        <v>0</v>
      </c>
      <c r="BB968">
        <v>0</v>
      </c>
      <c r="BC968">
        <v>0</v>
      </c>
      <c r="BD968">
        <v>0</v>
      </c>
    </row>
    <row r="969" spans="1:56" x14ac:dyDescent="0.25">
      <c r="A969" s="23">
        <v>46304</v>
      </c>
      <c r="B969">
        <v>968</v>
      </c>
      <c r="C969" t="s">
        <v>82</v>
      </c>
      <c r="D969" t="s">
        <v>83</v>
      </c>
      <c r="E969">
        <v>2</v>
      </c>
      <c r="F969">
        <v>180</v>
      </c>
      <c r="G969">
        <v>1</v>
      </c>
      <c r="H969" t="s">
        <v>96</v>
      </c>
      <c r="I969" t="s">
        <v>91</v>
      </c>
      <c r="J969" t="s">
        <v>85</v>
      </c>
      <c r="K969" t="s">
        <v>86</v>
      </c>
      <c r="L969" t="s">
        <v>71</v>
      </c>
      <c r="M969" t="s">
        <v>87</v>
      </c>
      <c r="O969" t="s">
        <v>88</v>
      </c>
      <c r="P969" t="s">
        <v>27</v>
      </c>
      <c r="Q969" t="s">
        <v>73</v>
      </c>
      <c r="R969" t="s">
        <v>76</v>
      </c>
      <c r="S969" t="s">
        <v>74</v>
      </c>
      <c r="T969" t="s">
        <v>75</v>
      </c>
      <c r="X969" t="s">
        <v>77</v>
      </c>
      <c r="Z969" t="s">
        <v>72</v>
      </c>
      <c r="AA969" t="s">
        <v>94</v>
      </c>
      <c r="AB969">
        <v>5</v>
      </c>
      <c r="AC969">
        <v>748830.31</v>
      </c>
      <c r="AD969">
        <v>8930486.5199999996</v>
      </c>
      <c r="AE969">
        <v>195.02</v>
      </c>
      <c r="AF969">
        <v>748830.31</v>
      </c>
      <c r="AG969">
        <v>8930486.5199999996</v>
      </c>
      <c r="AH969">
        <v>179.4</v>
      </c>
      <c r="AI969">
        <v>15.62</v>
      </c>
      <c r="AJ969">
        <v>0.6</v>
      </c>
      <c r="AK969">
        <v>3.37</v>
      </c>
      <c r="AL969">
        <v>2.93</v>
      </c>
      <c r="AM969">
        <v>0</v>
      </c>
      <c r="AN969">
        <v>0</v>
      </c>
      <c r="AO969">
        <v>358</v>
      </c>
      <c r="AP969">
        <v>3.29</v>
      </c>
      <c r="AQ969">
        <v>0.55000000000000004</v>
      </c>
      <c r="AR969">
        <v>0.08</v>
      </c>
      <c r="AS969">
        <v>7.0000000000000007E-2</v>
      </c>
      <c r="AT969">
        <v>17.78</v>
      </c>
      <c r="AU969">
        <v>5.56</v>
      </c>
      <c r="AV969">
        <v>0.32</v>
      </c>
      <c r="AW969">
        <v>1.74</v>
      </c>
      <c r="AX969">
        <v>0</v>
      </c>
      <c r="AY969">
        <v>3.3</v>
      </c>
      <c r="AZ969">
        <v>179.37899999999999</v>
      </c>
      <c r="BA969">
        <v>0</v>
      </c>
      <c r="BB969">
        <v>0</v>
      </c>
      <c r="BC969">
        <v>0</v>
      </c>
      <c r="BD969">
        <v>0</v>
      </c>
    </row>
    <row r="970" spans="1:56" x14ac:dyDescent="0.25">
      <c r="A970" s="23">
        <v>46304</v>
      </c>
      <c r="B970">
        <v>969</v>
      </c>
      <c r="C970" t="s">
        <v>82</v>
      </c>
      <c r="D970" t="s">
        <v>83</v>
      </c>
      <c r="E970">
        <v>2</v>
      </c>
      <c r="F970">
        <v>180</v>
      </c>
      <c r="G970">
        <v>1</v>
      </c>
      <c r="H970" t="s">
        <v>96</v>
      </c>
      <c r="I970" t="s">
        <v>91</v>
      </c>
      <c r="J970" t="s">
        <v>85</v>
      </c>
      <c r="K970" t="s">
        <v>86</v>
      </c>
      <c r="L970" t="s">
        <v>71</v>
      </c>
      <c r="M970" t="s">
        <v>87</v>
      </c>
      <c r="O970" t="s">
        <v>88</v>
      </c>
      <c r="P970" t="s">
        <v>27</v>
      </c>
      <c r="Q970" t="s">
        <v>73</v>
      </c>
      <c r="R970" t="s">
        <v>76</v>
      </c>
      <c r="S970" t="s">
        <v>74</v>
      </c>
      <c r="T970" t="s">
        <v>75</v>
      </c>
      <c r="X970" t="s">
        <v>77</v>
      </c>
      <c r="Z970" t="s">
        <v>72</v>
      </c>
      <c r="AA970" t="s">
        <v>94</v>
      </c>
      <c r="AB970">
        <v>5</v>
      </c>
      <c r="AC970">
        <v>748827.01</v>
      </c>
      <c r="AD970">
        <v>8930485.8399999999</v>
      </c>
      <c r="AE970">
        <v>195.01</v>
      </c>
      <c r="AF970">
        <v>748827.01</v>
      </c>
      <c r="AG970">
        <v>8930485.8399999999</v>
      </c>
      <c r="AH970">
        <v>179.4</v>
      </c>
      <c r="AI970">
        <v>15.61</v>
      </c>
      <c r="AJ970">
        <v>0.6</v>
      </c>
      <c r="AK970">
        <v>3.37</v>
      </c>
      <c r="AL970">
        <v>2.93</v>
      </c>
      <c r="AM970">
        <v>0</v>
      </c>
      <c r="AN970">
        <v>0</v>
      </c>
      <c r="AO970">
        <v>358</v>
      </c>
      <c r="AP970">
        <v>3.33</v>
      </c>
      <c r="AQ970">
        <v>0.53</v>
      </c>
      <c r="AR970">
        <v>0.09</v>
      </c>
      <c r="AS970">
        <v>7.0000000000000007E-2</v>
      </c>
      <c r="AT970">
        <v>17.72</v>
      </c>
      <c r="AU970">
        <v>5.59</v>
      </c>
      <c r="AV970">
        <v>0.33</v>
      </c>
      <c r="AW970">
        <v>1.64</v>
      </c>
      <c r="AX970">
        <v>0</v>
      </c>
      <c r="AY970">
        <v>3.3</v>
      </c>
      <c r="AZ970">
        <v>179.23400000000001</v>
      </c>
      <c r="BA970">
        <v>0</v>
      </c>
      <c r="BB970">
        <v>0</v>
      </c>
      <c r="BC970">
        <v>0</v>
      </c>
      <c r="BD970">
        <v>0</v>
      </c>
    </row>
    <row r="971" spans="1:56" x14ac:dyDescent="0.25">
      <c r="A971" s="23">
        <v>46304</v>
      </c>
      <c r="B971">
        <v>970</v>
      </c>
      <c r="C971" t="s">
        <v>82</v>
      </c>
      <c r="D971" t="s">
        <v>83</v>
      </c>
      <c r="E971">
        <v>2</v>
      </c>
      <c r="F971">
        <v>180</v>
      </c>
      <c r="G971">
        <v>1</v>
      </c>
      <c r="H971" t="s">
        <v>96</v>
      </c>
      <c r="I971" t="s">
        <v>91</v>
      </c>
      <c r="J971" t="s">
        <v>85</v>
      </c>
      <c r="K971" t="s">
        <v>86</v>
      </c>
      <c r="L971" t="s">
        <v>71</v>
      </c>
      <c r="M971" t="s">
        <v>87</v>
      </c>
      <c r="O971" t="s">
        <v>88</v>
      </c>
      <c r="P971" t="s">
        <v>27</v>
      </c>
      <c r="Q971" t="s">
        <v>73</v>
      </c>
      <c r="R971" t="s">
        <v>76</v>
      </c>
      <c r="S971" t="s">
        <v>74</v>
      </c>
      <c r="T971" t="s">
        <v>75</v>
      </c>
      <c r="X971" t="s">
        <v>77</v>
      </c>
      <c r="Z971" t="s">
        <v>72</v>
      </c>
      <c r="AA971" t="s">
        <v>94</v>
      </c>
      <c r="AB971">
        <v>5</v>
      </c>
      <c r="AC971">
        <v>748823.71</v>
      </c>
      <c r="AD971">
        <v>8930485.1600000001</v>
      </c>
      <c r="AE971">
        <v>195.09</v>
      </c>
      <c r="AF971">
        <v>748823.71</v>
      </c>
      <c r="AG971">
        <v>8930485.1600000001</v>
      </c>
      <c r="AH971">
        <v>179.4</v>
      </c>
      <c r="AI971">
        <v>15.69</v>
      </c>
      <c r="AJ971">
        <v>0.6</v>
      </c>
      <c r="AK971">
        <v>3.37</v>
      </c>
      <c r="AL971">
        <v>2.93</v>
      </c>
      <c r="AM971">
        <v>0</v>
      </c>
      <c r="AN971">
        <v>0</v>
      </c>
      <c r="AO971">
        <v>358</v>
      </c>
      <c r="AP971">
        <v>3.33</v>
      </c>
      <c r="AQ971">
        <v>0.53</v>
      </c>
      <c r="AR971">
        <v>0.09</v>
      </c>
      <c r="AS971">
        <v>7.0000000000000007E-2</v>
      </c>
      <c r="AT971">
        <v>17.72</v>
      </c>
      <c r="AU971">
        <v>5.58</v>
      </c>
      <c r="AV971">
        <v>0.33</v>
      </c>
      <c r="AW971">
        <v>1.64</v>
      </c>
      <c r="AX971">
        <v>0</v>
      </c>
      <c r="AY971">
        <v>3.3</v>
      </c>
      <c r="AZ971">
        <v>180.398</v>
      </c>
      <c r="BA971">
        <v>0</v>
      </c>
      <c r="BB971">
        <v>0</v>
      </c>
      <c r="BC971">
        <v>0</v>
      </c>
      <c r="BD971">
        <v>0</v>
      </c>
    </row>
    <row r="972" spans="1:56" x14ac:dyDescent="0.25">
      <c r="A972" s="23">
        <v>46304</v>
      </c>
      <c r="B972">
        <v>971</v>
      </c>
      <c r="C972" t="s">
        <v>82</v>
      </c>
      <c r="D972" t="s">
        <v>83</v>
      </c>
      <c r="E972">
        <v>2</v>
      </c>
      <c r="F972">
        <v>180</v>
      </c>
      <c r="G972">
        <v>1</v>
      </c>
      <c r="H972" t="s">
        <v>96</v>
      </c>
      <c r="I972" t="s">
        <v>91</v>
      </c>
      <c r="J972" t="s">
        <v>85</v>
      </c>
      <c r="K972" t="s">
        <v>86</v>
      </c>
      <c r="L972" t="s">
        <v>71</v>
      </c>
      <c r="M972" t="s">
        <v>87</v>
      </c>
      <c r="O972" t="s">
        <v>88</v>
      </c>
      <c r="P972" t="s">
        <v>27</v>
      </c>
      <c r="Q972" t="s">
        <v>73</v>
      </c>
      <c r="R972" t="s">
        <v>76</v>
      </c>
      <c r="S972" t="s">
        <v>74</v>
      </c>
      <c r="T972" t="s">
        <v>75</v>
      </c>
      <c r="X972" t="s">
        <v>77</v>
      </c>
      <c r="Z972" t="s">
        <v>72</v>
      </c>
      <c r="AA972" t="s">
        <v>94</v>
      </c>
      <c r="AB972">
        <v>5</v>
      </c>
      <c r="AC972">
        <v>748820.41</v>
      </c>
      <c r="AD972">
        <v>8930484.4800000004</v>
      </c>
      <c r="AE972">
        <v>195.16</v>
      </c>
      <c r="AF972">
        <v>748820.41</v>
      </c>
      <c r="AG972">
        <v>8930484.4800000004</v>
      </c>
      <c r="AH972">
        <v>179.4</v>
      </c>
      <c r="AI972">
        <v>15.76</v>
      </c>
      <c r="AJ972">
        <v>0.6</v>
      </c>
      <c r="AK972">
        <v>3.37</v>
      </c>
      <c r="AL972">
        <v>2.93</v>
      </c>
      <c r="AM972">
        <v>0</v>
      </c>
      <c r="AN972">
        <v>0</v>
      </c>
      <c r="AO972">
        <v>358</v>
      </c>
      <c r="AP972">
        <v>3.34</v>
      </c>
      <c r="AQ972">
        <v>0.56999999999999995</v>
      </c>
      <c r="AR972">
        <v>0.09</v>
      </c>
      <c r="AS972">
        <v>7.0000000000000007E-2</v>
      </c>
      <c r="AT972">
        <v>17.95</v>
      </c>
      <c r="AU972">
        <v>5.62</v>
      </c>
      <c r="AV972">
        <v>0.32</v>
      </c>
      <c r="AW972">
        <v>1.75</v>
      </c>
      <c r="AX972">
        <v>0.84</v>
      </c>
      <c r="AY972">
        <v>3.3</v>
      </c>
      <c r="AZ972">
        <v>181.41800000000001</v>
      </c>
      <c r="BA972">
        <v>0</v>
      </c>
      <c r="BB972">
        <v>0</v>
      </c>
      <c r="BC972">
        <v>0</v>
      </c>
      <c r="BD972">
        <v>0</v>
      </c>
    </row>
    <row r="973" spans="1:56" x14ac:dyDescent="0.25">
      <c r="A973" s="23">
        <v>46304</v>
      </c>
      <c r="B973">
        <v>972</v>
      </c>
      <c r="C973" t="s">
        <v>82</v>
      </c>
      <c r="D973" t="s">
        <v>83</v>
      </c>
      <c r="E973">
        <v>2</v>
      </c>
      <c r="F973">
        <v>180</v>
      </c>
      <c r="G973">
        <v>1</v>
      </c>
      <c r="H973" t="s">
        <v>96</v>
      </c>
      <c r="I973" t="s">
        <v>91</v>
      </c>
      <c r="J973" t="s">
        <v>85</v>
      </c>
      <c r="K973" t="s">
        <v>86</v>
      </c>
      <c r="L973" t="s">
        <v>71</v>
      </c>
      <c r="M973" t="s">
        <v>87</v>
      </c>
      <c r="O973" t="s">
        <v>88</v>
      </c>
      <c r="P973" t="s">
        <v>27</v>
      </c>
      <c r="Q973" t="s">
        <v>73</v>
      </c>
      <c r="R973" t="s">
        <v>76</v>
      </c>
      <c r="S973" t="s">
        <v>74</v>
      </c>
      <c r="T973" t="s">
        <v>75</v>
      </c>
      <c r="X973" t="s">
        <v>77</v>
      </c>
      <c r="Z973" t="s">
        <v>72</v>
      </c>
      <c r="AA973" t="s">
        <v>94</v>
      </c>
      <c r="AB973">
        <v>5</v>
      </c>
      <c r="AC973">
        <v>748817.11</v>
      </c>
      <c r="AD973">
        <v>8930483.7899999991</v>
      </c>
      <c r="AE973">
        <v>195.34</v>
      </c>
      <c r="AF973">
        <v>748817.11</v>
      </c>
      <c r="AG973">
        <v>8930483.7899999991</v>
      </c>
      <c r="AH973">
        <v>179.4</v>
      </c>
      <c r="AI973">
        <v>15.94</v>
      </c>
      <c r="AJ973">
        <v>0.6</v>
      </c>
      <c r="AK973">
        <v>3.37</v>
      </c>
      <c r="AL973">
        <v>2.93</v>
      </c>
      <c r="AM973">
        <v>0</v>
      </c>
      <c r="AN973">
        <v>0</v>
      </c>
      <c r="AO973">
        <v>358</v>
      </c>
      <c r="AP973">
        <v>3.35</v>
      </c>
      <c r="AQ973">
        <v>0.62</v>
      </c>
      <c r="AR973">
        <v>0.1</v>
      </c>
      <c r="AS973">
        <v>7.0000000000000007E-2</v>
      </c>
      <c r="AT973">
        <v>18.32</v>
      </c>
      <c r="AU973">
        <v>5.69</v>
      </c>
      <c r="AV973">
        <v>0.32</v>
      </c>
      <c r="AW973">
        <v>1.94</v>
      </c>
      <c r="AX973">
        <v>2.27</v>
      </c>
      <c r="AY973">
        <v>3.3</v>
      </c>
      <c r="AZ973">
        <v>184.03800000000001</v>
      </c>
      <c r="BA973">
        <v>0</v>
      </c>
      <c r="BB973">
        <v>0</v>
      </c>
      <c r="BC973">
        <v>0</v>
      </c>
      <c r="BD973">
        <v>0</v>
      </c>
    </row>
    <row r="974" spans="1:56" x14ac:dyDescent="0.25">
      <c r="A974" s="23">
        <v>46304</v>
      </c>
      <c r="B974">
        <v>973</v>
      </c>
      <c r="C974" t="s">
        <v>82</v>
      </c>
      <c r="D974" t="s">
        <v>83</v>
      </c>
      <c r="E974">
        <v>2</v>
      </c>
      <c r="F974">
        <v>180</v>
      </c>
      <c r="G974">
        <v>1</v>
      </c>
      <c r="H974" t="s">
        <v>96</v>
      </c>
      <c r="I974" t="s">
        <v>91</v>
      </c>
      <c r="J974" t="s">
        <v>85</v>
      </c>
      <c r="K974" t="s">
        <v>86</v>
      </c>
      <c r="L974" t="s">
        <v>71</v>
      </c>
      <c r="M974" t="s">
        <v>87</v>
      </c>
      <c r="O974" t="s">
        <v>88</v>
      </c>
      <c r="P974" t="s">
        <v>27</v>
      </c>
      <c r="Q974" t="s">
        <v>73</v>
      </c>
      <c r="R974" t="s">
        <v>76</v>
      </c>
      <c r="S974" t="s">
        <v>74</v>
      </c>
      <c r="T974" t="s">
        <v>75</v>
      </c>
      <c r="X974" t="s">
        <v>77</v>
      </c>
      <c r="Z974" t="s">
        <v>72</v>
      </c>
      <c r="AA974" t="s">
        <v>94</v>
      </c>
      <c r="AB974">
        <v>5</v>
      </c>
      <c r="AC974">
        <v>748813.22</v>
      </c>
      <c r="AD974">
        <v>8930482.6799999997</v>
      </c>
      <c r="AE974">
        <v>195.36</v>
      </c>
      <c r="AF974">
        <v>748813.22</v>
      </c>
      <c r="AG974">
        <v>8930482.6799999997</v>
      </c>
      <c r="AH974">
        <v>179.4</v>
      </c>
      <c r="AI974">
        <v>15.96</v>
      </c>
      <c r="AJ974">
        <v>0.6</v>
      </c>
      <c r="AK974">
        <v>3.37</v>
      </c>
      <c r="AL974">
        <v>2.93</v>
      </c>
      <c r="AM974">
        <v>0</v>
      </c>
      <c r="AN974">
        <v>0</v>
      </c>
      <c r="AO974">
        <v>358</v>
      </c>
      <c r="AP974">
        <v>3.35</v>
      </c>
      <c r="AQ974">
        <v>0.62</v>
      </c>
      <c r="AR974">
        <v>0.1</v>
      </c>
      <c r="AS974">
        <v>7.0000000000000007E-2</v>
      </c>
      <c r="AT974">
        <v>18.32</v>
      </c>
      <c r="AU974">
        <v>5.69</v>
      </c>
      <c r="AV974">
        <v>0.32</v>
      </c>
      <c r="AW974">
        <v>1.94</v>
      </c>
      <c r="AX974">
        <v>2.2799999999999998</v>
      </c>
      <c r="AY974">
        <v>3.3</v>
      </c>
      <c r="AZ974">
        <v>184.33</v>
      </c>
      <c r="BA974">
        <v>0</v>
      </c>
      <c r="BB974">
        <v>0</v>
      </c>
      <c r="BC974">
        <v>0</v>
      </c>
      <c r="BD974">
        <v>0</v>
      </c>
    </row>
    <row r="975" spans="1:56" x14ac:dyDescent="0.25">
      <c r="A975" s="23">
        <v>46304</v>
      </c>
      <c r="B975">
        <v>974</v>
      </c>
      <c r="C975" t="s">
        <v>82</v>
      </c>
      <c r="D975" t="s">
        <v>83</v>
      </c>
      <c r="E975">
        <v>2</v>
      </c>
      <c r="F975">
        <v>180</v>
      </c>
      <c r="G975">
        <v>1</v>
      </c>
      <c r="H975" t="s">
        <v>96</v>
      </c>
      <c r="I975" t="s">
        <v>91</v>
      </c>
      <c r="J975" t="s">
        <v>85</v>
      </c>
      <c r="K975" t="s">
        <v>86</v>
      </c>
      <c r="L975" t="s">
        <v>71</v>
      </c>
      <c r="M975" t="s">
        <v>87</v>
      </c>
      <c r="O975" t="s">
        <v>88</v>
      </c>
      <c r="P975" t="s">
        <v>27</v>
      </c>
      <c r="Q975" t="s">
        <v>73</v>
      </c>
      <c r="R975" t="s">
        <v>76</v>
      </c>
      <c r="S975" t="s">
        <v>74</v>
      </c>
      <c r="T975" t="s">
        <v>75</v>
      </c>
      <c r="X975" t="s">
        <v>77</v>
      </c>
      <c r="Z975" t="s">
        <v>72</v>
      </c>
      <c r="AA975" t="s">
        <v>94</v>
      </c>
      <c r="AB975">
        <v>5</v>
      </c>
      <c r="AC975">
        <v>748810.01</v>
      </c>
      <c r="AD975">
        <v>8930481.6799999997</v>
      </c>
      <c r="AE975">
        <v>195.04</v>
      </c>
      <c r="AF975">
        <v>748810.01</v>
      </c>
      <c r="AG975">
        <v>8930481.6799999997</v>
      </c>
      <c r="AH975">
        <v>179.4</v>
      </c>
      <c r="AI975">
        <v>15.64</v>
      </c>
      <c r="AJ975">
        <v>0.6</v>
      </c>
      <c r="AK975">
        <v>3.37</v>
      </c>
      <c r="AL975">
        <v>2.93</v>
      </c>
      <c r="AM975">
        <v>0</v>
      </c>
      <c r="AN975">
        <v>0</v>
      </c>
      <c r="AO975">
        <v>358</v>
      </c>
      <c r="AP975">
        <v>3.37</v>
      </c>
      <c r="AQ975">
        <v>0.62</v>
      </c>
      <c r="AR975">
        <v>0.1</v>
      </c>
      <c r="AS975">
        <v>7.0000000000000007E-2</v>
      </c>
      <c r="AT975">
        <v>18.13</v>
      </c>
      <c r="AU975">
        <v>5.73</v>
      </c>
      <c r="AV975">
        <v>0.32</v>
      </c>
      <c r="AW975">
        <v>1.94</v>
      </c>
      <c r="AX975">
        <v>2.31</v>
      </c>
      <c r="AY975">
        <v>3.3</v>
      </c>
      <c r="AZ975">
        <v>179.67</v>
      </c>
      <c r="BA975">
        <v>0</v>
      </c>
      <c r="BB975">
        <v>0</v>
      </c>
      <c r="BC975">
        <v>0</v>
      </c>
      <c r="BD975">
        <v>0</v>
      </c>
    </row>
    <row r="976" spans="1:56" x14ac:dyDescent="0.25">
      <c r="A976" s="23">
        <v>46304</v>
      </c>
      <c r="B976">
        <v>975</v>
      </c>
      <c r="C976" t="s">
        <v>82</v>
      </c>
      <c r="D976" t="s">
        <v>83</v>
      </c>
      <c r="E976">
        <v>2</v>
      </c>
      <c r="F976">
        <v>180</v>
      </c>
      <c r="G976">
        <v>1</v>
      </c>
      <c r="H976" t="s">
        <v>96</v>
      </c>
      <c r="I976" t="s">
        <v>91</v>
      </c>
      <c r="J976" t="s">
        <v>85</v>
      </c>
      <c r="K976" t="s">
        <v>86</v>
      </c>
      <c r="L976" t="s">
        <v>71</v>
      </c>
      <c r="M976" t="s">
        <v>87</v>
      </c>
      <c r="O976" t="s">
        <v>88</v>
      </c>
      <c r="P976" t="s">
        <v>27</v>
      </c>
      <c r="Q976" t="s">
        <v>73</v>
      </c>
      <c r="R976" t="s">
        <v>76</v>
      </c>
      <c r="S976" t="s">
        <v>74</v>
      </c>
      <c r="T976" t="s">
        <v>75</v>
      </c>
      <c r="X976" t="s">
        <v>77</v>
      </c>
      <c r="Z976" t="s">
        <v>72</v>
      </c>
      <c r="AA976" t="s">
        <v>94</v>
      </c>
      <c r="AB976">
        <v>5</v>
      </c>
      <c r="AC976">
        <v>748806.75</v>
      </c>
      <c r="AD976">
        <v>8930480.8200000003</v>
      </c>
      <c r="AE976">
        <v>194.83</v>
      </c>
      <c r="AF976">
        <v>748806.75</v>
      </c>
      <c r="AG976">
        <v>8930480.8200000003</v>
      </c>
      <c r="AH976">
        <v>179.4</v>
      </c>
      <c r="AI976">
        <v>15.43</v>
      </c>
      <c r="AJ976">
        <v>0.6</v>
      </c>
      <c r="AK976">
        <v>3.37</v>
      </c>
      <c r="AL976">
        <v>2.93</v>
      </c>
      <c r="AM976">
        <v>0</v>
      </c>
      <c r="AN976">
        <v>0</v>
      </c>
      <c r="AO976">
        <v>358</v>
      </c>
      <c r="AP976">
        <v>3.38</v>
      </c>
      <c r="AQ976">
        <v>0.62</v>
      </c>
      <c r="AR976">
        <v>0.1</v>
      </c>
      <c r="AS976">
        <v>7.0000000000000007E-2</v>
      </c>
      <c r="AT976">
        <v>17.989999999999998</v>
      </c>
      <c r="AU976">
        <v>5.9</v>
      </c>
      <c r="AV976">
        <v>0.32</v>
      </c>
      <c r="AW976">
        <v>1.96</v>
      </c>
      <c r="AX976">
        <v>2.35</v>
      </c>
      <c r="AY976">
        <v>3.3</v>
      </c>
      <c r="AZ976">
        <v>176.613</v>
      </c>
      <c r="BA976">
        <v>0</v>
      </c>
      <c r="BB976">
        <v>0</v>
      </c>
      <c r="BC976">
        <v>0</v>
      </c>
      <c r="BD976">
        <v>0</v>
      </c>
    </row>
    <row r="977" spans="1:56" x14ac:dyDescent="0.25">
      <c r="A977" s="23">
        <v>46304</v>
      </c>
      <c r="B977">
        <v>976</v>
      </c>
      <c r="C977" t="s">
        <v>82</v>
      </c>
      <c r="D977" t="s">
        <v>83</v>
      </c>
      <c r="E977">
        <v>2</v>
      </c>
      <c r="F977">
        <v>180</v>
      </c>
      <c r="G977">
        <v>1</v>
      </c>
      <c r="H977" t="s">
        <v>96</v>
      </c>
      <c r="I977" t="s">
        <v>91</v>
      </c>
      <c r="J977" t="s">
        <v>85</v>
      </c>
      <c r="K977" t="s">
        <v>86</v>
      </c>
      <c r="L977" t="s">
        <v>71</v>
      </c>
      <c r="M977" t="s">
        <v>87</v>
      </c>
      <c r="O977" t="s">
        <v>88</v>
      </c>
      <c r="P977" t="s">
        <v>27</v>
      </c>
      <c r="Q977" t="s">
        <v>73</v>
      </c>
      <c r="R977" t="s">
        <v>76</v>
      </c>
      <c r="S977" t="s">
        <v>74</v>
      </c>
      <c r="T977" t="s">
        <v>75</v>
      </c>
      <c r="X977" t="s">
        <v>77</v>
      </c>
      <c r="Z977" t="s">
        <v>72</v>
      </c>
      <c r="AA977" t="s">
        <v>94</v>
      </c>
      <c r="AB977">
        <v>5</v>
      </c>
      <c r="AC977">
        <v>748803.47</v>
      </c>
      <c r="AD977">
        <v>8930480.0500000007</v>
      </c>
      <c r="AE977">
        <v>194.57</v>
      </c>
      <c r="AF977">
        <v>748803.47</v>
      </c>
      <c r="AG977">
        <v>8930480.0500000007</v>
      </c>
      <c r="AH977">
        <v>179.4</v>
      </c>
      <c r="AI977">
        <v>15.17</v>
      </c>
      <c r="AJ977">
        <v>0.6</v>
      </c>
      <c r="AK977">
        <v>3.37</v>
      </c>
      <c r="AL977">
        <v>2.93</v>
      </c>
      <c r="AM977">
        <v>0</v>
      </c>
      <c r="AN977">
        <v>0</v>
      </c>
      <c r="AO977">
        <v>358</v>
      </c>
      <c r="AP977">
        <v>3.38</v>
      </c>
      <c r="AQ977">
        <v>0.64</v>
      </c>
      <c r="AR977">
        <v>0.1</v>
      </c>
      <c r="AS977">
        <v>0.08</v>
      </c>
      <c r="AT977">
        <v>18.02</v>
      </c>
      <c r="AU977">
        <v>6.09</v>
      </c>
      <c r="AV977">
        <v>0.32</v>
      </c>
      <c r="AW977">
        <v>2.0099999999999998</v>
      </c>
      <c r="AX977">
        <v>2.2200000000000002</v>
      </c>
      <c r="AY977">
        <v>3.3</v>
      </c>
      <c r="AZ977">
        <v>172.827</v>
      </c>
      <c r="BA977">
        <v>0</v>
      </c>
      <c r="BB977">
        <v>0</v>
      </c>
      <c r="BC977">
        <v>0</v>
      </c>
      <c r="BD977">
        <v>0</v>
      </c>
    </row>
    <row r="978" spans="1:56" x14ac:dyDescent="0.25">
      <c r="A978" s="23">
        <v>46304</v>
      </c>
      <c r="B978">
        <v>977</v>
      </c>
      <c r="C978" t="s">
        <v>82</v>
      </c>
      <c r="D978" t="s">
        <v>83</v>
      </c>
      <c r="E978">
        <v>2</v>
      </c>
      <c r="F978">
        <v>180</v>
      </c>
      <c r="G978">
        <v>1</v>
      </c>
      <c r="H978" t="s">
        <v>96</v>
      </c>
      <c r="I978" t="s">
        <v>91</v>
      </c>
      <c r="J978" t="s">
        <v>85</v>
      </c>
      <c r="K978" t="s">
        <v>86</v>
      </c>
      <c r="L978" t="s">
        <v>71</v>
      </c>
      <c r="M978" t="s">
        <v>87</v>
      </c>
      <c r="O978" t="s">
        <v>88</v>
      </c>
      <c r="P978" t="s">
        <v>27</v>
      </c>
      <c r="Q978" t="s">
        <v>73</v>
      </c>
      <c r="R978" t="s">
        <v>76</v>
      </c>
      <c r="S978" t="s">
        <v>74</v>
      </c>
      <c r="T978" t="s">
        <v>75</v>
      </c>
      <c r="X978" t="s">
        <v>77</v>
      </c>
      <c r="Z978" t="s">
        <v>72</v>
      </c>
      <c r="AA978" t="s">
        <v>94</v>
      </c>
      <c r="AB978">
        <v>5</v>
      </c>
      <c r="AC978">
        <v>748800.16</v>
      </c>
      <c r="AD978">
        <v>8930479.4199999999</v>
      </c>
      <c r="AE978">
        <v>194.53</v>
      </c>
      <c r="AF978">
        <v>748800.16</v>
      </c>
      <c r="AG978">
        <v>8930479.4199999999</v>
      </c>
      <c r="AH978">
        <v>179.4</v>
      </c>
      <c r="AI978">
        <v>15.13</v>
      </c>
      <c r="AJ978">
        <v>0.6</v>
      </c>
      <c r="AK978">
        <v>3.37</v>
      </c>
      <c r="AL978">
        <v>2.93</v>
      </c>
      <c r="AM978">
        <v>0</v>
      </c>
      <c r="AN978">
        <v>0</v>
      </c>
      <c r="AO978">
        <v>358</v>
      </c>
      <c r="AP978">
        <v>3.4</v>
      </c>
      <c r="AQ978">
        <v>0.65</v>
      </c>
      <c r="AR978">
        <v>0.09</v>
      </c>
      <c r="AS978">
        <v>0.08</v>
      </c>
      <c r="AT978">
        <v>18.260000000000002</v>
      </c>
      <c r="AU978">
        <v>6.34</v>
      </c>
      <c r="AV978">
        <v>0.32</v>
      </c>
      <c r="AW978">
        <v>2.0499999999999998</v>
      </c>
      <c r="AX978">
        <v>2.21</v>
      </c>
      <c r="AY978">
        <v>3.3</v>
      </c>
      <c r="AZ978">
        <v>172.245</v>
      </c>
      <c r="BA978">
        <v>0</v>
      </c>
      <c r="BB978">
        <v>0</v>
      </c>
      <c r="BC978">
        <v>0</v>
      </c>
      <c r="BD978">
        <v>0</v>
      </c>
    </row>
    <row r="979" spans="1:56" x14ac:dyDescent="0.25">
      <c r="A979" s="23">
        <v>46304</v>
      </c>
      <c r="B979">
        <v>978</v>
      </c>
      <c r="C979" t="s">
        <v>82</v>
      </c>
      <c r="D979" t="s">
        <v>83</v>
      </c>
      <c r="E979">
        <v>2</v>
      </c>
      <c r="F979">
        <v>180</v>
      </c>
      <c r="G979">
        <v>1</v>
      </c>
      <c r="H979" t="s">
        <v>96</v>
      </c>
      <c r="I979" t="s">
        <v>91</v>
      </c>
      <c r="J979" t="s">
        <v>85</v>
      </c>
      <c r="K979" t="s">
        <v>86</v>
      </c>
      <c r="L979" t="s">
        <v>71</v>
      </c>
      <c r="M979" t="s">
        <v>87</v>
      </c>
      <c r="O979" t="s">
        <v>88</v>
      </c>
      <c r="P979" t="s">
        <v>27</v>
      </c>
      <c r="Q979" t="s">
        <v>73</v>
      </c>
      <c r="R979" t="s">
        <v>76</v>
      </c>
      <c r="S979" t="s">
        <v>74</v>
      </c>
      <c r="T979" t="s">
        <v>75</v>
      </c>
      <c r="X979" t="s">
        <v>77</v>
      </c>
      <c r="Z979" t="s">
        <v>72</v>
      </c>
      <c r="AA979" t="s">
        <v>94</v>
      </c>
      <c r="AB979">
        <v>5</v>
      </c>
      <c r="AC979">
        <v>748796.84</v>
      </c>
      <c r="AD979">
        <v>8930478.8499999996</v>
      </c>
      <c r="AE979">
        <v>194.33</v>
      </c>
      <c r="AF979">
        <v>748796.84</v>
      </c>
      <c r="AG979">
        <v>8930478.8499999996</v>
      </c>
      <c r="AH979">
        <v>179.4</v>
      </c>
      <c r="AI979">
        <v>14.93</v>
      </c>
      <c r="AJ979">
        <v>0.6</v>
      </c>
      <c r="AK979">
        <v>3.37</v>
      </c>
      <c r="AL979">
        <v>2.93</v>
      </c>
      <c r="AM979">
        <v>0</v>
      </c>
      <c r="AN979">
        <v>0</v>
      </c>
      <c r="AO979">
        <v>358</v>
      </c>
      <c r="AP979">
        <v>3.42</v>
      </c>
      <c r="AQ979">
        <v>0.68</v>
      </c>
      <c r="AR979">
        <v>0.09</v>
      </c>
      <c r="AS979">
        <v>0.08</v>
      </c>
      <c r="AT979">
        <v>18.73</v>
      </c>
      <c r="AU979">
        <v>6.55</v>
      </c>
      <c r="AV979">
        <v>0.32</v>
      </c>
      <c r="AW979">
        <v>2.11</v>
      </c>
      <c r="AX979">
        <v>2.0699999999999998</v>
      </c>
      <c r="AY979">
        <v>3.3</v>
      </c>
      <c r="AZ979">
        <v>169.333</v>
      </c>
      <c r="BA979">
        <v>0</v>
      </c>
      <c r="BB979">
        <v>0</v>
      </c>
      <c r="BC979">
        <v>0</v>
      </c>
      <c r="BD979">
        <v>0</v>
      </c>
    </row>
    <row r="980" spans="1:56" x14ac:dyDescent="0.25">
      <c r="A980" s="23">
        <v>46304</v>
      </c>
      <c r="B980">
        <v>979</v>
      </c>
      <c r="C980" t="s">
        <v>82</v>
      </c>
      <c r="D980" t="s">
        <v>83</v>
      </c>
      <c r="E980">
        <v>2</v>
      </c>
      <c r="F980">
        <v>180</v>
      </c>
      <c r="G980">
        <v>1</v>
      </c>
      <c r="H980" t="s">
        <v>96</v>
      </c>
      <c r="I980" t="s">
        <v>91</v>
      </c>
      <c r="J980" t="s">
        <v>85</v>
      </c>
      <c r="K980" t="s">
        <v>86</v>
      </c>
      <c r="L980" t="s">
        <v>71</v>
      </c>
      <c r="M980" t="s">
        <v>87</v>
      </c>
      <c r="O980" t="s">
        <v>88</v>
      </c>
      <c r="P980" t="s">
        <v>27</v>
      </c>
      <c r="Q980" t="s">
        <v>73</v>
      </c>
      <c r="R980" t="s">
        <v>76</v>
      </c>
      <c r="S980" t="s">
        <v>74</v>
      </c>
      <c r="T980" t="s">
        <v>75</v>
      </c>
      <c r="X980" t="s">
        <v>77</v>
      </c>
      <c r="Z980" t="s">
        <v>72</v>
      </c>
      <c r="AA980" t="s">
        <v>94</v>
      </c>
      <c r="AB980">
        <v>5</v>
      </c>
      <c r="AC980">
        <v>748790.35</v>
      </c>
      <c r="AD980">
        <v>8930477.1899999995</v>
      </c>
      <c r="AE980">
        <v>190.23</v>
      </c>
      <c r="AF980">
        <v>748790.35</v>
      </c>
      <c r="AG980">
        <v>8930477.1899999995</v>
      </c>
      <c r="AH980">
        <v>179.4</v>
      </c>
      <c r="AI980">
        <v>10.83</v>
      </c>
      <c r="AJ980">
        <v>0.6</v>
      </c>
      <c r="AK980">
        <v>3.37</v>
      </c>
      <c r="AL980">
        <v>2.93</v>
      </c>
      <c r="AM980">
        <v>0</v>
      </c>
      <c r="AN980">
        <v>0</v>
      </c>
      <c r="AO980">
        <v>358</v>
      </c>
      <c r="AP980">
        <v>3.42</v>
      </c>
      <c r="AQ980">
        <v>0.61</v>
      </c>
      <c r="AR980">
        <v>0.08</v>
      </c>
      <c r="AS980">
        <v>0.08</v>
      </c>
      <c r="AT980">
        <v>18.11</v>
      </c>
      <c r="AU980">
        <v>6.44</v>
      </c>
      <c r="AV980">
        <v>0.32</v>
      </c>
      <c r="AW980">
        <v>1.92</v>
      </c>
      <c r="AX980">
        <v>0.16</v>
      </c>
      <c r="AY980">
        <v>3.3</v>
      </c>
      <c r="AZ980">
        <v>109.637</v>
      </c>
      <c r="BA980">
        <v>0</v>
      </c>
      <c r="BB980">
        <v>0</v>
      </c>
      <c r="BC980">
        <v>0</v>
      </c>
      <c r="BD980">
        <v>0</v>
      </c>
    </row>
    <row r="981" spans="1:56" x14ac:dyDescent="0.25">
      <c r="A981" s="23">
        <v>46304</v>
      </c>
      <c r="B981">
        <v>980</v>
      </c>
      <c r="C981" t="s">
        <v>82</v>
      </c>
      <c r="D981" t="s">
        <v>83</v>
      </c>
      <c r="E981">
        <v>2</v>
      </c>
      <c r="F981">
        <v>180</v>
      </c>
      <c r="G981">
        <v>1</v>
      </c>
      <c r="H981" t="s">
        <v>96</v>
      </c>
      <c r="I981" t="s">
        <v>91</v>
      </c>
      <c r="J981" t="s">
        <v>85</v>
      </c>
      <c r="K981" t="s">
        <v>86</v>
      </c>
      <c r="L981" t="s">
        <v>71</v>
      </c>
      <c r="M981" t="s">
        <v>87</v>
      </c>
      <c r="O981" t="s">
        <v>88</v>
      </c>
      <c r="P981" t="s">
        <v>27</v>
      </c>
      <c r="Q981" t="s">
        <v>73</v>
      </c>
      <c r="R981" t="s">
        <v>76</v>
      </c>
      <c r="S981" t="s">
        <v>74</v>
      </c>
      <c r="T981" t="s">
        <v>75</v>
      </c>
      <c r="X981" t="s">
        <v>77</v>
      </c>
      <c r="Z981" t="s">
        <v>72</v>
      </c>
      <c r="AA981" t="s">
        <v>94</v>
      </c>
      <c r="AB981">
        <v>5</v>
      </c>
      <c r="AC981">
        <v>748787.38</v>
      </c>
      <c r="AD981">
        <v>8930475.6699999999</v>
      </c>
      <c r="AE981">
        <v>190.51</v>
      </c>
      <c r="AF981">
        <v>748787.38</v>
      </c>
      <c r="AG981">
        <v>8930475.6699999999</v>
      </c>
      <c r="AH981">
        <v>179.4</v>
      </c>
      <c r="AI981">
        <v>11.11</v>
      </c>
      <c r="AJ981">
        <v>0.6</v>
      </c>
      <c r="AK981">
        <v>3.37</v>
      </c>
      <c r="AL981">
        <v>2.93</v>
      </c>
      <c r="AM981">
        <v>0</v>
      </c>
      <c r="AN981">
        <v>0</v>
      </c>
      <c r="AO981">
        <v>358</v>
      </c>
      <c r="AP981">
        <v>3.45</v>
      </c>
      <c r="AQ981">
        <v>0.61</v>
      </c>
      <c r="AR981">
        <v>0.08</v>
      </c>
      <c r="AS981">
        <v>0.08</v>
      </c>
      <c r="AT981">
        <v>18.23</v>
      </c>
      <c r="AU981">
        <v>6.52</v>
      </c>
      <c r="AV981">
        <v>0.32</v>
      </c>
      <c r="AW981">
        <v>1.9</v>
      </c>
      <c r="AX981">
        <v>0.38</v>
      </c>
      <c r="AY981">
        <v>3.3</v>
      </c>
      <c r="AZ981">
        <v>113.714</v>
      </c>
      <c r="BA981">
        <v>0</v>
      </c>
      <c r="BB981">
        <v>0</v>
      </c>
      <c r="BC981">
        <v>0</v>
      </c>
      <c r="BD981">
        <v>0</v>
      </c>
    </row>
    <row r="982" spans="1:56" x14ac:dyDescent="0.25">
      <c r="A982" s="23">
        <v>46304</v>
      </c>
      <c r="B982">
        <v>981</v>
      </c>
      <c r="C982" t="s">
        <v>82</v>
      </c>
      <c r="D982" t="s">
        <v>83</v>
      </c>
      <c r="E982">
        <v>2</v>
      </c>
      <c r="F982">
        <v>180</v>
      </c>
      <c r="G982">
        <v>1</v>
      </c>
      <c r="H982" t="s">
        <v>96</v>
      </c>
      <c r="I982" t="s">
        <v>91</v>
      </c>
      <c r="J982" t="s">
        <v>85</v>
      </c>
      <c r="K982" t="s">
        <v>86</v>
      </c>
      <c r="L982" t="s">
        <v>71</v>
      </c>
      <c r="M982" t="s">
        <v>87</v>
      </c>
      <c r="O982" t="s">
        <v>88</v>
      </c>
      <c r="P982" t="s">
        <v>27</v>
      </c>
      <c r="Q982" t="s">
        <v>73</v>
      </c>
      <c r="R982" t="s">
        <v>76</v>
      </c>
      <c r="S982" t="s">
        <v>74</v>
      </c>
      <c r="T982" t="s">
        <v>75</v>
      </c>
      <c r="X982" t="s">
        <v>77</v>
      </c>
      <c r="Z982" t="s">
        <v>72</v>
      </c>
      <c r="AA982" t="s">
        <v>94</v>
      </c>
      <c r="AB982">
        <v>5</v>
      </c>
      <c r="AC982">
        <v>748784.55</v>
      </c>
      <c r="AD982">
        <v>8930473.8499999996</v>
      </c>
      <c r="AE982">
        <v>190.42</v>
      </c>
      <c r="AF982">
        <v>748784.55</v>
      </c>
      <c r="AG982">
        <v>8930473.8499999996</v>
      </c>
      <c r="AH982">
        <v>179.4</v>
      </c>
      <c r="AI982">
        <v>11.02</v>
      </c>
      <c r="AJ982">
        <v>0.6</v>
      </c>
      <c r="AK982">
        <v>3.37</v>
      </c>
      <c r="AL982">
        <v>2.93</v>
      </c>
      <c r="AM982">
        <v>0</v>
      </c>
      <c r="AN982">
        <v>0</v>
      </c>
      <c r="AO982">
        <v>358</v>
      </c>
      <c r="AP982">
        <v>3.45</v>
      </c>
      <c r="AQ982">
        <v>0.6</v>
      </c>
      <c r="AR982">
        <v>0.08</v>
      </c>
      <c r="AS982">
        <v>0.08</v>
      </c>
      <c r="AT982">
        <v>18.21</v>
      </c>
      <c r="AU982">
        <v>6.51</v>
      </c>
      <c r="AV982">
        <v>0.32</v>
      </c>
      <c r="AW982">
        <v>1.89</v>
      </c>
      <c r="AX982">
        <v>0.32</v>
      </c>
      <c r="AY982">
        <v>3.3</v>
      </c>
      <c r="AZ982">
        <v>112.40300000000001</v>
      </c>
      <c r="BA982">
        <v>0</v>
      </c>
      <c r="BB982">
        <v>0</v>
      </c>
      <c r="BC982">
        <v>0</v>
      </c>
      <c r="BD982">
        <v>0</v>
      </c>
    </row>
    <row r="983" spans="1:56" x14ac:dyDescent="0.25">
      <c r="A983" s="23">
        <v>46304</v>
      </c>
      <c r="B983">
        <v>982</v>
      </c>
      <c r="C983" t="s">
        <v>82</v>
      </c>
      <c r="D983" t="s">
        <v>83</v>
      </c>
      <c r="E983">
        <v>2</v>
      </c>
      <c r="F983">
        <v>180</v>
      </c>
      <c r="G983">
        <v>1</v>
      </c>
      <c r="H983" t="s">
        <v>96</v>
      </c>
      <c r="I983" t="s">
        <v>91</v>
      </c>
      <c r="J983" t="s">
        <v>85</v>
      </c>
      <c r="K983" t="s">
        <v>86</v>
      </c>
      <c r="L983" t="s">
        <v>71</v>
      </c>
      <c r="M983" t="s">
        <v>87</v>
      </c>
      <c r="O983" t="s">
        <v>88</v>
      </c>
      <c r="P983" t="s">
        <v>27</v>
      </c>
      <c r="Q983" t="s">
        <v>73</v>
      </c>
      <c r="R983" t="s">
        <v>76</v>
      </c>
      <c r="S983" t="s">
        <v>74</v>
      </c>
      <c r="T983" t="s">
        <v>75</v>
      </c>
      <c r="X983" t="s">
        <v>77</v>
      </c>
      <c r="Z983" t="s">
        <v>72</v>
      </c>
      <c r="AA983" t="s">
        <v>94</v>
      </c>
      <c r="AB983">
        <v>5</v>
      </c>
      <c r="AC983">
        <v>748781.71</v>
      </c>
      <c r="AD983">
        <v>8930472.0399999991</v>
      </c>
      <c r="AE983">
        <v>190.1</v>
      </c>
      <c r="AF983">
        <v>748781.71</v>
      </c>
      <c r="AG983">
        <v>8930472.0399999991</v>
      </c>
      <c r="AH983">
        <v>179.4</v>
      </c>
      <c r="AI983">
        <v>10.7</v>
      </c>
      <c r="AJ983">
        <v>0.6</v>
      </c>
      <c r="AK983">
        <v>3.37</v>
      </c>
      <c r="AL983">
        <v>2.93</v>
      </c>
      <c r="AM983">
        <v>0</v>
      </c>
      <c r="AN983">
        <v>0</v>
      </c>
      <c r="AO983">
        <v>358</v>
      </c>
      <c r="AP983">
        <v>3.45</v>
      </c>
      <c r="AQ983">
        <v>0.6</v>
      </c>
      <c r="AR983">
        <v>0.08</v>
      </c>
      <c r="AS983">
        <v>0.08</v>
      </c>
      <c r="AT983">
        <v>18.2</v>
      </c>
      <c r="AU983">
        <v>6.47</v>
      </c>
      <c r="AV983">
        <v>0.32</v>
      </c>
      <c r="AW983">
        <v>1.9</v>
      </c>
      <c r="AX983">
        <v>0.08</v>
      </c>
      <c r="AY983">
        <v>3.3</v>
      </c>
      <c r="AZ983">
        <v>107.744</v>
      </c>
      <c r="BA983">
        <v>0</v>
      </c>
      <c r="BB983">
        <v>0</v>
      </c>
      <c r="BC983">
        <v>0</v>
      </c>
      <c r="BD983">
        <v>0</v>
      </c>
    </row>
    <row r="984" spans="1:56" x14ac:dyDescent="0.25">
      <c r="A984" s="23">
        <v>46304</v>
      </c>
      <c r="B984">
        <v>983</v>
      </c>
      <c r="C984" t="s">
        <v>82</v>
      </c>
      <c r="D984" t="s">
        <v>83</v>
      </c>
      <c r="E984">
        <v>2</v>
      </c>
      <c r="F984">
        <v>180</v>
      </c>
      <c r="G984">
        <v>1</v>
      </c>
      <c r="H984" t="s">
        <v>96</v>
      </c>
      <c r="I984" t="s">
        <v>91</v>
      </c>
      <c r="J984" t="s">
        <v>97</v>
      </c>
      <c r="K984" t="s">
        <v>86</v>
      </c>
      <c r="L984" t="s">
        <v>71</v>
      </c>
      <c r="M984" t="s">
        <v>87</v>
      </c>
      <c r="O984" t="s">
        <v>88</v>
      </c>
      <c r="P984" t="s">
        <v>27</v>
      </c>
      <c r="Q984" t="s">
        <v>73</v>
      </c>
      <c r="R984" t="s">
        <v>76</v>
      </c>
      <c r="S984" t="s">
        <v>74</v>
      </c>
      <c r="T984" t="s">
        <v>75</v>
      </c>
      <c r="X984" t="s">
        <v>77</v>
      </c>
      <c r="Z984" t="s">
        <v>72</v>
      </c>
      <c r="AA984" t="s">
        <v>94</v>
      </c>
      <c r="AB984">
        <v>5</v>
      </c>
      <c r="AC984">
        <v>748778.87</v>
      </c>
      <c r="AD984">
        <v>8930470.2200000007</v>
      </c>
      <c r="AE984">
        <v>189.94</v>
      </c>
      <c r="AF984">
        <v>748778.87</v>
      </c>
      <c r="AG984">
        <v>8930470.2200000007</v>
      </c>
      <c r="AH984">
        <v>179.4</v>
      </c>
      <c r="AI984">
        <v>10.54</v>
      </c>
      <c r="AJ984">
        <v>0.6</v>
      </c>
      <c r="AK984">
        <v>3.37</v>
      </c>
      <c r="AL984">
        <v>2.93</v>
      </c>
      <c r="AM984">
        <v>0</v>
      </c>
      <c r="AN984">
        <v>0</v>
      </c>
      <c r="AO984">
        <v>358</v>
      </c>
      <c r="AP984">
        <v>3.43</v>
      </c>
      <c r="AQ984">
        <v>0.7</v>
      </c>
      <c r="AR984">
        <v>0.09</v>
      </c>
      <c r="AS984">
        <v>0.08</v>
      </c>
      <c r="AT984">
        <v>19.260000000000002</v>
      </c>
      <c r="AU984">
        <v>6.54</v>
      </c>
      <c r="AV984">
        <v>0.32</v>
      </c>
      <c r="AW984">
        <v>2.17</v>
      </c>
      <c r="AX984">
        <v>2.82</v>
      </c>
      <c r="AY984">
        <v>3.3</v>
      </c>
      <c r="AZ984">
        <v>105.414</v>
      </c>
      <c r="BA984">
        <v>0</v>
      </c>
      <c r="BB984">
        <v>0</v>
      </c>
      <c r="BC984">
        <v>0</v>
      </c>
      <c r="BD984">
        <v>0</v>
      </c>
    </row>
    <row r="985" spans="1:56" x14ac:dyDescent="0.25">
      <c r="A985" s="23">
        <v>46304</v>
      </c>
      <c r="B985">
        <v>984</v>
      </c>
      <c r="C985" t="s">
        <v>82</v>
      </c>
      <c r="D985" t="s">
        <v>83</v>
      </c>
      <c r="E985">
        <v>2</v>
      </c>
      <c r="F985">
        <v>180</v>
      </c>
      <c r="G985">
        <v>1</v>
      </c>
      <c r="H985" t="s">
        <v>96</v>
      </c>
      <c r="I985" t="s">
        <v>91</v>
      </c>
      <c r="J985" t="s">
        <v>97</v>
      </c>
      <c r="K985" t="s">
        <v>86</v>
      </c>
      <c r="L985" t="s">
        <v>71</v>
      </c>
      <c r="M985" t="s">
        <v>87</v>
      </c>
      <c r="O985" t="s">
        <v>88</v>
      </c>
      <c r="P985" t="s">
        <v>27</v>
      </c>
      <c r="Q985" t="s">
        <v>73</v>
      </c>
      <c r="R985" t="s">
        <v>76</v>
      </c>
      <c r="S985" t="s">
        <v>74</v>
      </c>
      <c r="T985" t="s">
        <v>75</v>
      </c>
      <c r="X985" t="s">
        <v>77</v>
      </c>
      <c r="Z985" t="s">
        <v>72</v>
      </c>
      <c r="AA985" t="s">
        <v>94</v>
      </c>
      <c r="AB985">
        <v>5</v>
      </c>
      <c r="AC985">
        <v>748776.03</v>
      </c>
      <c r="AD985">
        <v>8930468.4100000001</v>
      </c>
      <c r="AE985">
        <v>189.83</v>
      </c>
      <c r="AF985">
        <v>748776.03</v>
      </c>
      <c r="AG985">
        <v>8930468.4100000001</v>
      </c>
      <c r="AH985">
        <v>179.4</v>
      </c>
      <c r="AI985">
        <v>10.43</v>
      </c>
      <c r="AJ985">
        <v>0.6</v>
      </c>
      <c r="AK985">
        <v>3.37</v>
      </c>
      <c r="AL985">
        <v>2.93</v>
      </c>
      <c r="AM985">
        <v>0</v>
      </c>
      <c r="AN985">
        <v>0</v>
      </c>
      <c r="AO985">
        <v>358</v>
      </c>
      <c r="AP985">
        <v>3.44</v>
      </c>
      <c r="AQ985">
        <v>0.71</v>
      </c>
      <c r="AR985">
        <v>0.11</v>
      </c>
      <c r="AS985">
        <v>0.09</v>
      </c>
      <c r="AT985">
        <v>19.68</v>
      </c>
      <c r="AU985">
        <v>6.69</v>
      </c>
      <c r="AV985">
        <v>0.34</v>
      </c>
      <c r="AW985">
        <v>2.1</v>
      </c>
      <c r="AX985">
        <v>7.27</v>
      </c>
      <c r="AY985">
        <v>3.3</v>
      </c>
      <c r="AZ985">
        <v>103.813</v>
      </c>
      <c r="BA985">
        <v>0</v>
      </c>
      <c r="BB985">
        <v>0</v>
      </c>
      <c r="BC985">
        <v>0</v>
      </c>
      <c r="BD985">
        <v>0</v>
      </c>
    </row>
    <row r="986" spans="1:56" x14ac:dyDescent="0.25">
      <c r="A986" s="23">
        <v>46304</v>
      </c>
      <c r="B986">
        <v>985</v>
      </c>
      <c r="C986" t="s">
        <v>82</v>
      </c>
      <c r="D986" t="s">
        <v>83</v>
      </c>
      <c r="E986">
        <v>2</v>
      </c>
      <c r="F986">
        <v>180</v>
      </c>
      <c r="G986">
        <v>1</v>
      </c>
      <c r="H986" t="s">
        <v>96</v>
      </c>
      <c r="I986" t="s">
        <v>91</v>
      </c>
      <c r="J986" t="s">
        <v>97</v>
      </c>
      <c r="K986" t="s">
        <v>86</v>
      </c>
      <c r="L986" t="s">
        <v>71</v>
      </c>
      <c r="M986" t="s">
        <v>87</v>
      </c>
      <c r="O986" t="s">
        <v>88</v>
      </c>
      <c r="P986" t="s">
        <v>27</v>
      </c>
      <c r="Q986" t="s">
        <v>73</v>
      </c>
      <c r="R986" t="s">
        <v>76</v>
      </c>
      <c r="S986" t="s">
        <v>74</v>
      </c>
      <c r="T986" t="s">
        <v>75</v>
      </c>
      <c r="X986" t="s">
        <v>77</v>
      </c>
      <c r="Z986" t="s">
        <v>72</v>
      </c>
      <c r="AA986" t="s">
        <v>94</v>
      </c>
      <c r="AB986">
        <v>5</v>
      </c>
      <c r="AC986">
        <v>748773.24</v>
      </c>
      <c r="AD986">
        <v>8930466.5199999996</v>
      </c>
      <c r="AE986">
        <v>189.79</v>
      </c>
      <c r="AF986">
        <v>748773.24</v>
      </c>
      <c r="AG986">
        <v>8930466.5199999996</v>
      </c>
      <c r="AH986">
        <v>179.4</v>
      </c>
      <c r="AI986">
        <v>10.39</v>
      </c>
      <c r="AJ986">
        <v>0.6</v>
      </c>
      <c r="AK986">
        <v>3.37</v>
      </c>
      <c r="AL986">
        <v>2.93</v>
      </c>
      <c r="AM986">
        <v>0</v>
      </c>
      <c r="AN986">
        <v>0</v>
      </c>
      <c r="AO986">
        <v>358</v>
      </c>
      <c r="AP986">
        <v>3.44</v>
      </c>
      <c r="AQ986">
        <v>0.71</v>
      </c>
      <c r="AR986">
        <v>0.11</v>
      </c>
      <c r="AS986">
        <v>0.09</v>
      </c>
      <c r="AT986">
        <v>19.72</v>
      </c>
      <c r="AU986">
        <v>6.71</v>
      </c>
      <c r="AV986">
        <v>0.34</v>
      </c>
      <c r="AW986">
        <v>2.09</v>
      </c>
      <c r="AX986">
        <v>7.8</v>
      </c>
      <c r="AY986">
        <v>3.3</v>
      </c>
      <c r="AZ986">
        <v>103.23</v>
      </c>
      <c r="BA986">
        <v>0</v>
      </c>
      <c r="BB986">
        <v>0</v>
      </c>
      <c r="BC986">
        <v>0</v>
      </c>
      <c r="BD986">
        <v>0</v>
      </c>
    </row>
    <row r="987" spans="1:56" x14ac:dyDescent="0.25">
      <c r="A987" s="23">
        <v>46304</v>
      </c>
      <c r="B987">
        <v>986</v>
      </c>
      <c r="C987" t="s">
        <v>82</v>
      </c>
      <c r="D987" t="s">
        <v>83</v>
      </c>
      <c r="E987">
        <v>2</v>
      </c>
      <c r="F987">
        <v>180</v>
      </c>
      <c r="G987">
        <v>1</v>
      </c>
      <c r="H987" t="s">
        <v>96</v>
      </c>
      <c r="I987" t="s">
        <v>91</v>
      </c>
      <c r="J987" t="s">
        <v>97</v>
      </c>
      <c r="K987" t="s">
        <v>86</v>
      </c>
      <c r="L987" t="s">
        <v>71</v>
      </c>
      <c r="M987" t="s">
        <v>87</v>
      </c>
      <c r="O987" t="s">
        <v>88</v>
      </c>
      <c r="P987" t="s">
        <v>27</v>
      </c>
      <c r="Q987" t="s">
        <v>73</v>
      </c>
      <c r="R987" t="s">
        <v>76</v>
      </c>
      <c r="S987" t="s">
        <v>74</v>
      </c>
      <c r="T987" t="s">
        <v>75</v>
      </c>
      <c r="X987" t="s">
        <v>77</v>
      </c>
      <c r="Z987" t="s">
        <v>72</v>
      </c>
      <c r="AA987" t="s">
        <v>94</v>
      </c>
      <c r="AB987">
        <v>5</v>
      </c>
      <c r="AC987">
        <v>748770.54</v>
      </c>
      <c r="AD987">
        <v>8930464.5099999998</v>
      </c>
      <c r="AE987">
        <v>189.86</v>
      </c>
      <c r="AF987">
        <v>748770.54</v>
      </c>
      <c r="AG987">
        <v>8930464.5099999998</v>
      </c>
      <c r="AH987">
        <v>179.4</v>
      </c>
      <c r="AI987">
        <v>10.46</v>
      </c>
      <c r="AJ987">
        <v>0.6</v>
      </c>
      <c r="AK987">
        <v>3.37</v>
      </c>
      <c r="AL987">
        <v>2.93</v>
      </c>
      <c r="AM987">
        <v>0</v>
      </c>
      <c r="AN987">
        <v>0</v>
      </c>
      <c r="AO987">
        <v>358</v>
      </c>
      <c r="AP987">
        <v>3.43</v>
      </c>
      <c r="AQ987">
        <v>0.73</v>
      </c>
      <c r="AR987">
        <v>0.11</v>
      </c>
      <c r="AS987">
        <v>0.1</v>
      </c>
      <c r="AT987">
        <v>20.14</v>
      </c>
      <c r="AU987">
        <v>6.64</v>
      </c>
      <c r="AV987">
        <v>0.36</v>
      </c>
      <c r="AW987">
        <v>2.0699999999999998</v>
      </c>
      <c r="AX987">
        <v>7.67</v>
      </c>
      <c r="AY987">
        <v>3.3</v>
      </c>
      <c r="AZ987">
        <v>104.25</v>
      </c>
      <c r="BA987">
        <v>0</v>
      </c>
      <c r="BB987">
        <v>0</v>
      </c>
      <c r="BC987">
        <v>0</v>
      </c>
      <c r="BD987">
        <v>0</v>
      </c>
    </row>
    <row r="988" spans="1:56" x14ac:dyDescent="0.25">
      <c r="A988" s="23">
        <v>46304</v>
      </c>
      <c r="B988">
        <v>987</v>
      </c>
      <c r="C988" t="s">
        <v>82</v>
      </c>
      <c r="D988" t="s">
        <v>83</v>
      </c>
      <c r="E988">
        <v>2</v>
      </c>
      <c r="F988">
        <v>180</v>
      </c>
      <c r="G988">
        <v>1</v>
      </c>
      <c r="H988" t="s">
        <v>96</v>
      </c>
      <c r="I988" t="s">
        <v>91</v>
      </c>
      <c r="J988" t="s">
        <v>97</v>
      </c>
      <c r="K988" t="s">
        <v>86</v>
      </c>
      <c r="L988" t="s">
        <v>71</v>
      </c>
      <c r="M988" t="s">
        <v>87</v>
      </c>
      <c r="O988" t="s">
        <v>88</v>
      </c>
      <c r="P988" t="s">
        <v>27</v>
      </c>
      <c r="Q988" t="s">
        <v>73</v>
      </c>
      <c r="R988" t="s">
        <v>76</v>
      </c>
      <c r="S988" t="s">
        <v>74</v>
      </c>
      <c r="T988" t="s">
        <v>75</v>
      </c>
      <c r="X988" t="s">
        <v>77</v>
      </c>
      <c r="Z988" t="s">
        <v>72</v>
      </c>
      <c r="AA988" t="s">
        <v>94</v>
      </c>
      <c r="AB988">
        <v>5</v>
      </c>
      <c r="AC988">
        <v>748767.86</v>
      </c>
      <c r="AD988">
        <v>8930462.4600000009</v>
      </c>
      <c r="AE988">
        <v>189.94</v>
      </c>
      <c r="AF988">
        <v>748767.86</v>
      </c>
      <c r="AG988">
        <v>8930462.4600000009</v>
      </c>
      <c r="AH988">
        <v>179.4</v>
      </c>
      <c r="AI988">
        <v>10.54</v>
      </c>
      <c r="AJ988">
        <v>0.6</v>
      </c>
      <c r="AK988">
        <v>3.37</v>
      </c>
      <c r="AL988">
        <v>2.93</v>
      </c>
      <c r="AM988">
        <v>0</v>
      </c>
      <c r="AN988">
        <v>0</v>
      </c>
      <c r="AO988">
        <v>358</v>
      </c>
      <c r="AP988">
        <v>3.42</v>
      </c>
      <c r="AQ988">
        <v>0.78</v>
      </c>
      <c r="AR988">
        <v>0.11</v>
      </c>
      <c r="AS988">
        <v>0.1</v>
      </c>
      <c r="AT988">
        <v>20.98</v>
      </c>
      <c r="AU988">
        <v>6.52</v>
      </c>
      <c r="AV988">
        <v>0.38</v>
      </c>
      <c r="AW988">
        <v>2.0299999999999998</v>
      </c>
      <c r="AX988">
        <v>7.4</v>
      </c>
      <c r="AY988">
        <v>3.3</v>
      </c>
      <c r="AZ988">
        <v>105.414</v>
      </c>
      <c r="BA988">
        <v>0</v>
      </c>
      <c r="BB988">
        <v>0</v>
      </c>
      <c r="BC988">
        <v>0</v>
      </c>
      <c r="BD988">
        <v>0</v>
      </c>
    </row>
    <row r="989" spans="1:56" x14ac:dyDescent="0.25">
      <c r="A989" s="23">
        <v>46304</v>
      </c>
      <c r="B989">
        <v>988</v>
      </c>
      <c r="C989" t="s">
        <v>82</v>
      </c>
      <c r="D989" t="s">
        <v>83</v>
      </c>
      <c r="E989">
        <v>2</v>
      </c>
      <c r="F989">
        <v>180</v>
      </c>
      <c r="G989">
        <v>1</v>
      </c>
      <c r="H989" t="s">
        <v>96</v>
      </c>
      <c r="I989" t="s">
        <v>91</v>
      </c>
      <c r="J989" t="s">
        <v>97</v>
      </c>
      <c r="K989" t="s">
        <v>86</v>
      </c>
      <c r="L989" t="s">
        <v>71</v>
      </c>
      <c r="M989" t="s">
        <v>87</v>
      </c>
      <c r="O989" t="s">
        <v>88</v>
      </c>
      <c r="P989" t="s">
        <v>27</v>
      </c>
      <c r="Q989" t="s">
        <v>73</v>
      </c>
      <c r="R989" t="s">
        <v>76</v>
      </c>
      <c r="S989" t="s">
        <v>74</v>
      </c>
      <c r="T989" t="s">
        <v>75</v>
      </c>
      <c r="X989" t="s">
        <v>77</v>
      </c>
      <c r="Z989" t="s">
        <v>72</v>
      </c>
      <c r="AA989" t="s">
        <v>94</v>
      </c>
      <c r="AB989">
        <v>5</v>
      </c>
      <c r="AC989">
        <v>748765.37</v>
      </c>
      <c r="AD989">
        <v>8930460.2100000009</v>
      </c>
      <c r="AE989">
        <v>189.64</v>
      </c>
      <c r="AF989">
        <v>748765.37</v>
      </c>
      <c r="AG989">
        <v>8930460.2100000009</v>
      </c>
      <c r="AH989">
        <v>179.4</v>
      </c>
      <c r="AI989">
        <v>10.24</v>
      </c>
      <c r="AJ989">
        <v>0.6</v>
      </c>
      <c r="AK989">
        <v>3.37</v>
      </c>
      <c r="AL989">
        <v>2.93</v>
      </c>
      <c r="AM989">
        <v>0</v>
      </c>
      <c r="AN989">
        <v>0</v>
      </c>
      <c r="AO989">
        <v>358</v>
      </c>
      <c r="AP989">
        <v>3.46</v>
      </c>
      <c r="AQ989">
        <v>0.74</v>
      </c>
      <c r="AR989">
        <v>0.12</v>
      </c>
      <c r="AS989">
        <v>0.1</v>
      </c>
      <c r="AT989">
        <v>21.35</v>
      </c>
      <c r="AU989">
        <v>6.17</v>
      </c>
      <c r="AV989">
        <v>0.37</v>
      </c>
      <c r="AW989">
        <v>1.99</v>
      </c>
      <c r="AX989">
        <v>7.43</v>
      </c>
      <c r="AY989">
        <v>3.3</v>
      </c>
      <c r="AZ989">
        <v>101.04600000000001</v>
      </c>
      <c r="BA989">
        <v>0</v>
      </c>
      <c r="BB989">
        <v>0</v>
      </c>
      <c r="BC989">
        <v>0</v>
      </c>
      <c r="BD989">
        <v>0</v>
      </c>
    </row>
    <row r="990" spans="1:56" x14ac:dyDescent="0.25">
      <c r="A990" s="23">
        <v>46304</v>
      </c>
      <c r="B990">
        <v>989</v>
      </c>
      <c r="C990" t="s">
        <v>82</v>
      </c>
      <c r="D990" t="s">
        <v>83</v>
      </c>
      <c r="E990">
        <v>2</v>
      </c>
      <c r="F990">
        <v>180</v>
      </c>
      <c r="G990">
        <v>1</v>
      </c>
      <c r="H990" t="s">
        <v>96</v>
      </c>
      <c r="I990" t="s">
        <v>91</v>
      </c>
      <c r="J990" t="s">
        <v>85</v>
      </c>
      <c r="K990" t="s">
        <v>86</v>
      </c>
      <c r="L990" t="s">
        <v>71</v>
      </c>
      <c r="M990" t="s">
        <v>87</v>
      </c>
      <c r="O990" t="s">
        <v>88</v>
      </c>
      <c r="P990" t="s">
        <v>27</v>
      </c>
      <c r="Q990" t="s">
        <v>73</v>
      </c>
      <c r="R990" t="s">
        <v>76</v>
      </c>
      <c r="S990" t="s">
        <v>74</v>
      </c>
      <c r="T990" t="s">
        <v>75</v>
      </c>
      <c r="X990" t="s">
        <v>77</v>
      </c>
      <c r="Z990" t="s">
        <v>72</v>
      </c>
      <c r="AA990" t="s">
        <v>94</v>
      </c>
      <c r="AB990">
        <v>5</v>
      </c>
      <c r="AC990">
        <v>748761.02</v>
      </c>
      <c r="AD990">
        <v>8930459.1199999992</v>
      </c>
      <c r="AE990">
        <v>189.57</v>
      </c>
      <c r="AF990">
        <v>748761.02</v>
      </c>
      <c r="AG990">
        <v>8930459.1199999992</v>
      </c>
      <c r="AH990">
        <v>179.4</v>
      </c>
      <c r="AI990">
        <v>10.17</v>
      </c>
      <c r="AJ990">
        <v>0.6</v>
      </c>
      <c r="AK990">
        <v>3.37</v>
      </c>
      <c r="AL990">
        <v>2.93</v>
      </c>
      <c r="AM990">
        <v>0</v>
      </c>
      <c r="AN990">
        <v>0</v>
      </c>
      <c r="AO990">
        <v>358</v>
      </c>
      <c r="AP990">
        <v>3.49</v>
      </c>
      <c r="AQ990">
        <v>0.71</v>
      </c>
      <c r="AR990">
        <v>0.12</v>
      </c>
      <c r="AS990">
        <v>0.1</v>
      </c>
      <c r="AT990">
        <v>21.49</v>
      </c>
      <c r="AU990">
        <v>5.9</v>
      </c>
      <c r="AV990">
        <v>0.37</v>
      </c>
      <c r="AW990">
        <v>1.93</v>
      </c>
      <c r="AX990">
        <v>7.58</v>
      </c>
      <c r="AY990">
        <v>3.3</v>
      </c>
      <c r="AZ990">
        <v>100.027</v>
      </c>
      <c r="BA990">
        <v>0</v>
      </c>
      <c r="BB990">
        <v>0</v>
      </c>
      <c r="BC990">
        <v>0</v>
      </c>
      <c r="BD990">
        <v>0</v>
      </c>
    </row>
    <row r="991" spans="1:56" x14ac:dyDescent="0.25">
      <c r="A991" s="23">
        <v>46304</v>
      </c>
      <c r="B991">
        <v>990</v>
      </c>
      <c r="C991" t="s">
        <v>82</v>
      </c>
      <c r="D991" t="s">
        <v>83</v>
      </c>
      <c r="E991">
        <v>2</v>
      </c>
      <c r="F991">
        <v>180</v>
      </c>
      <c r="G991">
        <v>1</v>
      </c>
      <c r="H991" t="s">
        <v>96</v>
      </c>
      <c r="I991" t="s">
        <v>91</v>
      </c>
      <c r="J991" t="s">
        <v>85</v>
      </c>
      <c r="K991" t="s">
        <v>86</v>
      </c>
      <c r="L991" t="s">
        <v>71</v>
      </c>
      <c r="M991" t="s">
        <v>87</v>
      </c>
      <c r="O991" t="s">
        <v>88</v>
      </c>
      <c r="P991" t="s">
        <v>27</v>
      </c>
      <c r="Q991" t="s">
        <v>73</v>
      </c>
      <c r="R991" t="s">
        <v>76</v>
      </c>
      <c r="S991" t="s">
        <v>74</v>
      </c>
      <c r="T991" t="s">
        <v>75</v>
      </c>
      <c r="X991" t="s">
        <v>77</v>
      </c>
      <c r="Z991" t="s">
        <v>72</v>
      </c>
      <c r="AA991" t="s">
        <v>94</v>
      </c>
      <c r="AB991">
        <v>5</v>
      </c>
      <c r="AC991">
        <v>748758.74</v>
      </c>
      <c r="AD991">
        <v>8930456.6600000001</v>
      </c>
      <c r="AE991">
        <v>189.54</v>
      </c>
      <c r="AF991">
        <v>748758.74</v>
      </c>
      <c r="AG991">
        <v>8930456.6600000001</v>
      </c>
      <c r="AH991">
        <v>179.4</v>
      </c>
      <c r="AI991">
        <v>10.14</v>
      </c>
      <c r="AJ991">
        <v>0.6</v>
      </c>
      <c r="AK991">
        <v>3.37</v>
      </c>
      <c r="AL991">
        <v>2.93</v>
      </c>
      <c r="AM991">
        <v>0</v>
      </c>
      <c r="AN991">
        <v>0</v>
      </c>
      <c r="AO991">
        <v>358</v>
      </c>
      <c r="AP991">
        <v>3.48</v>
      </c>
      <c r="AQ991">
        <v>0.65</v>
      </c>
      <c r="AR991">
        <v>0.11</v>
      </c>
      <c r="AS991">
        <v>0.09</v>
      </c>
      <c r="AT991">
        <v>21.55</v>
      </c>
      <c r="AU991">
        <v>5.92</v>
      </c>
      <c r="AV991">
        <v>0.35</v>
      </c>
      <c r="AW991">
        <v>1.84</v>
      </c>
      <c r="AX991">
        <v>8.1199999999999992</v>
      </c>
      <c r="AY991">
        <v>3.3</v>
      </c>
      <c r="AZ991">
        <v>99.59</v>
      </c>
      <c r="BA991">
        <v>0</v>
      </c>
      <c r="BB991">
        <v>0</v>
      </c>
      <c r="BC991">
        <v>0</v>
      </c>
      <c r="BD991">
        <v>0</v>
      </c>
    </row>
    <row r="992" spans="1:56" x14ac:dyDescent="0.25">
      <c r="A992" s="23">
        <v>46304</v>
      </c>
      <c r="B992">
        <v>991</v>
      </c>
      <c r="C992" t="s">
        <v>82</v>
      </c>
      <c r="D992" t="s">
        <v>83</v>
      </c>
      <c r="E992">
        <v>2</v>
      </c>
      <c r="F992">
        <v>180</v>
      </c>
      <c r="G992">
        <v>1</v>
      </c>
      <c r="H992" t="s">
        <v>95</v>
      </c>
      <c r="I992" t="s">
        <v>91</v>
      </c>
      <c r="J992" t="s">
        <v>85</v>
      </c>
      <c r="K992" t="s">
        <v>86</v>
      </c>
      <c r="L992" t="s">
        <v>71</v>
      </c>
      <c r="M992" t="s">
        <v>87</v>
      </c>
      <c r="O992" t="s">
        <v>88</v>
      </c>
      <c r="P992" t="s">
        <v>27</v>
      </c>
      <c r="Q992" t="s">
        <v>73</v>
      </c>
      <c r="R992" t="s">
        <v>76</v>
      </c>
      <c r="S992" t="s">
        <v>74</v>
      </c>
      <c r="T992" t="s">
        <v>75</v>
      </c>
      <c r="X992" t="s">
        <v>77</v>
      </c>
      <c r="Z992" t="s">
        <v>72</v>
      </c>
      <c r="AA992" t="s">
        <v>94</v>
      </c>
      <c r="AB992">
        <v>5</v>
      </c>
      <c r="AC992">
        <v>748756.54</v>
      </c>
      <c r="AD992">
        <v>8930454.1099999994</v>
      </c>
      <c r="AE992">
        <v>189.82</v>
      </c>
      <c r="AF992">
        <v>748756.54</v>
      </c>
      <c r="AG992">
        <v>8930454.1099999994</v>
      </c>
      <c r="AH992">
        <v>179.4</v>
      </c>
      <c r="AI992">
        <v>10.42</v>
      </c>
      <c r="AJ992">
        <v>0.6</v>
      </c>
      <c r="AK992">
        <v>3.37</v>
      </c>
      <c r="AL992">
        <v>2.93</v>
      </c>
      <c r="AM992">
        <v>0</v>
      </c>
      <c r="AN992">
        <v>0</v>
      </c>
      <c r="AO992">
        <v>358</v>
      </c>
      <c r="AP992">
        <v>3.48</v>
      </c>
      <c r="AQ992">
        <v>0.64</v>
      </c>
      <c r="AR992">
        <v>0.11</v>
      </c>
      <c r="AS992">
        <v>0.09</v>
      </c>
      <c r="AT992">
        <v>21.5</v>
      </c>
      <c r="AU992">
        <v>5.95</v>
      </c>
      <c r="AV992">
        <v>0.35</v>
      </c>
      <c r="AW992">
        <v>1.83</v>
      </c>
      <c r="AX992">
        <v>8.23</v>
      </c>
      <c r="AY992">
        <v>3.3</v>
      </c>
      <c r="AZ992">
        <v>103.667</v>
      </c>
      <c r="BA992">
        <v>0</v>
      </c>
      <c r="BB992">
        <v>0</v>
      </c>
      <c r="BC992">
        <v>0</v>
      </c>
      <c r="BD992">
        <v>0</v>
      </c>
    </row>
    <row r="993" spans="1:56" x14ac:dyDescent="0.25">
      <c r="A993" s="23">
        <v>46304</v>
      </c>
      <c r="B993">
        <v>992</v>
      </c>
      <c r="C993" t="s">
        <v>82</v>
      </c>
      <c r="D993" t="s">
        <v>83</v>
      </c>
      <c r="E993">
        <v>2</v>
      </c>
      <c r="F993">
        <v>180</v>
      </c>
      <c r="G993">
        <v>1</v>
      </c>
      <c r="H993" t="s">
        <v>95</v>
      </c>
      <c r="I993" t="s">
        <v>91</v>
      </c>
      <c r="J993" t="s">
        <v>85</v>
      </c>
      <c r="K993" t="s">
        <v>86</v>
      </c>
      <c r="L993" t="s">
        <v>71</v>
      </c>
      <c r="M993" t="s">
        <v>87</v>
      </c>
      <c r="O993" t="s">
        <v>88</v>
      </c>
      <c r="P993" t="s">
        <v>27</v>
      </c>
      <c r="Q993" t="s">
        <v>73</v>
      </c>
      <c r="R993" t="s">
        <v>76</v>
      </c>
      <c r="S993" t="s">
        <v>74</v>
      </c>
      <c r="T993" t="s">
        <v>75</v>
      </c>
      <c r="X993" t="s">
        <v>77</v>
      </c>
      <c r="Z993" t="s">
        <v>72</v>
      </c>
      <c r="AA993" t="s">
        <v>94</v>
      </c>
      <c r="AB993">
        <v>5</v>
      </c>
      <c r="AC993">
        <v>748754.56</v>
      </c>
      <c r="AD993">
        <v>8930451.4499999993</v>
      </c>
      <c r="AE993">
        <v>190.07</v>
      </c>
      <c r="AF993">
        <v>748754.56</v>
      </c>
      <c r="AG993">
        <v>8930451.4499999993</v>
      </c>
      <c r="AH993">
        <v>179.4</v>
      </c>
      <c r="AI993">
        <v>10.67</v>
      </c>
      <c r="AJ993">
        <v>0.6</v>
      </c>
      <c r="AK993">
        <v>3.37</v>
      </c>
      <c r="AL993">
        <v>2.93</v>
      </c>
      <c r="AM993">
        <v>0</v>
      </c>
      <c r="AN993">
        <v>0</v>
      </c>
      <c r="AO993">
        <v>358</v>
      </c>
      <c r="AP993">
        <v>3.48</v>
      </c>
      <c r="AQ993">
        <v>0.65</v>
      </c>
      <c r="AR993">
        <v>0.11</v>
      </c>
      <c r="AS993">
        <v>0.09</v>
      </c>
      <c r="AT993">
        <v>21.51</v>
      </c>
      <c r="AU993">
        <v>6.04</v>
      </c>
      <c r="AV993">
        <v>0.35</v>
      </c>
      <c r="AW993">
        <v>1.86</v>
      </c>
      <c r="AX993">
        <v>8.2100000000000009</v>
      </c>
      <c r="AY993">
        <v>3.3</v>
      </c>
      <c r="AZ993">
        <v>107.307</v>
      </c>
      <c r="BA993">
        <v>0</v>
      </c>
      <c r="BB993">
        <v>0</v>
      </c>
      <c r="BC993">
        <v>0</v>
      </c>
      <c r="BD993">
        <v>0</v>
      </c>
    </row>
    <row r="994" spans="1:56" x14ac:dyDescent="0.25">
      <c r="A994" s="23">
        <v>46304</v>
      </c>
      <c r="B994">
        <v>993</v>
      </c>
      <c r="C994" t="s">
        <v>82</v>
      </c>
      <c r="D994" t="s">
        <v>83</v>
      </c>
      <c r="E994">
        <v>2</v>
      </c>
      <c r="F994">
        <v>180</v>
      </c>
      <c r="G994">
        <v>1</v>
      </c>
      <c r="H994" t="s">
        <v>84</v>
      </c>
      <c r="I994" t="s">
        <v>91</v>
      </c>
      <c r="J994" t="s">
        <v>97</v>
      </c>
      <c r="K994" t="s">
        <v>86</v>
      </c>
      <c r="L994" t="s">
        <v>71</v>
      </c>
      <c r="M994" t="s">
        <v>87</v>
      </c>
      <c r="O994" t="s">
        <v>88</v>
      </c>
      <c r="P994" t="s">
        <v>27</v>
      </c>
      <c r="Q994" t="s">
        <v>73</v>
      </c>
      <c r="R994" t="s">
        <v>76</v>
      </c>
      <c r="S994" t="s">
        <v>74</v>
      </c>
      <c r="T994" t="s">
        <v>75</v>
      </c>
      <c r="X994" t="s">
        <v>77</v>
      </c>
      <c r="Z994" t="s">
        <v>72</v>
      </c>
      <c r="AA994" t="s">
        <v>94</v>
      </c>
      <c r="AB994">
        <v>5</v>
      </c>
      <c r="AC994">
        <v>748752.59</v>
      </c>
      <c r="AD994">
        <v>8930448.7200000007</v>
      </c>
      <c r="AE994">
        <v>189.98</v>
      </c>
      <c r="AF994">
        <v>748752.59</v>
      </c>
      <c r="AG994">
        <v>8930448.7200000007</v>
      </c>
      <c r="AH994">
        <v>179.4</v>
      </c>
      <c r="AI994">
        <v>10.58</v>
      </c>
      <c r="AJ994">
        <v>0.6</v>
      </c>
      <c r="AK994">
        <v>3.37</v>
      </c>
      <c r="AL994">
        <v>2.93</v>
      </c>
      <c r="AM994">
        <v>0</v>
      </c>
      <c r="AN994">
        <v>0</v>
      </c>
      <c r="AO994">
        <v>358</v>
      </c>
      <c r="AP994">
        <v>3.52</v>
      </c>
      <c r="AQ994">
        <v>0.75</v>
      </c>
      <c r="AR994">
        <v>0.11</v>
      </c>
      <c r="AS994">
        <v>0.1</v>
      </c>
      <c r="AT994">
        <v>21.59</v>
      </c>
      <c r="AU994">
        <v>6.7</v>
      </c>
      <c r="AV994">
        <v>0.36</v>
      </c>
      <c r="AW994">
        <v>2.08</v>
      </c>
      <c r="AX994">
        <v>8.07</v>
      </c>
      <c r="AY994">
        <v>3.3</v>
      </c>
      <c r="AZ994">
        <v>105.997</v>
      </c>
      <c r="BA994">
        <v>0</v>
      </c>
      <c r="BB994">
        <v>0</v>
      </c>
      <c r="BC994">
        <v>0</v>
      </c>
      <c r="BD994">
        <v>0</v>
      </c>
    </row>
    <row r="995" spans="1:56" x14ac:dyDescent="0.25">
      <c r="A995" s="23">
        <v>46304</v>
      </c>
      <c r="B995">
        <v>994</v>
      </c>
      <c r="C995" t="s">
        <v>82</v>
      </c>
      <c r="D995" t="s">
        <v>83</v>
      </c>
      <c r="E995">
        <v>2</v>
      </c>
      <c r="F995">
        <v>180</v>
      </c>
      <c r="G995">
        <v>1</v>
      </c>
      <c r="H995" t="s">
        <v>84</v>
      </c>
      <c r="I995" t="s">
        <v>91</v>
      </c>
      <c r="J995" t="s">
        <v>97</v>
      </c>
      <c r="K995" t="s">
        <v>86</v>
      </c>
      <c r="L995" t="s">
        <v>71</v>
      </c>
      <c r="M995" t="s">
        <v>87</v>
      </c>
      <c r="O995" t="s">
        <v>88</v>
      </c>
      <c r="P995" t="s">
        <v>27</v>
      </c>
      <c r="Q995" t="s">
        <v>73</v>
      </c>
      <c r="R995" t="s">
        <v>76</v>
      </c>
      <c r="S995" t="s">
        <v>74</v>
      </c>
      <c r="T995" t="s">
        <v>75</v>
      </c>
      <c r="X995" t="s">
        <v>77</v>
      </c>
      <c r="Z995" t="s">
        <v>72</v>
      </c>
      <c r="AA995" t="s">
        <v>94</v>
      </c>
      <c r="AB995">
        <v>5</v>
      </c>
      <c r="AC995">
        <v>748751.72</v>
      </c>
      <c r="AD995">
        <v>8930445.6899999995</v>
      </c>
      <c r="AE995">
        <v>189.26</v>
      </c>
      <c r="AF995">
        <v>748751.72</v>
      </c>
      <c r="AG995">
        <v>8930445.6899999995</v>
      </c>
      <c r="AH995">
        <v>179.4</v>
      </c>
      <c r="AI995">
        <v>9.86</v>
      </c>
      <c r="AJ995">
        <v>0.6</v>
      </c>
      <c r="AK995">
        <v>3.37</v>
      </c>
      <c r="AL995">
        <v>2.93</v>
      </c>
      <c r="AM995">
        <v>0</v>
      </c>
      <c r="AN995">
        <v>0</v>
      </c>
      <c r="AO995">
        <v>358</v>
      </c>
      <c r="AP995">
        <v>3.52</v>
      </c>
      <c r="AQ995">
        <v>0.76</v>
      </c>
      <c r="AR995">
        <v>0.11</v>
      </c>
      <c r="AS995">
        <v>0.1</v>
      </c>
      <c r="AT995">
        <v>21.48</v>
      </c>
      <c r="AU995">
        <v>6.76</v>
      </c>
      <c r="AV995">
        <v>0.36</v>
      </c>
      <c r="AW995">
        <v>2.1</v>
      </c>
      <c r="AX995">
        <v>7.94</v>
      </c>
      <c r="AY995">
        <v>3.3</v>
      </c>
      <c r="AZ995">
        <v>95.513999999999996</v>
      </c>
      <c r="BA995">
        <v>0</v>
      </c>
      <c r="BB995">
        <v>0</v>
      </c>
      <c r="BC995">
        <v>0</v>
      </c>
      <c r="BD995">
        <v>0</v>
      </c>
    </row>
    <row r="996" spans="1:56" x14ac:dyDescent="0.25">
      <c r="A996" s="23">
        <v>46304</v>
      </c>
      <c r="B996">
        <v>995</v>
      </c>
      <c r="C996" t="s">
        <v>82</v>
      </c>
      <c r="D996" t="s">
        <v>83</v>
      </c>
      <c r="E996">
        <v>2</v>
      </c>
      <c r="F996">
        <v>180</v>
      </c>
      <c r="G996">
        <v>1</v>
      </c>
      <c r="H996" t="s">
        <v>96</v>
      </c>
      <c r="I996" t="s">
        <v>91</v>
      </c>
      <c r="J996" t="s">
        <v>85</v>
      </c>
      <c r="K996" t="s">
        <v>86</v>
      </c>
      <c r="L996" t="s">
        <v>71</v>
      </c>
      <c r="M996" t="s">
        <v>87</v>
      </c>
      <c r="O996" t="s">
        <v>88</v>
      </c>
      <c r="P996" t="s">
        <v>27</v>
      </c>
      <c r="Q996" t="s">
        <v>73</v>
      </c>
      <c r="R996" t="s">
        <v>76</v>
      </c>
      <c r="S996" t="s">
        <v>74</v>
      </c>
      <c r="T996" t="s">
        <v>75</v>
      </c>
      <c r="X996" t="s">
        <v>77</v>
      </c>
      <c r="Z996" t="s">
        <v>72</v>
      </c>
      <c r="AA996" t="s">
        <v>94</v>
      </c>
      <c r="AB996">
        <v>5</v>
      </c>
      <c r="AC996">
        <v>748763.16</v>
      </c>
      <c r="AD996">
        <v>8930457.6899999995</v>
      </c>
      <c r="AE996">
        <v>189.74</v>
      </c>
      <c r="AF996">
        <v>748763.16</v>
      </c>
      <c r="AG996">
        <v>8930457.6899999995</v>
      </c>
      <c r="AH996">
        <v>179.4</v>
      </c>
      <c r="AI996">
        <v>10.34</v>
      </c>
      <c r="AJ996">
        <v>0.6</v>
      </c>
      <c r="AK996">
        <v>3.37</v>
      </c>
      <c r="AL996">
        <v>2.93</v>
      </c>
      <c r="AM996">
        <v>0</v>
      </c>
      <c r="AN996">
        <v>0</v>
      </c>
      <c r="AO996">
        <v>358</v>
      </c>
      <c r="AP996">
        <v>3.52</v>
      </c>
      <c r="AQ996">
        <v>0.71</v>
      </c>
      <c r="AR996">
        <v>0.13</v>
      </c>
      <c r="AS996">
        <v>0.1</v>
      </c>
      <c r="AT996">
        <v>21.81</v>
      </c>
      <c r="AU996">
        <v>5.72</v>
      </c>
      <c r="AV996">
        <v>0.37</v>
      </c>
      <c r="AW996">
        <v>1.93</v>
      </c>
      <c r="AX996">
        <v>7.47</v>
      </c>
      <c r="AY996">
        <v>3.3</v>
      </c>
      <c r="AZ996">
        <v>102.502</v>
      </c>
      <c r="BA996">
        <v>0</v>
      </c>
      <c r="BB996">
        <v>0</v>
      </c>
      <c r="BC996">
        <v>0</v>
      </c>
      <c r="BD996">
        <v>0</v>
      </c>
    </row>
    <row r="997" spans="1:56" x14ac:dyDescent="0.25">
      <c r="A997" s="23">
        <v>46304</v>
      </c>
      <c r="B997">
        <v>996</v>
      </c>
      <c r="C997" t="s">
        <v>82</v>
      </c>
      <c r="D997" t="s">
        <v>83</v>
      </c>
      <c r="E997">
        <v>2</v>
      </c>
      <c r="F997">
        <v>180</v>
      </c>
      <c r="G997">
        <v>1</v>
      </c>
      <c r="H997" t="s">
        <v>96</v>
      </c>
      <c r="I997" t="s">
        <v>91</v>
      </c>
      <c r="J997" t="s">
        <v>85</v>
      </c>
      <c r="K997" t="s">
        <v>86</v>
      </c>
      <c r="L997" t="s">
        <v>71</v>
      </c>
      <c r="M997" t="s">
        <v>87</v>
      </c>
      <c r="O997" t="s">
        <v>88</v>
      </c>
      <c r="P997" t="s">
        <v>27</v>
      </c>
      <c r="Q997" t="s">
        <v>73</v>
      </c>
      <c r="R997" t="s">
        <v>76</v>
      </c>
      <c r="S997" t="s">
        <v>74</v>
      </c>
      <c r="T997" t="s">
        <v>75</v>
      </c>
      <c r="X997" t="s">
        <v>77</v>
      </c>
      <c r="Z997" t="s">
        <v>72</v>
      </c>
      <c r="AA997" t="s">
        <v>94</v>
      </c>
      <c r="AB997">
        <v>5</v>
      </c>
      <c r="AC997">
        <v>748761.01</v>
      </c>
      <c r="AD997">
        <v>8930455.0899999999</v>
      </c>
      <c r="AE997">
        <v>189.66</v>
      </c>
      <c r="AF997">
        <v>748761.01</v>
      </c>
      <c r="AG997">
        <v>8930455.0899999999</v>
      </c>
      <c r="AH997">
        <v>179.4</v>
      </c>
      <c r="AI997">
        <v>10.26</v>
      </c>
      <c r="AJ997">
        <v>0.6</v>
      </c>
      <c r="AK997">
        <v>3.37</v>
      </c>
      <c r="AL997">
        <v>2.93</v>
      </c>
      <c r="AM997">
        <v>0</v>
      </c>
      <c r="AN997">
        <v>0</v>
      </c>
      <c r="AO997">
        <v>358</v>
      </c>
      <c r="AP997">
        <v>3.51</v>
      </c>
      <c r="AQ997">
        <v>0.69</v>
      </c>
      <c r="AR997">
        <v>0.12</v>
      </c>
      <c r="AS997">
        <v>0.1</v>
      </c>
      <c r="AT997">
        <v>21.75</v>
      </c>
      <c r="AU997">
        <v>5.77</v>
      </c>
      <c r="AV997">
        <v>0.36</v>
      </c>
      <c r="AW997">
        <v>1.91</v>
      </c>
      <c r="AX997">
        <v>7.62</v>
      </c>
      <c r="AY997">
        <v>3.3</v>
      </c>
      <c r="AZ997">
        <v>101.33799999999999</v>
      </c>
      <c r="BA997">
        <v>0</v>
      </c>
      <c r="BB997">
        <v>0</v>
      </c>
      <c r="BC997">
        <v>0</v>
      </c>
      <c r="BD997">
        <v>0</v>
      </c>
    </row>
    <row r="998" spans="1:56" x14ac:dyDescent="0.25">
      <c r="A998" s="23">
        <v>46304</v>
      </c>
      <c r="B998">
        <v>997</v>
      </c>
      <c r="C998" t="s">
        <v>82</v>
      </c>
      <c r="D998" t="s">
        <v>83</v>
      </c>
      <c r="E998">
        <v>2</v>
      </c>
      <c r="F998">
        <v>180</v>
      </c>
      <c r="G998">
        <v>1</v>
      </c>
      <c r="H998" t="s">
        <v>96</v>
      </c>
      <c r="I998" t="s">
        <v>91</v>
      </c>
      <c r="J998" t="s">
        <v>85</v>
      </c>
      <c r="K998" t="s">
        <v>86</v>
      </c>
      <c r="L998" t="s">
        <v>71</v>
      </c>
      <c r="M998" t="s">
        <v>87</v>
      </c>
      <c r="O998" t="s">
        <v>88</v>
      </c>
      <c r="P998" t="s">
        <v>27</v>
      </c>
      <c r="Q998" t="s">
        <v>73</v>
      </c>
      <c r="R998" t="s">
        <v>76</v>
      </c>
      <c r="S998" t="s">
        <v>74</v>
      </c>
      <c r="T998" t="s">
        <v>75</v>
      </c>
      <c r="X998" t="s">
        <v>77</v>
      </c>
      <c r="Z998" t="s">
        <v>72</v>
      </c>
      <c r="AA998" t="s">
        <v>94</v>
      </c>
      <c r="AB998">
        <v>5</v>
      </c>
      <c r="AC998">
        <v>748758.86</v>
      </c>
      <c r="AD998">
        <v>8930452.5</v>
      </c>
      <c r="AE998">
        <v>189.64</v>
      </c>
      <c r="AF998">
        <v>748758.86</v>
      </c>
      <c r="AG998">
        <v>8930452.5</v>
      </c>
      <c r="AH998">
        <v>179.4</v>
      </c>
      <c r="AI998">
        <v>10.24</v>
      </c>
      <c r="AJ998">
        <v>0.6</v>
      </c>
      <c r="AK998">
        <v>3.37</v>
      </c>
      <c r="AL998">
        <v>2.93</v>
      </c>
      <c r="AM998">
        <v>0</v>
      </c>
      <c r="AN998">
        <v>0</v>
      </c>
      <c r="AO998">
        <v>358</v>
      </c>
      <c r="AP998">
        <v>3.48</v>
      </c>
      <c r="AQ998">
        <v>0.65</v>
      </c>
      <c r="AR998">
        <v>0.11</v>
      </c>
      <c r="AS998">
        <v>0.09</v>
      </c>
      <c r="AT998">
        <v>21.56</v>
      </c>
      <c r="AU998">
        <v>5.91</v>
      </c>
      <c r="AV998">
        <v>0.35</v>
      </c>
      <c r="AW998">
        <v>1.84</v>
      </c>
      <c r="AX998">
        <v>8.1</v>
      </c>
      <c r="AY998">
        <v>3.3</v>
      </c>
      <c r="AZ998">
        <v>101.04600000000001</v>
      </c>
      <c r="BA998">
        <v>0</v>
      </c>
      <c r="BB998">
        <v>0</v>
      </c>
      <c r="BC998">
        <v>0</v>
      </c>
      <c r="BD998">
        <v>0</v>
      </c>
    </row>
    <row r="999" spans="1:56" x14ac:dyDescent="0.25">
      <c r="A999" s="23">
        <v>46304</v>
      </c>
      <c r="B999">
        <v>998</v>
      </c>
      <c r="C999" t="s">
        <v>82</v>
      </c>
      <c r="D999" t="s">
        <v>83</v>
      </c>
      <c r="E999">
        <v>2</v>
      </c>
      <c r="F999">
        <v>180</v>
      </c>
      <c r="G999">
        <v>1</v>
      </c>
      <c r="H999" t="s">
        <v>96</v>
      </c>
      <c r="I999" t="s">
        <v>91</v>
      </c>
      <c r="J999" t="s">
        <v>97</v>
      </c>
      <c r="K999" t="s">
        <v>86</v>
      </c>
      <c r="L999" t="s">
        <v>71</v>
      </c>
      <c r="M999" t="s">
        <v>87</v>
      </c>
      <c r="O999" t="s">
        <v>88</v>
      </c>
      <c r="P999" t="s">
        <v>27</v>
      </c>
      <c r="Q999" t="s">
        <v>73</v>
      </c>
      <c r="R999" t="s">
        <v>76</v>
      </c>
      <c r="S999" t="s">
        <v>74</v>
      </c>
      <c r="T999" t="s">
        <v>75</v>
      </c>
      <c r="X999" t="s">
        <v>77</v>
      </c>
      <c r="Z999" t="s">
        <v>72</v>
      </c>
      <c r="AA999" t="s">
        <v>94</v>
      </c>
      <c r="AB999">
        <v>5</v>
      </c>
      <c r="AC999">
        <v>748756.72</v>
      </c>
      <c r="AD999">
        <v>8930449.9000000004</v>
      </c>
      <c r="AE999">
        <v>190.1</v>
      </c>
      <c r="AF999">
        <v>748756.72</v>
      </c>
      <c r="AG999">
        <v>8930449.9000000004</v>
      </c>
      <c r="AH999">
        <v>179.4</v>
      </c>
      <c r="AI999">
        <v>10.7</v>
      </c>
      <c r="AJ999">
        <v>0.6</v>
      </c>
      <c r="AK999">
        <v>3.37</v>
      </c>
      <c r="AL999">
        <v>2.93</v>
      </c>
      <c r="AM999">
        <v>0</v>
      </c>
      <c r="AN999">
        <v>0</v>
      </c>
      <c r="AO999">
        <v>358</v>
      </c>
      <c r="AP999">
        <v>3.5</v>
      </c>
      <c r="AQ999">
        <v>0.71</v>
      </c>
      <c r="AR999">
        <v>0.11</v>
      </c>
      <c r="AS999">
        <v>0.1</v>
      </c>
      <c r="AT999">
        <v>21.56</v>
      </c>
      <c r="AU999">
        <v>6.41</v>
      </c>
      <c r="AV999">
        <v>0.36</v>
      </c>
      <c r="AW999">
        <v>1.98</v>
      </c>
      <c r="AX999">
        <v>8.1300000000000008</v>
      </c>
      <c r="AY999">
        <v>3.3</v>
      </c>
      <c r="AZ999">
        <v>107.744</v>
      </c>
      <c r="BA999">
        <v>0</v>
      </c>
      <c r="BB999">
        <v>0</v>
      </c>
      <c r="BC999">
        <v>0</v>
      </c>
      <c r="BD999">
        <v>0</v>
      </c>
    </row>
    <row r="1000" spans="1:56" x14ac:dyDescent="0.25">
      <c r="A1000" s="23">
        <v>46304</v>
      </c>
      <c r="B1000">
        <v>999</v>
      </c>
      <c r="C1000" t="s">
        <v>82</v>
      </c>
      <c r="D1000" t="s">
        <v>83</v>
      </c>
      <c r="E1000">
        <v>2</v>
      </c>
      <c r="F1000">
        <v>180</v>
      </c>
      <c r="G1000">
        <v>1</v>
      </c>
      <c r="H1000" t="s">
        <v>84</v>
      </c>
      <c r="I1000" t="s">
        <v>91</v>
      </c>
      <c r="J1000" t="s">
        <v>97</v>
      </c>
      <c r="K1000" t="s">
        <v>86</v>
      </c>
      <c r="L1000" t="s">
        <v>71</v>
      </c>
      <c r="M1000" t="s">
        <v>87</v>
      </c>
      <c r="O1000" t="s">
        <v>88</v>
      </c>
      <c r="P1000" t="s">
        <v>27</v>
      </c>
      <c r="Q1000" t="s">
        <v>73</v>
      </c>
      <c r="R1000" t="s">
        <v>76</v>
      </c>
      <c r="S1000" t="s">
        <v>74</v>
      </c>
      <c r="T1000" t="s">
        <v>75</v>
      </c>
      <c r="X1000" t="s">
        <v>77</v>
      </c>
      <c r="Z1000" t="s">
        <v>72</v>
      </c>
      <c r="AA1000" t="s">
        <v>94</v>
      </c>
      <c r="AB1000">
        <v>5</v>
      </c>
      <c r="AC1000">
        <v>748755.16</v>
      </c>
      <c r="AD1000">
        <v>8930447</v>
      </c>
      <c r="AE1000">
        <v>189.97</v>
      </c>
      <c r="AF1000">
        <v>748755.16</v>
      </c>
      <c r="AG1000">
        <v>8930447</v>
      </c>
      <c r="AH1000">
        <v>179.4</v>
      </c>
      <c r="AI1000">
        <v>10.57</v>
      </c>
      <c r="AJ1000">
        <v>0.6</v>
      </c>
      <c r="AK1000">
        <v>3.37</v>
      </c>
      <c r="AL1000">
        <v>2.93</v>
      </c>
      <c r="AM1000">
        <v>0</v>
      </c>
      <c r="AN1000">
        <v>0</v>
      </c>
      <c r="AO1000">
        <v>358</v>
      </c>
      <c r="AP1000">
        <v>3.53</v>
      </c>
      <c r="AQ1000">
        <v>0.76</v>
      </c>
      <c r="AR1000">
        <v>0.11</v>
      </c>
      <c r="AS1000">
        <v>0.1</v>
      </c>
      <c r="AT1000">
        <v>21.61</v>
      </c>
      <c r="AU1000">
        <v>6.81</v>
      </c>
      <c r="AV1000">
        <v>0.36</v>
      </c>
      <c r="AW1000">
        <v>2.12</v>
      </c>
      <c r="AX1000">
        <v>8.0399999999999991</v>
      </c>
      <c r="AY1000">
        <v>3.3</v>
      </c>
      <c r="AZ1000">
        <v>105.851</v>
      </c>
      <c r="BA1000">
        <v>0</v>
      </c>
      <c r="BB1000">
        <v>0</v>
      </c>
      <c r="BC1000">
        <v>0</v>
      </c>
      <c r="BD1000">
        <v>0</v>
      </c>
    </row>
    <row r="1001" spans="1:56" x14ac:dyDescent="0.25">
      <c r="A1001" s="23">
        <v>46304</v>
      </c>
      <c r="B1001">
        <v>1000</v>
      </c>
      <c r="C1001" t="s">
        <v>82</v>
      </c>
      <c r="D1001" t="s">
        <v>83</v>
      </c>
      <c r="E1001">
        <v>2</v>
      </c>
      <c r="F1001">
        <v>180</v>
      </c>
      <c r="G1001">
        <v>1</v>
      </c>
      <c r="H1001" t="s">
        <v>84</v>
      </c>
      <c r="I1001" t="s">
        <v>91</v>
      </c>
      <c r="J1001" t="s">
        <v>97</v>
      </c>
      <c r="K1001" t="s">
        <v>86</v>
      </c>
      <c r="L1001" t="s">
        <v>71</v>
      </c>
      <c r="M1001" t="s">
        <v>87</v>
      </c>
      <c r="O1001" t="s">
        <v>88</v>
      </c>
      <c r="P1001" t="s">
        <v>27</v>
      </c>
      <c r="Q1001" t="s">
        <v>73</v>
      </c>
      <c r="R1001" t="s">
        <v>76</v>
      </c>
      <c r="S1001" t="s">
        <v>74</v>
      </c>
      <c r="T1001" t="s">
        <v>75</v>
      </c>
      <c r="X1001" t="s">
        <v>77</v>
      </c>
      <c r="Z1001" t="s">
        <v>72</v>
      </c>
      <c r="AA1001" t="s">
        <v>94</v>
      </c>
      <c r="AB1001">
        <v>5</v>
      </c>
      <c r="AC1001">
        <v>748754.21</v>
      </c>
      <c r="AD1001">
        <v>8930443.7799999993</v>
      </c>
      <c r="AE1001">
        <v>189.85</v>
      </c>
      <c r="AF1001">
        <v>748754.21</v>
      </c>
      <c r="AG1001">
        <v>8930443.7799999993</v>
      </c>
      <c r="AH1001">
        <v>179.4</v>
      </c>
      <c r="AI1001">
        <v>10.45</v>
      </c>
      <c r="AJ1001">
        <v>0.6</v>
      </c>
      <c r="AK1001">
        <v>3.37</v>
      </c>
      <c r="AL1001">
        <v>2.93</v>
      </c>
      <c r="AM1001">
        <v>0</v>
      </c>
      <c r="AN1001">
        <v>0</v>
      </c>
      <c r="AO1001">
        <v>358</v>
      </c>
      <c r="AP1001">
        <v>3.53</v>
      </c>
      <c r="AQ1001">
        <v>0.76</v>
      </c>
      <c r="AR1001">
        <v>0.11</v>
      </c>
      <c r="AS1001">
        <v>0.1</v>
      </c>
      <c r="AT1001">
        <v>21.59</v>
      </c>
      <c r="AU1001">
        <v>6.81</v>
      </c>
      <c r="AV1001">
        <v>0.36</v>
      </c>
      <c r="AW1001">
        <v>2.12</v>
      </c>
      <c r="AX1001">
        <v>8.0399999999999991</v>
      </c>
      <c r="AY1001">
        <v>3.3</v>
      </c>
      <c r="AZ1001">
        <v>104.104</v>
      </c>
      <c r="BA1001">
        <v>0</v>
      </c>
      <c r="BB1001">
        <v>0</v>
      </c>
      <c r="BC1001">
        <v>0</v>
      </c>
      <c r="BD1001">
        <v>0</v>
      </c>
    </row>
    <row r="1002" spans="1:56" x14ac:dyDescent="0.25">
      <c r="A1002" s="23">
        <v>46304</v>
      </c>
      <c r="B1002">
        <v>1001</v>
      </c>
      <c r="C1002" t="s">
        <v>82</v>
      </c>
      <c r="D1002" t="s">
        <v>83</v>
      </c>
      <c r="E1002">
        <v>2</v>
      </c>
      <c r="F1002">
        <v>180</v>
      </c>
      <c r="G1002">
        <v>1</v>
      </c>
      <c r="H1002" t="s">
        <v>98</v>
      </c>
      <c r="I1002" t="s">
        <v>91</v>
      </c>
      <c r="J1002" t="s">
        <v>97</v>
      </c>
      <c r="K1002" t="s">
        <v>86</v>
      </c>
      <c r="L1002" t="s">
        <v>71</v>
      </c>
      <c r="M1002" t="s">
        <v>87</v>
      </c>
      <c r="O1002" t="s">
        <v>88</v>
      </c>
      <c r="P1002" t="s">
        <v>27</v>
      </c>
      <c r="Q1002" t="s">
        <v>73</v>
      </c>
      <c r="R1002" t="s">
        <v>76</v>
      </c>
      <c r="S1002" t="s">
        <v>74</v>
      </c>
      <c r="T1002" t="s">
        <v>75</v>
      </c>
      <c r="X1002" t="s">
        <v>77</v>
      </c>
      <c r="Z1002" t="s">
        <v>72</v>
      </c>
      <c r="AA1002" t="s">
        <v>94</v>
      </c>
      <c r="AB1002">
        <v>5</v>
      </c>
      <c r="AC1002">
        <v>748753.22</v>
      </c>
      <c r="AD1002">
        <v>8930441.1999999993</v>
      </c>
      <c r="AE1002">
        <v>189.13</v>
      </c>
      <c r="AF1002">
        <v>748753.22</v>
      </c>
      <c r="AG1002">
        <v>8930441.1999999993</v>
      </c>
      <c r="AH1002">
        <v>179.4</v>
      </c>
      <c r="AI1002">
        <v>9.73</v>
      </c>
      <c r="AJ1002">
        <v>0.6</v>
      </c>
      <c r="AK1002">
        <v>3.37</v>
      </c>
      <c r="AL1002">
        <v>2.93</v>
      </c>
      <c r="AM1002">
        <v>0</v>
      </c>
      <c r="AN1002">
        <v>0</v>
      </c>
      <c r="AO1002">
        <v>358</v>
      </c>
      <c r="AP1002">
        <v>3.51</v>
      </c>
      <c r="AQ1002">
        <v>0.76</v>
      </c>
      <c r="AR1002">
        <v>0.11</v>
      </c>
      <c r="AS1002">
        <v>0.1</v>
      </c>
      <c r="AT1002">
        <v>21.23</v>
      </c>
      <c r="AU1002">
        <v>6.73</v>
      </c>
      <c r="AV1002">
        <v>0.36</v>
      </c>
      <c r="AW1002">
        <v>2.08</v>
      </c>
      <c r="AX1002">
        <v>8</v>
      </c>
      <c r="AY1002">
        <v>3.3</v>
      </c>
      <c r="AZ1002">
        <v>93.620999999999995</v>
      </c>
      <c r="BA1002">
        <v>0</v>
      </c>
      <c r="BB1002">
        <v>0</v>
      </c>
      <c r="BC1002">
        <v>0</v>
      </c>
      <c r="BD1002">
        <v>0</v>
      </c>
    </row>
    <row r="1003" spans="1:56" x14ac:dyDescent="0.25">
      <c r="A1003" s="23">
        <v>46304</v>
      </c>
      <c r="B1003">
        <v>1002</v>
      </c>
      <c r="C1003" t="s">
        <v>82</v>
      </c>
      <c r="D1003" t="s">
        <v>83</v>
      </c>
      <c r="E1003">
        <v>2</v>
      </c>
      <c r="F1003">
        <v>180</v>
      </c>
      <c r="G1003">
        <v>1</v>
      </c>
      <c r="H1003" t="s">
        <v>98</v>
      </c>
      <c r="I1003" t="s">
        <v>91</v>
      </c>
      <c r="J1003" t="s">
        <v>97</v>
      </c>
      <c r="K1003" t="s">
        <v>86</v>
      </c>
      <c r="L1003" t="s">
        <v>71</v>
      </c>
      <c r="M1003" t="s">
        <v>87</v>
      </c>
      <c r="O1003" t="s">
        <v>88</v>
      </c>
      <c r="P1003" t="s">
        <v>27</v>
      </c>
      <c r="Q1003" t="s">
        <v>73</v>
      </c>
      <c r="R1003" t="s">
        <v>76</v>
      </c>
      <c r="S1003" t="s">
        <v>74</v>
      </c>
      <c r="T1003" t="s">
        <v>75</v>
      </c>
      <c r="X1003" t="s">
        <v>77</v>
      </c>
      <c r="Z1003" t="s">
        <v>72</v>
      </c>
      <c r="AA1003" t="s">
        <v>94</v>
      </c>
      <c r="AB1003">
        <v>5</v>
      </c>
      <c r="AC1003">
        <v>748755.72</v>
      </c>
      <c r="AD1003">
        <v>8930438.6400000006</v>
      </c>
      <c r="AE1003">
        <v>189.58</v>
      </c>
      <c r="AF1003">
        <v>748755.72</v>
      </c>
      <c r="AG1003">
        <v>8930438.6400000006</v>
      </c>
      <c r="AH1003">
        <v>179.4</v>
      </c>
      <c r="AI1003">
        <v>10.18</v>
      </c>
      <c r="AJ1003">
        <v>0.6</v>
      </c>
      <c r="AK1003">
        <v>3.37</v>
      </c>
      <c r="AL1003">
        <v>2.93</v>
      </c>
      <c r="AM1003">
        <v>0</v>
      </c>
      <c r="AN1003">
        <v>0</v>
      </c>
      <c r="AO1003">
        <v>358</v>
      </c>
      <c r="AP1003">
        <v>3.5</v>
      </c>
      <c r="AQ1003">
        <v>0.81</v>
      </c>
      <c r="AR1003">
        <v>0.12</v>
      </c>
      <c r="AS1003">
        <v>0.1</v>
      </c>
      <c r="AT1003">
        <v>21.32</v>
      </c>
      <c r="AU1003">
        <v>6.95</v>
      </c>
      <c r="AV1003">
        <v>0.39</v>
      </c>
      <c r="AW1003">
        <v>2.04</v>
      </c>
      <c r="AX1003">
        <v>8.52</v>
      </c>
      <c r="AY1003">
        <v>3.3</v>
      </c>
      <c r="AZ1003">
        <v>100.173</v>
      </c>
      <c r="BA1003">
        <v>0</v>
      </c>
      <c r="BB1003">
        <v>0</v>
      </c>
      <c r="BC1003">
        <v>0</v>
      </c>
      <c r="BD1003">
        <v>0</v>
      </c>
    </row>
    <row r="1004" spans="1:56" x14ac:dyDescent="0.25">
      <c r="A1004" s="23">
        <v>46304</v>
      </c>
      <c r="B1004">
        <v>1003</v>
      </c>
      <c r="C1004" t="s">
        <v>82</v>
      </c>
      <c r="D1004" t="s">
        <v>83</v>
      </c>
      <c r="E1004">
        <v>2</v>
      </c>
      <c r="F1004">
        <v>180</v>
      </c>
      <c r="G1004">
        <v>1</v>
      </c>
      <c r="H1004" t="s">
        <v>98</v>
      </c>
      <c r="I1004" t="s">
        <v>91</v>
      </c>
      <c r="J1004" t="s">
        <v>97</v>
      </c>
      <c r="K1004" t="s">
        <v>86</v>
      </c>
      <c r="L1004" t="s">
        <v>71</v>
      </c>
      <c r="M1004" t="s">
        <v>87</v>
      </c>
      <c r="O1004" t="s">
        <v>88</v>
      </c>
      <c r="P1004" t="s">
        <v>27</v>
      </c>
      <c r="Q1004" t="s">
        <v>73</v>
      </c>
      <c r="R1004" t="s">
        <v>76</v>
      </c>
      <c r="S1004" t="s">
        <v>74</v>
      </c>
      <c r="T1004" t="s">
        <v>75</v>
      </c>
      <c r="X1004" t="s">
        <v>77</v>
      </c>
      <c r="Z1004" t="s">
        <v>72</v>
      </c>
      <c r="AA1004" t="s">
        <v>94</v>
      </c>
      <c r="AB1004">
        <v>5</v>
      </c>
      <c r="AC1004">
        <v>748756.69</v>
      </c>
      <c r="AD1004">
        <v>8930441.8699999992</v>
      </c>
      <c r="AE1004">
        <v>189.58</v>
      </c>
      <c r="AF1004">
        <v>748756.69</v>
      </c>
      <c r="AG1004">
        <v>8930441.8699999992</v>
      </c>
      <c r="AH1004">
        <v>179.4</v>
      </c>
      <c r="AI1004">
        <v>10.18</v>
      </c>
      <c r="AJ1004">
        <v>0.6</v>
      </c>
      <c r="AK1004">
        <v>3.37</v>
      </c>
      <c r="AL1004">
        <v>2.93</v>
      </c>
      <c r="AM1004">
        <v>0</v>
      </c>
      <c r="AN1004">
        <v>0</v>
      </c>
      <c r="AO1004">
        <v>358</v>
      </c>
      <c r="AP1004">
        <v>3.53</v>
      </c>
      <c r="AQ1004">
        <v>0.77</v>
      </c>
      <c r="AR1004">
        <v>0.11</v>
      </c>
      <c r="AS1004">
        <v>0.1</v>
      </c>
      <c r="AT1004">
        <v>21.6</v>
      </c>
      <c r="AU1004">
        <v>6.82</v>
      </c>
      <c r="AV1004">
        <v>0.36</v>
      </c>
      <c r="AW1004">
        <v>2.12</v>
      </c>
      <c r="AX1004">
        <v>8.0500000000000007</v>
      </c>
      <c r="AY1004">
        <v>3.3</v>
      </c>
      <c r="AZ1004">
        <v>100.173</v>
      </c>
      <c r="BA1004">
        <v>0</v>
      </c>
      <c r="BB1004">
        <v>0</v>
      </c>
      <c r="BC1004">
        <v>0</v>
      </c>
      <c r="BD1004">
        <v>0</v>
      </c>
    </row>
    <row r="1005" spans="1:56" x14ac:dyDescent="0.25">
      <c r="A1005" s="23">
        <v>46304</v>
      </c>
      <c r="B1005">
        <v>1004</v>
      </c>
      <c r="C1005" t="s">
        <v>82</v>
      </c>
      <c r="D1005" t="s">
        <v>83</v>
      </c>
      <c r="E1005">
        <v>2</v>
      </c>
      <c r="F1005">
        <v>180</v>
      </c>
      <c r="G1005">
        <v>1</v>
      </c>
      <c r="H1005" t="s">
        <v>98</v>
      </c>
      <c r="I1005" t="s">
        <v>91</v>
      </c>
      <c r="J1005" t="s">
        <v>97</v>
      </c>
      <c r="K1005" t="s">
        <v>86</v>
      </c>
      <c r="L1005" t="s">
        <v>71</v>
      </c>
      <c r="M1005" t="s">
        <v>87</v>
      </c>
      <c r="O1005" t="s">
        <v>88</v>
      </c>
      <c r="P1005" t="s">
        <v>27</v>
      </c>
      <c r="Q1005" t="s">
        <v>73</v>
      </c>
      <c r="R1005" t="s">
        <v>76</v>
      </c>
      <c r="S1005" t="s">
        <v>74</v>
      </c>
      <c r="T1005" t="s">
        <v>75</v>
      </c>
      <c r="X1005" t="s">
        <v>77</v>
      </c>
      <c r="Z1005" t="s">
        <v>72</v>
      </c>
      <c r="AA1005" t="s">
        <v>94</v>
      </c>
      <c r="AB1005">
        <v>5</v>
      </c>
      <c r="AC1005">
        <v>748757.65</v>
      </c>
      <c r="AD1005">
        <v>8930445.0999999996</v>
      </c>
      <c r="AE1005">
        <v>189.73</v>
      </c>
      <c r="AF1005">
        <v>748757.65</v>
      </c>
      <c r="AG1005">
        <v>8930445.0999999996</v>
      </c>
      <c r="AH1005">
        <v>179.4</v>
      </c>
      <c r="AI1005">
        <v>10.33</v>
      </c>
      <c r="AJ1005">
        <v>0.6</v>
      </c>
      <c r="AK1005">
        <v>3.37</v>
      </c>
      <c r="AL1005">
        <v>2.93</v>
      </c>
      <c r="AM1005">
        <v>0</v>
      </c>
      <c r="AN1005">
        <v>0</v>
      </c>
      <c r="AO1005">
        <v>358</v>
      </c>
      <c r="AP1005">
        <v>3.53</v>
      </c>
      <c r="AQ1005">
        <v>0.76</v>
      </c>
      <c r="AR1005">
        <v>0.11</v>
      </c>
      <c r="AS1005">
        <v>0.1</v>
      </c>
      <c r="AT1005">
        <v>21.61</v>
      </c>
      <c r="AU1005">
        <v>6.81</v>
      </c>
      <c r="AV1005">
        <v>0.36</v>
      </c>
      <c r="AW1005">
        <v>2.12</v>
      </c>
      <c r="AX1005">
        <v>8.0399999999999991</v>
      </c>
      <c r="AY1005">
        <v>3.3</v>
      </c>
      <c r="AZ1005">
        <v>102.357</v>
      </c>
      <c r="BA1005">
        <v>0</v>
      </c>
      <c r="BB1005">
        <v>0</v>
      </c>
      <c r="BC1005">
        <v>0</v>
      </c>
      <c r="BD1005">
        <v>0</v>
      </c>
    </row>
    <row r="1006" spans="1:56" x14ac:dyDescent="0.25">
      <c r="A1006" s="23">
        <v>46304</v>
      </c>
      <c r="B1006">
        <v>1005</v>
      </c>
      <c r="C1006" t="s">
        <v>82</v>
      </c>
      <c r="D1006" t="s">
        <v>83</v>
      </c>
      <c r="E1006">
        <v>2</v>
      </c>
      <c r="F1006">
        <v>180</v>
      </c>
      <c r="G1006">
        <v>1</v>
      </c>
      <c r="H1006" t="s">
        <v>96</v>
      </c>
      <c r="I1006" t="s">
        <v>91</v>
      </c>
      <c r="J1006" t="s">
        <v>97</v>
      </c>
      <c r="K1006" t="s">
        <v>86</v>
      </c>
      <c r="L1006" t="s">
        <v>71</v>
      </c>
      <c r="M1006" t="s">
        <v>87</v>
      </c>
      <c r="O1006" t="s">
        <v>88</v>
      </c>
      <c r="P1006" t="s">
        <v>27</v>
      </c>
      <c r="Q1006" t="s">
        <v>73</v>
      </c>
      <c r="R1006" t="s">
        <v>76</v>
      </c>
      <c r="S1006" t="s">
        <v>74</v>
      </c>
      <c r="T1006" t="s">
        <v>75</v>
      </c>
      <c r="X1006" t="s">
        <v>77</v>
      </c>
      <c r="Z1006" t="s">
        <v>72</v>
      </c>
      <c r="AA1006" t="s">
        <v>94</v>
      </c>
      <c r="AB1006">
        <v>5</v>
      </c>
      <c r="AC1006">
        <v>748759.02</v>
      </c>
      <c r="AD1006">
        <v>8930448.0899999999</v>
      </c>
      <c r="AE1006">
        <v>189.91</v>
      </c>
      <c r="AF1006">
        <v>748759.02</v>
      </c>
      <c r="AG1006">
        <v>8930448.0899999999</v>
      </c>
      <c r="AH1006">
        <v>179.4</v>
      </c>
      <c r="AI1006">
        <v>10.51</v>
      </c>
      <c r="AJ1006">
        <v>0.6</v>
      </c>
      <c r="AK1006">
        <v>3.37</v>
      </c>
      <c r="AL1006">
        <v>2.93</v>
      </c>
      <c r="AM1006">
        <v>0</v>
      </c>
      <c r="AN1006">
        <v>0</v>
      </c>
      <c r="AO1006">
        <v>358</v>
      </c>
      <c r="AP1006">
        <v>3.52</v>
      </c>
      <c r="AQ1006">
        <v>0.76</v>
      </c>
      <c r="AR1006">
        <v>0.11</v>
      </c>
      <c r="AS1006">
        <v>0.1</v>
      </c>
      <c r="AT1006">
        <v>21.59</v>
      </c>
      <c r="AU1006">
        <v>6.79</v>
      </c>
      <c r="AV1006">
        <v>0.36</v>
      </c>
      <c r="AW1006">
        <v>2.11</v>
      </c>
      <c r="AX1006">
        <v>8.1199999999999992</v>
      </c>
      <c r="AY1006">
        <v>3.3</v>
      </c>
      <c r="AZ1006">
        <v>104.97799999999999</v>
      </c>
      <c r="BA1006">
        <v>0</v>
      </c>
      <c r="BB1006">
        <v>0</v>
      </c>
      <c r="BC1006">
        <v>0</v>
      </c>
      <c r="BD1006">
        <v>0</v>
      </c>
    </row>
    <row r="1007" spans="1:56" x14ac:dyDescent="0.25">
      <c r="A1007" s="23">
        <v>46304</v>
      </c>
      <c r="B1007">
        <v>1006</v>
      </c>
      <c r="C1007" t="s">
        <v>82</v>
      </c>
      <c r="D1007" t="s">
        <v>83</v>
      </c>
      <c r="E1007">
        <v>2</v>
      </c>
      <c r="F1007">
        <v>180</v>
      </c>
      <c r="G1007">
        <v>1</v>
      </c>
      <c r="H1007" t="s">
        <v>96</v>
      </c>
      <c r="I1007" t="s">
        <v>91</v>
      </c>
      <c r="J1007" t="s">
        <v>85</v>
      </c>
      <c r="K1007" t="s">
        <v>86</v>
      </c>
      <c r="L1007" t="s">
        <v>71</v>
      </c>
      <c r="M1007" t="s">
        <v>87</v>
      </c>
      <c r="O1007" t="s">
        <v>88</v>
      </c>
      <c r="P1007" t="s">
        <v>27</v>
      </c>
      <c r="Q1007" t="s">
        <v>73</v>
      </c>
      <c r="R1007" t="s">
        <v>76</v>
      </c>
      <c r="S1007" t="s">
        <v>74</v>
      </c>
      <c r="T1007" t="s">
        <v>75</v>
      </c>
      <c r="X1007" t="s">
        <v>77</v>
      </c>
      <c r="Z1007" t="s">
        <v>72</v>
      </c>
      <c r="AA1007" t="s">
        <v>94</v>
      </c>
      <c r="AB1007">
        <v>5</v>
      </c>
      <c r="AC1007">
        <v>748761.17</v>
      </c>
      <c r="AD1007">
        <v>8930450.6899999995</v>
      </c>
      <c r="AE1007">
        <v>189.78</v>
      </c>
      <c r="AF1007">
        <v>748761.17</v>
      </c>
      <c r="AG1007">
        <v>8930450.6899999995</v>
      </c>
      <c r="AH1007">
        <v>179.4</v>
      </c>
      <c r="AI1007">
        <v>10.38</v>
      </c>
      <c r="AJ1007">
        <v>0.6</v>
      </c>
      <c r="AK1007">
        <v>3.37</v>
      </c>
      <c r="AL1007">
        <v>2.93</v>
      </c>
      <c r="AM1007">
        <v>0</v>
      </c>
      <c r="AN1007">
        <v>0</v>
      </c>
      <c r="AO1007">
        <v>358</v>
      </c>
      <c r="AP1007">
        <v>3.5</v>
      </c>
      <c r="AQ1007">
        <v>0.71</v>
      </c>
      <c r="AR1007">
        <v>0.13</v>
      </c>
      <c r="AS1007">
        <v>0.1</v>
      </c>
      <c r="AT1007">
        <v>21.7</v>
      </c>
      <c r="AU1007">
        <v>6.06</v>
      </c>
      <c r="AV1007">
        <v>0.36</v>
      </c>
      <c r="AW1007">
        <v>1.96</v>
      </c>
      <c r="AX1007">
        <v>7.82</v>
      </c>
      <c r="AY1007">
        <v>3.3</v>
      </c>
      <c r="AZ1007">
        <v>103.08499999999999</v>
      </c>
      <c r="BA1007">
        <v>0</v>
      </c>
      <c r="BB1007">
        <v>0</v>
      </c>
      <c r="BC1007">
        <v>0</v>
      </c>
      <c r="BD1007">
        <v>0</v>
      </c>
    </row>
    <row r="1008" spans="1:56" x14ac:dyDescent="0.25">
      <c r="A1008" s="23">
        <v>46304</v>
      </c>
      <c r="B1008">
        <v>1007</v>
      </c>
      <c r="C1008" t="s">
        <v>82</v>
      </c>
      <c r="D1008" t="s">
        <v>83</v>
      </c>
      <c r="E1008">
        <v>2</v>
      </c>
      <c r="F1008">
        <v>180</v>
      </c>
      <c r="G1008">
        <v>1</v>
      </c>
      <c r="H1008" t="s">
        <v>96</v>
      </c>
      <c r="I1008" t="s">
        <v>91</v>
      </c>
      <c r="J1008" t="s">
        <v>85</v>
      </c>
      <c r="K1008" t="s">
        <v>86</v>
      </c>
      <c r="L1008" t="s">
        <v>71</v>
      </c>
      <c r="M1008" t="s">
        <v>87</v>
      </c>
      <c r="O1008" t="s">
        <v>88</v>
      </c>
      <c r="P1008" t="s">
        <v>27</v>
      </c>
      <c r="Q1008" t="s">
        <v>73</v>
      </c>
      <c r="R1008" t="s">
        <v>76</v>
      </c>
      <c r="S1008" t="s">
        <v>74</v>
      </c>
      <c r="T1008" t="s">
        <v>75</v>
      </c>
      <c r="X1008" t="s">
        <v>77</v>
      </c>
      <c r="Z1008" t="s">
        <v>72</v>
      </c>
      <c r="AA1008" t="s">
        <v>94</v>
      </c>
      <c r="AB1008">
        <v>5</v>
      </c>
      <c r="AC1008">
        <v>748763.32</v>
      </c>
      <c r="AD1008">
        <v>8930453.2899999991</v>
      </c>
      <c r="AE1008">
        <v>189.91</v>
      </c>
      <c r="AF1008">
        <v>748763.32</v>
      </c>
      <c r="AG1008">
        <v>8930453.2899999991</v>
      </c>
      <c r="AH1008">
        <v>179.4</v>
      </c>
      <c r="AI1008">
        <v>10.51</v>
      </c>
      <c r="AJ1008">
        <v>0.6</v>
      </c>
      <c r="AK1008">
        <v>3.37</v>
      </c>
      <c r="AL1008">
        <v>2.93</v>
      </c>
      <c r="AM1008">
        <v>0</v>
      </c>
      <c r="AN1008">
        <v>0</v>
      </c>
      <c r="AO1008">
        <v>358</v>
      </c>
      <c r="AP1008">
        <v>3.52</v>
      </c>
      <c r="AQ1008">
        <v>0.7</v>
      </c>
      <c r="AR1008">
        <v>0.13</v>
      </c>
      <c r="AS1008">
        <v>0.1</v>
      </c>
      <c r="AT1008">
        <v>21.81</v>
      </c>
      <c r="AU1008">
        <v>5.72</v>
      </c>
      <c r="AV1008">
        <v>0.37</v>
      </c>
      <c r="AW1008">
        <v>1.93</v>
      </c>
      <c r="AX1008">
        <v>7.47</v>
      </c>
      <c r="AY1008">
        <v>3.3</v>
      </c>
      <c r="AZ1008">
        <v>104.97799999999999</v>
      </c>
      <c r="BA1008">
        <v>0</v>
      </c>
      <c r="BB1008">
        <v>0</v>
      </c>
      <c r="BC1008">
        <v>0</v>
      </c>
      <c r="BD1008">
        <v>0</v>
      </c>
    </row>
    <row r="1009" spans="1:56" x14ac:dyDescent="0.25">
      <c r="A1009" s="23">
        <v>46304</v>
      </c>
      <c r="B1009">
        <v>1008</v>
      </c>
      <c r="C1009" t="s">
        <v>82</v>
      </c>
      <c r="D1009" t="s">
        <v>83</v>
      </c>
      <c r="E1009">
        <v>2</v>
      </c>
      <c r="F1009">
        <v>180</v>
      </c>
      <c r="G1009">
        <v>1</v>
      </c>
      <c r="H1009" t="s">
        <v>96</v>
      </c>
      <c r="I1009" t="s">
        <v>91</v>
      </c>
      <c r="J1009" t="s">
        <v>85</v>
      </c>
      <c r="K1009" t="s">
        <v>86</v>
      </c>
      <c r="L1009" t="s">
        <v>71</v>
      </c>
      <c r="M1009" t="s">
        <v>87</v>
      </c>
      <c r="O1009" t="s">
        <v>88</v>
      </c>
      <c r="P1009" t="s">
        <v>27</v>
      </c>
      <c r="Q1009" t="s">
        <v>73</v>
      </c>
      <c r="R1009" t="s">
        <v>76</v>
      </c>
      <c r="S1009" t="s">
        <v>74</v>
      </c>
      <c r="T1009" t="s">
        <v>75</v>
      </c>
      <c r="X1009" t="s">
        <v>77</v>
      </c>
      <c r="Z1009" t="s">
        <v>72</v>
      </c>
      <c r="AA1009" t="s">
        <v>94</v>
      </c>
      <c r="AB1009">
        <v>5</v>
      </c>
      <c r="AC1009">
        <v>748765.46</v>
      </c>
      <c r="AD1009">
        <v>8930455.8900000006</v>
      </c>
      <c r="AE1009">
        <v>189.91</v>
      </c>
      <c r="AF1009">
        <v>748765.46</v>
      </c>
      <c r="AG1009">
        <v>8930455.8900000006</v>
      </c>
      <c r="AH1009">
        <v>179.4</v>
      </c>
      <c r="AI1009">
        <v>10.51</v>
      </c>
      <c r="AJ1009">
        <v>0.6</v>
      </c>
      <c r="AK1009">
        <v>3.37</v>
      </c>
      <c r="AL1009">
        <v>2.93</v>
      </c>
      <c r="AM1009">
        <v>0</v>
      </c>
      <c r="AN1009">
        <v>0</v>
      </c>
      <c r="AO1009">
        <v>358</v>
      </c>
      <c r="AP1009">
        <v>3.52</v>
      </c>
      <c r="AQ1009">
        <v>0.7</v>
      </c>
      <c r="AR1009">
        <v>0.13</v>
      </c>
      <c r="AS1009">
        <v>0.1</v>
      </c>
      <c r="AT1009">
        <v>21.81</v>
      </c>
      <c r="AU1009">
        <v>5.72</v>
      </c>
      <c r="AV1009">
        <v>0.37</v>
      </c>
      <c r="AW1009">
        <v>1.93</v>
      </c>
      <c r="AX1009">
        <v>7.47</v>
      </c>
      <c r="AY1009">
        <v>3.3</v>
      </c>
      <c r="AZ1009">
        <v>104.97799999999999</v>
      </c>
      <c r="BA1009">
        <v>0</v>
      </c>
      <c r="BB1009">
        <v>0</v>
      </c>
      <c r="BC1009">
        <v>0</v>
      </c>
      <c r="BD1009">
        <v>0</v>
      </c>
    </row>
    <row r="1010" spans="1:56" x14ac:dyDescent="0.25">
      <c r="A1010" s="23">
        <v>46304</v>
      </c>
      <c r="B1010">
        <v>1009</v>
      </c>
      <c r="C1010" t="s">
        <v>82</v>
      </c>
      <c r="D1010" t="s">
        <v>83</v>
      </c>
      <c r="E1010">
        <v>2</v>
      </c>
      <c r="F1010">
        <v>180</v>
      </c>
      <c r="G1010">
        <v>1</v>
      </c>
      <c r="H1010" t="s">
        <v>96</v>
      </c>
      <c r="I1010" t="s">
        <v>91</v>
      </c>
      <c r="J1010" t="s">
        <v>85</v>
      </c>
      <c r="K1010" t="s">
        <v>86</v>
      </c>
      <c r="L1010" t="s">
        <v>71</v>
      </c>
      <c r="M1010" t="s">
        <v>87</v>
      </c>
      <c r="O1010" t="s">
        <v>88</v>
      </c>
      <c r="P1010" t="s">
        <v>27</v>
      </c>
      <c r="Q1010" t="s">
        <v>73</v>
      </c>
      <c r="R1010" t="s">
        <v>76</v>
      </c>
      <c r="S1010" t="s">
        <v>74</v>
      </c>
      <c r="T1010" t="s">
        <v>75</v>
      </c>
      <c r="X1010" t="s">
        <v>77</v>
      </c>
      <c r="Z1010" t="s">
        <v>72</v>
      </c>
      <c r="AA1010" t="s">
        <v>94</v>
      </c>
      <c r="AB1010">
        <v>5</v>
      </c>
      <c r="AC1010">
        <v>748767.61</v>
      </c>
      <c r="AD1010">
        <v>8930458.4800000004</v>
      </c>
      <c r="AE1010">
        <v>189.77</v>
      </c>
      <c r="AF1010">
        <v>748767.61</v>
      </c>
      <c r="AG1010">
        <v>8930458.4800000004</v>
      </c>
      <c r="AH1010">
        <v>179.4</v>
      </c>
      <c r="AI1010">
        <v>10.37</v>
      </c>
      <c r="AJ1010">
        <v>0.6</v>
      </c>
      <c r="AK1010">
        <v>3.37</v>
      </c>
      <c r="AL1010">
        <v>2.93</v>
      </c>
      <c r="AM1010">
        <v>0</v>
      </c>
      <c r="AN1010">
        <v>0</v>
      </c>
      <c r="AO1010">
        <v>358</v>
      </c>
      <c r="AP1010">
        <v>3.51</v>
      </c>
      <c r="AQ1010">
        <v>0.71</v>
      </c>
      <c r="AR1010">
        <v>0.13</v>
      </c>
      <c r="AS1010">
        <v>0.1</v>
      </c>
      <c r="AT1010">
        <v>21.74</v>
      </c>
      <c r="AU1010">
        <v>5.79</v>
      </c>
      <c r="AV1010">
        <v>0.37</v>
      </c>
      <c r="AW1010">
        <v>1.94</v>
      </c>
      <c r="AX1010">
        <v>7.46</v>
      </c>
      <c r="AY1010">
        <v>3.3</v>
      </c>
      <c r="AZ1010">
        <v>102.93899999999999</v>
      </c>
      <c r="BA1010">
        <v>0</v>
      </c>
      <c r="BB1010">
        <v>0</v>
      </c>
      <c r="BC1010">
        <v>0</v>
      </c>
      <c r="BD1010">
        <v>0</v>
      </c>
    </row>
    <row r="1011" spans="1:56" x14ac:dyDescent="0.25">
      <c r="A1011" s="23">
        <v>46304</v>
      </c>
      <c r="B1011">
        <v>1010</v>
      </c>
      <c r="C1011" t="s">
        <v>82</v>
      </c>
      <c r="D1011" t="s">
        <v>83</v>
      </c>
      <c r="E1011">
        <v>2</v>
      </c>
      <c r="F1011">
        <v>180</v>
      </c>
      <c r="G1011">
        <v>1</v>
      </c>
      <c r="H1011" t="s">
        <v>96</v>
      </c>
      <c r="I1011" t="s">
        <v>91</v>
      </c>
      <c r="J1011" t="s">
        <v>97</v>
      </c>
      <c r="K1011" t="s">
        <v>86</v>
      </c>
      <c r="L1011" t="s">
        <v>71</v>
      </c>
      <c r="M1011" t="s">
        <v>87</v>
      </c>
      <c r="O1011" t="s">
        <v>88</v>
      </c>
      <c r="P1011" t="s">
        <v>27</v>
      </c>
      <c r="Q1011" t="s">
        <v>73</v>
      </c>
      <c r="R1011" t="s">
        <v>76</v>
      </c>
      <c r="S1011" t="s">
        <v>74</v>
      </c>
      <c r="T1011" t="s">
        <v>75</v>
      </c>
      <c r="X1011" t="s">
        <v>77</v>
      </c>
      <c r="Z1011" t="s">
        <v>72</v>
      </c>
      <c r="AA1011" t="s">
        <v>94</v>
      </c>
      <c r="AB1011">
        <v>5</v>
      </c>
      <c r="AC1011">
        <v>748770.23</v>
      </c>
      <c r="AD1011">
        <v>8930460.5899999999</v>
      </c>
      <c r="AE1011">
        <v>189.91</v>
      </c>
      <c r="AF1011">
        <v>748770.23</v>
      </c>
      <c r="AG1011">
        <v>8930460.5899999999</v>
      </c>
      <c r="AH1011">
        <v>179.4</v>
      </c>
      <c r="AI1011">
        <v>10.51</v>
      </c>
      <c r="AJ1011">
        <v>0.6</v>
      </c>
      <c r="AK1011">
        <v>3.37</v>
      </c>
      <c r="AL1011">
        <v>2.93</v>
      </c>
      <c r="AM1011">
        <v>0</v>
      </c>
      <c r="AN1011">
        <v>0</v>
      </c>
      <c r="AO1011">
        <v>358</v>
      </c>
      <c r="AP1011">
        <v>3.44</v>
      </c>
      <c r="AQ1011">
        <v>0.74</v>
      </c>
      <c r="AR1011">
        <v>0.12</v>
      </c>
      <c r="AS1011">
        <v>0.1</v>
      </c>
      <c r="AT1011">
        <v>20.75</v>
      </c>
      <c r="AU1011">
        <v>6.59</v>
      </c>
      <c r="AV1011">
        <v>0.36</v>
      </c>
      <c r="AW1011">
        <v>2.08</v>
      </c>
      <c r="AX1011">
        <v>7.51</v>
      </c>
      <c r="AY1011">
        <v>3.3</v>
      </c>
      <c r="AZ1011">
        <v>104.97799999999999</v>
      </c>
      <c r="BA1011">
        <v>0</v>
      </c>
      <c r="BB1011">
        <v>0</v>
      </c>
      <c r="BC1011">
        <v>0</v>
      </c>
      <c r="BD1011">
        <v>0</v>
      </c>
    </row>
    <row r="1012" spans="1:56" x14ac:dyDescent="0.25">
      <c r="A1012" s="23">
        <v>46304</v>
      </c>
      <c r="B1012">
        <v>1011</v>
      </c>
      <c r="C1012" t="s">
        <v>82</v>
      </c>
      <c r="D1012" t="s">
        <v>83</v>
      </c>
      <c r="E1012">
        <v>2</v>
      </c>
      <c r="F1012">
        <v>180</v>
      </c>
      <c r="G1012">
        <v>1</v>
      </c>
      <c r="H1012" t="s">
        <v>96</v>
      </c>
      <c r="I1012" t="s">
        <v>91</v>
      </c>
      <c r="J1012" t="s">
        <v>97</v>
      </c>
      <c r="K1012" t="s">
        <v>86</v>
      </c>
      <c r="L1012" t="s">
        <v>71</v>
      </c>
      <c r="M1012" t="s">
        <v>87</v>
      </c>
      <c r="O1012" t="s">
        <v>88</v>
      </c>
      <c r="P1012" t="s">
        <v>27</v>
      </c>
      <c r="Q1012" t="s">
        <v>73</v>
      </c>
      <c r="R1012" t="s">
        <v>76</v>
      </c>
      <c r="S1012" t="s">
        <v>74</v>
      </c>
      <c r="T1012" t="s">
        <v>75</v>
      </c>
      <c r="X1012" t="s">
        <v>77</v>
      </c>
      <c r="Z1012" t="s">
        <v>72</v>
      </c>
      <c r="AA1012" t="s">
        <v>94</v>
      </c>
      <c r="AB1012">
        <v>5</v>
      </c>
      <c r="AC1012">
        <v>748772.91</v>
      </c>
      <c r="AD1012">
        <v>8930462.6300000008</v>
      </c>
      <c r="AE1012">
        <v>189.83</v>
      </c>
      <c r="AF1012">
        <v>748772.91</v>
      </c>
      <c r="AG1012">
        <v>8930462.6300000008</v>
      </c>
      <c r="AH1012">
        <v>179.4</v>
      </c>
      <c r="AI1012">
        <v>10.43</v>
      </c>
      <c r="AJ1012">
        <v>0.6</v>
      </c>
      <c r="AK1012">
        <v>3.37</v>
      </c>
      <c r="AL1012">
        <v>2.93</v>
      </c>
      <c r="AM1012">
        <v>0</v>
      </c>
      <c r="AN1012">
        <v>0</v>
      </c>
      <c r="AO1012">
        <v>358</v>
      </c>
      <c r="AP1012">
        <v>3.44</v>
      </c>
      <c r="AQ1012">
        <v>0.71</v>
      </c>
      <c r="AR1012">
        <v>0.11</v>
      </c>
      <c r="AS1012">
        <v>0.09</v>
      </c>
      <c r="AT1012">
        <v>19.72</v>
      </c>
      <c r="AU1012">
        <v>6.71</v>
      </c>
      <c r="AV1012">
        <v>0.34</v>
      </c>
      <c r="AW1012">
        <v>2.09</v>
      </c>
      <c r="AX1012">
        <v>7.8</v>
      </c>
      <c r="AY1012">
        <v>3.3</v>
      </c>
      <c r="AZ1012">
        <v>103.813</v>
      </c>
      <c r="BA1012">
        <v>0</v>
      </c>
      <c r="BB1012">
        <v>0</v>
      </c>
      <c r="BC1012">
        <v>0</v>
      </c>
      <c r="BD1012">
        <v>0</v>
      </c>
    </row>
    <row r="1013" spans="1:56" x14ac:dyDescent="0.25">
      <c r="A1013" s="23">
        <v>46304</v>
      </c>
      <c r="B1013">
        <v>1012</v>
      </c>
      <c r="C1013" t="s">
        <v>82</v>
      </c>
      <c r="D1013" t="s">
        <v>83</v>
      </c>
      <c r="E1013">
        <v>2</v>
      </c>
      <c r="F1013">
        <v>180</v>
      </c>
      <c r="G1013">
        <v>1</v>
      </c>
      <c r="H1013" t="s">
        <v>96</v>
      </c>
      <c r="I1013" t="s">
        <v>91</v>
      </c>
      <c r="J1013" t="s">
        <v>97</v>
      </c>
      <c r="K1013" t="s">
        <v>86</v>
      </c>
      <c r="L1013" t="s">
        <v>71</v>
      </c>
      <c r="M1013" t="s">
        <v>87</v>
      </c>
      <c r="O1013" t="s">
        <v>88</v>
      </c>
      <c r="P1013" t="s">
        <v>27</v>
      </c>
      <c r="Q1013" t="s">
        <v>73</v>
      </c>
      <c r="R1013" t="s">
        <v>76</v>
      </c>
      <c r="S1013" t="s">
        <v>74</v>
      </c>
      <c r="T1013" t="s">
        <v>75</v>
      </c>
      <c r="X1013" t="s">
        <v>77</v>
      </c>
      <c r="Z1013" t="s">
        <v>72</v>
      </c>
      <c r="AA1013" t="s">
        <v>94</v>
      </c>
      <c r="AB1013">
        <v>5</v>
      </c>
      <c r="AC1013">
        <v>748775.6</v>
      </c>
      <c r="AD1013">
        <v>8930464.6699999999</v>
      </c>
      <c r="AE1013">
        <v>189.79</v>
      </c>
      <c r="AF1013">
        <v>748775.6</v>
      </c>
      <c r="AG1013">
        <v>8930464.6699999999</v>
      </c>
      <c r="AH1013">
        <v>179.4</v>
      </c>
      <c r="AI1013">
        <v>10.39</v>
      </c>
      <c r="AJ1013">
        <v>0.6</v>
      </c>
      <c r="AK1013">
        <v>3.37</v>
      </c>
      <c r="AL1013">
        <v>2.93</v>
      </c>
      <c r="AM1013">
        <v>0</v>
      </c>
      <c r="AN1013">
        <v>0</v>
      </c>
      <c r="AO1013">
        <v>358</v>
      </c>
      <c r="AP1013">
        <v>3.44</v>
      </c>
      <c r="AQ1013">
        <v>0.71</v>
      </c>
      <c r="AR1013">
        <v>0.11</v>
      </c>
      <c r="AS1013">
        <v>0.09</v>
      </c>
      <c r="AT1013">
        <v>19.72</v>
      </c>
      <c r="AU1013">
        <v>6.71</v>
      </c>
      <c r="AV1013">
        <v>0.34</v>
      </c>
      <c r="AW1013">
        <v>2.09</v>
      </c>
      <c r="AX1013">
        <v>7.8</v>
      </c>
      <c r="AY1013">
        <v>3.3</v>
      </c>
      <c r="AZ1013">
        <v>103.23</v>
      </c>
      <c r="BA1013">
        <v>0</v>
      </c>
      <c r="BB1013">
        <v>0</v>
      </c>
      <c r="BC1013">
        <v>0</v>
      </c>
      <c r="BD1013">
        <v>0</v>
      </c>
    </row>
    <row r="1014" spans="1:56" x14ac:dyDescent="0.25">
      <c r="A1014" s="23">
        <v>46304</v>
      </c>
      <c r="B1014">
        <v>1013</v>
      </c>
      <c r="C1014" t="s">
        <v>82</v>
      </c>
      <c r="D1014" t="s">
        <v>83</v>
      </c>
      <c r="E1014">
        <v>2</v>
      </c>
      <c r="F1014">
        <v>180</v>
      </c>
      <c r="G1014">
        <v>1</v>
      </c>
      <c r="H1014" t="s">
        <v>96</v>
      </c>
      <c r="I1014" t="s">
        <v>91</v>
      </c>
      <c r="J1014" t="s">
        <v>97</v>
      </c>
      <c r="K1014" t="s">
        <v>86</v>
      </c>
      <c r="L1014" t="s">
        <v>71</v>
      </c>
      <c r="M1014" t="s">
        <v>87</v>
      </c>
      <c r="O1014" t="s">
        <v>88</v>
      </c>
      <c r="P1014" t="s">
        <v>27</v>
      </c>
      <c r="Q1014" t="s">
        <v>73</v>
      </c>
      <c r="R1014" t="s">
        <v>76</v>
      </c>
      <c r="S1014" t="s">
        <v>74</v>
      </c>
      <c r="T1014" t="s">
        <v>75</v>
      </c>
      <c r="X1014" t="s">
        <v>77</v>
      </c>
      <c r="Z1014" t="s">
        <v>72</v>
      </c>
      <c r="AA1014" t="s">
        <v>94</v>
      </c>
      <c r="AB1014">
        <v>5</v>
      </c>
      <c r="AC1014">
        <v>748778.44</v>
      </c>
      <c r="AD1014">
        <v>8930466.4800000004</v>
      </c>
      <c r="AE1014">
        <v>189.77</v>
      </c>
      <c r="AF1014">
        <v>748778.44</v>
      </c>
      <c r="AG1014">
        <v>8930466.4800000004</v>
      </c>
      <c r="AH1014">
        <v>179.4</v>
      </c>
      <c r="AI1014">
        <v>10.37</v>
      </c>
      <c r="AJ1014">
        <v>0.6</v>
      </c>
      <c r="AK1014">
        <v>3.37</v>
      </c>
      <c r="AL1014">
        <v>2.93</v>
      </c>
      <c r="AM1014">
        <v>0</v>
      </c>
      <c r="AN1014">
        <v>0</v>
      </c>
      <c r="AO1014">
        <v>358</v>
      </c>
      <c r="AP1014">
        <v>3.44</v>
      </c>
      <c r="AQ1014">
        <v>0.71</v>
      </c>
      <c r="AR1014">
        <v>0.11</v>
      </c>
      <c r="AS1014">
        <v>0.09</v>
      </c>
      <c r="AT1014">
        <v>19.68</v>
      </c>
      <c r="AU1014">
        <v>6.71</v>
      </c>
      <c r="AV1014">
        <v>0.34</v>
      </c>
      <c r="AW1014">
        <v>2.09</v>
      </c>
      <c r="AX1014">
        <v>7.22</v>
      </c>
      <c r="AY1014">
        <v>3.3</v>
      </c>
      <c r="AZ1014">
        <v>102.93899999999999</v>
      </c>
      <c r="BA1014">
        <v>0</v>
      </c>
      <c r="BB1014">
        <v>0</v>
      </c>
      <c r="BC1014">
        <v>0</v>
      </c>
      <c r="BD1014">
        <v>0</v>
      </c>
    </row>
    <row r="1015" spans="1:56" x14ac:dyDescent="0.25">
      <c r="A1015" s="23">
        <v>46304</v>
      </c>
      <c r="B1015">
        <v>1014</v>
      </c>
      <c r="C1015" t="s">
        <v>82</v>
      </c>
      <c r="D1015" t="s">
        <v>83</v>
      </c>
      <c r="E1015">
        <v>2</v>
      </c>
      <c r="F1015">
        <v>180</v>
      </c>
      <c r="G1015">
        <v>1</v>
      </c>
      <c r="H1015" t="s">
        <v>96</v>
      </c>
      <c r="I1015" t="s">
        <v>91</v>
      </c>
      <c r="J1015" t="s">
        <v>85</v>
      </c>
      <c r="K1015" t="s">
        <v>86</v>
      </c>
      <c r="L1015" t="s">
        <v>71</v>
      </c>
      <c r="M1015" t="s">
        <v>87</v>
      </c>
      <c r="O1015" t="s">
        <v>88</v>
      </c>
      <c r="P1015" t="s">
        <v>27</v>
      </c>
      <c r="Q1015" t="s">
        <v>73</v>
      </c>
      <c r="R1015" t="s">
        <v>76</v>
      </c>
      <c r="S1015" t="s">
        <v>74</v>
      </c>
      <c r="T1015" t="s">
        <v>75</v>
      </c>
      <c r="X1015" t="s">
        <v>77</v>
      </c>
      <c r="Z1015" t="s">
        <v>72</v>
      </c>
      <c r="AA1015" t="s">
        <v>94</v>
      </c>
      <c r="AB1015">
        <v>5</v>
      </c>
      <c r="AC1015">
        <v>748781.28</v>
      </c>
      <c r="AD1015">
        <v>8930468.3000000007</v>
      </c>
      <c r="AE1015">
        <v>189.95</v>
      </c>
      <c r="AF1015">
        <v>748781.28</v>
      </c>
      <c r="AG1015">
        <v>8930468.3000000007</v>
      </c>
      <c r="AH1015">
        <v>179.4</v>
      </c>
      <c r="AI1015">
        <v>10.55</v>
      </c>
      <c r="AJ1015">
        <v>0.6</v>
      </c>
      <c r="AK1015">
        <v>3.37</v>
      </c>
      <c r="AL1015">
        <v>2.93</v>
      </c>
      <c r="AM1015">
        <v>0</v>
      </c>
      <c r="AN1015">
        <v>0</v>
      </c>
      <c r="AO1015">
        <v>358</v>
      </c>
      <c r="AP1015">
        <v>3.43</v>
      </c>
      <c r="AQ1015">
        <v>0.68</v>
      </c>
      <c r="AR1015">
        <v>0.09</v>
      </c>
      <c r="AS1015">
        <v>0.08</v>
      </c>
      <c r="AT1015">
        <v>19.23</v>
      </c>
      <c r="AU1015">
        <v>6.72</v>
      </c>
      <c r="AV1015">
        <v>0.32</v>
      </c>
      <c r="AW1015">
        <v>2.15</v>
      </c>
      <c r="AX1015">
        <v>1.08</v>
      </c>
      <c r="AY1015">
        <v>3.3</v>
      </c>
      <c r="AZ1015">
        <v>105.56</v>
      </c>
      <c r="BA1015">
        <v>0</v>
      </c>
      <c r="BB1015">
        <v>0</v>
      </c>
      <c r="BC1015">
        <v>0</v>
      </c>
      <c r="BD1015">
        <v>0</v>
      </c>
    </row>
    <row r="1016" spans="1:56" x14ac:dyDescent="0.25">
      <c r="A1016" s="23">
        <v>46304</v>
      </c>
      <c r="B1016">
        <v>1015</v>
      </c>
      <c r="C1016" t="s">
        <v>82</v>
      </c>
      <c r="D1016" t="s">
        <v>83</v>
      </c>
      <c r="E1016">
        <v>2</v>
      </c>
      <c r="F1016">
        <v>180</v>
      </c>
      <c r="G1016">
        <v>1</v>
      </c>
      <c r="H1016" t="s">
        <v>96</v>
      </c>
      <c r="I1016" t="s">
        <v>91</v>
      </c>
      <c r="J1016" t="s">
        <v>85</v>
      </c>
      <c r="K1016" t="s">
        <v>86</v>
      </c>
      <c r="L1016" t="s">
        <v>71</v>
      </c>
      <c r="M1016" t="s">
        <v>87</v>
      </c>
      <c r="O1016" t="s">
        <v>88</v>
      </c>
      <c r="P1016" t="s">
        <v>27</v>
      </c>
      <c r="Q1016" t="s">
        <v>73</v>
      </c>
      <c r="R1016" t="s">
        <v>76</v>
      </c>
      <c r="S1016" t="s">
        <v>74</v>
      </c>
      <c r="T1016" t="s">
        <v>75</v>
      </c>
      <c r="X1016" t="s">
        <v>77</v>
      </c>
      <c r="Z1016" t="s">
        <v>72</v>
      </c>
      <c r="AA1016" t="s">
        <v>94</v>
      </c>
      <c r="AB1016">
        <v>5</v>
      </c>
      <c r="AC1016">
        <v>748784.12</v>
      </c>
      <c r="AD1016">
        <v>8930470.1099999994</v>
      </c>
      <c r="AE1016">
        <v>189.99</v>
      </c>
      <c r="AF1016">
        <v>748784.12</v>
      </c>
      <c r="AG1016">
        <v>8930470.1099999994</v>
      </c>
      <c r="AH1016">
        <v>179.4</v>
      </c>
      <c r="AI1016">
        <v>10.59</v>
      </c>
      <c r="AJ1016">
        <v>0.6</v>
      </c>
      <c r="AK1016">
        <v>3.37</v>
      </c>
      <c r="AL1016">
        <v>2.93</v>
      </c>
      <c r="AM1016">
        <v>0</v>
      </c>
      <c r="AN1016">
        <v>0</v>
      </c>
      <c r="AO1016">
        <v>358</v>
      </c>
      <c r="AP1016">
        <v>3.44</v>
      </c>
      <c r="AQ1016">
        <v>0.64</v>
      </c>
      <c r="AR1016">
        <v>0.08</v>
      </c>
      <c r="AS1016">
        <v>0.08</v>
      </c>
      <c r="AT1016">
        <v>18.64</v>
      </c>
      <c r="AU1016">
        <v>6.59</v>
      </c>
      <c r="AV1016">
        <v>0.32</v>
      </c>
      <c r="AW1016">
        <v>2.02</v>
      </c>
      <c r="AX1016">
        <v>0</v>
      </c>
      <c r="AY1016">
        <v>3.3</v>
      </c>
      <c r="AZ1016">
        <v>106.142</v>
      </c>
      <c r="BA1016">
        <v>0</v>
      </c>
      <c r="BB1016">
        <v>0</v>
      </c>
      <c r="BC1016">
        <v>0</v>
      </c>
      <c r="BD1016">
        <v>0</v>
      </c>
    </row>
    <row r="1017" spans="1:56" x14ac:dyDescent="0.25">
      <c r="A1017" s="23">
        <v>46304</v>
      </c>
      <c r="B1017">
        <v>1016</v>
      </c>
      <c r="C1017" t="s">
        <v>82</v>
      </c>
      <c r="D1017" t="s">
        <v>83</v>
      </c>
      <c r="E1017">
        <v>2</v>
      </c>
      <c r="F1017">
        <v>180</v>
      </c>
      <c r="G1017">
        <v>1</v>
      </c>
      <c r="H1017" t="s">
        <v>96</v>
      </c>
      <c r="I1017" t="s">
        <v>91</v>
      </c>
      <c r="J1017" t="s">
        <v>85</v>
      </c>
      <c r="K1017" t="s">
        <v>86</v>
      </c>
      <c r="L1017" t="s">
        <v>71</v>
      </c>
      <c r="M1017" t="s">
        <v>87</v>
      </c>
      <c r="O1017" t="s">
        <v>88</v>
      </c>
      <c r="P1017" t="s">
        <v>27</v>
      </c>
      <c r="Q1017" t="s">
        <v>73</v>
      </c>
      <c r="R1017" t="s">
        <v>76</v>
      </c>
      <c r="S1017" t="s">
        <v>74</v>
      </c>
      <c r="T1017" t="s">
        <v>75</v>
      </c>
      <c r="X1017" t="s">
        <v>77</v>
      </c>
      <c r="Z1017" t="s">
        <v>72</v>
      </c>
      <c r="AA1017" t="s">
        <v>94</v>
      </c>
      <c r="AB1017">
        <v>5</v>
      </c>
      <c r="AC1017">
        <v>748786.96</v>
      </c>
      <c r="AD1017">
        <v>8930471.9199999999</v>
      </c>
      <c r="AE1017">
        <v>190.46</v>
      </c>
      <c r="AF1017">
        <v>748786.96</v>
      </c>
      <c r="AG1017">
        <v>8930471.9199999999</v>
      </c>
      <c r="AH1017">
        <v>179.4</v>
      </c>
      <c r="AI1017">
        <v>11.06</v>
      </c>
      <c r="AJ1017">
        <v>0.6</v>
      </c>
      <c r="AK1017">
        <v>3.37</v>
      </c>
      <c r="AL1017">
        <v>2.93</v>
      </c>
      <c r="AM1017">
        <v>0</v>
      </c>
      <c r="AN1017">
        <v>0</v>
      </c>
      <c r="AO1017">
        <v>358</v>
      </c>
      <c r="AP1017">
        <v>3.45</v>
      </c>
      <c r="AQ1017">
        <v>0.61</v>
      </c>
      <c r="AR1017">
        <v>0.08</v>
      </c>
      <c r="AS1017">
        <v>0.08</v>
      </c>
      <c r="AT1017">
        <v>18.23</v>
      </c>
      <c r="AU1017">
        <v>6.52</v>
      </c>
      <c r="AV1017">
        <v>0.32</v>
      </c>
      <c r="AW1017">
        <v>1.9</v>
      </c>
      <c r="AX1017">
        <v>0.34</v>
      </c>
      <c r="AY1017">
        <v>3.3</v>
      </c>
      <c r="AZ1017">
        <v>112.986</v>
      </c>
      <c r="BA1017">
        <v>0</v>
      </c>
      <c r="BB1017">
        <v>0</v>
      </c>
      <c r="BC1017">
        <v>0</v>
      </c>
      <c r="BD1017">
        <v>0</v>
      </c>
    </row>
    <row r="1018" spans="1:56" x14ac:dyDescent="0.25">
      <c r="A1018" s="23">
        <v>46304</v>
      </c>
      <c r="B1018">
        <v>1017</v>
      </c>
      <c r="C1018" t="s">
        <v>82</v>
      </c>
      <c r="D1018" t="s">
        <v>83</v>
      </c>
      <c r="E1018">
        <v>2</v>
      </c>
      <c r="F1018">
        <v>180</v>
      </c>
      <c r="G1018">
        <v>1</v>
      </c>
      <c r="H1018" t="s">
        <v>96</v>
      </c>
      <c r="I1018" t="s">
        <v>91</v>
      </c>
      <c r="J1018" t="s">
        <v>85</v>
      </c>
      <c r="K1018" t="s">
        <v>86</v>
      </c>
      <c r="L1018" t="s">
        <v>71</v>
      </c>
      <c r="M1018" t="s">
        <v>87</v>
      </c>
      <c r="O1018" t="s">
        <v>88</v>
      </c>
      <c r="P1018" t="s">
        <v>27</v>
      </c>
      <c r="Q1018" t="s">
        <v>73</v>
      </c>
      <c r="R1018" t="s">
        <v>76</v>
      </c>
      <c r="S1018" t="s">
        <v>74</v>
      </c>
      <c r="T1018" t="s">
        <v>75</v>
      </c>
      <c r="X1018" t="s">
        <v>77</v>
      </c>
      <c r="Z1018" t="s">
        <v>72</v>
      </c>
      <c r="AA1018" t="s">
        <v>94</v>
      </c>
      <c r="AB1018">
        <v>5</v>
      </c>
      <c r="AC1018">
        <v>748789.8</v>
      </c>
      <c r="AD1018">
        <v>8930473.7400000002</v>
      </c>
      <c r="AE1018">
        <v>190.42</v>
      </c>
      <c r="AF1018">
        <v>748789.8</v>
      </c>
      <c r="AG1018">
        <v>8930473.7400000002</v>
      </c>
      <c r="AH1018">
        <v>179.4</v>
      </c>
      <c r="AI1018">
        <v>11.02</v>
      </c>
      <c r="AJ1018">
        <v>0.6</v>
      </c>
      <c r="AK1018">
        <v>3.37</v>
      </c>
      <c r="AL1018">
        <v>2.93</v>
      </c>
      <c r="AM1018">
        <v>0</v>
      </c>
      <c r="AN1018">
        <v>0</v>
      </c>
      <c r="AO1018">
        <v>358</v>
      </c>
      <c r="AP1018">
        <v>3.43</v>
      </c>
      <c r="AQ1018">
        <v>0.61</v>
      </c>
      <c r="AR1018">
        <v>0.08</v>
      </c>
      <c r="AS1018">
        <v>0.08</v>
      </c>
      <c r="AT1018">
        <v>18.170000000000002</v>
      </c>
      <c r="AU1018">
        <v>6.47</v>
      </c>
      <c r="AV1018">
        <v>0.32</v>
      </c>
      <c r="AW1018">
        <v>1.92</v>
      </c>
      <c r="AX1018">
        <v>0.28999999999999998</v>
      </c>
      <c r="AY1018">
        <v>3.3</v>
      </c>
      <c r="AZ1018">
        <v>112.40300000000001</v>
      </c>
      <c r="BA1018">
        <v>0</v>
      </c>
      <c r="BB1018">
        <v>0</v>
      </c>
      <c r="BC1018">
        <v>0</v>
      </c>
      <c r="BD1018">
        <v>0</v>
      </c>
    </row>
    <row r="1019" spans="1:56" x14ac:dyDescent="0.25">
      <c r="A1019" s="23">
        <v>46304</v>
      </c>
      <c r="B1019">
        <v>1018</v>
      </c>
      <c r="C1019" t="s">
        <v>82</v>
      </c>
      <c r="D1019" t="s">
        <v>83</v>
      </c>
      <c r="E1019">
        <v>2</v>
      </c>
      <c r="F1019">
        <v>180</v>
      </c>
      <c r="G1019">
        <v>1</v>
      </c>
      <c r="H1019" t="s">
        <v>96</v>
      </c>
      <c r="I1019" t="s">
        <v>91</v>
      </c>
      <c r="J1019" t="s">
        <v>85</v>
      </c>
      <c r="K1019" t="s">
        <v>86</v>
      </c>
      <c r="L1019" t="s">
        <v>71</v>
      </c>
      <c r="M1019" t="s">
        <v>87</v>
      </c>
      <c r="O1019" t="s">
        <v>88</v>
      </c>
      <c r="P1019" t="s">
        <v>27</v>
      </c>
      <c r="Q1019" t="s">
        <v>73</v>
      </c>
      <c r="R1019" t="s">
        <v>76</v>
      </c>
      <c r="S1019" t="s">
        <v>74</v>
      </c>
      <c r="T1019" t="s">
        <v>75</v>
      </c>
      <c r="X1019" t="s">
        <v>77</v>
      </c>
      <c r="Z1019" t="s">
        <v>72</v>
      </c>
      <c r="AA1019" t="s">
        <v>94</v>
      </c>
      <c r="AB1019">
        <v>5</v>
      </c>
      <c r="AC1019">
        <v>748792.93</v>
      </c>
      <c r="AD1019">
        <v>8930474.8699999992</v>
      </c>
      <c r="AE1019">
        <v>190.39</v>
      </c>
      <c r="AF1019">
        <v>748792.93</v>
      </c>
      <c r="AG1019">
        <v>8930474.8699999992</v>
      </c>
      <c r="AH1019">
        <v>179.4</v>
      </c>
      <c r="AI1019">
        <v>10.99</v>
      </c>
      <c r="AJ1019">
        <v>0.6</v>
      </c>
      <c r="AK1019">
        <v>3.37</v>
      </c>
      <c r="AL1019">
        <v>2.93</v>
      </c>
      <c r="AM1019">
        <v>0</v>
      </c>
      <c r="AN1019">
        <v>0</v>
      </c>
      <c r="AO1019">
        <v>358</v>
      </c>
      <c r="AP1019">
        <v>3.4</v>
      </c>
      <c r="AQ1019">
        <v>0.62</v>
      </c>
      <c r="AR1019">
        <v>0.09</v>
      </c>
      <c r="AS1019">
        <v>0.08</v>
      </c>
      <c r="AT1019">
        <v>18.12</v>
      </c>
      <c r="AU1019">
        <v>6.42</v>
      </c>
      <c r="AV1019">
        <v>0.32</v>
      </c>
      <c r="AW1019">
        <v>1.96</v>
      </c>
      <c r="AX1019">
        <v>0.24</v>
      </c>
      <c r="AY1019">
        <v>3.3</v>
      </c>
      <c r="AZ1019">
        <v>111.96599999999999</v>
      </c>
      <c r="BA1019">
        <v>0</v>
      </c>
      <c r="BB1019">
        <v>0</v>
      </c>
      <c r="BC1019">
        <v>0</v>
      </c>
      <c r="BD1019">
        <v>0</v>
      </c>
    </row>
    <row r="1020" spans="1:56" x14ac:dyDescent="0.25">
      <c r="A1020" s="23">
        <v>46304</v>
      </c>
      <c r="B1020">
        <v>1019</v>
      </c>
      <c r="C1020" t="s">
        <v>82</v>
      </c>
      <c r="D1020" t="s">
        <v>83</v>
      </c>
      <c r="E1020">
        <v>2</v>
      </c>
      <c r="F1020">
        <v>180</v>
      </c>
      <c r="G1020">
        <v>1</v>
      </c>
      <c r="H1020" t="s">
        <v>96</v>
      </c>
      <c r="I1020" t="s">
        <v>91</v>
      </c>
      <c r="J1020" t="s">
        <v>85</v>
      </c>
      <c r="K1020" t="s">
        <v>86</v>
      </c>
      <c r="L1020" t="s">
        <v>71</v>
      </c>
      <c r="M1020" t="s">
        <v>87</v>
      </c>
      <c r="O1020" t="s">
        <v>88</v>
      </c>
      <c r="P1020" t="s">
        <v>27</v>
      </c>
      <c r="Q1020" t="s">
        <v>73</v>
      </c>
      <c r="R1020" t="s">
        <v>76</v>
      </c>
      <c r="S1020" t="s">
        <v>74</v>
      </c>
      <c r="T1020" t="s">
        <v>75</v>
      </c>
      <c r="X1020" t="s">
        <v>77</v>
      </c>
      <c r="Z1020" t="s">
        <v>72</v>
      </c>
      <c r="AA1020" t="s">
        <v>94</v>
      </c>
      <c r="AB1020">
        <v>5</v>
      </c>
      <c r="AC1020">
        <v>748798.01</v>
      </c>
      <c r="AD1020">
        <v>8930476.1400000006</v>
      </c>
      <c r="AE1020">
        <v>194.5</v>
      </c>
      <c r="AF1020">
        <v>748796.84</v>
      </c>
      <c r="AG1020">
        <v>8930475.5199999996</v>
      </c>
      <c r="AH1020">
        <v>179.4</v>
      </c>
      <c r="AI1020">
        <v>15.16</v>
      </c>
      <c r="AJ1020">
        <v>0.6</v>
      </c>
      <c r="AK1020">
        <v>3.37</v>
      </c>
      <c r="AL1020">
        <v>2.93</v>
      </c>
      <c r="AM1020">
        <v>242</v>
      </c>
      <c r="AN1020">
        <v>5</v>
      </c>
      <c r="AO1020">
        <v>358</v>
      </c>
      <c r="AP1020">
        <v>3.4</v>
      </c>
      <c r="AQ1020">
        <v>0.7</v>
      </c>
      <c r="AR1020">
        <v>0.09</v>
      </c>
      <c r="AS1020">
        <v>0.08</v>
      </c>
      <c r="AT1020">
        <v>19</v>
      </c>
      <c r="AU1020">
        <v>6.66</v>
      </c>
      <c r="AV1020">
        <v>0.32</v>
      </c>
      <c r="AW1020">
        <v>2.17</v>
      </c>
      <c r="AX1020">
        <v>1.99</v>
      </c>
      <c r="AY1020">
        <v>3.3</v>
      </c>
      <c r="AZ1020">
        <v>172.68199999999999</v>
      </c>
      <c r="BA1020">
        <v>0</v>
      </c>
      <c r="BB1020">
        <v>0</v>
      </c>
      <c r="BC1020">
        <v>0</v>
      </c>
      <c r="BD1020">
        <v>0</v>
      </c>
    </row>
    <row r="1021" spans="1:56" x14ac:dyDescent="0.25">
      <c r="A1021" s="23">
        <v>46304</v>
      </c>
      <c r="B1021">
        <v>1020</v>
      </c>
      <c r="C1021" t="s">
        <v>82</v>
      </c>
      <c r="D1021" t="s">
        <v>83</v>
      </c>
      <c r="E1021">
        <v>2</v>
      </c>
      <c r="F1021">
        <v>180</v>
      </c>
      <c r="G1021">
        <v>1</v>
      </c>
      <c r="H1021" t="s">
        <v>96</v>
      </c>
      <c r="I1021" t="s">
        <v>91</v>
      </c>
      <c r="J1021" t="s">
        <v>85</v>
      </c>
      <c r="K1021" t="s">
        <v>86</v>
      </c>
      <c r="L1021" t="s">
        <v>71</v>
      </c>
      <c r="M1021" t="s">
        <v>87</v>
      </c>
      <c r="O1021" t="s">
        <v>88</v>
      </c>
      <c r="P1021" t="s">
        <v>27</v>
      </c>
      <c r="Q1021" t="s">
        <v>73</v>
      </c>
      <c r="R1021" t="s">
        <v>76</v>
      </c>
      <c r="S1021" t="s">
        <v>74</v>
      </c>
      <c r="T1021" t="s">
        <v>75</v>
      </c>
      <c r="X1021" t="s">
        <v>77</v>
      </c>
      <c r="Z1021" t="s">
        <v>72</v>
      </c>
      <c r="AA1021" t="s">
        <v>94</v>
      </c>
      <c r="AB1021">
        <v>5</v>
      </c>
      <c r="AC1021">
        <v>748799.5</v>
      </c>
      <c r="AD1021">
        <v>8930476.3599999994</v>
      </c>
      <c r="AE1021">
        <v>194.53</v>
      </c>
      <c r="AF1021">
        <v>748799.5</v>
      </c>
      <c r="AG1021">
        <v>8930476.3599999994</v>
      </c>
      <c r="AH1021">
        <v>179.4</v>
      </c>
      <c r="AI1021">
        <v>15.13</v>
      </c>
      <c r="AJ1021">
        <v>0.6</v>
      </c>
      <c r="AK1021">
        <v>3.37</v>
      </c>
      <c r="AL1021">
        <v>2.93</v>
      </c>
      <c r="AM1021">
        <v>0</v>
      </c>
      <c r="AN1021">
        <v>0</v>
      </c>
      <c r="AO1021">
        <v>358</v>
      </c>
      <c r="AP1021">
        <v>3.39</v>
      </c>
      <c r="AQ1021">
        <v>0.69</v>
      </c>
      <c r="AR1021">
        <v>0.09</v>
      </c>
      <c r="AS1021">
        <v>0.08</v>
      </c>
      <c r="AT1021">
        <v>18.68</v>
      </c>
      <c r="AU1021">
        <v>6.61</v>
      </c>
      <c r="AV1021">
        <v>0.32</v>
      </c>
      <c r="AW1021">
        <v>2.15</v>
      </c>
      <c r="AX1021">
        <v>2.0499999999999998</v>
      </c>
      <c r="AY1021">
        <v>3.3</v>
      </c>
      <c r="AZ1021">
        <v>172.245</v>
      </c>
      <c r="BA1021">
        <v>0</v>
      </c>
      <c r="BB1021">
        <v>0</v>
      </c>
      <c r="BC1021">
        <v>0</v>
      </c>
      <c r="BD1021">
        <v>0</v>
      </c>
    </row>
    <row r="1022" spans="1:56" x14ac:dyDescent="0.25">
      <c r="A1022" s="23">
        <v>46304</v>
      </c>
      <c r="B1022">
        <v>1021</v>
      </c>
      <c r="C1022" t="s">
        <v>82</v>
      </c>
      <c r="D1022" t="s">
        <v>83</v>
      </c>
      <c r="E1022">
        <v>2</v>
      </c>
      <c r="F1022">
        <v>180</v>
      </c>
      <c r="G1022">
        <v>1</v>
      </c>
      <c r="H1022" t="s">
        <v>96</v>
      </c>
      <c r="I1022" t="s">
        <v>91</v>
      </c>
      <c r="J1022" t="s">
        <v>85</v>
      </c>
      <c r="K1022" t="s">
        <v>86</v>
      </c>
      <c r="L1022" t="s">
        <v>71</v>
      </c>
      <c r="M1022" t="s">
        <v>87</v>
      </c>
      <c r="O1022" t="s">
        <v>88</v>
      </c>
      <c r="P1022" t="s">
        <v>27</v>
      </c>
      <c r="Q1022" t="s">
        <v>73</v>
      </c>
      <c r="R1022" t="s">
        <v>76</v>
      </c>
      <c r="S1022" t="s">
        <v>74</v>
      </c>
      <c r="T1022" t="s">
        <v>75</v>
      </c>
      <c r="X1022" t="s">
        <v>77</v>
      </c>
      <c r="Z1022" t="s">
        <v>72</v>
      </c>
      <c r="AA1022" t="s">
        <v>94</v>
      </c>
      <c r="AB1022">
        <v>5</v>
      </c>
      <c r="AC1022">
        <v>748802.81</v>
      </c>
      <c r="AD1022">
        <v>8930476.9800000004</v>
      </c>
      <c r="AE1022">
        <v>194.6</v>
      </c>
      <c r="AF1022">
        <v>748802.81</v>
      </c>
      <c r="AG1022">
        <v>8930476.9800000004</v>
      </c>
      <c r="AH1022">
        <v>179.4</v>
      </c>
      <c r="AI1022">
        <v>15.2</v>
      </c>
      <c r="AJ1022">
        <v>0.6</v>
      </c>
      <c r="AK1022">
        <v>3.37</v>
      </c>
      <c r="AL1022">
        <v>2.93</v>
      </c>
      <c r="AM1022">
        <v>0</v>
      </c>
      <c r="AN1022">
        <v>0</v>
      </c>
      <c r="AO1022">
        <v>358</v>
      </c>
      <c r="AP1022">
        <v>3.37</v>
      </c>
      <c r="AQ1022">
        <v>0.67</v>
      </c>
      <c r="AR1022">
        <v>0.09</v>
      </c>
      <c r="AS1022">
        <v>0.08</v>
      </c>
      <c r="AT1022">
        <v>18.059999999999999</v>
      </c>
      <c r="AU1022">
        <v>6.51</v>
      </c>
      <c r="AV1022">
        <v>0.31</v>
      </c>
      <c r="AW1022">
        <v>2.12</v>
      </c>
      <c r="AX1022">
        <v>2.15</v>
      </c>
      <c r="AY1022">
        <v>3.3</v>
      </c>
      <c r="AZ1022">
        <v>173.26400000000001</v>
      </c>
      <c r="BA1022">
        <v>0</v>
      </c>
      <c r="BB1022">
        <v>0</v>
      </c>
      <c r="BC1022">
        <v>0</v>
      </c>
      <c r="BD1022">
        <v>0</v>
      </c>
    </row>
    <row r="1023" spans="1:56" x14ac:dyDescent="0.25">
      <c r="A1023" s="23">
        <v>46304</v>
      </c>
      <c r="B1023">
        <v>1022</v>
      </c>
      <c r="C1023" t="s">
        <v>82</v>
      </c>
      <c r="D1023" t="s">
        <v>83</v>
      </c>
      <c r="E1023">
        <v>2</v>
      </c>
      <c r="F1023">
        <v>180</v>
      </c>
      <c r="G1023">
        <v>1</v>
      </c>
      <c r="H1023" t="s">
        <v>96</v>
      </c>
      <c r="I1023" t="s">
        <v>91</v>
      </c>
      <c r="J1023" t="s">
        <v>85</v>
      </c>
      <c r="K1023" t="s">
        <v>86</v>
      </c>
      <c r="L1023" t="s">
        <v>71</v>
      </c>
      <c r="M1023" t="s">
        <v>87</v>
      </c>
      <c r="O1023" t="s">
        <v>88</v>
      </c>
      <c r="P1023" t="s">
        <v>27</v>
      </c>
      <c r="Q1023" t="s">
        <v>73</v>
      </c>
      <c r="R1023" t="s">
        <v>76</v>
      </c>
      <c r="S1023" t="s">
        <v>74</v>
      </c>
      <c r="T1023" t="s">
        <v>75</v>
      </c>
      <c r="X1023" t="s">
        <v>77</v>
      </c>
      <c r="Z1023" t="s">
        <v>72</v>
      </c>
      <c r="AA1023" t="s">
        <v>94</v>
      </c>
      <c r="AB1023">
        <v>5</v>
      </c>
      <c r="AC1023">
        <v>748806.13</v>
      </c>
      <c r="AD1023">
        <v>8930477.5899999999</v>
      </c>
      <c r="AE1023">
        <v>194.67</v>
      </c>
      <c r="AF1023">
        <v>748806.13</v>
      </c>
      <c r="AG1023">
        <v>8930477.5899999999</v>
      </c>
      <c r="AH1023">
        <v>179.4</v>
      </c>
      <c r="AI1023">
        <v>15.27</v>
      </c>
      <c r="AJ1023">
        <v>0.6</v>
      </c>
      <c r="AK1023">
        <v>3.37</v>
      </c>
      <c r="AL1023">
        <v>2.93</v>
      </c>
      <c r="AM1023">
        <v>0</v>
      </c>
      <c r="AN1023">
        <v>0</v>
      </c>
      <c r="AO1023">
        <v>358</v>
      </c>
      <c r="AP1023">
        <v>3.37</v>
      </c>
      <c r="AQ1023">
        <v>0.67</v>
      </c>
      <c r="AR1023">
        <v>0.09</v>
      </c>
      <c r="AS1023">
        <v>0.08</v>
      </c>
      <c r="AT1023">
        <v>18.059999999999999</v>
      </c>
      <c r="AU1023">
        <v>6.51</v>
      </c>
      <c r="AV1023">
        <v>0.31</v>
      </c>
      <c r="AW1023">
        <v>2.12</v>
      </c>
      <c r="AX1023">
        <v>2.17</v>
      </c>
      <c r="AY1023">
        <v>3.3</v>
      </c>
      <c r="AZ1023">
        <v>174.28299999999999</v>
      </c>
      <c r="BA1023">
        <v>0</v>
      </c>
      <c r="BB1023">
        <v>0</v>
      </c>
      <c r="BC1023">
        <v>0</v>
      </c>
      <c r="BD1023">
        <v>0</v>
      </c>
    </row>
    <row r="1024" spans="1:56" x14ac:dyDescent="0.25">
      <c r="A1024" s="23">
        <v>46304</v>
      </c>
      <c r="B1024">
        <v>1023</v>
      </c>
      <c r="C1024" t="s">
        <v>82</v>
      </c>
      <c r="D1024" t="s">
        <v>83</v>
      </c>
      <c r="E1024">
        <v>2</v>
      </c>
      <c r="F1024">
        <v>180</v>
      </c>
      <c r="G1024">
        <v>1</v>
      </c>
      <c r="H1024" t="s">
        <v>96</v>
      </c>
      <c r="I1024" t="s">
        <v>91</v>
      </c>
      <c r="J1024" t="s">
        <v>85</v>
      </c>
      <c r="K1024" t="s">
        <v>86</v>
      </c>
      <c r="L1024" t="s">
        <v>71</v>
      </c>
      <c r="M1024" t="s">
        <v>87</v>
      </c>
      <c r="O1024" t="s">
        <v>88</v>
      </c>
      <c r="P1024" t="s">
        <v>27</v>
      </c>
      <c r="Q1024" t="s">
        <v>73</v>
      </c>
      <c r="R1024" t="s">
        <v>76</v>
      </c>
      <c r="S1024" t="s">
        <v>74</v>
      </c>
      <c r="T1024" t="s">
        <v>75</v>
      </c>
      <c r="X1024" t="s">
        <v>77</v>
      </c>
      <c r="Z1024" t="s">
        <v>72</v>
      </c>
      <c r="AA1024" t="s">
        <v>94</v>
      </c>
      <c r="AB1024">
        <v>5</v>
      </c>
      <c r="AC1024">
        <v>748809.39</v>
      </c>
      <c r="AD1024">
        <v>8930478.4100000001</v>
      </c>
      <c r="AE1024">
        <v>194.92</v>
      </c>
      <c r="AF1024">
        <v>748809.39</v>
      </c>
      <c r="AG1024">
        <v>8930478.4100000001</v>
      </c>
      <c r="AH1024">
        <v>179.4</v>
      </c>
      <c r="AI1024">
        <v>15.52</v>
      </c>
      <c r="AJ1024">
        <v>0.6</v>
      </c>
      <c r="AK1024">
        <v>3.37</v>
      </c>
      <c r="AL1024">
        <v>2.93</v>
      </c>
      <c r="AM1024">
        <v>0</v>
      </c>
      <c r="AN1024">
        <v>0</v>
      </c>
      <c r="AO1024">
        <v>358</v>
      </c>
      <c r="AP1024">
        <v>3.36</v>
      </c>
      <c r="AQ1024">
        <v>0.68</v>
      </c>
      <c r="AR1024">
        <v>0.09</v>
      </c>
      <c r="AS1024">
        <v>0.08</v>
      </c>
      <c r="AT1024">
        <v>18.079999999999998</v>
      </c>
      <c r="AU1024">
        <v>6.4</v>
      </c>
      <c r="AV1024">
        <v>0.31</v>
      </c>
      <c r="AW1024">
        <v>2.17</v>
      </c>
      <c r="AX1024">
        <v>2.17</v>
      </c>
      <c r="AY1024">
        <v>3.3</v>
      </c>
      <c r="AZ1024">
        <v>177.923</v>
      </c>
      <c r="BA1024">
        <v>0</v>
      </c>
      <c r="BB1024">
        <v>0</v>
      </c>
      <c r="BC1024">
        <v>0</v>
      </c>
      <c r="BD1024">
        <v>0</v>
      </c>
    </row>
    <row r="1025" spans="1:56" x14ac:dyDescent="0.25">
      <c r="A1025" s="23">
        <v>46304</v>
      </c>
      <c r="B1025">
        <v>1024</v>
      </c>
      <c r="C1025" t="s">
        <v>82</v>
      </c>
      <c r="D1025" t="s">
        <v>83</v>
      </c>
      <c r="E1025">
        <v>2</v>
      </c>
      <c r="F1025">
        <v>180</v>
      </c>
      <c r="G1025">
        <v>1</v>
      </c>
      <c r="H1025" t="s">
        <v>96</v>
      </c>
      <c r="I1025" t="s">
        <v>91</v>
      </c>
      <c r="J1025" t="s">
        <v>85</v>
      </c>
      <c r="K1025" t="s">
        <v>86</v>
      </c>
      <c r="L1025" t="s">
        <v>71</v>
      </c>
      <c r="M1025" t="s">
        <v>87</v>
      </c>
      <c r="O1025" t="s">
        <v>88</v>
      </c>
      <c r="P1025" t="s">
        <v>27</v>
      </c>
      <c r="Q1025" t="s">
        <v>73</v>
      </c>
      <c r="R1025" t="s">
        <v>76</v>
      </c>
      <c r="S1025" t="s">
        <v>74</v>
      </c>
      <c r="T1025" t="s">
        <v>75</v>
      </c>
      <c r="X1025" t="s">
        <v>77</v>
      </c>
      <c r="Z1025" t="s">
        <v>72</v>
      </c>
      <c r="AA1025" t="s">
        <v>94</v>
      </c>
      <c r="AB1025">
        <v>5</v>
      </c>
      <c r="AC1025">
        <v>748812.59</v>
      </c>
      <c r="AD1025">
        <v>8930479.4600000009</v>
      </c>
      <c r="AE1025">
        <v>195.15</v>
      </c>
      <c r="AF1025">
        <v>748812.59</v>
      </c>
      <c r="AG1025">
        <v>8930479.4600000009</v>
      </c>
      <c r="AH1025">
        <v>179.4</v>
      </c>
      <c r="AI1025">
        <v>15.75</v>
      </c>
      <c r="AJ1025">
        <v>0.6</v>
      </c>
      <c r="AK1025">
        <v>3.37</v>
      </c>
      <c r="AL1025">
        <v>2.93</v>
      </c>
      <c r="AM1025">
        <v>0</v>
      </c>
      <c r="AN1025">
        <v>0</v>
      </c>
      <c r="AO1025">
        <v>358</v>
      </c>
      <c r="AP1025">
        <v>3.34</v>
      </c>
      <c r="AQ1025">
        <v>0.69</v>
      </c>
      <c r="AR1025">
        <v>0.1</v>
      </c>
      <c r="AS1025">
        <v>0.08</v>
      </c>
      <c r="AT1025">
        <v>18.21</v>
      </c>
      <c r="AU1025">
        <v>6.09</v>
      </c>
      <c r="AV1025">
        <v>0.31</v>
      </c>
      <c r="AW1025">
        <v>2.21</v>
      </c>
      <c r="AX1025">
        <v>2.08</v>
      </c>
      <c r="AY1025">
        <v>3.3</v>
      </c>
      <c r="AZ1025">
        <v>181.27199999999999</v>
      </c>
      <c r="BA1025">
        <v>0</v>
      </c>
      <c r="BB1025">
        <v>0</v>
      </c>
      <c r="BC1025">
        <v>0</v>
      </c>
      <c r="BD1025">
        <v>0</v>
      </c>
    </row>
    <row r="1026" spans="1:56" x14ac:dyDescent="0.25">
      <c r="A1026" s="23">
        <v>46304</v>
      </c>
      <c r="B1026">
        <v>1025</v>
      </c>
      <c r="C1026" t="s">
        <v>82</v>
      </c>
      <c r="D1026" t="s">
        <v>83</v>
      </c>
      <c r="E1026">
        <v>2</v>
      </c>
      <c r="F1026">
        <v>180</v>
      </c>
      <c r="G1026">
        <v>1</v>
      </c>
      <c r="H1026" t="s">
        <v>96</v>
      </c>
      <c r="I1026" t="s">
        <v>91</v>
      </c>
      <c r="J1026" t="s">
        <v>85</v>
      </c>
      <c r="K1026" t="s">
        <v>86</v>
      </c>
      <c r="L1026" t="s">
        <v>71</v>
      </c>
      <c r="M1026" t="s">
        <v>87</v>
      </c>
      <c r="O1026" t="s">
        <v>88</v>
      </c>
      <c r="P1026" t="s">
        <v>27</v>
      </c>
      <c r="Q1026" t="s">
        <v>73</v>
      </c>
      <c r="R1026" t="s">
        <v>76</v>
      </c>
      <c r="S1026" t="s">
        <v>74</v>
      </c>
      <c r="T1026" t="s">
        <v>75</v>
      </c>
      <c r="X1026" t="s">
        <v>77</v>
      </c>
      <c r="Z1026" t="s">
        <v>72</v>
      </c>
      <c r="AA1026" t="s">
        <v>94</v>
      </c>
      <c r="AB1026">
        <v>5</v>
      </c>
      <c r="AC1026">
        <v>748815.79</v>
      </c>
      <c r="AD1026">
        <v>8930480.5199999996</v>
      </c>
      <c r="AE1026">
        <v>195.34</v>
      </c>
      <c r="AF1026">
        <v>748815.79</v>
      </c>
      <c r="AG1026">
        <v>8930480.5199999996</v>
      </c>
      <c r="AH1026">
        <v>179.4</v>
      </c>
      <c r="AI1026">
        <v>15.94</v>
      </c>
      <c r="AJ1026">
        <v>0.6</v>
      </c>
      <c r="AK1026">
        <v>3.37</v>
      </c>
      <c r="AL1026">
        <v>2.93</v>
      </c>
      <c r="AM1026">
        <v>0</v>
      </c>
      <c r="AN1026">
        <v>0</v>
      </c>
      <c r="AO1026">
        <v>358</v>
      </c>
      <c r="AP1026">
        <v>3.35</v>
      </c>
      <c r="AQ1026">
        <v>0.66</v>
      </c>
      <c r="AR1026">
        <v>0.1</v>
      </c>
      <c r="AS1026">
        <v>0.08</v>
      </c>
      <c r="AT1026">
        <v>18.27</v>
      </c>
      <c r="AU1026">
        <v>5.9</v>
      </c>
      <c r="AV1026">
        <v>0.32</v>
      </c>
      <c r="AW1026">
        <v>2.08</v>
      </c>
      <c r="AX1026">
        <v>2.2000000000000002</v>
      </c>
      <c r="AY1026">
        <v>3.3</v>
      </c>
      <c r="AZ1026">
        <v>184.03800000000001</v>
      </c>
      <c r="BA1026">
        <v>0</v>
      </c>
      <c r="BB1026">
        <v>0</v>
      </c>
      <c r="BC1026">
        <v>0</v>
      </c>
      <c r="BD1026">
        <v>0</v>
      </c>
    </row>
    <row r="1027" spans="1:56" x14ac:dyDescent="0.25">
      <c r="A1027" s="23">
        <v>46304</v>
      </c>
      <c r="B1027">
        <v>1026</v>
      </c>
      <c r="C1027" t="s">
        <v>82</v>
      </c>
      <c r="D1027" t="s">
        <v>83</v>
      </c>
      <c r="E1027">
        <v>2</v>
      </c>
      <c r="F1027">
        <v>180</v>
      </c>
      <c r="G1027">
        <v>1</v>
      </c>
      <c r="H1027" t="s">
        <v>96</v>
      </c>
      <c r="I1027" t="s">
        <v>91</v>
      </c>
      <c r="J1027" t="s">
        <v>85</v>
      </c>
      <c r="K1027" t="s">
        <v>86</v>
      </c>
      <c r="L1027" t="s">
        <v>71</v>
      </c>
      <c r="M1027" t="s">
        <v>87</v>
      </c>
      <c r="O1027" t="s">
        <v>88</v>
      </c>
      <c r="P1027" t="s">
        <v>27</v>
      </c>
      <c r="Q1027" t="s">
        <v>73</v>
      </c>
      <c r="R1027" t="s">
        <v>76</v>
      </c>
      <c r="S1027" t="s">
        <v>74</v>
      </c>
      <c r="T1027" t="s">
        <v>75</v>
      </c>
      <c r="X1027" t="s">
        <v>77</v>
      </c>
      <c r="Z1027" t="s">
        <v>72</v>
      </c>
      <c r="AA1027" t="s">
        <v>94</v>
      </c>
      <c r="AB1027">
        <v>5</v>
      </c>
      <c r="AC1027">
        <v>748819.09</v>
      </c>
      <c r="AD1027">
        <v>8930481.2100000009</v>
      </c>
      <c r="AE1027">
        <v>195.34</v>
      </c>
      <c r="AF1027">
        <v>748819.09</v>
      </c>
      <c r="AG1027">
        <v>8930481.2100000009</v>
      </c>
      <c r="AH1027">
        <v>179.4</v>
      </c>
      <c r="AI1027">
        <v>15.94</v>
      </c>
      <c r="AJ1027">
        <v>0.6</v>
      </c>
      <c r="AK1027">
        <v>3.37</v>
      </c>
      <c r="AL1027">
        <v>2.93</v>
      </c>
      <c r="AM1027">
        <v>0</v>
      </c>
      <c r="AN1027">
        <v>0</v>
      </c>
      <c r="AO1027">
        <v>358</v>
      </c>
      <c r="AP1027">
        <v>3.35</v>
      </c>
      <c r="AQ1027">
        <v>0.62</v>
      </c>
      <c r="AR1027">
        <v>0.1</v>
      </c>
      <c r="AS1027">
        <v>7.0000000000000007E-2</v>
      </c>
      <c r="AT1027">
        <v>18.170000000000002</v>
      </c>
      <c r="AU1027">
        <v>5.75</v>
      </c>
      <c r="AV1027">
        <v>0.32</v>
      </c>
      <c r="AW1027">
        <v>1.93</v>
      </c>
      <c r="AX1027">
        <v>1.81</v>
      </c>
      <c r="AY1027">
        <v>3.3</v>
      </c>
      <c r="AZ1027">
        <v>184.03800000000001</v>
      </c>
      <c r="BA1027">
        <v>0</v>
      </c>
      <c r="BB1027">
        <v>0</v>
      </c>
      <c r="BC1027">
        <v>0</v>
      </c>
      <c r="BD1027">
        <v>0</v>
      </c>
    </row>
    <row r="1028" spans="1:56" x14ac:dyDescent="0.25">
      <c r="A1028" s="23">
        <v>46304</v>
      </c>
      <c r="B1028">
        <v>1027</v>
      </c>
      <c r="C1028" t="s">
        <v>82</v>
      </c>
      <c r="D1028" t="s">
        <v>83</v>
      </c>
      <c r="E1028">
        <v>2</v>
      </c>
      <c r="F1028">
        <v>180</v>
      </c>
      <c r="G1028">
        <v>1</v>
      </c>
      <c r="H1028" t="s">
        <v>96</v>
      </c>
      <c r="I1028" t="s">
        <v>91</v>
      </c>
      <c r="J1028" t="s">
        <v>85</v>
      </c>
      <c r="K1028" t="s">
        <v>86</v>
      </c>
      <c r="L1028" t="s">
        <v>71</v>
      </c>
      <c r="M1028" t="s">
        <v>87</v>
      </c>
      <c r="O1028" t="s">
        <v>88</v>
      </c>
      <c r="P1028" t="s">
        <v>27</v>
      </c>
      <c r="Q1028" t="s">
        <v>73</v>
      </c>
      <c r="R1028" t="s">
        <v>76</v>
      </c>
      <c r="S1028" t="s">
        <v>74</v>
      </c>
      <c r="T1028" t="s">
        <v>75</v>
      </c>
      <c r="X1028" t="s">
        <v>77</v>
      </c>
      <c r="Z1028" t="s">
        <v>72</v>
      </c>
      <c r="AA1028" t="s">
        <v>94</v>
      </c>
      <c r="AB1028">
        <v>5</v>
      </c>
      <c r="AC1028">
        <v>748822.39</v>
      </c>
      <c r="AD1028">
        <v>8930481.8900000006</v>
      </c>
      <c r="AE1028">
        <v>195.38</v>
      </c>
      <c r="AF1028">
        <v>748822.39</v>
      </c>
      <c r="AG1028">
        <v>8930481.8900000006</v>
      </c>
      <c r="AH1028">
        <v>179.4</v>
      </c>
      <c r="AI1028">
        <v>15.98</v>
      </c>
      <c r="AJ1028">
        <v>0.6</v>
      </c>
      <c r="AK1028">
        <v>3.37</v>
      </c>
      <c r="AL1028">
        <v>2.93</v>
      </c>
      <c r="AM1028">
        <v>0</v>
      </c>
      <c r="AN1028">
        <v>0</v>
      </c>
      <c r="AO1028">
        <v>358</v>
      </c>
      <c r="AP1028">
        <v>3.33</v>
      </c>
      <c r="AQ1028">
        <v>0.54</v>
      </c>
      <c r="AR1028">
        <v>0.09</v>
      </c>
      <c r="AS1028">
        <v>7.0000000000000007E-2</v>
      </c>
      <c r="AT1028">
        <v>17.739999999999998</v>
      </c>
      <c r="AU1028">
        <v>5.58</v>
      </c>
      <c r="AV1028">
        <v>0.33</v>
      </c>
      <c r="AW1028">
        <v>1.65</v>
      </c>
      <c r="AX1028">
        <v>7.0000000000000007E-2</v>
      </c>
      <c r="AY1028">
        <v>3.3</v>
      </c>
      <c r="AZ1028">
        <v>184.62100000000001</v>
      </c>
      <c r="BA1028">
        <v>0</v>
      </c>
      <c r="BB1028">
        <v>0</v>
      </c>
      <c r="BC1028">
        <v>0</v>
      </c>
      <c r="BD1028">
        <v>0</v>
      </c>
    </row>
    <row r="1029" spans="1:56" x14ac:dyDescent="0.25">
      <c r="A1029" s="23">
        <v>46304</v>
      </c>
      <c r="B1029">
        <v>1028</v>
      </c>
      <c r="C1029" t="s">
        <v>82</v>
      </c>
      <c r="D1029" t="s">
        <v>83</v>
      </c>
      <c r="E1029">
        <v>2</v>
      </c>
      <c r="F1029">
        <v>180</v>
      </c>
      <c r="G1029">
        <v>1</v>
      </c>
      <c r="H1029" t="s">
        <v>96</v>
      </c>
      <c r="I1029" t="s">
        <v>91</v>
      </c>
      <c r="J1029" t="s">
        <v>85</v>
      </c>
      <c r="K1029" t="s">
        <v>86</v>
      </c>
      <c r="L1029" t="s">
        <v>71</v>
      </c>
      <c r="M1029" t="s">
        <v>87</v>
      </c>
      <c r="O1029" t="s">
        <v>88</v>
      </c>
      <c r="P1029" t="s">
        <v>27</v>
      </c>
      <c r="Q1029" t="s">
        <v>73</v>
      </c>
      <c r="R1029" t="s">
        <v>76</v>
      </c>
      <c r="S1029" t="s">
        <v>74</v>
      </c>
      <c r="T1029" t="s">
        <v>75</v>
      </c>
      <c r="X1029" t="s">
        <v>77</v>
      </c>
      <c r="Z1029" t="s">
        <v>72</v>
      </c>
      <c r="AA1029" t="s">
        <v>94</v>
      </c>
      <c r="AB1029">
        <v>5</v>
      </c>
      <c r="AC1029">
        <v>748825.69</v>
      </c>
      <c r="AD1029">
        <v>8930482.5700000003</v>
      </c>
      <c r="AE1029">
        <v>195.17</v>
      </c>
      <c r="AF1029">
        <v>748825.69</v>
      </c>
      <c r="AG1029">
        <v>8930482.5700000003</v>
      </c>
      <c r="AH1029">
        <v>179.4</v>
      </c>
      <c r="AI1029">
        <v>15.77</v>
      </c>
      <c r="AJ1029">
        <v>0.6</v>
      </c>
      <c r="AK1029">
        <v>3.37</v>
      </c>
      <c r="AL1029">
        <v>2.93</v>
      </c>
      <c r="AM1029">
        <v>0</v>
      </c>
      <c r="AN1029">
        <v>0</v>
      </c>
      <c r="AO1029">
        <v>358</v>
      </c>
      <c r="AP1029">
        <v>3.33</v>
      </c>
      <c r="AQ1029">
        <v>0.53</v>
      </c>
      <c r="AR1029">
        <v>0.09</v>
      </c>
      <c r="AS1029">
        <v>7.0000000000000007E-2</v>
      </c>
      <c r="AT1029">
        <v>17.73</v>
      </c>
      <c r="AU1029">
        <v>5.58</v>
      </c>
      <c r="AV1029">
        <v>0.33</v>
      </c>
      <c r="AW1029">
        <v>1.64</v>
      </c>
      <c r="AX1029">
        <v>0</v>
      </c>
      <c r="AY1029">
        <v>3.3</v>
      </c>
      <c r="AZ1029">
        <v>181.56299999999999</v>
      </c>
      <c r="BA1029">
        <v>0</v>
      </c>
      <c r="BB1029">
        <v>0</v>
      </c>
      <c r="BC1029">
        <v>0</v>
      </c>
      <c r="BD1029">
        <v>0</v>
      </c>
    </row>
    <row r="1030" spans="1:56" x14ac:dyDescent="0.25">
      <c r="A1030" s="23">
        <v>46304</v>
      </c>
      <c r="B1030">
        <v>1029</v>
      </c>
      <c r="C1030" t="s">
        <v>82</v>
      </c>
      <c r="D1030" t="s">
        <v>83</v>
      </c>
      <c r="E1030">
        <v>2</v>
      </c>
      <c r="F1030">
        <v>180</v>
      </c>
      <c r="G1030">
        <v>1</v>
      </c>
      <c r="H1030" t="s">
        <v>96</v>
      </c>
      <c r="I1030" t="s">
        <v>91</v>
      </c>
      <c r="J1030" t="s">
        <v>85</v>
      </c>
      <c r="K1030" t="s">
        <v>86</v>
      </c>
      <c r="L1030" t="s">
        <v>71</v>
      </c>
      <c r="M1030" t="s">
        <v>87</v>
      </c>
      <c r="O1030" t="s">
        <v>88</v>
      </c>
      <c r="P1030" t="s">
        <v>27</v>
      </c>
      <c r="Q1030" t="s">
        <v>73</v>
      </c>
      <c r="R1030" t="s">
        <v>76</v>
      </c>
      <c r="S1030" t="s">
        <v>74</v>
      </c>
      <c r="T1030" t="s">
        <v>75</v>
      </c>
      <c r="X1030" t="s">
        <v>77</v>
      </c>
      <c r="Z1030" t="s">
        <v>72</v>
      </c>
      <c r="AA1030" t="s">
        <v>94</v>
      </c>
      <c r="AB1030">
        <v>5</v>
      </c>
      <c r="AC1030">
        <v>748828.99</v>
      </c>
      <c r="AD1030">
        <v>8930483.2599999998</v>
      </c>
      <c r="AE1030">
        <v>195.11</v>
      </c>
      <c r="AF1030">
        <v>748828.99</v>
      </c>
      <c r="AG1030">
        <v>8930483.2599999998</v>
      </c>
      <c r="AH1030">
        <v>179.4</v>
      </c>
      <c r="AI1030">
        <v>15.71</v>
      </c>
      <c r="AJ1030">
        <v>0.6</v>
      </c>
      <c r="AK1030">
        <v>3.37</v>
      </c>
      <c r="AL1030">
        <v>2.93</v>
      </c>
      <c r="AM1030">
        <v>0</v>
      </c>
      <c r="AN1030">
        <v>0</v>
      </c>
      <c r="AO1030">
        <v>358</v>
      </c>
      <c r="AP1030">
        <v>3.32</v>
      </c>
      <c r="AQ1030">
        <v>0.54</v>
      </c>
      <c r="AR1030">
        <v>0.09</v>
      </c>
      <c r="AS1030">
        <v>7.0000000000000007E-2</v>
      </c>
      <c r="AT1030">
        <v>17.739999999999998</v>
      </c>
      <c r="AU1030">
        <v>5.58</v>
      </c>
      <c r="AV1030">
        <v>0.32</v>
      </c>
      <c r="AW1030">
        <v>1.67</v>
      </c>
      <c r="AX1030">
        <v>0</v>
      </c>
      <c r="AY1030">
        <v>3.3</v>
      </c>
      <c r="AZ1030">
        <v>180.69</v>
      </c>
      <c r="BA1030">
        <v>0</v>
      </c>
      <c r="BB1030">
        <v>0</v>
      </c>
      <c r="BC1030">
        <v>0</v>
      </c>
      <c r="BD1030">
        <v>0</v>
      </c>
    </row>
    <row r="1031" spans="1:56" x14ac:dyDescent="0.25">
      <c r="A1031" s="23">
        <v>46304</v>
      </c>
      <c r="B1031">
        <v>1030</v>
      </c>
      <c r="C1031" t="s">
        <v>82</v>
      </c>
      <c r="D1031" t="s">
        <v>83</v>
      </c>
      <c r="E1031">
        <v>2</v>
      </c>
      <c r="F1031">
        <v>180</v>
      </c>
      <c r="G1031">
        <v>1</v>
      </c>
      <c r="H1031" t="s">
        <v>96</v>
      </c>
      <c r="I1031" t="s">
        <v>91</v>
      </c>
      <c r="J1031" t="s">
        <v>85</v>
      </c>
      <c r="K1031" t="s">
        <v>86</v>
      </c>
      <c r="L1031" t="s">
        <v>71</v>
      </c>
      <c r="M1031" t="s">
        <v>87</v>
      </c>
      <c r="O1031" t="s">
        <v>88</v>
      </c>
      <c r="P1031" t="s">
        <v>27</v>
      </c>
      <c r="Q1031" t="s">
        <v>73</v>
      </c>
      <c r="R1031" t="s">
        <v>76</v>
      </c>
      <c r="S1031" t="s">
        <v>74</v>
      </c>
      <c r="T1031" t="s">
        <v>75</v>
      </c>
      <c r="X1031" t="s">
        <v>77</v>
      </c>
      <c r="Z1031" t="s">
        <v>72</v>
      </c>
      <c r="AA1031" t="s">
        <v>94</v>
      </c>
      <c r="AB1031">
        <v>5</v>
      </c>
      <c r="AC1031">
        <v>748832.29</v>
      </c>
      <c r="AD1031">
        <v>8930483.9399999995</v>
      </c>
      <c r="AE1031">
        <v>196.54</v>
      </c>
      <c r="AF1031">
        <v>748832.29</v>
      </c>
      <c r="AG1031">
        <v>8930483.9399999995</v>
      </c>
      <c r="AH1031">
        <v>179.4</v>
      </c>
      <c r="AI1031">
        <v>17.14</v>
      </c>
      <c r="AJ1031">
        <v>0.6</v>
      </c>
      <c r="AK1031">
        <v>3.37</v>
      </c>
      <c r="AL1031">
        <v>2.93</v>
      </c>
      <c r="AM1031">
        <v>0</v>
      </c>
      <c r="AN1031">
        <v>0</v>
      </c>
      <c r="AO1031">
        <v>358</v>
      </c>
      <c r="AP1031">
        <v>3.26</v>
      </c>
      <c r="AQ1031">
        <v>0.56000000000000005</v>
      </c>
      <c r="AR1031">
        <v>0.08</v>
      </c>
      <c r="AS1031">
        <v>0.06</v>
      </c>
      <c r="AT1031">
        <v>17.64</v>
      </c>
      <c r="AU1031">
        <v>5.54</v>
      </c>
      <c r="AV1031">
        <v>0.31</v>
      </c>
      <c r="AW1031">
        <v>1.84</v>
      </c>
      <c r="AX1031">
        <v>0</v>
      </c>
      <c r="AY1031">
        <v>3.3</v>
      </c>
      <c r="AZ1031">
        <v>201.51</v>
      </c>
      <c r="BA1031">
        <v>0</v>
      </c>
      <c r="BB1031">
        <v>0</v>
      </c>
      <c r="BC1031">
        <v>0</v>
      </c>
      <c r="BD1031">
        <v>0</v>
      </c>
    </row>
    <row r="1032" spans="1:56" x14ac:dyDescent="0.25">
      <c r="A1032" s="23">
        <v>46304</v>
      </c>
      <c r="B1032">
        <v>1031</v>
      </c>
      <c r="C1032" t="s">
        <v>82</v>
      </c>
      <c r="D1032" t="s">
        <v>83</v>
      </c>
      <c r="E1032">
        <v>2</v>
      </c>
      <c r="F1032">
        <v>180</v>
      </c>
      <c r="G1032">
        <v>1</v>
      </c>
      <c r="H1032" t="s">
        <v>96</v>
      </c>
      <c r="I1032" t="s">
        <v>91</v>
      </c>
      <c r="J1032" t="s">
        <v>85</v>
      </c>
      <c r="K1032" t="s">
        <v>86</v>
      </c>
      <c r="L1032" t="s">
        <v>71</v>
      </c>
      <c r="M1032" t="s">
        <v>87</v>
      </c>
      <c r="O1032" t="s">
        <v>88</v>
      </c>
      <c r="P1032" t="s">
        <v>27</v>
      </c>
      <c r="Q1032" t="s">
        <v>73</v>
      </c>
      <c r="R1032" t="s">
        <v>76</v>
      </c>
      <c r="S1032" t="s">
        <v>74</v>
      </c>
      <c r="T1032" t="s">
        <v>75</v>
      </c>
      <c r="X1032" t="s">
        <v>77</v>
      </c>
      <c r="Z1032" t="s">
        <v>72</v>
      </c>
      <c r="AA1032" t="s">
        <v>94</v>
      </c>
      <c r="AB1032">
        <v>5</v>
      </c>
      <c r="AC1032">
        <v>748825.28</v>
      </c>
      <c r="AD1032">
        <v>8930479.5800000001</v>
      </c>
      <c r="AE1032">
        <v>195.34</v>
      </c>
      <c r="AF1032">
        <v>748825.28</v>
      </c>
      <c r="AG1032">
        <v>8930479.5800000001</v>
      </c>
      <c r="AH1032">
        <v>179.4</v>
      </c>
      <c r="AI1032">
        <v>15.94</v>
      </c>
      <c r="AJ1032">
        <v>0.6</v>
      </c>
      <c r="AK1032">
        <v>3.37</v>
      </c>
      <c r="AL1032">
        <v>2.93</v>
      </c>
      <c r="AM1032">
        <v>0</v>
      </c>
      <c r="AN1032">
        <v>0</v>
      </c>
      <c r="AO1032">
        <v>358</v>
      </c>
      <c r="AP1032">
        <v>3.32</v>
      </c>
      <c r="AQ1032">
        <v>0.56999999999999995</v>
      </c>
      <c r="AR1032">
        <v>0.09</v>
      </c>
      <c r="AS1032">
        <v>7.0000000000000007E-2</v>
      </c>
      <c r="AT1032">
        <v>17.82</v>
      </c>
      <c r="AU1032">
        <v>5.67</v>
      </c>
      <c r="AV1032">
        <v>0.31</v>
      </c>
      <c r="AW1032">
        <v>1.81</v>
      </c>
      <c r="AX1032">
        <v>2.42</v>
      </c>
      <c r="AY1032">
        <v>3.3</v>
      </c>
      <c r="AZ1032">
        <v>184.03800000000001</v>
      </c>
      <c r="BA1032">
        <v>0</v>
      </c>
      <c r="BB1032">
        <v>0</v>
      </c>
      <c r="BC1032">
        <v>0</v>
      </c>
      <c r="BD1032">
        <v>0</v>
      </c>
    </row>
    <row r="1033" spans="1:56" x14ac:dyDescent="0.25">
      <c r="A1033" s="23">
        <v>46304</v>
      </c>
      <c r="B1033">
        <v>1032</v>
      </c>
      <c r="C1033" t="s">
        <v>82</v>
      </c>
      <c r="D1033" t="s">
        <v>83</v>
      </c>
      <c r="E1033">
        <v>2</v>
      </c>
      <c r="F1033">
        <v>180</v>
      </c>
      <c r="G1033">
        <v>1</v>
      </c>
      <c r="H1033" t="s">
        <v>96</v>
      </c>
      <c r="I1033" t="s">
        <v>91</v>
      </c>
      <c r="J1033" t="s">
        <v>85</v>
      </c>
      <c r="K1033" t="s">
        <v>86</v>
      </c>
      <c r="L1033" t="s">
        <v>71</v>
      </c>
      <c r="M1033" t="s">
        <v>87</v>
      </c>
      <c r="O1033" t="s">
        <v>88</v>
      </c>
      <c r="P1033" t="s">
        <v>27</v>
      </c>
      <c r="Q1033" t="s">
        <v>73</v>
      </c>
      <c r="R1033" t="s">
        <v>76</v>
      </c>
      <c r="S1033" t="s">
        <v>74</v>
      </c>
      <c r="T1033" t="s">
        <v>75</v>
      </c>
      <c r="X1033" t="s">
        <v>77</v>
      </c>
      <c r="Z1033" t="s">
        <v>72</v>
      </c>
      <c r="AA1033" t="s">
        <v>94</v>
      </c>
      <c r="AB1033">
        <v>5</v>
      </c>
      <c r="AC1033">
        <v>748822.52</v>
      </c>
      <c r="AD1033">
        <v>8930478.9299999997</v>
      </c>
      <c r="AE1033">
        <v>195.34</v>
      </c>
      <c r="AF1033">
        <v>748822.52</v>
      </c>
      <c r="AG1033">
        <v>8930478.9299999997</v>
      </c>
      <c r="AH1033">
        <v>179.4</v>
      </c>
      <c r="AI1033">
        <v>15.94</v>
      </c>
      <c r="AJ1033">
        <v>0.6</v>
      </c>
      <c r="AK1033">
        <v>3.37</v>
      </c>
      <c r="AL1033">
        <v>2.93</v>
      </c>
      <c r="AM1033">
        <v>0</v>
      </c>
      <c r="AN1033">
        <v>0</v>
      </c>
      <c r="AO1033">
        <v>358</v>
      </c>
      <c r="AP1033">
        <v>3.32</v>
      </c>
      <c r="AQ1033">
        <v>0.57999999999999996</v>
      </c>
      <c r="AR1033">
        <v>0.09</v>
      </c>
      <c r="AS1033">
        <v>7.0000000000000007E-2</v>
      </c>
      <c r="AT1033">
        <v>17.84</v>
      </c>
      <c r="AU1033">
        <v>5.7</v>
      </c>
      <c r="AV1033">
        <v>0.31</v>
      </c>
      <c r="AW1033">
        <v>1.86</v>
      </c>
      <c r="AX1033">
        <v>3.13</v>
      </c>
      <c r="AY1033">
        <v>3.3</v>
      </c>
      <c r="AZ1033">
        <v>184.03800000000001</v>
      </c>
      <c r="BA1033">
        <v>0</v>
      </c>
      <c r="BB1033">
        <v>0</v>
      </c>
      <c r="BC1033">
        <v>0</v>
      </c>
      <c r="BD1033">
        <v>0</v>
      </c>
    </row>
    <row r="1034" spans="1:56" x14ac:dyDescent="0.25">
      <c r="A1034" s="23">
        <v>46304</v>
      </c>
      <c r="B1034">
        <v>1033</v>
      </c>
      <c r="C1034" t="s">
        <v>82</v>
      </c>
      <c r="D1034" t="s">
        <v>83</v>
      </c>
      <c r="E1034">
        <v>2</v>
      </c>
      <c r="F1034">
        <v>180</v>
      </c>
      <c r="G1034">
        <v>1</v>
      </c>
      <c r="H1034" t="s">
        <v>96</v>
      </c>
      <c r="I1034" t="s">
        <v>91</v>
      </c>
      <c r="J1034" t="s">
        <v>85</v>
      </c>
      <c r="K1034" t="s">
        <v>86</v>
      </c>
      <c r="L1034" t="s">
        <v>71</v>
      </c>
      <c r="M1034" t="s">
        <v>87</v>
      </c>
      <c r="O1034" t="s">
        <v>88</v>
      </c>
      <c r="P1034" t="s">
        <v>27</v>
      </c>
      <c r="Q1034" t="s">
        <v>73</v>
      </c>
      <c r="R1034" t="s">
        <v>76</v>
      </c>
      <c r="S1034" t="s">
        <v>74</v>
      </c>
      <c r="T1034" t="s">
        <v>75</v>
      </c>
      <c r="X1034" t="s">
        <v>77</v>
      </c>
      <c r="Z1034" t="s">
        <v>72</v>
      </c>
      <c r="AA1034" t="s">
        <v>94</v>
      </c>
      <c r="AB1034">
        <v>5</v>
      </c>
      <c r="AC1034">
        <v>748819.22</v>
      </c>
      <c r="AD1034">
        <v>8930478.25</v>
      </c>
      <c r="AE1034">
        <v>195.25</v>
      </c>
      <c r="AF1034">
        <v>748819.22</v>
      </c>
      <c r="AG1034">
        <v>8930478.25</v>
      </c>
      <c r="AH1034">
        <v>179.4</v>
      </c>
      <c r="AI1034">
        <v>15.85</v>
      </c>
      <c r="AJ1034">
        <v>0.6</v>
      </c>
      <c r="AK1034">
        <v>3.37</v>
      </c>
      <c r="AL1034">
        <v>2.93</v>
      </c>
      <c r="AM1034">
        <v>0</v>
      </c>
      <c r="AN1034">
        <v>0</v>
      </c>
      <c r="AO1034">
        <v>358</v>
      </c>
      <c r="AP1034">
        <v>3.34</v>
      </c>
      <c r="AQ1034">
        <v>0.69</v>
      </c>
      <c r="AR1034">
        <v>0.09</v>
      </c>
      <c r="AS1034">
        <v>0.08</v>
      </c>
      <c r="AT1034">
        <v>18.079999999999998</v>
      </c>
      <c r="AU1034">
        <v>6.12</v>
      </c>
      <c r="AV1034">
        <v>0.31</v>
      </c>
      <c r="AW1034">
        <v>2.2200000000000002</v>
      </c>
      <c r="AX1034">
        <v>2.5099999999999998</v>
      </c>
      <c r="AY1034">
        <v>3.3</v>
      </c>
      <c r="AZ1034">
        <v>182.72800000000001</v>
      </c>
      <c r="BA1034">
        <v>0</v>
      </c>
      <c r="BB1034">
        <v>0</v>
      </c>
      <c r="BC1034">
        <v>0</v>
      </c>
      <c r="BD1034">
        <v>0</v>
      </c>
    </row>
    <row r="1035" spans="1:56" x14ac:dyDescent="0.25">
      <c r="A1035" s="23">
        <v>46304</v>
      </c>
      <c r="B1035">
        <v>1034</v>
      </c>
      <c r="C1035" t="s">
        <v>82</v>
      </c>
      <c r="D1035" t="s">
        <v>83</v>
      </c>
      <c r="E1035">
        <v>2</v>
      </c>
      <c r="F1035">
        <v>180</v>
      </c>
      <c r="G1035">
        <v>1</v>
      </c>
      <c r="H1035" t="s">
        <v>96</v>
      </c>
      <c r="I1035" t="s">
        <v>91</v>
      </c>
      <c r="J1035" t="s">
        <v>85</v>
      </c>
      <c r="K1035" t="s">
        <v>86</v>
      </c>
      <c r="L1035" t="s">
        <v>71</v>
      </c>
      <c r="M1035" t="s">
        <v>87</v>
      </c>
      <c r="O1035" t="s">
        <v>88</v>
      </c>
      <c r="P1035" t="s">
        <v>27</v>
      </c>
      <c r="Q1035" t="s">
        <v>73</v>
      </c>
      <c r="R1035" t="s">
        <v>76</v>
      </c>
      <c r="S1035" t="s">
        <v>74</v>
      </c>
      <c r="T1035" t="s">
        <v>75</v>
      </c>
      <c r="X1035" t="s">
        <v>77</v>
      </c>
      <c r="Z1035" t="s">
        <v>72</v>
      </c>
      <c r="AA1035" t="s">
        <v>94</v>
      </c>
      <c r="AB1035">
        <v>5</v>
      </c>
      <c r="AC1035">
        <v>748815.34</v>
      </c>
      <c r="AD1035">
        <v>8930477.4399999995</v>
      </c>
      <c r="AE1035">
        <v>195.13</v>
      </c>
      <c r="AF1035">
        <v>748815.34</v>
      </c>
      <c r="AG1035">
        <v>8930477.4399999995</v>
      </c>
      <c r="AH1035">
        <v>179.4</v>
      </c>
      <c r="AI1035">
        <v>15.73</v>
      </c>
      <c r="AJ1035">
        <v>0.6</v>
      </c>
      <c r="AK1035">
        <v>3.37</v>
      </c>
      <c r="AL1035">
        <v>2.93</v>
      </c>
      <c r="AM1035">
        <v>0</v>
      </c>
      <c r="AN1035">
        <v>0</v>
      </c>
      <c r="AO1035">
        <v>358</v>
      </c>
      <c r="AP1035">
        <v>3.34</v>
      </c>
      <c r="AQ1035">
        <v>0.73</v>
      </c>
      <c r="AR1035">
        <v>0.09</v>
      </c>
      <c r="AS1035">
        <v>0.08</v>
      </c>
      <c r="AT1035">
        <v>18.149999999999999</v>
      </c>
      <c r="AU1035">
        <v>6.3</v>
      </c>
      <c r="AV1035">
        <v>0.31</v>
      </c>
      <c r="AW1035">
        <v>2.34</v>
      </c>
      <c r="AX1035">
        <v>2</v>
      </c>
      <c r="AY1035">
        <v>3.3</v>
      </c>
      <c r="AZ1035">
        <v>180.98099999999999</v>
      </c>
      <c r="BA1035">
        <v>0</v>
      </c>
      <c r="BB1035">
        <v>0</v>
      </c>
      <c r="BC1035">
        <v>0</v>
      </c>
      <c r="BD1035">
        <v>0</v>
      </c>
    </row>
    <row r="1036" spans="1:56" x14ac:dyDescent="0.25">
      <c r="A1036" s="23">
        <v>46304</v>
      </c>
      <c r="B1036">
        <v>1035</v>
      </c>
      <c r="C1036" t="s">
        <v>82</v>
      </c>
      <c r="D1036" t="s">
        <v>83</v>
      </c>
      <c r="E1036">
        <v>2</v>
      </c>
      <c r="F1036">
        <v>180</v>
      </c>
      <c r="G1036">
        <v>1</v>
      </c>
      <c r="H1036" t="s">
        <v>96</v>
      </c>
      <c r="I1036" t="s">
        <v>91</v>
      </c>
      <c r="J1036" t="s">
        <v>85</v>
      </c>
      <c r="K1036" t="s">
        <v>86</v>
      </c>
      <c r="L1036" t="s">
        <v>71</v>
      </c>
      <c r="M1036" t="s">
        <v>87</v>
      </c>
      <c r="O1036" t="s">
        <v>88</v>
      </c>
      <c r="P1036" t="s">
        <v>27</v>
      </c>
      <c r="Q1036" t="s">
        <v>73</v>
      </c>
      <c r="R1036" t="s">
        <v>76</v>
      </c>
      <c r="S1036" t="s">
        <v>74</v>
      </c>
      <c r="T1036" t="s">
        <v>75</v>
      </c>
      <c r="X1036" t="s">
        <v>77</v>
      </c>
      <c r="Z1036" t="s">
        <v>72</v>
      </c>
      <c r="AA1036" t="s">
        <v>94</v>
      </c>
      <c r="AB1036">
        <v>5</v>
      </c>
      <c r="AC1036">
        <v>748811.97</v>
      </c>
      <c r="AD1036">
        <v>8930476.1799999997</v>
      </c>
      <c r="AE1036">
        <v>194.99</v>
      </c>
      <c r="AF1036">
        <v>748811.97</v>
      </c>
      <c r="AG1036">
        <v>8930476.1799999997</v>
      </c>
      <c r="AH1036">
        <v>179.4</v>
      </c>
      <c r="AI1036">
        <v>15.59</v>
      </c>
      <c r="AJ1036">
        <v>0.6</v>
      </c>
      <c r="AK1036">
        <v>3.37</v>
      </c>
      <c r="AL1036">
        <v>2.93</v>
      </c>
      <c r="AM1036">
        <v>0</v>
      </c>
      <c r="AN1036">
        <v>0</v>
      </c>
      <c r="AO1036">
        <v>358</v>
      </c>
      <c r="AP1036">
        <v>3.34</v>
      </c>
      <c r="AQ1036">
        <v>0.72</v>
      </c>
      <c r="AR1036">
        <v>0.09</v>
      </c>
      <c r="AS1036">
        <v>0.08</v>
      </c>
      <c r="AT1036">
        <v>18.14</v>
      </c>
      <c r="AU1036">
        <v>6.3</v>
      </c>
      <c r="AV1036">
        <v>0.31</v>
      </c>
      <c r="AW1036">
        <v>2.34</v>
      </c>
      <c r="AX1036">
        <v>1.97</v>
      </c>
      <c r="AY1036">
        <v>3.3</v>
      </c>
      <c r="AZ1036">
        <v>178.94200000000001</v>
      </c>
      <c r="BA1036">
        <v>0</v>
      </c>
      <c r="BB1036">
        <v>0</v>
      </c>
      <c r="BC1036">
        <v>0</v>
      </c>
      <c r="BD1036">
        <v>0</v>
      </c>
    </row>
    <row r="1037" spans="1:56" x14ac:dyDescent="0.25">
      <c r="A1037" s="23">
        <v>46304</v>
      </c>
      <c r="B1037">
        <v>1036</v>
      </c>
      <c r="C1037" t="s">
        <v>82</v>
      </c>
      <c r="D1037" t="s">
        <v>83</v>
      </c>
      <c r="E1037">
        <v>2</v>
      </c>
      <c r="F1037">
        <v>180</v>
      </c>
      <c r="G1037">
        <v>1</v>
      </c>
      <c r="H1037" t="s">
        <v>96</v>
      </c>
      <c r="I1037" t="s">
        <v>91</v>
      </c>
      <c r="J1037" t="s">
        <v>85</v>
      </c>
      <c r="K1037" t="s">
        <v>86</v>
      </c>
      <c r="L1037" t="s">
        <v>71</v>
      </c>
      <c r="M1037" t="s">
        <v>87</v>
      </c>
      <c r="O1037" t="s">
        <v>88</v>
      </c>
      <c r="P1037" t="s">
        <v>27</v>
      </c>
      <c r="Q1037" t="s">
        <v>73</v>
      </c>
      <c r="R1037" t="s">
        <v>76</v>
      </c>
      <c r="S1037" t="s">
        <v>74</v>
      </c>
      <c r="T1037" t="s">
        <v>75</v>
      </c>
      <c r="X1037" t="s">
        <v>77</v>
      </c>
      <c r="Z1037" t="s">
        <v>72</v>
      </c>
      <c r="AA1037" t="s">
        <v>94</v>
      </c>
      <c r="AB1037">
        <v>5</v>
      </c>
      <c r="AC1037">
        <v>748808.74</v>
      </c>
      <c r="AD1037">
        <v>8930475.2300000004</v>
      </c>
      <c r="AE1037">
        <v>194.81</v>
      </c>
      <c r="AF1037">
        <v>748808.74</v>
      </c>
      <c r="AG1037">
        <v>8930475.2300000004</v>
      </c>
      <c r="AH1037">
        <v>179.4</v>
      </c>
      <c r="AI1037">
        <v>15.41</v>
      </c>
      <c r="AJ1037">
        <v>0.6</v>
      </c>
      <c r="AK1037">
        <v>3.37</v>
      </c>
      <c r="AL1037">
        <v>2.93</v>
      </c>
      <c r="AM1037">
        <v>0</v>
      </c>
      <c r="AN1037">
        <v>0</v>
      </c>
      <c r="AO1037">
        <v>358</v>
      </c>
      <c r="AP1037">
        <v>3.37</v>
      </c>
      <c r="AQ1037">
        <v>0.68</v>
      </c>
      <c r="AR1037">
        <v>0.09</v>
      </c>
      <c r="AS1037">
        <v>0.08</v>
      </c>
      <c r="AT1037">
        <v>18.07</v>
      </c>
      <c r="AU1037">
        <v>6.49</v>
      </c>
      <c r="AV1037">
        <v>0.31</v>
      </c>
      <c r="AW1037">
        <v>2.15</v>
      </c>
      <c r="AX1037">
        <v>2.1800000000000002</v>
      </c>
      <c r="AY1037">
        <v>3.3</v>
      </c>
      <c r="AZ1037">
        <v>176.322</v>
      </c>
      <c r="BA1037">
        <v>0</v>
      </c>
      <c r="BB1037">
        <v>0</v>
      </c>
      <c r="BC1037">
        <v>0</v>
      </c>
      <c r="BD1037">
        <v>0</v>
      </c>
    </row>
    <row r="1038" spans="1:56" x14ac:dyDescent="0.25">
      <c r="A1038" s="23">
        <v>46304</v>
      </c>
      <c r="B1038">
        <v>1037</v>
      </c>
      <c r="C1038" t="s">
        <v>82</v>
      </c>
      <c r="D1038" t="s">
        <v>83</v>
      </c>
      <c r="E1038">
        <v>2</v>
      </c>
      <c r="F1038">
        <v>180</v>
      </c>
      <c r="G1038">
        <v>1</v>
      </c>
      <c r="H1038" t="s">
        <v>96</v>
      </c>
      <c r="I1038" t="s">
        <v>91</v>
      </c>
      <c r="J1038" t="s">
        <v>85</v>
      </c>
      <c r="K1038" t="s">
        <v>86</v>
      </c>
      <c r="L1038" t="s">
        <v>71</v>
      </c>
      <c r="M1038" t="s">
        <v>87</v>
      </c>
      <c r="O1038" t="s">
        <v>88</v>
      </c>
      <c r="P1038" t="s">
        <v>27</v>
      </c>
      <c r="Q1038" t="s">
        <v>73</v>
      </c>
      <c r="R1038" t="s">
        <v>76</v>
      </c>
      <c r="S1038" t="s">
        <v>74</v>
      </c>
      <c r="T1038" t="s">
        <v>75</v>
      </c>
      <c r="X1038" t="s">
        <v>77</v>
      </c>
      <c r="Z1038" t="s">
        <v>72</v>
      </c>
      <c r="AA1038" t="s">
        <v>94</v>
      </c>
      <c r="AB1038">
        <v>5</v>
      </c>
      <c r="AC1038">
        <v>748805.46</v>
      </c>
      <c r="AD1038">
        <v>8930474.4900000002</v>
      </c>
      <c r="AE1038">
        <v>194.68</v>
      </c>
      <c r="AF1038">
        <v>748805.46</v>
      </c>
      <c r="AG1038">
        <v>8930474.4900000002</v>
      </c>
      <c r="AH1038">
        <v>179.4</v>
      </c>
      <c r="AI1038">
        <v>15.28</v>
      </c>
      <c r="AJ1038">
        <v>0.6</v>
      </c>
      <c r="AK1038">
        <v>3.37</v>
      </c>
      <c r="AL1038">
        <v>2.93</v>
      </c>
      <c r="AM1038">
        <v>0</v>
      </c>
      <c r="AN1038">
        <v>0</v>
      </c>
      <c r="AO1038">
        <v>358</v>
      </c>
      <c r="AP1038">
        <v>3.37</v>
      </c>
      <c r="AQ1038">
        <v>0.67</v>
      </c>
      <c r="AR1038">
        <v>0.09</v>
      </c>
      <c r="AS1038">
        <v>0.08</v>
      </c>
      <c r="AT1038">
        <v>18.059999999999999</v>
      </c>
      <c r="AU1038">
        <v>6.51</v>
      </c>
      <c r="AV1038">
        <v>0.31</v>
      </c>
      <c r="AW1038">
        <v>2.12</v>
      </c>
      <c r="AX1038">
        <v>2.1800000000000002</v>
      </c>
      <c r="AY1038">
        <v>3.3</v>
      </c>
      <c r="AZ1038">
        <v>174.429</v>
      </c>
      <c r="BA1038">
        <v>0</v>
      </c>
      <c r="BB1038">
        <v>0</v>
      </c>
      <c r="BC1038">
        <v>0</v>
      </c>
      <c r="BD1038">
        <v>0</v>
      </c>
    </row>
    <row r="1039" spans="1:56" x14ac:dyDescent="0.25">
      <c r="A1039" s="23">
        <v>46304</v>
      </c>
      <c r="B1039">
        <v>1038</v>
      </c>
      <c r="C1039" t="s">
        <v>82</v>
      </c>
      <c r="D1039" t="s">
        <v>83</v>
      </c>
      <c r="E1039">
        <v>2</v>
      </c>
      <c r="F1039">
        <v>180</v>
      </c>
      <c r="G1039">
        <v>1</v>
      </c>
      <c r="H1039" t="s">
        <v>96</v>
      </c>
      <c r="I1039" t="s">
        <v>91</v>
      </c>
      <c r="J1039" t="s">
        <v>85</v>
      </c>
      <c r="K1039" t="s">
        <v>86</v>
      </c>
      <c r="L1039" t="s">
        <v>71</v>
      </c>
      <c r="M1039" t="s">
        <v>87</v>
      </c>
      <c r="O1039" t="s">
        <v>88</v>
      </c>
      <c r="P1039" t="s">
        <v>27</v>
      </c>
      <c r="Q1039" t="s">
        <v>73</v>
      </c>
      <c r="R1039" t="s">
        <v>76</v>
      </c>
      <c r="S1039" t="s">
        <v>74</v>
      </c>
      <c r="T1039" t="s">
        <v>75</v>
      </c>
      <c r="X1039" t="s">
        <v>77</v>
      </c>
      <c r="Z1039" t="s">
        <v>72</v>
      </c>
      <c r="AA1039" t="s">
        <v>94</v>
      </c>
      <c r="AB1039">
        <v>5</v>
      </c>
      <c r="AC1039">
        <v>748802.15</v>
      </c>
      <c r="AD1039">
        <v>8930473.8800000008</v>
      </c>
      <c r="AE1039">
        <v>194.67</v>
      </c>
      <c r="AF1039">
        <v>748802.15</v>
      </c>
      <c r="AG1039">
        <v>8930473.8800000008</v>
      </c>
      <c r="AH1039">
        <v>179.4</v>
      </c>
      <c r="AI1039">
        <v>15.27</v>
      </c>
      <c r="AJ1039">
        <v>0.6</v>
      </c>
      <c r="AK1039">
        <v>3.37</v>
      </c>
      <c r="AL1039">
        <v>2.93</v>
      </c>
      <c r="AM1039">
        <v>0</v>
      </c>
      <c r="AN1039">
        <v>0</v>
      </c>
      <c r="AO1039">
        <v>358</v>
      </c>
      <c r="AP1039">
        <v>3.37</v>
      </c>
      <c r="AQ1039">
        <v>0.67</v>
      </c>
      <c r="AR1039">
        <v>0.09</v>
      </c>
      <c r="AS1039">
        <v>0.08</v>
      </c>
      <c r="AT1039">
        <v>18.059999999999999</v>
      </c>
      <c r="AU1039">
        <v>6.51</v>
      </c>
      <c r="AV1039">
        <v>0.31</v>
      </c>
      <c r="AW1039">
        <v>2.12</v>
      </c>
      <c r="AX1039">
        <v>2.17</v>
      </c>
      <c r="AY1039">
        <v>3.3</v>
      </c>
      <c r="AZ1039">
        <v>174.28299999999999</v>
      </c>
      <c r="BA1039">
        <v>0</v>
      </c>
      <c r="BB1039">
        <v>0</v>
      </c>
      <c r="BC1039">
        <v>0</v>
      </c>
      <c r="BD1039">
        <v>0</v>
      </c>
    </row>
    <row r="1040" spans="1:56" x14ac:dyDescent="0.25">
      <c r="A1040" s="23">
        <v>46304</v>
      </c>
      <c r="B1040">
        <v>1039</v>
      </c>
      <c r="C1040" t="s">
        <v>82</v>
      </c>
      <c r="D1040" t="s">
        <v>83</v>
      </c>
      <c r="E1040">
        <v>2</v>
      </c>
      <c r="F1040">
        <v>180</v>
      </c>
      <c r="G1040">
        <v>1</v>
      </c>
      <c r="H1040" t="s">
        <v>96</v>
      </c>
      <c r="I1040" t="s">
        <v>91</v>
      </c>
      <c r="J1040" t="s">
        <v>85</v>
      </c>
      <c r="K1040" t="s">
        <v>86</v>
      </c>
      <c r="L1040" t="s">
        <v>71</v>
      </c>
      <c r="M1040" t="s">
        <v>87</v>
      </c>
      <c r="O1040" t="s">
        <v>88</v>
      </c>
      <c r="P1040" t="s">
        <v>27</v>
      </c>
      <c r="Q1040" t="s">
        <v>73</v>
      </c>
      <c r="R1040" t="s">
        <v>76</v>
      </c>
      <c r="S1040" t="s">
        <v>74</v>
      </c>
      <c r="T1040" t="s">
        <v>75</v>
      </c>
      <c r="X1040" t="s">
        <v>77</v>
      </c>
      <c r="Z1040" t="s">
        <v>72</v>
      </c>
      <c r="AA1040" t="s">
        <v>94</v>
      </c>
      <c r="AB1040">
        <v>5</v>
      </c>
      <c r="AC1040">
        <v>748798.84</v>
      </c>
      <c r="AD1040">
        <v>8930473.2300000004</v>
      </c>
      <c r="AE1040">
        <v>194.27</v>
      </c>
      <c r="AF1040">
        <v>748798.84</v>
      </c>
      <c r="AG1040">
        <v>8930473.2300000004</v>
      </c>
      <c r="AH1040">
        <v>179.4</v>
      </c>
      <c r="AI1040">
        <v>14.87</v>
      </c>
      <c r="AJ1040">
        <v>0.6</v>
      </c>
      <c r="AK1040">
        <v>3.37</v>
      </c>
      <c r="AL1040">
        <v>2.93</v>
      </c>
      <c r="AM1040">
        <v>0</v>
      </c>
      <c r="AN1040">
        <v>0</v>
      </c>
      <c r="AO1040">
        <v>358</v>
      </c>
      <c r="AP1040">
        <v>3.4</v>
      </c>
      <c r="AQ1040">
        <v>0.69</v>
      </c>
      <c r="AR1040">
        <v>0.09</v>
      </c>
      <c r="AS1040">
        <v>0.08</v>
      </c>
      <c r="AT1040">
        <v>18.82</v>
      </c>
      <c r="AU1040">
        <v>6.62</v>
      </c>
      <c r="AV1040">
        <v>0.32</v>
      </c>
      <c r="AW1040">
        <v>2.15</v>
      </c>
      <c r="AX1040">
        <v>1.94</v>
      </c>
      <c r="AY1040">
        <v>3.3</v>
      </c>
      <c r="AZ1040">
        <v>168.459</v>
      </c>
      <c r="BA1040">
        <v>0</v>
      </c>
      <c r="BB1040">
        <v>0</v>
      </c>
      <c r="BC1040">
        <v>0</v>
      </c>
      <c r="BD1040">
        <v>0</v>
      </c>
    </row>
    <row r="1041" spans="1:56" x14ac:dyDescent="0.25">
      <c r="A1041" s="23">
        <v>46304</v>
      </c>
      <c r="B1041">
        <v>1040</v>
      </c>
      <c r="C1041" t="s">
        <v>82</v>
      </c>
      <c r="D1041" t="s">
        <v>83</v>
      </c>
      <c r="E1041">
        <v>2</v>
      </c>
      <c r="F1041">
        <v>180</v>
      </c>
      <c r="G1041">
        <v>1</v>
      </c>
      <c r="H1041" t="s">
        <v>96</v>
      </c>
      <c r="I1041" t="s">
        <v>91</v>
      </c>
      <c r="J1041" t="s">
        <v>85</v>
      </c>
      <c r="K1041" t="s">
        <v>86</v>
      </c>
      <c r="L1041" t="s">
        <v>71</v>
      </c>
      <c r="M1041" t="s">
        <v>87</v>
      </c>
      <c r="O1041" t="s">
        <v>88</v>
      </c>
      <c r="P1041" t="s">
        <v>27</v>
      </c>
      <c r="Q1041" t="s">
        <v>73</v>
      </c>
      <c r="R1041" t="s">
        <v>76</v>
      </c>
      <c r="S1041" t="s">
        <v>74</v>
      </c>
      <c r="T1041" t="s">
        <v>75</v>
      </c>
      <c r="X1041" t="s">
        <v>77</v>
      </c>
      <c r="Z1041" t="s">
        <v>72</v>
      </c>
      <c r="AA1041" t="s">
        <v>94</v>
      </c>
      <c r="AB1041">
        <v>5</v>
      </c>
      <c r="AC1041">
        <v>748794.88</v>
      </c>
      <c r="AD1041">
        <v>8930472.2899999991</v>
      </c>
      <c r="AE1041">
        <v>190.9</v>
      </c>
      <c r="AF1041">
        <v>748794.88</v>
      </c>
      <c r="AG1041">
        <v>8930472.2899999991</v>
      </c>
      <c r="AH1041">
        <v>179.4</v>
      </c>
      <c r="AI1041">
        <v>11.5</v>
      </c>
      <c r="AJ1041">
        <v>0.6</v>
      </c>
      <c r="AK1041">
        <v>3.37</v>
      </c>
      <c r="AL1041">
        <v>2.93</v>
      </c>
      <c r="AM1041">
        <v>0</v>
      </c>
      <c r="AN1041">
        <v>0</v>
      </c>
      <c r="AO1041">
        <v>358</v>
      </c>
      <c r="AP1041">
        <v>3.4</v>
      </c>
      <c r="AQ1041">
        <v>0.63</v>
      </c>
      <c r="AR1041">
        <v>0.09</v>
      </c>
      <c r="AS1041">
        <v>0.08</v>
      </c>
      <c r="AT1041">
        <v>18.260000000000002</v>
      </c>
      <c r="AU1041">
        <v>6.46</v>
      </c>
      <c r="AV1041">
        <v>0.32</v>
      </c>
      <c r="AW1041">
        <v>1.99</v>
      </c>
      <c r="AX1041">
        <v>0.52</v>
      </c>
      <c r="AY1041">
        <v>3.3</v>
      </c>
      <c r="AZ1041">
        <v>119.392</v>
      </c>
      <c r="BA1041">
        <v>0</v>
      </c>
      <c r="BB1041">
        <v>0</v>
      </c>
      <c r="BC1041">
        <v>0</v>
      </c>
      <c r="BD1041">
        <v>0</v>
      </c>
    </row>
    <row r="1042" spans="1:56" x14ac:dyDescent="0.25">
      <c r="A1042" s="23">
        <v>46304</v>
      </c>
      <c r="B1042">
        <v>1041</v>
      </c>
      <c r="C1042" t="s">
        <v>82</v>
      </c>
      <c r="D1042" t="s">
        <v>83</v>
      </c>
      <c r="E1042">
        <v>2</v>
      </c>
      <c r="F1042">
        <v>180</v>
      </c>
      <c r="G1042">
        <v>1</v>
      </c>
      <c r="H1042" t="s">
        <v>96</v>
      </c>
      <c r="I1042" t="s">
        <v>91</v>
      </c>
      <c r="J1042" t="s">
        <v>85</v>
      </c>
      <c r="K1042" t="s">
        <v>86</v>
      </c>
      <c r="L1042" t="s">
        <v>71</v>
      </c>
      <c r="M1042" t="s">
        <v>87</v>
      </c>
      <c r="O1042" t="s">
        <v>88</v>
      </c>
      <c r="P1042" t="s">
        <v>27</v>
      </c>
      <c r="Q1042" t="s">
        <v>73</v>
      </c>
      <c r="R1042" t="s">
        <v>76</v>
      </c>
      <c r="S1042" t="s">
        <v>74</v>
      </c>
      <c r="T1042" t="s">
        <v>75</v>
      </c>
      <c r="X1042" t="s">
        <v>77</v>
      </c>
      <c r="Z1042" t="s">
        <v>72</v>
      </c>
      <c r="AA1042" t="s">
        <v>94</v>
      </c>
      <c r="AB1042">
        <v>5</v>
      </c>
      <c r="AC1042">
        <v>748792.37</v>
      </c>
      <c r="AD1042">
        <v>8930471.4900000002</v>
      </c>
      <c r="AE1042">
        <v>190.15</v>
      </c>
      <c r="AF1042">
        <v>748792.37</v>
      </c>
      <c r="AG1042">
        <v>8930471.4900000002</v>
      </c>
      <c r="AH1042">
        <v>179.4</v>
      </c>
      <c r="AI1042">
        <v>10.75</v>
      </c>
      <c r="AJ1042">
        <v>0.6</v>
      </c>
      <c r="AK1042">
        <v>3.37</v>
      </c>
      <c r="AL1042">
        <v>2.93</v>
      </c>
      <c r="AM1042">
        <v>0</v>
      </c>
      <c r="AN1042">
        <v>0</v>
      </c>
      <c r="AO1042">
        <v>358</v>
      </c>
      <c r="AP1042">
        <v>3.39</v>
      </c>
      <c r="AQ1042">
        <v>0.61</v>
      </c>
      <c r="AR1042">
        <v>0.08</v>
      </c>
      <c r="AS1042">
        <v>7.0000000000000007E-2</v>
      </c>
      <c r="AT1042">
        <v>18.03</v>
      </c>
      <c r="AU1042">
        <v>6.44</v>
      </c>
      <c r="AV1042">
        <v>0.31</v>
      </c>
      <c r="AW1042">
        <v>1.95</v>
      </c>
      <c r="AX1042">
        <v>0.1</v>
      </c>
      <c r="AY1042">
        <v>3.3</v>
      </c>
      <c r="AZ1042">
        <v>108.47199999999999</v>
      </c>
      <c r="BA1042">
        <v>0</v>
      </c>
      <c r="BB1042">
        <v>0</v>
      </c>
      <c r="BC1042">
        <v>0</v>
      </c>
      <c r="BD1042">
        <v>0</v>
      </c>
    </row>
    <row r="1043" spans="1:56" x14ac:dyDescent="0.25">
      <c r="A1043" s="23">
        <v>46304</v>
      </c>
      <c r="B1043">
        <v>1042</v>
      </c>
      <c r="C1043" t="s">
        <v>82</v>
      </c>
      <c r="D1043" t="s">
        <v>83</v>
      </c>
      <c r="E1043">
        <v>2</v>
      </c>
      <c r="F1043">
        <v>180</v>
      </c>
      <c r="G1043">
        <v>1</v>
      </c>
      <c r="H1043" t="s">
        <v>96</v>
      </c>
      <c r="I1043" t="s">
        <v>91</v>
      </c>
      <c r="J1043" t="s">
        <v>85</v>
      </c>
      <c r="K1043" t="s">
        <v>86</v>
      </c>
      <c r="L1043" t="s">
        <v>71</v>
      </c>
      <c r="M1043" t="s">
        <v>87</v>
      </c>
      <c r="O1043" t="s">
        <v>88</v>
      </c>
      <c r="P1043" t="s">
        <v>27</v>
      </c>
      <c r="Q1043" t="s">
        <v>73</v>
      </c>
      <c r="R1043" t="s">
        <v>76</v>
      </c>
      <c r="S1043" t="s">
        <v>74</v>
      </c>
      <c r="T1043" t="s">
        <v>75</v>
      </c>
      <c r="X1043" t="s">
        <v>77</v>
      </c>
      <c r="Z1043" t="s">
        <v>72</v>
      </c>
      <c r="AA1043" t="s">
        <v>94</v>
      </c>
      <c r="AB1043">
        <v>5</v>
      </c>
      <c r="AC1043">
        <v>748789.41</v>
      </c>
      <c r="AD1043">
        <v>8930469.9600000009</v>
      </c>
      <c r="AE1043">
        <v>190.29</v>
      </c>
      <c r="AF1043">
        <v>748789.41</v>
      </c>
      <c r="AG1043">
        <v>8930469.9600000009</v>
      </c>
      <c r="AH1043">
        <v>179.4</v>
      </c>
      <c r="AI1043">
        <v>10.89</v>
      </c>
      <c r="AJ1043">
        <v>0.6</v>
      </c>
      <c r="AK1043">
        <v>3.37</v>
      </c>
      <c r="AL1043">
        <v>2.93</v>
      </c>
      <c r="AM1043">
        <v>0</v>
      </c>
      <c r="AN1043">
        <v>0</v>
      </c>
      <c r="AO1043">
        <v>358</v>
      </c>
      <c r="AP1043">
        <v>3.41</v>
      </c>
      <c r="AQ1043">
        <v>0.64</v>
      </c>
      <c r="AR1043">
        <v>0.08</v>
      </c>
      <c r="AS1043">
        <v>0.08</v>
      </c>
      <c r="AT1043">
        <v>18.510000000000002</v>
      </c>
      <c r="AU1043">
        <v>6.63</v>
      </c>
      <c r="AV1043">
        <v>0.31</v>
      </c>
      <c r="AW1043">
        <v>2.0299999999999998</v>
      </c>
      <c r="AX1043">
        <v>0.2</v>
      </c>
      <c r="AY1043">
        <v>3.3</v>
      </c>
      <c r="AZ1043">
        <v>110.51</v>
      </c>
      <c r="BA1043">
        <v>0</v>
      </c>
      <c r="BB1043">
        <v>0</v>
      </c>
      <c r="BC1043">
        <v>0</v>
      </c>
      <c r="BD1043">
        <v>0</v>
      </c>
    </row>
    <row r="1044" spans="1:56" x14ac:dyDescent="0.25">
      <c r="A1044" s="23">
        <v>46304</v>
      </c>
      <c r="B1044">
        <v>1043</v>
      </c>
      <c r="C1044" t="s">
        <v>82</v>
      </c>
      <c r="D1044" t="s">
        <v>83</v>
      </c>
      <c r="E1044">
        <v>2</v>
      </c>
      <c r="F1044">
        <v>180</v>
      </c>
      <c r="G1044">
        <v>1</v>
      </c>
      <c r="H1044" t="s">
        <v>96</v>
      </c>
      <c r="I1044" t="s">
        <v>91</v>
      </c>
      <c r="J1044" t="s">
        <v>85</v>
      </c>
      <c r="K1044" t="s">
        <v>86</v>
      </c>
      <c r="L1044" t="s">
        <v>71</v>
      </c>
      <c r="M1044" t="s">
        <v>87</v>
      </c>
      <c r="O1044" t="s">
        <v>88</v>
      </c>
      <c r="P1044" t="s">
        <v>27</v>
      </c>
      <c r="Q1044" t="s">
        <v>73</v>
      </c>
      <c r="R1044" t="s">
        <v>76</v>
      </c>
      <c r="S1044" t="s">
        <v>74</v>
      </c>
      <c r="T1044" t="s">
        <v>75</v>
      </c>
      <c r="X1044" t="s">
        <v>77</v>
      </c>
      <c r="Z1044" t="s">
        <v>72</v>
      </c>
      <c r="AA1044" t="s">
        <v>94</v>
      </c>
      <c r="AB1044">
        <v>5</v>
      </c>
      <c r="AC1044">
        <v>748786.57</v>
      </c>
      <c r="AD1044">
        <v>8930468.1400000006</v>
      </c>
      <c r="AE1044">
        <v>190.02</v>
      </c>
      <c r="AF1044">
        <v>748786.57</v>
      </c>
      <c r="AG1044">
        <v>8930468.1400000006</v>
      </c>
      <c r="AH1044">
        <v>179.4</v>
      </c>
      <c r="AI1044">
        <v>10.62</v>
      </c>
      <c r="AJ1044">
        <v>0.6</v>
      </c>
      <c r="AK1044">
        <v>3.37</v>
      </c>
      <c r="AL1044">
        <v>2.93</v>
      </c>
      <c r="AM1044">
        <v>0</v>
      </c>
      <c r="AN1044">
        <v>0</v>
      </c>
      <c r="AO1044">
        <v>358</v>
      </c>
      <c r="AP1044">
        <v>3.43</v>
      </c>
      <c r="AQ1044">
        <v>0.68</v>
      </c>
      <c r="AR1044">
        <v>0.08</v>
      </c>
      <c r="AS1044">
        <v>0.08</v>
      </c>
      <c r="AT1044">
        <v>19.2</v>
      </c>
      <c r="AU1044">
        <v>6.73</v>
      </c>
      <c r="AV1044">
        <v>0.31</v>
      </c>
      <c r="AW1044">
        <v>2.17</v>
      </c>
      <c r="AX1044">
        <v>0.01</v>
      </c>
      <c r="AY1044">
        <v>3.3</v>
      </c>
      <c r="AZ1044">
        <v>106.57899999999999</v>
      </c>
      <c r="BA1044">
        <v>0</v>
      </c>
      <c r="BB1044">
        <v>0</v>
      </c>
      <c r="BC1044">
        <v>0</v>
      </c>
      <c r="BD1044">
        <v>0</v>
      </c>
    </row>
    <row r="1045" spans="1:56" x14ac:dyDescent="0.25">
      <c r="A1045" s="23">
        <v>46304</v>
      </c>
      <c r="B1045">
        <v>1044</v>
      </c>
      <c r="C1045" t="s">
        <v>82</v>
      </c>
      <c r="D1045" t="s">
        <v>83</v>
      </c>
      <c r="E1045">
        <v>2</v>
      </c>
      <c r="F1045">
        <v>180</v>
      </c>
      <c r="G1045">
        <v>1</v>
      </c>
      <c r="H1045" t="s">
        <v>96</v>
      </c>
      <c r="I1045" t="s">
        <v>91</v>
      </c>
      <c r="J1045" t="s">
        <v>85</v>
      </c>
      <c r="K1045" t="s">
        <v>86</v>
      </c>
      <c r="L1045" t="s">
        <v>71</v>
      </c>
      <c r="M1045" t="s">
        <v>87</v>
      </c>
      <c r="O1045" t="s">
        <v>88</v>
      </c>
      <c r="P1045" t="s">
        <v>27</v>
      </c>
      <c r="Q1045" t="s">
        <v>73</v>
      </c>
      <c r="R1045" t="s">
        <v>76</v>
      </c>
      <c r="S1045" t="s">
        <v>74</v>
      </c>
      <c r="T1045" t="s">
        <v>75</v>
      </c>
      <c r="X1045" t="s">
        <v>77</v>
      </c>
      <c r="Z1045" t="s">
        <v>72</v>
      </c>
      <c r="AA1045" t="s">
        <v>94</v>
      </c>
      <c r="AB1045">
        <v>5</v>
      </c>
      <c r="AC1045">
        <v>748783.74</v>
      </c>
      <c r="AD1045">
        <v>8930466.3100000005</v>
      </c>
      <c r="AE1045">
        <v>190.03</v>
      </c>
      <c r="AF1045">
        <v>748783.74</v>
      </c>
      <c r="AG1045">
        <v>8930466.3100000005</v>
      </c>
      <c r="AH1045">
        <v>179.4</v>
      </c>
      <c r="AI1045">
        <v>10.63</v>
      </c>
      <c r="AJ1045">
        <v>0.6</v>
      </c>
      <c r="AK1045">
        <v>3.37</v>
      </c>
      <c r="AL1045">
        <v>2.93</v>
      </c>
      <c r="AM1045">
        <v>0</v>
      </c>
      <c r="AN1045">
        <v>0</v>
      </c>
      <c r="AO1045">
        <v>358</v>
      </c>
      <c r="AP1045">
        <v>3.43</v>
      </c>
      <c r="AQ1045">
        <v>0.69</v>
      </c>
      <c r="AR1045">
        <v>0.08</v>
      </c>
      <c r="AS1045">
        <v>0.08</v>
      </c>
      <c r="AT1045">
        <v>19.22</v>
      </c>
      <c r="AU1045">
        <v>6.74</v>
      </c>
      <c r="AV1045">
        <v>0.31</v>
      </c>
      <c r="AW1045">
        <v>2.1800000000000002</v>
      </c>
      <c r="AX1045">
        <v>0.02</v>
      </c>
      <c r="AY1045">
        <v>3.3</v>
      </c>
      <c r="AZ1045">
        <v>106.72499999999999</v>
      </c>
      <c r="BA1045">
        <v>0</v>
      </c>
      <c r="BB1045">
        <v>0</v>
      </c>
      <c r="BC1045">
        <v>0</v>
      </c>
      <c r="BD1045">
        <v>0</v>
      </c>
    </row>
    <row r="1046" spans="1:56" x14ac:dyDescent="0.25">
      <c r="A1046" s="23">
        <v>46304</v>
      </c>
      <c r="B1046">
        <v>1045</v>
      </c>
      <c r="C1046" t="s">
        <v>82</v>
      </c>
      <c r="D1046" t="s">
        <v>83</v>
      </c>
      <c r="E1046">
        <v>2</v>
      </c>
      <c r="F1046">
        <v>180</v>
      </c>
      <c r="G1046">
        <v>1</v>
      </c>
      <c r="H1046" t="s">
        <v>96</v>
      </c>
      <c r="I1046" t="s">
        <v>91</v>
      </c>
      <c r="J1046" t="s">
        <v>85</v>
      </c>
      <c r="K1046" t="s">
        <v>86</v>
      </c>
      <c r="L1046" t="s">
        <v>71</v>
      </c>
      <c r="M1046" t="s">
        <v>87</v>
      </c>
      <c r="O1046" t="s">
        <v>88</v>
      </c>
      <c r="P1046" t="s">
        <v>27</v>
      </c>
      <c r="Q1046" t="s">
        <v>73</v>
      </c>
      <c r="R1046" t="s">
        <v>76</v>
      </c>
      <c r="S1046" t="s">
        <v>74</v>
      </c>
      <c r="T1046" t="s">
        <v>75</v>
      </c>
      <c r="X1046" t="s">
        <v>77</v>
      </c>
      <c r="Z1046" t="s">
        <v>72</v>
      </c>
      <c r="AA1046" t="s">
        <v>94</v>
      </c>
      <c r="AB1046">
        <v>5</v>
      </c>
      <c r="AC1046">
        <v>748780.91</v>
      </c>
      <c r="AD1046">
        <v>8930464.4900000002</v>
      </c>
      <c r="AE1046">
        <v>189.91</v>
      </c>
      <c r="AF1046">
        <v>748780.91</v>
      </c>
      <c r="AG1046">
        <v>8930464.4900000002</v>
      </c>
      <c r="AH1046">
        <v>179.4</v>
      </c>
      <c r="AI1046">
        <v>10.51</v>
      </c>
      <c r="AJ1046">
        <v>0.6</v>
      </c>
      <c r="AK1046">
        <v>3.37</v>
      </c>
      <c r="AL1046">
        <v>2.93</v>
      </c>
      <c r="AM1046">
        <v>0</v>
      </c>
      <c r="AN1046">
        <v>0</v>
      </c>
      <c r="AO1046">
        <v>358</v>
      </c>
      <c r="AP1046">
        <v>3.43</v>
      </c>
      <c r="AQ1046">
        <v>0.69</v>
      </c>
      <c r="AR1046">
        <v>0.09</v>
      </c>
      <c r="AS1046">
        <v>0.08</v>
      </c>
      <c r="AT1046">
        <v>19.329999999999998</v>
      </c>
      <c r="AU1046">
        <v>6.73</v>
      </c>
      <c r="AV1046">
        <v>0.32</v>
      </c>
      <c r="AW1046">
        <v>2.16</v>
      </c>
      <c r="AX1046">
        <v>1.83</v>
      </c>
      <c r="AY1046">
        <v>3.3</v>
      </c>
      <c r="AZ1046">
        <v>104.97799999999999</v>
      </c>
      <c r="BA1046">
        <v>0</v>
      </c>
      <c r="BB1046">
        <v>0</v>
      </c>
      <c r="BC1046">
        <v>0</v>
      </c>
      <c r="BD1046">
        <v>0</v>
      </c>
    </row>
    <row r="1047" spans="1:56" x14ac:dyDescent="0.25">
      <c r="A1047" s="23">
        <v>46304</v>
      </c>
      <c r="B1047">
        <v>1046</v>
      </c>
      <c r="C1047" t="s">
        <v>82</v>
      </c>
      <c r="D1047" t="s">
        <v>83</v>
      </c>
      <c r="E1047">
        <v>2</v>
      </c>
      <c r="F1047">
        <v>180</v>
      </c>
      <c r="G1047">
        <v>1</v>
      </c>
      <c r="H1047" t="s">
        <v>96</v>
      </c>
      <c r="I1047" t="s">
        <v>91</v>
      </c>
      <c r="J1047" t="s">
        <v>97</v>
      </c>
      <c r="K1047" t="s">
        <v>86</v>
      </c>
      <c r="L1047" t="s">
        <v>71</v>
      </c>
      <c r="M1047" t="s">
        <v>87</v>
      </c>
      <c r="O1047" t="s">
        <v>88</v>
      </c>
      <c r="P1047" t="s">
        <v>27</v>
      </c>
      <c r="Q1047" t="s">
        <v>73</v>
      </c>
      <c r="R1047" t="s">
        <v>76</v>
      </c>
      <c r="S1047" t="s">
        <v>74</v>
      </c>
      <c r="T1047" t="s">
        <v>75</v>
      </c>
      <c r="X1047" t="s">
        <v>77</v>
      </c>
      <c r="Z1047" t="s">
        <v>72</v>
      </c>
      <c r="AA1047" t="s">
        <v>94</v>
      </c>
      <c r="AB1047">
        <v>5</v>
      </c>
      <c r="AC1047">
        <v>748778.12</v>
      </c>
      <c r="AD1047">
        <v>8930462.5999999996</v>
      </c>
      <c r="AE1047">
        <v>189.8</v>
      </c>
      <c r="AF1047">
        <v>748778.12</v>
      </c>
      <c r="AG1047">
        <v>8930462.5999999996</v>
      </c>
      <c r="AH1047">
        <v>179.4</v>
      </c>
      <c r="AI1047">
        <v>10.4</v>
      </c>
      <c r="AJ1047">
        <v>0.6</v>
      </c>
      <c r="AK1047">
        <v>3.37</v>
      </c>
      <c r="AL1047">
        <v>2.93</v>
      </c>
      <c r="AM1047">
        <v>0</v>
      </c>
      <c r="AN1047">
        <v>0</v>
      </c>
      <c r="AO1047">
        <v>358</v>
      </c>
      <c r="AP1047">
        <v>3.44</v>
      </c>
      <c r="AQ1047">
        <v>0.71</v>
      </c>
      <c r="AR1047">
        <v>0.11</v>
      </c>
      <c r="AS1047">
        <v>0.09</v>
      </c>
      <c r="AT1047">
        <v>19.71</v>
      </c>
      <c r="AU1047">
        <v>6.71</v>
      </c>
      <c r="AV1047">
        <v>0.34</v>
      </c>
      <c r="AW1047">
        <v>2.09</v>
      </c>
      <c r="AX1047">
        <v>7.65</v>
      </c>
      <c r="AY1047">
        <v>3.3</v>
      </c>
      <c r="AZ1047">
        <v>103.376</v>
      </c>
      <c r="BA1047">
        <v>0</v>
      </c>
      <c r="BB1047">
        <v>0</v>
      </c>
      <c r="BC1047">
        <v>0</v>
      </c>
      <c r="BD1047">
        <v>0</v>
      </c>
    </row>
    <row r="1048" spans="1:56" x14ac:dyDescent="0.25">
      <c r="A1048" s="23">
        <v>46304</v>
      </c>
      <c r="B1048">
        <v>1047</v>
      </c>
      <c r="C1048" t="s">
        <v>82</v>
      </c>
      <c r="D1048" t="s">
        <v>83</v>
      </c>
      <c r="E1048">
        <v>2</v>
      </c>
      <c r="F1048">
        <v>180</v>
      </c>
      <c r="G1048">
        <v>1</v>
      </c>
      <c r="H1048" t="s">
        <v>96</v>
      </c>
      <c r="I1048" t="s">
        <v>91</v>
      </c>
      <c r="J1048" t="s">
        <v>97</v>
      </c>
      <c r="K1048" t="s">
        <v>86</v>
      </c>
      <c r="L1048" t="s">
        <v>71</v>
      </c>
      <c r="M1048" t="s">
        <v>87</v>
      </c>
      <c r="O1048" t="s">
        <v>88</v>
      </c>
      <c r="P1048" t="s">
        <v>27</v>
      </c>
      <c r="Q1048" t="s">
        <v>73</v>
      </c>
      <c r="R1048" t="s">
        <v>76</v>
      </c>
      <c r="S1048" t="s">
        <v>74</v>
      </c>
      <c r="T1048" t="s">
        <v>75</v>
      </c>
      <c r="X1048" t="s">
        <v>77</v>
      </c>
      <c r="Z1048" t="s">
        <v>72</v>
      </c>
      <c r="AA1048" t="s">
        <v>94</v>
      </c>
      <c r="AB1048">
        <v>5</v>
      </c>
      <c r="AC1048">
        <v>748775.38</v>
      </c>
      <c r="AD1048">
        <v>8930460.6400000006</v>
      </c>
      <c r="AE1048">
        <v>189.91</v>
      </c>
      <c r="AF1048">
        <v>748775.38</v>
      </c>
      <c r="AG1048">
        <v>8930460.6400000006</v>
      </c>
      <c r="AH1048">
        <v>179.4</v>
      </c>
      <c r="AI1048">
        <v>10.51</v>
      </c>
      <c r="AJ1048">
        <v>0.6</v>
      </c>
      <c r="AK1048">
        <v>3.37</v>
      </c>
      <c r="AL1048">
        <v>2.93</v>
      </c>
      <c r="AM1048">
        <v>0</v>
      </c>
      <c r="AN1048">
        <v>0</v>
      </c>
      <c r="AO1048">
        <v>358</v>
      </c>
      <c r="AP1048">
        <v>3.44</v>
      </c>
      <c r="AQ1048">
        <v>0.74</v>
      </c>
      <c r="AR1048">
        <v>0.11</v>
      </c>
      <c r="AS1048">
        <v>0.1</v>
      </c>
      <c r="AT1048">
        <v>20.34</v>
      </c>
      <c r="AU1048">
        <v>6.83</v>
      </c>
      <c r="AV1048">
        <v>0.35</v>
      </c>
      <c r="AW1048">
        <v>2.13</v>
      </c>
      <c r="AX1048">
        <v>7.59</v>
      </c>
      <c r="AY1048">
        <v>3.3</v>
      </c>
      <c r="AZ1048">
        <v>104.97799999999999</v>
      </c>
      <c r="BA1048">
        <v>0</v>
      </c>
      <c r="BB1048">
        <v>0</v>
      </c>
      <c r="BC1048">
        <v>0</v>
      </c>
      <c r="BD1048">
        <v>0</v>
      </c>
    </row>
    <row r="1049" spans="1:56" x14ac:dyDescent="0.25">
      <c r="A1049" s="23">
        <v>46304</v>
      </c>
      <c r="B1049">
        <v>1048</v>
      </c>
      <c r="C1049" t="s">
        <v>82</v>
      </c>
      <c r="D1049" t="s">
        <v>83</v>
      </c>
      <c r="E1049">
        <v>2</v>
      </c>
      <c r="F1049">
        <v>180</v>
      </c>
      <c r="G1049">
        <v>1</v>
      </c>
      <c r="H1049" t="s">
        <v>96</v>
      </c>
      <c r="I1049" t="s">
        <v>91</v>
      </c>
      <c r="J1049" t="s">
        <v>97</v>
      </c>
      <c r="K1049" t="s">
        <v>86</v>
      </c>
      <c r="L1049" t="s">
        <v>71</v>
      </c>
      <c r="M1049" t="s">
        <v>87</v>
      </c>
      <c r="O1049" t="s">
        <v>88</v>
      </c>
      <c r="P1049" t="s">
        <v>27</v>
      </c>
      <c r="Q1049" t="s">
        <v>73</v>
      </c>
      <c r="R1049" t="s">
        <v>76</v>
      </c>
      <c r="S1049" t="s">
        <v>74</v>
      </c>
      <c r="T1049" t="s">
        <v>75</v>
      </c>
      <c r="X1049" t="s">
        <v>77</v>
      </c>
      <c r="Z1049" t="s">
        <v>72</v>
      </c>
      <c r="AA1049" t="s">
        <v>94</v>
      </c>
      <c r="AB1049">
        <v>5</v>
      </c>
      <c r="AC1049">
        <v>748772.65</v>
      </c>
      <c r="AD1049">
        <v>8930458.6500000004</v>
      </c>
      <c r="AE1049">
        <v>189.9</v>
      </c>
      <c r="AF1049">
        <v>748772.65</v>
      </c>
      <c r="AG1049">
        <v>8930458.6500000004</v>
      </c>
      <c r="AH1049">
        <v>179.4</v>
      </c>
      <c r="AI1049">
        <v>10.5</v>
      </c>
      <c r="AJ1049">
        <v>0.6</v>
      </c>
      <c r="AK1049">
        <v>3.37</v>
      </c>
      <c r="AL1049">
        <v>2.93</v>
      </c>
      <c r="AM1049">
        <v>0</v>
      </c>
      <c r="AN1049">
        <v>0</v>
      </c>
      <c r="AO1049">
        <v>358</v>
      </c>
      <c r="AP1049">
        <v>3.44</v>
      </c>
      <c r="AQ1049">
        <v>0.78</v>
      </c>
      <c r="AR1049">
        <v>0.12</v>
      </c>
      <c r="AS1049">
        <v>0.1</v>
      </c>
      <c r="AT1049">
        <v>21.48</v>
      </c>
      <c r="AU1049">
        <v>7.07</v>
      </c>
      <c r="AV1049">
        <v>0.35</v>
      </c>
      <c r="AW1049">
        <v>2.21</v>
      </c>
      <c r="AX1049">
        <v>7.19</v>
      </c>
      <c r="AY1049">
        <v>3.3</v>
      </c>
      <c r="AZ1049">
        <v>104.83199999999999</v>
      </c>
      <c r="BA1049">
        <v>0</v>
      </c>
      <c r="BB1049">
        <v>0</v>
      </c>
      <c r="BC1049">
        <v>0</v>
      </c>
      <c r="BD1049">
        <v>0</v>
      </c>
    </row>
    <row r="1050" spans="1:56" x14ac:dyDescent="0.25">
      <c r="A1050" s="23">
        <v>46304</v>
      </c>
      <c r="B1050">
        <v>1049</v>
      </c>
      <c r="C1050" t="s">
        <v>82</v>
      </c>
      <c r="D1050" t="s">
        <v>83</v>
      </c>
      <c r="E1050">
        <v>2</v>
      </c>
      <c r="F1050">
        <v>180</v>
      </c>
      <c r="G1050">
        <v>1</v>
      </c>
      <c r="H1050" t="s">
        <v>96</v>
      </c>
      <c r="I1050" t="s">
        <v>91</v>
      </c>
      <c r="J1050" t="s">
        <v>97</v>
      </c>
      <c r="K1050" t="s">
        <v>86</v>
      </c>
      <c r="L1050" t="s">
        <v>71</v>
      </c>
      <c r="M1050" t="s">
        <v>87</v>
      </c>
      <c r="O1050" t="s">
        <v>88</v>
      </c>
      <c r="P1050" t="s">
        <v>27</v>
      </c>
      <c r="Q1050" t="s">
        <v>73</v>
      </c>
      <c r="R1050" t="s">
        <v>76</v>
      </c>
      <c r="S1050" t="s">
        <v>74</v>
      </c>
      <c r="T1050" t="s">
        <v>75</v>
      </c>
      <c r="X1050" t="s">
        <v>77</v>
      </c>
      <c r="Z1050" t="s">
        <v>72</v>
      </c>
      <c r="AA1050" t="s">
        <v>94</v>
      </c>
      <c r="AB1050">
        <v>5</v>
      </c>
      <c r="AC1050">
        <v>748770.07</v>
      </c>
      <c r="AD1050">
        <v>8930456.5199999996</v>
      </c>
      <c r="AE1050">
        <v>189.86</v>
      </c>
      <c r="AF1050">
        <v>748770.07</v>
      </c>
      <c r="AG1050">
        <v>8930456.5199999996</v>
      </c>
      <c r="AH1050">
        <v>179.4</v>
      </c>
      <c r="AI1050">
        <v>10.46</v>
      </c>
      <c r="AJ1050">
        <v>0.6</v>
      </c>
      <c r="AK1050">
        <v>3.37</v>
      </c>
      <c r="AL1050">
        <v>2.93</v>
      </c>
      <c r="AM1050">
        <v>0</v>
      </c>
      <c r="AN1050">
        <v>0</v>
      </c>
      <c r="AO1050">
        <v>358</v>
      </c>
      <c r="AP1050">
        <v>3.48</v>
      </c>
      <c r="AQ1050">
        <v>0.75</v>
      </c>
      <c r="AR1050">
        <v>0.13</v>
      </c>
      <c r="AS1050">
        <v>0.1</v>
      </c>
      <c r="AT1050">
        <v>21.77</v>
      </c>
      <c r="AU1050">
        <v>6.44</v>
      </c>
      <c r="AV1050">
        <v>0.36</v>
      </c>
      <c r="AW1050">
        <v>2.08</v>
      </c>
      <c r="AX1050">
        <v>7.28</v>
      </c>
      <c r="AY1050">
        <v>3.3</v>
      </c>
      <c r="AZ1050">
        <v>104.25</v>
      </c>
      <c r="BA1050">
        <v>0</v>
      </c>
      <c r="BB1050">
        <v>0</v>
      </c>
      <c r="BC1050">
        <v>0</v>
      </c>
      <c r="BD1050">
        <v>0</v>
      </c>
    </row>
    <row r="1051" spans="1:56" x14ac:dyDescent="0.25">
      <c r="A1051" s="23">
        <v>46304</v>
      </c>
      <c r="B1051">
        <v>1050</v>
      </c>
      <c r="C1051" t="s">
        <v>82</v>
      </c>
      <c r="D1051" t="s">
        <v>83</v>
      </c>
      <c r="E1051">
        <v>2</v>
      </c>
      <c r="F1051">
        <v>180</v>
      </c>
      <c r="G1051">
        <v>1</v>
      </c>
      <c r="H1051" t="s">
        <v>96</v>
      </c>
      <c r="I1051" t="s">
        <v>91</v>
      </c>
      <c r="J1051" t="s">
        <v>85</v>
      </c>
      <c r="K1051" t="s">
        <v>86</v>
      </c>
      <c r="L1051" t="s">
        <v>71</v>
      </c>
      <c r="M1051" t="s">
        <v>87</v>
      </c>
      <c r="O1051" t="s">
        <v>88</v>
      </c>
      <c r="P1051" t="s">
        <v>27</v>
      </c>
      <c r="Q1051" t="s">
        <v>73</v>
      </c>
      <c r="R1051" t="s">
        <v>76</v>
      </c>
      <c r="S1051" t="s">
        <v>74</v>
      </c>
      <c r="T1051" t="s">
        <v>75</v>
      </c>
      <c r="X1051" t="s">
        <v>77</v>
      </c>
      <c r="Z1051" t="s">
        <v>72</v>
      </c>
      <c r="AA1051" t="s">
        <v>94</v>
      </c>
      <c r="AB1051">
        <v>5</v>
      </c>
      <c r="AC1051">
        <v>748767.77</v>
      </c>
      <c r="AD1051">
        <v>8930454.0800000001</v>
      </c>
      <c r="AE1051">
        <v>189.94</v>
      </c>
      <c r="AF1051">
        <v>748767.77</v>
      </c>
      <c r="AG1051">
        <v>8930454.0800000001</v>
      </c>
      <c r="AH1051">
        <v>179.4</v>
      </c>
      <c r="AI1051">
        <v>10.54</v>
      </c>
      <c r="AJ1051">
        <v>0.6</v>
      </c>
      <c r="AK1051">
        <v>3.37</v>
      </c>
      <c r="AL1051">
        <v>2.93</v>
      </c>
      <c r="AM1051">
        <v>0</v>
      </c>
      <c r="AN1051">
        <v>0</v>
      </c>
      <c r="AO1051">
        <v>358</v>
      </c>
      <c r="AP1051">
        <v>3.52</v>
      </c>
      <c r="AQ1051">
        <v>0.7</v>
      </c>
      <c r="AR1051">
        <v>0.13</v>
      </c>
      <c r="AS1051">
        <v>0.1</v>
      </c>
      <c r="AT1051">
        <v>21.81</v>
      </c>
      <c r="AU1051">
        <v>5.72</v>
      </c>
      <c r="AV1051">
        <v>0.37</v>
      </c>
      <c r="AW1051">
        <v>1.93</v>
      </c>
      <c r="AX1051">
        <v>7.47</v>
      </c>
      <c r="AY1051">
        <v>3.3</v>
      </c>
      <c r="AZ1051">
        <v>105.414</v>
      </c>
      <c r="BA1051">
        <v>0</v>
      </c>
      <c r="BB1051">
        <v>0</v>
      </c>
      <c r="BC1051">
        <v>0</v>
      </c>
      <c r="BD1051">
        <v>0</v>
      </c>
    </row>
    <row r="1052" spans="1:56" x14ac:dyDescent="0.25">
      <c r="A1052" s="23">
        <v>46304</v>
      </c>
      <c r="B1052">
        <v>1051</v>
      </c>
      <c r="C1052" t="s">
        <v>82</v>
      </c>
      <c r="D1052" t="s">
        <v>83</v>
      </c>
      <c r="E1052">
        <v>2</v>
      </c>
      <c r="F1052">
        <v>180</v>
      </c>
      <c r="G1052">
        <v>1</v>
      </c>
      <c r="H1052" t="s">
        <v>96</v>
      </c>
      <c r="I1052" t="s">
        <v>91</v>
      </c>
      <c r="J1052" t="s">
        <v>85</v>
      </c>
      <c r="K1052" t="s">
        <v>86</v>
      </c>
      <c r="L1052" t="s">
        <v>71</v>
      </c>
      <c r="M1052" t="s">
        <v>87</v>
      </c>
      <c r="O1052" t="s">
        <v>88</v>
      </c>
      <c r="P1052" t="s">
        <v>27</v>
      </c>
      <c r="Q1052" t="s">
        <v>73</v>
      </c>
      <c r="R1052" t="s">
        <v>76</v>
      </c>
      <c r="S1052" t="s">
        <v>74</v>
      </c>
      <c r="T1052" t="s">
        <v>75</v>
      </c>
      <c r="X1052" t="s">
        <v>77</v>
      </c>
      <c r="Z1052" t="s">
        <v>72</v>
      </c>
      <c r="AA1052" t="s">
        <v>94</v>
      </c>
      <c r="AB1052">
        <v>5</v>
      </c>
      <c r="AC1052">
        <v>748765.63</v>
      </c>
      <c r="AD1052">
        <v>8930451.4800000004</v>
      </c>
      <c r="AE1052">
        <v>190.12</v>
      </c>
      <c r="AF1052">
        <v>748765.63</v>
      </c>
      <c r="AG1052">
        <v>8930451.4800000004</v>
      </c>
      <c r="AH1052">
        <v>179.4</v>
      </c>
      <c r="AI1052">
        <v>10.72</v>
      </c>
      <c r="AJ1052">
        <v>0.6</v>
      </c>
      <c r="AK1052">
        <v>3.37</v>
      </c>
      <c r="AL1052">
        <v>2.93</v>
      </c>
      <c r="AM1052">
        <v>0</v>
      </c>
      <c r="AN1052">
        <v>0</v>
      </c>
      <c r="AO1052">
        <v>358</v>
      </c>
      <c r="AP1052">
        <v>3.51</v>
      </c>
      <c r="AQ1052">
        <v>0.71</v>
      </c>
      <c r="AR1052">
        <v>0.13</v>
      </c>
      <c r="AS1052">
        <v>0.1</v>
      </c>
      <c r="AT1052">
        <v>21.8</v>
      </c>
      <c r="AU1052">
        <v>5.82</v>
      </c>
      <c r="AV1052">
        <v>0.37</v>
      </c>
      <c r="AW1052">
        <v>1.94</v>
      </c>
      <c r="AX1052">
        <v>7.54</v>
      </c>
      <c r="AY1052">
        <v>3.3</v>
      </c>
      <c r="AZ1052">
        <v>108.035</v>
      </c>
      <c r="BA1052">
        <v>0</v>
      </c>
      <c r="BB1052">
        <v>0</v>
      </c>
      <c r="BC1052">
        <v>0</v>
      </c>
      <c r="BD1052">
        <v>0</v>
      </c>
    </row>
    <row r="1053" spans="1:56" x14ac:dyDescent="0.25">
      <c r="A1053" s="23">
        <v>46304</v>
      </c>
      <c r="B1053">
        <v>1052</v>
      </c>
      <c r="C1053" t="s">
        <v>82</v>
      </c>
      <c r="D1053" t="s">
        <v>83</v>
      </c>
      <c r="E1053">
        <v>2</v>
      </c>
      <c r="F1053">
        <v>180</v>
      </c>
      <c r="G1053">
        <v>1</v>
      </c>
      <c r="H1053" t="s">
        <v>96</v>
      </c>
      <c r="I1053" t="s">
        <v>91</v>
      </c>
      <c r="J1053" t="s">
        <v>97</v>
      </c>
      <c r="K1053" t="s">
        <v>86</v>
      </c>
      <c r="L1053" t="s">
        <v>71</v>
      </c>
      <c r="M1053" t="s">
        <v>87</v>
      </c>
      <c r="O1053" t="s">
        <v>88</v>
      </c>
      <c r="P1053" t="s">
        <v>27</v>
      </c>
      <c r="Q1053" t="s">
        <v>73</v>
      </c>
      <c r="R1053" t="s">
        <v>76</v>
      </c>
      <c r="S1053" t="s">
        <v>74</v>
      </c>
      <c r="T1053" t="s">
        <v>75</v>
      </c>
      <c r="X1053" t="s">
        <v>77</v>
      </c>
      <c r="Z1053" t="s">
        <v>72</v>
      </c>
      <c r="AA1053" t="s">
        <v>94</v>
      </c>
      <c r="AB1053">
        <v>5</v>
      </c>
      <c r="AC1053">
        <v>748763.48</v>
      </c>
      <c r="AD1053">
        <v>8930448.8900000006</v>
      </c>
      <c r="AE1053">
        <v>190.02</v>
      </c>
      <c r="AF1053">
        <v>748763.48</v>
      </c>
      <c r="AG1053">
        <v>8930448.8900000006</v>
      </c>
      <c r="AH1053">
        <v>179.4</v>
      </c>
      <c r="AI1053">
        <v>10.62</v>
      </c>
      <c r="AJ1053">
        <v>0.6</v>
      </c>
      <c r="AK1053">
        <v>3.37</v>
      </c>
      <c r="AL1053">
        <v>2.93</v>
      </c>
      <c r="AM1053">
        <v>0</v>
      </c>
      <c r="AN1053">
        <v>0</v>
      </c>
      <c r="AO1053">
        <v>358</v>
      </c>
      <c r="AP1053">
        <v>3.5</v>
      </c>
      <c r="AQ1053">
        <v>0.75</v>
      </c>
      <c r="AR1053">
        <v>0.13</v>
      </c>
      <c r="AS1053">
        <v>0.1</v>
      </c>
      <c r="AT1053">
        <v>21.6</v>
      </c>
      <c r="AU1053">
        <v>6.59</v>
      </c>
      <c r="AV1053">
        <v>0.37</v>
      </c>
      <c r="AW1053">
        <v>2.0499999999999998</v>
      </c>
      <c r="AX1053">
        <v>8.23</v>
      </c>
      <c r="AY1053">
        <v>3.3</v>
      </c>
      <c r="AZ1053">
        <v>106.57899999999999</v>
      </c>
      <c r="BA1053">
        <v>0</v>
      </c>
      <c r="BB1053">
        <v>0</v>
      </c>
      <c r="BC1053">
        <v>0</v>
      </c>
      <c r="BD1053">
        <v>0</v>
      </c>
    </row>
    <row r="1054" spans="1:56" x14ac:dyDescent="0.25">
      <c r="A1054" s="23">
        <v>46304</v>
      </c>
      <c r="B1054">
        <v>1053</v>
      </c>
      <c r="C1054" t="s">
        <v>82</v>
      </c>
      <c r="D1054" t="s">
        <v>83</v>
      </c>
      <c r="E1054">
        <v>2</v>
      </c>
      <c r="F1054">
        <v>180</v>
      </c>
      <c r="G1054">
        <v>1</v>
      </c>
      <c r="H1054" t="s">
        <v>96</v>
      </c>
      <c r="I1054" t="s">
        <v>91</v>
      </c>
      <c r="J1054" t="s">
        <v>97</v>
      </c>
      <c r="K1054" t="s">
        <v>86</v>
      </c>
      <c r="L1054" t="s">
        <v>71</v>
      </c>
      <c r="M1054" t="s">
        <v>87</v>
      </c>
      <c r="O1054" t="s">
        <v>88</v>
      </c>
      <c r="P1054" t="s">
        <v>27</v>
      </c>
      <c r="Q1054" t="s">
        <v>73</v>
      </c>
      <c r="R1054" t="s">
        <v>76</v>
      </c>
      <c r="S1054" t="s">
        <v>74</v>
      </c>
      <c r="T1054" t="s">
        <v>75</v>
      </c>
      <c r="X1054" t="s">
        <v>77</v>
      </c>
      <c r="Z1054" t="s">
        <v>72</v>
      </c>
      <c r="AA1054" t="s">
        <v>94</v>
      </c>
      <c r="AB1054">
        <v>5</v>
      </c>
      <c r="AC1054">
        <v>748761.51</v>
      </c>
      <c r="AD1054">
        <v>8930446.1999999993</v>
      </c>
      <c r="AE1054">
        <v>189.76</v>
      </c>
      <c r="AF1054">
        <v>748761.51</v>
      </c>
      <c r="AG1054">
        <v>8930446.1999999993</v>
      </c>
      <c r="AH1054">
        <v>179.4</v>
      </c>
      <c r="AI1054">
        <v>10.36</v>
      </c>
      <c r="AJ1054">
        <v>0.6</v>
      </c>
      <c r="AK1054">
        <v>3.37</v>
      </c>
      <c r="AL1054">
        <v>2.93</v>
      </c>
      <c r="AM1054">
        <v>0</v>
      </c>
      <c r="AN1054">
        <v>0</v>
      </c>
      <c r="AO1054">
        <v>358</v>
      </c>
      <c r="AP1054">
        <v>3.5</v>
      </c>
      <c r="AQ1054">
        <v>0.76</v>
      </c>
      <c r="AR1054">
        <v>0.13</v>
      </c>
      <c r="AS1054">
        <v>0.1</v>
      </c>
      <c r="AT1054">
        <v>21.56</v>
      </c>
      <c r="AU1054">
        <v>6.78</v>
      </c>
      <c r="AV1054">
        <v>0.36</v>
      </c>
      <c r="AW1054">
        <v>2.08</v>
      </c>
      <c r="AX1054">
        <v>8.36</v>
      </c>
      <c r="AY1054">
        <v>3.3</v>
      </c>
      <c r="AZ1054">
        <v>102.794</v>
      </c>
      <c r="BA1054">
        <v>0</v>
      </c>
      <c r="BB1054">
        <v>0</v>
      </c>
      <c r="BC1054">
        <v>0</v>
      </c>
      <c r="BD1054">
        <v>0</v>
      </c>
    </row>
    <row r="1055" spans="1:56" x14ac:dyDescent="0.25">
      <c r="A1055" s="23">
        <v>46304</v>
      </c>
      <c r="B1055">
        <v>1054</v>
      </c>
      <c r="C1055" t="s">
        <v>82</v>
      </c>
      <c r="D1055" t="s">
        <v>83</v>
      </c>
      <c r="E1055">
        <v>2</v>
      </c>
      <c r="F1055">
        <v>180</v>
      </c>
      <c r="G1055">
        <v>1</v>
      </c>
      <c r="H1055" t="s">
        <v>96</v>
      </c>
      <c r="I1055" t="s">
        <v>91</v>
      </c>
      <c r="J1055" t="s">
        <v>97</v>
      </c>
      <c r="K1055" t="s">
        <v>86</v>
      </c>
      <c r="L1055" t="s">
        <v>71</v>
      </c>
      <c r="M1055" t="s">
        <v>87</v>
      </c>
      <c r="O1055" t="s">
        <v>88</v>
      </c>
      <c r="P1055" t="s">
        <v>27</v>
      </c>
      <c r="Q1055" t="s">
        <v>73</v>
      </c>
      <c r="R1055" t="s">
        <v>76</v>
      </c>
      <c r="S1055" t="s">
        <v>74</v>
      </c>
      <c r="T1055" t="s">
        <v>75</v>
      </c>
      <c r="X1055" t="s">
        <v>77</v>
      </c>
      <c r="Z1055" t="s">
        <v>72</v>
      </c>
      <c r="AA1055" t="s">
        <v>94</v>
      </c>
      <c r="AB1055">
        <v>5</v>
      </c>
      <c r="AC1055">
        <v>748760.12</v>
      </c>
      <c r="AD1055">
        <v>8930443.1899999995</v>
      </c>
      <c r="AE1055">
        <v>189.74</v>
      </c>
      <c r="AF1055">
        <v>748760.12</v>
      </c>
      <c r="AG1055">
        <v>8930443.1899999995</v>
      </c>
      <c r="AH1055">
        <v>179.4</v>
      </c>
      <c r="AI1055">
        <v>10.34</v>
      </c>
      <c r="AJ1055">
        <v>0.6</v>
      </c>
      <c r="AK1055">
        <v>3.37</v>
      </c>
      <c r="AL1055">
        <v>2.93</v>
      </c>
      <c r="AM1055">
        <v>0</v>
      </c>
      <c r="AN1055">
        <v>0</v>
      </c>
      <c r="AO1055">
        <v>358</v>
      </c>
      <c r="AP1055">
        <v>3.51</v>
      </c>
      <c r="AQ1055">
        <v>0.76</v>
      </c>
      <c r="AR1055">
        <v>0.12</v>
      </c>
      <c r="AS1055">
        <v>0.1</v>
      </c>
      <c r="AT1055">
        <v>21.58</v>
      </c>
      <c r="AU1055">
        <v>6.8</v>
      </c>
      <c r="AV1055">
        <v>0.36</v>
      </c>
      <c r="AW1055">
        <v>2.1</v>
      </c>
      <c r="AX1055">
        <v>8.23</v>
      </c>
      <c r="AY1055">
        <v>3.3</v>
      </c>
      <c r="AZ1055">
        <v>102.502</v>
      </c>
      <c r="BA1055">
        <v>0</v>
      </c>
      <c r="BB1055">
        <v>0</v>
      </c>
      <c r="BC1055">
        <v>0</v>
      </c>
      <c r="BD1055">
        <v>0</v>
      </c>
    </row>
    <row r="1056" spans="1:56" x14ac:dyDescent="0.25">
      <c r="A1056" s="23">
        <v>46304</v>
      </c>
      <c r="B1056">
        <v>1055</v>
      </c>
      <c r="C1056" t="s">
        <v>82</v>
      </c>
      <c r="D1056" t="s">
        <v>83</v>
      </c>
      <c r="E1056">
        <v>2</v>
      </c>
      <c r="F1056">
        <v>180</v>
      </c>
      <c r="G1056">
        <v>1</v>
      </c>
      <c r="H1056" t="s">
        <v>98</v>
      </c>
      <c r="I1056" t="s">
        <v>91</v>
      </c>
      <c r="J1056" t="s">
        <v>97</v>
      </c>
      <c r="K1056" t="s">
        <v>86</v>
      </c>
      <c r="L1056" t="s">
        <v>71</v>
      </c>
      <c r="M1056" t="s">
        <v>87</v>
      </c>
      <c r="O1056" t="s">
        <v>88</v>
      </c>
      <c r="P1056" t="s">
        <v>27</v>
      </c>
      <c r="Q1056" t="s">
        <v>73</v>
      </c>
      <c r="R1056" t="s">
        <v>76</v>
      </c>
      <c r="S1056" t="s">
        <v>74</v>
      </c>
      <c r="T1056" t="s">
        <v>75</v>
      </c>
      <c r="X1056" t="s">
        <v>77</v>
      </c>
      <c r="Z1056" t="s">
        <v>72</v>
      </c>
      <c r="AA1056" t="s">
        <v>94</v>
      </c>
      <c r="AB1056">
        <v>5</v>
      </c>
      <c r="AC1056">
        <v>748759.13</v>
      </c>
      <c r="AD1056">
        <v>8930439.9700000007</v>
      </c>
      <c r="AE1056">
        <v>189.63</v>
      </c>
      <c r="AF1056">
        <v>748759.13</v>
      </c>
      <c r="AG1056">
        <v>8930439.9700000007</v>
      </c>
      <c r="AH1056">
        <v>179.4</v>
      </c>
      <c r="AI1056">
        <v>10.23</v>
      </c>
      <c r="AJ1056">
        <v>0.6</v>
      </c>
      <c r="AK1056">
        <v>3.37</v>
      </c>
      <c r="AL1056">
        <v>2.93</v>
      </c>
      <c r="AM1056">
        <v>0</v>
      </c>
      <c r="AN1056">
        <v>0</v>
      </c>
      <c r="AO1056">
        <v>358</v>
      </c>
      <c r="AP1056">
        <v>3.51</v>
      </c>
      <c r="AQ1056">
        <v>0.79</v>
      </c>
      <c r="AR1056">
        <v>0.12</v>
      </c>
      <c r="AS1056">
        <v>0.1</v>
      </c>
      <c r="AT1056">
        <v>21.6</v>
      </c>
      <c r="AU1056">
        <v>6.87</v>
      </c>
      <c r="AV1056">
        <v>0.38</v>
      </c>
      <c r="AW1056">
        <v>2.08</v>
      </c>
      <c r="AX1056">
        <v>8.3000000000000007</v>
      </c>
      <c r="AY1056">
        <v>3.3</v>
      </c>
      <c r="AZ1056">
        <v>100.901</v>
      </c>
      <c r="BA1056">
        <v>0</v>
      </c>
      <c r="BB1056">
        <v>0</v>
      </c>
      <c r="BC1056">
        <v>0</v>
      </c>
      <c r="BD1056">
        <v>0</v>
      </c>
    </row>
    <row r="1057" spans="1:56" x14ac:dyDescent="0.25">
      <c r="A1057" s="23">
        <v>46304</v>
      </c>
      <c r="B1057">
        <v>1056</v>
      </c>
      <c r="C1057" t="s">
        <v>82</v>
      </c>
      <c r="D1057" t="s">
        <v>83</v>
      </c>
      <c r="E1057">
        <v>2</v>
      </c>
      <c r="F1057">
        <v>180</v>
      </c>
      <c r="G1057">
        <v>1</v>
      </c>
      <c r="H1057" t="s">
        <v>96</v>
      </c>
      <c r="I1057" t="s">
        <v>91</v>
      </c>
      <c r="J1057" t="s">
        <v>97</v>
      </c>
      <c r="K1057" t="s">
        <v>86</v>
      </c>
      <c r="L1057" t="s">
        <v>71</v>
      </c>
      <c r="M1057" t="s">
        <v>87</v>
      </c>
      <c r="O1057" t="s">
        <v>88</v>
      </c>
      <c r="P1057" t="s">
        <v>27</v>
      </c>
      <c r="Q1057" t="s">
        <v>73</v>
      </c>
      <c r="R1057" t="s">
        <v>76</v>
      </c>
      <c r="S1057" t="s">
        <v>74</v>
      </c>
      <c r="T1057" t="s">
        <v>75</v>
      </c>
      <c r="X1057" t="s">
        <v>77</v>
      </c>
      <c r="Z1057" t="s">
        <v>72</v>
      </c>
      <c r="AA1057" t="s">
        <v>94</v>
      </c>
      <c r="AB1057">
        <v>5</v>
      </c>
      <c r="AC1057">
        <v>748762.67</v>
      </c>
      <c r="AD1057">
        <v>8930441.2699999996</v>
      </c>
      <c r="AE1057">
        <v>189.65</v>
      </c>
      <c r="AF1057">
        <v>748762.67</v>
      </c>
      <c r="AG1057">
        <v>8930441.2699999996</v>
      </c>
      <c r="AH1057">
        <v>179.4</v>
      </c>
      <c r="AI1057">
        <v>10.25</v>
      </c>
      <c r="AJ1057">
        <v>0.6</v>
      </c>
      <c r="AK1057">
        <v>3.37</v>
      </c>
      <c r="AL1057">
        <v>2.93</v>
      </c>
      <c r="AM1057">
        <v>0</v>
      </c>
      <c r="AN1057">
        <v>0</v>
      </c>
      <c r="AO1057">
        <v>358</v>
      </c>
      <c r="AP1057">
        <v>3.49</v>
      </c>
      <c r="AQ1057">
        <v>0.77</v>
      </c>
      <c r="AR1057">
        <v>0.13</v>
      </c>
      <c r="AS1057">
        <v>0.1</v>
      </c>
      <c r="AT1057">
        <v>21.7</v>
      </c>
      <c r="AU1057">
        <v>6.78</v>
      </c>
      <c r="AV1057">
        <v>0.37</v>
      </c>
      <c r="AW1057">
        <v>2.09</v>
      </c>
      <c r="AX1057">
        <v>8.34</v>
      </c>
      <c r="AY1057">
        <v>3.3</v>
      </c>
      <c r="AZ1057">
        <v>101.19199999999999</v>
      </c>
      <c r="BA1057">
        <v>0</v>
      </c>
      <c r="BB1057">
        <v>0</v>
      </c>
      <c r="BC1057">
        <v>0</v>
      </c>
      <c r="BD1057">
        <v>0</v>
      </c>
    </row>
    <row r="1058" spans="1:56" x14ac:dyDescent="0.25">
      <c r="A1058" s="23">
        <v>46304</v>
      </c>
      <c r="B1058">
        <v>1057</v>
      </c>
      <c r="C1058" t="s">
        <v>82</v>
      </c>
      <c r="D1058" t="s">
        <v>83</v>
      </c>
      <c r="E1058">
        <v>2</v>
      </c>
      <c r="F1058">
        <v>180</v>
      </c>
      <c r="G1058">
        <v>1</v>
      </c>
      <c r="H1058" t="s">
        <v>96</v>
      </c>
      <c r="I1058" t="s">
        <v>91</v>
      </c>
      <c r="J1058" t="s">
        <v>97</v>
      </c>
      <c r="K1058" t="s">
        <v>86</v>
      </c>
      <c r="L1058" t="s">
        <v>71</v>
      </c>
      <c r="M1058" t="s">
        <v>87</v>
      </c>
      <c r="O1058" t="s">
        <v>88</v>
      </c>
      <c r="P1058" t="s">
        <v>27</v>
      </c>
      <c r="Q1058" t="s">
        <v>73</v>
      </c>
      <c r="R1058" t="s">
        <v>76</v>
      </c>
      <c r="S1058" t="s">
        <v>74</v>
      </c>
      <c r="T1058" t="s">
        <v>75</v>
      </c>
      <c r="X1058" t="s">
        <v>77</v>
      </c>
      <c r="Z1058" t="s">
        <v>72</v>
      </c>
      <c r="AA1058" t="s">
        <v>94</v>
      </c>
      <c r="AB1058">
        <v>5</v>
      </c>
      <c r="AC1058">
        <v>748763.89</v>
      </c>
      <c r="AD1058">
        <v>8930444.3499999996</v>
      </c>
      <c r="AE1058">
        <v>189.7</v>
      </c>
      <c r="AF1058">
        <v>748763.89</v>
      </c>
      <c r="AG1058">
        <v>8930444.3499999996</v>
      </c>
      <c r="AH1058">
        <v>179.4</v>
      </c>
      <c r="AI1058">
        <v>10.3</v>
      </c>
      <c r="AJ1058">
        <v>0.6</v>
      </c>
      <c r="AK1058">
        <v>3.37</v>
      </c>
      <c r="AL1058">
        <v>2.93</v>
      </c>
      <c r="AM1058">
        <v>0</v>
      </c>
      <c r="AN1058">
        <v>0</v>
      </c>
      <c r="AO1058">
        <v>358</v>
      </c>
      <c r="AP1058">
        <v>3.49</v>
      </c>
      <c r="AQ1058">
        <v>0.76</v>
      </c>
      <c r="AR1058">
        <v>0.13</v>
      </c>
      <c r="AS1058">
        <v>0.1</v>
      </c>
      <c r="AT1058">
        <v>21.56</v>
      </c>
      <c r="AU1058">
        <v>6.78</v>
      </c>
      <c r="AV1058">
        <v>0.36</v>
      </c>
      <c r="AW1058">
        <v>2.08</v>
      </c>
      <c r="AX1058">
        <v>8.39</v>
      </c>
      <c r="AY1058">
        <v>3.3</v>
      </c>
      <c r="AZ1058">
        <v>101.92</v>
      </c>
      <c r="BA1058">
        <v>0</v>
      </c>
      <c r="BB1058">
        <v>0</v>
      </c>
      <c r="BC1058">
        <v>0</v>
      </c>
      <c r="BD1058">
        <v>0</v>
      </c>
    </row>
    <row r="1059" spans="1:56" x14ac:dyDescent="0.25">
      <c r="A1059" s="23">
        <v>46304</v>
      </c>
      <c r="B1059">
        <v>1058</v>
      </c>
      <c r="C1059" t="s">
        <v>82</v>
      </c>
      <c r="D1059" t="s">
        <v>83</v>
      </c>
      <c r="E1059">
        <v>2</v>
      </c>
      <c r="F1059">
        <v>180</v>
      </c>
      <c r="G1059">
        <v>1</v>
      </c>
      <c r="H1059" t="s">
        <v>96</v>
      </c>
      <c r="I1059" t="s">
        <v>91</v>
      </c>
      <c r="J1059" t="s">
        <v>97</v>
      </c>
      <c r="K1059" t="s">
        <v>86</v>
      </c>
      <c r="L1059" t="s">
        <v>71</v>
      </c>
      <c r="M1059" t="s">
        <v>87</v>
      </c>
      <c r="O1059" t="s">
        <v>88</v>
      </c>
      <c r="P1059" t="s">
        <v>27</v>
      </c>
      <c r="Q1059" t="s">
        <v>73</v>
      </c>
      <c r="R1059" t="s">
        <v>76</v>
      </c>
      <c r="S1059" t="s">
        <v>74</v>
      </c>
      <c r="T1059" t="s">
        <v>75</v>
      </c>
      <c r="X1059" t="s">
        <v>77</v>
      </c>
      <c r="Z1059" t="s">
        <v>72</v>
      </c>
      <c r="AA1059" t="s">
        <v>94</v>
      </c>
      <c r="AB1059">
        <v>5</v>
      </c>
      <c r="AC1059">
        <v>748766.09</v>
      </c>
      <c r="AD1059">
        <v>8930446.9000000004</v>
      </c>
      <c r="AE1059">
        <v>189.87</v>
      </c>
      <c r="AF1059">
        <v>748766.09</v>
      </c>
      <c r="AG1059">
        <v>8930446.9000000004</v>
      </c>
      <c r="AH1059">
        <v>179.4</v>
      </c>
      <c r="AI1059">
        <v>10.47</v>
      </c>
      <c r="AJ1059">
        <v>0.6</v>
      </c>
      <c r="AK1059">
        <v>3.37</v>
      </c>
      <c r="AL1059">
        <v>2.93</v>
      </c>
      <c r="AM1059">
        <v>0</v>
      </c>
      <c r="AN1059">
        <v>0</v>
      </c>
      <c r="AO1059">
        <v>358</v>
      </c>
      <c r="AP1059">
        <v>3.49</v>
      </c>
      <c r="AQ1059">
        <v>0.76</v>
      </c>
      <c r="AR1059">
        <v>0.13</v>
      </c>
      <c r="AS1059">
        <v>0.1</v>
      </c>
      <c r="AT1059">
        <v>21.56</v>
      </c>
      <c r="AU1059">
        <v>6.78</v>
      </c>
      <c r="AV1059">
        <v>0.36</v>
      </c>
      <c r="AW1059">
        <v>2.08</v>
      </c>
      <c r="AX1059">
        <v>8.39</v>
      </c>
      <c r="AY1059">
        <v>3.3</v>
      </c>
      <c r="AZ1059">
        <v>104.395</v>
      </c>
      <c r="BA1059">
        <v>0</v>
      </c>
      <c r="BB1059">
        <v>0</v>
      </c>
      <c r="BC1059">
        <v>0</v>
      </c>
      <c r="BD1059">
        <v>0</v>
      </c>
    </row>
    <row r="1060" spans="1:56" x14ac:dyDescent="0.25">
      <c r="A1060" s="23">
        <v>46304</v>
      </c>
      <c r="B1060">
        <v>1059</v>
      </c>
      <c r="C1060" t="s">
        <v>82</v>
      </c>
      <c r="D1060" t="s">
        <v>83</v>
      </c>
      <c r="E1060">
        <v>2</v>
      </c>
      <c r="F1060">
        <v>180</v>
      </c>
      <c r="G1060">
        <v>1</v>
      </c>
      <c r="H1060" t="s">
        <v>96</v>
      </c>
      <c r="I1060" t="s">
        <v>91</v>
      </c>
      <c r="J1060" t="s">
        <v>97</v>
      </c>
      <c r="K1060" t="s">
        <v>86</v>
      </c>
      <c r="L1060" t="s">
        <v>71</v>
      </c>
      <c r="M1060" t="s">
        <v>87</v>
      </c>
      <c r="O1060" t="s">
        <v>88</v>
      </c>
      <c r="P1060" t="s">
        <v>27</v>
      </c>
      <c r="Q1060" t="s">
        <v>73</v>
      </c>
      <c r="R1060" t="s">
        <v>76</v>
      </c>
      <c r="S1060" t="s">
        <v>74</v>
      </c>
      <c r="T1060" t="s">
        <v>75</v>
      </c>
      <c r="X1060" t="s">
        <v>77</v>
      </c>
      <c r="Z1060" t="s">
        <v>72</v>
      </c>
      <c r="AA1060" t="s">
        <v>94</v>
      </c>
      <c r="AB1060">
        <v>5</v>
      </c>
      <c r="AC1060">
        <v>748768.28</v>
      </c>
      <c r="AD1060">
        <v>8930449.4600000009</v>
      </c>
      <c r="AE1060">
        <v>189.89</v>
      </c>
      <c r="AF1060">
        <v>748768.28</v>
      </c>
      <c r="AG1060">
        <v>8930449.4600000009</v>
      </c>
      <c r="AH1060">
        <v>179.4</v>
      </c>
      <c r="AI1060">
        <v>10.49</v>
      </c>
      <c r="AJ1060">
        <v>0.6</v>
      </c>
      <c r="AK1060">
        <v>3.37</v>
      </c>
      <c r="AL1060">
        <v>2.93</v>
      </c>
      <c r="AM1060">
        <v>0</v>
      </c>
      <c r="AN1060">
        <v>0</v>
      </c>
      <c r="AO1060">
        <v>358</v>
      </c>
      <c r="AP1060">
        <v>3.5</v>
      </c>
      <c r="AQ1060">
        <v>0.74</v>
      </c>
      <c r="AR1060">
        <v>0.13</v>
      </c>
      <c r="AS1060">
        <v>0.1</v>
      </c>
      <c r="AT1060">
        <v>21.65</v>
      </c>
      <c r="AU1060">
        <v>6.45</v>
      </c>
      <c r="AV1060">
        <v>0.37</v>
      </c>
      <c r="AW1060">
        <v>2.0299999999999998</v>
      </c>
      <c r="AX1060">
        <v>8.0399999999999991</v>
      </c>
      <c r="AY1060">
        <v>3.3</v>
      </c>
      <c r="AZ1060">
        <v>104.68600000000001</v>
      </c>
      <c r="BA1060">
        <v>0</v>
      </c>
      <c r="BB1060">
        <v>0</v>
      </c>
      <c r="BC1060">
        <v>0</v>
      </c>
      <c r="BD1060">
        <v>0</v>
      </c>
    </row>
    <row r="1061" spans="1:56" x14ac:dyDescent="0.25">
      <c r="A1061" s="23">
        <v>46304</v>
      </c>
      <c r="B1061">
        <v>1060</v>
      </c>
      <c r="C1061" t="s">
        <v>82</v>
      </c>
      <c r="D1061" t="s">
        <v>83</v>
      </c>
      <c r="E1061">
        <v>2</v>
      </c>
      <c r="F1061">
        <v>180</v>
      </c>
      <c r="G1061">
        <v>1</v>
      </c>
      <c r="H1061" t="s">
        <v>96</v>
      </c>
      <c r="I1061" t="s">
        <v>91</v>
      </c>
      <c r="J1061" t="s">
        <v>97</v>
      </c>
      <c r="K1061" t="s">
        <v>86</v>
      </c>
      <c r="L1061" t="s">
        <v>71</v>
      </c>
      <c r="M1061" t="s">
        <v>87</v>
      </c>
      <c r="O1061" t="s">
        <v>88</v>
      </c>
      <c r="P1061" t="s">
        <v>27</v>
      </c>
      <c r="Q1061" t="s">
        <v>73</v>
      </c>
      <c r="R1061" t="s">
        <v>76</v>
      </c>
      <c r="S1061" t="s">
        <v>74</v>
      </c>
      <c r="T1061" t="s">
        <v>75</v>
      </c>
      <c r="X1061" t="s">
        <v>77</v>
      </c>
      <c r="Z1061" t="s">
        <v>72</v>
      </c>
      <c r="AA1061" t="s">
        <v>94</v>
      </c>
      <c r="AB1061">
        <v>5</v>
      </c>
      <c r="AC1061">
        <v>748770.47</v>
      </c>
      <c r="AD1061">
        <v>8930452.0199999996</v>
      </c>
      <c r="AE1061">
        <v>189.96</v>
      </c>
      <c r="AF1061">
        <v>748770.47</v>
      </c>
      <c r="AG1061">
        <v>8930452.0199999996</v>
      </c>
      <c r="AH1061">
        <v>179.4</v>
      </c>
      <c r="AI1061">
        <v>10.56</v>
      </c>
      <c r="AJ1061">
        <v>0.6</v>
      </c>
      <c r="AK1061">
        <v>3.37</v>
      </c>
      <c r="AL1061">
        <v>2.93</v>
      </c>
      <c r="AM1061">
        <v>0</v>
      </c>
      <c r="AN1061">
        <v>0</v>
      </c>
      <c r="AO1061">
        <v>358</v>
      </c>
      <c r="AP1061">
        <v>3.47</v>
      </c>
      <c r="AQ1061">
        <v>0.76</v>
      </c>
      <c r="AR1061">
        <v>0.13</v>
      </c>
      <c r="AS1061">
        <v>0.1</v>
      </c>
      <c r="AT1061">
        <v>21.76</v>
      </c>
      <c r="AU1061">
        <v>6.61</v>
      </c>
      <c r="AV1061">
        <v>0.36</v>
      </c>
      <c r="AW1061">
        <v>2.12</v>
      </c>
      <c r="AX1061">
        <v>7.24</v>
      </c>
      <c r="AY1061">
        <v>3.3</v>
      </c>
      <c r="AZ1061">
        <v>105.706</v>
      </c>
      <c r="BA1061">
        <v>0</v>
      </c>
      <c r="BB1061">
        <v>0</v>
      </c>
      <c r="BC1061">
        <v>0</v>
      </c>
      <c r="BD1061">
        <v>0</v>
      </c>
    </row>
    <row r="1062" spans="1:56" x14ac:dyDescent="0.25">
      <c r="A1062" s="23">
        <v>46304</v>
      </c>
      <c r="B1062">
        <v>1061</v>
      </c>
      <c r="C1062" t="s">
        <v>82</v>
      </c>
      <c r="D1062" t="s">
        <v>83</v>
      </c>
      <c r="E1062">
        <v>2</v>
      </c>
      <c r="F1062">
        <v>180</v>
      </c>
      <c r="G1062">
        <v>1</v>
      </c>
      <c r="H1062" t="s">
        <v>96</v>
      </c>
      <c r="I1062" t="s">
        <v>91</v>
      </c>
      <c r="J1062" t="s">
        <v>97</v>
      </c>
      <c r="K1062" t="s">
        <v>86</v>
      </c>
      <c r="L1062" t="s">
        <v>71</v>
      </c>
      <c r="M1062" t="s">
        <v>87</v>
      </c>
      <c r="O1062" t="s">
        <v>88</v>
      </c>
      <c r="P1062" t="s">
        <v>27</v>
      </c>
      <c r="Q1062" t="s">
        <v>73</v>
      </c>
      <c r="R1062" t="s">
        <v>76</v>
      </c>
      <c r="S1062" t="s">
        <v>74</v>
      </c>
      <c r="T1062" t="s">
        <v>75</v>
      </c>
      <c r="X1062" t="s">
        <v>77</v>
      </c>
      <c r="Z1062" t="s">
        <v>72</v>
      </c>
      <c r="AA1062" t="s">
        <v>94</v>
      </c>
      <c r="AB1062">
        <v>5</v>
      </c>
      <c r="AC1062">
        <v>748772.67</v>
      </c>
      <c r="AD1062">
        <v>8930454.5800000001</v>
      </c>
      <c r="AE1062">
        <v>189.99</v>
      </c>
      <c r="AF1062">
        <v>748772.67</v>
      </c>
      <c r="AG1062">
        <v>8930454.5800000001</v>
      </c>
      <c r="AH1062">
        <v>179.4</v>
      </c>
      <c r="AI1062">
        <v>10.59</v>
      </c>
      <c r="AJ1062">
        <v>0.6</v>
      </c>
      <c r="AK1062">
        <v>3.37</v>
      </c>
      <c r="AL1062">
        <v>2.93</v>
      </c>
      <c r="AM1062">
        <v>0</v>
      </c>
      <c r="AN1062">
        <v>0</v>
      </c>
      <c r="AO1062">
        <v>358</v>
      </c>
      <c r="AP1062">
        <v>3.44</v>
      </c>
      <c r="AQ1062">
        <v>0.79</v>
      </c>
      <c r="AR1062">
        <v>0.12</v>
      </c>
      <c r="AS1062">
        <v>0.1</v>
      </c>
      <c r="AT1062">
        <v>21.72</v>
      </c>
      <c r="AU1062">
        <v>7.12</v>
      </c>
      <c r="AV1062">
        <v>0.35</v>
      </c>
      <c r="AW1062">
        <v>2.23</v>
      </c>
      <c r="AX1062">
        <v>7.11</v>
      </c>
      <c r="AY1062">
        <v>3.3</v>
      </c>
      <c r="AZ1062">
        <v>106.142</v>
      </c>
      <c r="BA1062">
        <v>0</v>
      </c>
      <c r="BB1062">
        <v>0</v>
      </c>
      <c r="BC1062">
        <v>0</v>
      </c>
      <c r="BD1062">
        <v>0</v>
      </c>
    </row>
    <row r="1063" spans="1:56" x14ac:dyDescent="0.25">
      <c r="A1063" s="23">
        <v>46304</v>
      </c>
      <c r="B1063">
        <v>1062</v>
      </c>
      <c r="C1063" t="s">
        <v>82</v>
      </c>
      <c r="D1063" t="s">
        <v>83</v>
      </c>
      <c r="E1063">
        <v>2</v>
      </c>
      <c r="F1063">
        <v>180</v>
      </c>
      <c r="G1063">
        <v>1</v>
      </c>
      <c r="H1063" t="s">
        <v>96</v>
      </c>
      <c r="I1063" t="s">
        <v>91</v>
      </c>
      <c r="J1063" t="s">
        <v>97</v>
      </c>
      <c r="K1063" t="s">
        <v>86</v>
      </c>
      <c r="L1063" t="s">
        <v>71</v>
      </c>
      <c r="M1063" t="s">
        <v>87</v>
      </c>
      <c r="O1063" t="s">
        <v>88</v>
      </c>
      <c r="P1063" t="s">
        <v>27</v>
      </c>
      <c r="Q1063" t="s">
        <v>73</v>
      </c>
      <c r="R1063" t="s">
        <v>76</v>
      </c>
      <c r="S1063" t="s">
        <v>74</v>
      </c>
      <c r="T1063" t="s">
        <v>75</v>
      </c>
      <c r="X1063" t="s">
        <v>77</v>
      </c>
      <c r="Z1063" t="s">
        <v>72</v>
      </c>
      <c r="AA1063" t="s">
        <v>94</v>
      </c>
      <c r="AB1063">
        <v>5</v>
      </c>
      <c r="AC1063">
        <v>748775.1</v>
      </c>
      <c r="AD1063">
        <v>8930456.8800000008</v>
      </c>
      <c r="AE1063">
        <v>190.05</v>
      </c>
      <c r="AF1063">
        <v>748775.1</v>
      </c>
      <c r="AG1063">
        <v>8930456.8800000008</v>
      </c>
      <c r="AH1063">
        <v>179.4</v>
      </c>
      <c r="AI1063">
        <v>10.65</v>
      </c>
      <c r="AJ1063">
        <v>0.6</v>
      </c>
      <c r="AK1063">
        <v>3.37</v>
      </c>
      <c r="AL1063">
        <v>2.93</v>
      </c>
      <c r="AM1063">
        <v>0</v>
      </c>
      <c r="AN1063">
        <v>0</v>
      </c>
      <c r="AO1063">
        <v>358</v>
      </c>
      <c r="AP1063">
        <v>3.44</v>
      </c>
      <c r="AQ1063">
        <v>0.79</v>
      </c>
      <c r="AR1063">
        <v>0.12</v>
      </c>
      <c r="AS1063">
        <v>0.1</v>
      </c>
      <c r="AT1063">
        <v>21.73</v>
      </c>
      <c r="AU1063">
        <v>7.12</v>
      </c>
      <c r="AV1063">
        <v>0.35</v>
      </c>
      <c r="AW1063">
        <v>2.23</v>
      </c>
      <c r="AX1063">
        <v>7.11</v>
      </c>
      <c r="AY1063">
        <v>3.3</v>
      </c>
      <c r="AZ1063">
        <v>107.01600000000001</v>
      </c>
      <c r="BA1063">
        <v>0</v>
      </c>
      <c r="BB1063">
        <v>0</v>
      </c>
      <c r="BC1063">
        <v>0</v>
      </c>
      <c r="BD1063">
        <v>0</v>
      </c>
    </row>
    <row r="1064" spans="1:56" x14ac:dyDescent="0.25">
      <c r="A1064" s="23">
        <v>46304</v>
      </c>
      <c r="B1064">
        <v>1063</v>
      </c>
      <c r="C1064" t="s">
        <v>82</v>
      </c>
      <c r="D1064" t="s">
        <v>83</v>
      </c>
      <c r="E1064">
        <v>2</v>
      </c>
      <c r="F1064">
        <v>180</v>
      </c>
      <c r="G1064">
        <v>1</v>
      </c>
      <c r="H1064" t="s">
        <v>96</v>
      </c>
      <c r="I1064" t="s">
        <v>91</v>
      </c>
      <c r="J1064" t="s">
        <v>97</v>
      </c>
      <c r="K1064" t="s">
        <v>86</v>
      </c>
      <c r="L1064" t="s">
        <v>71</v>
      </c>
      <c r="M1064" t="s">
        <v>87</v>
      </c>
      <c r="O1064" t="s">
        <v>88</v>
      </c>
      <c r="P1064" t="s">
        <v>27</v>
      </c>
      <c r="Q1064" t="s">
        <v>73</v>
      </c>
      <c r="R1064" t="s">
        <v>76</v>
      </c>
      <c r="S1064" t="s">
        <v>74</v>
      </c>
      <c r="T1064" t="s">
        <v>75</v>
      </c>
      <c r="X1064" t="s">
        <v>77</v>
      </c>
      <c r="Z1064" t="s">
        <v>72</v>
      </c>
      <c r="AA1064" t="s">
        <v>94</v>
      </c>
      <c r="AB1064">
        <v>5</v>
      </c>
      <c r="AC1064">
        <v>748777.84</v>
      </c>
      <c r="AD1064">
        <v>8930458.8399999999</v>
      </c>
      <c r="AE1064">
        <v>189.89</v>
      </c>
      <c r="AF1064">
        <v>748777.84</v>
      </c>
      <c r="AG1064">
        <v>8930458.8399999999</v>
      </c>
      <c r="AH1064">
        <v>179.4</v>
      </c>
      <c r="AI1064">
        <v>10.49</v>
      </c>
      <c r="AJ1064">
        <v>0.6</v>
      </c>
      <c r="AK1064">
        <v>3.37</v>
      </c>
      <c r="AL1064">
        <v>2.93</v>
      </c>
      <c r="AM1064">
        <v>0</v>
      </c>
      <c r="AN1064">
        <v>0</v>
      </c>
      <c r="AO1064">
        <v>358</v>
      </c>
      <c r="AP1064">
        <v>3.44</v>
      </c>
      <c r="AQ1064">
        <v>0.77</v>
      </c>
      <c r="AR1064">
        <v>0.12</v>
      </c>
      <c r="AS1064">
        <v>0.1</v>
      </c>
      <c r="AT1064">
        <v>21.39</v>
      </c>
      <c r="AU1064">
        <v>7.05</v>
      </c>
      <c r="AV1064">
        <v>0.35</v>
      </c>
      <c r="AW1064">
        <v>2.2000000000000002</v>
      </c>
      <c r="AX1064">
        <v>7.22</v>
      </c>
      <c r="AY1064">
        <v>3.3</v>
      </c>
      <c r="AZ1064">
        <v>104.68600000000001</v>
      </c>
      <c r="BA1064">
        <v>0</v>
      </c>
      <c r="BB1064">
        <v>0</v>
      </c>
      <c r="BC1064">
        <v>0</v>
      </c>
      <c r="BD1064">
        <v>0</v>
      </c>
    </row>
    <row r="1065" spans="1:56" x14ac:dyDescent="0.25">
      <c r="A1065" s="23">
        <v>46304</v>
      </c>
      <c r="B1065">
        <v>1064</v>
      </c>
      <c r="C1065" t="s">
        <v>82</v>
      </c>
      <c r="D1065" t="s">
        <v>83</v>
      </c>
      <c r="E1065">
        <v>2</v>
      </c>
      <c r="F1065">
        <v>180</v>
      </c>
      <c r="G1065">
        <v>1</v>
      </c>
      <c r="H1065" t="s">
        <v>96</v>
      </c>
      <c r="I1065" t="s">
        <v>91</v>
      </c>
      <c r="J1065" t="s">
        <v>97</v>
      </c>
      <c r="K1065" t="s">
        <v>86</v>
      </c>
      <c r="L1065" t="s">
        <v>71</v>
      </c>
      <c r="M1065" t="s">
        <v>87</v>
      </c>
      <c r="O1065" t="s">
        <v>88</v>
      </c>
      <c r="P1065" t="s">
        <v>27</v>
      </c>
      <c r="Q1065" t="s">
        <v>73</v>
      </c>
      <c r="R1065" t="s">
        <v>76</v>
      </c>
      <c r="S1065" t="s">
        <v>74</v>
      </c>
      <c r="T1065" t="s">
        <v>75</v>
      </c>
      <c r="X1065" t="s">
        <v>77</v>
      </c>
      <c r="Z1065" t="s">
        <v>72</v>
      </c>
      <c r="AA1065" t="s">
        <v>94</v>
      </c>
      <c r="AB1065">
        <v>5</v>
      </c>
      <c r="AC1065">
        <v>748780.59</v>
      </c>
      <c r="AD1065">
        <v>8930460.7899999991</v>
      </c>
      <c r="AE1065">
        <v>189.97</v>
      </c>
      <c r="AF1065">
        <v>748780.59</v>
      </c>
      <c r="AG1065">
        <v>8930460.7899999991</v>
      </c>
      <c r="AH1065">
        <v>179.4</v>
      </c>
      <c r="AI1065">
        <v>10.57</v>
      </c>
      <c r="AJ1065">
        <v>0.6</v>
      </c>
      <c r="AK1065">
        <v>3.37</v>
      </c>
      <c r="AL1065">
        <v>2.93</v>
      </c>
      <c r="AM1065">
        <v>0</v>
      </c>
      <c r="AN1065">
        <v>0</v>
      </c>
      <c r="AO1065">
        <v>358</v>
      </c>
      <c r="AP1065">
        <v>3.43</v>
      </c>
      <c r="AQ1065">
        <v>0.71</v>
      </c>
      <c r="AR1065">
        <v>0.1</v>
      </c>
      <c r="AS1065">
        <v>0.09</v>
      </c>
      <c r="AT1065">
        <v>19.52</v>
      </c>
      <c r="AU1065">
        <v>6.83</v>
      </c>
      <c r="AV1065">
        <v>0.33</v>
      </c>
      <c r="AW1065">
        <v>2.1800000000000002</v>
      </c>
      <c r="AX1065">
        <v>2.48</v>
      </c>
      <c r="AY1065">
        <v>3.3</v>
      </c>
      <c r="AZ1065">
        <v>105.851</v>
      </c>
      <c r="BA1065">
        <v>0</v>
      </c>
      <c r="BB1065">
        <v>0</v>
      </c>
      <c r="BC1065">
        <v>0</v>
      </c>
      <c r="BD1065">
        <v>0</v>
      </c>
    </row>
    <row r="1066" spans="1:56" x14ac:dyDescent="0.25">
      <c r="A1066" s="23">
        <v>46304</v>
      </c>
      <c r="B1066">
        <v>1065</v>
      </c>
      <c r="C1066" t="s">
        <v>82</v>
      </c>
      <c r="D1066" t="s">
        <v>83</v>
      </c>
      <c r="E1066">
        <v>2</v>
      </c>
      <c r="F1066">
        <v>180</v>
      </c>
      <c r="G1066">
        <v>1</v>
      </c>
      <c r="H1066" t="s">
        <v>96</v>
      </c>
      <c r="I1066" t="s">
        <v>91</v>
      </c>
      <c r="J1066" t="s">
        <v>85</v>
      </c>
      <c r="K1066" t="s">
        <v>86</v>
      </c>
      <c r="L1066" t="s">
        <v>71</v>
      </c>
      <c r="M1066" t="s">
        <v>87</v>
      </c>
      <c r="O1066" t="s">
        <v>88</v>
      </c>
      <c r="P1066" t="s">
        <v>27</v>
      </c>
      <c r="Q1066" t="s">
        <v>73</v>
      </c>
      <c r="R1066" t="s">
        <v>76</v>
      </c>
      <c r="S1066" t="s">
        <v>74</v>
      </c>
      <c r="T1066" t="s">
        <v>75</v>
      </c>
      <c r="X1066" t="s">
        <v>77</v>
      </c>
      <c r="Z1066" t="s">
        <v>72</v>
      </c>
      <c r="AA1066" t="s">
        <v>94</v>
      </c>
      <c r="AB1066">
        <v>5</v>
      </c>
      <c r="AC1066">
        <v>748783.42</v>
      </c>
      <c r="AD1066">
        <v>8930462.6199999992</v>
      </c>
      <c r="AE1066">
        <v>190.08</v>
      </c>
      <c r="AF1066">
        <v>748783.42</v>
      </c>
      <c r="AG1066">
        <v>8930462.6199999992</v>
      </c>
      <c r="AH1066">
        <v>179.4</v>
      </c>
      <c r="AI1066">
        <v>10.68</v>
      </c>
      <c r="AJ1066">
        <v>0.6</v>
      </c>
      <c r="AK1066">
        <v>3.37</v>
      </c>
      <c r="AL1066">
        <v>2.93</v>
      </c>
      <c r="AM1066">
        <v>0</v>
      </c>
      <c r="AN1066">
        <v>0</v>
      </c>
      <c r="AO1066">
        <v>358</v>
      </c>
      <c r="AP1066">
        <v>3.43</v>
      </c>
      <c r="AQ1066">
        <v>0.69</v>
      </c>
      <c r="AR1066">
        <v>0.08</v>
      </c>
      <c r="AS1066">
        <v>0.08</v>
      </c>
      <c r="AT1066">
        <v>19.23</v>
      </c>
      <c r="AU1066">
        <v>6.74</v>
      </c>
      <c r="AV1066">
        <v>0.31</v>
      </c>
      <c r="AW1066">
        <v>2.1800000000000002</v>
      </c>
      <c r="AX1066">
        <v>0.06</v>
      </c>
      <c r="AY1066">
        <v>3.3</v>
      </c>
      <c r="AZ1066">
        <v>107.453</v>
      </c>
      <c r="BA1066">
        <v>0</v>
      </c>
      <c r="BB1066">
        <v>0</v>
      </c>
      <c r="BC1066">
        <v>0</v>
      </c>
      <c r="BD1066">
        <v>0</v>
      </c>
    </row>
    <row r="1067" spans="1:56" x14ac:dyDescent="0.25">
      <c r="A1067" s="23">
        <v>46304</v>
      </c>
      <c r="B1067">
        <v>1066</v>
      </c>
      <c r="C1067" t="s">
        <v>82</v>
      </c>
      <c r="D1067" t="s">
        <v>83</v>
      </c>
      <c r="E1067">
        <v>2</v>
      </c>
      <c r="F1067">
        <v>180</v>
      </c>
      <c r="G1067">
        <v>1</v>
      </c>
      <c r="H1067" t="s">
        <v>96</v>
      </c>
      <c r="I1067" t="s">
        <v>91</v>
      </c>
      <c r="J1067" t="s">
        <v>85</v>
      </c>
      <c r="K1067" t="s">
        <v>86</v>
      </c>
      <c r="L1067" t="s">
        <v>71</v>
      </c>
      <c r="M1067" t="s">
        <v>87</v>
      </c>
      <c r="O1067" t="s">
        <v>88</v>
      </c>
      <c r="P1067" t="s">
        <v>27</v>
      </c>
      <c r="Q1067" t="s">
        <v>73</v>
      </c>
      <c r="R1067" t="s">
        <v>76</v>
      </c>
      <c r="S1067" t="s">
        <v>74</v>
      </c>
      <c r="T1067" t="s">
        <v>75</v>
      </c>
      <c r="X1067" t="s">
        <v>77</v>
      </c>
      <c r="Z1067" t="s">
        <v>72</v>
      </c>
      <c r="AA1067" t="s">
        <v>94</v>
      </c>
      <c r="AB1067">
        <v>5</v>
      </c>
      <c r="AC1067">
        <v>748786.25</v>
      </c>
      <c r="AD1067">
        <v>8930464.4399999995</v>
      </c>
      <c r="AE1067">
        <v>190.11</v>
      </c>
      <c r="AF1067">
        <v>748786.25</v>
      </c>
      <c r="AG1067">
        <v>8930464.4399999995</v>
      </c>
      <c r="AH1067">
        <v>179.4</v>
      </c>
      <c r="AI1067">
        <v>10.71</v>
      </c>
      <c r="AJ1067">
        <v>0.6</v>
      </c>
      <c r="AK1067">
        <v>3.37</v>
      </c>
      <c r="AL1067">
        <v>2.93</v>
      </c>
      <c r="AM1067">
        <v>0</v>
      </c>
      <c r="AN1067">
        <v>0</v>
      </c>
      <c r="AO1067">
        <v>358</v>
      </c>
      <c r="AP1067">
        <v>3.43</v>
      </c>
      <c r="AQ1067">
        <v>0.69</v>
      </c>
      <c r="AR1067">
        <v>0.08</v>
      </c>
      <c r="AS1067">
        <v>0.08</v>
      </c>
      <c r="AT1067">
        <v>19.239999999999998</v>
      </c>
      <c r="AU1067">
        <v>6.74</v>
      </c>
      <c r="AV1067">
        <v>0.32</v>
      </c>
      <c r="AW1067">
        <v>2.1800000000000002</v>
      </c>
      <c r="AX1067">
        <v>0.08</v>
      </c>
      <c r="AY1067">
        <v>3.3</v>
      </c>
      <c r="AZ1067">
        <v>107.89</v>
      </c>
      <c r="BA1067">
        <v>0</v>
      </c>
      <c r="BB1067">
        <v>0</v>
      </c>
      <c r="BC1067">
        <v>0</v>
      </c>
      <c r="BD1067">
        <v>0</v>
      </c>
    </row>
    <row r="1068" spans="1:56" x14ac:dyDescent="0.25">
      <c r="A1068" s="23">
        <v>46304</v>
      </c>
      <c r="B1068">
        <v>1067</v>
      </c>
      <c r="C1068" t="s">
        <v>82</v>
      </c>
      <c r="D1068" t="s">
        <v>83</v>
      </c>
      <c r="E1068">
        <v>2</v>
      </c>
      <c r="F1068">
        <v>180</v>
      </c>
      <c r="G1068">
        <v>1</v>
      </c>
      <c r="H1068" t="s">
        <v>96</v>
      </c>
      <c r="I1068" t="s">
        <v>91</v>
      </c>
      <c r="J1068" t="s">
        <v>85</v>
      </c>
      <c r="K1068" t="s">
        <v>86</v>
      </c>
      <c r="L1068" t="s">
        <v>71</v>
      </c>
      <c r="M1068" t="s">
        <v>87</v>
      </c>
      <c r="O1068" t="s">
        <v>88</v>
      </c>
      <c r="P1068" t="s">
        <v>27</v>
      </c>
      <c r="Q1068" t="s">
        <v>73</v>
      </c>
      <c r="R1068" t="s">
        <v>76</v>
      </c>
      <c r="S1068" t="s">
        <v>74</v>
      </c>
      <c r="T1068" t="s">
        <v>75</v>
      </c>
      <c r="X1068" t="s">
        <v>77</v>
      </c>
      <c r="Z1068" t="s">
        <v>72</v>
      </c>
      <c r="AA1068" t="s">
        <v>94</v>
      </c>
      <c r="AB1068">
        <v>5</v>
      </c>
      <c r="AC1068">
        <v>748789.09</v>
      </c>
      <c r="AD1068">
        <v>8930466.2699999996</v>
      </c>
      <c r="AE1068">
        <v>190.19</v>
      </c>
      <c r="AF1068">
        <v>748789.09</v>
      </c>
      <c r="AG1068">
        <v>8930466.2699999996</v>
      </c>
      <c r="AH1068">
        <v>179.4</v>
      </c>
      <c r="AI1068">
        <v>10.79</v>
      </c>
      <c r="AJ1068">
        <v>0.6</v>
      </c>
      <c r="AK1068">
        <v>3.37</v>
      </c>
      <c r="AL1068">
        <v>2.93</v>
      </c>
      <c r="AM1068">
        <v>0</v>
      </c>
      <c r="AN1068">
        <v>0</v>
      </c>
      <c r="AO1068">
        <v>358</v>
      </c>
      <c r="AP1068">
        <v>3.4</v>
      </c>
      <c r="AQ1068">
        <v>0.67</v>
      </c>
      <c r="AR1068">
        <v>0.08</v>
      </c>
      <c r="AS1068">
        <v>0.08</v>
      </c>
      <c r="AT1068">
        <v>18.96</v>
      </c>
      <c r="AU1068">
        <v>6.77</v>
      </c>
      <c r="AV1068">
        <v>0.31</v>
      </c>
      <c r="AW1068">
        <v>2.15</v>
      </c>
      <c r="AX1068">
        <v>0.14000000000000001</v>
      </c>
      <c r="AY1068">
        <v>3.3</v>
      </c>
      <c r="AZ1068">
        <v>109.054</v>
      </c>
      <c r="BA1068">
        <v>0</v>
      </c>
      <c r="BB1068">
        <v>0</v>
      </c>
      <c r="BC1068">
        <v>0</v>
      </c>
      <c r="BD1068">
        <v>0</v>
      </c>
    </row>
    <row r="1069" spans="1:56" x14ac:dyDescent="0.25">
      <c r="A1069" s="23">
        <v>46304</v>
      </c>
      <c r="B1069">
        <v>1068</v>
      </c>
      <c r="C1069" t="s">
        <v>82</v>
      </c>
      <c r="D1069" t="s">
        <v>83</v>
      </c>
      <c r="E1069">
        <v>2</v>
      </c>
      <c r="F1069">
        <v>180</v>
      </c>
      <c r="G1069">
        <v>1</v>
      </c>
      <c r="H1069" t="s">
        <v>96</v>
      </c>
      <c r="I1069" t="s">
        <v>91</v>
      </c>
      <c r="J1069" t="s">
        <v>85</v>
      </c>
      <c r="K1069" t="s">
        <v>86</v>
      </c>
      <c r="L1069" t="s">
        <v>71</v>
      </c>
      <c r="M1069" t="s">
        <v>87</v>
      </c>
      <c r="O1069" t="s">
        <v>88</v>
      </c>
      <c r="P1069" t="s">
        <v>27</v>
      </c>
      <c r="Q1069" t="s">
        <v>73</v>
      </c>
      <c r="R1069" t="s">
        <v>76</v>
      </c>
      <c r="S1069" t="s">
        <v>74</v>
      </c>
      <c r="T1069" t="s">
        <v>75</v>
      </c>
      <c r="X1069" t="s">
        <v>77</v>
      </c>
      <c r="Z1069" t="s">
        <v>72</v>
      </c>
      <c r="AA1069" t="s">
        <v>94</v>
      </c>
      <c r="AB1069">
        <v>5</v>
      </c>
      <c r="AC1069">
        <v>748791.92</v>
      </c>
      <c r="AD1069">
        <v>8930468.0899999999</v>
      </c>
      <c r="AE1069">
        <v>190.49</v>
      </c>
      <c r="AF1069">
        <v>748791.92</v>
      </c>
      <c r="AG1069">
        <v>8930468.0899999999</v>
      </c>
      <c r="AH1069">
        <v>179.4</v>
      </c>
      <c r="AI1069">
        <v>11.09</v>
      </c>
      <c r="AJ1069">
        <v>0.6</v>
      </c>
      <c r="AK1069">
        <v>3.37</v>
      </c>
      <c r="AL1069">
        <v>2.93</v>
      </c>
      <c r="AM1069">
        <v>0</v>
      </c>
      <c r="AN1069">
        <v>0</v>
      </c>
      <c r="AO1069">
        <v>358</v>
      </c>
      <c r="AP1069">
        <v>3.31</v>
      </c>
      <c r="AQ1069">
        <v>0.62</v>
      </c>
      <c r="AR1069">
        <v>0.08</v>
      </c>
      <c r="AS1069">
        <v>0.08</v>
      </c>
      <c r="AT1069">
        <v>18.02</v>
      </c>
      <c r="AU1069">
        <v>6.86</v>
      </c>
      <c r="AV1069">
        <v>0.3</v>
      </c>
      <c r="AW1069">
        <v>2.0699999999999998</v>
      </c>
      <c r="AX1069">
        <v>0.33</v>
      </c>
      <c r="AY1069">
        <v>3.3</v>
      </c>
      <c r="AZ1069">
        <v>113.422</v>
      </c>
      <c r="BA1069">
        <v>0</v>
      </c>
      <c r="BB1069">
        <v>0</v>
      </c>
      <c r="BC1069">
        <v>0</v>
      </c>
      <c r="BD1069">
        <v>0</v>
      </c>
    </row>
    <row r="1070" spans="1:56" x14ac:dyDescent="0.25">
      <c r="A1070" s="23">
        <v>46304</v>
      </c>
      <c r="B1070">
        <v>1069</v>
      </c>
      <c r="C1070" t="s">
        <v>82</v>
      </c>
      <c r="D1070" t="s">
        <v>83</v>
      </c>
      <c r="E1070">
        <v>2</v>
      </c>
      <c r="F1070">
        <v>180</v>
      </c>
      <c r="G1070">
        <v>1</v>
      </c>
      <c r="H1070" t="s">
        <v>96</v>
      </c>
      <c r="I1070" t="s">
        <v>91</v>
      </c>
      <c r="J1070" t="s">
        <v>85</v>
      </c>
      <c r="K1070" t="s">
        <v>86</v>
      </c>
      <c r="L1070" t="s">
        <v>71</v>
      </c>
      <c r="M1070" t="s">
        <v>87</v>
      </c>
      <c r="O1070" t="s">
        <v>88</v>
      </c>
      <c r="P1070" t="s">
        <v>27</v>
      </c>
      <c r="Q1070" t="s">
        <v>73</v>
      </c>
      <c r="R1070" t="s">
        <v>76</v>
      </c>
      <c r="S1070" t="s">
        <v>74</v>
      </c>
      <c r="T1070" t="s">
        <v>75</v>
      </c>
      <c r="X1070" t="s">
        <v>77</v>
      </c>
      <c r="Z1070" t="s">
        <v>72</v>
      </c>
      <c r="AA1070" t="s">
        <v>94</v>
      </c>
      <c r="AB1070">
        <v>5</v>
      </c>
      <c r="AC1070">
        <v>748795</v>
      </c>
      <c r="AD1070">
        <v>8930469.3499999996</v>
      </c>
      <c r="AE1070">
        <v>190.57</v>
      </c>
      <c r="AF1070">
        <v>748795</v>
      </c>
      <c r="AG1070">
        <v>8930469.3499999996</v>
      </c>
      <c r="AH1070">
        <v>179.4</v>
      </c>
      <c r="AI1070">
        <v>11.17</v>
      </c>
      <c r="AJ1070">
        <v>0.6</v>
      </c>
      <c r="AK1070">
        <v>3.37</v>
      </c>
      <c r="AL1070">
        <v>2.93</v>
      </c>
      <c r="AM1070">
        <v>0</v>
      </c>
      <c r="AN1070">
        <v>0</v>
      </c>
      <c r="AO1070">
        <v>358</v>
      </c>
      <c r="AP1070">
        <v>3.33</v>
      </c>
      <c r="AQ1070">
        <v>0.63</v>
      </c>
      <c r="AR1070">
        <v>0.09</v>
      </c>
      <c r="AS1070">
        <v>0.08</v>
      </c>
      <c r="AT1070">
        <v>18.059999999999999</v>
      </c>
      <c r="AU1070">
        <v>6.73</v>
      </c>
      <c r="AV1070">
        <v>0.31</v>
      </c>
      <c r="AW1070">
        <v>2.04</v>
      </c>
      <c r="AX1070">
        <v>0.37</v>
      </c>
      <c r="AY1070">
        <v>3.3</v>
      </c>
      <c r="AZ1070">
        <v>114.587</v>
      </c>
      <c r="BA1070">
        <v>0</v>
      </c>
      <c r="BB1070">
        <v>0</v>
      </c>
      <c r="BC1070">
        <v>0</v>
      </c>
      <c r="BD1070">
        <v>0</v>
      </c>
    </row>
    <row r="1071" spans="1:56" x14ac:dyDescent="0.25">
      <c r="A1071" s="23">
        <v>46304</v>
      </c>
      <c r="B1071">
        <v>1070</v>
      </c>
      <c r="C1071" t="s">
        <v>82</v>
      </c>
      <c r="D1071" t="s">
        <v>83</v>
      </c>
      <c r="E1071">
        <v>2</v>
      </c>
      <c r="F1071">
        <v>180</v>
      </c>
      <c r="G1071">
        <v>1</v>
      </c>
      <c r="H1071" t="s">
        <v>96</v>
      </c>
      <c r="I1071" t="s">
        <v>91</v>
      </c>
      <c r="J1071" t="s">
        <v>85</v>
      </c>
      <c r="K1071" t="s">
        <v>86</v>
      </c>
      <c r="L1071" t="s">
        <v>71</v>
      </c>
      <c r="M1071" t="s">
        <v>87</v>
      </c>
      <c r="O1071" t="s">
        <v>88</v>
      </c>
      <c r="P1071" t="s">
        <v>27</v>
      </c>
      <c r="Q1071" t="s">
        <v>73</v>
      </c>
      <c r="R1071" t="s">
        <v>76</v>
      </c>
      <c r="S1071" t="s">
        <v>74</v>
      </c>
      <c r="T1071" t="s">
        <v>75</v>
      </c>
      <c r="X1071" t="s">
        <v>77</v>
      </c>
      <c r="Z1071" t="s">
        <v>72</v>
      </c>
      <c r="AA1071" t="s">
        <v>94</v>
      </c>
      <c r="AB1071">
        <v>5</v>
      </c>
      <c r="AC1071">
        <v>748800.15</v>
      </c>
      <c r="AD1071">
        <v>8930470.3900000006</v>
      </c>
      <c r="AE1071">
        <v>193.56</v>
      </c>
      <c r="AF1071">
        <v>748799.05</v>
      </c>
      <c r="AG1071">
        <v>8930469.8100000005</v>
      </c>
      <c r="AH1071">
        <v>179.4</v>
      </c>
      <c r="AI1071">
        <v>14.21</v>
      </c>
      <c r="AJ1071">
        <v>0.6</v>
      </c>
      <c r="AK1071">
        <v>3.37</v>
      </c>
      <c r="AL1071">
        <v>2.93</v>
      </c>
      <c r="AM1071">
        <v>242</v>
      </c>
      <c r="AN1071">
        <v>5</v>
      </c>
      <c r="AO1071">
        <v>358</v>
      </c>
      <c r="AP1071">
        <v>3.36</v>
      </c>
      <c r="AQ1071">
        <v>0.67</v>
      </c>
      <c r="AR1071">
        <v>0.09</v>
      </c>
      <c r="AS1071">
        <v>0.08</v>
      </c>
      <c r="AT1071">
        <v>18.440000000000001</v>
      </c>
      <c r="AU1071">
        <v>6.69</v>
      </c>
      <c r="AV1071">
        <v>0.31</v>
      </c>
      <c r="AW1071">
        <v>2.13</v>
      </c>
      <c r="AX1071">
        <v>1.81</v>
      </c>
      <c r="AY1071">
        <v>3.3</v>
      </c>
      <c r="AZ1071">
        <v>158.85</v>
      </c>
      <c r="BA1071">
        <v>0</v>
      </c>
      <c r="BB1071">
        <v>0</v>
      </c>
      <c r="BC1071">
        <v>0</v>
      </c>
      <c r="BD1071">
        <v>0</v>
      </c>
    </row>
    <row r="1072" spans="1:56" x14ac:dyDescent="0.25">
      <c r="A1072" s="23">
        <v>46304</v>
      </c>
      <c r="B1072">
        <v>1071</v>
      </c>
      <c r="C1072" t="s">
        <v>82</v>
      </c>
      <c r="D1072" t="s">
        <v>83</v>
      </c>
      <c r="E1072">
        <v>2</v>
      </c>
      <c r="F1072">
        <v>180</v>
      </c>
      <c r="G1072">
        <v>1</v>
      </c>
      <c r="H1072" t="s">
        <v>96</v>
      </c>
      <c r="I1072" t="s">
        <v>91</v>
      </c>
      <c r="J1072" t="s">
        <v>85</v>
      </c>
      <c r="K1072" t="s">
        <v>86</v>
      </c>
      <c r="L1072" t="s">
        <v>71</v>
      </c>
      <c r="M1072" t="s">
        <v>87</v>
      </c>
      <c r="O1072" t="s">
        <v>88</v>
      </c>
      <c r="P1072" t="s">
        <v>27</v>
      </c>
      <c r="Q1072" t="s">
        <v>73</v>
      </c>
      <c r="R1072" t="s">
        <v>76</v>
      </c>
      <c r="S1072" t="s">
        <v>74</v>
      </c>
      <c r="T1072" t="s">
        <v>75</v>
      </c>
      <c r="X1072" t="s">
        <v>77</v>
      </c>
      <c r="Z1072" t="s">
        <v>72</v>
      </c>
      <c r="AA1072" t="s">
        <v>94</v>
      </c>
      <c r="AB1072">
        <v>5</v>
      </c>
      <c r="AC1072">
        <v>748801.58</v>
      </c>
      <c r="AD1072">
        <v>8930470.7899999991</v>
      </c>
      <c r="AE1072">
        <v>194.39</v>
      </c>
      <c r="AF1072">
        <v>748801.58</v>
      </c>
      <c r="AG1072">
        <v>8930470.7899999991</v>
      </c>
      <c r="AH1072">
        <v>179.4</v>
      </c>
      <c r="AI1072">
        <v>14.99</v>
      </c>
      <c r="AJ1072">
        <v>0.6</v>
      </c>
      <c r="AK1072">
        <v>3.37</v>
      </c>
      <c r="AL1072">
        <v>2.93</v>
      </c>
      <c r="AM1072">
        <v>0</v>
      </c>
      <c r="AN1072">
        <v>0</v>
      </c>
      <c r="AO1072">
        <v>358</v>
      </c>
      <c r="AP1072">
        <v>3.36</v>
      </c>
      <c r="AQ1072">
        <v>0.67</v>
      </c>
      <c r="AR1072">
        <v>0.09</v>
      </c>
      <c r="AS1072">
        <v>0.08</v>
      </c>
      <c r="AT1072">
        <v>18.440000000000001</v>
      </c>
      <c r="AU1072">
        <v>6.69</v>
      </c>
      <c r="AV1072">
        <v>0.31</v>
      </c>
      <c r="AW1072">
        <v>2.13</v>
      </c>
      <c r="AX1072">
        <v>1.81</v>
      </c>
      <c r="AY1072">
        <v>3.3</v>
      </c>
      <c r="AZ1072">
        <v>170.20599999999999</v>
      </c>
      <c r="BA1072">
        <v>0</v>
      </c>
      <c r="BB1072">
        <v>0</v>
      </c>
      <c r="BC1072">
        <v>0</v>
      </c>
      <c r="BD1072">
        <v>0</v>
      </c>
    </row>
    <row r="1073" spans="1:56" x14ac:dyDescent="0.25">
      <c r="A1073" s="23">
        <v>46304</v>
      </c>
      <c r="B1073">
        <v>1072</v>
      </c>
      <c r="C1073" t="s">
        <v>82</v>
      </c>
      <c r="D1073" t="s">
        <v>83</v>
      </c>
      <c r="E1073">
        <v>2</v>
      </c>
      <c r="F1073">
        <v>180</v>
      </c>
      <c r="G1073">
        <v>1</v>
      </c>
      <c r="H1073" t="s">
        <v>96</v>
      </c>
      <c r="I1073" t="s">
        <v>91</v>
      </c>
      <c r="J1073" t="s">
        <v>85</v>
      </c>
      <c r="K1073" t="s">
        <v>86</v>
      </c>
      <c r="L1073" t="s">
        <v>71</v>
      </c>
      <c r="M1073" t="s">
        <v>87</v>
      </c>
      <c r="O1073" t="s">
        <v>88</v>
      </c>
      <c r="P1073" t="s">
        <v>27</v>
      </c>
      <c r="Q1073" t="s">
        <v>73</v>
      </c>
      <c r="R1073" t="s">
        <v>76</v>
      </c>
      <c r="S1073" t="s">
        <v>74</v>
      </c>
      <c r="T1073" t="s">
        <v>75</v>
      </c>
      <c r="X1073" t="s">
        <v>77</v>
      </c>
      <c r="Z1073" t="s">
        <v>72</v>
      </c>
      <c r="AA1073" t="s">
        <v>94</v>
      </c>
      <c r="AB1073">
        <v>5</v>
      </c>
      <c r="AC1073">
        <v>748804.89</v>
      </c>
      <c r="AD1073">
        <v>8930471.4100000001</v>
      </c>
      <c r="AE1073">
        <v>194.58</v>
      </c>
      <c r="AF1073">
        <v>748804.89</v>
      </c>
      <c r="AG1073">
        <v>8930471.4100000001</v>
      </c>
      <c r="AH1073">
        <v>179.4</v>
      </c>
      <c r="AI1073">
        <v>15.18</v>
      </c>
      <c r="AJ1073">
        <v>0.6</v>
      </c>
      <c r="AK1073">
        <v>3.37</v>
      </c>
      <c r="AL1073">
        <v>2.93</v>
      </c>
      <c r="AM1073">
        <v>0</v>
      </c>
      <c r="AN1073">
        <v>0</v>
      </c>
      <c r="AO1073">
        <v>358</v>
      </c>
      <c r="AP1073">
        <v>3.36</v>
      </c>
      <c r="AQ1073">
        <v>0.67</v>
      </c>
      <c r="AR1073">
        <v>0.09</v>
      </c>
      <c r="AS1073">
        <v>0.08</v>
      </c>
      <c r="AT1073">
        <v>18.100000000000001</v>
      </c>
      <c r="AU1073">
        <v>6.52</v>
      </c>
      <c r="AV1073">
        <v>0.31</v>
      </c>
      <c r="AW1073">
        <v>2.12</v>
      </c>
      <c r="AX1073">
        <v>2.17</v>
      </c>
      <c r="AY1073">
        <v>3.3</v>
      </c>
      <c r="AZ1073">
        <v>172.97300000000001</v>
      </c>
      <c r="BA1073">
        <v>0</v>
      </c>
      <c r="BB1073">
        <v>0</v>
      </c>
      <c r="BC1073">
        <v>0</v>
      </c>
      <c r="BD1073">
        <v>0</v>
      </c>
    </row>
    <row r="1074" spans="1:56" x14ac:dyDescent="0.25">
      <c r="A1074" s="23">
        <v>46304</v>
      </c>
      <c r="B1074">
        <v>1073</v>
      </c>
      <c r="C1074" t="s">
        <v>82</v>
      </c>
      <c r="D1074" t="s">
        <v>83</v>
      </c>
      <c r="E1074">
        <v>2</v>
      </c>
      <c r="F1074">
        <v>180</v>
      </c>
      <c r="G1074">
        <v>1</v>
      </c>
      <c r="H1074" t="s">
        <v>96</v>
      </c>
      <c r="I1074" t="s">
        <v>91</v>
      </c>
      <c r="J1074" t="s">
        <v>85</v>
      </c>
      <c r="K1074" t="s">
        <v>86</v>
      </c>
      <c r="L1074" t="s">
        <v>71</v>
      </c>
      <c r="M1074" t="s">
        <v>87</v>
      </c>
      <c r="O1074" t="s">
        <v>88</v>
      </c>
      <c r="P1074" t="s">
        <v>27</v>
      </c>
      <c r="Q1074" t="s">
        <v>73</v>
      </c>
      <c r="R1074" t="s">
        <v>76</v>
      </c>
      <c r="S1074" t="s">
        <v>74</v>
      </c>
      <c r="T1074" t="s">
        <v>75</v>
      </c>
      <c r="X1074" t="s">
        <v>77</v>
      </c>
      <c r="Z1074" t="s">
        <v>72</v>
      </c>
      <c r="AA1074" t="s">
        <v>94</v>
      </c>
      <c r="AB1074">
        <v>5</v>
      </c>
      <c r="AC1074">
        <v>748808.2</v>
      </c>
      <c r="AD1074">
        <v>8930472.0299999993</v>
      </c>
      <c r="AE1074">
        <v>194.72</v>
      </c>
      <c r="AF1074">
        <v>748808.2</v>
      </c>
      <c r="AG1074">
        <v>8930472.0299999993</v>
      </c>
      <c r="AH1074">
        <v>179.4</v>
      </c>
      <c r="AI1074">
        <v>15.32</v>
      </c>
      <c r="AJ1074">
        <v>0.6</v>
      </c>
      <c r="AK1074">
        <v>3.37</v>
      </c>
      <c r="AL1074">
        <v>2.93</v>
      </c>
      <c r="AM1074">
        <v>0</v>
      </c>
      <c r="AN1074">
        <v>0</v>
      </c>
      <c r="AO1074">
        <v>358</v>
      </c>
      <c r="AP1074">
        <v>3.37</v>
      </c>
      <c r="AQ1074">
        <v>0.67</v>
      </c>
      <c r="AR1074">
        <v>0.09</v>
      </c>
      <c r="AS1074">
        <v>0.08</v>
      </c>
      <c r="AT1074">
        <v>18.059999999999999</v>
      </c>
      <c r="AU1074">
        <v>6.51</v>
      </c>
      <c r="AV1074">
        <v>0.31</v>
      </c>
      <c r="AW1074">
        <v>2.13</v>
      </c>
      <c r="AX1074">
        <v>2.1800000000000002</v>
      </c>
      <c r="AY1074">
        <v>3.3</v>
      </c>
      <c r="AZ1074">
        <v>175.011</v>
      </c>
      <c r="BA1074">
        <v>0</v>
      </c>
      <c r="BB1074">
        <v>0</v>
      </c>
      <c r="BC1074">
        <v>0</v>
      </c>
      <c r="BD1074">
        <v>0</v>
      </c>
    </row>
    <row r="1075" spans="1:56" x14ac:dyDescent="0.25">
      <c r="A1075" s="23">
        <v>46304</v>
      </c>
      <c r="B1075">
        <v>1074</v>
      </c>
      <c r="C1075" t="s">
        <v>82</v>
      </c>
      <c r="D1075" t="s">
        <v>83</v>
      </c>
      <c r="E1075">
        <v>2</v>
      </c>
      <c r="F1075">
        <v>180</v>
      </c>
      <c r="G1075">
        <v>1</v>
      </c>
      <c r="H1075" t="s">
        <v>96</v>
      </c>
      <c r="I1075" t="s">
        <v>91</v>
      </c>
      <c r="J1075" t="s">
        <v>85</v>
      </c>
      <c r="K1075" t="s">
        <v>86</v>
      </c>
      <c r="L1075" t="s">
        <v>71</v>
      </c>
      <c r="M1075" t="s">
        <v>87</v>
      </c>
      <c r="O1075" t="s">
        <v>88</v>
      </c>
      <c r="P1075" t="s">
        <v>27</v>
      </c>
      <c r="Q1075" t="s">
        <v>73</v>
      </c>
      <c r="R1075" t="s">
        <v>76</v>
      </c>
      <c r="S1075" t="s">
        <v>74</v>
      </c>
      <c r="T1075" t="s">
        <v>75</v>
      </c>
      <c r="X1075" t="s">
        <v>77</v>
      </c>
      <c r="Z1075" t="s">
        <v>72</v>
      </c>
      <c r="AA1075" t="s">
        <v>94</v>
      </c>
      <c r="AB1075">
        <v>5</v>
      </c>
      <c r="AC1075">
        <v>748811.44</v>
      </c>
      <c r="AD1075">
        <v>8930472.9299999997</v>
      </c>
      <c r="AE1075">
        <v>194.88</v>
      </c>
      <c r="AF1075">
        <v>748811.44</v>
      </c>
      <c r="AG1075">
        <v>8930472.9299999997</v>
      </c>
      <c r="AH1075">
        <v>179.4</v>
      </c>
      <c r="AI1075">
        <v>15.48</v>
      </c>
      <c r="AJ1075">
        <v>0.6</v>
      </c>
      <c r="AK1075">
        <v>3.37</v>
      </c>
      <c r="AL1075">
        <v>2.93</v>
      </c>
      <c r="AM1075">
        <v>0</v>
      </c>
      <c r="AN1075">
        <v>0</v>
      </c>
      <c r="AO1075">
        <v>358</v>
      </c>
      <c r="AP1075">
        <v>3.34</v>
      </c>
      <c r="AQ1075">
        <v>0.72</v>
      </c>
      <c r="AR1075">
        <v>0.09</v>
      </c>
      <c r="AS1075">
        <v>0.08</v>
      </c>
      <c r="AT1075">
        <v>18.13</v>
      </c>
      <c r="AU1075">
        <v>6.32</v>
      </c>
      <c r="AV1075">
        <v>0.31</v>
      </c>
      <c r="AW1075">
        <v>2.31</v>
      </c>
      <c r="AX1075">
        <v>1.96</v>
      </c>
      <c r="AY1075">
        <v>3.3</v>
      </c>
      <c r="AZ1075">
        <v>177.34100000000001</v>
      </c>
      <c r="BA1075">
        <v>0</v>
      </c>
      <c r="BB1075">
        <v>0</v>
      </c>
      <c r="BC1075">
        <v>0</v>
      </c>
      <c r="BD1075">
        <v>0</v>
      </c>
    </row>
    <row r="1076" spans="1:56" x14ac:dyDescent="0.25">
      <c r="A1076" s="23">
        <v>46304</v>
      </c>
      <c r="B1076">
        <v>1075</v>
      </c>
      <c r="C1076" t="s">
        <v>82</v>
      </c>
      <c r="D1076" t="s">
        <v>83</v>
      </c>
      <c r="E1076">
        <v>2</v>
      </c>
      <c r="F1076">
        <v>180</v>
      </c>
      <c r="G1076">
        <v>1</v>
      </c>
      <c r="H1076" t="s">
        <v>96</v>
      </c>
      <c r="I1076" t="s">
        <v>91</v>
      </c>
      <c r="J1076" t="s">
        <v>85</v>
      </c>
      <c r="K1076" t="s">
        <v>86</v>
      </c>
      <c r="L1076" t="s">
        <v>71</v>
      </c>
      <c r="M1076" t="s">
        <v>87</v>
      </c>
      <c r="O1076" t="s">
        <v>88</v>
      </c>
      <c r="P1076" t="s">
        <v>27</v>
      </c>
      <c r="Q1076" t="s">
        <v>73</v>
      </c>
      <c r="R1076" t="s">
        <v>76</v>
      </c>
      <c r="S1076" t="s">
        <v>74</v>
      </c>
      <c r="T1076" t="s">
        <v>75</v>
      </c>
      <c r="X1076" t="s">
        <v>77</v>
      </c>
      <c r="Z1076" t="s">
        <v>72</v>
      </c>
      <c r="AA1076" t="s">
        <v>94</v>
      </c>
      <c r="AB1076">
        <v>5</v>
      </c>
      <c r="AC1076">
        <v>748814.65</v>
      </c>
      <c r="AD1076">
        <v>8930473.9800000004</v>
      </c>
      <c r="AE1076">
        <v>194.95</v>
      </c>
      <c r="AF1076">
        <v>748814.65</v>
      </c>
      <c r="AG1076">
        <v>8930473.9800000004</v>
      </c>
      <c r="AH1076">
        <v>179.4</v>
      </c>
      <c r="AI1076">
        <v>15.55</v>
      </c>
      <c r="AJ1076">
        <v>0.6</v>
      </c>
      <c r="AK1076">
        <v>3.37</v>
      </c>
      <c r="AL1076">
        <v>2.93</v>
      </c>
      <c r="AM1076">
        <v>0</v>
      </c>
      <c r="AN1076">
        <v>0</v>
      </c>
      <c r="AO1076">
        <v>358</v>
      </c>
      <c r="AP1076">
        <v>3.34</v>
      </c>
      <c r="AQ1076">
        <v>0.72</v>
      </c>
      <c r="AR1076">
        <v>0.09</v>
      </c>
      <c r="AS1076">
        <v>0.08</v>
      </c>
      <c r="AT1076">
        <v>18.14</v>
      </c>
      <c r="AU1076">
        <v>6.3</v>
      </c>
      <c r="AV1076">
        <v>0.31</v>
      </c>
      <c r="AW1076">
        <v>2.34</v>
      </c>
      <c r="AX1076">
        <v>1.95</v>
      </c>
      <c r="AY1076">
        <v>3.3</v>
      </c>
      <c r="AZ1076">
        <v>178.36</v>
      </c>
      <c r="BA1076">
        <v>0</v>
      </c>
      <c r="BB1076">
        <v>0</v>
      </c>
      <c r="BC1076">
        <v>0</v>
      </c>
      <c r="BD1076">
        <v>0</v>
      </c>
    </row>
    <row r="1077" spans="1:56" x14ac:dyDescent="0.25">
      <c r="A1077" s="23">
        <v>46304</v>
      </c>
      <c r="B1077">
        <v>1076</v>
      </c>
      <c r="C1077" t="s">
        <v>82</v>
      </c>
      <c r="D1077" t="s">
        <v>83</v>
      </c>
      <c r="E1077">
        <v>2</v>
      </c>
      <c r="F1077">
        <v>180</v>
      </c>
      <c r="G1077">
        <v>1</v>
      </c>
      <c r="H1077" t="s">
        <v>96</v>
      </c>
      <c r="I1077" t="s">
        <v>91</v>
      </c>
      <c r="J1077" t="s">
        <v>85</v>
      </c>
      <c r="K1077" t="s">
        <v>86</v>
      </c>
      <c r="L1077" t="s">
        <v>71</v>
      </c>
      <c r="M1077" t="s">
        <v>87</v>
      </c>
      <c r="O1077" t="s">
        <v>88</v>
      </c>
      <c r="P1077" t="s">
        <v>27</v>
      </c>
      <c r="Q1077" t="s">
        <v>73</v>
      </c>
      <c r="R1077" t="s">
        <v>76</v>
      </c>
      <c r="S1077" t="s">
        <v>74</v>
      </c>
      <c r="T1077" t="s">
        <v>75</v>
      </c>
      <c r="X1077" t="s">
        <v>77</v>
      </c>
      <c r="Z1077" t="s">
        <v>72</v>
      </c>
      <c r="AA1077" t="s">
        <v>94</v>
      </c>
      <c r="AB1077">
        <v>5</v>
      </c>
      <c r="AC1077">
        <v>748818.44</v>
      </c>
      <c r="AD1077">
        <v>8930475.3599999994</v>
      </c>
      <c r="AE1077">
        <v>195.09</v>
      </c>
      <c r="AF1077">
        <v>748818.44</v>
      </c>
      <c r="AG1077">
        <v>8930475.3599999994</v>
      </c>
      <c r="AH1077">
        <v>179.4</v>
      </c>
      <c r="AI1077">
        <v>15.69</v>
      </c>
      <c r="AJ1077">
        <v>0.6</v>
      </c>
      <c r="AK1077">
        <v>3.37</v>
      </c>
      <c r="AL1077">
        <v>2.93</v>
      </c>
      <c r="AM1077">
        <v>0</v>
      </c>
      <c r="AN1077">
        <v>0</v>
      </c>
      <c r="AO1077">
        <v>358</v>
      </c>
      <c r="AP1077">
        <v>3.34</v>
      </c>
      <c r="AQ1077">
        <v>0.71</v>
      </c>
      <c r="AR1077">
        <v>0.09</v>
      </c>
      <c r="AS1077">
        <v>0.08</v>
      </c>
      <c r="AT1077">
        <v>18.13</v>
      </c>
      <c r="AU1077">
        <v>6.26</v>
      </c>
      <c r="AV1077">
        <v>0.31</v>
      </c>
      <c r="AW1077">
        <v>2.31</v>
      </c>
      <c r="AX1077">
        <v>2.12</v>
      </c>
      <c r="AY1077">
        <v>3.3</v>
      </c>
      <c r="AZ1077">
        <v>180.398</v>
      </c>
      <c r="BA1077">
        <v>0</v>
      </c>
      <c r="BB1077">
        <v>0</v>
      </c>
      <c r="BC1077">
        <v>0</v>
      </c>
      <c r="BD1077">
        <v>0</v>
      </c>
    </row>
    <row r="1078" spans="1:56" x14ac:dyDescent="0.25">
      <c r="A1078" s="23">
        <v>46304</v>
      </c>
      <c r="B1078">
        <v>1077</v>
      </c>
      <c r="C1078" t="s">
        <v>82</v>
      </c>
      <c r="D1078" t="s">
        <v>83</v>
      </c>
      <c r="E1078">
        <v>2</v>
      </c>
      <c r="F1078">
        <v>180</v>
      </c>
      <c r="G1078">
        <v>1</v>
      </c>
      <c r="H1078" t="s">
        <v>96</v>
      </c>
      <c r="I1078" t="s">
        <v>91</v>
      </c>
      <c r="J1078" t="s">
        <v>85</v>
      </c>
      <c r="K1078" t="s">
        <v>86</v>
      </c>
      <c r="L1078" t="s">
        <v>71</v>
      </c>
      <c r="M1078" t="s">
        <v>87</v>
      </c>
      <c r="O1078" t="s">
        <v>88</v>
      </c>
      <c r="P1078" t="s">
        <v>27</v>
      </c>
      <c r="Q1078" t="s">
        <v>73</v>
      </c>
      <c r="R1078" t="s">
        <v>76</v>
      </c>
      <c r="S1078" t="s">
        <v>74</v>
      </c>
      <c r="T1078" t="s">
        <v>75</v>
      </c>
      <c r="X1078" t="s">
        <v>77</v>
      </c>
      <c r="Z1078" t="s">
        <v>72</v>
      </c>
      <c r="AA1078" t="s">
        <v>94</v>
      </c>
      <c r="AB1078">
        <v>5</v>
      </c>
      <c r="AC1078">
        <v>748810.81</v>
      </c>
      <c r="AD1078">
        <v>8930470.6500000004</v>
      </c>
      <c r="AE1078">
        <v>194.73</v>
      </c>
      <c r="AF1078">
        <v>748810.81</v>
      </c>
      <c r="AG1078">
        <v>8930470.6500000004</v>
      </c>
      <c r="AH1078">
        <v>179.4</v>
      </c>
      <c r="AI1078">
        <v>15.33</v>
      </c>
      <c r="AJ1078">
        <v>0.6</v>
      </c>
      <c r="AK1078">
        <v>3.37</v>
      </c>
      <c r="AL1078">
        <v>2.93</v>
      </c>
      <c r="AM1078">
        <v>0</v>
      </c>
      <c r="AN1078">
        <v>0</v>
      </c>
      <c r="AO1078">
        <v>358</v>
      </c>
      <c r="AP1078">
        <v>3.35</v>
      </c>
      <c r="AQ1078">
        <v>0.68</v>
      </c>
      <c r="AR1078">
        <v>0.09</v>
      </c>
      <c r="AS1078">
        <v>0.08</v>
      </c>
      <c r="AT1078">
        <v>18.22</v>
      </c>
      <c r="AU1078">
        <v>6.38</v>
      </c>
      <c r="AV1078">
        <v>0.31</v>
      </c>
      <c r="AW1078">
        <v>2.2200000000000002</v>
      </c>
      <c r="AX1078">
        <v>2.23</v>
      </c>
      <c r="AY1078">
        <v>3.3</v>
      </c>
      <c r="AZ1078">
        <v>175.15700000000001</v>
      </c>
      <c r="BA1078">
        <v>0</v>
      </c>
      <c r="BB1078">
        <v>0</v>
      </c>
      <c r="BC1078">
        <v>0</v>
      </c>
      <c r="BD1078">
        <v>0</v>
      </c>
    </row>
    <row r="1079" spans="1:56" x14ac:dyDescent="0.25">
      <c r="A1079" s="23">
        <v>46304</v>
      </c>
      <c r="B1079">
        <v>1078</v>
      </c>
      <c r="C1079" t="s">
        <v>82</v>
      </c>
      <c r="D1079" t="s">
        <v>83</v>
      </c>
      <c r="E1079">
        <v>2</v>
      </c>
      <c r="F1079">
        <v>180</v>
      </c>
      <c r="G1079">
        <v>1</v>
      </c>
      <c r="H1079" t="s">
        <v>96</v>
      </c>
      <c r="I1079" t="s">
        <v>91</v>
      </c>
      <c r="J1079" t="s">
        <v>85</v>
      </c>
      <c r="K1079" t="s">
        <v>86</v>
      </c>
      <c r="L1079" t="s">
        <v>71</v>
      </c>
      <c r="M1079" t="s">
        <v>87</v>
      </c>
      <c r="O1079" t="s">
        <v>88</v>
      </c>
      <c r="P1079" t="s">
        <v>27</v>
      </c>
      <c r="Q1079" t="s">
        <v>73</v>
      </c>
      <c r="R1079" t="s">
        <v>76</v>
      </c>
      <c r="S1079" t="s">
        <v>74</v>
      </c>
      <c r="T1079" t="s">
        <v>75</v>
      </c>
      <c r="X1079" t="s">
        <v>77</v>
      </c>
      <c r="Z1079" t="s">
        <v>72</v>
      </c>
      <c r="AA1079" t="s">
        <v>94</v>
      </c>
      <c r="AB1079">
        <v>5</v>
      </c>
      <c r="AC1079">
        <v>748807.65</v>
      </c>
      <c r="AD1079">
        <v>8930468.9399999995</v>
      </c>
      <c r="AE1079">
        <v>194.55</v>
      </c>
      <c r="AF1079">
        <v>748807.65</v>
      </c>
      <c r="AG1079">
        <v>8930468.9399999995</v>
      </c>
      <c r="AH1079">
        <v>179.4</v>
      </c>
      <c r="AI1079">
        <v>15.15</v>
      </c>
      <c r="AJ1079">
        <v>0.6</v>
      </c>
      <c r="AK1079">
        <v>3.37</v>
      </c>
      <c r="AL1079">
        <v>2.93</v>
      </c>
      <c r="AM1079">
        <v>0</v>
      </c>
      <c r="AN1079">
        <v>0</v>
      </c>
      <c r="AO1079">
        <v>358</v>
      </c>
      <c r="AP1079">
        <v>3.32</v>
      </c>
      <c r="AQ1079">
        <v>0.66</v>
      </c>
      <c r="AR1079">
        <v>0.09</v>
      </c>
      <c r="AS1079">
        <v>0.08</v>
      </c>
      <c r="AT1079">
        <v>18.39</v>
      </c>
      <c r="AU1079">
        <v>6.56</v>
      </c>
      <c r="AV1079">
        <v>0.31</v>
      </c>
      <c r="AW1079">
        <v>2.13</v>
      </c>
      <c r="AX1079">
        <v>2.34</v>
      </c>
      <c r="AY1079">
        <v>3.3</v>
      </c>
      <c r="AZ1079">
        <v>172.536</v>
      </c>
      <c r="BA1079">
        <v>0</v>
      </c>
      <c r="BB1079">
        <v>0</v>
      </c>
      <c r="BC1079">
        <v>0</v>
      </c>
      <c r="BD1079">
        <v>0</v>
      </c>
    </row>
    <row r="1080" spans="1:56" x14ac:dyDescent="0.25">
      <c r="A1080" s="23">
        <v>46304</v>
      </c>
      <c r="B1080">
        <v>1079</v>
      </c>
      <c r="C1080" t="s">
        <v>82</v>
      </c>
      <c r="D1080" t="s">
        <v>83</v>
      </c>
      <c r="E1080">
        <v>2</v>
      </c>
      <c r="F1080">
        <v>180</v>
      </c>
      <c r="G1080">
        <v>1</v>
      </c>
      <c r="H1080" t="s">
        <v>96</v>
      </c>
      <c r="I1080" t="s">
        <v>91</v>
      </c>
      <c r="J1080" t="s">
        <v>85</v>
      </c>
      <c r="K1080" t="s">
        <v>86</v>
      </c>
      <c r="L1080" t="s">
        <v>71</v>
      </c>
      <c r="M1080" t="s">
        <v>87</v>
      </c>
      <c r="O1080" t="s">
        <v>88</v>
      </c>
      <c r="P1080" t="s">
        <v>27</v>
      </c>
      <c r="Q1080" t="s">
        <v>73</v>
      </c>
      <c r="R1080" t="s">
        <v>76</v>
      </c>
      <c r="S1080" t="s">
        <v>74</v>
      </c>
      <c r="T1080" t="s">
        <v>75</v>
      </c>
      <c r="X1080" t="s">
        <v>77</v>
      </c>
      <c r="Z1080" t="s">
        <v>72</v>
      </c>
      <c r="AA1080" t="s">
        <v>94</v>
      </c>
      <c r="AB1080">
        <v>5</v>
      </c>
      <c r="AC1080">
        <v>748804.34</v>
      </c>
      <c r="AD1080">
        <v>8930468.2899999991</v>
      </c>
      <c r="AE1080">
        <v>194.44</v>
      </c>
      <c r="AF1080">
        <v>748804.34</v>
      </c>
      <c r="AG1080">
        <v>8930468.2899999991</v>
      </c>
      <c r="AH1080">
        <v>179.4</v>
      </c>
      <c r="AI1080">
        <v>15.04</v>
      </c>
      <c r="AJ1080">
        <v>0.6</v>
      </c>
      <c r="AK1080">
        <v>3.37</v>
      </c>
      <c r="AL1080">
        <v>2.93</v>
      </c>
      <c r="AM1080">
        <v>0</v>
      </c>
      <c r="AN1080">
        <v>0</v>
      </c>
      <c r="AO1080">
        <v>358</v>
      </c>
      <c r="AP1080">
        <v>3.31</v>
      </c>
      <c r="AQ1080">
        <v>0.66</v>
      </c>
      <c r="AR1080">
        <v>0.09</v>
      </c>
      <c r="AS1080">
        <v>0.08</v>
      </c>
      <c r="AT1080">
        <v>18.440000000000001</v>
      </c>
      <c r="AU1080">
        <v>6.57</v>
      </c>
      <c r="AV1080">
        <v>0.31</v>
      </c>
      <c r="AW1080">
        <v>2.13</v>
      </c>
      <c r="AX1080">
        <v>2.34</v>
      </c>
      <c r="AY1080">
        <v>3.3</v>
      </c>
      <c r="AZ1080">
        <v>170.934</v>
      </c>
      <c r="BA1080">
        <v>0</v>
      </c>
      <c r="BB1080">
        <v>0</v>
      </c>
      <c r="BC1080">
        <v>0</v>
      </c>
      <c r="BD1080">
        <v>0</v>
      </c>
    </row>
    <row r="1081" spans="1:56" x14ac:dyDescent="0.25">
      <c r="A1081" s="23">
        <v>46304</v>
      </c>
      <c r="B1081">
        <v>1080</v>
      </c>
      <c r="C1081" t="s">
        <v>82</v>
      </c>
      <c r="D1081" t="s">
        <v>83</v>
      </c>
      <c r="E1081">
        <v>2</v>
      </c>
      <c r="F1081">
        <v>180</v>
      </c>
      <c r="G1081">
        <v>1</v>
      </c>
      <c r="H1081" t="s">
        <v>96</v>
      </c>
      <c r="I1081" t="s">
        <v>91</v>
      </c>
      <c r="J1081" t="s">
        <v>85</v>
      </c>
      <c r="K1081" t="s">
        <v>86</v>
      </c>
      <c r="L1081" t="s">
        <v>71</v>
      </c>
      <c r="M1081" t="s">
        <v>87</v>
      </c>
      <c r="O1081" t="s">
        <v>88</v>
      </c>
      <c r="P1081" t="s">
        <v>27</v>
      </c>
      <c r="Q1081" t="s">
        <v>73</v>
      </c>
      <c r="R1081" t="s">
        <v>76</v>
      </c>
      <c r="S1081" t="s">
        <v>74</v>
      </c>
      <c r="T1081" t="s">
        <v>75</v>
      </c>
      <c r="X1081" t="s">
        <v>77</v>
      </c>
      <c r="Z1081" t="s">
        <v>72</v>
      </c>
      <c r="AA1081" t="s">
        <v>94</v>
      </c>
      <c r="AB1081">
        <v>5</v>
      </c>
      <c r="AC1081">
        <v>748801.04</v>
      </c>
      <c r="AD1081">
        <v>8930467.6099999994</v>
      </c>
      <c r="AE1081">
        <v>193.4</v>
      </c>
      <c r="AF1081">
        <v>748801.04</v>
      </c>
      <c r="AG1081">
        <v>8930467.6099999994</v>
      </c>
      <c r="AH1081">
        <v>179.4</v>
      </c>
      <c r="AI1081">
        <v>14</v>
      </c>
      <c r="AJ1081">
        <v>0.6</v>
      </c>
      <c r="AK1081">
        <v>3.37</v>
      </c>
      <c r="AL1081">
        <v>2.93</v>
      </c>
      <c r="AM1081">
        <v>0</v>
      </c>
      <c r="AN1081">
        <v>0</v>
      </c>
      <c r="AO1081">
        <v>358</v>
      </c>
      <c r="AP1081">
        <v>3.31</v>
      </c>
      <c r="AQ1081">
        <v>0.66</v>
      </c>
      <c r="AR1081">
        <v>0.09</v>
      </c>
      <c r="AS1081">
        <v>0.08</v>
      </c>
      <c r="AT1081">
        <v>18.39</v>
      </c>
      <c r="AU1081">
        <v>6.68</v>
      </c>
      <c r="AV1081">
        <v>0.31</v>
      </c>
      <c r="AW1081">
        <v>2.12</v>
      </c>
      <c r="AX1081">
        <v>1.91</v>
      </c>
      <c r="AY1081">
        <v>3.3</v>
      </c>
      <c r="AZ1081">
        <v>155.792</v>
      </c>
      <c r="BA1081">
        <v>0</v>
      </c>
      <c r="BB1081">
        <v>0</v>
      </c>
      <c r="BC1081">
        <v>0</v>
      </c>
      <c r="BD1081">
        <v>0</v>
      </c>
    </row>
    <row r="1082" spans="1:56" x14ac:dyDescent="0.25">
      <c r="A1082" s="23">
        <v>46304</v>
      </c>
      <c r="B1082">
        <v>1081</v>
      </c>
      <c r="C1082" t="s">
        <v>82</v>
      </c>
      <c r="D1082" t="s">
        <v>83</v>
      </c>
      <c r="E1082">
        <v>2</v>
      </c>
      <c r="F1082">
        <v>180</v>
      </c>
      <c r="G1082">
        <v>1</v>
      </c>
      <c r="H1082" t="s">
        <v>96</v>
      </c>
      <c r="I1082" t="s">
        <v>91</v>
      </c>
      <c r="J1082" t="s">
        <v>85</v>
      </c>
      <c r="K1082" t="s">
        <v>86</v>
      </c>
      <c r="L1082" t="s">
        <v>71</v>
      </c>
      <c r="M1082" t="s">
        <v>87</v>
      </c>
      <c r="O1082" t="s">
        <v>88</v>
      </c>
      <c r="P1082" t="s">
        <v>27</v>
      </c>
      <c r="Q1082" t="s">
        <v>73</v>
      </c>
      <c r="R1082" t="s">
        <v>76</v>
      </c>
      <c r="S1082" t="s">
        <v>74</v>
      </c>
      <c r="T1082" t="s">
        <v>75</v>
      </c>
      <c r="X1082" t="s">
        <v>77</v>
      </c>
      <c r="Z1082" t="s">
        <v>72</v>
      </c>
      <c r="AA1082" t="s">
        <v>94</v>
      </c>
      <c r="AB1082">
        <v>5</v>
      </c>
      <c r="AC1082">
        <v>748797.51</v>
      </c>
      <c r="AD1082">
        <v>8930466.6999999993</v>
      </c>
      <c r="AE1082">
        <v>190.41</v>
      </c>
      <c r="AF1082">
        <v>748797.51</v>
      </c>
      <c r="AG1082">
        <v>8930466.6999999993</v>
      </c>
      <c r="AH1082">
        <v>179.4</v>
      </c>
      <c r="AI1082">
        <v>11.01</v>
      </c>
      <c r="AJ1082">
        <v>0.6</v>
      </c>
      <c r="AK1082">
        <v>3.37</v>
      </c>
      <c r="AL1082">
        <v>2.93</v>
      </c>
      <c r="AM1082">
        <v>0</v>
      </c>
      <c r="AN1082">
        <v>0</v>
      </c>
      <c r="AO1082">
        <v>358</v>
      </c>
      <c r="AP1082">
        <v>3.3</v>
      </c>
      <c r="AQ1082">
        <v>0.62</v>
      </c>
      <c r="AR1082">
        <v>0.08</v>
      </c>
      <c r="AS1082">
        <v>0.08</v>
      </c>
      <c r="AT1082">
        <v>17.98</v>
      </c>
      <c r="AU1082">
        <v>6.86</v>
      </c>
      <c r="AV1082">
        <v>0.3</v>
      </c>
      <c r="AW1082">
        <v>2.0699999999999998</v>
      </c>
      <c r="AX1082">
        <v>0.28000000000000003</v>
      </c>
      <c r="AY1082">
        <v>3.3</v>
      </c>
      <c r="AZ1082">
        <v>112.258</v>
      </c>
      <c r="BA1082">
        <v>0</v>
      </c>
      <c r="BB1082">
        <v>0</v>
      </c>
      <c r="BC1082">
        <v>0</v>
      </c>
      <c r="BD1082">
        <v>0</v>
      </c>
    </row>
    <row r="1083" spans="1:56" x14ac:dyDescent="0.25">
      <c r="A1083" s="23">
        <v>46304</v>
      </c>
      <c r="B1083">
        <v>1082</v>
      </c>
      <c r="C1083" t="s">
        <v>82</v>
      </c>
      <c r="D1083" t="s">
        <v>83</v>
      </c>
      <c r="E1083">
        <v>2</v>
      </c>
      <c r="F1083">
        <v>180</v>
      </c>
      <c r="G1083">
        <v>1</v>
      </c>
      <c r="H1083" t="s">
        <v>96</v>
      </c>
      <c r="I1083" t="s">
        <v>91</v>
      </c>
      <c r="J1083" t="s">
        <v>85</v>
      </c>
      <c r="K1083" t="s">
        <v>86</v>
      </c>
      <c r="L1083" t="s">
        <v>71</v>
      </c>
      <c r="M1083" t="s">
        <v>87</v>
      </c>
      <c r="O1083" t="s">
        <v>88</v>
      </c>
      <c r="P1083" t="s">
        <v>27</v>
      </c>
      <c r="Q1083" t="s">
        <v>73</v>
      </c>
      <c r="R1083" t="s">
        <v>76</v>
      </c>
      <c r="S1083" t="s">
        <v>74</v>
      </c>
      <c r="T1083" t="s">
        <v>75</v>
      </c>
      <c r="X1083" t="s">
        <v>77</v>
      </c>
      <c r="Z1083" t="s">
        <v>72</v>
      </c>
      <c r="AA1083" t="s">
        <v>94</v>
      </c>
      <c r="AB1083">
        <v>5</v>
      </c>
      <c r="AC1083">
        <v>748794.56</v>
      </c>
      <c r="AD1083">
        <v>8930465.8900000006</v>
      </c>
      <c r="AE1083">
        <v>190.52</v>
      </c>
      <c r="AF1083">
        <v>748794.56</v>
      </c>
      <c r="AG1083">
        <v>8930465.8900000006</v>
      </c>
      <c r="AH1083">
        <v>179.4</v>
      </c>
      <c r="AI1083">
        <v>11.12</v>
      </c>
      <c r="AJ1083">
        <v>0.6</v>
      </c>
      <c r="AK1083">
        <v>3.37</v>
      </c>
      <c r="AL1083">
        <v>2.93</v>
      </c>
      <c r="AM1083">
        <v>0</v>
      </c>
      <c r="AN1083">
        <v>0</v>
      </c>
      <c r="AO1083">
        <v>358</v>
      </c>
      <c r="AP1083">
        <v>3.31</v>
      </c>
      <c r="AQ1083">
        <v>0.62</v>
      </c>
      <c r="AR1083">
        <v>0.09</v>
      </c>
      <c r="AS1083">
        <v>0.08</v>
      </c>
      <c r="AT1083">
        <v>18</v>
      </c>
      <c r="AU1083">
        <v>6.87</v>
      </c>
      <c r="AV1083">
        <v>0.3</v>
      </c>
      <c r="AW1083">
        <v>2.0699999999999998</v>
      </c>
      <c r="AX1083">
        <v>0.35</v>
      </c>
      <c r="AY1083">
        <v>3.3</v>
      </c>
      <c r="AZ1083">
        <v>113.85899999999999</v>
      </c>
      <c r="BA1083">
        <v>0</v>
      </c>
      <c r="BB1083">
        <v>0</v>
      </c>
      <c r="BC1083">
        <v>0</v>
      </c>
      <c r="BD1083">
        <v>0</v>
      </c>
    </row>
    <row r="1084" spans="1:56" x14ac:dyDescent="0.25">
      <c r="A1084" s="23">
        <v>46304</v>
      </c>
      <c r="B1084">
        <v>1083</v>
      </c>
      <c r="C1084" t="s">
        <v>82</v>
      </c>
      <c r="D1084" t="s">
        <v>83</v>
      </c>
      <c r="E1084">
        <v>2</v>
      </c>
      <c r="F1084">
        <v>180</v>
      </c>
      <c r="G1084">
        <v>1</v>
      </c>
      <c r="H1084" t="s">
        <v>96</v>
      </c>
      <c r="I1084" t="s">
        <v>91</v>
      </c>
      <c r="J1084" t="s">
        <v>85</v>
      </c>
      <c r="K1084" t="s">
        <v>86</v>
      </c>
      <c r="L1084" t="s">
        <v>71</v>
      </c>
      <c r="M1084" t="s">
        <v>87</v>
      </c>
      <c r="O1084" t="s">
        <v>88</v>
      </c>
      <c r="P1084" t="s">
        <v>27</v>
      </c>
      <c r="Q1084" t="s">
        <v>73</v>
      </c>
      <c r="R1084" t="s">
        <v>76</v>
      </c>
      <c r="S1084" t="s">
        <v>74</v>
      </c>
      <c r="T1084" t="s">
        <v>75</v>
      </c>
      <c r="X1084" t="s">
        <v>77</v>
      </c>
      <c r="Z1084" t="s">
        <v>72</v>
      </c>
      <c r="AA1084" t="s">
        <v>94</v>
      </c>
      <c r="AB1084">
        <v>5</v>
      </c>
      <c r="AC1084">
        <v>748791.59</v>
      </c>
      <c r="AD1084">
        <v>8930464.3900000006</v>
      </c>
      <c r="AE1084">
        <v>190.24</v>
      </c>
      <c r="AF1084">
        <v>748791.59</v>
      </c>
      <c r="AG1084">
        <v>8930464.3900000006</v>
      </c>
      <c r="AH1084">
        <v>179.4</v>
      </c>
      <c r="AI1084">
        <v>10.84</v>
      </c>
      <c r="AJ1084">
        <v>0.6</v>
      </c>
      <c r="AK1084">
        <v>3.37</v>
      </c>
      <c r="AL1084">
        <v>2.93</v>
      </c>
      <c r="AM1084">
        <v>0</v>
      </c>
      <c r="AN1084">
        <v>0</v>
      </c>
      <c r="AO1084">
        <v>358</v>
      </c>
      <c r="AP1084">
        <v>3.31</v>
      </c>
      <c r="AQ1084">
        <v>0.62</v>
      </c>
      <c r="AR1084">
        <v>0.08</v>
      </c>
      <c r="AS1084">
        <v>0.08</v>
      </c>
      <c r="AT1084">
        <v>18.04</v>
      </c>
      <c r="AU1084">
        <v>6.84</v>
      </c>
      <c r="AV1084">
        <v>0.3</v>
      </c>
      <c r="AW1084">
        <v>2.0699999999999998</v>
      </c>
      <c r="AX1084">
        <v>0.17</v>
      </c>
      <c r="AY1084">
        <v>3.3</v>
      </c>
      <c r="AZ1084">
        <v>109.782</v>
      </c>
      <c r="BA1084">
        <v>0</v>
      </c>
      <c r="BB1084">
        <v>0</v>
      </c>
      <c r="BC1084">
        <v>0</v>
      </c>
      <c r="BD1084">
        <v>0</v>
      </c>
    </row>
    <row r="1085" spans="1:56" x14ac:dyDescent="0.25">
      <c r="A1085" s="23">
        <v>46304</v>
      </c>
      <c r="B1085">
        <v>1084</v>
      </c>
      <c r="C1085" t="s">
        <v>82</v>
      </c>
      <c r="D1085" t="s">
        <v>83</v>
      </c>
      <c r="E1085">
        <v>2</v>
      </c>
      <c r="F1085">
        <v>180</v>
      </c>
      <c r="G1085">
        <v>1</v>
      </c>
      <c r="H1085" t="s">
        <v>96</v>
      </c>
      <c r="I1085" t="s">
        <v>91</v>
      </c>
      <c r="J1085" t="s">
        <v>85</v>
      </c>
      <c r="K1085" t="s">
        <v>86</v>
      </c>
      <c r="L1085" t="s">
        <v>71</v>
      </c>
      <c r="M1085" t="s">
        <v>87</v>
      </c>
      <c r="O1085" t="s">
        <v>88</v>
      </c>
      <c r="P1085" t="s">
        <v>27</v>
      </c>
      <c r="Q1085" t="s">
        <v>73</v>
      </c>
      <c r="R1085" t="s">
        <v>76</v>
      </c>
      <c r="S1085" t="s">
        <v>74</v>
      </c>
      <c r="T1085" t="s">
        <v>75</v>
      </c>
      <c r="X1085" t="s">
        <v>77</v>
      </c>
      <c r="Z1085" t="s">
        <v>72</v>
      </c>
      <c r="AA1085" t="s">
        <v>94</v>
      </c>
      <c r="AB1085">
        <v>5</v>
      </c>
      <c r="AC1085">
        <v>748788.75</v>
      </c>
      <c r="AD1085">
        <v>8930462.5700000003</v>
      </c>
      <c r="AE1085">
        <v>190.25</v>
      </c>
      <c r="AF1085">
        <v>748788.75</v>
      </c>
      <c r="AG1085">
        <v>8930462.5700000003</v>
      </c>
      <c r="AH1085">
        <v>179.4</v>
      </c>
      <c r="AI1085">
        <v>10.85</v>
      </c>
      <c r="AJ1085">
        <v>0.6</v>
      </c>
      <c r="AK1085">
        <v>3.37</v>
      </c>
      <c r="AL1085">
        <v>2.93</v>
      </c>
      <c r="AM1085">
        <v>0</v>
      </c>
      <c r="AN1085">
        <v>0</v>
      </c>
      <c r="AO1085">
        <v>358</v>
      </c>
      <c r="AP1085">
        <v>3.41</v>
      </c>
      <c r="AQ1085">
        <v>0.68</v>
      </c>
      <c r="AR1085">
        <v>0.08</v>
      </c>
      <c r="AS1085">
        <v>0.08</v>
      </c>
      <c r="AT1085">
        <v>19.079999999999998</v>
      </c>
      <c r="AU1085">
        <v>6.77</v>
      </c>
      <c r="AV1085">
        <v>0.31</v>
      </c>
      <c r="AW1085">
        <v>2.17</v>
      </c>
      <c r="AX1085">
        <v>0.18</v>
      </c>
      <c r="AY1085">
        <v>3.3</v>
      </c>
      <c r="AZ1085">
        <v>109.928</v>
      </c>
      <c r="BA1085">
        <v>0</v>
      </c>
      <c r="BB1085">
        <v>0</v>
      </c>
      <c r="BC1085">
        <v>0</v>
      </c>
      <c r="BD1085">
        <v>0</v>
      </c>
    </row>
    <row r="1086" spans="1:56" x14ac:dyDescent="0.25">
      <c r="A1086" s="23">
        <v>46304</v>
      </c>
      <c r="B1086">
        <v>1085</v>
      </c>
      <c r="C1086" t="s">
        <v>82</v>
      </c>
      <c r="D1086" t="s">
        <v>83</v>
      </c>
      <c r="E1086">
        <v>2</v>
      </c>
      <c r="F1086">
        <v>180</v>
      </c>
      <c r="G1086">
        <v>1</v>
      </c>
      <c r="H1086" t="s">
        <v>96</v>
      </c>
      <c r="I1086" t="s">
        <v>91</v>
      </c>
      <c r="J1086" t="s">
        <v>85</v>
      </c>
      <c r="K1086" t="s">
        <v>86</v>
      </c>
      <c r="L1086" t="s">
        <v>71</v>
      </c>
      <c r="M1086" t="s">
        <v>87</v>
      </c>
      <c r="O1086" t="s">
        <v>88</v>
      </c>
      <c r="P1086" t="s">
        <v>27</v>
      </c>
      <c r="Q1086" t="s">
        <v>73</v>
      </c>
      <c r="R1086" t="s">
        <v>76</v>
      </c>
      <c r="S1086" t="s">
        <v>74</v>
      </c>
      <c r="T1086" t="s">
        <v>75</v>
      </c>
      <c r="X1086" t="s">
        <v>77</v>
      </c>
      <c r="Z1086" t="s">
        <v>72</v>
      </c>
      <c r="AA1086" t="s">
        <v>94</v>
      </c>
      <c r="AB1086">
        <v>5</v>
      </c>
      <c r="AC1086">
        <v>748785.92</v>
      </c>
      <c r="AD1086">
        <v>8930460.7400000002</v>
      </c>
      <c r="AE1086">
        <v>190.17</v>
      </c>
      <c r="AF1086">
        <v>748785.92</v>
      </c>
      <c r="AG1086">
        <v>8930460.7400000002</v>
      </c>
      <c r="AH1086">
        <v>179.4</v>
      </c>
      <c r="AI1086">
        <v>10.77</v>
      </c>
      <c r="AJ1086">
        <v>0.6</v>
      </c>
      <c r="AK1086">
        <v>3.37</v>
      </c>
      <c r="AL1086">
        <v>2.93</v>
      </c>
      <c r="AM1086">
        <v>0</v>
      </c>
      <c r="AN1086">
        <v>0</v>
      </c>
      <c r="AO1086">
        <v>358</v>
      </c>
      <c r="AP1086">
        <v>3.42</v>
      </c>
      <c r="AQ1086">
        <v>0.7</v>
      </c>
      <c r="AR1086">
        <v>0.09</v>
      </c>
      <c r="AS1086">
        <v>0.08</v>
      </c>
      <c r="AT1086">
        <v>19.23</v>
      </c>
      <c r="AU1086">
        <v>6.86</v>
      </c>
      <c r="AV1086">
        <v>0.32</v>
      </c>
      <c r="AW1086">
        <v>2.21</v>
      </c>
      <c r="AX1086">
        <v>0.12</v>
      </c>
      <c r="AY1086">
        <v>3.3</v>
      </c>
      <c r="AZ1086">
        <v>108.76300000000001</v>
      </c>
      <c r="BA1086">
        <v>0</v>
      </c>
      <c r="BB1086">
        <v>0</v>
      </c>
      <c r="BC1086">
        <v>0</v>
      </c>
      <c r="BD1086">
        <v>0</v>
      </c>
    </row>
    <row r="1087" spans="1:56" x14ac:dyDescent="0.25">
      <c r="A1087" s="23">
        <v>46304</v>
      </c>
      <c r="B1087">
        <v>1086</v>
      </c>
      <c r="C1087" t="s">
        <v>82</v>
      </c>
      <c r="D1087" t="s">
        <v>83</v>
      </c>
      <c r="E1087">
        <v>2</v>
      </c>
      <c r="F1087">
        <v>180</v>
      </c>
      <c r="G1087">
        <v>1</v>
      </c>
      <c r="H1087" t="s">
        <v>96</v>
      </c>
      <c r="I1087" t="s">
        <v>91</v>
      </c>
      <c r="J1087" t="s">
        <v>97</v>
      </c>
      <c r="K1087" t="s">
        <v>86</v>
      </c>
      <c r="L1087" t="s">
        <v>71</v>
      </c>
      <c r="M1087" t="s">
        <v>87</v>
      </c>
      <c r="O1087" t="s">
        <v>88</v>
      </c>
      <c r="P1087" t="s">
        <v>27</v>
      </c>
      <c r="Q1087" t="s">
        <v>73</v>
      </c>
      <c r="R1087" t="s">
        <v>76</v>
      </c>
      <c r="S1087" t="s">
        <v>74</v>
      </c>
      <c r="T1087" t="s">
        <v>75</v>
      </c>
      <c r="X1087" t="s">
        <v>77</v>
      </c>
      <c r="Z1087" t="s">
        <v>72</v>
      </c>
      <c r="AA1087" t="s">
        <v>94</v>
      </c>
      <c r="AB1087">
        <v>5</v>
      </c>
      <c r="AC1087">
        <v>748783.09</v>
      </c>
      <c r="AD1087">
        <v>8930458.9199999999</v>
      </c>
      <c r="AE1087">
        <v>190.21</v>
      </c>
      <c r="AF1087">
        <v>748783.09</v>
      </c>
      <c r="AG1087">
        <v>8930458.9199999999</v>
      </c>
      <c r="AH1087">
        <v>179.4</v>
      </c>
      <c r="AI1087">
        <v>10.81</v>
      </c>
      <c r="AJ1087">
        <v>0.6</v>
      </c>
      <c r="AK1087">
        <v>3.37</v>
      </c>
      <c r="AL1087">
        <v>2.93</v>
      </c>
      <c r="AM1087">
        <v>0</v>
      </c>
      <c r="AN1087">
        <v>0</v>
      </c>
      <c r="AO1087">
        <v>358</v>
      </c>
      <c r="AP1087">
        <v>3.42</v>
      </c>
      <c r="AQ1087">
        <v>0.74</v>
      </c>
      <c r="AR1087">
        <v>0.1</v>
      </c>
      <c r="AS1087">
        <v>0.09</v>
      </c>
      <c r="AT1087">
        <v>19.190000000000001</v>
      </c>
      <c r="AU1087">
        <v>7.07</v>
      </c>
      <c r="AV1087">
        <v>0.33</v>
      </c>
      <c r="AW1087">
        <v>2.2599999999999998</v>
      </c>
      <c r="AX1087">
        <v>0.15</v>
      </c>
      <c r="AY1087">
        <v>3.3</v>
      </c>
      <c r="AZ1087">
        <v>109.346</v>
      </c>
      <c r="BA1087">
        <v>0</v>
      </c>
      <c r="BB1087">
        <v>0</v>
      </c>
      <c r="BC1087">
        <v>0</v>
      </c>
      <c r="BD1087">
        <v>0</v>
      </c>
    </row>
    <row r="1088" spans="1:56" x14ac:dyDescent="0.25">
      <c r="A1088" s="23">
        <v>46304</v>
      </c>
      <c r="B1088">
        <v>1087</v>
      </c>
      <c r="C1088" t="s">
        <v>82</v>
      </c>
      <c r="D1088" t="s">
        <v>83</v>
      </c>
      <c r="E1088">
        <v>2</v>
      </c>
      <c r="F1088">
        <v>180</v>
      </c>
      <c r="G1088">
        <v>1</v>
      </c>
      <c r="H1088" t="s">
        <v>96</v>
      </c>
      <c r="I1088" t="s">
        <v>91</v>
      </c>
      <c r="J1088" t="s">
        <v>97</v>
      </c>
      <c r="K1088" t="s">
        <v>86</v>
      </c>
      <c r="L1088" t="s">
        <v>71</v>
      </c>
      <c r="M1088" t="s">
        <v>87</v>
      </c>
      <c r="O1088" t="s">
        <v>88</v>
      </c>
      <c r="P1088" t="s">
        <v>27</v>
      </c>
      <c r="Q1088" t="s">
        <v>73</v>
      </c>
      <c r="R1088" t="s">
        <v>76</v>
      </c>
      <c r="S1088" t="s">
        <v>74</v>
      </c>
      <c r="T1088" t="s">
        <v>75</v>
      </c>
      <c r="X1088" t="s">
        <v>77</v>
      </c>
      <c r="Z1088" t="s">
        <v>72</v>
      </c>
      <c r="AA1088" t="s">
        <v>94</v>
      </c>
      <c r="AB1088">
        <v>5</v>
      </c>
      <c r="AC1088">
        <v>748780.26</v>
      </c>
      <c r="AD1088">
        <v>8930457.0800000001</v>
      </c>
      <c r="AE1088">
        <v>190.05</v>
      </c>
      <c r="AF1088">
        <v>748780.26</v>
      </c>
      <c r="AG1088">
        <v>8930457.0800000001</v>
      </c>
      <c r="AH1088">
        <v>179.4</v>
      </c>
      <c r="AI1088">
        <v>10.65</v>
      </c>
      <c r="AJ1088">
        <v>0.6</v>
      </c>
      <c r="AK1088">
        <v>3.37</v>
      </c>
      <c r="AL1088">
        <v>2.93</v>
      </c>
      <c r="AM1088">
        <v>0</v>
      </c>
      <c r="AN1088">
        <v>0</v>
      </c>
      <c r="AO1088">
        <v>358</v>
      </c>
      <c r="AP1088">
        <v>3.43</v>
      </c>
      <c r="AQ1088">
        <v>0.76</v>
      </c>
      <c r="AR1088">
        <v>0.11</v>
      </c>
      <c r="AS1088">
        <v>0.09</v>
      </c>
      <c r="AT1088">
        <v>20.23</v>
      </c>
      <c r="AU1088">
        <v>7.13</v>
      </c>
      <c r="AV1088">
        <v>0.34</v>
      </c>
      <c r="AW1088">
        <v>2.2599999999999998</v>
      </c>
      <c r="AX1088">
        <v>3.02</v>
      </c>
      <c r="AY1088">
        <v>3.3</v>
      </c>
      <c r="AZ1088">
        <v>107.01600000000001</v>
      </c>
      <c r="BA1088">
        <v>0</v>
      </c>
      <c r="BB1088">
        <v>0</v>
      </c>
      <c r="BC1088">
        <v>0</v>
      </c>
      <c r="BD1088">
        <v>0</v>
      </c>
    </row>
    <row r="1089" spans="1:56" x14ac:dyDescent="0.25">
      <c r="A1089" s="23">
        <v>46304</v>
      </c>
      <c r="B1089">
        <v>1088</v>
      </c>
      <c r="C1089" t="s">
        <v>82</v>
      </c>
      <c r="D1089" t="s">
        <v>83</v>
      </c>
      <c r="E1089">
        <v>2</v>
      </c>
      <c r="F1089">
        <v>180</v>
      </c>
      <c r="G1089">
        <v>1</v>
      </c>
      <c r="H1089" t="s">
        <v>96</v>
      </c>
      <c r="I1089" t="s">
        <v>91</v>
      </c>
      <c r="J1089" t="s">
        <v>97</v>
      </c>
      <c r="K1089" t="s">
        <v>86</v>
      </c>
      <c r="L1089" t="s">
        <v>71</v>
      </c>
      <c r="M1089" t="s">
        <v>87</v>
      </c>
      <c r="O1089" t="s">
        <v>88</v>
      </c>
      <c r="P1089" t="s">
        <v>27</v>
      </c>
      <c r="Q1089" t="s">
        <v>73</v>
      </c>
      <c r="R1089" t="s">
        <v>76</v>
      </c>
      <c r="S1089" t="s">
        <v>74</v>
      </c>
      <c r="T1089" t="s">
        <v>75</v>
      </c>
      <c r="X1089" t="s">
        <v>77</v>
      </c>
      <c r="Z1089" t="s">
        <v>72</v>
      </c>
      <c r="AA1089" t="s">
        <v>94</v>
      </c>
      <c r="AB1089">
        <v>5</v>
      </c>
      <c r="AC1089">
        <v>748777.67</v>
      </c>
      <c r="AD1089">
        <v>8930454.9600000009</v>
      </c>
      <c r="AE1089">
        <v>190.08</v>
      </c>
      <c r="AF1089">
        <v>748777.67</v>
      </c>
      <c r="AG1089">
        <v>8930454.9600000009</v>
      </c>
      <c r="AH1089">
        <v>179.4</v>
      </c>
      <c r="AI1089">
        <v>10.68</v>
      </c>
      <c r="AJ1089">
        <v>0.6</v>
      </c>
      <c r="AK1089">
        <v>3.37</v>
      </c>
      <c r="AL1089">
        <v>2.93</v>
      </c>
      <c r="AM1089">
        <v>0</v>
      </c>
      <c r="AN1089">
        <v>0</v>
      </c>
      <c r="AO1089">
        <v>358</v>
      </c>
      <c r="AP1089">
        <v>3.44</v>
      </c>
      <c r="AQ1089">
        <v>0.79</v>
      </c>
      <c r="AR1089">
        <v>0.12</v>
      </c>
      <c r="AS1089">
        <v>0.1</v>
      </c>
      <c r="AT1089">
        <v>21.73</v>
      </c>
      <c r="AU1089">
        <v>7.12</v>
      </c>
      <c r="AV1089">
        <v>0.35</v>
      </c>
      <c r="AW1089">
        <v>2.23</v>
      </c>
      <c r="AX1089">
        <v>7.11</v>
      </c>
      <c r="AY1089">
        <v>3.3</v>
      </c>
      <c r="AZ1089">
        <v>107.453</v>
      </c>
      <c r="BA1089">
        <v>0</v>
      </c>
      <c r="BB1089">
        <v>0</v>
      </c>
      <c r="BC1089">
        <v>0</v>
      </c>
      <c r="BD1089">
        <v>0</v>
      </c>
    </row>
    <row r="1090" spans="1:56" x14ac:dyDescent="0.25">
      <c r="A1090" s="23">
        <v>46304</v>
      </c>
      <c r="B1090">
        <v>1089</v>
      </c>
      <c r="C1090" t="s">
        <v>82</v>
      </c>
      <c r="D1090" t="s">
        <v>83</v>
      </c>
      <c r="E1090">
        <v>2</v>
      </c>
      <c r="F1090">
        <v>180</v>
      </c>
      <c r="G1090">
        <v>1</v>
      </c>
      <c r="H1090" t="s">
        <v>96</v>
      </c>
      <c r="I1090" t="s">
        <v>91</v>
      </c>
      <c r="J1090" t="s">
        <v>97</v>
      </c>
      <c r="K1090" t="s">
        <v>86</v>
      </c>
      <c r="L1090" t="s">
        <v>71</v>
      </c>
      <c r="M1090" t="s">
        <v>87</v>
      </c>
      <c r="O1090" t="s">
        <v>88</v>
      </c>
      <c r="P1090" t="s">
        <v>27</v>
      </c>
      <c r="Q1090" t="s">
        <v>73</v>
      </c>
      <c r="R1090" t="s">
        <v>76</v>
      </c>
      <c r="S1090" t="s">
        <v>74</v>
      </c>
      <c r="T1090" t="s">
        <v>75</v>
      </c>
      <c r="X1090" t="s">
        <v>77</v>
      </c>
      <c r="Z1090" t="s">
        <v>72</v>
      </c>
      <c r="AA1090" t="s">
        <v>94</v>
      </c>
      <c r="AB1090">
        <v>5</v>
      </c>
      <c r="AC1090">
        <v>748775.37</v>
      </c>
      <c r="AD1090">
        <v>8930452.5099999998</v>
      </c>
      <c r="AE1090">
        <v>190.04</v>
      </c>
      <c r="AF1090">
        <v>748775.37</v>
      </c>
      <c r="AG1090">
        <v>8930452.5099999998</v>
      </c>
      <c r="AH1090">
        <v>179.4</v>
      </c>
      <c r="AI1090">
        <v>10.64</v>
      </c>
      <c r="AJ1090">
        <v>0.6</v>
      </c>
      <c r="AK1090">
        <v>3.37</v>
      </c>
      <c r="AL1090">
        <v>2.93</v>
      </c>
      <c r="AM1090">
        <v>0</v>
      </c>
      <c r="AN1090">
        <v>0</v>
      </c>
      <c r="AO1090">
        <v>358</v>
      </c>
      <c r="AP1090">
        <v>3.44</v>
      </c>
      <c r="AQ1090">
        <v>0.79</v>
      </c>
      <c r="AR1090">
        <v>0.12</v>
      </c>
      <c r="AS1090">
        <v>0.1</v>
      </c>
      <c r="AT1090">
        <v>21.72</v>
      </c>
      <c r="AU1090">
        <v>7.12</v>
      </c>
      <c r="AV1090">
        <v>0.35</v>
      </c>
      <c r="AW1090">
        <v>2.23</v>
      </c>
      <c r="AX1090">
        <v>7.11</v>
      </c>
      <c r="AY1090">
        <v>3.3</v>
      </c>
      <c r="AZ1090">
        <v>106.87</v>
      </c>
      <c r="BA1090">
        <v>0</v>
      </c>
      <c r="BB1090">
        <v>0</v>
      </c>
      <c r="BC1090">
        <v>0</v>
      </c>
      <c r="BD1090">
        <v>0</v>
      </c>
    </row>
    <row r="1091" spans="1:56" x14ac:dyDescent="0.25">
      <c r="A1091" s="23">
        <v>46304</v>
      </c>
      <c r="B1091">
        <v>1090</v>
      </c>
      <c r="C1091" t="s">
        <v>82</v>
      </c>
      <c r="D1091" t="s">
        <v>83</v>
      </c>
      <c r="E1091">
        <v>2</v>
      </c>
      <c r="F1091">
        <v>180</v>
      </c>
      <c r="G1091">
        <v>1</v>
      </c>
      <c r="H1091" t="s">
        <v>96</v>
      </c>
      <c r="I1091" t="s">
        <v>91</v>
      </c>
      <c r="J1091" t="s">
        <v>97</v>
      </c>
      <c r="K1091" t="s">
        <v>86</v>
      </c>
      <c r="L1091" t="s">
        <v>71</v>
      </c>
      <c r="M1091" t="s">
        <v>87</v>
      </c>
      <c r="O1091" t="s">
        <v>88</v>
      </c>
      <c r="P1091" t="s">
        <v>27</v>
      </c>
      <c r="Q1091" t="s">
        <v>73</v>
      </c>
      <c r="R1091" t="s">
        <v>76</v>
      </c>
      <c r="S1091" t="s">
        <v>74</v>
      </c>
      <c r="T1091" t="s">
        <v>75</v>
      </c>
      <c r="X1091" t="s">
        <v>77</v>
      </c>
      <c r="Z1091" t="s">
        <v>72</v>
      </c>
      <c r="AA1091" t="s">
        <v>94</v>
      </c>
      <c r="AB1091">
        <v>5</v>
      </c>
      <c r="AC1091">
        <v>748773.14</v>
      </c>
      <c r="AD1091">
        <v>8930449.9900000002</v>
      </c>
      <c r="AE1091">
        <v>190.12</v>
      </c>
      <c r="AF1091">
        <v>748773.14</v>
      </c>
      <c r="AG1091">
        <v>8930449.9900000002</v>
      </c>
      <c r="AH1091">
        <v>179.4</v>
      </c>
      <c r="AI1091">
        <v>10.72</v>
      </c>
      <c r="AJ1091">
        <v>0.6</v>
      </c>
      <c r="AK1091">
        <v>3.37</v>
      </c>
      <c r="AL1091">
        <v>2.93</v>
      </c>
      <c r="AM1091">
        <v>0</v>
      </c>
      <c r="AN1091">
        <v>0</v>
      </c>
      <c r="AO1091">
        <v>358</v>
      </c>
      <c r="AP1091">
        <v>3.51</v>
      </c>
      <c r="AQ1091">
        <v>0.81</v>
      </c>
      <c r="AR1091">
        <v>0.13</v>
      </c>
      <c r="AS1091">
        <v>0.11</v>
      </c>
      <c r="AT1091">
        <v>21.78</v>
      </c>
      <c r="AU1091">
        <v>7.2</v>
      </c>
      <c r="AV1091">
        <v>0.36</v>
      </c>
      <c r="AW1091">
        <v>2.23</v>
      </c>
      <c r="AX1091">
        <v>7.24</v>
      </c>
      <c r="AY1091">
        <v>3.3</v>
      </c>
      <c r="AZ1091">
        <v>108.035</v>
      </c>
      <c r="BA1091">
        <v>0</v>
      </c>
      <c r="BB1091">
        <v>0</v>
      </c>
      <c r="BC1091">
        <v>0</v>
      </c>
      <c r="BD1091">
        <v>0</v>
      </c>
    </row>
    <row r="1092" spans="1:56" x14ac:dyDescent="0.25">
      <c r="A1092" s="23">
        <v>46304</v>
      </c>
      <c r="B1092">
        <v>1091</v>
      </c>
      <c r="C1092" t="s">
        <v>82</v>
      </c>
      <c r="D1092" t="s">
        <v>83</v>
      </c>
      <c r="E1092">
        <v>2</v>
      </c>
      <c r="F1092">
        <v>180</v>
      </c>
      <c r="G1092">
        <v>1</v>
      </c>
      <c r="H1092" t="s">
        <v>96</v>
      </c>
      <c r="I1092" t="s">
        <v>91</v>
      </c>
      <c r="J1092" t="s">
        <v>97</v>
      </c>
      <c r="K1092" t="s">
        <v>86</v>
      </c>
      <c r="L1092" t="s">
        <v>71</v>
      </c>
      <c r="M1092" t="s">
        <v>87</v>
      </c>
      <c r="O1092" t="s">
        <v>88</v>
      </c>
      <c r="P1092" t="s">
        <v>27</v>
      </c>
      <c r="Q1092" t="s">
        <v>73</v>
      </c>
      <c r="R1092" t="s">
        <v>76</v>
      </c>
      <c r="S1092" t="s">
        <v>74</v>
      </c>
      <c r="T1092" t="s">
        <v>75</v>
      </c>
      <c r="X1092" t="s">
        <v>77</v>
      </c>
      <c r="Z1092" t="s">
        <v>72</v>
      </c>
      <c r="AA1092" t="s">
        <v>94</v>
      </c>
      <c r="AB1092">
        <v>5</v>
      </c>
      <c r="AC1092">
        <v>748770.9</v>
      </c>
      <c r="AD1092">
        <v>8930447.4600000009</v>
      </c>
      <c r="AE1092">
        <v>189.94</v>
      </c>
      <c r="AF1092">
        <v>748770.9</v>
      </c>
      <c r="AG1092">
        <v>8930447.4600000009</v>
      </c>
      <c r="AH1092">
        <v>179.4</v>
      </c>
      <c r="AI1092">
        <v>10.54</v>
      </c>
      <c r="AJ1092">
        <v>0.6</v>
      </c>
      <c r="AK1092">
        <v>3.37</v>
      </c>
      <c r="AL1092">
        <v>2.93</v>
      </c>
      <c r="AM1092">
        <v>0</v>
      </c>
      <c r="AN1092">
        <v>0</v>
      </c>
      <c r="AO1092">
        <v>358</v>
      </c>
      <c r="AP1092">
        <v>3.56</v>
      </c>
      <c r="AQ1092">
        <v>0.82</v>
      </c>
      <c r="AR1092">
        <v>0.13</v>
      </c>
      <c r="AS1092">
        <v>0.11</v>
      </c>
      <c r="AT1092">
        <v>21.75</v>
      </c>
      <c r="AU1092">
        <v>7.17</v>
      </c>
      <c r="AV1092">
        <v>0.37</v>
      </c>
      <c r="AW1092">
        <v>2.2000000000000002</v>
      </c>
      <c r="AX1092">
        <v>7.6</v>
      </c>
      <c r="AY1092">
        <v>3.3</v>
      </c>
      <c r="AZ1092">
        <v>105.414</v>
      </c>
      <c r="BA1092">
        <v>0</v>
      </c>
      <c r="BB1092">
        <v>0</v>
      </c>
      <c r="BC1092">
        <v>0</v>
      </c>
      <c r="BD1092">
        <v>0</v>
      </c>
    </row>
    <row r="1093" spans="1:56" x14ac:dyDescent="0.25">
      <c r="A1093" s="23">
        <v>46304</v>
      </c>
      <c r="B1093">
        <v>1092</v>
      </c>
      <c r="C1093" t="s">
        <v>82</v>
      </c>
      <c r="D1093" t="s">
        <v>83</v>
      </c>
      <c r="E1093">
        <v>2</v>
      </c>
      <c r="F1093">
        <v>180</v>
      </c>
      <c r="G1093">
        <v>1</v>
      </c>
      <c r="H1093" t="s">
        <v>96</v>
      </c>
      <c r="I1093" t="s">
        <v>91</v>
      </c>
      <c r="J1093" t="s">
        <v>97</v>
      </c>
      <c r="K1093" t="s">
        <v>86</v>
      </c>
      <c r="L1093" t="s">
        <v>71</v>
      </c>
      <c r="M1093" t="s">
        <v>87</v>
      </c>
      <c r="O1093" t="s">
        <v>88</v>
      </c>
      <c r="P1093" t="s">
        <v>27</v>
      </c>
      <c r="Q1093" t="s">
        <v>73</v>
      </c>
      <c r="R1093" t="s">
        <v>76</v>
      </c>
      <c r="S1093" t="s">
        <v>74</v>
      </c>
      <c r="T1093" t="s">
        <v>75</v>
      </c>
      <c r="X1093" t="s">
        <v>77</v>
      </c>
      <c r="Z1093" t="s">
        <v>72</v>
      </c>
      <c r="AA1093" t="s">
        <v>94</v>
      </c>
      <c r="AB1093">
        <v>5</v>
      </c>
      <c r="AC1093">
        <v>748768.67</v>
      </c>
      <c r="AD1093">
        <v>8930444.9399999995</v>
      </c>
      <c r="AE1093">
        <v>189.88</v>
      </c>
      <c r="AF1093">
        <v>748768.67</v>
      </c>
      <c r="AG1093">
        <v>8930444.9399999995</v>
      </c>
      <c r="AH1093">
        <v>179.4</v>
      </c>
      <c r="AI1093">
        <v>10.48</v>
      </c>
      <c r="AJ1093">
        <v>0.6</v>
      </c>
      <c r="AK1093">
        <v>3.37</v>
      </c>
      <c r="AL1093">
        <v>2.93</v>
      </c>
      <c r="AM1093">
        <v>0</v>
      </c>
      <c r="AN1093">
        <v>0</v>
      </c>
      <c r="AO1093">
        <v>358</v>
      </c>
      <c r="AP1093">
        <v>3.5</v>
      </c>
      <c r="AQ1093">
        <v>0.77</v>
      </c>
      <c r="AR1093">
        <v>0.13</v>
      </c>
      <c r="AS1093">
        <v>0.1</v>
      </c>
      <c r="AT1093">
        <v>21.59</v>
      </c>
      <c r="AU1093">
        <v>6.85</v>
      </c>
      <c r="AV1093">
        <v>0.37</v>
      </c>
      <c r="AW1093">
        <v>2.1</v>
      </c>
      <c r="AX1093">
        <v>8.26</v>
      </c>
      <c r="AY1093">
        <v>3.3</v>
      </c>
      <c r="AZ1093">
        <v>104.541</v>
      </c>
      <c r="BA1093">
        <v>0</v>
      </c>
      <c r="BB1093">
        <v>0</v>
      </c>
      <c r="BC1093">
        <v>0</v>
      </c>
      <c r="BD1093">
        <v>0</v>
      </c>
    </row>
    <row r="1094" spans="1:56" x14ac:dyDescent="0.25">
      <c r="A1094" s="23">
        <v>46304</v>
      </c>
      <c r="B1094">
        <v>1093</v>
      </c>
      <c r="C1094" t="s">
        <v>82</v>
      </c>
      <c r="D1094" t="s">
        <v>83</v>
      </c>
      <c r="E1094">
        <v>2</v>
      </c>
      <c r="F1094">
        <v>180</v>
      </c>
      <c r="G1094">
        <v>1</v>
      </c>
      <c r="H1094" t="s">
        <v>96</v>
      </c>
      <c r="I1094" t="s">
        <v>91</v>
      </c>
      <c r="J1094" t="s">
        <v>97</v>
      </c>
      <c r="K1094" t="s">
        <v>86</v>
      </c>
      <c r="L1094" t="s">
        <v>71</v>
      </c>
      <c r="M1094" t="s">
        <v>87</v>
      </c>
      <c r="O1094" t="s">
        <v>88</v>
      </c>
      <c r="P1094" t="s">
        <v>27</v>
      </c>
      <c r="Q1094" t="s">
        <v>73</v>
      </c>
      <c r="R1094" t="s">
        <v>76</v>
      </c>
      <c r="S1094" t="s">
        <v>74</v>
      </c>
      <c r="T1094" t="s">
        <v>75</v>
      </c>
      <c r="X1094" t="s">
        <v>77</v>
      </c>
      <c r="Z1094" t="s">
        <v>72</v>
      </c>
      <c r="AA1094" t="s">
        <v>94</v>
      </c>
      <c r="AB1094">
        <v>5</v>
      </c>
      <c r="AC1094">
        <v>748766.68</v>
      </c>
      <c r="AD1094">
        <v>8930443.4299999997</v>
      </c>
      <c r="AE1094">
        <v>189.85</v>
      </c>
      <c r="AF1094">
        <v>748766.68</v>
      </c>
      <c r="AG1094">
        <v>8930443.4299999997</v>
      </c>
      <c r="AH1094">
        <v>179.4</v>
      </c>
      <c r="AI1094">
        <v>10.45</v>
      </c>
      <c r="AJ1094">
        <v>0.6</v>
      </c>
      <c r="AK1094">
        <v>3.37</v>
      </c>
      <c r="AL1094">
        <v>2.93</v>
      </c>
      <c r="AM1094">
        <v>0</v>
      </c>
      <c r="AN1094">
        <v>0</v>
      </c>
      <c r="AO1094">
        <v>358</v>
      </c>
      <c r="AP1094">
        <v>3.49</v>
      </c>
      <c r="AQ1094">
        <v>0.76</v>
      </c>
      <c r="AR1094">
        <v>0.13</v>
      </c>
      <c r="AS1094">
        <v>0.1</v>
      </c>
      <c r="AT1094">
        <v>21.56</v>
      </c>
      <c r="AU1094">
        <v>6.78</v>
      </c>
      <c r="AV1094">
        <v>0.36</v>
      </c>
      <c r="AW1094">
        <v>2.08</v>
      </c>
      <c r="AX1094">
        <v>8.39</v>
      </c>
      <c r="AY1094">
        <v>3.3</v>
      </c>
      <c r="AZ1094">
        <v>104.104</v>
      </c>
      <c r="BA1094">
        <v>0</v>
      </c>
      <c r="BB1094">
        <v>0</v>
      </c>
      <c r="BC1094">
        <v>0</v>
      </c>
      <c r="BD1094">
        <v>0</v>
      </c>
    </row>
    <row r="1095" spans="1:56" x14ac:dyDescent="0.25">
      <c r="A1095" s="23">
        <v>46304</v>
      </c>
      <c r="B1095">
        <v>1094</v>
      </c>
      <c r="C1095" t="s">
        <v>82</v>
      </c>
      <c r="D1095" t="s">
        <v>83</v>
      </c>
      <c r="E1095">
        <v>2</v>
      </c>
      <c r="F1095">
        <v>180</v>
      </c>
      <c r="G1095">
        <v>1</v>
      </c>
      <c r="H1095" t="s">
        <v>96</v>
      </c>
      <c r="I1095" t="s">
        <v>91</v>
      </c>
      <c r="J1095" t="s">
        <v>97</v>
      </c>
      <c r="K1095" t="s">
        <v>86</v>
      </c>
      <c r="L1095" t="s">
        <v>71</v>
      </c>
      <c r="M1095" t="s">
        <v>87</v>
      </c>
      <c r="O1095" t="s">
        <v>88</v>
      </c>
      <c r="P1095" t="s">
        <v>27</v>
      </c>
      <c r="Q1095" t="s">
        <v>73</v>
      </c>
      <c r="R1095" t="s">
        <v>76</v>
      </c>
      <c r="S1095" t="s">
        <v>74</v>
      </c>
      <c r="T1095" t="s">
        <v>75</v>
      </c>
      <c r="X1095" t="s">
        <v>77</v>
      </c>
      <c r="Z1095" t="s">
        <v>72</v>
      </c>
      <c r="AA1095" t="s">
        <v>94</v>
      </c>
      <c r="AB1095">
        <v>5</v>
      </c>
      <c r="AC1095">
        <v>748775.91</v>
      </c>
      <c r="AD1095">
        <v>8930449.1199999992</v>
      </c>
      <c r="AE1095">
        <v>190.01</v>
      </c>
      <c r="AF1095">
        <v>748775.91</v>
      </c>
      <c r="AG1095">
        <v>8930449.1199999992</v>
      </c>
      <c r="AH1095">
        <v>179.4</v>
      </c>
      <c r="AI1095">
        <v>10.61</v>
      </c>
      <c r="AJ1095">
        <v>0.6</v>
      </c>
      <c r="AK1095">
        <v>3.37</v>
      </c>
      <c r="AL1095">
        <v>2.93</v>
      </c>
      <c r="AM1095">
        <v>0</v>
      </c>
      <c r="AN1095">
        <v>0</v>
      </c>
      <c r="AO1095">
        <v>358</v>
      </c>
      <c r="AP1095">
        <v>3.55</v>
      </c>
      <c r="AQ1095">
        <v>0.83</v>
      </c>
      <c r="AR1095">
        <v>0.13</v>
      </c>
      <c r="AS1095">
        <v>0.11</v>
      </c>
      <c r="AT1095">
        <v>21.79</v>
      </c>
      <c r="AU1095">
        <v>7.24</v>
      </c>
      <c r="AV1095">
        <v>0.37</v>
      </c>
      <c r="AW1095">
        <v>2.23</v>
      </c>
      <c r="AX1095">
        <v>7.3</v>
      </c>
      <c r="AY1095">
        <v>3.3</v>
      </c>
      <c r="AZ1095">
        <v>106.434</v>
      </c>
      <c r="BA1095">
        <v>0</v>
      </c>
      <c r="BB1095">
        <v>0</v>
      </c>
      <c r="BC1095">
        <v>0</v>
      </c>
      <c r="BD1095">
        <v>0</v>
      </c>
    </row>
    <row r="1096" spans="1:56" x14ac:dyDescent="0.25">
      <c r="A1096" s="23">
        <v>46304</v>
      </c>
      <c r="B1096">
        <v>1095</v>
      </c>
      <c r="C1096" t="s">
        <v>82</v>
      </c>
      <c r="D1096" t="s">
        <v>83</v>
      </c>
      <c r="E1096">
        <v>2</v>
      </c>
      <c r="F1096">
        <v>180</v>
      </c>
      <c r="G1096">
        <v>1</v>
      </c>
      <c r="H1096" t="s">
        <v>96</v>
      </c>
      <c r="I1096" t="s">
        <v>91</v>
      </c>
      <c r="J1096" t="s">
        <v>97</v>
      </c>
      <c r="K1096" t="s">
        <v>86</v>
      </c>
      <c r="L1096" t="s">
        <v>71</v>
      </c>
      <c r="M1096" t="s">
        <v>87</v>
      </c>
      <c r="O1096" t="s">
        <v>88</v>
      </c>
      <c r="P1096" t="s">
        <v>27</v>
      </c>
      <c r="Q1096" t="s">
        <v>73</v>
      </c>
      <c r="R1096" t="s">
        <v>76</v>
      </c>
      <c r="S1096" t="s">
        <v>74</v>
      </c>
      <c r="T1096" t="s">
        <v>75</v>
      </c>
      <c r="X1096" t="s">
        <v>77</v>
      </c>
      <c r="Z1096" t="s">
        <v>72</v>
      </c>
      <c r="AA1096" t="s">
        <v>94</v>
      </c>
      <c r="AB1096">
        <v>5</v>
      </c>
      <c r="AC1096">
        <v>748777.67</v>
      </c>
      <c r="AD1096">
        <v>8930450.6899999995</v>
      </c>
      <c r="AE1096">
        <v>189.99</v>
      </c>
      <c r="AF1096">
        <v>748777.67</v>
      </c>
      <c r="AG1096">
        <v>8930450.6899999995</v>
      </c>
      <c r="AH1096">
        <v>179.4</v>
      </c>
      <c r="AI1096">
        <v>10.59</v>
      </c>
      <c r="AJ1096">
        <v>0.6</v>
      </c>
      <c r="AK1096">
        <v>3.37</v>
      </c>
      <c r="AL1096">
        <v>2.93</v>
      </c>
      <c r="AM1096">
        <v>0</v>
      </c>
      <c r="AN1096">
        <v>0</v>
      </c>
      <c r="AO1096">
        <v>358</v>
      </c>
      <c r="AP1096">
        <v>3.48</v>
      </c>
      <c r="AQ1096">
        <v>0.8</v>
      </c>
      <c r="AR1096">
        <v>0.13</v>
      </c>
      <c r="AS1096">
        <v>0.1</v>
      </c>
      <c r="AT1096">
        <v>21.75</v>
      </c>
      <c r="AU1096">
        <v>7.17</v>
      </c>
      <c r="AV1096">
        <v>0.36</v>
      </c>
      <c r="AW1096">
        <v>2.23</v>
      </c>
      <c r="AX1096">
        <v>7.18</v>
      </c>
      <c r="AY1096">
        <v>3.3</v>
      </c>
      <c r="AZ1096">
        <v>106.142</v>
      </c>
      <c r="BA1096">
        <v>0</v>
      </c>
      <c r="BB1096">
        <v>0</v>
      </c>
      <c r="BC1096">
        <v>0</v>
      </c>
      <c r="BD1096">
        <v>0</v>
      </c>
    </row>
    <row r="1097" spans="1:56" x14ac:dyDescent="0.25">
      <c r="A1097" s="23">
        <v>46304</v>
      </c>
      <c r="B1097">
        <v>1096</v>
      </c>
      <c r="C1097" t="s">
        <v>82</v>
      </c>
      <c r="D1097" t="s">
        <v>83</v>
      </c>
      <c r="E1097">
        <v>2</v>
      </c>
      <c r="F1097">
        <v>180</v>
      </c>
      <c r="G1097">
        <v>1</v>
      </c>
      <c r="H1097" t="s">
        <v>96</v>
      </c>
      <c r="I1097" t="s">
        <v>91</v>
      </c>
      <c r="J1097" t="s">
        <v>97</v>
      </c>
      <c r="K1097" t="s">
        <v>86</v>
      </c>
      <c r="L1097" t="s">
        <v>71</v>
      </c>
      <c r="M1097" t="s">
        <v>87</v>
      </c>
      <c r="O1097" t="s">
        <v>88</v>
      </c>
      <c r="P1097" t="s">
        <v>27</v>
      </c>
      <c r="Q1097" t="s">
        <v>73</v>
      </c>
      <c r="R1097" t="s">
        <v>76</v>
      </c>
      <c r="S1097" t="s">
        <v>74</v>
      </c>
      <c r="T1097" t="s">
        <v>75</v>
      </c>
      <c r="X1097" t="s">
        <v>77</v>
      </c>
      <c r="Z1097" t="s">
        <v>72</v>
      </c>
      <c r="AA1097" t="s">
        <v>94</v>
      </c>
      <c r="AB1097">
        <v>5</v>
      </c>
      <c r="AC1097">
        <v>748779.91</v>
      </c>
      <c r="AD1097">
        <v>8930453.2200000007</v>
      </c>
      <c r="AE1097">
        <v>190.16</v>
      </c>
      <c r="AF1097">
        <v>748779.91</v>
      </c>
      <c r="AG1097">
        <v>8930453.2200000007</v>
      </c>
      <c r="AH1097">
        <v>179.4</v>
      </c>
      <c r="AI1097">
        <v>10.76</v>
      </c>
      <c r="AJ1097">
        <v>0.6</v>
      </c>
      <c r="AK1097">
        <v>3.37</v>
      </c>
      <c r="AL1097">
        <v>2.93</v>
      </c>
      <c r="AM1097">
        <v>0</v>
      </c>
      <c r="AN1097">
        <v>0</v>
      </c>
      <c r="AO1097">
        <v>358</v>
      </c>
      <c r="AP1097">
        <v>3.43</v>
      </c>
      <c r="AQ1097">
        <v>0.77</v>
      </c>
      <c r="AR1097">
        <v>0.11</v>
      </c>
      <c r="AS1097">
        <v>0.1</v>
      </c>
      <c r="AT1097">
        <v>20.52</v>
      </c>
      <c r="AU1097">
        <v>7.13</v>
      </c>
      <c r="AV1097">
        <v>0.34</v>
      </c>
      <c r="AW1097">
        <v>2.25</v>
      </c>
      <c r="AX1097">
        <v>3.82</v>
      </c>
      <c r="AY1097">
        <v>3.3</v>
      </c>
      <c r="AZ1097">
        <v>108.61799999999999</v>
      </c>
      <c r="BA1097">
        <v>0</v>
      </c>
      <c r="BB1097">
        <v>0</v>
      </c>
      <c r="BC1097">
        <v>0</v>
      </c>
      <c r="BD1097">
        <v>0</v>
      </c>
    </row>
    <row r="1098" spans="1:56" x14ac:dyDescent="0.25">
      <c r="A1098" s="23">
        <v>46304</v>
      </c>
      <c r="B1098">
        <v>1097</v>
      </c>
      <c r="C1098" t="s">
        <v>82</v>
      </c>
      <c r="D1098" t="s">
        <v>83</v>
      </c>
      <c r="E1098">
        <v>2</v>
      </c>
      <c r="F1098">
        <v>180</v>
      </c>
      <c r="G1098">
        <v>1</v>
      </c>
      <c r="H1098" t="s">
        <v>96</v>
      </c>
      <c r="I1098" t="s">
        <v>91</v>
      </c>
      <c r="J1098" t="s">
        <v>97</v>
      </c>
      <c r="K1098" t="s">
        <v>86</v>
      </c>
      <c r="L1098" t="s">
        <v>71</v>
      </c>
      <c r="M1098" t="s">
        <v>87</v>
      </c>
      <c r="O1098" t="s">
        <v>88</v>
      </c>
      <c r="P1098" t="s">
        <v>27</v>
      </c>
      <c r="Q1098" t="s">
        <v>73</v>
      </c>
      <c r="R1098" t="s">
        <v>76</v>
      </c>
      <c r="S1098" t="s">
        <v>74</v>
      </c>
      <c r="T1098" t="s">
        <v>75</v>
      </c>
      <c r="X1098" t="s">
        <v>77</v>
      </c>
      <c r="Z1098" t="s">
        <v>72</v>
      </c>
      <c r="AA1098" t="s">
        <v>94</v>
      </c>
      <c r="AB1098">
        <v>5</v>
      </c>
      <c r="AC1098">
        <v>748782.65</v>
      </c>
      <c r="AD1098">
        <v>8930455.1600000001</v>
      </c>
      <c r="AE1098">
        <v>190.21</v>
      </c>
      <c r="AF1098">
        <v>748782.65</v>
      </c>
      <c r="AG1098">
        <v>8930455.1600000001</v>
      </c>
      <c r="AH1098">
        <v>179.4</v>
      </c>
      <c r="AI1098">
        <v>10.81</v>
      </c>
      <c r="AJ1098">
        <v>0.6</v>
      </c>
      <c r="AK1098">
        <v>3.37</v>
      </c>
      <c r="AL1098">
        <v>2.93</v>
      </c>
      <c r="AM1098">
        <v>0</v>
      </c>
      <c r="AN1098">
        <v>0</v>
      </c>
      <c r="AO1098">
        <v>358</v>
      </c>
      <c r="AP1098">
        <v>3.42</v>
      </c>
      <c r="AQ1098">
        <v>0.75</v>
      </c>
      <c r="AR1098">
        <v>0.1</v>
      </c>
      <c r="AS1098">
        <v>0.09</v>
      </c>
      <c r="AT1098">
        <v>19.18</v>
      </c>
      <c r="AU1098">
        <v>7.15</v>
      </c>
      <c r="AV1098">
        <v>0.33</v>
      </c>
      <c r="AW1098">
        <v>2.2799999999999998</v>
      </c>
      <c r="AX1098">
        <v>0.15</v>
      </c>
      <c r="AY1098">
        <v>3.3</v>
      </c>
      <c r="AZ1098">
        <v>109.346</v>
      </c>
      <c r="BA1098">
        <v>0</v>
      </c>
      <c r="BB1098">
        <v>0</v>
      </c>
      <c r="BC1098">
        <v>0</v>
      </c>
      <c r="BD1098">
        <v>0</v>
      </c>
    </row>
    <row r="1099" spans="1:56" x14ac:dyDescent="0.25">
      <c r="A1099" s="23">
        <v>46304</v>
      </c>
      <c r="B1099">
        <v>1098</v>
      </c>
      <c r="C1099" t="s">
        <v>82</v>
      </c>
      <c r="D1099" t="s">
        <v>83</v>
      </c>
      <c r="E1099">
        <v>2</v>
      </c>
      <c r="F1099">
        <v>180</v>
      </c>
      <c r="G1099">
        <v>1</v>
      </c>
      <c r="H1099" t="s">
        <v>96</v>
      </c>
      <c r="I1099" t="s">
        <v>91</v>
      </c>
      <c r="J1099" t="s">
        <v>97</v>
      </c>
      <c r="K1099" t="s">
        <v>86</v>
      </c>
      <c r="L1099" t="s">
        <v>71</v>
      </c>
      <c r="M1099" t="s">
        <v>87</v>
      </c>
      <c r="O1099" t="s">
        <v>88</v>
      </c>
      <c r="P1099" t="s">
        <v>27</v>
      </c>
      <c r="Q1099" t="s">
        <v>73</v>
      </c>
      <c r="R1099" t="s">
        <v>76</v>
      </c>
      <c r="S1099" t="s">
        <v>74</v>
      </c>
      <c r="T1099" t="s">
        <v>75</v>
      </c>
      <c r="X1099" t="s">
        <v>77</v>
      </c>
      <c r="Z1099" t="s">
        <v>72</v>
      </c>
      <c r="AA1099" t="s">
        <v>94</v>
      </c>
      <c r="AB1099">
        <v>5</v>
      </c>
      <c r="AC1099">
        <v>748785.49</v>
      </c>
      <c r="AD1099">
        <v>8930456.9800000004</v>
      </c>
      <c r="AE1099">
        <v>190.3</v>
      </c>
      <c r="AF1099">
        <v>748785.49</v>
      </c>
      <c r="AG1099">
        <v>8930456.9800000004</v>
      </c>
      <c r="AH1099">
        <v>179.4</v>
      </c>
      <c r="AI1099">
        <v>10.9</v>
      </c>
      <c r="AJ1099">
        <v>0.6</v>
      </c>
      <c r="AK1099">
        <v>3.37</v>
      </c>
      <c r="AL1099">
        <v>2.93</v>
      </c>
      <c r="AM1099">
        <v>0</v>
      </c>
      <c r="AN1099">
        <v>0</v>
      </c>
      <c r="AO1099">
        <v>358</v>
      </c>
      <c r="AP1099">
        <v>3.42</v>
      </c>
      <c r="AQ1099">
        <v>0.75</v>
      </c>
      <c r="AR1099">
        <v>0.1</v>
      </c>
      <c r="AS1099">
        <v>0.09</v>
      </c>
      <c r="AT1099">
        <v>19.2</v>
      </c>
      <c r="AU1099">
        <v>7.15</v>
      </c>
      <c r="AV1099">
        <v>0.33</v>
      </c>
      <c r="AW1099">
        <v>2.2799999999999998</v>
      </c>
      <c r="AX1099">
        <v>0.21</v>
      </c>
      <c r="AY1099">
        <v>3.3</v>
      </c>
      <c r="AZ1099">
        <v>110.65600000000001</v>
      </c>
      <c r="BA1099">
        <v>0</v>
      </c>
      <c r="BB1099">
        <v>0</v>
      </c>
      <c r="BC1099">
        <v>0</v>
      </c>
      <c r="BD1099">
        <v>0</v>
      </c>
    </row>
    <row r="1100" spans="1:56" x14ac:dyDescent="0.25">
      <c r="A1100" s="23">
        <v>46304</v>
      </c>
      <c r="B1100">
        <v>1099</v>
      </c>
      <c r="C1100" t="s">
        <v>82</v>
      </c>
      <c r="D1100" t="s">
        <v>83</v>
      </c>
      <c r="E1100">
        <v>2</v>
      </c>
      <c r="F1100">
        <v>180</v>
      </c>
      <c r="G1100">
        <v>1</v>
      </c>
      <c r="H1100" t="s">
        <v>96</v>
      </c>
      <c r="I1100" t="s">
        <v>91</v>
      </c>
      <c r="J1100" t="s">
        <v>97</v>
      </c>
      <c r="K1100" t="s">
        <v>86</v>
      </c>
      <c r="L1100" t="s">
        <v>71</v>
      </c>
      <c r="M1100" t="s">
        <v>87</v>
      </c>
      <c r="O1100" t="s">
        <v>88</v>
      </c>
      <c r="P1100" t="s">
        <v>27</v>
      </c>
      <c r="Q1100" t="s">
        <v>73</v>
      </c>
      <c r="R1100" t="s">
        <v>76</v>
      </c>
      <c r="S1100" t="s">
        <v>74</v>
      </c>
      <c r="T1100" t="s">
        <v>75</v>
      </c>
      <c r="X1100" t="s">
        <v>77</v>
      </c>
      <c r="Z1100" t="s">
        <v>72</v>
      </c>
      <c r="AA1100" t="s">
        <v>94</v>
      </c>
      <c r="AB1100">
        <v>5</v>
      </c>
      <c r="AC1100">
        <v>748788.32</v>
      </c>
      <c r="AD1100">
        <v>8930458.8100000005</v>
      </c>
      <c r="AE1100">
        <v>190.33</v>
      </c>
      <c r="AF1100">
        <v>748788.32</v>
      </c>
      <c r="AG1100">
        <v>8930458.8100000005</v>
      </c>
      <c r="AH1100">
        <v>179.4</v>
      </c>
      <c r="AI1100">
        <v>10.93</v>
      </c>
      <c r="AJ1100">
        <v>0.6</v>
      </c>
      <c r="AK1100">
        <v>3.37</v>
      </c>
      <c r="AL1100">
        <v>2.93</v>
      </c>
      <c r="AM1100">
        <v>0</v>
      </c>
      <c r="AN1100">
        <v>0</v>
      </c>
      <c r="AO1100">
        <v>358</v>
      </c>
      <c r="AP1100">
        <v>3.41</v>
      </c>
      <c r="AQ1100">
        <v>0.73</v>
      </c>
      <c r="AR1100">
        <v>0.1</v>
      </c>
      <c r="AS1100">
        <v>0.09</v>
      </c>
      <c r="AT1100">
        <v>19.16</v>
      </c>
      <c r="AU1100">
        <v>7.08</v>
      </c>
      <c r="AV1100">
        <v>0.33</v>
      </c>
      <c r="AW1100">
        <v>2.25</v>
      </c>
      <c r="AX1100">
        <v>0.24</v>
      </c>
      <c r="AY1100">
        <v>3.3</v>
      </c>
      <c r="AZ1100">
        <v>111.093</v>
      </c>
      <c r="BA1100">
        <v>0</v>
      </c>
      <c r="BB1100">
        <v>0</v>
      </c>
      <c r="BC1100">
        <v>0</v>
      </c>
      <c r="BD1100">
        <v>0</v>
      </c>
    </row>
    <row r="1101" spans="1:56" x14ac:dyDescent="0.25">
      <c r="A1101" s="23">
        <v>46304</v>
      </c>
      <c r="B1101">
        <v>1100</v>
      </c>
      <c r="C1101" t="s">
        <v>82</v>
      </c>
      <c r="D1101" t="s">
        <v>83</v>
      </c>
      <c r="E1101">
        <v>2</v>
      </c>
      <c r="F1101">
        <v>180</v>
      </c>
      <c r="G1101">
        <v>1</v>
      </c>
      <c r="H1101" t="s">
        <v>96</v>
      </c>
      <c r="I1101" t="s">
        <v>91</v>
      </c>
      <c r="J1101" t="s">
        <v>85</v>
      </c>
      <c r="K1101" t="s">
        <v>86</v>
      </c>
      <c r="L1101" t="s">
        <v>71</v>
      </c>
      <c r="M1101" t="s">
        <v>87</v>
      </c>
      <c r="O1101" t="s">
        <v>88</v>
      </c>
      <c r="P1101" t="s">
        <v>27</v>
      </c>
      <c r="Q1101" t="s">
        <v>73</v>
      </c>
      <c r="R1101" t="s">
        <v>76</v>
      </c>
      <c r="S1101" t="s">
        <v>74</v>
      </c>
      <c r="T1101" t="s">
        <v>75</v>
      </c>
      <c r="X1101" t="s">
        <v>77</v>
      </c>
      <c r="Z1101" t="s">
        <v>72</v>
      </c>
      <c r="AA1101" t="s">
        <v>94</v>
      </c>
      <c r="AB1101">
        <v>5</v>
      </c>
      <c r="AC1101">
        <v>748791.15</v>
      </c>
      <c r="AD1101">
        <v>8930460.6300000008</v>
      </c>
      <c r="AE1101">
        <v>190.36</v>
      </c>
      <c r="AF1101">
        <v>748791.15</v>
      </c>
      <c r="AG1101">
        <v>8930460.6300000008</v>
      </c>
      <c r="AH1101">
        <v>179.4</v>
      </c>
      <c r="AI1101">
        <v>10.96</v>
      </c>
      <c r="AJ1101">
        <v>0.6</v>
      </c>
      <c r="AK1101">
        <v>3.37</v>
      </c>
      <c r="AL1101">
        <v>2.93</v>
      </c>
      <c r="AM1101">
        <v>0</v>
      </c>
      <c r="AN1101">
        <v>0</v>
      </c>
      <c r="AO1101">
        <v>358</v>
      </c>
      <c r="AP1101">
        <v>3.32</v>
      </c>
      <c r="AQ1101">
        <v>0.64</v>
      </c>
      <c r="AR1101">
        <v>0.09</v>
      </c>
      <c r="AS1101">
        <v>0.08</v>
      </c>
      <c r="AT1101">
        <v>18.239999999999998</v>
      </c>
      <c r="AU1101">
        <v>6.9</v>
      </c>
      <c r="AV1101">
        <v>0.31</v>
      </c>
      <c r="AW1101">
        <v>2.08</v>
      </c>
      <c r="AX1101">
        <v>0.27</v>
      </c>
      <c r="AY1101">
        <v>3.3</v>
      </c>
      <c r="AZ1101">
        <v>111.53</v>
      </c>
      <c r="BA1101">
        <v>0</v>
      </c>
      <c r="BB1101">
        <v>0</v>
      </c>
      <c r="BC1101">
        <v>0</v>
      </c>
      <c r="BD1101">
        <v>0</v>
      </c>
    </row>
    <row r="1102" spans="1:56" x14ac:dyDescent="0.25">
      <c r="A1102" s="23">
        <v>46304</v>
      </c>
      <c r="B1102">
        <v>1101</v>
      </c>
      <c r="C1102" t="s">
        <v>82</v>
      </c>
      <c r="D1102" t="s">
        <v>83</v>
      </c>
      <c r="E1102">
        <v>2</v>
      </c>
      <c r="F1102">
        <v>180</v>
      </c>
      <c r="G1102">
        <v>1</v>
      </c>
      <c r="H1102" t="s">
        <v>96</v>
      </c>
      <c r="I1102" t="s">
        <v>91</v>
      </c>
      <c r="J1102" t="s">
        <v>85</v>
      </c>
      <c r="K1102" t="s">
        <v>86</v>
      </c>
      <c r="L1102" t="s">
        <v>71</v>
      </c>
      <c r="M1102" t="s">
        <v>87</v>
      </c>
      <c r="O1102" t="s">
        <v>88</v>
      </c>
      <c r="P1102" t="s">
        <v>27</v>
      </c>
      <c r="Q1102" t="s">
        <v>73</v>
      </c>
      <c r="R1102" t="s">
        <v>76</v>
      </c>
      <c r="S1102" t="s">
        <v>74</v>
      </c>
      <c r="T1102" t="s">
        <v>75</v>
      </c>
      <c r="X1102" t="s">
        <v>77</v>
      </c>
      <c r="Z1102" t="s">
        <v>72</v>
      </c>
      <c r="AA1102" t="s">
        <v>94</v>
      </c>
      <c r="AB1102">
        <v>5</v>
      </c>
      <c r="AC1102">
        <v>748793.99</v>
      </c>
      <c r="AD1102">
        <v>8930462.4499999993</v>
      </c>
      <c r="AE1102">
        <v>190.43</v>
      </c>
      <c r="AF1102">
        <v>748793.99</v>
      </c>
      <c r="AG1102">
        <v>8930462.4499999993</v>
      </c>
      <c r="AH1102">
        <v>179.4</v>
      </c>
      <c r="AI1102">
        <v>11.03</v>
      </c>
      <c r="AJ1102">
        <v>0.6</v>
      </c>
      <c r="AK1102">
        <v>3.37</v>
      </c>
      <c r="AL1102">
        <v>2.93</v>
      </c>
      <c r="AM1102">
        <v>0</v>
      </c>
      <c r="AN1102">
        <v>0</v>
      </c>
      <c r="AO1102">
        <v>358</v>
      </c>
      <c r="AP1102">
        <v>3.3</v>
      </c>
      <c r="AQ1102">
        <v>0.62</v>
      </c>
      <c r="AR1102">
        <v>0.08</v>
      </c>
      <c r="AS1102">
        <v>0.08</v>
      </c>
      <c r="AT1102">
        <v>17.989999999999998</v>
      </c>
      <c r="AU1102">
        <v>6.86</v>
      </c>
      <c r="AV1102">
        <v>0.3</v>
      </c>
      <c r="AW1102">
        <v>2.0699999999999998</v>
      </c>
      <c r="AX1102">
        <v>0.28999999999999998</v>
      </c>
      <c r="AY1102">
        <v>3.3</v>
      </c>
      <c r="AZ1102">
        <v>112.54900000000001</v>
      </c>
      <c r="BA1102">
        <v>0</v>
      </c>
      <c r="BB1102">
        <v>0</v>
      </c>
      <c r="BC1102">
        <v>0</v>
      </c>
      <c r="BD1102">
        <v>0</v>
      </c>
    </row>
    <row r="1103" spans="1:56" x14ac:dyDescent="0.25">
      <c r="A1103" s="23">
        <v>46304</v>
      </c>
      <c r="B1103">
        <v>1102</v>
      </c>
      <c r="C1103" t="s">
        <v>82</v>
      </c>
      <c r="D1103" t="s">
        <v>83</v>
      </c>
      <c r="E1103">
        <v>2</v>
      </c>
      <c r="F1103">
        <v>180</v>
      </c>
      <c r="G1103">
        <v>1</v>
      </c>
      <c r="H1103" t="s">
        <v>96</v>
      </c>
      <c r="I1103" t="s">
        <v>91</v>
      </c>
      <c r="J1103" t="s">
        <v>85</v>
      </c>
      <c r="K1103" t="s">
        <v>86</v>
      </c>
      <c r="L1103" t="s">
        <v>71</v>
      </c>
      <c r="M1103" t="s">
        <v>87</v>
      </c>
      <c r="O1103" t="s">
        <v>88</v>
      </c>
      <c r="P1103" t="s">
        <v>27</v>
      </c>
      <c r="Q1103" t="s">
        <v>73</v>
      </c>
      <c r="R1103" t="s">
        <v>76</v>
      </c>
      <c r="S1103" t="s">
        <v>74</v>
      </c>
      <c r="T1103" t="s">
        <v>75</v>
      </c>
      <c r="X1103" t="s">
        <v>77</v>
      </c>
      <c r="Z1103" t="s">
        <v>72</v>
      </c>
      <c r="AA1103" t="s">
        <v>94</v>
      </c>
      <c r="AB1103">
        <v>5</v>
      </c>
      <c r="AC1103">
        <v>748797.07</v>
      </c>
      <c r="AD1103">
        <v>8930463.6899999995</v>
      </c>
      <c r="AE1103">
        <v>190.4</v>
      </c>
      <c r="AF1103">
        <v>748797.07</v>
      </c>
      <c r="AG1103">
        <v>8930463.6899999995</v>
      </c>
      <c r="AH1103">
        <v>179.4</v>
      </c>
      <c r="AI1103">
        <v>11</v>
      </c>
      <c r="AJ1103">
        <v>0.6</v>
      </c>
      <c r="AK1103">
        <v>3.37</v>
      </c>
      <c r="AL1103">
        <v>2.93</v>
      </c>
      <c r="AM1103">
        <v>0</v>
      </c>
      <c r="AN1103">
        <v>0</v>
      </c>
      <c r="AO1103">
        <v>358</v>
      </c>
      <c r="AP1103">
        <v>3.3</v>
      </c>
      <c r="AQ1103">
        <v>0.62</v>
      </c>
      <c r="AR1103">
        <v>0.08</v>
      </c>
      <c r="AS1103">
        <v>0.08</v>
      </c>
      <c r="AT1103">
        <v>17.98</v>
      </c>
      <c r="AU1103">
        <v>6.86</v>
      </c>
      <c r="AV1103">
        <v>0.3</v>
      </c>
      <c r="AW1103">
        <v>2.0699999999999998</v>
      </c>
      <c r="AX1103">
        <v>0.27</v>
      </c>
      <c r="AY1103">
        <v>3.3</v>
      </c>
      <c r="AZ1103">
        <v>112.11199999999999</v>
      </c>
      <c r="BA1103">
        <v>0</v>
      </c>
      <c r="BB1103">
        <v>0</v>
      </c>
      <c r="BC1103">
        <v>0</v>
      </c>
      <c r="BD1103">
        <v>0</v>
      </c>
    </row>
    <row r="1104" spans="1:56" x14ac:dyDescent="0.25">
      <c r="A1104" s="23">
        <v>46304</v>
      </c>
      <c r="B1104">
        <v>1103</v>
      </c>
      <c r="C1104" t="s">
        <v>82</v>
      </c>
      <c r="D1104" t="s">
        <v>83</v>
      </c>
      <c r="E1104">
        <v>2</v>
      </c>
      <c r="F1104">
        <v>180</v>
      </c>
      <c r="G1104">
        <v>1</v>
      </c>
      <c r="H1104" t="s">
        <v>96</v>
      </c>
      <c r="I1104" t="s">
        <v>91</v>
      </c>
      <c r="J1104" t="s">
        <v>85</v>
      </c>
      <c r="K1104" t="s">
        <v>86</v>
      </c>
      <c r="L1104" t="s">
        <v>71</v>
      </c>
      <c r="M1104" t="s">
        <v>87</v>
      </c>
      <c r="O1104" t="s">
        <v>88</v>
      </c>
      <c r="P1104" t="s">
        <v>27</v>
      </c>
      <c r="Q1104" t="s">
        <v>73</v>
      </c>
      <c r="R1104" t="s">
        <v>76</v>
      </c>
      <c r="S1104" t="s">
        <v>74</v>
      </c>
      <c r="T1104" t="s">
        <v>75</v>
      </c>
      <c r="X1104" t="s">
        <v>77</v>
      </c>
      <c r="Z1104" t="s">
        <v>72</v>
      </c>
      <c r="AA1104" t="s">
        <v>94</v>
      </c>
      <c r="AB1104">
        <v>5</v>
      </c>
      <c r="AC1104">
        <v>748801.92</v>
      </c>
      <c r="AD1104">
        <v>8930465.1699999999</v>
      </c>
      <c r="AE1104">
        <v>193.84</v>
      </c>
      <c r="AF1104">
        <v>748800.81</v>
      </c>
      <c r="AG1104">
        <v>8930464.5800000001</v>
      </c>
      <c r="AH1104">
        <v>179.4</v>
      </c>
      <c r="AI1104">
        <v>14.49</v>
      </c>
      <c r="AJ1104">
        <v>0.6</v>
      </c>
      <c r="AK1104">
        <v>3.37</v>
      </c>
      <c r="AL1104">
        <v>2.93</v>
      </c>
      <c r="AM1104">
        <v>242</v>
      </c>
      <c r="AN1104">
        <v>5</v>
      </c>
      <c r="AO1104">
        <v>358</v>
      </c>
      <c r="AP1104">
        <v>3.31</v>
      </c>
      <c r="AQ1104">
        <v>0.66</v>
      </c>
      <c r="AR1104">
        <v>0.09</v>
      </c>
      <c r="AS1104">
        <v>0.08</v>
      </c>
      <c r="AT1104">
        <v>18.41</v>
      </c>
      <c r="AU1104">
        <v>6.61</v>
      </c>
      <c r="AV1104">
        <v>0.31</v>
      </c>
      <c r="AW1104">
        <v>2.12</v>
      </c>
      <c r="AX1104">
        <v>2.11</v>
      </c>
      <c r="AY1104">
        <v>3.3</v>
      </c>
      <c r="AZ1104">
        <v>162.92599999999999</v>
      </c>
      <c r="BA1104">
        <v>0</v>
      </c>
      <c r="BB1104">
        <v>0</v>
      </c>
      <c r="BC1104">
        <v>0</v>
      </c>
      <c r="BD1104">
        <v>0</v>
      </c>
    </row>
    <row r="1105" spans="1:56" x14ac:dyDescent="0.25">
      <c r="A1105" s="23">
        <v>46304</v>
      </c>
      <c r="B1105">
        <v>1104</v>
      </c>
      <c r="C1105" t="s">
        <v>82</v>
      </c>
      <c r="D1105" t="s">
        <v>83</v>
      </c>
      <c r="E1105">
        <v>2</v>
      </c>
      <c r="F1105">
        <v>180</v>
      </c>
      <c r="G1105">
        <v>1</v>
      </c>
      <c r="H1105" t="s">
        <v>96</v>
      </c>
      <c r="I1105" t="s">
        <v>91</v>
      </c>
      <c r="J1105" t="s">
        <v>85</v>
      </c>
      <c r="K1105" t="s">
        <v>86</v>
      </c>
      <c r="L1105" t="s">
        <v>71</v>
      </c>
      <c r="M1105" t="s">
        <v>87</v>
      </c>
      <c r="O1105" t="s">
        <v>88</v>
      </c>
      <c r="P1105" t="s">
        <v>27</v>
      </c>
      <c r="Q1105" t="s">
        <v>73</v>
      </c>
      <c r="R1105" t="s">
        <v>76</v>
      </c>
      <c r="S1105" t="s">
        <v>74</v>
      </c>
      <c r="T1105" t="s">
        <v>75</v>
      </c>
      <c r="X1105" t="s">
        <v>77</v>
      </c>
      <c r="Z1105" t="s">
        <v>72</v>
      </c>
      <c r="AA1105" t="s">
        <v>94</v>
      </c>
      <c r="AB1105">
        <v>5</v>
      </c>
      <c r="AC1105">
        <v>748803.56</v>
      </c>
      <c r="AD1105">
        <v>8930466.1799999997</v>
      </c>
      <c r="AE1105">
        <v>194.27</v>
      </c>
      <c r="AF1105">
        <v>748803.56</v>
      </c>
      <c r="AG1105">
        <v>8930466.1799999997</v>
      </c>
      <c r="AH1105">
        <v>179.4</v>
      </c>
      <c r="AI1105">
        <v>14.87</v>
      </c>
      <c r="AJ1105">
        <v>0.6</v>
      </c>
      <c r="AK1105">
        <v>3.37</v>
      </c>
      <c r="AL1105">
        <v>2.93</v>
      </c>
      <c r="AM1105">
        <v>0</v>
      </c>
      <c r="AN1105">
        <v>0</v>
      </c>
      <c r="AO1105">
        <v>358</v>
      </c>
      <c r="AP1105">
        <v>3.31</v>
      </c>
      <c r="AQ1105">
        <v>0.66</v>
      </c>
      <c r="AR1105">
        <v>0.09</v>
      </c>
      <c r="AS1105">
        <v>0.08</v>
      </c>
      <c r="AT1105">
        <v>18.45</v>
      </c>
      <c r="AU1105">
        <v>6.57</v>
      </c>
      <c r="AV1105">
        <v>0.31</v>
      </c>
      <c r="AW1105">
        <v>2.13</v>
      </c>
      <c r="AX1105">
        <v>2.29</v>
      </c>
      <c r="AY1105">
        <v>3.3</v>
      </c>
      <c r="AZ1105">
        <v>168.459</v>
      </c>
      <c r="BA1105">
        <v>0</v>
      </c>
      <c r="BB1105">
        <v>0</v>
      </c>
      <c r="BC1105">
        <v>0</v>
      </c>
      <c r="BD1105">
        <v>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370A-3B2F-4AF5-A1C2-633E4FBA4F2E}">
  <dimension ref="A1:D2302"/>
  <sheetViews>
    <sheetView workbookViewId="0">
      <selection sqref="A1:D1048576"/>
    </sheetView>
  </sheetViews>
  <sheetFormatPr defaultRowHeight="15" x14ac:dyDescent="0.25"/>
  <cols>
    <col min="1" max="1" width="9.140625" style="2"/>
    <col min="2" max="2" width="9.5703125" style="2" bestFit="1" customWidth="1"/>
    <col min="3" max="3" width="10.5703125" style="2" bestFit="1" customWidth="1"/>
    <col min="4" max="4" width="9.42578125" style="2" bestFit="1" customWidth="1"/>
  </cols>
  <sheetData>
    <row r="1" spans="1:1" x14ac:dyDescent="0.25">
      <c r="A1" s="1"/>
    </row>
    <row r="2" spans="1:1" x14ac:dyDescent="0.25">
      <c r="A2" s="1"/>
    </row>
    <row r="3" spans="1:1" x14ac:dyDescent="0.25">
      <c r="A3" s="1"/>
    </row>
    <row r="4" spans="1:1" x14ac:dyDescent="0.25">
      <c r="A4" s="1"/>
    </row>
    <row r="5" spans="1:1" x14ac:dyDescent="0.25">
      <c r="A5" s="1"/>
    </row>
    <row r="6" spans="1:1" x14ac:dyDescent="0.25">
      <c r="A6" s="1"/>
    </row>
    <row r="7" spans="1:1" x14ac:dyDescent="0.25">
      <c r="A7" s="1"/>
    </row>
    <row r="8" spans="1:1" x14ac:dyDescent="0.25">
      <c r="A8" s="1"/>
    </row>
    <row r="9" spans="1:1" x14ac:dyDescent="0.25">
      <c r="A9" s="1"/>
    </row>
    <row r="10" spans="1:1" x14ac:dyDescent="0.25">
      <c r="A10" s="1"/>
    </row>
    <row r="11" spans="1:1" x14ac:dyDescent="0.25">
      <c r="A11" s="1"/>
    </row>
    <row r="12" spans="1:1" x14ac:dyDescent="0.25">
      <c r="A12" s="1"/>
    </row>
    <row r="13" spans="1:1" x14ac:dyDescent="0.25">
      <c r="A13" s="1"/>
    </row>
    <row r="14" spans="1:1" x14ac:dyDescent="0.25">
      <c r="A14" s="1"/>
    </row>
    <row r="15" spans="1:1" x14ac:dyDescent="0.25">
      <c r="A15" s="1"/>
    </row>
    <row r="16" spans="1:1"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row r="97" spans="1:1" x14ac:dyDescent="0.25">
      <c r="A97" s="1"/>
    </row>
    <row r="98" spans="1:1" x14ac:dyDescent="0.25">
      <c r="A98" s="1"/>
    </row>
    <row r="99" spans="1:1" x14ac:dyDescent="0.25">
      <c r="A99" s="1"/>
    </row>
    <row r="100" spans="1:1" x14ac:dyDescent="0.25">
      <c r="A100" s="1"/>
    </row>
    <row r="101" spans="1:1" x14ac:dyDescent="0.25">
      <c r="A101" s="1"/>
    </row>
    <row r="102" spans="1:1" x14ac:dyDescent="0.25">
      <c r="A102" s="1"/>
    </row>
    <row r="103" spans="1:1" x14ac:dyDescent="0.25">
      <c r="A103" s="1"/>
    </row>
    <row r="104" spans="1:1" x14ac:dyDescent="0.25">
      <c r="A104" s="1"/>
    </row>
    <row r="105" spans="1:1" x14ac:dyDescent="0.25">
      <c r="A105" s="1"/>
    </row>
    <row r="106" spans="1:1" x14ac:dyDescent="0.25">
      <c r="A106" s="1"/>
    </row>
    <row r="107" spans="1:1" x14ac:dyDescent="0.25">
      <c r="A107" s="1"/>
    </row>
    <row r="108" spans="1:1" x14ac:dyDescent="0.25">
      <c r="A108" s="1"/>
    </row>
    <row r="109" spans="1:1" x14ac:dyDescent="0.25">
      <c r="A109" s="1"/>
    </row>
    <row r="110" spans="1:1" x14ac:dyDescent="0.25">
      <c r="A110" s="1"/>
    </row>
    <row r="111" spans="1:1" x14ac:dyDescent="0.25">
      <c r="A111" s="1"/>
    </row>
    <row r="112" spans="1:1" x14ac:dyDescent="0.25">
      <c r="A112" s="1"/>
    </row>
    <row r="113" spans="1:1" x14ac:dyDescent="0.25">
      <c r="A113" s="1"/>
    </row>
    <row r="114" spans="1:1" x14ac:dyDescent="0.25">
      <c r="A114" s="1"/>
    </row>
    <row r="115" spans="1:1" x14ac:dyDescent="0.25">
      <c r="A115" s="1"/>
    </row>
    <row r="116" spans="1:1" x14ac:dyDescent="0.25">
      <c r="A116" s="1"/>
    </row>
    <row r="117" spans="1:1" x14ac:dyDescent="0.25">
      <c r="A117" s="1"/>
    </row>
    <row r="118" spans="1:1" x14ac:dyDescent="0.25">
      <c r="A118" s="1"/>
    </row>
    <row r="119" spans="1:1" x14ac:dyDescent="0.25">
      <c r="A119" s="1"/>
    </row>
    <row r="120" spans="1:1" x14ac:dyDescent="0.25">
      <c r="A120" s="1"/>
    </row>
    <row r="121" spans="1:1" x14ac:dyDescent="0.25">
      <c r="A121" s="1"/>
    </row>
    <row r="122" spans="1:1" x14ac:dyDescent="0.25">
      <c r="A122" s="1"/>
    </row>
    <row r="123" spans="1:1" x14ac:dyDescent="0.25">
      <c r="A123" s="1"/>
    </row>
    <row r="124" spans="1:1" x14ac:dyDescent="0.25">
      <c r="A124" s="1"/>
    </row>
    <row r="125" spans="1:1" x14ac:dyDescent="0.25">
      <c r="A125" s="1"/>
    </row>
    <row r="126" spans="1:1" x14ac:dyDescent="0.25">
      <c r="A126" s="1"/>
    </row>
    <row r="127" spans="1:1" x14ac:dyDescent="0.25">
      <c r="A127" s="1"/>
    </row>
    <row r="128" spans="1:1" x14ac:dyDescent="0.25">
      <c r="A128" s="1"/>
    </row>
    <row r="129" spans="1:1" x14ac:dyDescent="0.25">
      <c r="A129" s="1"/>
    </row>
    <row r="130" spans="1:1" x14ac:dyDescent="0.25">
      <c r="A130" s="1"/>
    </row>
    <row r="131" spans="1:1" x14ac:dyDescent="0.25">
      <c r="A131" s="1"/>
    </row>
    <row r="132" spans="1:1" x14ac:dyDescent="0.25">
      <c r="A132" s="1"/>
    </row>
    <row r="133" spans="1:1" x14ac:dyDescent="0.25">
      <c r="A133" s="1"/>
    </row>
    <row r="134" spans="1:1" x14ac:dyDescent="0.25">
      <c r="A134" s="1"/>
    </row>
    <row r="135" spans="1:1" x14ac:dyDescent="0.25">
      <c r="A135" s="1"/>
    </row>
    <row r="136" spans="1:1" x14ac:dyDescent="0.25">
      <c r="A136" s="1"/>
    </row>
    <row r="137" spans="1:1" x14ac:dyDescent="0.25">
      <c r="A137" s="1"/>
    </row>
    <row r="138" spans="1:1" x14ac:dyDescent="0.25">
      <c r="A138" s="1"/>
    </row>
    <row r="139" spans="1:1" x14ac:dyDescent="0.25">
      <c r="A139" s="1"/>
    </row>
    <row r="140" spans="1:1" x14ac:dyDescent="0.25">
      <c r="A140" s="1"/>
    </row>
    <row r="141" spans="1:1" x14ac:dyDescent="0.25">
      <c r="A141" s="1"/>
    </row>
    <row r="142" spans="1:1" x14ac:dyDescent="0.25">
      <c r="A142" s="1"/>
    </row>
    <row r="143" spans="1:1" x14ac:dyDescent="0.25">
      <c r="A143" s="1"/>
    </row>
    <row r="144" spans="1:1" x14ac:dyDescent="0.25">
      <c r="A144" s="1"/>
    </row>
    <row r="145" spans="1:1" x14ac:dyDescent="0.25">
      <c r="A145" s="1"/>
    </row>
    <row r="146" spans="1:1" x14ac:dyDescent="0.25">
      <c r="A146" s="1"/>
    </row>
    <row r="147" spans="1:1" x14ac:dyDescent="0.25">
      <c r="A147" s="1"/>
    </row>
    <row r="148" spans="1:1" x14ac:dyDescent="0.25">
      <c r="A148" s="1"/>
    </row>
    <row r="149" spans="1:1" x14ac:dyDescent="0.25">
      <c r="A149" s="1"/>
    </row>
    <row r="150" spans="1:1" x14ac:dyDescent="0.25">
      <c r="A150" s="1"/>
    </row>
    <row r="151" spans="1:1" x14ac:dyDescent="0.25">
      <c r="A151" s="1"/>
    </row>
    <row r="152" spans="1:1" x14ac:dyDescent="0.25">
      <c r="A152" s="1"/>
    </row>
    <row r="153" spans="1:1" x14ac:dyDescent="0.25">
      <c r="A153" s="1"/>
    </row>
    <row r="154" spans="1:1" x14ac:dyDescent="0.25">
      <c r="A154" s="1"/>
    </row>
    <row r="155" spans="1:1" x14ac:dyDescent="0.25">
      <c r="A155" s="1"/>
    </row>
    <row r="156" spans="1:1" x14ac:dyDescent="0.25">
      <c r="A156" s="1"/>
    </row>
    <row r="157" spans="1:1" x14ac:dyDescent="0.25">
      <c r="A157" s="1"/>
    </row>
    <row r="158" spans="1:1" x14ac:dyDescent="0.25">
      <c r="A158" s="1"/>
    </row>
    <row r="159" spans="1:1" x14ac:dyDescent="0.25">
      <c r="A159" s="1"/>
    </row>
    <row r="160" spans="1:1" x14ac:dyDescent="0.25">
      <c r="A160" s="1"/>
    </row>
    <row r="161" spans="1:1" x14ac:dyDescent="0.25">
      <c r="A161" s="1"/>
    </row>
    <row r="162" spans="1:1" x14ac:dyDescent="0.25">
      <c r="A162" s="1"/>
    </row>
    <row r="163" spans="1:1" x14ac:dyDescent="0.25">
      <c r="A163" s="1"/>
    </row>
    <row r="164" spans="1:1" x14ac:dyDescent="0.25">
      <c r="A164" s="1"/>
    </row>
    <row r="165" spans="1:1" x14ac:dyDescent="0.25">
      <c r="A165" s="1"/>
    </row>
    <row r="166" spans="1:1" x14ac:dyDescent="0.25">
      <c r="A166" s="1"/>
    </row>
    <row r="167" spans="1:1" x14ac:dyDescent="0.25">
      <c r="A167" s="1"/>
    </row>
    <row r="168" spans="1:1" x14ac:dyDescent="0.25">
      <c r="A168" s="1"/>
    </row>
    <row r="169" spans="1:1" x14ac:dyDescent="0.25">
      <c r="A169" s="1"/>
    </row>
    <row r="170" spans="1:1" x14ac:dyDescent="0.25">
      <c r="A170" s="1"/>
    </row>
    <row r="171" spans="1:1" x14ac:dyDescent="0.25">
      <c r="A171" s="1"/>
    </row>
    <row r="172" spans="1:1" x14ac:dyDescent="0.25">
      <c r="A172" s="1"/>
    </row>
    <row r="173" spans="1:1" x14ac:dyDescent="0.25">
      <c r="A173" s="1"/>
    </row>
    <row r="174" spans="1:1" x14ac:dyDescent="0.25">
      <c r="A174" s="1"/>
    </row>
    <row r="175" spans="1:1" x14ac:dyDescent="0.25">
      <c r="A175" s="1"/>
    </row>
    <row r="176" spans="1:1" x14ac:dyDescent="0.25">
      <c r="A176" s="1"/>
    </row>
    <row r="177" spans="1:1" x14ac:dyDescent="0.25">
      <c r="A177" s="1"/>
    </row>
    <row r="178" spans="1:1" x14ac:dyDescent="0.25">
      <c r="A178" s="1"/>
    </row>
    <row r="179" spans="1:1" x14ac:dyDescent="0.25">
      <c r="A179" s="1"/>
    </row>
    <row r="180" spans="1:1" x14ac:dyDescent="0.25">
      <c r="A180" s="1"/>
    </row>
    <row r="181" spans="1:1" x14ac:dyDescent="0.25">
      <c r="A181" s="1"/>
    </row>
    <row r="182" spans="1:1" x14ac:dyDescent="0.25">
      <c r="A182" s="1"/>
    </row>
    <row r="183" spans="1:1" x14ac:dyDescent="0.25">
      <c r="A183" s="1"/>
    </row>
    <row r="184" spans="1:1" x14ac:dyDescent="0.25">
      <c r="A184" s="1"/>
    </row>
    <row r="185" spans="1:1" x14ac:dyDescent="0.25">
      <c r="A185" s="1"/>
    </row>
    <row r="186" spans="1:1" x14ac:dyDescent="0.25">
      <c r="A186" s="1"/>
    </row>
    <row r="187" spans="1:1" x14ac:dyDescent="0.25">
      <c r="A187" s="1"/>
    </row>
    <row r="188" spans="1:1" x14ac:dyDescent="0.25">
      <c r="A188" s="1"/>
    </row>
    <row r="189" spans="1:1" x14ac:dyDescent="0.25">
      <c r="A189" s="1"/>
    </row>
    <row r="190" spans="1:1" x14ac:dyDescent="0.25">
      <c r="A190" s="1"/>
    </row>
    <row r="191" spans="1:1" x14ac:dyDescent="0.25">
      <c r="A191" s="1"/>
    </row>
    <row r="192" spans="1:1" x14ac:dyDescent="0.25">
      <c r="A192" s="1"/>
    </row>
    <row r="193" spans="1:1" x14ac:dyDescent="0.25">
      <c r="A193" s="1"/>
    </row>
    <row r="194" spans="1:1" x14ac:dyDescent="0.25">
      <c r="A194" s="1"/>
    </row>
    <row r="195" spans="1:1" x14ac:dyDescent="0.25">
      <c r="A195" s="1"/>
    </row>
    <row r="196" spans="1:1" x14ac:dyDescent="0.25">
      <c r="A196" s="1"/>
    </row>
    <row r="197" spans="1:1" x14ac:dyDescent="0.25">
      <c r="A197" s="1"/>
    </row>
    <row r="198" spans="1:1" x14ac:dyDescent="0.25">
      <c r="A198" s="1"/>
    </row>
    <row r="199" spans="1:1" x14ac:dyDescent="0.25">
      <c r="A199" s="1"/>
    </row>
    <row r="200" spans="1:1" x14ac:dyDescent="0.25">
      <c r="A200" s="1"/>
    </row>
    <row r="201" spans="1:1" x14ac:dyDescent="0.25">
      <c r="A201" s="1"/>
    </row>
    <row r="202" spans="1:1" x14ac:dyDescent="0.25">
      <c r="A202" s="1"/>
    </row>
    <row r="203" spans="1:1" x14ac:dyDescent="0.25">
      <c r="A203" s="1"/>
    </row>
    <row r="204" spans="1:1" x14ac:dyDescent="0.25">
      <c r="A204" s="1"/>
    </row>
    <row r="205" spans="1:1" x14ac:dyDescent="0.25">
      <c r="A205" s="1"/>
    </row>
    <row r="206" spans="1:1" x14ac:dyDescent="0.25">
      <c r="A206" s="1"/>
    </row>
    <row r="207" spans="1:1" x14ac:dyDescent="0.25">
      <c r="A207" s="1"/>
    </row>
    <row r="208" spans="1:1" x14ac:dyDescent="0.25">
      <c r="A208" s="1"/>
    </row>
    <row r="209" spans="1:1" x14ac:dyDescent="0.25">
      <c r="A209" s="1"/>
    </row>
    <row r="210" spans="1:1" x14ac:dyDescent="0.25">
      <c r="A210" s="1"/>
    </row>
    <row r="211" spans="1:1" x14ac:dyDescent="0.25">
      <c r="A211" s="1"/>
    </row>
    <row r="212" spans="1:1" x14ac:dyDescent="0.25">
      <c r="A212" s="1"/>
    </row>
    <row r="213" spans="1:1" x14ac:dyDescent="0.25">
      <c r="A213" s="1"/>
    </row>
    <row r="214" spans="1:1" x14ac:dyDescent="0.25">
      <c r="A214" s="1"/>
    </row>
    <row r="215" spans="1:1" x14ac:dyDescent="0.25">
      <c r="A215" s="1"/>
    </row>
    <row r="216" spans="1:1" x14ac:dyDescent="0.25">
      <c r="A216" s="1"/>
    </row>
    <row r="217" spans="1:1" x14ac:dyDescent="0.25">
      <c r="A217" s="1"/>
    </row>
    <row r="218" spans="1:1" x14ac:dyDescent="0.25">
      <c r="A218" s="1"/>
    </row>
    <row r="219" spans="1:1" x14ac:dyDescent="0.25">
      <c r="A219" s="1"/>
    </row>
    <row r="220" spans="1:1" x14ac:dyDescent="0.25">
      <c r="A220" s="1"/>
    </row>
    <row r="221" spans="1:1" x14ac:dyDescent="0.25">
      <c r="A221" s="1"/>
    </row>
    <row r="222" spans="1:1" x14ac:dyDescent="0.25">
      <c r="A222" s="1"/>
    </row>
    <row r="223" spans="1:1" x14ac:dyDescent="0.25">
      <c r="A223" s="1"/>
    </row>
    <row r="224" spans="1:1" x14ac:dyDescent="0.25">
      <c r="A224" s="1"/>
    </row>
    <row r="225" spans="1:1" x14ac:dyDescent="0.25">
      <c r="A225" s="1"/>
    </row>
    <row r="226" spans="1:1" x14ac:dyDescent="0.25">
      <c r="A226" s="1"/>
    </row>
    <row r="227" spans="1:1" x14ac:dyDescent="0.25">
      <c r="A227" s="1"/>
    </row>
    <row r="228" spans="1:1" x14ac:dyDescent="0.25">
      <c r="A228" s="1"/>
    </row>
    <row r="229" spans="1:1" x14ac:dyDescent="0.25">
      <c r="A229" s="1"/>
    </row>
    <row r="230" spans="1:1" x14ac:dyDescent="0.25">
      <c r="A230" s="1"/>
    </row>
    <row r="231" spans="1:1" x14ac:dyDescent="0.25">
      <c r="A231" s="1"/>
    </row>
    <row r="232" spans="1:1" x14ac:dyDescent="0.25">
      <c r="A232" s="1"/>
    </row>
    <row r="233" spans="1:1" x14ac:dyDescent="0.25">
      <c r="A233" s="1"/>
    </row>
    <row r="234" spans="1:1" x14ac:dyDescent="0.25">
      <c r="A234" s="1"/>
    </row>
    <row r="235" spans="1:1" x14ac:dyDescent="0.25">
      <c r="A235" s="1"/>
    </row>
    <row r="236" spans="1:1" x14ac:dyDescent="0.25">
      <c r="A236" s="1"/>
    </row>
    <row r="237" spans="1:1" x14ac:dyDescent="0.25">
      <c r="A237" s="1"/>
    </row>
    <row r="238" spans="1:1" x14ac:dyDescent="0.25">
      <c r="A238" s="1"/>
    </row>
    <row r="239" spans="1:1" x14ac:dyDescent="0.25">
      <c r="A239" s="1"/>
    </row>
    <row r="240" spans="1:1" x14ac:dyDescent="0.25">
      <c r="A240" s="1"/>
    </row>
    <row r="241" spans="1:1" x14ac:dyDescent="0.25">
      <c r="A241" s="1"/>
    </row>
    <row r="242" spans="1:1" x14ac:dyDescent="0.25">
      <c r="A242" s="1"/>
    </row>
    <row r="243" spans="1:1" x14ac:dyDescent="0.25">
      <c r="A243" s="1"/>
    </row>
    <row r="244" spans="1:1" x14ac:dyDescent="0.25">
      <c r="A244" s="1"/>
    </row>
    <row r="245" spans="1:1" x14ac:dyDescent="0.25">
      <c r="A245" s="1"/>
    </row>
    <row r="246" spans="1:1" x14ac:dyDescent="0.25">
      <c r="A246" s="1"/>
    </row>
    <row r="247" spans="1:1" x14ac:dyDescent="0.25">
      <c r="A247" s="1"/>
    </row>
    <row r="248" spans="1:1" x14ac:dyDescent="0.25">
      <c r="A248" s="1"/>
    </row>
    <row r="249" spans="1:1" x14ac:dyDescent="0.25">
      <c r="A249" s="1"/>
    </row>
    <row r="250" spans="1:1" x14ac:dyDescent="0.25">
      <c r="A250" s="1"/>
    </row>
    <row r="251" spans="1:1" x14ac:dyDescent="0.25">
      <c r="A251" s="1"/>
    </row>
    <row r="252" spans="1:1" x14ac:dyDescent="0.25">
      <c r="A252" s="1"/>
    </row>
    <row r="253" spans="1:1" x14ac:dyDescent="0.25">
      <c r="A253" s="1"/>
    </row>
    <row r="254" spans="1:1" x14ac:dyDescent="0.25">
      <c r="A254" s="1"/>
    </row>
    <row r="255" spans="1:1" x14ac:dyDescent="0.25">
      <c r="A255" s="1"/>
    </row>
    <row r="256" spans="1:1" x14ac:dyDescent="0.25">
      <c r="A256" s="1"/>
    </row>
    <row r="257" spans="1:1" x14ac:dyDescent="0.25">
      <c r="A257" s="1"/>
    </row>
    <row r="258" spans="1:1" x14ac:dyDescent="0.25">
      <c r="A258" s="1"/>
    </row>
    <row r="259" spans="1:1" x14ac:dyDescent="0.25">
      <c r="A259" s="1"/>
    </row>
    <row r="260" spans="1:1" x14ac:dyDescent="0.25">
      <c r="A260" s="1"/>
    </row>
    <row r="261" spans="1:1" x14ac:dyDescent="0.25">
      <c r="A261" s="1"/>
    </row>
    <row r="262" spans="1:1" x14ac:dyDescent="0.25">
      <c r="A262" s="1"/>
    </row>
    <row r="263" spans="1:1" x14ac:dyDescent="0.25">
      <c r="A263" s="1"/>
    </row>
    <row r="264" spans="1:1" x14ac:dyDescent="0.25">
      <c r="A264" s="1"/>
    </row>
    <row r="265" spans="1:1" x14ac:dyDescent="0.25">
      <c r="A265" s="1"/>
    </row>
    <row r="266" spans="1:1" x14ac:dyDescent="0.25">
      <c r="A266" s="1"/>
    </row>
    <row r="267" spans="1:1" x14ac:dyDescent="0.25">
      <c r="A267" s="1"/>
    </row>
    <row r="268" spans="1:1" x14ac:dyDescent="0.25">
      <c r="A268" s="1"/>
    </row>
    <row r="269" spans="1:1" x14ac:dyDescent="0.25">
      <c r="A269" s="1"/>
    </row>
    <row r="270" spans="1:1" x14ac:dyDescent="0.25">
      <c r="A270" s="1"/>
    </row>
    <row r="271" spans="1:1" x14ac:dyDescent="0.25">
      <c r="A271" s="1"/>
    </row>
    <row r="272" spans="1:1" x14ac:dyDescent="0.25">
      <c r="A272" s="1"/>
    </row>
    <row r="273" spans="1:1" x14ac:dyDescent="0.25">
      <c r="A273" s="1"/>
    </row>
    <row r="274" spans="1:1" x14ac:dyDescent="0.25">
      <c r="A274" s="1"/>
    </row>
    <row r="275" spans="1:1" x14ac:dyDescent="0.25">
      <c r="A275" s="1"/>
    </row>
    <row r="276" spans="1:1" x14ac:dyDescent="0.25">
      <c r="A276" s="1"/>
    </row>
    <row r="277" spans="1:1" x14ac:dyDescent="0.25">
      <c r="A277" s="1"/>
    </row>
    <row r="278" spans="1:1" x14ac:dyDescent="0.25">
      <c r="A278" s="1"/>
    </row>
    <row r="279" spans="1:1" x14ac:dyDescent="0.25">
      <c r="A279" s="1"/>
    </row>
    <row r="280" spans="1:1" x14ac:dyDescent="0.25">
      <c r="A280" s="1"/>
    </row>
    <row r="281" spans="1:1" x14ac:dyDescent="0.25">
      <c r="A281" s="1"/>
    </row>
    <row r="282" spans="1:1" x14ac:dyDescent="0.25">
      <c r="A282" s="1"/>
    </row>
    <row r="283" spans="1:1" x14ac:dyDescent="0.25">
      <c r="A283" s="1"/>
    </row>
    <row r="284" spans="1:1" x14ac:dyDescent="0.25">
      <c r="A284" s="1"/>
    </row>
    <row r="285" spans="1:1" x14ac:dyDescent="0.25">
      <c r="A285" s="1"/>
    </row>
    <row r="286" spans="1:1" x14ac:dyDescent="0.25">
      <c r="A286" s="1"/>
    </row>
    <row r="287" spans="1:1" x14ac:dyDescent="0.25">
      <c r="A287" s="1"/>
    </row>
    <row r="288" spans="1:1" x14ac:dyDescent="0.25">
      <c r="A288" s="1"/>
    </row>
    <row r="289" spans="1:1" x14ac:dyDescent="0.25">
      <c r="A289" s="1"/>
    </row>
    <row r="290" spans="1:1" x14ac:dyDescent="0.25">
      <c r="A290" s="1"/>
    </row>
    <row r="291" spans="1:1" x14ac:dyDescent="0.25">
      <c r="A291" s="1"/>
    </row>
    <row r="292" spans="1:1" x14ac:dyDescent="0.25">
      <c r="A292" s="1"/>
    </row>
    <row r="293" spans="1:1" x14ac:dyDescent="0.25">
      <c r="A293" s="1"/>
    </row>
    <row r="294" spans="1:1" x14ac:dyDescent="0.25">
      <c r="A294" s="1"/>
    </row>
    <row r="295" spans="1:1" x14ac:dyDescent="0.25">
      <c r="A295" s="1"/>
    </row>
    <row r="296" spans="1:1" x14ac:dyDescent="0.25">
      <c r="A296" s="1"/>
    </row>
    <row r="297" spans="1:1" x14ac:dyDescent="0.25">
      <c r="A297" s="1"/>
    </row>
    <row r="298" spans="1:1" x14ac:dyDescent="0.25">
      <c r="A298" s="1"/>
    </row>
    <row r="299" spans="1:1" x14ac:dyDescent="0.25">
      <c r="A299" s="1"/>
    </row>
    <row r="300" spans="1:1" x14ac:dyDescent="0.25">
      <c r="A300" s="1"/>
    </row>
    <row r="301" spans="1:1" x14ac:dyDescent="0.25">
      <c r="A301" s="1"/>
    </row>
    <row r="302" spans="1:1" x14ac:dyDescent="0.25">
      <c r="A302" s="1"/>
    </row>
    <row r="303" spans="1:1" x14ac:dyDescent="0.25">
      <c r="A303" s="1"/>
    </row>
    <row r="304" spans="1:1" x14ac:dyDescent="0.25">
      <c r="A304" s="1"/>
    </row>
    <row r="305" spans="1:1" x14ac:dyDescent="0.25">
      <c r="A305" s="1"/>
    </row>
    <row r="306" spans="1:1" x14ac:dyDescent="0.25">
      <c r="A306" s="1"/>
    </row>
    <row r="307" spans="1:1" x14ac:dyDescent="0.25">
      <c r="A307" s="1"/>
    </row>
    <row r="308" spans="1:1" x14ac:dyDescent="0.25">
      <c r="A308" s="1"/>
    </row>
    <row r="309" spans="1:1" x14ac:dyDescent="0.25">
      <c r="A309" s="1"/>
    </row>
    <row r="310" spans="1:1" x14ac:dyDescent="0.25">
      <c r="A310" s="1"/>
    </row>
    <row r="311" spans="1:1" x14ac:dyDescent="0.25">
      <c r="A311" s="1"/>
    </row>
    <row r="312" spans="1:1" x14ac:dyDescent="0.25">
      <c r="A312" s="1"/>
    </row>
    <row r="313" spans="1:1" x14ac:dyDescent="0.25">
      <c r="A313" s="1"/>
    </row>
    <row r="314" spans="1:1" x14ac:dyDescent="0.25">
      <c r="A314" s="1"/>
    </row>
    <row r="315" spans="1:1" x14ac:dyDescent="0.25">
      <c r="A315" s="1"/>
    </row>
    <row r="316" spans="1:1" x14ac:dyDescent="0.25">
      <c r="A316" s="1"/>
    </row>
    <row r="317" spans="1:1" x14ac:dyDescent="0.25">
      <c r="A317" s="1"/>
    </row>
    <row r="318" spans="1:1" x14ac:dyDescent="0.25">
      <c r="A318" s="1"/>
    </row>
    <row r="319" spans="1:1" x14ac:dyDescent="0.25">
      <c r="A319" s="1"/>
    </row>
    <row r="320" spans="1:1" x14ac:dyDescent="0.25">
      <c r="A320" s="1"/>
    </row>
    <row r="321" spans="1:1" x14ac:dyDescent="0.25">
      <c r="A321" s="1"/>
    </row>
    <row r="322" spans="1:1" x14ac:dyDescent="0.25">
      <c r="A322" s="1"/>
    </row>
    <row r="323" spans="1:1" x14ac:dyDescent="0.25">
      <c r="A323" s="1"/>
    </row>
    <row r="324" spans="1:1" x14ac:dyDescent="0.25">
      <c r="A324" s="1"/>
    </row>
    <row r="325" spans="1:1" x14ac:dyDescent="0.25">
      <c r="A325" s="1"/>
    </row>
    <row r="326" spans="1:1" x14ac:dyDescent="0.25">
      <c r="A326" s="1"/>
    </row>
    <row r="327" spans="1:1" x14ac:dyDescent="0.25">
      <c r="A327" s="1"/>
    </row>
    <row r="328" spans="1:1" x14ac:dyDescent="0.25">
      <c r="A328" s="1"/>
    </row>
    <row r="329" spans="1:1" x14ac:dyDescent="0.25">
      <c r="A329" s="1"/>
    </row>
    <row r="330" spans="1:1" x14ac:dyDescent="0.25">
      <c r="A330" s="1"/>
    </row>
    <row r="331" spans="1:1" x14ac:dyDescent="0.25">
      <c r="A331" s="1"/>
    </row>
    <row r="332" spans="1:1" x14ac:dyDescent="0.25">
      <c r="A332" s="1"/>
    </row>
    <row r="333" spans="1:1" x14ac:dyDescent="0.25">
      <c r="A333" s="1"/>
    </row>
    <row r="334" spans="1:1" x14ac:dyDescent="0.25">
      <c r="A334" s="1"/>
    </row>
    <row r="335" spans="1:1" x14ac:dyDescent="0.25">
      <c r="A335" s="1"/>
    </row>
    <row r="336" spans="1:1" x14ac:dyDescent="0.25">
      <c r="A336" s="1"/>
    </row>
    <row r="337" spans="1:1" x14ac:dyDescent="0.25">
      <c r="A337" s="1"/>
    </row>
    <row r="338" spans="1:1" x14ac:dyDescent="0.25">
      <c r="A338" s="1"/>
    </row>
    <row r="339" spans="1:1" x14ac:dyDescent="0.25">
      <c r="A339" s="1"/>
    </row>
    <row r="340" spans="1:1" x14ac:dyDescent="0.25">
      <c r="A340" s="1"/>
    </row>
    <row r="341" spans="1:1" x14ac:dyDescent="0.25">
      <c r="A341" s="1"/>
    </row>
    <row r="342" spans="1:1" x14ac:dyDescent="0.25">
      <c r="A342" s="1"/>
    </row>
    <row r="343" spans="1:1" x14ac:dyDescent="0.25">
      <c r="A343" s="1"/>
    </row>
    <row r="344" spans="1:1" x14ac:dyDescent="0.25">
      <c r="A344" s="1"/>
    </row>
    <row r="345" spans="1:1" x14ac:dyDescent="0.25">
      <c r="A345" s="1"/>
    </row>
    <row r="346" spans="1:1" x14ac:dyDescent="0.25">
      <c r="A346" s="1"/>
    </row>
    <row r="347" spans="1:1" x14ac:dyDescent="0.25">
      <c r="A347" s="1"/>
    </row>
    <row r="348" spans="1:1" x14ac:dyDescent="0.25">
      <c r="A348" s="1"/>
    </row>
    <row r="349" spans="1:1" x14ac:dyDescent="0.25">
      <c r="A349" s="1"/>
    </row>
    <row r="350" spans="1:1" x14ac:dyDescent="0.25">
      <c r="A350" s="1"/>
    </row>
    <row r="351" spans="1:1" x14ac:dyDescent="0.25">
      <c r="A351" s="1"/>
    </row>
    <row r="352" spans="1:1" x14ac:dyDescent="0.25">
      <c r="A352" s="1"/>
    </row>
    <row r="353" spans="1:1" x14ac:dyDescent="0.25">
      <c r="A353" s="1"/>
    </row>
    <row r="354" spans="1:1" x14ac:dyDescent="0.25">
      <c r="A354" s="1"/>
    </row>
    <row r="355" spans="1:1" x14ac:dyDescent="0.25">
      <c r="A355" s="1"/>
    </row>
    <row r="356" spans="1:1" x14ac:dyDescent="0.25">
      <c r="A356" s="1"/>
    </row>
    <row r="357" spans="1:1" x14ac:dyDescent="0.25">
      <c r="A357" s="1"/>
    </row>
    <row r="358" spans="1:1" x14ac:dyDescent="0.25">
      <c r="A358" s="1"/>
    </row>
    <row r="359" spans="1:1" x14ac:dyDescent="0.25">
      <c r="A359" s="1"/>
    </row>
    <row r="360" spans="1:1" x14ac:dyDescent="0.25">
      <c r="A360" s="1"/>
    </row>
    <row r="361" spans="1:1" x14ac:dyDescent="0.25">
      <c r="A361" s="1"/>
    </row>
    <row r="362" spans="1:1" x14ac:dyDescent="0.25">
      <c r="A362" s="1"/>
    </row>
    <row r="363" spans="1:1" x14ac:dyDescent="0.25">
      <c r="A363" s="1"/>
    </row>
    <row r="364" spans="1:1" x14ac:dyDescent="0.25">
      <c r="A364" s="1"/>
    </row>
    <row r="365" spans="1:1" x14ac:dyDescent="0.25">
      <c r="A365" s="1"/>
    </row>
    <row r="366" spans="1:1" x14ac:dyDescent="0.25">
      <c r="A366" s="1"/>
    </row>
    <row r="367" spans="1:1" x14ac:dyDescent="0.25">
      <c r="A367" s="1"/>
    </row>
    <row r="368" spans="1:1" x14ac:dyDescent="0.25">
      <c r="A368" s="1"/>
    </row>
    <row r="369" spans="1:1" x14ac:dyDescent="0.25">
      <c r="A369" s="1"/>
    </row>
    <row r="370" spans="1:1" x14ac:dyDescent="0.25">
      <c r="A370" s="1"/>
    </row>
    <row r="371" spans="1:1" x14ac:dyDescent="0.25">
      <c r="A371" s="1"/>
    </row>
    <row r="372" spans="1:1" x14ac:dyDescent="0.25">
      <c r="A372" s="1"/>
    </row>
    <row r="373" spans="1:1" x14ac:dyDescent="0.25">
      <c r="A373" s="1"/>
    </row>
    <row r="374" spans="1:1" x14ac:dyDescent="0.25">
      <c r="A374" s="1"/>
    </row>
    <row r="375" spans="1:1" x14ac:dyDescent="0.25">
      <c r="A375" s="1"/>
    </row>
    <row r="376" spans="1:1" x14ac:dyDescent="0.25">
      <c r="A376" s="1"/>
    </row>
    <row r="377" spans="1:1" x14ac:dyDescent="0.25">
      <c r="A377" s="1"/>
    </row>
    <row r="378" spans="1:1" x14ac:dyDescent="0.25">
      <c r="A378" s="1"/>
    </row>
    <row r="379" spans="1:1" x14ac:dyDescent="0.25">
      <c r="A379" s="1"/>
    </row>
    <row r="380" spans="1:1" x14ac:dyDescent="0.25">
      <c r="A380" s="1"/>
    </row>
    <row r="381" spans="1:1" x14ac:dyDescent="0.25">
      <c r="A381" s="1"/>
    </row>
    <row r="382" spans="1:1" x14ac:dyDescent="0.25">
      <c r="A382" s="1"/>
    </row>
    <row r="383" spans="1:1" x14ac:dyDescent="0.25">
      <c r="A383" s="1"/>
    </row>
    <row r="384" spans="1:1" x14ac:dyDescent="0.25">
      <c r="A384" s="1"/>
    </row>
    <row r="385" spans="1:1" x14ac:dyDescent="0.25">
      <c r="A385" s="1"/>
    </row>
    <row r="386" spans="1:1" x14ac:dyDescent="0.25">
      <c r="A386" s="1"/>
    </row>
    <row r="387" spans="1:1" x14ac:dyDescent="0.25">
      <c r="A387" s="1"/>
    </row>
    <row r="388" spans="1:1" x14ac:dyDescent="0.25">
      <c r="A388" s="1"/>
    </row>
    <row r="389" spans="1:1" x14ac:dyDescent="0.25">
      <c r="A389" s="1"/>
    </row>
    <row r="390" spans="1:1" x14ac:dyDescent="0.25">
      <c r="A390" s="1"/>
    </row>
    <row r="391" spans="1:1" x14ac:dyDescent="0.25">
      <c r="A391" s="1"/>
    </row>
    <row r="392" spans="1:1" x14ac:dyDescent="0.25">
      <c r="A392" s="1"/>
    </row>
    <row r="393" spans="1:1" x14ac:dyDescent="0.25">
      <c r="A393" s="1"/>
    </row>
    <row r="394" spans="1:1" x14ac:dyDescent="0.25">
      <c r="A394" s="1"/>
    </row>
    <row r="395" spans="1:1" x14ac:dyDescent="0.25">
      <c r="A395" s="1"/>
    </row>
    <row r="396" spans="1:1" x14ac:dyDescent="0.25">
      <c r="A396" s="1"/>
    </row>
    <row r="397" spans="1:1" x14ac:dyDescent="0.25">
      <c r="A397" s="1"/>
    </row>
    <row r="398" spans="1:1" x14ac:dyDescent="0.25">
      <c r="A398" s="1"/>
    </row>
    <row r="399" spans="1:1" x14ac:dyDescent="0.25">
      <c r="A399" s="1"/>
    </row>
    <row r="400" spans="1:1" x14ac:dyDescent="0.25">
      <c r="A400" s="1"/>
    </row>
    <row r="401" spans="1:1" x14ac:dyDescent="0.25">
      <c r="A401" s="1"/>
    </row>
    <row r="402" spans="1:1" x14ac:dyDescent="0.25">
      <c r="A402" s="1"/>
    </row>
    <row r="403" spans="1:1" x14ac:dyDescent="0.25">
      <c r="A403" s="1"/>
    </row>
    <row r="404" spans="1:1" x14ac:dyDescent="0.25">
      <c r="A404" s="1"/>
    </row>
    <row r="405" spans="1:1" x14ac:dyDescent="0.25">
      <c r="A405" s="1"/>
    </row>
    <row r="406" spans="1:1" x14ac:dyDescent="0.25">
      <c r="A406" s="1"/>
    </row>
    <row r="407" spans="1:1" x14ac:dyDescent="0.25">
      <c r="A407" s="1"/>
    </row>
    <row r="408" spans="1:1" x14ac:dyDescent="0.25">
      <c r="A408" s="1"/>
    </row>
    <row r="409" spans="1:1" x14ac:dyDescent="0.25">
      <c r="A409" s="1"/>
    </row>
    <row r="410" spans="1:1" x14ac:dyDescent="0.25">
      <c r="A410" s="1"/>
    </row>
    <row r="411" spans="1:1" x14ac:dyDescent="0.25">
      <c r="A411" s="1"/>
    </row>
    <row r="412" spans="1:1" x14ac:dyDescent="0.25">
      <c r="A412" s="1"/>
    </row>
    <row r="413" spans="1:1" x14ac:dyDescent="0.25">
      <c r="A413" s="1"/>
    </row>
    <row r="414" spans="1:1" x14ac:dyDescent="0.25">
      <c r="A414" s="1"/>
    </row>
    <row r="415" spans="1:1" x14ac:dyDescent="0.25">
      <c r="A415" s="1"/>
    </row>
    <row r="416" spans="1:1" x14ac:dyDescent="0.25">
      <c r="A416" s="1"/>
    </row>
    <row r="417" spans="1:1" x14ac:dyDescent="0.25">
      <c r="A417" s="1"/>
    </row>
    <row r="418" spans="1:1" x14ac:dyDescent="0.25">
      <c r="A418" s="1"/>
    </row>
    <row r="419" spans="1:1" x14ac:dyDescent="0.25">
      <c r="A419" s="1"/>
    </row>
    <row r="420" spans="1:1" x14ac:dyDescent="0.25">
      <c r="A420" s="1"/>
    </row>
    <row r="421" spans="1:1" x14ac:dyDescent="0.25">
      <c r="A421" s="1"/>
    </row>
    <row r="422" spans="1:1" x14ac:dyDescent="0.25">
      <c r="A422" s="1"/>
    </row>
    <row r="423" spans="1:1" x14ac:dyDescent="0.25">
      <c r="A423" s="1"/>
    </row>
    <row r="424" spans="1:1" x14ac:dyDescent="0.25">
      <c r="A424" s="1"/>
    </row>
    <row r="425" spans="1:1" x14ac:dyDescent="0.25">
      <c r="A425" s="1"/>
    </row>
    <row r="426" spans="1:1" x14ac:dyDescent="0.25">
      <c r="A426" s="1"/>
    </row>
    <row r="427" spans="1:1" x14ac:dyDescent="0.25">
      <c r="A427" s="1"/>
    </row>
    <row r="428" spans="1:1" x14ac:dyDescent="0.25">
      <c r="A428" s="1"/>
    </row>
    <row r="429" spans="1:1" x14ac:dyDescent="0.25">
      <c r="A429" s="1"/>
    </row>
    <row r="430" spans="1:1" x14ac:dyDescent="0.25">
      <c r="A430" s="1"/>
    </row>
    <row r="431" spans="1:1" x14ac:dyDescent="0.25">
      <c r="A431" s="1"/>
    </row>
    <row r="432" spans="1:1" x14ac:dyDescent="0.25">
      <c r="A432" s="1"/>
    </row>
    <row r="433" spans="1:1" x14ac:dyDescent="0.25">
      <c r="A433" s="1"/>
    </row>
    <row r="434" spans="1:1" x14ac:dyDescent="0.25">
      <c r="A434" s="1"/>
    </row>
    <row r="435" spans="1:1" x14ac:dyDescent="0.25">
      <c r="A435" s="1"/>
    </row>
    <row r="436" spans="1:1" x14ac:dyDescent="0.25">
      <c r="A436" s="1"/>
    </row>
    <row r="437" spans="1:1" x14ac:dyDescent="0.25">
      <c r="A437" s="1"/>
    </row>
    <row r="438" spans="1:1" x14ac:dyDescent="0.25">
      <c r="A438" s="1"/>
    </row>
    <row r="439" spans="1:1" x14ac:dyDescent="0.25">
      <c r="A439" s="1"/>
    </row>
    <row r="440" spans="1:1" x14ac:dyDescent="0.25">
      <c r="A440" s="1"/>
    </row>
    <row r="441" spans="1:1" x14ac:dyDescent="0.25">
      <c r="A441" s="1"/>
    </row>
    <row r="442" spans="1:1" x14ac:dyDescent="0.25">
      <c r="A442" s="1"/>
    </row>
    <row r="443" spans="1:1" x14ac:dyDescent="0.25">
      <c r="A443" s="1"/>
    </row>
    <row r="444" spans="1:1" x14ac:dyDescent="0.25">
      <c r="A444" s="1"/>
    </row>
    <row r="445" spans="1:1" x14ac:dyDescent="0.25">
      <c r="A445" s="1"/>
    </row>
    <row r="446" spans="1:1" x14ac:dyDescent="0.25">
      <c r="A446" s="1"/>
    </row>
    <row r="447" spans="1:1" x14ac:dyDescent="0.25">
      <c r="A447" s="1"/>
    </row>
    <row r="448" spans="1:1" x14ac:dyDescent="0.25">
      <c r="A448" s="1"/>
    </row>
    <row r="449" spans="1:1" x14ac:dyDescent="0.25">
      <c r="A449" s="1"/>
    </row>
    <row r="450" spans="1:1" x14ac:dyDescent="0.25">
      <c r="A450" s="1"/>
    </row>
    <row r="451" spans="1:1" x14ac:dyDescent="0.25">
      <c r="A451" s="1"/>
    </row>
    <row r="452" spans="1:1" x14ac:dyDescent="0.25">
      <c r="A452" s="1"/>
    </row>
    <row r="453" spans="1:1" x14ac:dyDescent="0.25">
      <c r="A453" s="1"/>
    </row>
    <row r="454" spans="1:1" x14ac:dyDescent="0.25">
      <c r="A454" s="1"/>
    </row>
    <row r="455" spans="1:1" x14ac:dyDescent="0.25">
      <c r="A455" s="1"/>
    </row>
    <row r="456" spans="1:1" x14ac:dyDescent="0.25">
      <c r="A456" s="1"/>
    </row>
    <row r="457" spans="1:1" x14ac:dyDescent="0.25">
      <c r="A457" s="1"/>
    </row>
    <row r="458" spans="1:1" x14ac:dyDescent="0.25">
      <c r="A458" s="1"/>
    </row>
    <row r="459" spans="1:1" x14ac:dyDescent="0.25">
      <c r="A459" s="1"/>
    </row>
    <row r="460" spans="1:1" x14ac:dyDescent="0.25">
      <c r="A460" s="1"/>
    </row>
    <row r="461" spans="1:1" x14ac:dyDescent="0.25">
      <c r="A461" s="1"/>
    </row>
    <row r="462" spans="1:1" x14ac:dyDescent="0.25">
      <c r="A462" s="1"/>
    </row>
    <row r="463" spans="1:1" x14ac:dyDescent="0.25">
      <c r="A463" s="1"/>
    </row>
    <row r="464" spans="1:1" x14ac:dyDescent="0.25">
      <c r="A464" s="1"/>
    </row>
    <row r="465" spans="1:1" x14ac:dyDescent="0.25">
      <c r="A465" s="1"/>
    </row>
    <row r="466" spans="1:1" x14ac:dyDescent="0.25">
      <c r="A466" s="1"/>
    </row>
    <row r="467" spans="1:1" x14ac:dyDescent="0.25">
      <c r="A467" s="1"/>
    </row>
    <row r="468" spans="1:1" x14ac:dyDescent="0.25">
      <c r="A468" s="1"/>
    </row>
    <row r="469" spans="1:1" x14ac:dyDescent="0.25">
      <c r="A469" s="1"/>
    </row>
    <row r="470" spans="1:1" x14ac:dyDescent="0.25">
      <c r="A470" s="1"/>
    </row>
    <row r="471" spans="1:1" x14ac:dyDescent="0.25">
      <c r="A471" s="1"/>
    </row>
    <row r="472" spans="1:1" x14ac:dyDescent="0.25">
      <c r="A472" s="1"/>
    </row>
    <row r="473" spans="1:1" x14ac:dyDescent="0.25">
      <c r="A473" s="1"/>
    </row>
    <row r="474" spans="1:1" x14ac:dyDescent="0.25">
      <c r="A474" s="1"/>
    </row>
    <row r="475" spans="1:1" x14ac:dyDescent="0.25">
      <c r="A475" s="1"/>
    </row>
    <row r="476" spans="1:1" x14ac:dyDescent="0.25">
      <c r="A476" s="1"/>
    </row>
    <row r="477" spans="1:1" x14ac:dyDescent="0.25">
      <c r="A477" s="1"/>
    </row>
    <row r="478" spans="1:1" x14ac:dyDescent="0.25">
      <c r="A478" s="1"/>
    </row>
    <row r="479" spans="1:1" x14ac:dyDescent="0.25">
      <c r="A479" s="1"/>
    </row>
    <row r="480" spans="1:1" x14ac:dyDescent="0.25">
      <c r="A480" s="1"/>
    </row>
    <row r="481" spans="1:1" x14ac:dyDescent="0.25">
      <c r="A481" s="1"/>
    </row>
    <row r="482" spans="1:1" x14ac:dyDescent="0.25">
      <c r="A482" s="1"/>
    </row>
    <row r="483" spans="1:1" x14ac:dyDescent="0.25">
      <c r="A483" s="1"/>
    </row>
    <row r="484" spans="1:1" x14ac:dyDescent="0.25">
      <c r="A484" s="1"/>
    </row>
    <row r="485" spans="1:1" x14ac:dyDescent="0.25">
      <c r="A485" s="1"/>
    </row>
    <row r="486" spans="1:1" x14ac:dyDescent="0.25">
      <c r="A486" s="1"/>
    </row>
    <row r="487" spans="1:1" x14ac:dyDescent="0.25">
      <c r="A487" s="1"/>
    </row>
    <row r="488" spans="1:1" x14ac:dyDescent="0.25">
      <c r="A488" s="1"/>
    </row>
    <row r="489" spans="1:1" x14ac:dyDescent="0.25">
      <c r="A489" s="1"/>
    </row>
    <row r="490" spans="1:1" x14ac:dyDescent="0.25">
      <c r="A490" s="1"/>
    </row>
    <row r="491" spans="1:1" x14ac:dyDescent="0.25">
      <c r="A491" s="1"/>
    </row>
    <row r="492" spans="1:1" x14ac:dyDescent="0.25">
      <c r="A492" s="1"/>
    </row>
    <row r="493" spans="1:1" x14ac:dyDescent="0.25">
      <c r="A493" s="1"/>
    </row>
    <row r="494" spans="1:1" x14ac:dyDescent="0.25">
      <c r="A494" s="1"/>
    </row>
    <row r="495" spans="1:1" x14ac:dyDescent="0.25">
      <c r="A495" s="1"/>
    </row>
    <row r="496" spans="1:1" x14ac:dyDescent="0.25">
      <c r="A496" s="1"/>
    </row>
    <row r="497" spans="1:1" x14ac:dyDescent="0.25">
      <c r="A497" s="1"/>
    </row>
    <row r="498" spans="1:1" x14ac:dyDescent="0.25">
      <c r="A498" s="1"/>
    </row>
    <row r="499" spans="1:1" x14ac:dyDescent="0.25">
      <c r="A499" s="1"/>
    </row>
    <row r="500" spans="1:1" x14ac:dyDescent="0.25">
      <c r="A500" s="1"/>
    </row>
    <row r="501" spans="1:1" x14ac:dyDescent="0.25">
      <c r="A501" s="1"/>
    </row>
    <row r="502" spans="1:1" x14ac:dyDescent="0.25">
      <c r="A502" s="1"/>
    </row>
    <row r="503" spans="1:1" x14ac:dyDescent="0.25">
      <c r="A503" s="1"/>
    </row>
    <row r="504" spans="1:1" x14ac:dyDescent="0.25">
      <c r="A504" s="1"/>
    </row>
    <row r="505" spans="1:1" x14ac:dyDescent="0.25">
      <c r="A505" s="1"/>
    </row>
    <row r="506" spans="1:1" x14ac:dyDescent="0.25">
      <c r="A506" s="1"/>
    </row>
    <row r="507" spans="1:1" x14ac:dyDescent="0.25">
      <c r="A507" s="1"/>
    </row>
    <row r="508" spans="1:1" x14ac:dyDescent="0.25">
      <c r="A508" s="1"/>
    </row>
    <row r="509" spans="1:1" x14ac:dyDescent="0.25">
      <c r="A509" s="1"/>
    </row>
    <row r="510" spans="1:1" x14ac:dyDescent="0.25">
      <c r="A510" s="1"/>
    </row>
    <row r="511" spans="1:1" x14ac:dyDescent="0.25">
      <c r="A511" s="1"/>
    </row>
    <row r="512" spans="1:1"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row r="579" spans="1:1" x14ac:dyDescent="0.25">
      <c r="A579" s="1"/>
    </row>
    <row r="580" spans="1:1" x14ac:dyDescent="0.25">
      <c r="A580" s="1"/>
    </row>
    <row r="581" spans="1:1" x14ac:dyDescent="0.25">
      <c r="A581" s="1"/>
    </row>
    <row r="582" spans="1:1" x14ac:dyDescent="0.25">
      <c r="A582" s="1"/>
    </row>
    <row r="583" spans="1:1" x14ac:dyDescent="0.25">
      <c r="A583" s="1"/>
    </row>
    <row r="584" spans="1:1" x14ac:dyDescent="0.25">
      <c r="A584" s="1"/>
    </row>
    <row r="585" spans="1:1" x14ac:dyDescent="0.25">
      <c r="A585" s="1"/>
    </row>
    <row r="586" spans="1:1" x14ac:dyDescent="0.25">
      <c r="A586" s="1"/>
    </row>
    <row r="587" spans="1:1" x14ac:dyDescent="0.25">
      <c r="A587" s="1"/>
    </row>
    <row r="588" spans="1:1" x14ac:dyDescent="0.25">
      <c r="A588" s="1"/>
    </row>
    <row r="589" spans="1:1" x14ac:dyDescent="0.25">
      <c r="A589" s="1"/>
    </row>
    <row r="590" spans="1:1" x14ac:dyDescent="0.25">
      <c r="A590" s="1"/>
    </row>
    <row r="591" spans="1:1" x14ac:dyDescent="0.25">
      <c r="A591" s="1"/>
    </row>
    <row r="592" spans="1:1" x14ac:dyDescent="0.25">
      <c r="A592" s="1"/>
    </row>
    <row r="593" spans="1:1" x14ac:dyDescent="0.25">
      <c r="A593" s="1"/>
    </row>
    <row r="594" spans="1:1" x14ac:dyDescent="0.25">
      <c r="A594" s="1"/>
    </row>
    <row r="595" spans="1:1" x14ac:dyDescent="0.25">
      <c r="A595" s="1"/>
    </row>
    <row r="596" spans="1:1" x14ac:dyDescent="0.25">
      <c r="A596" s="1"/>
    </row>
    <row r="597" spans="1:1" x14ac:dyDescent="0.25">
      <c r="A597" s="1"/>
    </row>
    <row r="598" spans="1:1" x14ac:dyDescent="0.25">
      <c r="A598" s="1"/>
    </row>
    <row r="599" spans="1:1" x14ac:dyDescent="0.25">
      <c r="A599" s="1"/>
    </row>
    <row r="600" spans="1:1" x14ac:dyDescent="0.25">
      <c r="A600" s="1"/>
    </row>
    <row r="601" spans="1:1" x14ac:dyDescent="0.25">
      <c r="A601" s="1"/>
    </row>
    <row r="602" spans="1:1" x14ac:dyDescent="0.25">
      <c r="A602" s="1"/>
    </row>
    <row r="603" spans="1:1" x14ac:dyDescent="0.25">
      <c r="A603" s="1"/>
    </row>
    <row r="604" spans="1:1" x14ac:dyDescent="0.25">
      <c r="A604" s="1"/>
    </row>
    <row r="605" spans="1:1" x14ac:dyDescent="0.25">
      <c r="A605" s="1"/>
    </row>
    <row r="606" spans="1:1" x14ac:dyDescent="0.25">
      <c r="A606" s="1"/>
    </row>
    <row r="607" spans="1:1" x14ac:dyDescent="0.25">
      <c r="A607" s="1"/>
    </row>
    <row r="608" spans="1:1" x14ac:dyDescent="0.25">
      <c r="A608" s="1"/>
    </row>
    <row r="609" spans="1:1" x14ac:dyDescent="0.25">
      <c r="A609" s="1"/>
    </row>
    <row r="610" spans="1:1" x14ac:dyDescent="0.25">
      <c r="A610" s="1"/>
    </row>
    <row r="611" spans="1:1" x14ac:dyDescent="0.25">
      <c r="A611" s="1"/>
    </row>
    <row r="612" spans="1:1" x14ac:dyDescent="0.25">
      <c r="A612" s="1"/>
    </row>
    <row r="613" spans="1:1" x14ac:dyDescent="0.25">
      <c r="A613" s="1"/>
    </row>
    <row r="614" spans="1:1" x14ac:dyDescent="0.25">
      <c r="A614" s="1"/>
    </row>
    <row r="615" spans="1:1" x14ac:dyDescent="0.25">
      <c r="A615" s="1"/>
    </row>
    <row r="616" spans="1:1" x14ac:dyDescent="0.25">
      <c r="A616" s="1"/>
    </row>
    <row r="617" spans="1:1" x14ac:dyDescent="0.25">
      <c r="A617" s="1"/>
    </row>
    <row r="618" spans="1:1" x14ac:dyDescent="0.25">
      <c r="A618" s="1"/>
    </row>
    <row r="619" spans="1:1" x14ac:dyDescent="0.25">
      <c r="A619" s="1"/>
    </row>
    <row r="620" spans="1:1" x14ac:dyDescent="0.25">
      <c r="A620" s="1"/>
    </row>
    <row r="621" spans="1:1" x14ac:dyDescent="0.25">
      <c r="A621" s="1"/>
    </row>
    <row r="622" spans="1:1" x14ac:dyDescent="0.25">
      <c r="A622" s="1"/>
    </row>
    <row r="623" spans="1:1" x14ac:dyDescent="0.25">
      <c r="A623" s="1"/>
    </row>
    <row r="624" spans="1:1" x14ac:dyDescent="0.25">
      <c r="A624" s="1"/>
    </row>
    <row r="625" spans="1:1" x14ac:dyDescent="0.25">
      <c r="A625" s="1"/>
    </row>
    <row r="626" spans="1:1" x14ac:dyDescent="0.25">
      <c r="A626" s="1"/>
    </row>
    <row r="627" spans="1:1" x14ac:dyDescent="0.25">
      <c r="A627" s="1"/>
    </row>
    <row r="628" spans="1:1" x14ac:dyDescent="0.25">
      <c r="A628" s="1"/>
    </row>
    <row r="629" spans="1:1" x14ac:dyDescent="0.25">
      <c r="A629" s="1"/>
    </row>
    <row r="630" spans="1:1" x14ac:dyDescent="0.25">
      <c r="A630" s="1"/>
    </row>
    <row r="631" spans="1:1" x14ac:dyDescent="0.25">
      <c r="A631" s="1"/>
    </row>
    <row r="632" spans="1:1" x14ac:dyDescent="0.25">
      <c r="A632" s="1"/>
    </row>
    <row r="633" spans="1:1" x14ac:dyDescent="0.25">
      <c r="A633" s="1"/>
    </row>
    <row r="634" spans="1:1" x14ac:dyDescent="0.25">
      <c r="A634" s="1"/>
    </row>
    <row r="635" spans="1:1" x14ac:dyDescent="0.25">
      <c r="A635" s="1"/>
    </row>
    <row r="636" spans="1:1" x14ac:dyDescent="0.25">
      <c r="A636" s="1"/>
    </row>
    <row r="637" spans="1:1" x14ac:dyDescent="0.25">
      <c r="A637" s="1"/>
    </row>
    <row r="638" spans="1:1" x14ac:dyDescent="0.25">
      <c r="A638" s="1"/>
    </row>
    <row r="639" spans="1:1" x14ac:dyDescent="0.25">
      <c r="A639" s="1"/>
    </row>
    <row r="640" spans="1:1" x14ac:dyDescent="0.25">
      <c r="A640" s="1"/>
    </row>
    <row r="641" spans="1:1" x14ac:dyDescent="0.25">
      <c r="A641" s="1"/>
    </row>
    <row r="642" spans="1:1" x14ac:dyDescent="0.25">
      <c r="A642" s="1"/>
    </row>
    <row r="643" spans="1:1" x14ac:dyDescent="0.25">
      <c r="A643" s="1"/>
    </row>
    <row r="644" spans="1:1" x14ac:dyDescent="0.25">
      <c r="A644" s="1"/>
    </row>
    <row r="645" spans="1:1" x14ac:dyDescent="0.25">
      <c r="A645" s="1"/>
    </row>
    <row r="646" spans="1:1" x14ac:dyDescent="0.25">
      <c r="A646" s="1"/>
    </row>
    <row r="647" spans="1:1" x14ac:dyDescent="0.25">
      <c r="A647" s="1"/>
    </row>
    <row r="648" spans="1:1" x14ac:dyDescent="0.25">
      <c r="A648" s="1"/>
    </row>
    <row r="649" spans="1:1" x14ac:dyDescent="0.25">
      <c r="A649" s="1"/>
    </row>
    <row r="650" spans="1:1" x14ac:dyDescent="0.25">
      <c r="A650" s="1"/>
    </row>
    <row r="651" spans="1:1" x14ac:dyDescent="0.25">
      <c r="A651" s="1"/>
    </row>
    <row r="652" spans="1:1" x14ac:dyDescent="0.25">
      <c r="A652" s="1"/>
    </row>
    <row r="653" spans="1:1" x14ac:dyDescent="0.25">
      <c r="A653" s="1"/>
    </row>
    <row r="654" spans="1:1" x14ac:dyDescent="0.25">
      <c r="A654" s="1"/>
    </row>
    <row r="655" spans="1:1" x14ac:dyDescent="0.25">
      <c r="A655" s="1"/>
    </row>
    <row r="656" spans="1:1" x14ac:dyDescent="0.25">
      <c r="A656" s="1"/>
    </row>
    <row r="657" spans="1:1" x14ac:dyDescent="0.25">
      <c r="A657" s="1"/>
    </row>
    <row r="658" spans="1:1" x14ac:dyDescent="0.25">
      <c r="A658" s="1"/>
    </row>
    <row r="659" spans="1:1" x14ac:dyDescent="0.25">
      <c r="A659" s="1"/>
    </row>
    <row r="660" spans="1:1" x14ac:dyDescent="0.25">
      <c r="A660" s="1"/>
    </row>
    <row r="661" spans="1:1" x14ac:dyDescent="0.25">
      <c r="A661" s="1"/>
    </row>
    <row r="662" spans="1:1" x14ac:dyDescent="0.25">
      <c r="A662" s="1"/>
    </row>
    <row r="663" spans="1:1" x14ac:dyDescent="0.25">
      <c r="A663" s="1"/>
    </row>
    <row r="664" spans="1:1" x14ac:dyDescent="0.25">
      <c r="A664" s="1"/>
    </row>
    <row r="665" spans="1:1" x14ac:dyDescent="0.25">
      <c r="A665" s="1"/>
    </row>
    <row r="666" spans="1:1" x14ac:dyDescent="0.25">
      <c r="A666" s="1"/>
    </row>
    <row r="667" spans="1:1" x14ac:dyDescent="0.25">
      <c r="A667" s="1"/>
    </row>
    <row r="668" spans="1:1" x14ac:dyDescent="0.25">
      <c r="A668" s="1"/>
    </row>
    <row r="669" spans="1:1" x14ac:dyDescent="0.25">
      <c r="A669" s="1"/>
    </row>
    <row r="670" spans="1:1" x14ac:dyDescent="0.25">
      <c r="A670" s="1"/>
    </row>
    <row r="671" spans="1:1" x14ac:dyDescent="0.25">
      <c r="A671" s="1"/>
    </row>
    <row r="672" spans="1:1" x14ac:dyDescent="0.25">
      <c r="A672" s="1"/>
    </row>
    <row r="673" spans="1:1" x14ac:dyDescent="0.25">
      <c r="A673" s="1"/>
    </row>
    <row r="674" spans="1:1" x14ac:dyDescent="0.25">
      <c r="A674" s="1"/>
    </row>
    <row r="675" spans="1:1" x14ac:dyDescent="0.25">
      <c r="A675" s="1"/>
    </row>
    <row r="676" spans="1:1" x14ac:dyDescent="0.25">
      <c r="A676" s="1"/>
    </row>
    <row r="677" spans="1:1" x14ac:dyDescent="0.25">
      <c r="A677" s="1"/>
    </row>
    <row r="678" spans="1:1" x14ac:dyDescent="0.25">
      <c r="A678" s="1"/>
    </row>
    <row r="679" spans="1:1" x14ac:dyDescent="0.25">
      <c r="A679" s="1"/>
    </row>
    <row r="680" spans="1:1" x14ac:dyDescent="0.25">
      <c r="A680" s="1"/>
    </row>
    <row r="681" spans="1:1" x14ac:dyDescent="0.25">
      <c r="A681" s="1"/>
    </row>
    <row r="682" spans="1:1" x14ac:dyDescent="0.25">
      <c r="A682" s="1"/>
    </row>
    <row r="683" spans="1:1" x14ac:dyDescent="0.25">
      <c r="A683" s="1"/>
    </row>
    <row r="684" spans="1:1" x14ac:dyDescent="0.25">
      <c r="A684" s="1"/>
    </row>
    <row r="685" spans="1:1" x14ac:dyDescent="0.25">
      <c r="A685" s="1"/>
    </row>
    <row r="686" spans="1:1" x14ac:dyDescent="0.25">
      <c r="A686" s="1"/>
    </row>
    <row r="687" spans="1:1" x14ac:dyDescent="0.25">
      <c r="A687" s="1"/>
    </row>
    <row r="688" spans="1:1" x14ac:dyDescent="0.25">
      <c r="A688" s="1"/>
    </row>
    <row r="689" spans="1:1" x14ac:dyDescent="0.25">
      <c r="A689" s="1"/>
    </row>
    <row r="690" spans="1:1" x14ac:dyDescent="0.25">
      <c r="A690" s="1"/>
    </row>
    <row r="691" spans="1:1" x14ac:dyDescent="0.25">
      <c r="A691" s="1"/>
    </row>
    <row r="692" spans="1:1" x14ac:dyDescent="0.25">
      <c r="A692" s="1"/>
    </row>
    <row r="693" spans="1:1" x14ac:dyDescent="0.25">
      <c r="A693" s="1"/>
    </row>
    <row r="694" spans="1:1" x14ac:dyDescent="0.25">
      <c r="A694" s="1"/>
    </row>
    <row r="695" spans="1:1" x14ac:dyDescent="0.25">
      <c r="A695" s="1"/>
    </row>
    <row r="696" spans="1:1" x14ac:dyDescent="0.25">
      <c r="A696" s="1"/>
    </row>
    <row r="697" spans="1:1" x14ac:dyDescent="0.25">
      <c r="A697" s="1"/>
    </row>
    <row r="698" spans="1:1" x14ac:dyDescent="0.25">
      <c r="A698" s="1"/>
    </row>
    <row r="699" spans="1:1" x14ac:dyDescent="0.25">
      <c r="A699" s="1"/>
    </row>
    <row r="700" spans="1:1" x14ac:dyDescent="0.25">
      <c r="A700" s="1"/>
    </row>
    <row r="701" spans="1:1" x14ac:dyDescent="0.25">
      <c r="A701" s="1"/>
    </row>
    <row r="702" spans="1:1" x14ac:dyDescent="0.25">
      <c r="A702" s="1"/>
    </row>
    <row r="703" spans="1:1" x14ac:dyDescent="0.25">
      <c r="A703" s="1"/>
    </row>
    <row r="704" spans="1:1" x14ac:dyDescent="0.25">
      <c r="A704" s="1"/>
    </row>
    <row r="705" spans="1:1" x14ac:dyDescent="0.25">
      <c r="A705" s="1"/>
    </row>
    <row r="706" spans="1:1" x14ac:dyDescent="0.25">
      <c r="A706" s="1"/>
    </row>
    <row r="707" spans="1:1" x14ac:dyDescent="0.25">
      <c r="A707" s="1"/>
    </row>
    <row r="708" spans="1:1" x14ac:dyDescent="0.25">
      <c r="A708" s="1"/>
    </row>
    <row r="709" spans="1:1" x14ac:dyDescent="0.25">
      <c r="A709" s="1"/>
    </row>
    <row r="710" spans="1:1" x14ac:dyDescent="0.25">
      <c r="A710" s="1"/>
    </row>
    <row r="711" spans="1:1" x14ac:dyDescent="0.25">
      <c r="A711" s="1"/>
    </row>
    <row r="712" spans="1:1" x14ac:dyDescent="0.25">
      <c r="A712" s="1"/>
    </row>
    <row r="713" spans="1:1" x14ac:dyDescent="0.25">
      <c r="A713" s="1"/>
    </row>
    <row r="714" spans="1:1" x14ac:dyDescent="0.25">
      <c r="A714" s="1"/>
    </row>
    <row r="715" spans="1:1" x14ac:dyDescent="0.25">
      <c r="A715" s="1"/>
    </row>
    <row r="716" spans="1:1" x14ac:dyDescent="0.25">
      <c r="A716" s="1"/>
    </row>
    <row r="717" spans="1:1" x14ac:dyDescent="0.25">
      <c r="A717" s="1"/>
    </row>
    <row r="718" spans="1:1" x14ac:dyDescent="0.25">
      <c r="A718" s="1"/>
    </row>
    <row r="719" spans="1:1" x14ac:dyDescent="0.25">
      <c r="A719" s="1"/>
    </row>
    <row r="720" spans="1:1" x14ac:dyDescent="0.25">
      <c r="A720" s="1"/>
    </row>
    <row r="721" spans="1:1" x14ac:dyDescent="0.25">
      <c r="A721" s="1"/>
    </row>
    <row r="722" spans="1:1" x14ac:dyDescent="0.25">
      <c r="A722" s="1"/>
    </row>
    <row r="723" spans="1:1" x14ac:dyDescent="0.25">
      <c r="A723" s="1"/>
    </row>
    <row r="724" spans="1:1" x14ac:dyDescent="0.25">
      <c r="A724" s="1"/>
    </row>
    <row r="725" spans="1:1" x14ac:dyDescent="0.25">
      <c r="A725" s="1"/>
    </row>
    <row r="726" spans="1:1" x14ac:dyDescent="0.25">
      <c r="A726" s="1"/>
    </row>
    <row r="727" spans="1:1" x14ac:dyDescent="0.25">
      <c r="A727" s="1"/>
    </row>
    <row r="728" spans="1:1" x14ac:dyDescent="0.25">
      <c r="A728" s="1"/>
    </row>
    <row r="729" spans="1:1" x14ac:dyDescent="0.25">
      <c r="A729" s="1"/>
    </row>
    <row r="730" spans="1:1" x14ac:dyDescent="0.25">
      <c r="A730" s="1"/>
    </row>
    <row r="731" spans="1:1" x14ac:dyDescent="0.25">
      <c r="A731" s="1"/>
    </row>
    <row r="732" spans="1:1" x14ac:dyDescent="0.25">
      <c r="A732" s="1"/>
    </row>
    <row r="733" spans="1:1" x14ac:dyDescent="0.25">
      <c r="A733" s="1"/>
    </row>
    <row r="734" spans="1:1" x14ac:dyDescent="0.25">
      <c r="A734" s="1"/>
    </row>
    <row r="735" spans="1:1" x14ac:dyDescent="0.25">
      <c r="A735" s="1"/>
    </row>
    <row r="736" spans="1:1" x14ac:dyDescent="0.25">
      <c r="A736" s="1"/>
    </row>
    <row r="737" spans="1:1" x14ac:dyDescent="0.25">
      <c r="A737" s="1"/>
    </row>
    <row r="738" spans="1:1" x14ac:dyDescent="0.25">
      <c r="A738" s="1"/>
    </row>
    <row r="739" spans="1:1" x14ac:dyDescent="0.25">
      <c r="A739" s="1"/>
    </row>
    <row r="740" spans="1:1" x14ac:dyDescent="0.25">
      <c r="A740" s="1"/>
    </row>
    <row r="741" spans="1:1" x14ac:dyDescent="0.25">
      <c r="A741" s="1"/>
    </row>
    <row r="742" spans="1:1" x14ac:dyDescent="0.25">
      <c r="A742" s="1"/>
    </row>
    <row r="743" spans="1:1" x14ac:dyDescent="0.25">
      <c r="A743" s="1"/>
    </row>
    <row r="744" spans="1:1" x14ac:dyDescent="0.25">
      <c r="A744" s="1"/>
    </row>
    <row r="745" spans="1:1" x14ac:dyDescent="0.25">
      <c r="A745" s="1"/>
    </row>
    <row r="746" spans="1:1" x14ac:dyDescent="0.25">
      <c r="A746" s="1"/>
    </row>
    <row r="747" spans="1:1" x14ac:dyDescent="0.25">
      <c r="A747" s="1"/>
    </row>
    <row r="748" spans="1:1" x14ac:dyDescent="0.25">
      <c r="A748" s="1"/>
    </row>
    <row r="749" spans="1:1" x14ac:dyDescent="0.25">
      <c r="A749" s="1"/>
    </row>
    <row r="750" spans="1:1" x14ac:dyDescent="0.25">
      <c r="A750" s="1"/>
    </row>
    <row r="751" spans="1:1" x14ac:dyDescent="0.25">
      <c r="A751" s="1"/>
    </row>
    <row r="752" spans="1:1" x14ac:dyDescent="0.25">
      <c r="A752" s="1"/>
    </row>
    <row r="753" spans="1:1" x14ac:dyDescent="0.25">
      <c r="A753" s="1"/>
    </row>
    <row r="754" spans="1:1" x14ac:dyDescent="0.25">
      <c r="A754" s="1"/>
    </row>
    <row r="755" spans="1:1" x14ac:dyDescent="0.25">
      <c r="A755" s="1"/>
    </row>
    <row r="756" spans="1:1" x14ac:dyDescent="0.25">
      <c r="A756" s="1"/>
    </row>
    <row r="757" spans="1:1" x14ac:dyDescent="0.25">
      <c r="A757" s="1"/>
    </row>
    <row r="758" spans="1:1" x14ac:dyDescent="0.25">
      <c r="A758" s="1"/>
    </row>
    <row r="759" spans="1:1" x14ac:dyDescent="0.25">
      <c r="A759" s="1"/>
    </row>
    <row r="760" spans="1:1" x14ac:dyDescent="0.25">
      <c r="A760" s="1"/>
    </row>
    <row r="761" spans="1:1" x14ac:dyDescent="0.25">
      <c r="A761" s="1"/>
    </row>
    <row r="762" spans="1:1" x14ac:dyDescent="0.25">
      <c r="A762" s="1"/>
    </row>
    <row r="763" spans="1:1" x14ac:dyDescent="0.25">
      <c r="A763" s="1"/>
    </row>
    <row r="764" spans="1:1" x14ac:dyDescent="0.25">
      <c r="A764" s="1"/>
    </row>
    <row r="765" spans="1:1" x14ac:dyDescent="0.25">
      <c r="A765" s="1"/>
    </row>
    <row r="766" spans="1:1" x14ac:dyDescent="0.25">
      <c r="A766" s="1"/>
    </row>
    <row r="767" spans="1:1" x14ac:dyDescent="0.25">
      <c r="A767" s="1"/>
    </row>
    <row r="768" spans="1:1" x14ac:dyDescent="0.25">
      <c r="A768" s="1"/>
    </row>
    <row r="769" spans="1:1" x14ac:dyDescent="0.25">
      <c r="A769" s="1"/>
    </row>
    <row r="770" spans="1:1" x14ac:dyDescent="0.25">
      <c r="A770" s="1"/>
    </row>
    <row r="771" spans="1:1" x14ac:dyDescent="0.25">
      <c r="A771" s="1"/>
    </row>
    <row r="772" spans="1:1" x14ac:dyDescent="0.25">
      <c r="A772" s="1"/>
    </row>
    <row r="773" spans="1:1" x14ac:dyDescent="0.25">
      <c r="A773" s="1"/>
    </row>
    <row r="774" spans="1:1" x14ac:dyDescent="0.25">
      <c r="A774" s="1"/>
    </row>
    <row r="775" spans="1:1" x14ac:dyDescent="0.25">
      <c r="A775" s="1"/>
    </row>
    <row r="776" spans="1:1" x14ac:dyDescent="0.25">
      <c r="A776" s="1"/>
    </row>
    <row r="777" spans="1:1" x14ac:dyDescent="0.25">
      <c r="A777" s="1"/>
    </row>
    <row r="778" spans="1:1" x14ac:dyDescent="0.25">
      <c r="A778" s="1"/>
    </row>
    <row r="779" spans="1:1" x14ac:dyDescent="0.25">
      <c r="A779" s="1"/>
    </row>
    <row r="780" spans="1:1" x14ac:dyDescent="0.25">
      <c r="A780" s="1"/>
    </row>
    <row r="781" spans="1:1" x14ac:dyDescent="0.25">
      <c r="A781" s="1"/>
    </row>
    <row r="782" spans="1:1" x14ac:dyDescent="0.25">
      <c r="A782" s="1"/>
    </row>
    <row r="783" spans="1:1" x14ac:dyDescent="0.25">
      <c r="A783" s="1"/>
    </row>
    <row r="784" spans="1:1" x14ac:dyDescent="0.25">
      <c r="A784" s="1"/>
    </row>
    <row r="785" spans="1:1" x14ac:dyDescent="0.25">
      <c r="A785" s="1"/>
    </row>
    <row r="786" spans="1:1" x14ac:dyDescent="0.25">
      <c r="A786" s="1"/>
    </row>
    <row r="787" spans="1:1" x14ac:dyDescent="0.25">
      <c r="A787" s="1"/>
    </row>
    <row r="788" spans="1:1" x14ac:dyDescent="0.25">
      <c r="A788" s="1"/>
    </row>
    <row r="789" spans="1:1" x14ac:dyDescent="0.25">
      <c r="A789" s="1"/>
    </row>
    <row r="790" spans="1:1" x14ac:dyDescent="0.25">
      <c r="A790" s="1"/>
    </row>
    <row r="791" spans="1:1" x14ac:dyDescent="0.25">
      <c r="A791" s="1"/>
    </row>
    <row r="792" spans="1:1" x14ac:dyDescent="0.25">
      <c r="A792" s="1"/>
    </row>
    <row r="793" spans="1:1" x14ac:dyDescent="0.25">
      <c r="A793" s="1"/>
    </row>
    <row r="794" spans="1:1" x14ac:dyDescent="0.25">
      <c r="A794" s="1"/>
    </row>
    <row r="795" spans="1:1" x14ac:dyDescent="0.25">
      <c r="A795" s="1"/>
    </row>
    <row r="796" spans="1:1" x14ac:dyDescent="0.25">
      <c r="A796" s="1"/>
    </row>
    <row r="797" spans="1:1" x14ac:dyDescent="0.25">
      <c r="A797" s="1"/>
    </row>
    <row r="798" spans="1:1" x14ac:dyDescent="0.25">
      <c r="A798" s="1"/>
    </row>
    <row r="799" spans="1:1" x14ac:dyDescent="0.25">
      <c r="A799" s="1"/>
    </row>
    <row r="800" spans="1:1" x14ac:dyDescent="0.25">
      <c r="A800" s="1"/>
    </row>
    <row r="801" spans="1:1" x14ac:dyDescent="0.25">
      <c r="A801" s="1"/>
    </row>
    <row r="802" spans="1:1" x14ac:dyDescent="0.25">
      <c r="A802" s="1"/>
    </row>
    <row r="803" spans="1:1" x14ac:dyDescent="0.25">
      <c r="A803" s="1"/>
    </row>
    <row r="804" spans="1:1" x14ac:dyDescent="0.25">
      <c r="A804" s="1"/>
    </row>
    <row r="805" spans="1:1" x14ac:dyDescent="0.25">
      <c r="A805" s="1"/>
    </row>
    <row r="806" spans="1:1" x14ac:dyDescent="0.25">
      <c r="A806" s="1"/>
    </row>
    <row r="807" spans="1:1" x14ac:dyDescent="0.25">
      <c r="A807" s="1"/>
    </row>
    <row r="808" spans="1:1" x14ac:dyDescent="0.25">
      <c r="A808" s="1"/>
    </row>
    <row r="809" spans="1:1" x14ac:dyDescent="0.25">
      <c r="A809" s="1"/>
    </row>
    <row r="810" spans="1:1" x14ac:dyDescent="0.25">
      <c r="A810" s="1"/>
    </row>
    <row r="811" spans="1:1" x14ac:dyDescent="0.25">
      <c r="A811" s="1"/>
    </row>
    <row r="812" spans="1:1" x14ac:dyDescent="0.25">
      <c r="A812" s="1"/>
    </row>
    <row r="813" spans="1:1" x14ac:dyDescent="0.25">
      <c r="A813" s="1"/>
    </row>
    <row r="814" spans="1:1" x14ac:dyDescent="0.25">
      <c r="A814" s="1"/>
    </row>
    <row r="815" spans="1:1" x14ac:dyDescent="0.25">
      <c r="A815" s="1"/>
    </row>
    <row r="816" spans="1:1" x14ac:dyDescent="0.25">
      <c r="A816" s="1"/>
    </row>
    <row r="817" spans="1:1" x14ac:dyDescent="0.25">
      <c r="A817" s="1"/>
    </row>
    <row r="818" spans="1:1" x14ac:dyDescent="0.25">
      <c r="A818" s="1"/>
    </row>
    <row r="819" spans="1:1" x14ac:dyDescent="0.25">
      <c r="A819" s="1"/>
    </row>
    <row r="820" spans="1:1" x14ac:dyDescent="0.25">
      <c r="A820" s="1"/>
    </row>
    <row r="821" spans="1:1" x14ac:dyDescent="0.25">
      <c r="A821" s="1"/>
    </row>
    <row r="822" spans="1:1" x14ac:dyDescent="0.25">
      <c r="A822" s="1"/>
    </row>
    <row r="823" spans="1:1" x14ac:dyDescent="0.25">
      <c r="A823" s="1"/>
    </row>
    <row r="824" spans="1:1" x14ac:dyDescent="0.25">
      <c r="A824" s="1"/>
    </row>
    <row r="825" spans="1:1" x14ac:dyDescent="0.25">
      <c r="A825" s="1"/>
    </row>
    <row r="826" spans="1:1" x14ac:dyDescent="0.25">
      <c r="A826" s="1"/>
    </row>
    <row r="827" spans="1:1" x14ac:dyDescent="0.25">
      <c r="A827" s="1"/>
    </row>
    <row r="828" spans="1:1" x14ac:dyDescent="0.25">
      <c r="A828" s="1"/>
    </row>
    <row r="829" spans="1:1" x14ac:dyDescent="0.25">
      <c r="A829" s="1"/>
    </row>
    <row r="830" spans="1:1" x14ac:dyDescent="0.25">
      <c r="A830" s="1"/>
    </row>
    <row r="831" spans="1:1" x14ac:dyDescent="0.25">
      <c r="A831" s="1"/>
    </row>
    <row r="832" spans="1:1" x14ac:dyDescent="0.25">
      <c r="A832" s="1"/>
    </row>
    <row r="833" spans="1:1" x14ac:dyDescent="0.25">
      <c r="A833" s="1"/>
    </row>
    <row r="834" spans="1:1" x14ac:dyDescent="0.25">
      <c r="A834" s="1"/>
    </row>
    <row r="835" spans="1:1" x14ac:dyDescent="0.25">
      <c r="A835" s="1"/>
    </row>
    <row r="836" spans="1:1" x14ac:dyDescent="0.25">
      <c r="A836" s="1"/>
    </row>
    <row r="837" spans="1:1" x14ac:dyDescent="0.25">
      <c r="A837" s="1"/>
    </row>
    <row r="838" spans="1:1" x14ac:dyDescent="0.25">
      <c r="A838" s="1"/>
    </row>
    <row r="839" spans="1:1" x14ac:dyDescent="0.25">
      <c r="A839" s="1"/>
    </row>
    <row r="840" spans="1:1" x14ac:dyDescent="0.25">
      <c r="A840" s="1"/>
    </row>
    <row r="841" spans="1:1" x14ac:dyDescent="0.25">
      <c r="A841" s="1"/>
    </row>
    <row r="842" spans="1:1" x14ac:dyDescent="0.25">
      <c r="A842" s="1"/>
    </row>
    <row r="843" spans="1:1" x14ac:dyDescent="0.25">
      <c r="A843" s="1"/>
    </row>
    <row r="844" spans="1:1" x14ac:dyDescent="0.25">
      <c r="A844" s="1"/>
    </row>
    <row r="845" spans="1:1" x14ac:dyDescent="0.25">
      <c r="A845" s="1"/>
    </row>
    <row r="846" spans="1:1" x14ac:dyDescent="0.25">
      <c r="A846" s="1"/>
    </row>
    <row r="847" spans="1:1" x14ac:dyDescent="0.25">
      <c r="A847" s="1"/>
    </row>
    <row r="848" spans="1:1" x14ac:dyDescent="0.25">
      <c r="A848" s="1"/>
    </row>
    <row r="849" spans="1:1" x14ac:dyDescent="0.25">
      <c r="A849" s="1"/>
    </row>
    <row r="850" spans="1:1" x14ac:dyDescent="0.25">
      <c r="A850" s="1"/>
    </row>
    <row r="851" spans="1:1" x14ac:dyDescent="0.25">
      <c r="A851" s="1"/>
    </row>
    <row r="852" spans="1:1" x14ac:dyDescent="0.25">
      <c r="A852" s="1"/>
    </row>
    <row r="853" spans="1:1" x14ac:dyDescent="0.25">
      <c r="A853" s="1"/>
    </row>
    <row r="854" spans="1:1" x14ac:dyDescent="0.25">
      <c r="A854" s="1"/>
    </row>
    <row r="855" spans="1:1" x14ac:dyDescent="0.25">
      <c r="A855" s="1"/>
    </row>
    <row r="856" spans="1:1" x14ac:dyDescent="0.25">
      <c r="A856" s="1"/>
    </row>
    <row r="857" spans="1:1" x14ac:dyDescent="0.25">
      <c r="A857" s="1"/>
    </row>
    <row r="858" spans="1:1" x14ac:dyDescent="0.25">
      <c r="A858" s="1"/>
    </row>
    <row r="859" spans="1:1" x14ac:dyDescent="0.25">
      <c r="A859" s="1"/>
    </row>
    <row r="860" spans="1:1" x14ac:dyDescent="0.25">
      <c r="A860" s="1"/>
    </row>
    <row r="861" spans="1:1" x14ac:dyDescent="0.25">
      <c r="A861" s="1"/>
    </row>
    <row r="862" spans="1:1" x14ac:dyDescent="0.25">
      <c r="A862" s="1"/>
    </row>
    <row r="863" spans="1:1" x14ac:dyDescent="0.25">
      <c r="A863" s="1"/>
    </row>
    <row r="864" spans="1:1" x14ac:dyDescent="0.25">
      <c r="A864" s="1"/>
    </row>
    <row r="865" spans="1:1" x14ac:dyDescent="0.25">
      <c r="A865" s="1"/>
    </row>
    <row r="866" spans="1:1" x14ac:dyDescent="0.25">
      <c r="A866" s="1"/>
    </row>
    <row r="867" spans="1:1" x14ac:dyDescent="0.25">
      <c r="A867" s="1"/>
    </row>
    <row r="868" spans="1:1" x14ac:dyDescent="0.25">
      <c r="A868" s="1"/>
    </row>
    <row r="869" spans="1:1" x14ac:dyDescent="0.25">
      <c r="A869" s="1"/>
    </row>
    <row r="870" spans="1:1" x14ac:dyDescent="0.25">
      <c r="A870" s="1"/>
    </row>
    <row r="871" spans="1:1" x14ac:dyDescent="0.25">
      <c r="A871" s="1"/>
    </row>
    <row r="872" spans="1:1" x14ac:dyDescent="0.25">
      <c r="A872" s="1"/>
    </row>
    <row r="873" spans="1:1" x14ac:dyDescent="0.25">
      <c r="A873" s="1"/>
    </row>
    <row r="874" spans="1:1" x14ac:dyDescent="0.25">
      <c r="A874" s="1"/>
    </row>
    <row r="875" spans="1:1" x14ac:dyDescent="0.25">
      <c r="A875" s="1"/>
    </row>
    <row r="876" spans="1:1" x14ac:dyDescent="0.25">
      <c r="A876" s="1"/>
    </row>
    <row r="877" spans="1:1" x14ac:dyDescent="0.25">
      <c r="A877" s="1"/>
    </row>
    <row r="878" spans="1:1" x14ac:dyDescent="0.25">
      <c r="A878" s="1"/>
    </row>
    <row r="879" spans="1:1" x14ac:dyDescent="0.25">
      <c r="A879" s="1"/>
    </row>
    <row r="880" spans="1:1" x14ac:dyDescent="0.25">
      <c r="A880" s="1"/>
    </row>
    <row r="881" spans="1:1" x14ac:dyDescent="0.25">
      <c r="A881" s="1"/>
    </row>
    <row r="882" spans="1:1" x14ac:dyDescent="0.25">
      <c r="A882" s="1"/>
    </row>
    <row r="883" spans="1:1" x14ac:dyDescent="0.25">
      <c r="A883" s="1"/>
    </row>
    <row r="884" spans="1:1" x14ac:dyDescent="0.25">
      <c r="A884" s="1"/>
    </row>
    <row r="885" spans="1:1" x14ac:dyDescent="0.25">
      <c r="A885" s="1"/>
    </row>
    <row r="886" spans="1:1" x14ac:dyDescent="0.25">
      <c r="A886" s="1"/>
    </row>
    <row r="887" spans="1:1" x14ac:dyDescent="0.25">
      <c r="A887" s="1"/>
    </row>
    <row r="888" spans="1:1" x14ac:dyDescent="0.25">
      <c r="A888" s="1"/>
    </row>
    <row r="889" spans="1:1" x14ac:dyDescent="0.25">
      <c r="A889" s="1"/>
    </row>
    <row r="890" spans="1:1" x14ac:dyDescent="0.25">
      <c r="A890" s="1"/>
    </row>
    <row r="891" spans="1:1" x14ac:dyDescent="0.25">
      <c r="A891" s="1"/>
    </row>
    <row r="892" spans="1:1" x14ac:dyDescent="0.25">
      <c r="A892" s="1"/>
    </row>
    <row r="893" spans="1:1" x14ac:dyDescent="0.25">
      <c r="A893" s="1"/>
    </row>
    <row r="894" spans="1:1" x14ac:dyDescent="0.25">
      <c r="A894" s="1"/>
    </row>
    <row r="895" spans="1:1" x14ac:dyDescent="0.25">
      <c r="A895" s="1"/>
    </row>
    <row r="896" spans="1:1" x14ac:dyDescent="0.25">
      <c r="A896" s="1"/>
    </row>
    <row r="897" spans="1:1" x14ac:dyDescent="0.25">
      <c r="A897" s="1"/>
    </row>
    <row r="898" spans="1:1" x14ac:dyDescent="0.25">
      <c r="A898" s="1"/>
    </row>
    <row r="899" spans="1:1" x14ac:dyDescent="0.25">
      <c r="A899" s="1"/>
    </row>
    <row r="900" spans="1:1" x14ac:dyDescent="0.25">
      <c r="A900" s="1"/>
    </row>
    <row r="901" spans="1:1" x14ac:dyDescent="0.25">
      <c r="A901" s="1"/>
    </row>
    <row r="902" spans="1:1" x14ac:dyDescent="0.25">
      <c r="A902" s="1"/>
    </row>
    <row r="903" spans="1:1" x14ac:dyDescent="0.25">
      <c r="A903" s="1"/>
    </row>
    <row r="904" spans="1:1" x14ac:dyDescent="0.25">
      <c r="A904" s="1"/>
    </row>
    <row r="905" spans="1:1" x14ac:dyDescent="0.25">
      <c r="A905" s="1"/>
    </row>
    <row r="906" spans="1:1" x14ac:dyDescent="0.25">
      <c r="A906" s="1"/>
    </row>
    <row r="907" spans="1:1" x14ac:dyDescent="0.25">
      <c r="A907" s="1"/>
    </row>
    <row r="908" spans="1:1" x14ac:dyDescent="0.25">
      <c r="A908" s="1"/>
    </row>
    <row r="909" spans="1:1" x14ac:dyDescent="0.25">
      <c r="A909" s="1"/>
    </row>
    <row r="910" spans="1:1" x14ac:dyDescent="0.25">
      <c r="A910" s="1"/>
    </row>
    <row r="911" spans="1:1" x14ac:dyDescent="0.25">
      <c r="A911" s="1"/>
    </row>
    <row r="912" spans="1:1" x14ac:dyDescent="0.25">
      <c r="A912" s="1"/>
    </row>
    <row r="913" spans="1:1" x14ac:dyDescent="0.25">
      <c r="A913" s="1"/>
    </row>
    <row r="914" spans="1:1" x14ac:dyDescent="0.25">
      <c r="A914" s="1"/>
    </row>
    <row r="915" spans="1:1" x14ac:dyDescent="0.25">
      <c r="A915" s="1"/>
    </row>
    <row r="916" spans="1:1" x14ac:dyDescent="0.25">
      <c r="A916" s="1"/>
    </row>
    <row r="917" spans="1:1" x14ac:dyDescent="0.25">
      <c r="A917" s="1"/>
    </row>
    <row r="918" spans="1:1" x14ac:dyDescent="0.25">
      <c r="A918" s="1"/>
    </row>
    <row r="919" spans="1:1" x14ac:dyDescent="0.25">
      <c r="A919" s="1"/>
    </row>
    <row r="920" spans="1:1" x14ac:dyDescent="0.25">
      <c r="A920" s="1"/>
    </row>
    <row r="921" spans="1:1" x14ac:dyDescent="0.25">
      <c r="A921" s="1"/>
    </row>
    <row r="922" spans="1:1" x14ac:dyDescent="0.25">
      <c r="A922" s="1"/>
    </row>
    <row r="923" spans="1:1" x14ac:dyDescent="0.25">
      <c r="A923" s="1"/>
    </row>
    <row r="924" spans="1:1" x14ac:dyDescent="0.25">
      <c r="A924" s="1"/>
    </row>
    <row r="925" spans="1:1" x14ac:dyDescent="0.25">
      <c r="A925" s="1"/>
    </row>
    <row r="926" spans="1:1" x14ac:dyDescent="0.25">
      <c r="A926" s="1"/>
    </row>
    <row r="927" spans="1:1" x14ac:dyDescent="0.25">
      <c r="A927" s="1"/>
    </row>
    <row r="928" spans="1:1" x14ac:dyDescent="0.25">
      <c r="A928" s="1"/>
    </row>
    <row r="929" spans="1:1" x14ac:dyDescent="0.25">
      <c r="A929" s="1"/>
    </row>
    <row r="930" spans="1:1" x14ac:dyDescent="0.25">
      <c r="A930" s="1"/>
    </row>
    <row r="931" spans="1:1" x14ac:dyDescent="0.25">
      <c r="A931" s="1"/>
    </row>
    <row r="932" spans="1:1" x14ac:dyDescent="0.25">
      <c r="A932" s="1"/>
    </row>
    <row r="933" spans="1:1" x14ac:dyDescent="0.25">
      <c r="A933" s="1"/>
    </row>
    <row r="934" spans="1:1" x14ac:dyDescent="0.25">
      <c r="A934" s="1"/>
    </row>
    <row r="935" spans="1:1" x14ac:dyDescent="0.25">
      <c r="A935" s="1"/>
    </row>
    <row r="936" spans="1:1" x14ac:dyDescent="0.25">
      <c r="A936" s="1"/>
    </row>
    <row r="937" spans="1:1" x14ac:dyDescent="0.25">
      <c r="A937" s="1"/>
    </row>
    <row r="938" spans="1:1" x14ac:dyDescent="0.25">
      <c r="A938" s="1"/>
    </row>
    <row r="939" spans="1:1" x14ac:dyDescent="0.25">
      <c r="A939" s="1"/>
    </row>
    <row r="940" spans="1:1" x14ac:dyDescent="0.25">
      <c r="A940" s="1"/>
    </row>
    <row r="941" spans="1:1" x14ac:dyDescent="0.25">
      <c r="A941" s="1"/>
    </row>
    <row r="942" spans="1:1" x14ac:dyDescent="0.25">
      <c r="A942" s="1"/>
    </row>
    <row r="943" spans="1:1" x14ac:dyDescent="0.25">
      <c r="A943" s="1"/>
    </row>
    <row r="944" spans="1:1" x14ac:dyDescent="0.25">
      <c r="A944" s="1"/>
    </row>
    <row r="945" spans="1:1" x14ac:dyDescent="0.25">
      <c r="A945" s="1"/>
    </row>
    <row r="946" spans="1:1" x14ac:dyDescent="0.25">
      <c r="A946" s="1"/>
    </row>
    <row r="947" spans="1:1" x14ac:dyDescent="0.25">
      <c r="A947" s="1"/>
    </row>
    <row r="948" spans="1:1" x14ac:dyDescent="0.25">
      <c r="A948" s="1"/>
    </row>
    <row r="949" spans="1:1" x14ac:dyDescent="0.25">
      <c r="A949" s="1"/>
    </row>
    <row r="950" spans="1:1" x14ac:dyDescent="0.25">
      <c r="A950" s="1"/>
    </row>
    <row r="951" spans="1:1" x14ac:dyDescent="0.25">
      <c r="A951" s="1"/>
    </row>
    <row r="952" spans="1:1" x14ac:dyDescent="0.25">
      <c r="A952" s="1"/>
    </row>
    <row r="953" spans="1:1" x14ac:dyDescent="0.25">
      <c r="A953" s="1"/>
    </row>
    <row r="954" spans="1:1" x14ac:dyDescent="0.25">
      <c r="A954" s="1"/>
    </row>
    <row r="955" spans="1:1" x14ac:dyDescent="0.25">
      <c r="A955" s="1"/>
    </row>
    <row r="956" spans="1:1" x14ac:dyDescent="0.25">
      <c r="A956" s="1"/>
    </row>
    <row r="957" spans="1:1" x14ac:dyDescent="0.25">
      <c r="A957" s="1"/>
    </row>
    <row r="958" spans="1:1" x14ac:dyDescent="0.25">
      <c r="A958" s="1"/>
    </row>
    <row r="959" spans="1:1" x14ac:dyDescent="0.25">
      <c r="A959" s="1"/>
    </row>
    <row r="960" spans="1:1" x14ac:dyDescent="0.25">
      <c r="A960" s="1"/>
    </row>
    <row r="961" spans="1:1" x14ac:dyDescent="0.25">
      <c r="A961" s="1"/>
    </row>
    <row r="962" spans="1:1" x14ac:dyDescent="0.25">
      <c r="A962" s="1"/>
    </row>
    <row r="963" spans="1:1" x14ac:dyDescent="0.25">
      <c r="A963" s="1"/>
    </row>
    <row r="964" spans="1:1" x14ac:dyDescent="0.25">
      <c r="A964" s="1"/>
    </row>
    <row r="965" spans="1:1" x14ac:dyDescent="0.25">
      <c r="A965" s="1"/>
    </row>
    <row r="966" spans="1:1" x14ac:dyDescent="0.25">
      <c r="A966" s="1"/>
    </row>
    <row r="967" spans="1:1" x14ac:dyDescent="0.25">
      <c r="A967" s="1"/>
    </row>
    <row r="968" spans="1:1" x14ac:dyDescent="0.25">
      <c r="A968" s="1"/>
    </row>
    <row r="969" spans="1:1" x14ac:dyDescent="0.25">
      <c r="A969" s="1"/>
    </row>
    <row r="970" spans="1:1" x14ac:dyDescent="0.25">
      <c r="A970" s="1"/>
    </row>
    <row r="971" spans="1:1" x14ac:dyDescent="0.25">
      <c r="A971" s="1"/>
    </row>
    <row r="972" spans="1:1" x14ac:dyDescent="0.25">
      <c r="A972" s="1"/>
    </row>
    <row r="973" spans="1:1" x14ac:dyDescent="0.25">
      <c r="A973" s="1"/>
    </row>
    <row r="974" spans="1:1" x14ac:dyDescent="0.25">
      <c r="A974" s="1"/>
    </row>
    <row r="975" spans="1:1" x14ac:dyDescent="0.25">
      <c r="A975" s="1"/>
    </row>
    <row r="976" spans="1:1" x14ac:dyDescent="0.25">
      <c r="A976" s="1"/>
    </row>
    <row r="977" spans="1:1" x14ac:dyDescent="0.25">
      <c r="A977" s="1"/>
    </row>
    <row r="978" spans="1:1" x14ac:dyDescent="0.25">
      <c r="A978" s="1"/>
    </row>
    <row r="979" spans="1:1" x14ac:dyDescent="0.25">
      <c r="A979" s="1"/>
    </row>
    <row r="980" spans="1:1" x14ac:dyDescent="0.25">
      <c r="A980" s="1"/>
    </row>
    <row r="981" spans="1:1" x14ac:dyDescent="0.25">
      <c r="A981" s="1"/>
    </row>
    <row r="982" spans="1:1" x14ac:dyDescent="0.25">
      <c r="A982" s="1"/>
    </row>
    <row r="983" spans="1:1" x14ac:dyDescent="0.25">
      <c r="A983" s="1"/>
    </row>
    <row r="984" spans="1:1" x14ac:dyDescent="0.25">
      <c r="A984" s="1"/>
    </row>
    <row r="985" spans="1:1" x14ac:dyDescent="0.25">
      <c r="A985" s="1"/>
    </row>
    <row r="986" spans="1:1" x14ac:dyDescent="0.25">
      <c r="A986" s="1"/>
    </row>
    <row r="987" spans="1:1" x14ac:dyDescent="0.25">
      <c r="A987" s="1"/>
    </row>
    <row r="988" spans="1:1" x14ac:dyDescent="0.25">
      <c r="A988" s="1"/>
    </row>
    <row r="989" spans="1:1" x14ac:dyDescent="0.25">
      <c r="A989" s="1"/>
    </row>
    <row r="990" spans="1:1" x14ac:dyDescent="0.25">
      <c r="A990" s="1"/>
    </row>
    <row r="991" spans="1:1" x14ac:dyDescent="0.25">
      <c r="A991" s="1"/>
    </row>
    <row r="992" spans="1:1" x14ac:dyDescent="0.25">
      <c r="A992" s="1"/>
    </row>
    <row r="993" spans="1:1" x14ac:dyDescent="0.25">
      <c r="A993" s="1"/>
    </row>
    <row r="994" spans="1:1" x14ac:dyDescent="0.25">
      <c r="A994" s="1"/>
    </row>
    <row r="995" spans="1:1" x14ac:dyDescent="0.25">
      <c r="A995" s="1"/>
    </row>
    <row r="996" spans="1:1" x14ac:dyDescent="0.25">
      <c r="A996" s="1"/>
    </row>
    <row r="997" spans="1:1" x14ac:dyDescent="0.25">
      <c r="A997" s="1"/>
    </row>
    <row r="998" spans="1:1" x14ac:dyDescent="0.25">
      <c r="A998" s="1"/>
    </row>
    <row r="999" spans="1:1" x14ac:dyDescent="0.25">
      <c r="A999" s="1"/>
    </row>
    <row r="1000" spans="1:1" x14ac:dyDescent="0.25">
      <c r="A1000" s="1"/>
    </row>
    <row r="1001" spans="1:1" x14ac:dyDescent="0.25">
      <c r="A1001" s="1"/>
    </row>
    <row r="1002" spans="1:1" x14ac:dyDescent="0.25">
      <c r="A1002" s="1"/>
    </row>
    <row r="1003" spans="1:1" x14ac:dyDescent="0.25">
      <c r="A1003" s="1"/>
    </row>
    <row r="1004" spans="1:1" x14ac:dyDescent="0.25">
      <c r="A1004" s="1"/>
    </row>
    <row r="1005" spans="1:1" x14ac:dyDescent="0.25">
      <c r="A1005" s="1"/>
    </row>
    <row r="1006" spans="1:1" x14ac:dyDescent="0.25">
      <c r="A1006" s="1"/>
    </row>
    <row r="1007" spans="1:1" x14ac:dyDescent="0.25">
      <c r="A1007" s="1"/>
    </row>
    <row r="1008" spans="1:1" x14ac:dyDescent="0.25">
      <c r="A1008" s="1"/>
    </row>
    <row r="1009" spans="1:1" x14ac:dyDescent="0.25">
      <c r="A1009" s="1"/>
    </row>
    <row r="1010" spans="1:1" x14ac:dyDescent="0.25">
      <c r="A1010" s="1"/>
    </row>
    <row r="1011" spans="1:1" x14ac:dyDescent="0.25">
      <c r="A1011" s="1"/>
    </row>
    <row r="1012" spans="1:1" x14ac:dyDescent="0.25">
      <c r="A1012" s="1"/>
    </row>
    <row r="1013" spans="1:1" x14ac:dyDescent="0.25">
      <c r="A1013" s="1"/>
    </row>
    <row r="1014" spans="1:1" x14ac:dyDescent="0.25">
      <c r="A1014" s="1"/>
    </row>
    <row r="1015" spans="1:1" x14ac:dyDescent="0.25">
      <c r="A1015" s="1"/>
    </row>
    <row r="1016" spans="1:1" x14ac:dyDescent="0.25">
      <c r="A1016" s="1"/>
    </row>
    <row r="1017" spans="1:1" x14ac:dyDescent="0.25">
      <c r="A1017" s="1"/>
    </row>
    <row r="1018" spans="1:1" x14ac:dyDescent="0.25">
      <c r="A1018" s="1"/>
    </row>
    <row r="1019" spans="1:1" x14ac:dyDescent="0.25">
      <c r="A1019" s="1"/>
    </row>
    <row r="1020" spans="1:1" x14ac:dyDescent="0.25">
      <c r="A1020" s="1"/>
    </row>
    <row r="1021" spans="1:1" x14ac:dyDescent="0.25">
      <c r="A1021" s="1"/>
    </row>
    <row r="1022" spans="1:1" x14ac:dyDescent="0.25">
      <c r="A1022" s="1"/>
    </row>
    <row r="1023" spans="1:1" x14ac:dyDescent="0.25">
      <c r="A1023" s="1"/>
    </row>
    <row r="1024" spans="1:1" x14ac:dyDescent="0.25">
      <c r="A1024" s="1"/>
    </row>
    <row r="1025" spans="1:1" x14ac:dyDescent="0.25">
      <c r="A1025" s="1"/>
    </row>
    <row r="1026" spans="1:1" x14ac:dyDescent="0.25">
      <c r="A1026" s="1"/>
    </row>
    <row r="1027" spans="1:1" x14ac:dyDescent="0.25">
      <c r="A1027" s="1"/>
    </row>
    <row r="1028" spans="1:1" x14ac:dyDescent="0.25">
      <c r="A1028" s="1"/>
    </row>
    <row r="1029" spans="1:1" x14ac:dyDescent="0.25">
      <c r="A1029" s="1"/>
    </row>
    <row r="1030" spans="1:1" x14ac:dyDescent="0.25">
      <c r="A1030" s="1"/>
    </row>
    <row r="1031" spans="1:1" x14ac:dyDescent="0.25">
      <c r="A1031" s="1"/>
    </row>
    <row r="1032" spans="1:1" x14ac:dyDescent="0.25">
      <c r="A1032" s="1"/>
    </row>
    <row r="1033" spans="1:1" x14ac:dyDescent="0.25">
      <c r="A1033" s="1"/>
    </row>
    <row r="1034" spans="1:1" x14ac:dyDescent="0.25">
      <c r="A1034" s="1"/>
    </row>
    <row r="1035" spans="1:1" x14ac:dyDescent="0.25">
      <c r="A1035" s="1"/>
    </row>
    <row r="1036" spans="1:1" x14ac:dyDescent="0.25">
      <c r="A1036" s="1"/>
    </row>
    <row r="1037" spans="1:1" x14ac:dyDescent="0.25">
      <c r="A1037" s="1"/>
    </row>
    <row r="1038" spans="1:1" x14ac:dyDescent="0.25">
      <c r="A1038" s="1"/>
    </row>
    <row r="1039" spans="1:1" x14ac:dyDescent="0.25">
      <c r="A1039" s="1"/>
    </row>
    <row r="1040" spans="1:1" x14ac:dyDescent="0.25">
      <c r="A1040" s="1"/>
    </row>
    <row r="1041" spans="1:1" x14ac:dyDescent="0.25">
      <c r="A1041" s="1"/>
    </row>
    <row r="1042" spans="1:1" x14ac:dyDescent="0.25">
      <c r="A1042" s="1"/>
    </row>
    <row r="1043" spans="1:1" x14ac:dyDescent="0.25">
      <c r="A1043" s="1"/>
    </row>
    <row r="1044" spans="1:1" x14ac:dyDescent="0.25">
      <c r="A1044" s="1"/>
    </row>
    <row r="1045" spans="1:1" x14ac:dyDescent="0.25">
      <c r="A1045" s="1"/>
    </row>
    <row r="1046" spans="1:1" x14ac:dyDescent="0.25">
      <c r="A1046" s="1"/>
    </row>
    <row r="1047" spans="1:1" x14ac:dyDescent="0.25">
      <c r="A1047" s="1"/>
    </row>
    <row r="1048" spans="1:1" x14ac:dyDescent="0.25">
      <c r="A1048" s="1"/>
    </row>
    <row r="1049" spans="1:1" x14ac:dyDescent="0.25">
      <c r="A1049" s="1"/>
    </row>
    <row r="1050" spans="1:1" x14ac:dyDescent="0.25">
      <c r="A1050" s="1"/>
    </row>
    <row r="1051" spans="1:1" x14ac:dyDescent="0.25">
      <c r="A1051" s="1"/>
    </row>
    <row r="1052" spans="1:1" x14ac:dyDescent="0.25">
      <c r="A1052" s="1"/>
    </row>
    <row r="1053" spans="1:1" x14ac:dyDescent="0.25">
      <c r="A1053" s="1"/>
    </row>
    <row r="1054" spans="1:1" x14ac:dyDescent="0.25">
      <c r="A1054" s="1"/>
    </row>
    <row r="1055" spans="1:1" x14ac:dyDescent="0.25">
      <c r="A1055" s="1"/>
    </row>
    <row r="1056" spans="1:1" x14ac:dyDescent="0.25">
      <c r="A1056" s="1"/>
    </row>
    <row r="1057" spans="1:1" x14ac:dyDescent="0.25">
      <c r="A1057" s="1"/>
    </row>
    <row r="1058" spans="1:1" x14ac:dyDescent="0.25">
      <c r="A1058" s="1"/>
    </row>
    <row r="1059" spans="1:1" x14ac:dyDescent="0.25">
      <c r="A1059" s="1"/>
    </row>
    <row r="1060" spans="1:1" x14ac:dyDescent="0.25">
      <c r="A1060" s="1"/>
    </row>
    <row r="1061" spans="1:1" x14ac:dyDescent="0.25">
      <c r="A1061" s="1"/>
    </row>
    <row r="1062" spans="1:1" x14ac:dyDescent="0.25">
      <c r="A1062" s="1"/>
    </row>
    <row r="1063" spans="1:1" x14ac:dyDescent="0.25">
      <c r="A1063" s="1"/>
    </row>
    <row r="1064" spans="1:1" x14ac:dyDescent="0.25">
      <c r="A1064" s="1"/>
    </row>
    <row r="1065" spans="1:1" x14ac:dyDescent="0.25">
      <c r="A1065" s="1"/>
    </row>
    <row r="1066" spans="1:1" x14ac:dyDescent="0.25">
      <c r="A1066" s="1"/>
    </row>
    <row r="1067" spans="1:1" x14ac:dyDescent="0.25">
      <c r="A1067" s="1"/>
    </row>
    <row r="1068" spans="1:1" x14ac:dyDescent="0.25">
      <c r="A1068" s="1"/>
    </row>
    <row r="1069" spans="1:1" x14ac:dyDescent="0.25">
      <c r="A1069" s="1"/>
    </row>
    <row r="1070" spans="1:1" x14ac:dyDescent="0.25">
      <c r="A1070" s="1"/>
    </row>
    <row r="1071" spans="1:1" x14ac:dyDescent="0.25">
      <c r="A1071" s="1"/>
    </row>
    <row r="1072" spans="1:1" x14ac:dyDescent="0.25">
      <c r="A1072" s="1"/>
    </row>
    <row r="1073" spans="1:1" x14ac:dyDescent="0.25">
      <c r="A1073" s="1"/>
    </row>
    <row r="1074" spans="1:1" x14ac:dyDescent="0.25">
      <c r="A1074" s="1"/>
    </row>
    <row r="1075" spans="1:1" x14ac:dyDescent="0.25">
      <c r="A1075" s="1"/>
    </row>
    <row r="1076" spans="1:1" x14ac:dyDescent="0.25">
      <c r="A1076" s="1"/>
    </row>
    <row r="1077" spans="1:1" x14ac:dyDescent="0.25">
      <c r="A1077" s="1"/>
    </row>
    <row r="1078" spans="1:1" x14ac:dyDescent="0.25">
      <c r="A1078" s="1"/>
    </row>
    <row r="1079" spans="1:1" x14ac:dyDescent="0.25">
      <c r="A1079" s="1"/>
    </row>
    <row r="1080" spans="1:1" x14ac:dyDescent="0.25">
      <c r="A1080" s="1"/>
    </row>
    <row r="1081" spans="1:1" x14ac:dyDescent="0.25">
      <c r="A1081" s="1"/>
    </row>
    <row r="1082" spans="1:1" x14ac:dyDescent="0.25">
      <c r="A1082" s="1"/>
    </row>
    <row r="1083" spans="1:1" x14ac:dyDescent="0.25">
      <c r="A1083" s="1"/>
    </row>
    <row r="1084" spans="1:1" x14ac:dyDescent="0.25">
      <c r="A1084" s="1"/>
    </row>
    <row r="1085" spans="1:1" x14ac:dyDescent="0.25">
      <c r="A1085" s="1"/>
    </row>
    <row r="1086" spans="1:1" x14ac:dyDescent="0.25">
      <c r="A1086" s="1"/>
    </row>
    <row r="1087" spans="1:1" x14ac:dyDescent="0.25">
      <c r="A1087" s="1"/>
    </row>
    <row r="1088" spans="1:1" x14ac:dyDescent="0.25">
      <c r="A1088" s="18"/>
    </row>
    <row r="1089" spans="1:1" x14ac:dyDescent="0.25">
      <c r="A1089" s="18"/>
    </row>
    <row r="1090" spans="1:1" x14ac:dyDescent="0.25">
      <c r="A1090" s="18"/>
    </row>
    <row r="1091" spans="1:1" x14ac:dyDescent="0.25">
      <c r="A1091" s="18"/>
    </row>
    <row r="1092" spans="1:1" x14ac:dyDescent="0.25">
      <c r="A1092" s="18"/>
    </row>
    <row r="1093" spans="1:1" x14ac:dyDescent="0.25">
      <c r="A1093" s="18"/>
    </row>
    <row r="1094" spans="1:1" x14ac:dyDescent="0.25">
      <c r="A1094" s="18"/>
    </row>
    <row r="1095" spans="1:1" x14ac:dyDescent="0.25">
      <c r="A1095" s="18"/>
    </row>
    <row r="1096" spans="1:1" x14ac:dyDescent="0.25">
      <c r="A1096" s="18"/>
    </row>
    <row r="1097" spans="1:1" x14ac:dyDescent="0.25">
      <c r="A1097" s="18"/>
    </row>
    <row r="1098" spans="1:1" x14ac:dyDescent="0.25">
      <c r="A1098" s="18"/>
    </row>
    <row r="1099" spans="1:1" x14ac:dyDescent="0.25">
      <c r="A1099" s="18"/>
    </row>
    <row r="1100" spans="1:1" x14ac:dyDescent="0.25">
      <c r="A1100" s="18"/>
    </row>
    <row r="1101" spans="1:1" x14ac:dyDescent="0.25">
      <c r="A1101" s="18"/>
    </row>
    <row r="1102" spans="1:1" x14ac:dyDescent="0.25">
      <c r="A1102" s="18"/>
    </row>
    <row r="1103" spans="1:1" x14ac:dyDescent="0.25">
      <c r="A1103" s="18"/>
    </row>
    <row r="1104" spans="1:1" x14ac:dyDescent="0.25">
      <c r="A1104" s="18"/>
    </row>
    <row r="1105" spans="1:1" x14ac:dyDescent="0.25">
      <c r="A1105" s="18"/>
    </row>
    <row r="1106" spans="1:1" x14ac:dyDescent="0.25">
      <c r="A1106" s="18"/>
    </row>
    <row r="1107" spans="1:1" x14ac:dyDescent="0.25">
      <c r="A1107" s="18"/>
    </row>
    <row r="1108" spans="1:1" x14ac:dyDescent="0.25">
      <c r="A1108" s="18"/>
    </row>
    <row r="1109" spans="1:1" x14ac:dyDescent="0.25">
      <c r="A1109" s="18"/>
    </row>
    <row r="1110" spans="1:1" x14ac:dyDescent="0.25">
      <c r="A1110" s="18"/>
    </row>
    <row r="1111" spans="1:1" x14ac:dyDescent="0.25">
      <c r="A1111" s="18"/>
    </row>
    <row r="1112" spans="1:1" x14ac:dyDescent="0.25">
      <c r="A1112" s="18"/>
    </row>
    <row r="1113" spans="1:1" x14ac:dyDescent="0.25">
      <c r="A1113" s="18"/>
    </row>
    <row r="1114" spans="1:1" x14ac:dyDescent="0.25">
      <c r="A1114" s="18"/>
    </row>
    <row r="1115" spans="1:1" x14ac:dyDescent="0.25">
      <c r="A1115" s="18"/>
    </row>
    <row r="1116" spans="1:1" x14ac:dyDescent="0.25">
      <c r="A1116" s="18"/>
    </row>
    <row r="1117" spans="1:1" x14ac:dyDescent="0.25">
      <c r="A1117" s="18"/>
    </row>
    <row r="1118" spans="1:1" x14ac:dyDescent="0.25">
      <c r="A1118" s="18"/>
    </row>
    <row r="1119" spans="1:1" x14ac:dyDescent="0.25">
      <c r="A1119" s="18"/>
    </row>
    <row r="1120" spans="1:1" x14ac:dyDescent="0.25">
      <c r="A1120" s="18"/>
    </row>
    <row r="1121" spans="1:1" x14ac:dyDescent="0.25">
      <c r="A1121" s="18"/>
    </row>
    <row r="1122" spans="1:1" x14ac:dyDescent="0.25">
      <c r="A1122" s="18"/>
    </row>
    <row r="1123" spans="1:1" x14ac:dyDescent="0.25">
      <c r="A1123" s="18"/>
    </row>
    <row r="1124" spans="1:1" x14ac:dyDescent="0.25">
      <c r="A1124" s="18"/>
    </row>
    <row r="1125" spans="1:1" x14ac:dyDescent="0.25">
      <c r="A1125" s="18"/>
    </row>
    <row r="1126" spans="1:1" x14ac:dyDescent="0.25">
      <c r="A1126" s="18"/>
    </row>
    <row r="1127" spans="1:1" x14ac:dyDescent="0.25">
      <c r="A1127" s="18"/>
    </row>
    <row r="1128" spans="1:1" x14ac:dyDescent="0.25">
      <c r="A1128" s="18"/>
    </row>
    <row r="1129" spans="1:1" x14ac:dyDescent="0.25">
      <c r="A1129" s="18"/>
    </row>
    <row r="1130" spans="1:1" x14ac:dyDescent="0.25">
      <c r="A1130" s="18"/>
    </row>
    <row r="1131" spans="1:1" x14ac:dyDescent="0.25">
      <c r="A1131" s="18"/>
    </row>
    <row r="1132" spans="1:1" x14ac:dyDescent="0.25">
      <c r="A1132" s="18"/>
    </row>
    <row r="1133" spans="1:1" x14ac:dyDescent="0.25">
      <c r="A1133" s="18"/>
    </row>
    <row r="1134" spans="1:1" x14ac:dyDescent="0.25">
      <c r="A1134" s="18"/>
    </row>
    <row r="1135" spans="1:1" x14ac:dyDescent="0.25">
      <c r="A1135" s="18"/>
    </row>
    <row r="1136" spans="1:1" x14ac:dyDescent="0.25">
      <c r="A1136" s="18"/>
    </row>
    <row r="1137" spans="1:1" x14ac:dyDescent="0.25">
      <c r="A1137" s="18"/>
    </row>
    <row r="1138" spans="1:1" x14ac:dyDescent="0.25">
      <c r="A1138" s="18"/>
    </row>
    <row r="1139" spans="1:1" x14ac:dyDescent="0.25">
      <c r="A1139" s="18"/>
    </row>
    <row r="1140" spans="1:1" x14ac:dyDescent="0.25">
      <c r="A1140" s="18"/>
    </row>
    <row r="1141" spans="1:1" x14ac:dyDescent="0.25">
      <c r="A1141" s="18"/>
    </row>
    <row r="1142" spans="1:1" x14ac:dyDescent="0.25">
      <c r="A1142" s="18"/>
    </row>
    <row r="1143" spans="1:1" x14ac:dyDescent="0.25">
      <c r="A1143" s="18"/>
    </row>
    <row r="1144" spans="1:1" x14ac:dyDescent="0.25">
      <c r="A1144" s="18"/>
    </row>
    <row r="1145" spans="1:1" x14ac:dyDescent="0.25">
      <c r="A1145" s="18"/>
    </row>
    <row r="1146" spans="1:1" x14ac:dyDescent="0.25">
      <c r="A1146" s="18"/>
    </row>
    <row r="1147" spans="1:1" x14ac:dyDescent="0.25">
      <c r="A1147" s="18"/>
    </row>
    <row r="1148" spans="1:1" x14ac:dyDescent="0.25">
      <c r="A1148" s="18"/>
    </row>
    <row r="1149" spans="1:1" x14ac:dyDescent="0.25">
      <c r="A1149" s="18"/>
    </row>
    <row r="1150" spans="1:1" x14ac:dyDescent="0.25">
      <c r="A1150" s="18"/>
    </row>
    <row r="1151" spans="1:1" x14ac:dyDescent="0.25">
      <c r="A1151" s="18"/>
    </row>
    <row r="1152" spans="1:1" x14ac:dyDescent="0.25">
      <c r="A1152" s="18"/>
    </row>
    <row r="1153" spans="1:1" x14ac:dyDescent="0.25">
      <c r="A1153" s="18"/>
    </row>
    <row r="1154" spans="1:1" x14ac:dyDescent="0.25">
      <c r="A1154" s="18"/>
    </row>
    <row r="1155" spans="1:1" x14ac:dyDescent="0.25">
      <c r="A1155" s="18"/>
    </row>
    <row r="1156" spans="1:1" x14ac:dyDescent="0.25">
      <c r="A1156" s="18"/>
    </row>
    <row r="1157" spans="1:1" x14ac:dyDescent="0.25">
      <c r="A1157" s="18"/>
    </row>
    <row r="1158" spans="1:1" x14ac:dyDescent="0.25">
      <c r="A1158" s="18"/>
    </row>
    <row r="1159" spans="1:1" x14ac:dyDescent="0.25">
      <c r="A1159" s="18"/>
    </row>
    <row r="1160" spans="1:1" x14ac:dyDescent="0.25">
      <c r="A1160" s="18"/>
    </row>
    <row r="1161" spans="1:1" x14ac:dyDescent="0.25">
      <c r="A1161" s="18"/>
    </row>
    <row r="1162" spans="1:1" x14ac:dyDescent="0.25">
      <c r="A1162" s="18"/>
    </row>
    <row r="1163" spans="1:1" x14ac:dyDescent="0.25">
      <c r="A1163" s="18"/>
    </row>
    <row r="1164" spans="1:1" x14ac:dyDescent="0.25">
      <c r="A1164" s="18"/>
    </row>
    <row r="1165" spans="1:1" x14ac:dyDescent="0.25">
      <c r="A1165" s="18"/>
    </row>
    <row r="1166" spans="1:1" x14ac:dyDescent="0.25">
      <c r="A1166" s="18"/>
    </row>
    <row r="1167" spans="1:1" x14ac:dyDescent="0.25">
      <c r="A1167" s="18"/>
    </row>
    <row r="1168" spans="1:1" x14ac:dyDescent="0.25">
      <c r="A1168" s="18"/>
    </row>
    <row r="1169" spans="1:1" x14ac:dyDescent="0.25">
      <c r="A1169" s="18"/>
    </row>
    <row r="1170" spans="1:1" x14ac:dyDescent="0.25">
      <c r="A1170" s="18"/>
    </row>
    <row r="1171" spans="1:1" x14ac:dyDescent="0.25">
      <c r="A1171" s="18"/>
    </row>
    <row r="1172" spans="1:1" x14ac:dyDescent="0.25">
      <c r="A1172" s="18"/>
    </row>
    <row r="1173" spans="1:1" x14ac:dyDescent="0.25">
      <c r="A1173" s="18"/>
    </row>
    <row r="1174" spans="1:1" x14ac:dyDescent="0.25">
      <c r="A1174" s="18"/>
    </row>
    <row r="1175" spans="1:1" x14ac:dyDescent="0.25">
      <c r="A1175" s="18"/>
    </row>
    <row r="1176" spans="1:1" x14ac:dyDescent="0.25">
      <c r="A1176" s="18"/>
    </row>
    <row r="1177" spans="1:1" x14ac:dyDescent="0.25">
      <c r="A1177" s="18"/>
    </row>
    <row r="1178" spans="1:1" x14ac:dyDescent="0.25">
      <c r="A1178" s="18"/>
    </row>
    <row r="1179" spans="1:1" x14ac:dyDescent="0.25">
      <c r="A1179" s="18"/>
    </row>
    <row r="1180" spans="1:1" x14ac:dyDescent="0.25">
      <c r="A1180" s="18"/>
    </row>
    <row r="1181" spans="1:1" x14ac:dyDescent="0.25">
      <c r="A1181" s="18"/>
    </row>
    <row r="1182" spans="1:1" x14ac:dyDescent="0.25">
      <c r="A1182" s="18"/>
    </row>
    <row r="1183" spans="1:1" x14ac:dyDescent="0.25">
      <c r="A1183" s="18"/>
    </row>
    <row r="1184" spans="1:1" x14ac:dyDescent="0.25">
      <c r="A1184" s="18"/>
    </row>
    <row r="1185" spans="1:1" x14ac:dyDescent="0.25">
      <c r="A1185" s="18"/>
    </row>
    <row r="1186" spans="1:1" x14ac:dyDescent="0.25">
      <c r="A1186" s="18"/>
    </row>
    <row r="1187" spans="1:1" x14ac:dyDescent="0.25">
      <c r="A1187" s="18"/>
    </row>
    <row r="1188" spans="1:1" x14ac:dyDescent="0.25">
      <c r="A1188" s="18"/>
    </row>
    <row r="1189" spans="1:1" x14ac:dyDescent="0.25">
      <c r="A1189" s="18"/>
    </row>
    <row r="1190" spans="1:1" x14ac:dyDescent="0.25">
      <c r="A1190" s="18"/>
    </row>
    <row r="1191" spans="1:1" x14ac:dyDescent="0.25">
      <c r="A1191" s="18"/>
    </row>
    <row r="1192" spans="1:1" x14ac:dyDescent="0.25">
      <c r="A1192" s="18"/>
    </row>
    <row r="1193" spans="1:1" x14ac:dyDescent="0.25">
      <c r="A1193" s="18"/>
    </row>
    <row r="1194" spans="1:1" x14ac:dyDescent="0.25">
      <c r="A1194" s="18"/>
    </row>
    <row r="1195" spans="1:1" x14ac:dyDescent="0.25">
      <c r="A1195" s="18"/>
    </row>
    <row r="1196" spans="1:1" x14ac:dyDescent="0.25">
      <c r="A1196" s="18"/>
    </row>
    <row r="1197" spans="1:1" x14ac:dyDescent="0.25">
      <c r="A1197" s="18"/>
    </row>
    <row r="1198" spans="1:1" x14ac:dyDescent="0.25">
      <c r="A1198" s="18"/>
    </row>
    <row r="1199" spans="1:1" x14ac:dyDescent="0.25">
      <c r="A1199" s="18"/>
    </row>
    <row r="1200" spans="1:1" x14ac:dyDescent="0.25">
      <c r="A1200" s="18"/>
    </row>
    <row r="1201" spans="1:1" x14ac:dyDescent="0.25">
      <c r="A1201" s="18"/>
    </row>
    <row r="1202" spans="1:1" x14ac:dyDescent="0.25">
      <c r="A1202" s="18"/>
    </row>
    <row r="1203" spans="1:1" x14ac:dyDescent="0.25">
      <c r="A1203" s="18"/>
    </row>
    <row r="1204" spans="1:1" x14ac:dyDescent="0.25">
      <c r="A1204" s="18"/>
    </row>
    <row r="1205" spans="1:1" x14ac:dyDescent="0.25">
      <c r="A1205" s="18"/>
    </row>
    <row r="1206" spans="1:1" x14ac:dyDescent="0.25">
      <c r="A1206" s="18"/>
    </row>
    <row r="1207" spans="1:1" x14ac:dyDescent="0.25">
      <c r="A1207" s="18"/>
    </row>
    <row r="1208" spans="1:1" x14ac:dyDescent="0.25">
      <c r="A1208" s="18"/>
    </row>
    <row r="1209" spans="1:1" x14ac:dyDescent="0.25">
      <c r="A1209" s="18"/>
    </row>
    <row r="1210" spans="1:1" x14ac:dyDescent="0.25">
      <c r="A1210" s="18"/>
    </row>
    <row r="1211" spans="1:1" x14ac:dyDescent="0.25">
      <c r="A1211" s="18"/>
    </row>
    <row r="1212" spans="1:1" x14ac:dyDescent="0.25">
      <c r="A1212" s="18"/>
    </row>
    <row r="1213" spans="1:1" x14ac:dyDescent="0.25">
      <c r="A1213" s="18"/>
    </row>
    <row r="1214" spans="1:1" x14ac:dyDescent="0.25">
      <c r="A1214" s="18"/>
    </row>
    <row r="1215" spans="1:1" x14ac:dyDescent="0.25">
      <c r="A1215" s="18"/>
    </row>
    <row r="1216" spans="1:1" x14ac:dyDescent="0.25">
      <c r="A1216" s="18"/>
    </row>
    <row r="1217" spans="1:1" x14ac:dyDescent="0.25">
      <c r="A1217" s="18"/>
    </row>
    <row r="1218" spans="1:1" x14ac:dyDescent="0.25">
      <c r="A1218" s="18"/>
    </row>
    <row r="1219" spans="1:1" x14ac:dyDescent="0.25">
      <c r="A1219" s="18"/>
    </row>
    <row r="1220" spans="1:1" x14ac:dyDescent="0.25">
      <c r="A1220" s="18"/>
    </row>
    <row r="1221" spans="1:1" x14ac:dyDescent="0.25">
      <c r="A1221" s="18"/>
    </row>
    <row r="1222" spans="1:1" x14ac:dyDescent="0.25">
      <c r="A1222" s="18"/>
    </row>
    <row r="1223" spans="1:1" x14ac:dyDescent="0.25">
      <c r="A1223" s="18"/>
    </row>
    <row r="1224" spans="1:1" x14ac:dyDescent="0.25">
      <c r="A1224" s="18"/>
    </row>
    <row r="1225" spans="1:1" x14ac:dyDescent="0.25">
      <c r="A1225" s="18"/>
    </row>
    <row r="1226" spans="1:1" x14ac:dyDescent="0.25">
      <c r="A1226" s="18"/>
    </row>
    <row r="1227" spans="1:1" x14ac:dyDescent="0.25">
      <c r="A1227" s="18"/>
    </row>
    <row r="1228" spans="1:1" x14ac:dyDescent="0.25">
      <c r="A1228" s="18"/>
    </row>
    <row r="1229" spans="1:1" x14ac:dyDescent="0.25">
      <c r="A1229" s="18"/>
    </row>
    <row r="1230" spans="1:1" x14ac:dyDescent="0.25">
      <c r="A1230" s="18"/>
    </row>
    <row r="1231" spans="1:1" x14ac:dyDescent="0.25">
      <c r="A1231" s="18"/>
    </row>
    <row r="1232" spans="1:1" x14ac:dyDescent="0.25">
      <c r="A1232" s="18"/>
    </row>
    <row r="1233" spans="1:1" x14ac:dyDescent="0.25">
      <c r="A1233" s="18"/>
    </row>
    <row r="1234" spans="1:1" x14ac:dyDescent="0.25">
      <c r="A1234" s="18"/>
    </row>
    <row r="1235" spans="1:1" x14ac:dyDescent="0.25">
      <c r="A1235" s="18"/>
    </row>
    <row r="1236" spans="1:1" x14ac:dyDescent="0.25">
      <c r="A1236" s="18"/>
    </row>
    <row r="1237" spans="1:1" x14ac:dyDescent="0.25">
      <c r="A1237" s="18"/>
    </row>
    <row r="1238" spans="1:1" x14ac:dyDescent="0.25">
      <c r="A1238" s="18"/>
    </row>
    <row r="1239" spans="1:1" x14ac:dyDescent="0.25">
      <c r="A1239" s="18"/>
    </row>
    <row r="1240" spans="1:1" x14ac:dyDescent="0.25">
      <c r="A1240" s="18"/>
    </row>
    <row r="1241" spans="1:1" x14ac:dyDescent="0.25">
      <c r="A1241" s="18"/>
    </row>
    <row r="1242" spans="1:1" x14ac:dyDescent="0.25">
      <c r="A1242" s="18"/>
    </row>
    <row r="1243" spans="1:1" x14ac:dyDescent="0.25">
      <c r="A1243" s="18"/>
    </row>
    <row r="1244" spans="1:1" x14ac:dyDescent="0.25">
      <c r="A1244" s="18"/>
    </row>
    <row r="1245" spans="1:1" x14ac:dyDescent="0.25">
      <c r="A1245" s="18"/>
    </row>
    <row r="1246" spans="1:1" x14ac:dyDescent="0.25">
      <c r="A1246" s="18"/>
    </row>
    <row r="1247" spans="1:1" x14ac:dyDescent="0.25">
      <c r="A1247" s="18"/>
    </row>
    <row r="1248" spans="1:1" x14ac:dyDescent="0.25">
      <c r="A1248" s="18"/>
    </row>
    <row r="1249" spans="1:1" x14ac:dyDescent="0.25">
      <c r="A1249" s="18"/>
    </row>
    <row r="1250" spans="1:1" x14ac:dyDescent="0.25">
      <c r="A1250" s="18"/>
    </row>
    <row r="1251" spans="1:1" x14ac:dyDescent="0.25">
      <c r="A1251" s="18"/>
    </row>
    <row r="1252" spans="1:1" x14ac:dyDescent="0.25">
      <c r="A1252" s="18"/>
    </row>
    <row r="1253" spans="1:1" x14ac:dyDescent="0.25">
      <c r="A1253" s="18"/>
    </row>
    <row r="1254" spans="1:1" x14ac:dyDescent="0.25">
      <c r="A1254" s="18"/>
    </row>
    <row r="1255" spans="1:1" x14ac:dyDescent="0.25">
      <c r="A1255" s="18"/>
    </row>
    <row r="1256" spans="1:1" x14ac:dyDescent="0.25">
      <c r="A1256" s="18"/>
    </row>
    <row r="1257" spans="1:1" x14ac:dyDescent="0.25">
      <c r="A1257" s="18"/>
    </row>
    <row r="1258" spans="1:1" x14ac:dyDescent="0.25">
      <c r="A1258" s="18"/>
    </row>
    <row r="1259" spans="1:1" x14ac:dyDescent="0.25">
      <c r="A1259" s="18"/>
    </row>
    <row r="1260" spans="1:1" x14ac:dyDescent="0.25">
      <c r="A1260" s="18"/>
    </row>
    <row r="1261" spans="1:1" x14ac:dyDescent="0.25">
      <c r="A1261" s="18"/>
    </row>
    <row r="1262" spans="1:1" x14ac:dyDescent="0.25">
      <c r="A1262" s="18"/>
    </row>
    <row r="1263" spans="1:1" x14ac:dyDescent="0.25">
      <c r="A1263" s="18"/>
    </row>
    <row r="1264" spans="1:1" x14ac:dyDescent="0.25">
      <c r="A1264" s="18"/>
    </row>
    <row r="1265" spans="1:1" x14ac:dyDescent="0.25">
      <c r="A1265" s="18"/>
    </row>
    <row r="1266" spans="1:1" x14ac:dyDescent="0.25">
      <c r="A1266" s="18"/>
    </row>
    <row r="1267" spans="1:1" x14ac:dyDescent="0.25">
      <c r="A1267" s="18"/>
    </row>
    <row r="1268" spans="1:1" x14ac:dyDescent="0.25">
      <c r="A1268" s="18"/>
    </row>
    <row r="1269" spans="1:1" x14ac:dyDescent="0.25">
      <c r="A1269" s="18"/>
    </row>
    <row r="1270" spans="1:1" x14ac:dyDescent="0.25">
      <c r="A1270" s="18"/>
    </row>
    <row r="1271" spans="1:1" x14ac:dyDescent="0.25">
      <c r="A1271" s="18"/>
    </row>
    <row r="1272" spans="1:1" x14ac:dyDescent="0.25">
      <c r="A1272" s="18"/>
    </row>
    <row r="1273" spans="1:1" x14ac:dyDescent="0.25">
      <c r="A1273" s="18"/>
    </row>
    <row r="1274" spans="1:1" x14ac:dyDescent="0.25">
      <c r="A1274" s="18"/>
    </row>
    <row r="1275" spans="1:1" x14ac:dyDescent="0.25">
      <c r="A1275" s="18"/>
    </row>
    <row r="1276" spans="1:1" x14ac:dyDescent="0.25">
      <c r="A1276" s="18"/>
    </row>
    <row r="1277" spans="1:1" x14ac:dyDescent="0.25">
      <c r="A1277" s="18"/>
    </row>
    <row r="1278" spans="1:1" x14ac:dyDescent="0.25">
      <c r="A1278" s="18"/>
    </row>
    <row r="1279" spans="1:1" x14ac:dyDescent="0.25">
      <c r="A1279" s="18"/>
    </row>
    <row r="1280" spans="1:1" x14ac:dyDescent="0.25">
      <c r="A1280" s="18"/>
    </row>
    <row r="1281" spans="1:1" x14ac:dyDescent="0.25">
      <c r="A1281" s="18"/>
    </row>
    <row r="1282" spans="1:1" x14ac:dyDescent="0.25">
      <c r="A1282" s="18"/>
    </row>
    <row r="1283" spans="1:1" x14ac:dyDescent="0.25">
      <c r="A1283" s="18"/>
    </row>
    <row r="1284" spans="1:1" x14ac:dyDescent="0.25">
      <c r="A1284" s="18"/>
    </row>
    <row r="1285" spans="1:1" x14ac:dyDescent="0.25">
      <c r="A1285" s="18"/>
    </row>
    <row r="1286" spans="1:1" x14ac:dyDescent="0.25">
      <c r="A1286" s="18"/>
    </row>
    <row r="1287" spans="1:1" x14ac:dyDescent="0.25">
      <c r="A1287" s="18"/>
    </row>
    <row r="1288" spans="1:1" x14ac:dyDescent="0.25">
      <c r="A1288" s="18"/>
    </row>
    <row r="1289" spans="1:1" x14ac:dyDescent="0.25">
      <c r="A1289" s="18"/>
    </row>
    <row r="1290" spans="1:1" x14ac:dyDescent="0.25">
      <c r="A1290" s="18"/>
    </row>
    <row r="1291" spans="1:1" x14ac:dyDescent="0.25">
      <c r="A1291" s="18"/>
    </row>
    <row r="1292" spans="1:1" x14ac:dyDescent="0.25">
      <c r="A1292" s="18"/>
    </row>
    <row r="1293" spans="1:1" x14ac:dyDescent="0.25">
      <c r="A1293" s="18"/>
    </row>
    <row r="1294" spans="1:1" x14ac:dyDescent="0.25">
      <c r="A1294" s="18"/>
    </row>
    <row r="1295" spans="1:1" x14ac:dyDescent="0.25">
      <c r="A1295" s="18"/>
    </row>
    <row r="1296" spans="1:1" x14ac:dyDescent="0.25">
      <c r="A1296" s="18"/>
    </row>
    <row r="1297" spans="1:1" x14ac:dyDescent="0.25">
      <c r="A1297" s="18"/>
    </row>
    <row r="1298" spans="1:1" x14ac:dyDescent="0.25">
      <c r="A1298" s="18"/>
    </row>
    <row r="1299" spans="1:1" x14ac:dyDescent="0.25">
      <c r="A1299" s="18"/>
    </row>
    <row r="1300" spans="1:1" x14ac:dyDescent="0.25">
      <c r="A1300" s="18"/>
    </row>
    <row r="1301" spans="1:1" x14ac:dyDescent="0.25">
      <c r="A1301" s="18"/>
    </row>
    <row r="1302" spans="1:1" x14ac:dyDescent="0.25">
      <c r="A1302" s="18"/>
    </row>
    <row r="1303" spans="1:1" x14ac:dyDescent="0.25">
      <c r="A1303" s="18"/>
    </row>
    <row r="1304" spans="1:1" x14ac:dyDescent="0.25">
      <c r="A1304" s="18"/>
    </row>
    <row r="1305" spans="1:1" x14ac:dyDescent="0.25">
      <c r="A1305" s="18"/>
    </row>
    <row r="1306" spans="1:1" x14ac:dyDescent="0.25">
      <c r="A1306" s="18"/>
    </row>
    <row r="1307" spans="1:1" x14ac:dyDescent="0.25">
      <c r="A1307" s="18"/>
    </row>
    <row r="1308" spans="1:1" x14ac:dyDescent="0.25">
      <c r="A1308" s="18"/>
    </row>
    <row r="1309" spans="1:1" x14ac:dyDescent="0.25">
      <c r="A1309" s="18"/>
    </row>
    <row r="1310" spans="1:1" x14ac:dyDescent="0.25">
      <c r="A1310" s="18"/>
    </row>
    <row r="1311" spans="1:1" x14ac:dyDescent="0.25">
      <c r="A1311" s="18"/>
    </row>
    <row r="1312" spans="1:1" x14ac:dyDescent="0.25">
      <c r="A1312" s="18"/>
    </row>
    <row r="1313" spans="1:1" x14ac:dyDescent="0.25">
      <c r="A1313" s="18"/>
    </row>
    <row r="1314" spans="1:1" x14ac:dyDescent="0.25">
      <c r="A1314" s="18"/>
    </row>
    <row r="1315" spans="1:1" x14ac:dyDescent="0.25">
      <c r="A1315" s="18"/>
    </row>
    <row r="1316" spans="1:1" x14ac:dyDescent="0.25">
      <c r="A1316" s="18"/>
    </row>
    <row r="1317" spans="1:1" x14ac:dyDescent="0.25">
      <c r="A1317" s="18"/>
    </row>
    <row r="1318" spans="1:1" x14ac:dyDescent="0.25">
      <c r="A1318" s="18"/>
    </row>
    <row r="1319" spans="1:1" x14ac:dyDescent="0.25">
      <c r="A1319" s="18"/>
    </row>
    <row r="1320" spans="1:1" x14ac:dyDescent="0.25">
      <c r="A1320" s="18"/>
    </row>
    <row r="1321" spans="1:1" x14ac:dyDescent="0.25">
      <c r="A1321" s="18"/>
    </row>
    <row r="1322" spans="1:1" x14ac:dyDescent="0.25">
      <c r="A1322" s="18"/>
    </row>
    <row r="1323" spans="1:1" x14ac:dyDescent="0.25">
      <c r="A1323" s="18"/>
    </row>
    <row r="1324" spans="1:1" x14ac:dyDescent="0.25">
      <c r="A1324" s="18"/>
    </row>
    <row r="1325" spans="1:1" x14ac:dyDescent="0.25">
      <c r="A1325" s="18"/>
    </row>
    <row r="1326" spans="1:1" x14ac:dyDescent="0.25">
      <c r="A1326" s="18"/>
    </row>
    <row r="1327" spans="1:1" x14ac:dyDescent="0.25">
      <c r="A1327" s="18"/>
    </row>
    <row r="1328" spans="1:1" x14ac:dyDescent="0.25">
      <c r="A1328" s="18"/>
    </row>
    <row r="1329" spans="1:1" x14ac:dyDescent="0.25">
      <c r="A1329" s="18"/>
    </row>
    <row r="1330" spans="1:1" x14ac:dyDescent="0.25">
      <c r="A1330" s="18"/>
    </row>
    <row r="1331" spans="1:1" x14ac:dyDescent="0.25">
      <c r="A1331" s="18"/>
    </row>
    <row r="1332" spans="1:1" x14ac:dyDescent="0.25">
      <c r="A1332" s="18"/>
    </row>
    <row r="1333" spans="1:1" x14ac:dyDescent="0.25">
      <c r="A1333" s="18"/>
    </row>
    <row r="1334" spans="1:1" x14ac:dyDescent="0.25">
      <c r="A1334" s="18"/>
    </row>
    <row r="1335" spans="1:1" x14ac:dyDescent="0.25">
      <c r="A1335" s="18"/>
    </row>
    <row r="1336" spans="1:1" x14ac:dyDescent="0.25">
      <c r="A1336" s="18"/>
    </row>
    <row r="1337" spans="1:1" x14ac:dyDescent="0.25">
      <c r="A1337" s="18"/>
    </row>
    <row r="1338" spans="1:1" x14ac:dyDescent="0.25">
      <c r="A1338" s="18"/>
    </row>
    <row r="1339" spans="1:1" x14ac:dyDescent="0.25">
      <c r="A1339" s="18"/>
    </row>
    <row r="1340" spans="1:1" x14ac:dyDescent="0.25">
      <c r="A1340" s="18"/>
    </row>
    <row r="1341" spans="1:1" x14ac:dyDescent="0.25">
      <c r="A1341" s="18"/>
    </row>
    <row r="1342" spans="1:1" x14ac:dyDescent="0.25">
      <c r="A1342" s="18"/>
    </row>
    <row r="1343" spans="1:1" x14ac:dyDescent="0.25">
      <c r="A1343" s="18"/>
    </row>
    <row r="1344" spans="1:1" x14ac:dyDescent="0.25">
      <c r="A1344" s="18"/>
    </row>
    <row r="1345" spans="1:1" x14ac:dyDescent="0.25">
      <c r="A1345" s="18"/>
    </row>
    <row r="1346" spans="1:1" x14ac:dyDescent="0.25">
      <c r="A1346" s="18"/>
    </row>
    <row r="1347" spans="1:1" x14ac:dyDescent="0.25">
      <c r="A1347" s="18"/>
    </row>
    <row r="1348" spans="1:1" x14ac:dyDescent="0.25">
      <c r="A1348" s="18"/>
    </row>
    <row r="1349" spans="1:1" x14ac:dyDescent="0.25">
      <c r="A1349" s="18"/>
    </row>
    <row r="1350" spans="1:1" x14ac:dyDescent="0.25">
      <c r="A1350" s="18"/>
    </row>
    <row r="1351" spans="1:1" x14ac:dyDescent="0.25">
      <c r="A1351" s="18"/>
    </row>
    <row r="1352" spans="1:1" x14ac:dyDescent="0.25">
      <c r="A1352" s="18"/>
    </row>
    <row r="1353" spans="1:1" x14ac:dyDescent="0.25">
      <c r="A1353" s="18"/>
    </row>
    <row r="1354" spans="1:1" x14ac:dyDescent="0.25">
      <c r="A1354" s="18"/>
    </row>
    <row r="1355" spans="1:1" x14ac:dyDescent="0.25">
      <c r="A1355" s="18"/>
    </row>
    <row r="1356" spans="1:1" x14ac:dyDescent="0.25">
      <c r="A1356" s="18"/>
    </row>
    <row r="1357" spans="1:1" x14ac:dyDescent="0.25">
      <c r="A1357" s="18"/>
    </row>
    <row r="1358" spans="1:1" x14ac:dyDescent="0.25">
      <c r="A1358" s="18"/>
    </row>
    <row r="1359" spans="1:1" x14ac:dyDescent="0.25">
      <c r="A1359" s="18"/>
    </row>
    <row r="1360" spans="1:1" x14ac:dyDescent="0.25">
      <c r="A1360" s="18"/>
    </row>
    <row r="1361" spans="1:1" x14ac:dyDescent="0.25">
      <c r="A1361" s="18"/>
    </row>
    <row r="1362" spans="1:1" x14ac:dyDescent="0.25">
      <c r="A1362" s="18"/>
    </row>
    <row r="1363" spans="1:1" x14ac:dyDescent="0.25">
      <c r="A1363" s="18"/>
    </row>
    <row r="1364" spans="1:1" x14ac:dyDescent="0.25">
      <c r="A1364" s="18"/>
    </row>
    <row r="1365" spans="1:1" x14ac:dyDescent="0.25">
      <c r="A1365" s="18"/>
    </row>
    <row r="1366" spans="1:1" x14ac:dyDescent="0.25">
      <c r="A1366" s="18"/>
    </row>
    <row r="1367" spans="1:1" x14ac:dyDescent="0.25">
      <c r="A1367" s="18"/>
    </row>
    <row r="1368" spans="1:1" x14ac:dyDescent="0.25">
      <c r="A1368" s="18"/>
    </row>
    <row r="1369" spans="1:1" x14ac:dyDescent="0.25">
      <c r="A1369" s="18"/>
    </row>
    <row r="1370" spans="1:1" x14ac:dyDescent="0.25">
      <c r="A1370" s="18"/>
    </row>
    <row r="1371" spans="1:1" x14ac:dyDescent="0.25">
      <c r="A1371" s="18"/>
    </row>
    <row r="1372" spans="1:1" x14ac:dyDescent="0.25">
      <c r="A1372" s="18"/>
    </row>
    <row r="1373" spans="1:1" x14ac:dyDescent="0.25">
      <c r="A1373" s="18"/>
    </row>
    <row r="1374" spans="1:1" x14ac:dyDescent="0.25">
      <c r="A1374" s="18"/>
    </row>
    <row r="1375" spans="1:1" x14ac:dyDescent="0.25">
      <c r="A1375" s="18"/>
    </row>
    <row r="1376" spans="1:1" x14ac:dyDescent="0.25">
      <c r="A1376" s="18"/>
    </row>
    <row r="1377" spans="1:1" x14ac:dyDescent="0.25">
      <c r="A1377" s="18"/>
    </row>
    <row r="1378" spans="1:1" x14ac:dyDescent="0.25">
      <c r="A1378" s="18"/>
    </row>
    <row r="1379" spans="1:1" x14ac:dyDescent="0.25">
      <c r="A1379" s="18"/>
    </row>
    <row r="1380" spans="1:1" x14ac:dyDescent="0.25">
      <c r="A1380" s="18"/>
    </row>
    <row r="1381" spans="1:1" x14ac:dyDescent="0.25">
      <c r="A1381" s="18"/>
    </row>
    <row r="1382" spans="1:1" x14ac:dyDescent="0.25">
      <c r="A1382" s="18"/>
    </row>
    <row r="1383" spans="1:1" x14ac:dyDescent="0.25">
      <c r="A1383" s="18"/>
    </row>
    <row r="1384" spans="1:1" x14ac:dyDescent="0.25">
      <c r="A1384" s="18"/>
    </row>
    <row r="1385" spans="1:1" x14ac:dyDescent="0.25">
      <c r="A1385" s="18"/>
    </row>
    <row r="1386" spans="1:1" x14ac:dyDescent="0.25">
      <c r="A1386" s="18"/>
    </row>
    <row r="1387" spans="1:1" x14ac:dyDescent="0.25">
      <c r="A1387" s="18"/>
    </row>
    <row r="1388" spans="1:1" x14ac:dyDescent="0.25">
      <c r="A1388" s="18"/>
    </row>
    <row r="1389" spans="1:1" x14ac:dyDescent="0.25">
      <c r="A1389" s="18"/>
    </row>
    <row r="1390" spans="1:1" x14ac:dyDescent="0.25">
      <c r="A1390" s="18"/>
    </row>
    <row r="1391" spans="1:1" x14ac:dyDescent="0.25">
      <c r="A1391" s="18"/>
    </row>
    <row r="1392" spans="1:1" x14ac:dyDescent="0.25">
      <c r="A1392" s="18"/>
    </row>
    <row r="1393" spans="1:1" x14ac:dyDescent="0.25">
      <c r="A1393" s="18"/>
    </row>
    <row r="1394" spans="1:1" x14ac:dyDescent="0.25">
      <c r="A1394" s="18"/>
    </row>
    <row r="1395" spans="1:1" x14ac:dyDescent="0.25">
      <c r="A1395" s="18"/>
    </row>
    <row r="1396" spans="1:1" x14ac:dyDescent="0.25">
      <c r="A1396" s="18"/>
    </row>
    <row r="1397" spans="1:1" x14ac:dyDescent="0.25">
      <c r="A1397" s="18"/>
    </row>
    <row r="1398" spans="1:1" x14ac:dyDescent="0.25">
      <c r="A1398" s="18"/>
    </row>
    <row r="1399" spans="1:1" x14ac:dyDescent="0.25">
      <c r="A1399" s="18"/>
    </row>
    <row r="1400" spans="1:1" x14ac:dyDescent="0.25">
      <c r="A1400" s="18"/>
    </row>
    <row r="1401" spans="1:1" x14ac:dyDescent="0.25">
      <c r="A1401" s="18"/>
    </row>
    <row r="1402" spans="1:1" x14ac:dyDescent="0.25">
      <c r="A1402" s="18"/>
    </row>
    <row r="1403" spans="1:1" x14ac:dyDescent="0.25">
      <c r="A1403" s="18"/>
    </row>
    <row r="1404" spans="1:1" x14ac:dyDescent="0.25">
      <c r="A1404" s="18"/>
    </row>
    <row r="1405" spans="1:1" x14ac:dyDescent="0.25">
      <c r="A1405" s="18"/>
    </row>
    <row r="1406" spans="1:1" x14ac:dyDescent="0.25">
      <c r="A1406" s="18"/>
    </row>
    <row r="1407" spans="1:1" x14ac:dyDescent="0.25">
      <c r="A1407" s="18"/>
    </row>
    <row r="1408" spans="1:1" x14ac:dyDescent="0.25">
      <c r="A1408" s="18"/>
    </row>
    <row r="1409" spans="1:1" x14ac:dyDescent="0.25">
      <c r="A1409" s="18"/>
    </row>
    <row r="1410" spans="1:1" x14ac:dyDescent="0.25">
      <c r="A1410" s="18"/>
    </row>
    <row r="1411" spans="1:1" x14ac:dyDescent="0.25">
      <c r="A1411" s="18"/>
    </row>
    <row r="1412" spans="1:1" x14ac:dyDescent="0.25">
      <c r="A1412" s="18"/>
    </row>
    <row r="1413" spans="1:1" x14ac:dyDescent="0.25">
      <c r="A1413" s="18"/>
    </row>
    <row r="1414" spans="1:1" x14ac:dyDescent="0.25">
      <c r="A1414" s="18"/>
    </row>
    <row r="1415" spans="1:1" x14ac:dyDescent="0.25">
      <c r="A1415" s="18"/>
    </row>
    <row r="1416" spans="1:1" x14ac:dyDescent="0.25">
      <c r="A1416" s="18"/>
    </row>
    <row r="1417" spans="1:1" x14ac:dyDescent="0.25">
      <c r="A1417" s="18"/>
    </row>
    <row r="1418" spans="1:1" x14ac:dyDescent="0.25">
      <c r="A1418" s="18"/>
    </row>
    <row r="1419" spans="1:1" x14ac:dyDescent="0.25">
      <c r="A1419" s="18"/>
    </row>
    <row r="1420" spans="1:1" x14ac:dyDescent="0.25">
      <c r="A1420" s="18"/>
    </row>
    <row r="1421" spans="1:1" x14ac:dyDescent="0.25">
      <c r="A1421" s="18"/>
    </row>
    <row r="1422" spans="1:1" x14ac:dyDescent="0.25">
      <c r="A1422" s="18"/>
    </row>
    <row r="1423" spans="1:1" x14ac:dyDescent="0.25">
      <c r="A1423" s="18"/>
    </row>
    <row r="1424" spans="1:1" x14ac:dyDescent="0.25">
      <c r="A1424" s="18"/>
    </row>
    <row r="1425" spans="1:1" x14ac:dyDescent="0.25">
      <c r="A1425" s="18"/>
    </row>
    <row r="1426" spans="1:1" x14ac:dyDescent="0.25">
      <c r="A1426" s="18"/>
    </row>
    <row r="1427" spans="1:1" x14ac:dyDescent="0.25">
      <c r="A1427" s="18"/>
    </row>
    <row r="1428" spans="1:1" x14ac:dyDescent="0.25">
      <c r="A1428" s="18"/>
    </row>
    <row r="1429" spans="1:1" x14ac:dyDescent="0.25">
      <c r="A1429" s="18"/>
    </row>
    <row r="1430" spans="1:1" x14ac:dyDescent="0.25">
      <c r="A1430" s="18"/>
    </row>
    <row r="1431" spans="1:1" x14ac:dyDescent="0.25">
      <c r="A1431" s="18"/>
    </row>
    <row r="1432" spans="1:1" x14ac:dyDescent="0.25">
      <c r="A1432" s="18"/>
    </row>
    <row r="1433" spans="1:1" x14ac:dyDescent="0.25">
      <c r="A1433" s="18"/>
    </row>
    <row r="1434" spans="1:1" x14ac:dyDescent="0.25">
      <c r="A1434" s="18"/>
    </row>
    <row r="1435" spans="1:1" x14ac:dyDescent="0.25">
      <c r="A1435" s="18"/>
    </row>
    <row r="1436" spans="1:1" x14ac:dyDescent="0.25">
      <c r="A1436" s="18"/>
    </row>
    <row r="1437" spans="1:1" x14ac:dyDescent="0.25">
      <c r="A1437" s="18"/>
    </row>
    <row r="1438" spans="1:1" x14ac:dyDescent="0.25">
      <c r="A1438" s="18"/>
    </row>
    <row r="1439" spans="1:1" x14ac:dyDescent="0.25">
      <c r="A1439" s="18"/>
    </row>
    <row r="1440" spans="1:1" x14ac:dyDescent="0.25">
      <c r="A1440" s="18"/>
    </row>
    <row r="1441" spans="1:1" x14ac:dyDescent="0.25">
      <c r="A1441" s="18"/>
    </row>
    <row r="1442" spans="1:1" x14ac:dyDescent="0.25">
      <c r="A1442" s="18"/>
    </row>
    <row r="1443" spans="1:1" x14ac:dyDescent="0.25">
      <c r="A1443" s="18"/>
    </row>
    <row r="1444" spans="1:1" x14ac:dyDescent="0.25">
      <c r="A1444" s="18"/>
    </row>
    <row r="1445" spans="1:1" x14ac:dyDescent="0.25">
      <c r="A1445" s="18"/>
    </row>
    <row r="1446" spans="1:1" x14ac:dyDescent="0.25">
      <c r="A1446" s="18"/>
    </row>
    <row r="1447" spans="1:1" x14ac:dyDescent="0.25">
      <c r="A1447" s="18"/>
    </row>
    <row r="1448" spans="1:1" x14ac:dyDescent="0.25">
      <c r="A1448" s="18"/>
    </row>
    <row r="1449" spans="1:1" x14ac:dyDescent="0.25">
      <c r="A1449" s="18"/>
    </row>
    <row r="1450" spans="1:1" x14ac:dyDescent="0.25">
      <c r="A1450" s="18"/>
    </row>
    <row r="1451" spans="1:1" x14ac:dyDescent="0.25">
      <c r="A1451" s="18"/>
    </row>
    <row r="1452" spans="1:1" x14ac:dyDescent="0.25">
      <c r="A1452" s="18"/>
    </row>
    <row r="1453" spans="1:1" x14ac:dyDescent="0.25">
      <c r="A1453" s="18"/>
    </row>
    <row r="1454" spans="1:1" x14ac:dyDescent="0.25">
      <c r="A1454" s="18"/>
    </row>
    <row r="1455" spans="1:1" x14ac:dyDescent="0.25">
      <c r="A1455" s="18"/>
    </row>
    <row r="1456" spans="1:1" x14ac:dyDescent="0.25">
      <c r="A1456" s="18"/>
    </row>
    <row r="1457" spans="1:1" x14ac:dyDescent="0.25">
      <c r="A1457" s="18"/>
    </row>
    <row r="1458" spans="1:1" x14ac:dyDescent="0.25">
      <c r="A1458" s="18"/>
    </row>
    <row r="1459" spans="1:1" x14ac:dyDescent="0.25">
      <c r="A1459" s="18"/>
    </row>
    <row r="1460" spans="1:1" x14ac:dyDescent="0.25">
      <c r="A1460" s="18"/>
    </row>
    <row r="1461" spans="1:1" x14ac:dyDescent="0.25">
      <c r="A1461" s="18"/>
    </row>
    <row r="1462" spans="1:1" x14ac:dyDescent="0.25">
      <c r="A1462" s="18"/>
    </row>
    <row r="1463" spans="1:1" x14ac:dyDescent="0.25">
      <c r="A1463" s="18"/>
    </row>
    <row r="1464" spans="1:1" x14ac:dyDescent="0.25">
      <c r="A1464" s="18"/>
    </row>
    <row r="1465" spans="1:1" x14ac:dyDescent="0.25">
      <c r="A1465" s="18"/>
    </row>
    <row r="1466" spans="1:1" x14ac:dyDescent="0.25">
      <c r="A1466" s="18"/>
    </row>
    <row r="1467" spans="1:1" x14ac:dyDescent="0.25">
      <c r="A1467" s="18"/>
    </row>
    <row r="1468" spans="1:1" x14ac:dyDescent="0.25">
      <c r="A1468" s="18"/>
    </row>
    <row r="1469" spans="1:1" x14ac:dyDescent="0.25">
      <c r="A1469" s="18"/>
    </row>
    <row r="1470" spans="1:1" x14ac:dyDescent="0.25">
      <c r="A1470" s="18"/>
    </row>
    <row r="1471" spans="1:1" x14ac:dyDescent="0.25">
      <c r="A1471" s="18"/>
    </row>
    <row r="1472" spans="1:1" x14ac:dyDescent="0.25">
      <c r="A1472" s="18"/>
    </row>
    <row r="1473" spans="1:1" x14ac:dyDescent="0.25">
      <c r="A1473" s="18"/>
    </row>
    <row r="1474" spans="1:1" x14ac:dyDescent="0.25">
      <c r="A1474" s="18"/>
    </row>
    <row r="1475" spans="1:1" x14ac:dyDescent="0.25">
      <c r="A1475" s="18"/>
    </row>
    <row r="1476" spans="1:1" x14ac:dyDescent="0.25">
      <c r="A1476" s="18"/>
    </row>
    <row r="1477" spans="1:1" x14ac:dyDescent="0.25">
      <c r="A1477" s="18"/>
    </row>
    <row r="1478" spans="1:1" x14ac:dyDescent="0.25">
      <c r="A1478" s="18"/>
    </row>
    <row r="1479" spans="1:1" x14ac:dyDescent="0.25">
      <c r="A1479" s="18"/>
    </row>
    <row r="1480" spans="1:1" x14ac:dyDescent="0.25">
      <c r="A1480" s="18"/>
    </row>
    <row r="1481" spans="1:1" x14ac:dyDescent="0.25">
      <c r="A1481" s="18"/>
    </row>
    <row r="1482" spans="1:1" x14ac:dyDescent="0.25">
      <c r="A1482" s="18"/>
    </row>
    <row r="1483" spans="1:1" x14ac:dyDescent="0.25">
      <c r="A1483" s="18"/>
    </row>
    <row r="1484" spans="1:1" x14ac:dyDescent="0.25">
      <c r="A1484" s="18"/>
    </row>
    <row r="1485" spans="1:1" x14ac:dyDescent="0.25">
      <c r="A1485" s="18"/>
    </row>
    <row r="1486" spans="1:1" x14ac:dyDescent="0.25">
      <c r="A1486" s="18"/>
    </row>
    <row r="1487" spans="1:1" x14ac:dyDescent="0.25">
      <c r="A1487" s="18"/>
    </row>
    <row r="1488" spans="1:1" x14ac:dyDescent="0.25">
      <c r="A1488" s="18"/>
    </row>
    <row r="1489" spans="1:1" x14ac:dyDescent="0.25">
      <c r="A1489" s="18"/>
    </row>
    <row r="1490" spans="1:1" x14ac:dyDescent="0.25">
      <c r="A1490" s="18"/>
    </row>
    <row r="1491" spans="1:1" x14ac:dyDescent="0.25">
      <c r="A1491" s="18"/>
    </row>
    <row r="1492" spans="1:1" x14ac:dyDescent="0.25">
      <c r="A1492" s="18"/>
    </row>
    <row r="1493" spans="1:1" x14ac:dyDescent="0.25">
      <c r="A1493" s="18"/>
    </row>
    <row r="1494" spans="1:1" x14ac:dyDescent="0.25">
      <c r="A1494" s="18"/>
    </row>
    <row r="1495" spans="1:1" x14ac:dyDescent="0.25">
      <c r="A1495" s="18"/>
    </row>
    <row r="1496" spans="1:1" x14ac:dyDescent="0.25">
      <c r="A1496" s="18"/>
    </row>
    <row r="1497" spans="1:1" x14ac:dyDescent="0.25">
      <c r="A1497" s="18"/>
    </row>
    <row r="1498" spans="1:1" x14ac:dyDescent="0.25">
      <c r="A1498" s="18"/>
    </row>
    <row r="1499" spans="1:1" x14ac:dyDescent="0.25">
      <c r="A1499" s="18"/>
    </row>
    <row r="1500" spans="1:1" x14ac:dyDescent="0.25">
      <c r="A1500" s="18"/>
    </row>
    <row r="1501" spans="1:1" x14ac:dyDescent="0.25">
      <c r="A1501" s="18"/>
    </row>
    <row r="1502" spans="1:1" x14ac:dyDescent="0.25">
      <c r="A1502" s="18"/>
    </row>
    <row r="1503" spans="1:1" x14ac:dyDescent="0.25">
      <c r="A1503" s="18"/>
    </row>
    <row r="1504" spans="1:1" x14ac:dyDescent="0.25">
      <c r="A1504" s="18"/>
    </row>
    <row r="1505" spans="1:1" x14ac:dyDescent="0.25">
      <c r="A1505" s="18"/>
    </row>
    <row r="1506" spans="1:1" x14ac:dyDescent="0.25">
      <c r="A1506" s="18"/>
    </row>
    <row r="1507" spans="1:1" x14ac:dyDescent="0.25">
      <c r="A1507" s="18"/>
    </row>
    <row r="1508" spans="1:1" x14ac:dyDescent="0.25">
      <c r="A1508" s="18"/>
    </row>
    <row r="1509" spans="1:1" x14ac:dyDescent="0.25">
      <c r="A1509" s="18"/>
    </row>
    <row r="1510" spans="1:1" x14ac:dyDescent="0.25">
      <c r="A1510" s="18"/>
    </row>
    <row r="1511" spans="1:1" x14ac:dyDescent="0.25">
      <c r="A1511" s="18"/>
    </row>
    <row r="1512" spans="1:1" x14ac:dyDescent="0.25">
      <c r="A1512" s="18"/>
    </row>
    <row r="1513" spans="1:1" x14ac:dyDescent="0.25">
      <c r="A1513" s="18"/>
    </row>
    <row r="1514" spans="1:1" x14ac:dyDescent="0.25">
      <c r="A1514" s="18"/>
    </row>
    <row r="1515" spans="1:1" x14ac:dyDescent="0.25">
      <c r="A1515" s="18"/>
    </row>
    <row r="1516" spans="1:1" x14ac:dyDescent="0.25">
      <c r="A1516" s="18"/>
    </row>
    <row r="1517" spans="1:1" x14ac:dyDescent="0.25">
      <c r="A1517" s="18"/>
    </row>
    <row r="1518" spans="1:1" x14ac:dyDescent="0.25">
      <c r="A1518" s="18"/>
    </row>
    <row r="1519" spans="1:1" x14ac:dyDescent="0.25">
      <c r="A1519" s="18"/>
    </row>
    <row r="1520" spans="1:1" x14ac:dyDescent="0.25">
      <c r="A1520" s="18"/>
    </row>
    <row r="1521" spans="1:1" x14ac:dyDescent="0.25">
      <c r="A1521" s="18"/>
    </row>
    <row r="1522" spans="1:1" x14ac:dyDescent="0.25">
      <c r="A1522" s="18"/>
    </row>
    <row r="1523" spans="1:1" x14ac:dyDescent="0.25">
      <c r="A1523" s="18"/>
    </row>
    <row r="1524" spans="1:1" x14ac:dyDescent="0.25">
      <c r="A1524" s="18"/>
    </row>
    <row r="1525" spans="1:1" x14ac:dyDescent="0.25">
      <c r="A1525" s="18"/>
    </row>
    <row r="1526" spans="1:1" x14ac:dyDescent="0.25">
      <c r="A1526" s="18"/>
    </row>
    <row r="1527" spans="1:1" x14ac:dyDescent="0.25">
      <c r="A1527" s="18"/>
    </row>
    <row r="1528" spans="1:1" x14ac:dyDescent="0.25">
      <c r="A1528" s="18"/>
    </row>
    <row r="1529" spans="1:1" x14ac:dyDescent="0.25">
      <c r="A1529" s="18"/>
    </row>
    <row r="1530" spans="1:1" x14ac:dyDescent="0.25">
      <c r="A1530" s="18"/>
    </row>
    <row r="1531" spans="1:1" x14ac:dyDescent="0.25">
      <c r="A1531" s="18"/>
    </row>
    <row r="1532" spans="1:1" x14ac:dyDescent="0.25">
      <c r="A1532" s="18"/>
    </row>
    <row r="1533" spans="1:1" x14ac:dyDescent="0.25">
      <c r="A1533" s="18"/>
    </row>
    <row r="1534" spans="1:1" x14ac:dyDescent="0.25">
      <c r="A1534" s="18"/>
    </row>
    <row r="1535" spans="1:1" x14ac:dyDescent="0.25">
      <c r="A1535" s="18"/>
    </row>
    <row r="1536" spans="1:1" x14ac:dyDescent="0.25">
      <c r="A1536" s="18"/>
    </row>
    <row r="1537" spans="1:1" x14ac:dyDescent="0.25">
      <c r="A1537" s="18"/>
    </row>
    <row r="1538" spans="1:1" x14ac:dyDescent="0.25">
      <c r="A1538" s="18"/>
    </row>
    <row r="1539" spans="1:1" x14ac:dyDescent="0.25">
      <c r="A1539" s="18"/>
    </row>
    <row r="1540" spans="1:1" x14ac:dyDescent="0.25">
      <c r="A1540" s="18"/>
    </row>
    <row r="1541" spans="1:1" x14ac:dyDescent="0.25">
      <c r="A1541" s="18"/>
    </row>
    <row r="1542" spans="1:1" x14ac:dyDescent="0.25">
      <c r="A1542" s="18"/>
    </row>
    <row r="1543" spans="1:1" x14ac:dyDescent="0.25">
      <c r="A1543" s="18"/>
    </row>
    <row r="1544" spans="1:1" x14ac:dyDescent="0.25">
      <c r="A1544" s="18"/>
    </row>
    <row r="1545" spans="1:1" x14ac:dyDescent="0.25">
      <c r="A1545" s="18"/>
    </row>
    <row r="1546" spans="1:1" x14ac:dyDescent="0.25">
      <c r="A1546" s="18"/>
    </row>
    <row r="1547" spans="1:1" x14ac:dyDescent="0.25">
      <c r="A1547" s="18"/>
    </row>
    <row r="1548" spans="1:1" x14ac:dyDescent="0.25">
      <c r="A1548" s="18"/>
    </row>
    <row r="1549" spans="1:1" x14ac:dyDescent="0.25">
      <c r="A1549" s="18"/>
    </row>
    <row r="1550" spans="1:1" x14ac:dyDescent="0.25">
      <c r="A1550" s="18"/>
    </row>
    <row r="1551" spans="1:1" x14ac:dyDescent="0.25">
      <c r="A1551" s="18"/>
    </row>
    <row r="1552" spans="1:1" x14ac:dyDescent="0.25">
      <c r="A1552" s="18"/>
    </row>
    <row r="1553" spans="1:1" x14ac:dyDescent="0.25">
      <c r="A1553" s="18"/>
    </row>
    <row r="1554" spans="1:1" x14ac:dyDescent="0.25">
      <c r="A1554" s="18"/>
    </row>
    <row r="1555" spans="1:1" x14ac:dyDescent="0.25">
      <c r="A1555" s="18"/>
    </row>
    <row r="1556" spans="1:1" x14ac:dyDescent="0.25">
      <c r="A1556" s="18"/>
    </row>
    <row r="1557" spans="1:1" x14ac:dyDescent="0.25">
      <c r="A1557" s="18"/>
    </row>
    <row r="1558" spans="1:1" x14ac:dyDescent="0.25">
      <c r="A1558" s="18"/>
    </row>
    <row r="1559" spans="1:1" x14ac:dyDescent="0.25">
      <c r="A1559" s="18"/>
    </row>
    <row r="1560" spans="1:1" x14ac:dyDescent="0.25">
      <c r="A1560" s="18"/>
    </row>
    <row r="1561" spans="1:1" x14ac:dyDescent="0.25">
      <c r="A1561" s="18"/>
    </row>
    <row r="1562" spans="1:1" x14ac:dyDescent="0.25">
      <c r="A1562" s="18"/>
    </row>
    <row r="1563" spans="1:1" x14ac:dyDescent="0.25">
      <c r="A1563" s="18"/>
    </row>
    <row r="1564" spans="1:1" x14ac:dyDescent="0.25">
      <c r="A1564" s="18"/>
    </row>
    <row r="1565" spans="1:1" x14ac:dyDescent="0.25">
      <c r="A1565" s="18"/>
    </row>
    <row r="1566" spans="1:1" x14ac:dyDescent="0.25">
      <c r="A1566" s="18"/>
    </row>
    <row r="1567" spans="1:1" x14ac:dyDescent="0.25">
      <c r="A1567" s="18"/>
    </row>
    <row r="1568" spans="1:1" x14ac:dyDescent="0.25">
      <c r="A1568" s="18"/>
    </row>
    <row r="1569" spans="1:1" x14ac:dyDescent="0.25">
      <c r="A1569" s="18"/>
    </row>
    <row r="1570" spans="1:1" x14ac:dyDescent="0.25">
      <c r="A1570" s="18"/>
    </row>
    <row r="1571" spans="1:1" x14ac:dyDescent="0.25">
      <c r="A1571" s="18"/>
    </row>
    <row r="1572" spans="1:1" x14ac:dyDescent="0.25">
      <c r="A1572" s="18"/>
    </row>
    <row r="1573" spans="1:1" x14ac:dyDescent="0.25">
      <c r="A1573" s="18"/>
    </row>
    <row r="1574" spans="1:1" x14ac:dyDescent="0.25">
      <c r="A1574" s="18"/>
    </row>
    <row r="1575" spans="1:1" x14ac:dyDescent="0.25">
      <c r="A1575" s="18"/>
    </row>
    <row r="1576" spans="1:1" x14ac:dyDescent="0.25">
      <c r="A1576" s="18"/>
    </row>
    <row r="1577" spans="1:1" x14ac:dyDescent="0.25">
      <c r="A1577" s="18"/>
    </row>
    <row r="1578" spans="1:1" x14ac:dyDescent="0.25">
      <c r="A1578" s="18"/>
    </row>
    <row r="1579" spans="1:1" x14ac:dyDescent="0.25">
      <c r="A1579" s="18"/>
    </row>
    <row r="1580" spans="1:1" x14ac:dyDescent="0.25">
      <c r="A1580" s="18"/>
    </row>
    <row r="1581" spans="1:1" x14ac:dyDescent="0.25">
      <c r="A1581" s="18"/>
    </row>
    <row r="1582" spans="1:1" x14ac:dyDescent="0.25">
      <c r="A1582" s="18"/>
    </row>
    <row r="1583" spans="1:1" x14ac:dyDescent="0.25">
      <c r="A1583" s="18"/>
    </row>
    <row r="1584" spans="1:1" x14ac:dyDescent="0.25">
      <c r="A1584" s="18"/>
    </row>
    <row r="1585" spans="1:1" x14ac:dyDescent="0.25">
      <c r="A1585" s="18"/>
    </row>
    <row r="1586" spans="1:1" x14ac:dyDescent="0.25">
      <c r="A1586" s="18"/>
    </row>
    <row r="1587" spans="1:1" x14ac:dyDescent="0.25">
      <c r="A1587" s="18"/>
    </row>
    <row r="1588" spans="1:1" x14ac:dyDescent="0.25">
      <c r="A1588" s="18"/>
    </row>
    <row r="1589" spans="1:1" x14ac:dyDescent="0.25">
      <c r="A1589" s="18"/>
    </row>
    <row r="1590" spans="1:1" x14ac:dyDescent="0.25">
      <c r="A1590" s="18"/>
    </row>
    <row r="1591" spans="1:1" x14ac:dyDescent="0.25">
      <c r="A1591" s="18"/>
    </row>
    <row r="1592" spans="1:1" x14ac:dyDescent="0.25">
      <c r="A1592" s="18"/>
    </row>
    <row r="1593" spans="1:1" x14ac:dyDescent="0.25">
      <c r="A1593" s="18"/>
    </row>
    <row r="1594" spans="1:1" x14ac:dyDescent="0.25">
      <c r="A1594" s="18"/>
    </row>
    <row r="1595" spans="1:1" x14ac:dyDescent="0.25">
      <c r="A1595" s="18"/>
    </row>
    <row r="1596" spans="1:1" x14ac:dyDescent="0.25">
      <c r="A1596" s="18"/>
    </row>
    <row r="1597" spans="1:1" x14ac:dyDescent="0.25">
      <c r="A1597" s="18"/>
    </row>
    <row r="1598" spans="1:1" x14ac:dyDescent="0.25">
      <c r="A1598" s="18"/>
    </row>
    <row r="1599" spans="1:1" x14ac:dyDescent="0.25">
      <c r="A1599" s="18"/>
    </row>
    <row r="1600" spans="1:1" x14ac:dyDescent="0.25">
      <c r="A1600" s="18"/>
    </row>
    <row r="1601" spans="1:1" x14ac:dyDescent="0.25">
      <c r="A1601" s="18"/>
    </row>
    <row r="1602" spans="1:1" x14ac:dyDescent="0.25">
      <c r="A1602" s="18"/>
    </row>
    <row r="1603" spans="1:1" x14ac:dyDescent="0.25">
      <c r="A1603" s="18"/>
    </row>
    <row r="1604" spans="1:1" x14ac:dyDescent="0.25">
      <c r="A1604" s="18"/>
    </row>
    <row r="1605" spans="1:1" x14ac:dyDescent="0.25">
      <c r="A1605" s="18"/>
    </row>
    <row r="1606" spans="1:1" x14ac:dyDescent="0.25">
      <c r="A1606" s="18"/>
    </row>
    <row r="1607" spans="1:1" x14ac:dyDescent="0.25">
      <c r="A1607" s="18"/>
    </row>
    <row r="1608" spans="1:1" x14ac:dyDescent="0.25">
      <c r="A1608" s="18"/>
    </row>
    <row r="1609" spans="1:1" x14ac:dyDescent="0.25">
      <c r="A1609" s="18"/>
    </row>
    <row r="1610" spans="1:1" x14ac:dyDescent="0.25">
      <c r="A1610" s="18"/>
    </row>
    <row r="1611" spans="1:1" x14ac:dyDescent="0.25">
      <c r="A1611" s="18"/>
    </row>
    <row r="1612" spans="1:1" x14ac:dyDescent="0.25">
      <c r="A1612" s="18"/>
    </row>
    <row r="1613" spans="1:1" x14ac:dyDescent="0.25">
      <c r="A1613" s="18"/>
    </row>
    <row r="1614" spans="1:1" x14ac:dyDescent="0.25">
      <c r="A1614" s="18"/>
    </row>
    <row r="1615" spans="1:1" x14ac:dyDescent="0.25">
      <c r="A1615" s="18"/>
    </row>
    <row r="1616" spans="1:1" x14ac:dyDescent="0.25">
      <c r="A1616" s="18"/>
    </row>
    <row r="1617" spans="1:1" x14ac:dyDescent="0.25">
      <c r="A1617" s="18"/>
    </row>
    <row r="1618" spans="1:1" x14ac:dyDescent="0.25">
      <c r="A1618" s="18"/>
    </row>
    <row r="1619" spans="1:1" x14ac:dyDescent="0.25">
      <c r="A1619" s="18"/>
    </row>
    <row r="1620" spans="1:1" x14ac:dyDescent="0.25">
      <c r="A1620" s="18"/>
    </row>
    <row r="1621" spans="1:1" x14ac:dyDescent="0.25">
      <c r="A1621" s="18"/>
    </row>
    <row r="1622" spans="1:1" x14ac:dyDescent="0.25">
      <c r="A1622" s="18"/>
    </row>
    <row r="1623" spans="1:1" x14ac:dyDescent="0.25">
      <c r="A1623" s="18"/>
    </row>
    <row r="1624" spans="1:1" x14ac:dyDescent="0.25">
      <c r="A1624" s="18"/>
    </row>
    <row r="1625" spans="1:1" x14ac:dyDescent="0.25">
      <c r="A1625" s="18"/>
    </row>
    <row r="1626" spans="1:1" x14ac:dyDescent="0.25">
      <c r="A1626" s="18"/>
    </row>
    <row r="1627" spans="1:1" x14ac:dyDescent="0.25">
      <c r="A1627" s="18"/>
    </row>
    <row r="1628" spans="1:1" x14ac:dyDescent="0.25">
      <c r="A1628" s="18"/>
    </row>
    <row r="1629" spans="1:1" x14ac:dyDescent="0.25">
      <c r="A1629" s="18"/>
    </row>
    <row r="1630" spans="1:1" x14ac:dyDescent="0.25">
      <c r="A1630" s="18"/>
    </row>
    <row r="1631" spans="1:1" x14ac:dyDescent="0.25">
      <c r="A1631" s="18"/>
    </row>
    <row r="1632" spans="1:1" x14ac:dyDescent="0.25">
      <c r="A1632" s="18"/>
    </row>
    <row r="1633" spans="1:1" x14ac:dyDescent="0.25">
      <c r="A1633" s="18"/>
    </row>
    <row r="1634" spans="1:1" x14ac:dyDescent="0.25">
      <c r="A1634" s="18"/>
    </row>
    <row r="1635" spans="1:1" x14ac:dyDescent="0.25">
      <c r="A1635" s="18"/>
    </row>
    <row r="1636" spans="1:1" x14ac:dyDescent="0.25">
      <c r="A1636" s="18"/>
    </row>
    <row r="1637" spans="1:1" x14ac:dyDescent="0.25">
      <c r="A1637" s="18"/>
    </row>
    <row r="1638" spans="1:1" x14ac:dyDescent="0.25">
      <c r="A1638" s="18"/>
    </row>
    <row r="1639" spans="1:1" x14ac:dyDescent="0.25">
      <c r="A1639" s="18"/>
    </row>
    <row r="1640" spans="1:1" x14ac:dyDescent="0.25">
      <c r="A1640" s="18"/>
    </row>
    <row r="1641" spans="1:1" x14ac:dyDescent="0.25">
      <c r="A1641" s="18"/>
    </row>
    <row r="1642" spans="1:1" x14ac:dyDescent="0.25">
      <c r="A1642" s="18"/>
    </row>
    <row r="1643" spans="1:1" x14ac:dyDescent="0.25">
      <c r="A1643" s="18"/>
    </row>
    <row r="1644" spans="1:1" x14ac:dyDescent="0.25">
      <c r="A1644" s="18"/>
    </row>
    <row r="1645" spans="1:1" x14ac:dyDescent="0.25">
      <c r="A1645" s="18"/>
    </row>
    <row r="1646" spans="1:1" x14ac:dyDescent="0.25">
      <c r="A1646" s="18"/>
    </row>
    <row r="1647" spans="1:1" x14ac:dyDescent="0.25">
      <c r="A1647" s="18"/>
    </row>
    <row r="1648" spans="1:1" x14ac:dyDescent="0.25">
      <c r="A1648" s="18"/>
    </row>
    <row r="1649" spans="1:1" x14ac:dyDescent="0.25">
      <c r="A1649" s="18"/>
    </row>
    <row r="1650" spans="1:1" x14ac:dyDescent="0.25">
      <c r="A1650" s="18"/>
    </row>
    <row r="1651" spans="1:1" x14ac:dyDescent="0.25">
      <c r="A1651" s="18"/>
    </row>
    <row r="1652" spans="1:1" x14ac:dyDescent="0.25">
      <c r="A1652" s="18"/>
    </row>
    <row r="1653" spans="1:1" x14ac:dyDescent="0.25">
      <c r="A1653" s="18"/>
    </row>
    <row r="1654" spans="1:1" x14ac:dyDescent="0.25">
      <c r="A1654" s="18"/>
    </row>
    <row r="1655" spans="1:1" x14ac:dyDescent="0.25">
      <c r="A1655" s="18"/>
    </row>
    <row r="1656" spans="1:1" x14ac:dyDescent="0.25">
      <c r="A1656" s="18"/>
    </row>
    <row r="1657" spans="1:1" x14ac:dyDescent="0.25">
      <c r="A1657" s="18"/>
    </row>
    <row r="1658" spans="1:1" x14ac:dyDescent="0.25">
      <c r="A1658" s="18"/>
    </row>
    <row r="1659" spans="1:1" x14ac:dyDescent="0.25">
      <c r="A1659" s="18"/>
    </row>
    <row r="1660" spans="1:1" x14ac:dyDescent="0.25">
      <c r="A1660" s="18"/>
    </row>
    <row r="1661" spans="1:1" x14ac:dyDescent="0.25">
      <c r="A1661" s="18"/>
    </row>
    <row r="1662" spans="1:1" x14ac:dyDescent="0.25">
      <c r="A1662" s="18"/>
    </row>
    <row r="1663" spans="1:1" x14ac:dyDescent="0.25">
      <c r="A1663" s="18"/>
    </row>
    <row r="1664" spans="1:1" x14ac:dyDescent="0.25">
      <c r="A1664" s="18"/>
    </row>
    <row r="1665" spans="1:1" x14ac:dyDescent="0.25">
      <c r="A1665" s="18"/>
    </row>
    <row r="1666" spans="1:1" x14ac:dyDescent="0.25">
      <c r="A1666" s="18"/>
    </row>
    <row r="1667" spans="1:1" x14ac:dyDescent="0.25">
      <c r="A1667" s="18"/>
    </row>
    <row r="1668" spans="1:1" x14ac:dyDescent="0.25">
      <c r="A1668" s="18"/>
    </row>
    <row r="1669" spans="1:1" x14ac:dyDescent="0.25">
      <c r="A1669" s="18"/>
    </row>
    <row r="1670" spans="1:1" x14ac:dyDescent="0.25">
      <c r="A1670" s="18"/>
    </row>
    <row r="1671" spans="1:1" x14ac:dyDescent="0.25">
      <c r="A1671" s="18"/>
    </row>
    <row r="1672" spans="1:1" x14ac:dyDescent="0.25">
      <c r="A1672" s="18"/>
    </row>
    <row r="1673" spans="1:1" x14ac:dyDescent="0.25">
      <c r="A1673" s="18"/>
    </row>
    <row r="1674" spans="1:1" x14ac:dyDescent="0.25">
      <c r="A1674" s="18"/>
    </row>
    <row r="1675" spans="1:1" x14ac:dyDescent="0.25">
      <c r="A1675" s="18"/>
    </row>
    <row r="1676" spans="1:1" x14ac:dyDescent="0.25">
      <c r="A1676" s="18"/>
    </row>
    <row r="1677" spans="1:1" x14ac:dyDescent="0.25">
      <c r="A1677" s="18"/>
    </row>
    <row r="1678" spans="1:1" x14ac:dyDescent="0.25">
      <c r="A1678" s="18"/>
    </row>
    <row r="1679" spans="1:1" x14ac:dyDescent="0.25">
      <c r="A1679" s="18"/>
    </row>
    <row r="1680" spans="1:1" x14ac:dyDescent="0.25">
      <c r="A1680" s="18"/>
    </row>
    <row r="1681" spans="1:1" x14ac:dyDescent="0.25">
      <c r="A1681" s="18"/>
    </row>
    <row r="1682" spans="1:1" x14ac:dyDescent="0.25">
      <c r="A1682" s="18"/>
    </row>
    <row r="1683" spans="1:1" x14ac:dyDescent="0.25">
      <c r="A1683" s="18"/>
    </row>
    <row r="1684" spans="1:1" x14ac:dyDescent="0.25">
      <c r="A1684" s="18"/>
    </row>
    <row r="1685" spans="1:1" x14ac:dyDescent="0.25">
      <c r="A1685" s="18"/>
    </row>
    <row r="1686" spans="1:1" x14ac:dyDescent="0.25">
      <c r="A1686" s="18"/>
    </row>
    <row r="1687" spans="1:1" x14ac:dyDescent="0.25">
      <c r="A1687" s="18"/>
    </row>
    <row r="1688" spans="1:1" x14ac:dyDescent="0.25">
      <c r="A1688" s="18"/>
    </row>
    <row r="1689" spans="1:1" x14ac:dyDescent="0.25">
      <c r="A1689" s="18"/>
    </row>
    <row r="1690" spans="1:1" x14ac:dyDescent="0.25">
      <c r="A1690" s="18"/>
    </row>
    <row r="1691" spans="1:1" x14ac:dyDescent="0.25">
      <c r="A1691" s="18"/>
    </row>
    <row r="1692" spans="1:1" x14ac:dyDescent="0.25">
      <c r="A1692" s="18"/>
    </row>
    <row r="1693" spans="1:1" x14ac:dyDescent="0.25">
      <c r="A1693" s="18"/>
    </row>
    <row r="1694" spans="1:1" x14ac:dyDescent="0.25">
      <c r="A1694" s="18"/>
    </row>
    <row r="1695" spans="1:1" x14ac:dyDescent="0.25">
      <c r="A1695" s="18"/>
    </row>
    <row r="1696" spans="1:1" x14ac:dyDescent="0.25">
      <c r="A1696" s="18"/>
    </row>
    <row r="1697" spans="1:1" x14ac:dyDescent="0.25">
      <c r="A1697" s="18"/>
    </row>
    <row r="1698" spans="1:1" x14ac:dyDescent="0.25">
      <c r="A1698" s="18"/>
    </row>
    <row r="1699" spans="1:1" x14ac:dyDescent="0.25">
      <c r="A1699" s="18"/>
    </row>
    <row r="1700" spans="1:1" x14ac:dyDescent="0.25">
      <c r="A1700" s="18"/>
    </row>
    <row r="1701" spans="1:1" x14ac:dyDescent="0.25">
      <c r="A1701" s="18"/>
    </row>
    <row r="1702" spans="1:1" x14ac:dyDescent="0.25">
      <c r="A1702" s="18"/>
    </row>
    <row r="1703" spans="1:1" x14ac:dyDescent="0.25">
      <c r="A1703" s="18"/>
    </row>
    <row r="1704" spans="1:1" x14ac:dyDescent="0.25">
      <c r="A1704" s="18"/>
    </row>
    <row r="1705" spans="1:1" x14ac:dyDescent="0.25">
      <c r="A1705" s="18"/>
    </row>
    <row r="1706" spans="1:1" x14ac:dyDescent="0.25">
      <c r="A1706" s="18"/>
    </row>
    <row r="1707" spans="1:1" x14ac:dyDescent="0.25">
      <c r="A1707" s="18"/>
    </row>
    <row r="1708" spans="1:1" x14ac:dyDescent="0.25">
      <c r="A1708" s="18"/>
    </row>
    <row r="1709" spans="1:1" x14ac:dyDescent="0.25">
      <c r="A1709" s="18"/>
    </row>
    <row r="1710" spans="1:1" x14ac:dyDescent="0.25">
      <c r="A1710" s="18"/>
    </row>
    <row r="1711" spans="1:1" x14ac:dyDescent="0.25">
      <c r="A1711" s="18"/>
    </row>
    <row r="1712" spans="1:1" x14ac:dyDescent="0.25">
      <c r="A1712" s="18"/>
    </row>
    <row r="1713" spans="1:1" x14ac:dyDescent="0.25">
      <c r="A1713" s="18"/>
    </row>
    <row r="1714" spans="1:1" x14ac:dyDescent="0.25">
      <c r="A1714" s="18"/>
    </row>
    <row r="1715" spans="1:1" x14ac:dyDescent="0.25">
      <c r="A1715" s="18"/>
    </row>
    <row r="1716" spans="1:1" x14ac:dyDescent="0.25">
      <c r="A1716" s="18"/>
    </row>
    <row r="1717" spans="1:1" x14ac:dyDescent="0.25">
      <c r="A1717" s="18"/>
    </row>
    <row r="1718" spans="1:1" x14ac:dyDescent="0.25">
      <c r="A1718" s="18"/>
    </row>
    <row r="1719" spans="1:1" x14ac:dyDescent="0.25">
      <c r="A1719" s="18"/>
    </row>
    <row r="1720" spans="1:1" x14ac:dyDescent="0.25">
      <c r="A1720" s="18"/>
    </row>
    <row r="1721" spans="1:1" x14ac:dyDescent="0.25">
      <c r="A1721" s="18"/>
    </row>
    <row r="1722" spans="1:1" x14ac:dyDescent="0.25">
      <c r="A1722" s="18"/>
    </row>
    <row r="1723" spans="1:1" x14ac:dyDescent="0.25">
      <c r="A1723" s="18"/>
    </row>
    <row r="1724" spans="1:1" x14ac:dyDescent="0.25">
      <c r="A1724" s="18"/>
    </row>
    <row r="1725" spans="1:1" x14ac:dyDescent="0.25">
      <c r="A1725" s="18"/>
    </row>
    <row r="1726" spans="1:1" x14ac:dyDescent="0.25">
      <c r="A1726" s="18"/>
    </row>
    <row r="1727" spans="1:1" x14ac:dyDescent="0.25">
      <c r="A1727" s="18"/>
    </row>
    <row r="1728" spans="1:1" x14ac:dyDescent="0.25">
      <c r="A1728" s="18"/>
    </row>
    <row r="1729" spans="1:1" x14ac:dyDescent="0.25">
      <c r="A1729" s="18"/>
    </row>
    <row r="1730" spans="1:1" x14ac:dyDescent="0.25">
      <c r="A1730" s="18"/>
    </row>
    <row r="1731" spans="1:1" x14ac:dyDescent="0.25">
      <c r="A1731" s="18"/>
    </row>
    <row r="1732" spans="1:1" x14ac:dyDescent="0.25">
      <c r="A1732" s="18"/>
    </row>
    <row r="1733" spans="1:1" x14ac:dyDescent="0.25">
      <c r="A1733" s="18"/>
    </row>
    <row r="1734" spans="1:1" x14ac:dyDescent="0.25">
      <c r="A1734" s="18"/>
    </row>
    <row r="1735" spans="1:1" x14ac:dyDescent="0.25">
      <c r="A1735" s="18"/>
    </row>
    <row r="1736" spans="1:1" x14ac:dyDescent="0.25">
      <c r="A1736" s="18"/>
    </row>
    <row r="1737" spans="1:1" x14ac:dyDescent="0.25">
      <c r="A1737" s="18"/>
    </row>
    <row r="1738" spans="1:1" x14ac:dyDescent="0.25">
      <c r="A1738" s="18"/>
    </row>
    <row r="1739" spans="1:1" x14ac:dyDescent="0.25">
      <c r="A1739" s="18"/>
    </row>
    <row r="1740" spans="1:1" x14ac:dyDescent="0.25">
      <c r="A1740" s="18"/>
    </row>
    <row r="1741" spans="1:1" x14ac:dyDescent="0.25">
      <c r="A1741" s="18"/>
    </row>
    <row r="1742" spans="1:1" x14ac:dyDescent="0.25">
      <c r="A1742" s="18"/>
    </row>
    <row r="1743" spans="1:1" x14ac:dyDescent="0.25">
      <c r="A1743" s="18"/>
    </row>
    <row r="1744" spans="1:1" x14ac:dyDescent="0.25">
      <c r="A1744" s="18"/>
    </row>
    <row r="1745" spans="1:1" x14ac:dyDescent="0.25">
      <c r="A1745" s="18"/>
    </row>
    <row r="1746" spans="1:1" x14ac:dyDescent="0.25">
      <c r="A1746" s="18"/>
    </row>
    <row r="1747" spans="1:1" x14ac:dyDescent="0.25">
      <c r="A1747" s="18"/>
    </row>
    <row r="1748" spans="1:1" x14ac:dyDescent="0.25">
      <c r="A1748" s="18"/>
    </row>
    <row r="1749" spans="1:1" x14ac:dyDescent="0.25">
      <c r="A1749" s="18"/>
    </row>
    <row r="1750" spans="1:1" x14ac:dyDescent="0.25">
      <c r="A1750" s="18"/>
    </row>
    <row r="1751" spans="1:1" x14ac:dyDescent="0.25">
      <c r="A1751" s="18"/>
    </row>
    <row r="1752" spans="1:1" x14ac:dyDescent="0.25">
      <c r="A1752" s="18"/>
    </row>
    <row r="1753" spans="1:1" x14ac:dyDescent="0.25">
      <c r="A1753" s="18"/>
    </row>
    <row r="1754" spans="1:1" x14ac:dyDescent="0.25">
      <c r="A1754" s="18"/>
    </row>
    <row r="1755" spans="1:1" x14ac:dyDescent="0.25">
      <c r="A1755" s="18"/>
    </row>
    <row r="1756" spans="1:1" x14ac:dyDescent="0.25">
      <c r="A1756" s="18"/>
    </row>
    <row r="1757" spans="1:1" x14ac:dyDescent="0.25">
      <c r="A1757" s="18"/>
    </row>
    <row r="1758" spans="1:1" x14ac:dyDescent="0.25">
      <c r="A1758" s="18"/>
    </row>
    <row r="1759" spans="1:1" x14ac:dyDescent="0.25">
      <c r="A1759" s="18"/>
    </row>
    <row r="1760" spans="1:1" x14ac:dyDescent="0.25">
      <c r="A1760" s="18"/>
    </row>
    <row r="1761" spans="1:1" x14ac:dyDescent="0.25">
      <c r="A1761" s="18"/>
    </row>
    <row r="1762" spans="1:1" x14ac:dyDescent="0.25">
      <c r="A1762" s="18"/>
    </row>
    <row r="1763" spans="1:1" x14ac:dyDescent="0.25">
      <c r="A1763" s="18"/>
    </row>
    <row r="1764" spans="1:1" x14ac:dyDescent="0.25">
      <c r="A1764" s="18"/>
    </row>
    <row r="1765" spans="1:1" x14ac:dyDescent="0.25">
      <c r="A1765" s="18"/>
    </row>
    <row r="1766" spans="1:1" x14ac:dyDescent="0.25">
      <c r="A1766" s="18"/>
    </row>
    <row r="1767" spans="1:1" x14ac:dyDescent="0.25">
      <c r="A1767" s="18"/>
    </row>
    <row r="1768" spans="1:1" x14ac:dyDescent="0.25">
      <c r="A1768" s="18"/>
    </row>
    <row r="1769" spans="1:1" x14ac:dyDescent="0.25">
      <c r="A1769" s="18"/>
    </row>
    <row r="1770" spans="1:1" x14ac:dyDescent="0.25">
      <c r="A1770" s="18"/>
    </row>
    <row r="1771" spans="1:1" x14ac:dyDescent="0.25">
      <c r="A1771" s="18"/>
    </row>
    <row r="1772" spans="1:1" x14ac:dyDescent="0.25">
      <c r="A1772" s="18"/>
    </row>
    <row r="1773" spans="1:1" x14ac:dyDescent="0.25">
      <c r="A1773" s="18"/>
    </row>
    <row r="1774" spans="1:1" x14ac:dyDescent="0.25">
      <c r="A1774" s="18"/>
    </row>
    <row r="1775" spans="1:1" x14ac:dyDescent="0.25">
      <c r="A1775" s="18"/>
    </row>
    <row r="1776" spans="1:1" x14ac:dyDescent="0.25">
      <c r="A1776" s="18"/>
    </row>
    <row r="1777" spans="1:1" x14ac:dyDescent="0.25">
      <c r="A1777" s="18"/>
    </row>
    <row r="1778" spans="1:1" x14ac:dyDescent="0.25">
      <c r="A1778" s="18"/>
    </row>
    <row r="1779" spans="1:1" x14ac:dyDescent="0.25">
      <c r="A1779" s="18"/>
    </row>
    <row r="1780" spans="1:1" x14ac:dyDescent="0.25">
      <c r="A1780" s="18"/>
    </row>
    <row r="1781" spans="1:1" x14ac:dyDescent="0.25">
      <c r="A1781" s="18"/>
    </row>
    <row r="1782" spans="1:1" x14ac:dyDescent="0.25">
      <c r="A1782" s="18"/>
    </row>
    <row r="1783" spans="1:1" x14ac:dyDescent="0.25">
      <c r="A1783" s="18"/>
    </row>
    <row r="1784" spans="1:1" x14ac:dyDescent="0.25">
      <c r="A1784" s="18"/>
    </row>
    <row r="1785" spans="1:1" x14ac:dyDescent="0.25">
      <c r="A1785" s="18"/>
    </row>
    <row r="1786" spans="1:1" x14ac:dyDescent="0.25">
      <c r="A1786" s="18"/>
    </row>
    <row r="1787" spans="1:1" x14ac:dyDescent="0.25">
      <c r="A1787" s="18"/>
    </row>
    <row r="1788" spans="1:1" x14ac:dyDescent="0.25">
      <c r="A1788" s="18"/>
    </row>
    <row r="1789" spans="1:1" x14ac:dyDescent="0.25">
      <c r="A1789" s="18"/>
    </row>
    <row r="1790" spans="1:1" x14ac:dyDescent="0.25">
      <c r="A1790" s="18"/>
    </row>
    <row r="1791" spans="1:1" x14ac:dyDescent="0.25">
      <c r="A1791" s="18"/>
    </row>
    <row r="1792" spans="1:1" x14ac:dyDescent="0.25">
      <c r="A1792" s="18"/>
    </row>
    <row r="1793" spans="1:1" x14ac:dyDescent="0.25">
      <c r="A1793" s="18"/>
    </row>
    <row r="1794" spans="1:1" x14ac:dyDescent="0.25">
      <c r="A1794" s="18"/>
    </row>
    <row r="1795" spans="1:1" x14ac:dyDescent="0.25">
      <c r="A1795" s="18"/>
    </row>
    <row r="1796" spans="1:1" x14ac:dyDescent="0.25">
      <c r="A1796" s="18"/>
    </row>
    <row r="1797" spans="1:1" x14ac:dyDescent="0.25">
      <c r="A1797" s="18"/>
    </row>
    <row r="1798" spans="1:1" x14ac:dyDescent="0.25">
      <c r="A1798" s="18"/>
    </row>
    <row r="1799" spans="1:1" x14ac:dyDescent="0.25">
      <c r="A1799" s="18"/>
    </row>
    <row r="1800" spans="1:1" x14ac:dyDescent="0.25">
      <c r="A1800" s="18"/>
    </row>
    <row r="1801" spans="1:1" x14ac:dyDescent="0.25">
      <c r="A1801" s="18"/>
    </row>
    <row r="1802" spans="1:1" x14ac:dyDescent="0.25">
      <c r="A1802" s="18"/>
    </row>
    <row r="1803" spans="1:1" x14ac:dyDescent="0.25">
      <c r="A1803" s="18"/>
    </row>
    <row r="1804" spans="1:1" x14ac:dyDescent="0.25">
      <c r="A1804" s="18"/>
    </row>
    <row r="1805" spans="1:1" x14ac:dyDescent="0.25">
      <c r="A1805" s="18"/>
    </row>
    <row r="1806" spans="1:1" x14ac:dyDescent="0.25">
      <c r="A1806" s="18"/>
    </row>
    <row r="1807" spans="1:1" x14ac:dyDescent="0.25">
      <c r="A1807" s="18"/>
    </row>
    <row r="1808" spans="1:1" x14ac:dyDescent="0.25">
      <c r="A1808" s="18"/>
    </row>
    <row r="1809" spans="1:1" x14ac:dyDescent="0.25">
      <c r="A1809" s="18"/>
    </row>
    <row r="1810" spans="1:1" x14ac:dyDescent="0.25">
      <c r="A1810" s="18"/>
    </row>
    <row r="1811" spans="1:1" x14ac:dyDescent="0.25">
      <c r="A1811" s="18"/>
    </row>
    <row r="1812" spans="1:1" x14ac:dyDescent="0.25">
      <c r="A1812" s="18"/>
    </row>
    <row r="1813" spans="1:1" x14ac:dyDescent="0.25">
      <c r="A1813" s="18"/>
    </row>
    <row r="1814" spans="1:1" x14ac:dyDescent="0.25">
      <c r="A1814" s="18"/>
    </row>
    <row r="1815" spans="1:1" x14ac:dyDescent="0.25">
      <c r="A1815" s="18"/>
    </row>
    <row r="1816" spans="1:1" x14ac:dyDescent="0.25">
      <c r="A1816" s="18"/>
    </row>
    <row r="1817" spans="1:1" x14ac:dyDescent="0.25">
      <c r="A1817" s="18"/>
    </row>
    <row r="1818" spans="1:1" x14ac:dyDescent="0.25">
      <c r="A1818" s="18"/>
    </row>
    <row r="1819" spans="1:1" x14ac:dyDescent="0.25">
      <c r="A1819" s="18"/>
    </row>
    <row r="1820" spans="1:1" x14ac:dyDescent="0.25">
      <c r="A1820" s="18"/>
    </row>
    <row r="1821" spans="1:1" x14ac:dyDescent="0.25">
      <c r="A1821" s="18"/>
    </row>
    <row r="1822" spans="1:1" x14ac:dyDescent="0.25">
      <c r="A1822" s="18"/>
    </row>
    <row r="1823" spans="1:1" x14ac:dyDescent="0.25">
      <c r="A1823" s="18"/>
    </row>
    <row r="1824" spans="1:1" x14ac:dyDescent="0.25">
      <c r="A1824" s="18"/>
    </row>
    <row r="1825" spans="1:1" x14ac:dyDescent="0.25">
      <c r="A1825" s="18"/>
    </row>
    <row r="1826" spans="1:1" x14ac:dyDescent="0.25">
      <c r="A1826" s="18"/>
    </row>
    <row r="1827" spans="1:1" x14ac:dyDescent="0.25">
      <c r="A1827" s="18"/>
    </row>
    <row r="1828" spans="1:1" x14ac:dyDescent="0.25">
      <c r="A1828" s="18"/>
    </row>
    <row r="1829" spans="1:1" x14ac:dyDescent="0.25">
      <c r="A1829" s="18"/>
    </row>
    <row r="1830" spans="1:1" x14ac:dyDescent="0.25">
      <c r="A1830" s="18"/>
    </row>
    <row r="1831" spans="1:1" x14ac:dyDescent="0.25">
      <c r="A1831" s="18"/>
    </row>
    <row r="1832" spans="1:1" x14ac:dyDescent="0.25">
      <c r="A1832" s="18"/>
    </row>
    <row r="1833" spans="1:1" x14ac:dyDescent="0.25">
      <c r="A1833" s="18"/>
    </row>
    <row r="1834" spans="1:1" x14ac:dyDescent="0.25">
      <c r="A1834" s="18"/>
    </row>
    <row r="1835" spans="1:1" x14ac:dyDescent="0.25">
      <c r="A1835" s="18"/>
    </row>
    <row r="1836" spans="1:1" x14ac:dyDescent="0.25">
      <c r="A1836" s="18"/>
    </row>
    <row r="1837" spans="1:1" x14ac:dyDescent="0.25">
      <c r="A1837" s="18"/>
    </row>
    <row r="1838" spans="1:1" x14ac:dyDescent="0.25">
      <c r="A1838" s="18"/>
    </row>
    <row r="1839" spans="1:1" x14ac:dyDescent="0.25">
      <c r="A1839" s="18"/>
    </row>
    <row r="1840" spans="1:1" x14ac:dyDescent="0.25">
      <c r="A1840" s="18"/>
    </row>
    <row r="1841" spans="1:1" x14ac:dyDescent="0.25">
      <c r="A1841" s="18"/>
    </row>
    <row r="1842" spans="1:1" x14ac:dyDescent="0.25">
      <c r="A1842" s="18"/>
    </row>
    <row r="1843" spans="1:1" x14ac:dyDescent="0.25">
      <c r="A1843" s="18"/>
    </row>
    <row r="1844" spans="1:1" x14ac:dyDescent="0.25">
      <c r="A1844" s="18"/>
    </row>
    <row r="1845" spans="1:1" x14ac:dyDescent="0.25">
      <c r="A1845" s="18"/>
    </row>
    <row r="1846" spans="1:1" x14ac:dyDescent="0.25">
      <c r="A1846" s="18"/>
    </row>
    <row r="1847" spans="1:1" x14ac:dyDescent="0.25">
      <c r="A1847" s="18"/>
    </row>
    <row r="1848" spans="1:1" x14ac:dyDescent="0.25">
      <c r="A1848" s="18"/>
    </row>
    <row r="1849" spans="1:1" x14ac:dyDescent="0.25">
      <c r="A1849" s="18"/>
    </row>
    <row r="1850" spans="1:1" x14ac:dyDescent="0.25">
      <c r="A1850" s="18"/>
    </row>
    <row r="1851" spans="1:1" x14ac:dyDescent="0.25">
      <c r="A1851" s="18"/>
    </row>
    <row r="1852" spans="1:1" x14ac:dyDescent="0.25">
      <c r="A1852" s="18"/>
    </row>
    <row r="1853" spans="1:1" x14ac:dyDescent="0.25">
      <c r="A1853" s="18"/>
    </row>
    <row r="1854" spans="1:1" x14ac:dyDescent="0.25">
      <c r="A1854" s="18"/>
    </row>
    <row r="1855" spans="1:1" x14ac:dyDescent="0.25">
      <c r="A1855" s="18"/>
    </row>
    <row r="1856" spans="1:1" x14ac:dyDescent="0.25">
      <c r="A1856" s="18"/>
    </row>
    <row r="1857" spans="1:1" x14ac:dyDescent="0.25">
      <c r="A1857" s="18"/>
    </row>
    <row r="1858" spans="1:1" x14ac:dyDescent="0.25">
      <c r="A1858" s="18"/>
    </row>
    <row r="1859" spans="1:1" x14ac:dyDescent="0.25">
      <c r="A1859" s="18"/>
    </row>
    <row r="1860" spans="1:1" x14ac:dyDescent="0.25">
      <c r="A1860" s="18"/>
    </row>
    <row r="1861" spans="1:1" x14ac:dyDescent="0.25">
      <c r="A1861" s="18"/>
    </row>
    <row r="1862" spans="1:1" x14ac:dyDescent="0.25">
      <c r="A1862" s="18"/>
    </row>
    <row r="1863" spans="1:1" x14ac:dyDescent="0.25">
      <c r="A1863" s="18"/>
    </row>
    <row r="1864" spans="1:1" x14ac:dyDescent="0.25">
      <c r="A1864" s="18"/>
    </row>
    <row r="1865" spans="1:1" x14ac:dyDescent="0.25">
      <c r="A1865" s="18"/>
    </row>
    <row r="1866" spans="1:1" x14ac:dyDescent="0.25">
      <c r="A1866" s="18"/>
    </row>
    <row r="1867" spans="1:1" x14ac:dyDescent="0.25">
      <c r="A1867" s="18"/>
    </row>
    <row r="1868" spans="1:1" x14ac:dyDescent="0.25">
      <c r="A1868" s="18"/>
    </row>
    <row r="1869" spans="1:1" x14ac:dyDescent="0.25">
      <c r="A1869" s="18"/>
    </row>
    <row r="1870" spans="1:1" x14ac:dyDescent="0.25">
      <c r="A1870" s="18"/>
    </row>
    <row r="1871" spans="1:1" x14ac:dyDescent="0.25">
      <c r="A1871" s="18"/>
    </row>
    <row r="1872" spans="1:1" x14ac:dyDescent="0.25">
      <c r="A1872" s="18"/>
    </row>
    <row r="1873" spans="1:1" x14ac:dyDescent="0.25">
      <c r="A1873" s="18"/>
    </row>
    <row r="1874" spans="1:1" x14ac:dyDescent="0.25">
      <c r="A1874" s="18"/>
    </row>
    <row r="1875" spans="1:1" x14ac:dyDescent="0.25">
      <c r="A1875" s="18"/>
    </row>
    <row r="1876" spans="1:1" x14ac:dyDescent="0.25">
      <c r="A1876" s="18"/>
    </row>
    <row r="1877" spans="1:1" x14ac:dyDescent="0.25">
      <c r="A1877" s="18"/>
    </row>
    <row r="1878" spans="1:1" x14ac:dyDescent="0.25">
      <c r="A1878" s="18"/>
    </row>
    <row r="1879" spans="1:1" x14ac:dyDescent="0.25">
      <c r="A1879" s="18"/>
    </row>
    <row r="1880" spans="1:1" x14ac:dyDescent="0.25">
      <c r="A1880" s="18"/>
    </row>
    <row r="1881" spans="1:1" x14ac:dyDescent="0.25">
      <c r="A1881" s="18"/>
    </row>
    <row r="1882" spans="1:1" x14ac:dyDescent="0.25">
      <c r="A1882" s="18"/>
    </row>
    <row r="1883" spans="1:1" x14ac:dyDescent="0.25">
      <c r="A1883" s="18"/>
    </row>
    <row r="1884" spans="1:1" x14ac:dyDescent="0.25">
      <c r="A1884" s="18"/>
    </row>
    <row r="1885" spans="1:1" x14ac:dyDescent="0.25">
      <c r="A1885" s="18"/>
    </row>
    <row r="1886" spans="1:1" x14ac:dyDescent="0.25">
      <c r="A1886" s="18"/>
    </row>
    <row r="1887" spans="1:1" x14ac:dyDescent="0.25">
      <c r="A1887" s="18"/>
    </row>
    <row r="1888" spans="1:1" x14ac:dyDescent="0.25">
      <c r="A1888" s="18"/>
    </row>
    <row r="1889" spans="1:1" x14ac:dyDescent="0.25">
      <c r="A1889" s="18"/>
    </row>
    <row r="1890" spans="1:1" x14ac:dyDescent="0.25">
      <c r="A1890" s="18"/>
    </row>
    <row r="1891" spans="1:1" x14ac:dyDescent="0.25">
      <c r="A1891" s="18"/>
    </row>
    <row r="1892" spans="1:1" x14ac:dyDescent="0.25">
      <c r="A1892" s="18"/>
    </row>
    <row r="1893" spans="1:1" x14ac:dyDescent="0.25">
      <c r="A1893" s="18"/>
    </row>
    <row r="1894" spans="1:1" x14ac:dyDescent="0.25">
      <c r="A1894" s="18"/>
    </row>
    <row r="1895" spans="1:1" x14ac:dyDescent="0.25">
      <c r="A1895" s="18"/>
    </row>
    <row r="1896" spans="1:1" x14ac:dyDescent="0.25">
      <c r="A1896" s="18"/>
    </row>
    <row r="1897" spans="1:1" x14ac:dyDescent="0.25">
      <c r="A1897" s="18"/>
    </row>
    <row r="1898" spans="1:1" x14ac:dyDescent="0.25">
      <c r="A1898" s="18"/>
    </row>
    <row r="1899" spans="1:1" x14ac:dyDescent="0.25">
      <c r="A1899" s="18"/>
    </row>
    <row r="1900" spans="1:1" x14ac:dyDescent="0.25">
      <c r="A1900" s="18"/>
    </row>
    <row r="1901" spans="1:1" x14ac:dyDescent="0.25">
      <c r="A1901" s="18"/>
    </row>
    <row r="1902" spans="1:1" x14ac:dyDescent="0.25">
      <c r="A1902" s="18"/>
    </row>
    <row r="1903" spans="1:1" x14ac:dyDescent="0.25">
      <c r="A1903" s="18"/>
    </row>
    <row r="1904" spans="1:1" x14ac:dyDescent="0.25">
      <c r="A1904" s="18"/>
    </row>
    <row r="1905" spans="1:1" x14ac:dyDescent="0.25">
      <c r="A1905" s="18"/>
    </row>
    <row r="1906" spans="1:1" x14ac:dyDescent="0.25">
      <c r="A1906" s="18"/>
    </row>
    <row r="1907" spans="1:1" x14ac:dyDescent="0.25">
      <c r="A1907" s="18"/>
    </row>
    <row r="1908" spans="1:1" x14ac:dyDescent="0.25">
      <c r="A1908" s="18"/>
    </row>
    <row r="1909" spans="1:1" x14ac:dyDescent="0.25">
      <c r="A1909" s="18"/>
    </row>
    <row r="1910" spans="1:1" x14ac:dyDescent="0.25">
      <c r="A1910" s="18"/>
    </row>
    <row r="1911" spans="1:1" x14ac:dyDescent="0.25">
      <c r="A1911" s="18"/>
    </row>
    <row r="1912" spans="1:1" x14ac:dyDescent="0.25">
      <c r="A1912" s="18"/>
    </row>
    <row r="1913" spans="1:1" x14ac:dyDescent="0.25">
      <c r="A1913" s="18"/>
    </row>
    <row r="1914" spans="1:1" x14ac:dyDescent="0.25">
      <c r="A1914" s="18"/>
    </row>
    <row r="1915" spans="1:1" x14ac:dyDescent="0.25">
      <c r="A1915" s="18"/>
    </row>
    <row r="1916" spans="1:1" x14ac:dyDescent="0.25">
      <c r="A1916" s="18"/>
    </row>
    <row r="1917" spans="1:1" x14ac:dyDescent="0.25">
      <c r="A1917" s="18"/>
    </row>
    <row r="1918" spans="1:1" x14ac:dyDescent="0.25">
      <c r="A1918" s="18"/>
    </row>
    <row r="1919" spans="1:1" x14ac:dyDescent="0.25">
      <c r="A1919" s="18"/>
    </row>
    <row r="1920" spans="1:1" x14ac:dyDescent="0.25">
      <c r="A1920" s="18"/>
    </row>
    <row r="1921" spans="1:1" x14ac:dyDescent="0.25">
      <c r="A1921" s="18"/>
    </row>
    <row r="1922" spans="1:1" x14ac:dyDescent="0.25">
      <c r="A1922" s="18"/>
    </row>
    <row r="1923" spans="1:1" x14ac:dyDescent="0.25">
      <c r="A1923" s="18"/>
    </row>
    <row r="1924" spans="1:1" x14ac:dyDescent="0.25">
      <c r="A1924" s="18"/>
    </row>
    <row r="1925" spans="1:1" x14ac:dyDescent="0.25">
      <c r="A1925" s="18"/>
    </row>
    <row r="1926" spans="1:1" x14ac:dyDescent="0.25">
      <c r="A1926" s="18"/>
    </row>
    <row r="1927" spans="1:1" x14ac:dyDescent="0.25">
      <c r="A1927" s="18"/>
    </row>
    <row r="1928" spans="1:1" x14ac:dyDescent="0.25">
      <c r="A1928" s="18"/>
    </row>
    <row r="1929" spans="1:1" x14ac:dyDescent="0.25">
      <c r="A1929" s="18"/>
    </row>
    <row r="1930" spans="1:1" x14ac:dyDescent="0.25">
      <c r="A1930" s="18"/>
    </row>
    <row r="1931" spans="1:1" x14ac:dyDescent="0.25">
      <c r="A1931" s="18"/>
    </row>
    <row r="1932" spans="1:1" x14ac:dyDescent="0.25">
      <c r="A1932" s="18"/>
    </row>
    <row r="1933" spans="1:1" x14ac:dyDescent="0.25">
      <c r="A1933" s="18"/>
    </row>
    <row r="1934" spans="1:1" x14ac:dyDescent="0.25">
      <c r="A1934" s="18"/>
    </row>
    <row r="1935" spans="1:1" x14ac:dyDescent="0.25">
      <c r="A1935" s="18"/>
    </row>
    <row r="1936" spans="1:1" x14ac:dyDescent="0.25">
      <c r="A1936" s="18"/>
    </row>
    <row r="1937" spans="1:1" x14ac:dyDescent="0.25">
      <c r="A1937" s="18"/>
    </row>
    <row r="1938" spans="1:1" x14ac:dyDescent="0.25">
      <c r="A1938" s="18"/>
    </row>
    <row r="1939" spans="1:1" x14ac:dyDescent="0.25">
      <c r="A1939" s="18"/>
    </row>
    <row r="1940" spans="1:1" x14ac:dyDescent="0.25">
      <c r="A1940" s="18"/>
    </row>
    <row r="1941" spans="1:1" x14ac:dyDescent="0.25">
      <c r="A1941" s="18"/>
    </row>
    <row r="1942" spans="1:1" x14ac:dyDescent="0.25">
      <c r="A1942" s="18"/>
    </row>
    <row r="1943" spans="1:1" x14ac:dyDescent="0.25">
      <c r="A1943" s="18"/>
    </row>
    <row r="1944" spans="1:1" x14ac:dyDescent="0.25">
      <c r="A1944" s="18"/>
    </row>
    <row r="1945" spans="1:1" x14ac:dyDescent="0.25">
      <c r="A1945" s="18"/>
    </row>
    <row r="1946" spans="1:1" x14ac:dyDescent="0.25">
      <c r="A1946" s="18"/>
    </row>
    <row r="1947" spans="1:1" x14ac:dyDescent="0.25">
      <c r="A1947" s="18"/>
    </row>
    <row r="1948" spans="1:1" x14ac:dyDescent="0.25">
      <c r="A1948" s="18"/>
    </row>
    <row r="1949" spans="1:1" x14ac:dyDescent="0.25">
      <c r="A1949" s="18"/>
    </row>
    <row r="1950" spans="1:1" x14ac:dyDescent="0.25">
      <c r="A1950" s="18"/>
    </row>
    <row r="1951" spans="1:1" x14ac:dyDescent="0.25">
      <c r="A1951" s="18"/>
    </row>
    <row r="1952" spans="1:1" x14ac:dyDescent="0.25">
      <c r="A1952" s="18"/>
    </row>
    <row r="1953" spans="1:1" x14ac:dyDescent="0.25">
      <c r="A1953" s="18"/>
    </row>
    <row r="1954" spans="1:1" x14ac:dyDescent="0.25">
      <c r="A1954" s="18"/>
    </row>
    <row r="1955" spans="1:1" x14ac:dyDescent="0.25">
      <c r="A1955" s="18"/>
    </row>
    <row r="1956" spans="1:1" x14ac:dyDescent="0.25">
      <c r="A1956" s="18"/>
    </row>
    <row r="1957" spans="1:1" x14ac:dyDescent="0.25">
      <c r="A1957" s="18"/>
    </row>
    <row r="1958" spans="1:1" x14ac:dyDescent="0.25">
      <c r="A1958" s="18"/>
    </row>
    <row r="1959" spans="1:1" x14ac:dyDescent="0.25">
      <c r="A1959" s="18"/>
    </row>
    <row r="1960" spans="1:1" x14ac:dyDescent="0.25">
      <c r="A1960" s="18"/>
    </row>
    <row r="1961" spans="1:1" x14ac:dyDescent="0.25">
      <c r="A1961" s="18"/>
    </row>
    <row r="1962" spans="1:1" x14ac:dyDescent="0.25">
      <c r="A1962" s="18"/>
    </row>
    <row r="1963" spans="1:1" x14ac:dyDescent="0.25">
      <c r="A1963" s="18"/>
    </row>
    <row r="1964" spans="1:1" x14ac:dyDescent="0.25">
      <c r="A1964" s="18"/>
    </row>
    <row r="1965" spans="1:1" x14ac:dyDescent="0.25">
      <c r="A1965" s="18"/>
    </row>
    <row r="1966" spans="1:1" x14ac:dyDescent="0.25">
      <c r="A1966" s="18"/>
    </row>
    <row r="1967" spans="1:1" x14ac:dyDescent="0.25">
      <c r="A1967" s="18"/>
    </row>
    <row r="1968" spans="1:1" x14ac:dyDescent="0.25">
      <c r="A1968" s="18"/>
    </row>
    <row r="1969" spans="1:1" x14ac:dyDescent="0.25">
      <c r="A1969" s="18"/>
    </row>
    <row r="1970" spans="1:1" x14ac:dyDescent="0.25">
      <c r="A1970" s="18"/>
    </row>
    <row r="1971" spans="1:1" x14ac:dyDescent="0.25">
      <c r="A1971" s="18"/>
    </row>
    <row r="1972" spans="1:1" x14ac:dyDescent="0.25">
      <c r="A1972" s="18"/>
    </row>
    <row r="1973" spans="1:1" x14ac:dyDescent="0.25">
      <c r="A1973" s="18"/>
    </row>
    <row r="1974" spans="1:1" x14ac:dyDescent="0.25">
      <c r="A1974" s="18"/>
    </row>
    <row r="1975" spans="1:1" x14ac:dyDescent="0.25">
      <c r="A1975" s="18"/>
    </row>
    <row r="1976" spans="1:1" x14ac:dyDescent="0.25">
      <c r="A1976" s="18"/>
    </row>
    <row r="1977" spans="1:1" x14ac:dyDescent="0.25">
      <c r="A1977" s="18"/>
    </row>
    <row r="1978" spans="1:1" x14ac:dyDescent="0.25">
      <c r="A1978" s="18"/>
    </row>
    <row r="1979" spans="1:1" x14ac:dyDescent="0.25">
      <c r="A1979" s="18"/>
    </row>
    <row r="1980" spans="1:1" x14ac:dyDescent="0.25">
      <c r="A1980" s="18"/>
    </row>
    <row r="1981" spans="1:1" x14ac:dyDescent="0.25">
      <c r="A1981" s="18"/>
    </row>
    <row r="1982" spans="1:1" x14ac:dyDescent="0.25">
      <c r="A1982" s="18"/>
    </row>
    <row r="1983" spans="1:1" x14ac:dyDescent="0.25">
      <c r="A1983" s="18"/>
    </row>
    <row r="1984" spans="1:1" x14ac:dyDescent="0.25">
      <c r="A1984" s="18"/>
    </row>
    <row r="1985" spans="1:1" x14ac:dyDescent="0.25">
      <c r="A1985" s="18"/>
    </row>
    <row r="1986" spans="1:1" x14ac:dyDescent="0.25">
      <c r="A1986" s="18"/>
    </row>
    <row r="1987" spans="1:1" x14ac:dyDescent="0.25">
      <c r="A1987" s="18"/>
    </row>
    <row r="1988" spans="1:1" x14ac:dyDescent="0.25">
      <c r="A1988" s="18"/>
    </row>
    <row r="1989" spans="1:1" x14ac:dyDescent="0.25">
      <c r="A1989" s="18"/>
    </row>
    <row r="1990" spans="1:1" x14ac:dyDescent="0.25">
      <c r="A1990" s="18"/>
    </row>
    <row r="1991" spans="1:1" x14ac:dyDescent="0.25">
      <c r="A1991" s="18"/>
    </row>
    <row r="1992" spans="1:1" x14ac:dyDescent="0.25">
      <c r="A1992" s="18"/>
    </row>
    <row r="1993" spans="1:1" x14ac:dyDescent="0.25">
      <c r="A1993" s="18"/>
    </row>
    <row r="1994" spans="1:1" x14ac:dyDescent="0.25">
      <c r="A1994" s="18"/>
    </row>
    <row r="1995" spans="1:1" x14ac:dyDescent="0.25">
      <c r="A1995" s="18"/>
    </row>
    <row r="1996" spans="1:1" x14ac:dyDescent="0.25">
      <c r="A1996" s="18"/>
    </row>
    <row r="1997" spans="1:1" x14ac:dyDescent="0.25">
      <c r="A1997" s="18"/>
    </row>
    <row r="1998" spans="1:1" x14ac:dyDescent="0.25">
      <c r="A1998" s="18"/>
    </row>
    <row r="1999" spans="1:1" x14ac:dyDescent="0.25">
      <c r="A1999" s="18"/>
    </row>
    <row r="2000" spans="1:1" x14ac:dyDescent="0.25">
      <c r="A2000" s="18"/>
    </row>
    <row r="2001" spans="1:1" x14ac:dyDescent="0.25">
      <c r="A2001" s="18"/>
    </row>
    <row r="2002" spans="1:1" x14ac:dyDescent="0.25">
      <c r="A2002" s="18"/>
    </row>
    <row r="2003" spans="1:1" x14ac:dyDescent="0.25">
      <c r="A2003" s="18"/>
    </row>
    <row r="2004" spans="1:1" x14ac:dyDescent="0.25">
      <c r="A2004" s="18"/>
    </row>
    <row r="2005" spans="1:1" x14ac:dyDescent="0.25">
      <c r="A2005" s="18"/>
    </row>
    <row r="2006" spans="1:1" x14ac:dyDescent="0.25">
      <c r="A2006" s="18"/>
    </row>
    <row r="2007" spans="1:1" x14ac:dyDescent="0.25">
      <c r="A2007" s="18"/>
    </row>
    <row r="2008" spans="1:1" x14ac:dyDescent="0.25">
      <c r="A2008" s="18"/>
    </row>
    <row r="2009" spans="1:1" x14ac:dyDescent="0.25">
      <c r="A2009" s="18"/>
    </row>
    <row r="2010" spans="1:1" x14ac:dyDescent="0.25">
      <c r="A2010" s="18"/>
    </row>
    <row r="2011" spans="1:1" x14ac:dyDescent="0.25">
      <c r="A2011" s="18"/>
    </row>
    <row r="2012" spans="1:1" x14ac:dyDescent="0.25">
      <c r="A2012" s="18"/>
    </row>
    <row r="2013" spans="1:1" x14ac:dyDescent="0.25">
      <c r="A2013" s="18"/>
    </row>
    <row r="2014" spans="1:1" x14ac:dyDescent="0.25">
      <c r="A2014" s="18"/>
    </row>
    <row r="2015" spans="1:1" x14ac:dyDescent="0.25">
      <c r="A2015" s="18"/>
    </row>
    <row r="2016" spans="1:1" x14ac:dyDescent="0.25">
      <c r="A2016" s="18"/>
    </row>
    <row r="2017" spans="1:1" x14ac:dyDescent="0.25">
      <c r="A2017" s="18"/>
    </row>
    <row r="2018" spans="1:1" x14ac:dyDescent="0.25">
      <c r="A2018" s="18"/>
    </row>
    <row r="2019" spans="1:1" x14ac:dyDescent="0.25">
      <c r="A2019" s="18"/>
    </row>
    <row r="2020" spans="1:1" x14ac:dyDescent="0.25">
      <c r="A2020" s="18"/>
    </row>
    <row r="2021" spans="1:1" x14ac:dyDescent="0.25">
      <c r="A2021" s="18"/>
    </row>
    <row r="2022" spans="1:1" x14ac:dyDescent="0.25">
      <c r="A2022" s="18"/>
    </row>
    <row r="2023" spans="1:1" x14ac:dyDescent="0.25">
      <c r="A2023" s="18"/>
    </row>
    <row r="2024" spans="1:1" x14ac:dyDescent="0.25">
      <c r="A2024" s="18"/>
    </row>
    <row r="2025" spans="1:1" x14ac:dyDescent="0.25">
      <c r="A2025" s="18"/>
    </row>
    <row r="2026" spans="1:1" x14ac:dyDescent="0.25">
      <c r="A2026" s="18"/>
    </row>
    <row r="2027" spans="1:1" x14ac:dyDescent="0.25">
      <c r="A2027" s="18"/>
    </row>
    <row r="2028" spans="1:1" x14ac:dyDescent="0.25">
      <c r="A2028" s="18"/>
    </row>
    <row r="2029" spans="1:1" x14ac:dyDescent="0.25">
      <c r="A2029" s="18"/>
    </row>
    <row r="2030" spans="1:1" x14ac:dyDescent="0.25">
      <c r="A2030" s="18"/>
    </row>
    <row r="2031" spans="1:1" x14ac:dyDescent="0.25">
      <c r="A2031" s="18"/>
    </row>
    <row r="2032" spans="1:1" x14ac:dyDescent="0.25">
      <c r="A2032" s="18"/>
    </row>
    <row r="2033" spans="1:1" x14ac:dyDescent="0.25">
      <c r="A2033" s="18"/>
    </row>
    <row r="2034" spans="1:1" x14ac:dyDescent="0.25">
      <c r="A2034" s="18"/>
    </row>
    <row r="2035" spans="1:1" x14ac:dyDescent="0.25">
      <c r="A2035" s="18"/>
    </row>
    <row r="2036" spans="1:1" x14ac:dyDescent="0.25">
      <c r="A2036" s="18"/>
    </row>
    <row r="2037" spans="1:1" x14ac:dyDescent="0.25">
      <c r="A2037" s="18"/>
    </row>
    <row r="2038" spans="1:1" x14ac:dyDescent="0.25">
      <c r="A2038" s="18"/>
    </row>
    <row r="2039" spans="1:1" x14ac:dyDescent="0.25">
      <c r="A2039" s="18"/>
    </row>
    <row r="2040" spans="1:1" x14ac:dyDescent="0.25">
      <c r="A2040" s="18"/>
    </row>
    <row r="2041" spans="1:1" x14ac:dyDescent="0.25">
      <c r="A2041" s="18"/>
    </row>
    <row r="2042" spans="1:1" x14ac:dyDescent="0.25">
      <c r="A2042" s="18"/>
    </row>
    <row r="2043" spans="1:1" x14ac:dyDescent="0.25">
      <c r="A2043" s="18"/>
    </row>
    <row r="2044" spans="1:1" x14ac:dyDescent="0.25">
      <c r="A2044" s="18"/>
    </row>
    <row r="2045" spans="1:1" x14ac:dyDescent="0.25">
      <c r="A2045" s="18"/>
    </row>
    <row r="2046" spans="1:1" x14ac:dyDescent="0.25">
      <c r="A2046" s="18"/>
    </row>
    <row r="2047" spans="1:1" x14ac:dyDescent="0.25">
      <c r="A2047" s="18"/>
    </row>
    <row r="2048" spans="1:1" x14ac:dyDescent="0.25">
      <c r="A2048" s="18"/>
    </row>
    <row r="2049" spans="1:1" x14ac:dyDescent="0.25">
      <c r="A2049" s="18"/>
    </row>
    <row r="2050" spans="1:1" x14ac:dyDescent="0.25">
      <c r="A2050" s="18"/>
    </row>
    <row r="2051" spans="1:1" x14ac:dyDescent="0.25">
      <c r="A2051" s="18"/>
    </row>
    <row r="2052" spans="1:1" x14ac:dyDescent="0.25">
      <c r="A2052" s="18"/>
    </row>
    <row r="2053" spans="1:1" x14ac:dyDescent="0.25">
      <c r="A2053" s="18"/>
    </row>
    <row r="2054" spans="1:1" x14ac:dyDescent="0.25">
      <c r="A2054" s="18"/>
    </row>
    <row r="2055" spans="1:1" x14ac:dyDescent="0.25">
      <c r="A2055" s="18"/>
    </row>
    <row r="2056" spans="1:1" x14ac:dyDescent="0.25">
      <c r="A2056" s="18"/>
    </row>
    <row r="2057" spans="1:1" x14ac:dyDescent="0.25">
      <c r="A2057" s="18"/>
    </row>
    <row r="2058" spans="1:1" x14ac:dyDescent="0.25">
      <c r="A2058" s="18"/>
    </row>
    <row r="2059" spans="1:1" x14ac:dyDescent="0.25">
      <c r="A2059" s="18"/>
    </row>
    <row r="2060" spans="1:1" x14ac:dyDescent="0.25">
      <c r="A2060" s="18"/>
    </row>
    <row r="2061" spans="1:1" x14ac:dyDescent="0.25">
      <c r="A2061" s="18"/>
    </row>
    <row r="2062" spans="1:1" x14ac:dyDescent="0.25">
      <c r="A2062" s="18"/>
    </row>
    <row r="2063" spans="1:1" x14ac:dyDescent="0.25">
      <c r="A2063" s="18"/>
    </row>
    <row r="2064" spans="1:1" x14ac:dyDescent="0.25">
      <c r="A2064" s="18"/>
    </row>
    <row r="2065" spans="1:1" x14ac:dyDescent="0.25">
      <c r="A2065" s="18"/>
    </row>
    <row r="2066" spans="1:1" x14ac:dyDescent="0.25">
      <c r="A2066" s="18"/>
    </row>
    <row r="2067" spans="1:1" x14ac:dyDescent="0.25">
      <c r="A2067" s="18"/>
    </row>
    <row r="2068" spans="1:1" x14ac:dyDescent="0.25">
      <c r="A2068" s="18"/>
    </row>
    <row r="2069" spans="1:1" x14ac:dyDescent="0.25">
      <c r="A2069" s="18"/>
    </row>
    <row r="2070" spans="1:1" x14ac:dyDescent="0.25">
      <c r="A2070" s="18"/>
    </row>
    <row r="2071" spans="1:1" x14ac:dyDescent="0.25">
      <c r="A2071" s="18"/>
    </row>
    <row r="2072" spans="1:1" x14ac:dyDescent="0.25">
      <c r="A2072" s="18"/>
    </row>
    <row r="2073" spans="1:1" x14ac:dyDescent="0.25">
      <c r="A2073" s="18"/>
    </row>
    <row r="2074" spans="1:1" x14ac:dyDescent="0.25">
      <c r="A2074" s="18"/>
    </row>
    <row r="2075" spans="1:1" x14ac:dyDescent="0.25">
      <c r="A2075" s="18"/>
    </row>
    <row r="2076" spans="1:1" x14ac:dyDescent="0.25">
      <c r="A2076" s="18"/>
    </row>
    <row r="2077" spans="1:1" x14ac:dyDescent="0.25">
      <c r="A2077" s="18"/>
    </row>
    <row r="2078" spans="1:1" x14ac:dyDescent="0.25">
      <c r="A2078" s="18"/>
    </row>
    <row r="2079" spans="1:1" x14ac:dyDescent="0.25">
      <c r="A2079" s="18"/>
    </row>
    <row r="2080" spans="1:1" x14ac:dyDescent="0.25">
      <c r="A2080" s="18"/>
    </row>
    <row r="2081" spans="1:1" x14ac:dyDescent="0.25">
      <c r="A2081" s="18"/>
    </row>
    <row r="2082" spans="1:1" x14ac:dyDescent="0.25">
      <c r="A2082" s="18"/>
    </row>
    <row r="2083" spans="1:1" x14ac:dyDescent="0.25">
      <c r="A2083" s="18"/>
    </row>
    <row r="2084" spans="1:1" x14ac:dyDescent="0.25">
      <c r="A2084" s="18"/>
    </row>
    <row r="2085" spans="1:1" x14ac:dyDescent="0.25">
      <c r="A2085" s="18"/>
    </row>
    <row r="2086" spans="1:1" x14ac:dyDescent="0.25">
      <c r="A2086" s="18"/>
    </row>
    <row r="2087" spans="1:1" x14ac:dyDescent="0.25">
      <c r="A2087" s="18"/>
    </row>
    <row r="2088" spans="1:1" x14ac:dyDescent="0.25">
      <c r="A2088" s="18"/>
    </row>
    <row r="2089" spans="1:1" x14ac:dyDescent="0.25">
      <c r="A2089" s="18"/>
    </row>
    <row r="2090" spans="1:1" x14ac:dyDescent="0.25">
      <c r="A2090" s="18"/>
    </row>
    <row r="2091" spans="1:1" x14ac:dyDescent="0.25">
      <c r="A2091" s="18"/>
    </row>
    <row r="2092" spans="1:1" x14ac:dyDescent="0.25">
      <c r="A2092" s="18"/>
    </row>
    <row r="2093" spans="1:1" x14ac:dyDescent="0.25">
      <c r="A2093" s="18"/>
    </row>
    <row r="2094" spans="1:1" x14ac:dyDescent="0.25">
      <c r="A2094" s="18"/>
    </row>
    <row r="2095" spans="1:1" x14ac:dyDescent="0.25">
      <c r="A2095" s="18"/>
    </row>
    <row r="2096" spans="1:1" x14ac:dyDescent="0.25">
      <c r="A2096" s="18"/>
    </row>
    <row r="2097" spans="1:1" x14ac:dyDescent="0.25">
      <c r="A2097" s="18"/>
    </row>
    <row r="2098" spans="1:1" x14ac:dyDescent="0.25">
      <c r="A2098" s="18"/>
    </row>
    <row r="2099" spans="1:1" x14ac:dyDescent="0.25">
      <c r="A2099" s="18"/>
    </row>
    <row r="2100" spans="1:1" x14ac:dyDescent="0.25">
      <c r="A2100" s="18"/>
    </row>
    <row r="2101" spans="1:1" x14ac:dyDescent="0.25">
      <c r="A2101" s="18"/>
    </row>
    <row r="2102" spans="1:1" x14ac:dyDescent="0.25">
      <c r="A2102" s="18"/>
    </row>
    <row r="2103" spans="1:1" x14ac:dyDescent="0.25">
      <c r="A2103" s="18"/>
    </row>
    <row r="2104" spans="1:1" x14ac:dyDescent="0.25">
      <c r="A2104" s="18"/>
    </row>
    <row r="2105" spans="1:1" x14ac:dyDescent="0.25">
      <c r="A2105" s="18"/>
    </row>
    <row r="2106" spans="1:1" x14ac:dyDescent="0.25">
      <c r="A2106" s="18"/>
    </row>
    <row r="2107" spans="1:1" x14ac:dyDescent="0.25">
      <c r="A2107" s="18"/>
    </row>
    <row r="2108" spans="1:1" x14ac:dyDescent="0.25">
      <c r="A2108" s="18"/>
    </row>
    <row r="2109" spans="1:1" x14ac:dyDescent="0.25">
      <c r="A2109" s="18"/>
    </row>
    <row r="2110" spans="1:1" x14ac:dyDescent="0.25">
      <c r="A2110" s="18"/>
    </row>
    <row r="2111" spans="1:1" x14ac:dyDescent="0.25">
      <c r="A2111" s="18"/>
    </row>
    <row r="2112" spans="1:1" x14ac:dyDescent="0.25">
      <c r="A2112" s="18"/>
    </row>
    <row r="2113" spans="1:1" x14ac:dyDescent="0.25">
      <c r="A2113" s="18"/>
    </row>
    <row r="2114" spans="1:1" x14ac:dyDescent="0.25">
      <c r="A2114" s="18"/>
    </row>
    <row r="2115" spans="1:1" x14ac:dyDescent="0.25">
      <c r="A2115" s="18"/>
    </row>
    <row r="2116" spans="1:1" x14ac:dyDescent="0.25">
      <c r="A2116" s="18"/>
    </row>
    <row r="2117" spans="1:1" x14ac:dyDescent="0.25">
      <c r="A2117" s="18"/>
    </row>
    <row r="2118" spans="1:1" x14ac:dyDescent="0.25">
      <c r="A2118" s="18"/>
    </row>
    <row r="2119" spans="1:1" x14ac:dyDescent="0.25">
      <c r="A2119" s="18"/>
    </row>
    <row r="2120" spans="1:1" x14ac:dyDescent="0.25">
      <c r="A2120" s="18"/>
    </row>
    <row r="2121" spans="1:1" x14ac:dyDescent="0.25">
      <c r="A2121" s="18"/>
    </row>
    <row r="2122" spans="1:1" x14ac:dyDescent="0.25">
      <c r="A2122" s="18"/>
    </row>
    <row r="2123" spans="1:1" x14ac:dyDescent="0.25">
      <c r="A2123" s="18"/>
    </row>
    <row r="2124" spans="1:1" x14ac:dyDescent="0.25">
      <c r="A2124" s="18"/>
    </row>
    <row r="2125" spans="1:1" x14ac:dyDescent="0.25">
      <c r="A2125" s="18"/>
    </row>
    <row r="2126" spans="1:1" x14ac:dyDescent="0.25">
      <c r="A2126" s="18"/>
    </row>
    <row r="2127" spans="1:1" x14ac:dyDescent="0.25">
      <c r="A2127" s="18"/>
    </row>
    <row r="2128" spans="1:1" x14ac:dyDescent="0.25">
      <c r="A2128" s="18"/>
    </row>
    <row r="2129" spans="1:1" x14ac:dyDescent="0.25">
      <c r="A2129" s="18"/>
    </row>
    <row r="2130" spans="1:1" x14ac:dyDescent="0.25">
      <c r="A2130" s="18"/>
    </row>
    <row r="2131" spans="1:1" x14ac:dyDescent="0.25">
      <c r="A2131" s="18"/>
    </row>
    <row r="2132" spans="1:1" x14ac:dyDescent="0.25">
      <c r="A2132" s="18"/>
    </row>
    <row r="2133" spans="1:1" x14ac:dyDescent="0.25">
      <c r="A2133" s="18"/>
    </row>
    <row r="2134" spans="1:1" x14ac:dyDescent="0.25">
      <c r="A2134" s="18"/>
    </row>
    <row r="2135" spans="1:1" x14ac:dyDescent="0.25">
      <c r="A2135" s="18"/>
    </row>
    <row r="2136" spans="1:1" x14ac:dyDescent="0.25">
      <c r="A2136" s="18"/>
    </row>
    <row r="2137" spans="1:1" x14ac:dyDescent="0.25">
      <c r="A2137" s="18"/>
    </row>
    <row r="2138" spans="1:1" x14ac:dyDescent="0.25">
      <c r="A2138" s="18"/>
    </row>
    <row r="2139" spans="1:1" x14ac:dyDescent="0.25">
      <c r="A2139" s="18"/>
    </row>
    <row r="2140" spans="1:1" x14ac:dyDescent="0.25">
      <c r="A2140" s="18"/>
    </row>
    <row r="2141" spans="1:1" x14ac:dyDescent="0.25">
      <c r="A2141" s="18"/>
    </row>
    <row r="2142" spans="1:1" x14ac:dyDescent="0.25">
      <c r="A2142" s="18"/>
    </row>
    <row r="2143" spans="1:1" x14ac:dyDescent="0.25">
      <c r="A2143" s="18"/>
    </row>
    <row r="2144" spans="1:1" x14ac:dyDescent="0.25">
      <c r="A2144" s="18"/>
    </row>
    <row r="2145" spans="1:1" x14ac:dyDescent="0.25">
      <c r="A2145" s="18"/>
    </row>
    <row r="2146" spans="1:1" x14ac:dyDescent="0.25">
      <c r="A2146" s="18"/>
    </row>
    <row r="2147" spans="1:1" x14ac:dyDescent="0.25">
      <c r="A2147" s="18"/>
    </row>
    <row r="2148" spans="1:1" x14ac:dyDescent="0.25">
      <c r="A2148" s="18"/>
    </row>
    <row r="2149" spans="1:1" x14ac:dyDescent="0.25">
      <c r="A2149" s="18"/>
    </row>
    <row r="2150" spans="1:1" x14ac:dyDescent="0.25">
      <c r="A2150" s="18"/>
    </row>
    <row r="2151" spans="1:1" x14ac:dyDescent="0.25">
      <c r="A2151" s="18"/>
    </row>
    <row r="2152" spans="1:1" x14ac:dyDescent="0.25">
      <c r="A2152" s="18"/>
    </row>
    <row r="2153" spans="1:1" x14ac:dyDescent="0.25">
      <c r="A2153" s="18"/>
    </row>
    <row r="2154" spans="1:1" x14ac:dyDescent="0.25">
      <c r="A2154" s="18"/>
    </row>
    <row r="2155" spans="1:1" x14ac:dyDescent="0.25">
      <c r="A2155" s="18"/>
    </row>
    <row r="2156" spans="1:1" x14ac:dyDescent="0.25">
      <c r="A2156" s="18"/>
    </row>
    <row r="2157" spans="1:1" x14ac:dyDescent="0.25">
      <c r="A2157" s="18"/>
    </row>
    <row r="2158" spans="1:1" x14ac:dyDescent="0.25">
      <c r="A2158" s="18"/>
    </row>
    <row r="2159" spans="1:1" x14ac:dyDescent="0.25">
      <c r="A2159" s="18"/>
    </row>
    <row r="2160" spans="1:1" x14ac:dyDescent="0.25">
      <c r="A2160" s="18"/>
    </row>
    <row r="2161" spans="1:1" x14ac:dyDescent="0.25">
      <c r="A2161" s="18"/>
    </row>
    <row r="2162" spans="1:1" x14ac:dyDescent="0.25">
      <c r="A2162" s="18"/>
    </row>
    <row r="2163" spans="1:1" x14ac:dyDescent="0.25">
      <c r="A2163" s="18"/>
    </row>
    <row r="2164" spans="1:1" x14ac:dyDescent="0.25">
      <c r="A2164" s="18"/>
    </row>
    <row r="2165" spans="1:1" x14ac:dyDescent="0.25">
      <c r="A2165" s="18"/>
    </row>
    <row r="2166" spans="1:1" x14ac:dyDescent="0.25">
      <c r="A2166" s="18"/>
    </row>
    <row r="2167" spans="1:1" x14ac:dyDescent="0.25">
      <c r="A2167" s="18"/>
    </row>
    <row r="2168" spans="1:1" x14ac:dyDescent="0.25">
      <c r="A2168" s="18"/>
    </row>
    <row r="2169" spans="1:1" x14ac:dyDescent="0.25">
      <c r="A2169" s="18"/>
    </row>
    <row r="2170" spans="1:1" x14ac:dyDescent="0.25">
      <c r="A2170" s="18"/>
    </row>
    <row r="2171" spans="1:1" x14ac:dyDescent="0.25">
      <c r="A2171" s="18"/>
    </row>
    <row r="2172" spans="1:1" x14ac:dyDescent="0.25">
      <c r="A2172" s="18"/>
    </row>
    <row r="2173" spans="1:1" x14ac:dyDescent="0.25">
      <c r="A2173" s="18"/>
    </row>
    <row r="2174" spans="1:1" x14ac:dyDescent="0.25">
      <c r="A2174" s="18"/>
    </row>
    <row r="2175" spans="1:1" x14ac:dyDescent="0.25">
      <c r="A2175" s="18"/>
    </row>
    <row r="2176" spans="1:1" x14ac:dyDescent="0.25">
      <c r="A2176" s="18"/>
    </row>
    <row r="2177" spans="1:1" x14ac:dyDescent="0.25">
      <c r="A2177" s="18"/>
    </row>
    <row r="2178" spans="1:1" x14ac:dyDescent="0.25">
      <c r="A2178" s="18"/>
    </row>
    <row r="2179" spans="1:1" x14ac:dyDescent="0.25">
      <c r="A2179" s="18"/>
    </row>
    <row r="2180" spans="1:1" x14ac:dyDescent="0.25">
      <c r="A2180" s="18"/>
    </row>
    <row r="2181" spans="1:1" x14ac:dyDescent="0.25">
      <c r="A2181" s="18"/>
    </row>
    <row r="2182" spans="1:1" x14ac:dyDescent="0.25">
      <c r="A2182" s="18"/>
    </row>
    <row r="2183" spans="1:1" x14ac:dyDescent="0.25">
      <c r="A2183" s="18"/>
    </row>
    <row r="2184" spans="1:1" x14ac:dyDescent="0.25">
      <c r="A2184" s="18"/>
    </row>
    <row r="2185" spans="1:1" x14ac:dyDescent="0.25">
      <c r="A2185" s="18"/>
    </row>
    <row r="2186" spans="1:1" x14ac:dyDescent="0.25">
      <c r="A2186" s="18"/>
    </row>
    <row r="2187" spans="1:1" x14ac:dyDescent="0.25">
      <c r="A2187" s="18"/>
    </row>
    <row r="2188" spans="1:1" x14ac:dyDescent="0.25">
      <c r="A2188" s="18"/>
    </row>
    <row r="2189" spans="1:1" x14ac:dyDescent="0.25">
      <c r="A2189" s="18"/>
    </row>
    <row r="2190" spans="1:1" x14ac:dyDescent="0.25">
      <c r="A2190" s="18"/>
    </row>
    <row r="2191" spans="1:1" x14ac:dyDescent="0.25">
      <c r="A2191" s="18"/>
    </row>
    <row r="2192" spans="1:1" x14ac:dyDescent="0.25">
      <c r="A2192" s="18"/>
    </row>
    <row r="2193" spans="1:1" x14ac:dyDescent="0.25">
      <c r="A2193" s="18"/>
    </row>
    <row r="2194" spans="1:1" x14ac:dyDescent="0.25">
      <c r="A2194" s="18"/>
    </row>
    <row r="2195" spans="1:1" x14ac:dyDescent="0.25">
      <c r="A2195" s="18"/>
    </row>
    <row r="2196" spans="1:1" x14ac:dyDescent="0.25">
      <c r="A2196" s="18"/>
    </row>
    <row r="2197" spans="1:1" x14ac:dyDescent="0.25">
      <c r="A2197" s="18"/>
    </row>
    <row r="2198" spans="1:1" x14ac:dyDescent="0.25">
      <c r="A2198" s="18"/>
    </row>
    <row r="2199" spans="1:1" x14ac:dyDescent="0.25">
      <c r="A2199" s="18"/>
    </row>
    <row r="2200" spans="1:1" x14ac:dyDescent="0.25">
      <c r="A2200" s="18"/>
    </row>
    <row r="2201" spans="1:1" x14ac:dyDescent="0.25">
      <c r="A2201" s="18"/>
    </row>
    <row r="2202" spans="1:1" x14ac:dyDescent="0.25">
      <c r="A2202" s="18"/>
    </row>
    <row r="2203" spans="1:1" x14ac:dyDescent="0.25">
      <c r="A2203" s="18"/>
    </row>
    <row r="2204" spans="1:1" x14ac:dyDescent="0.25">
      <c r="A2204" s="18"/>
    </row>
    <row r="2205" spans="1:1" x14ac:dyDescent="0.25">
      <c r="A2205" s="18"/>
    </row>
    <row r="2206" spans="1:1" x14ac:dyDescent="0.25">
      <c r="A2206" s="18"/>
    </row>
    <row r="2207" spans="1:1" x14ac:dyDescent="0.25">
      <c r="A2207" s="18"/>
    </row>
    <row r="2208" spans="1:1" x14ac:dyDescent="0.25">
      <c r="A2208" s="18"/>
    </row>
    <row r="2209" spans="1:1" x14ac:dyDescent="0.25">
      <c r="A2209" s="18"/>
    </row>
    <row r="2210" spans="1:1" x14ac:dyDescent="0.25">
      <c r="A2210" s="18"/>
    </row>
    <row r="2211" spans="1:1" x14ac:dyDescent="0.25">
      <c r="A2211" s="18"/>
    </row>
    <row r="2212" spans="1:1" x14ac:dyDescent="0.25">
      <c r="A2212" s="18"/>
    </row>
    <row r="2213" spans="1:1" x14ac:dyDescent="0.25">
      <c r="A2213" s="18"/>
    </row>
    <row r="2214" spans="1:1" x14ac:dyDescent="0.25">
      <c r="A2214" s="18"/>
    </row>
    <row r="2215" spans="1:1" x14ac:dyDescent="0.25">
      <c r="A2215" s="18"/>
    </row>
    <row r="2216" spans="1:1" x14ac:dyDescent="0.25">
      <c r="A2216" s="18"/>
    </row>
    <row r="2217" spans="1:1" x14ac:dyDescent="0.25">
      <c r="A2217" s="18"/>
    </row>
    <row r="2218" spans="1:1" x14ac:dyDescent="0.25">
      <c r="A2218" s="18"/>
    </row>
    <row r="2219" spans="1:1" x14ac:dyDescent="0.25">
      <c r="A2219" s="18"/>
    </row>
    <row r="2220" spans="1:1" x14ac:dyDescent="0.25">
      <c r="A2220" s="18"/>
    </row>
    <row r="2221" spans="1:1" x14ac:dyDescent="0.25">
      <c r="A2221" s="18"/>
    </row>
    <row r="2222" spans="1:1" x14ac:dyDescent="0.25">
      <c r="A2222" s="18"/>
    </row>
    <row r="2223" spans="1:1" x14ac:dyDescent="0.25">
      <c r="A2223" s="18"/>
    </row>
    <row r="2224" spans="1:1" x14ac:dyDescent="0.25">
      <c r="A2224" s="18"/>
    </row>
    <row r="2225" spans="1:1" x14ac:dyDescent="0.25">
      <c r="A2225" s="18"/>
    </row>
    <row r="2226" spans="1:1" x14ac:dyDescent="0.25">
      <c r="A2226" s="18"/>
    </row>
    <row r="2227" spans="1:1" x14ac:dyDescent="0.25">
      <c r="A2227" s="18"/>
    </row>
    <row r="2228" spans="1:1" x14ac:dyDescent="0.25">
      <c r="A2228" s="18"/>
    </row>
    <row r="2229" spans="1:1" x14ac:dyDescent="0.25">
      <c r="A2229" s="18"/>
    </row>
    <row r="2230" spans="1:1" x14ac:dyDescent="0.25">
      <c r="A2230" s="18"/>
    </row>
    <row r="2231" spans="1:1" x14ac:dyDescent="0.25">
      <c r="A2231" s="18"/>
    </row>
    <row r="2232" spans="1:1" x14ac:dyDescent="0.25">
      <c r="A2232" s="18"/>
    </row>
    <row r="2233" spans="1:1" x14ac:dyDescent="0.25">
      <c r="A2233" s="18"/>
    </row>
    <row r="2234" spans="1:1" x14ac:dyDescent="0.25">
      <c r="A2234" s="18"/>
    </row>
    <row r="2235" spans="1:1" x14ac:dyDescent="0.25">
      <c r="A2235" s="18"/>
    </row>
    <row r="2236" spans="1:1" x14ac:dyDescent="0.25">
      <c r="A2236" s="18"/>
    </row>
    <row r="2237" spans="1:1" x14ac:dyDescent="0.25">
      <c r="A2237" s="18"/>
    </row>
    <row r="2238" spans="1:1" x14ac:dyDescent="0.25">
      <c r="A2238" s="18"/>
    </row>
    <row r="2239" spans="1:1" x14ac:dyDescent="0.25">
      <c r="A2239" s="18"/>
    </row>
    <row r="2240" spans="1:1" x14ac:dyDescent="0.25">
      <c r="A2240" s="18"/>
    </row>
    <row r="2241" spans="1:1" x14ac:dyDescent="0.25">
      <c r="A2241" s="18"/>
    </row>
    <row r="2242" spans="1:1" x14ac:dyDescent="0.25">
      <c r="A2242" s="18"/>
    </row>
    <row r="2243" spans="1:1" x14ac:dyDescent="0.25">
      <c r="A2243" s="18"/>
    </row>
    <row r="2244" spans="1:1" x14ac:dyDescent="0.25">
      <c r="A2244" s="18"/>
    </row>
    <row r="2245" spans="1:1" x14ac:dyDescent="0.25">
      <c r="A2245" s="18"/>
    </row>
    <row r="2246" spans="1:1" x14ac:dyDescent="0.25">
      <c r="A2246" s="18"/>
    </row>
    <row r="2247" spans="1:1" x14ac:dyDescent="0.25">
      <c r="A2247" s="18"/>
    </row>
    <row r="2248" spans="1:1" x14ac:dyDescent="0.25">
      <c r="A2248" s="18"/>
    </row>
    <row r="2249" spans="1:1" x14ac:dyDescent="0.25">
      <c r="A2249" s="18"/>
    </row>
    <row r="2250" spans="1:1" x14ac:dyDescent="0.25">
      <c r="A2250" s="18"/>
    </row>
    <row r="2251" spans="1:1" x14ac:dyDescent="0.25">
      <c r="A2251" s="18"/>
    </row>
    <row r="2252" spans="1:1" x14ac:dyDescent="0.25">
      <c r="A2252" s="18"/>
    </row>
    <row r="2253" spans="1:1" x14ac:dyDescent="0.25">
      <c r="A2253" s="18"/>
    </row>
    <row r="2254" spans="1:1" x14ac:dyDescent="0.25">
      <c r="A2254" s="18"/>
    </row>
    <row r="2255" spans="1:1" x14ac:dyDescent="0.25">
      <c r="A2255" s="18"/>
    </row>
    <row r="2256" spans="1:1" x14ac:dyDescent="0.25">
      <c r="A2256" s="18"/>
    </row>
    <row r="2257" spans="1:1" x14ac:dyDescent="0.25">
      <c r="A2257" s="18"/>
    </row>
    <row r="2258" spans="1:1" x14ac:dyDescent="0.25">
      <c r="A2258" s="18"/>
    </row>
    <row r="2259" spans="1:1" x14ac:dyDescent="0.25">
      <c r="A2259" s="18"/>
    </row>
    <row r="2260" spans="1:1" x14ac:dyDescent="0.25">
      <c r="A2260" s="18"/>
    </row>
    <row r="2261" spans="1:1" x14ac:dyDescent="0.25">
      <c r="A2261" s="18"/>
    </row>
    <row r="2262" spans="1:1" x14ac:dyDescent="0.25">
      <c r="A2262" s="18"/>
    </row>
    <row r="2263" spans="1:1" x14ac:dyDescent="0.25">
      <c r="A2263" s="18"/>
    </row>
    <row r="2264" spans="1:1" x14ac:dyDescent="0.25">
      <c r="A2264" s="18"/>
    </row>
    <row r="2265" spans="1:1" x14ac:dyDescent="0.25">
      <c r="A2265" s="18"/>
    </row>
    <row r="2266" spans="1:1" x14ac:dyDescent="0.25">
      <c r="A2266" s="18"/>
    </row>
    <row r="2267" spans="1:1" x14ac:dyDescent="0.25">
      <c r="A2267" s="18"/>
    </row>
    <row r="2268" spans="1:1" x14ac:dyDescent="0.25">
      <c r="A2268" s="18"/>
    </row>
    <row r="2269" spans="1:1" x14ac:dyDescent="0.25">
      <c r="A2269" s="18"/>
    </row>
    <row r="2270" spans="1:1" x14ac:dyDescent="0.25">
      <c r="A2270" s="18"/>
    </row>
    <row r="2271" spans="1:1" x14ac:dyDescent="0.25">
      <c r="A2271" s="18"/>
    </row>
    <row r="2272" spans="1:1" x14ac:dyDescent="0.25">
      <c r="A2272" s="18"/>
    </row>
    <row r="2273" spans="1:1" x14ac:dyDescent="0.25">
      <c r="A2273" s="18"/>
    </row>
    <row r="2274" spans="1:1" x14ac:dyDescent="0.25">
      <c r="A2274" s="18"/>
    </row>
    <row r="2275" spans="1:1" x14ac:dyDescent="0.25">
      <c r="A2275" s="18"/>
    </row>
    <row r="2276" spans="1:1" x14ac:dyDescent="0.25">
      <c r="A2276" s="18"/>
    </row>
    <row r="2277" spans="1:1" x14ac:dyDescent="0.25">
      <c r="A2277" s="18"/>
    </row>
    <row r="2278" spans="1:1" x14ac:dyDescent="0.25">
      <c r="A2278" s="18"/>
    </row>
    <row r="2279" spans="1:1" x14ac:dyDescent="0.25">
      <c r="A2279" s="18"/>
    </row>
    <row r="2280" spans="1:1" x14ac:dyDescent="0.25">
      <c r="A2280" s="18"/>
    </row>
    <row r="2281" spans="1:1" x14ac:dyDescent="0.25">
      <c r="A2281" s="18"/>
    </row>
    <row r="2282" spans="1:1" x14ac:dyDescent="0.25">
      <c r="A2282" s="18"/>
    </row>
    <row r="2283" spans="1:1" x14ac:dyDescent="0.25">
      <c r="A2283" s="18"/>
    </row>
    <row r="2284" spans="1:1" x14ac:dyDescent="0.25">
      <c r="A2284" s="18"/>
    </row>
    <row r="2285" spans="1:1" x14ac:dyDescent="0.25">
      <c r="A2285" s="18"/>
    </row>
    <row r="2286" spans="1:1" x14ac:dyDescent="0.25">
      <c r="A2286" s="18"/>
    </row>
    <row r="2287" spans="1:1" x14ac:dyDescent="0.25">
      <c r="A2287" s="18"/>
    </row>
    <row r="2288" spans="1:1" x14ac:dyDescent="0.25">
      <c r="A2288" s="18"/>
    </row>
    <row r="2289" spans="1:1" x14ac:dyDescent="0.25">
      <c r="A2289" s="18"/>
    </row>
    <row r="2290" spans="1:1" x14ac:dyDescent="0.25">
      <c r="A2290" s="18"/>
    </row>
    <row r="2291" spans="1:1" x14ac:dyDescent="0.25">
      <c r="A2291" s="18"/>
    </row>
    <row r="2292" spans="1:1" x14ac:dyDescent="0.25">
      <c r="A2292" s="18"/>
    </row>
    <row r="2293" spans="1:1" x14ac:dyDescent="0.25">
      <c r="A2293" s="18"/>
    </row>
    <row r="2294" spans="1:1" x14ac:dyDescent="0.25">
      <c r="A2294" s="18"/>
    </row>
    <row r="2295" spans="1:1" x14ac:dyDescent="0.25">
      <c r="A2295" s="18"/>
    </row>
    <row r="2296" spans="1:1" x14ac:dyDescent="0.25">
      <c r="A2296" s="18"/>
    </row>
    <row r="2297" spans="1:1" x14ac:dyDescent="0.25">
      <c r="A2297" s="18"/>
    </row>
    <row r="2298" spans="1:1" x14ac:dyDescent="0.25">
      <c r="A2298" s="18"/>
    </row>
    <row r="2299" spans="1:1" x14ac:dyDescent="0.25">
      <c r="A2299" s="18"/>
    </row>
    <row r="2300" spans="1:1" x14ac:dyDescent="0.25">
      <c r="A2300" s="18"/>
    </row>
    <row r="2301" spans="1:1" x14ac:dyDescent="0.25">
      <c r="A2301" s="18"/>
    </row>
    <row r="2302" spans="1:1" x14ac:dyDescent="0.25">
      <c r="A2302" s="18"/>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06C1-8792-409D-8D67-B3000151BEBF}">
  <sheetPr>
    <pageSetUpPr fitToPage="1"/>
  </sheetPr>
  <dimension ref="A1:AD1395"/>
  <sheetViews>
    <sheetView showGridLines="0" tabSelected="1" view="pageBreakPreview" zoomScale="85" zoomScaleNormal="100" zoomScaleSheetLayoutView="85" workbookViewId="0">
      <selection activeCell="B4" sqref="B4"/>
    </sheetView>
  </sheetViews>
  <sheetFormatPr defaultColWidth="0" defaultRowHeight="15" customHeight="1" zeroHeight="1" x14ac:dyDescent="0.25"/>
  <cols>
    <col min="1" max="1" width="1.7109375" customWidth="1"/>
    <col min="2" max="5" width="7.28515625" customWidth="1"/>
    <col min="6" max="6" width="8.85546875" bestFit="1" customWidth="1"/>
    <col min="7" max="8" width="10.7109375" customWidth="1"/>
    <col min="9" max="12" width="7.28515625" customWidth="1"/>
    <col min="13" max="13" width="8.85546875" bestFit="1" customWidth="1"/>
    <col min="14" max="15" width="10.7109375" customWidth="1"/>
    <col min="16" max="19" width="7.28515625" customWidth="1"/>
    <col min="20" max="20" width="8.85546875" bestFit="1" customWidth="1"/>
    <col min="21" max="22" width="10.7109375" customWidth="1"/>
    <col min="23" max="23" width="1.7109375" customWidth="1"/>
    <col min="24" max="30" width="0" hidden="1" customWidth="1"/>
    <col min="31" max="16384" width="9.140625" hidden="1"/>
  </cols>
  <sheetData>
    <row r="1" spans="2:22" ht="30" customHeight="1" x14ac:dyDescent="0.25">
      <c r="B1" s="22" t="str">
        <f>'PROJETO PERFURAÇÃO'!$C$2&amp;" - "&amp;'PROJETO PERFURAÇÃO'!$H$2</f>
        <v>LIB065 - PP0651026</v>
      </c>
      <c r="C1" s="22"/>
      <c r="D1" s="22"/>
      <c r="E1" s="22"/>
      <c r="F1" s="22"/>
      <c r="G1" s="22"/>
      <c r="H1" s="22"/>
      <c r="I1" s="11" t="s">
        <v>34</v>
      </c>
      <c r="J1" s="10" t="s">
        <v>37</v>
      </c>
    </row>
    <row r="2" spans="2:22" ht="30" customHeight="1" x14ac:dyDescent="0.25">
      <c r="B2" s="22"/>
      <c r="C2" s="22"/>
      <c r="D2" s="22"/>
      <c r="E2" s="22"/>
      <c r="F2" s="22"/>
      <c r="G2" s="22"/>
      <c r="H2" s="22"/>
      <c r="I2" s="12" t="s">
        <v>35</v>
      </c>
      <c r="J2" s="10" t="s">
        <v>38</v>
      </c>
      <c r="K2" s="9"/>
      <c r="L2" s="9"/>
      <c r="M2" s="9"/>
      <c r="N2" s="9"/>
      <c r="O2" s="9"/>
      <c r="P2" s="9"/>
      <c r="Q2" s="9"/>
      <c r="R2" s="9"/>
      <c r="S2" s="9"/>
      <c r="T2" s="9"/>
      <c r="U2" s="9"/>
      <c r="V2" s="9"/>
    </row>
    <row r="3" spans="2:22" ht="30" customHeight="1" x14ac:dyDescent="0.25">
      <c r="B3" s="22"/>
      <c r="C3" s="22"/>
      <c r="D3" s="22"/>
      <c r="E3" s="22"/>
      <c r="F3" s="22"/>
      <c r="G3" s="22"/>
      <c r="H3" s="22"/>
      <c r="I3" s="13" t="s">
        <v>36</v>
      </c>
      <c r="J3" s="10" t="s">
        <v>39</v>
      </c>
    </row>
    <row r="4" spans="2:22" s="1" customFormat="1" ht="30" customHeight="1" x14ac:dyDescent="0.25">
      <c r="B4" s="6" t="s">
        <v>33</v>
      </c>
      <c r="C4" s="6" t="s">
        <v>13</v>
      </c>
      <c r="D4" s="7" t="s">
        <v>1</v>
      </c>
      <c r="E4" s="7" t="s">
        <v>29</v>
      </c>
      <c r="F4" s="7" t="s">
        <v>30</v>
      </c>
      <c r="G4" s="7" t="s">
        <v>31</v>
      </c>
      <c r="H4" s="7" t="s">
        <v>32</v>
      </c>
      <c r="I4" s="6" t="s">
        <v>33</v>
      </c>
      <c r="J4" s="6" t="s">
        <v>13</v>
      </c>
      <c r="K4" s="7" t="s">
        <v>1</v>
      </c>
      <c r="L4" s="7" t="s">
        <v>29</v>
      </c>
      <c r="M4" s="7" t="s">
        <v>30</v>
      </c>
      <c r="N4" s="7" t="s">
        <v>31</v>
      </c>
      <c r="O4" s="7" t="s">
        <v>32</v>
      </c>
      <c r="P4" s="6" t="s">
        <v>33</v>
      </c>
      <c r="Q4" s="6" t="s">
        <v>13</v>
      </c>
      <c r="R4" s="7" t="s">
        <v>1</v>
      </c>
      <c r="S4" s="7" t="s">
        <v>29</v>
      </c>
      <c r="T4" s="7" t="s">
        <v>30</v>
      </c>
      <c r="U4" s="7" t="s">
        <v>31</v>
      </c>
      <c r="V4" s="7" t="s">
        <v>32</v>
      </c>
    </row>
    <row r="5" spans="2:22" ht="45" customHeight="1" x14ac:dyDescent="0.25">
      <c r="B5" s="3" t="str">
        <f>IFERROR(ROUND(INDEX('PROJETO PERFURAÇÃO'!$AB:$AB,MATCH(MEDIÇÃO!D5,'PROJETO PERFURAÇÃO'!$B:$B,0)),1)&amp;"''","")</f>
        <v>5''</v>
      </c>
      <c r="C5" s="3" t="str">
        <f>IFERROR(IF(INDEX('PROJETO PERFURAÇÃO'!$P:$P,MATCH(MEDIÇÃO!D5,'PROJETO PERFURAÇÃO'!$B:$B,0))="Production","P",IF(INDEX('PROJETO PERFURAÇÃO'!$P:$P,MATCH(MEDIÇÃO!D5,'PROJETO PERFURAÇÃO'!$B:$B,0))="Buffer","B",IF(INDEX('PROJETO PERFURAÇÃO'!$P:$P,MATCH(MEDIÇÃO!D5,'PROJETO PERFURAÇÃO'!$B:$B,0))="Pre-Splitting","S"))),"")</f>
        <v>S</v>
      </c>
      <c r="D5" s="5">
        <v>1</v>
      </c>
      <c r="E5" s="4" t="str">
        <f>IFERROR(INDEX('LEV R&amp;D'!$D:$D,MATCH(MEDIÇÃO!D5,'LEV R&amp;D'!$A:$A,0))-INDEX('PROJETO PERFURAÇÃO'!$AH:$AH,MATCH(MEDIÇÃO!D5,'PROJETO PERFURAÇÃO'!$B:$B,0)),"")</f>
        <v/>
      </c>
      <c r="F5" s="17">
        <f>IFERROR(INDEX('PROJETO PERFURAÇÃO'!$AN:$AN,MATCH(MEDIÇÃO!D5,'PROJETO PERFURAÇÃO'!$B:$B,0)),"")</f>
        <v>15.56</v>
      </c>
      <c r="G5" s="3"/>
      <c r="H5" s="3"/>
      <c r="I5" s="3" t="str">
        <f>IFERROR(ROUND(INDEX('PROJETO PERFURAÇÃO'!$AB:$AB,MATCH(MEDIÇÃO!K5,'PROJETO PERFURAÇÃO'!$B:$B,0)),1)&amp;"''","")</f>
        <v>5''</v>
      </c>
      <c r="J5" s="3" t="str">
        <f>IFERROR(IF(INDEX('PROJETO PERFURAÇÃO'!$P:$P,MATCH(MEDIÇÃO!K5,'PROJETO PERFURAÇÃO'!$B:$B,0))="Production","P",IF(INDEX('PROJETO PERFURAÇÃO'!$P:$P,MATCH(MEDIÇÃO!K5,'PROJETO PERFURAÇÃO'!$B:$B,0))="Buffer","B",IF(INDEX('PROJETO PERFURAÇÃO'!$P:$P,MATCH(MEDIÇÃO!K5,'PROJETO PERFURAÇÃO'!$B:$B,0))="Pre-Splitting","S"))),"")</f>
        <v>S</v>
      </c>
      <c r="K5" s="5">
        <f>D27+1</f>
        <v>24</v>
      </c>
      <c r="L5" s="4" t="str">
        <f>IFERROR(INDEX('LEV R&amp;D'!$D:$D,MATCH(MEDIÇÃO!K5,'LEV R&amp;D'!$A:$A,0))-INDEX('PROJETO PERFURAÇÃO'!$AH:$AH,MATCH(MEDIÇÃO!K5,'PROJETO PERFURAÇÃO'!$B:$B,0)),"")</f>
        <v/>
      </c>
      <c r="M5" s="17">
        <f>IFERROR(INDEX('PROJETO PERFURAÇÃO'!$AN:$AN,MATCH(MEDIÇÃO!K5,'PROJETO PERFURAÇÃO'!$B:$B,0)),"")</f>
        <v>13.47</v>
      </c>
      <c r="N5" s="3"/>
      <c r="O5" s="3"/>
      <c r="P5" s="3" t="str">
        <f>IFERROR(ROUND(INDEX('PROJETO PERFURAÇÃO'!$AB:$AB,MATCH(MEDIÇÃO!R5,'PROJETO PERFURAÇÃO'!$B:$B,0)),1)&amp;"''","")</f>
        <v>5''</v>
      </c>
      <c r="Q5" s="3" t="str">
        <f>IFERROR(IF(INDEX('PROJETO PERFURAÇÃO'!$P:$P,MATCH(MEDIÇÃO!R5,'PROJETO PERFURAÇÃO'!$B:$B,0))="Production","P",IF(INDEX('PROJETO PERFURAÇÃO'!$P:$P,MATCH(MEDIÇÃO!R5,'PROJETO PERFURAÇÃO'!$B:$B,0))="Buffer","B",IF(INDEX('PROJETO PERFURAÇÃO'!$P:$P,MATCH(MEDIÇÃO!R5,'PROJETO PERFURAÇÃO'!$B:$B,0))="Pre-Splitting","S"))),"")</f>
        <v>S</v>
      </c>
      <c r="R5" s="5">
        <f>K27+1</f>
        <v>47</v>
      </c>
      <c r="S5" s="4" t="str">
        <f>IFERROR(INDEX('LEV R&amp;D'!$D:$D,MATCH(MEDIÇÃO!R5,'LEV R&amp;D'!$A:$A,0))-INDEX('PROJETO PERFURAÇÃO'!$AH:$AH,MATCH(MEDIÇÃO!R5,'PROJETO PERFURAÇÃO'!$B:$B,0)),"")</f>
        <v/>
      </c>
      <c r="T5" s="17">
        <f>IFERROR(INDEX('PROJETO PERFURAÇÃO'!$AN:$AN,MATCH(MEDIÇÃO!R5,'PROJETO PERFURAÇÃO'!$B:$B,0)),"")</f>
        <v>14.94</v>
      </c>
      <c r="U5" s="3"/>
      <c r="V5" s="3"/>
    </row>
    <row r="6" spans="2:22" ht="45" customHeight="1" x14ac:dyDescent="0.25">
      <c r="B6" s="3" t="str">
        <f>IFERROR(ROUND(INDEX('PROJETO PERFURAÇÃO'!$AB:$AB,MATCH(MEDIÇÃO!D6,'PROJETO PERFURAÇÃO'!$B:$B,0)),1)&amp;"''","")</f>
        <v>5''</v>
      </c>
      <c r="C6" s="3" t="str">
        <f>IFERROR(IF(INDEX('PROJETO PERFURAÇÃO'!$P:$P,MATCH(MEDIÇÃO!D6,'PROJETO PERFURAÇÃO'!$B:$B,0))="Production","P",IF(INDEX('PROJETO PERFURAÇÃO'!$P:$P,MATCH(MEDIÇÃO!D6,'PROJETO PERFURAÇÃO'!$B:$B,0))="Buffer","B",IF(INDEX('PROJETO PERFURAÇÃO'!$P:$P,MATCH(MEDIÇÃO!D6,'PROJETO PERFURAÇÃO'!$B:$B,0))="Pre-Splitting","S"))),"")</f>
        <v>S</v>
      </c>
      <c r="D6" s="5">
        <f>D5+1</f>
        <v>2</v>
      </c>
      <c r="E6" s="4" t="str">
        <f>IFERROR(INDEX('LEV R&amp;D'!$D:$D,MATCH(MEDIÇÃO!D6,'LEV R&amp;D'!$A:$A,0))-INDEX('PROJETO PERFURAÇÃO'!$AH:$AH,MATCH(MEDIÇÃO!D6,'PROJETO PERFURAÇÃO'!$B:$B,0)),"")</f>
        <v/>
      </c>
      <c r="F6" s="17">
        <f>IFERROR(INDEX('PROJETO PERFURAÇÃO'!$AN:$AN,MATCH(MEDIÇÃO!D6,'PROJETO PERFURAÇÃO'!$B:$B,0)),"")</f>
        <v>15.65</v>
      </c>
      <c r="G6" s="3"/>
      <c r="H6" s="3"/>
      <c r="I6" s="3" t="str">
        <f>IFERROR(ROUND(INDEX('PROJETO PERFURAÇÃO'!$AB:$AB,MATCH(MEDIÇÃO!K6,'PROJETO PERFURAÇÃO'!$B:$B,0)),1)&amp;"''","")</f>
        <v>5''</v>
      </c>
      <c r="J6" s="3" t="str">
        <f>IFERROR(IF(INDEX('PROJETO PERFURAÇÃO'!$P:$P,MATCH(MEDIÇÃO!K6,'PROJETO PERFURAÇÃO'!$B:$B,0))="Production","P",IF(INDEX('PROJETO PERFURAÇÃO'!$P:$P,MATCH(MEDIÇÃO!K6,'PROJETO PERFURAÇÃO'!$B:$B,0))="Buffer","B",IF(INDEX('PROJETO PERFURAÇÃO'!$P:$P,MATCH(MEDIÇÃO!K6,'PROJETO PERFURAÇÃO'!$B:$B,0))="Pre-Splitting","S"))),"")</f>
        <v>S</v>
      </c>
      <c r="K6" s="5">
        <f>K5+1</f>
        <v>25</v>
      </c>
      <c r="L6" s="4" t="str">
        <f>IFERROR(INDEX('LEV R&amp;D'!$D:$D,MATCH(MEDIÇÃO!K6,'LEV R&amp;D'!$A:$A,0))-INDEX('PROJETO PERFURAÇÃO'!$AH:$AH,MATCH(MEDIÇÃO!K6,'PROJETO PERFURAÇÃO'!$B:$B,0)),"")</f>
        <v/>
      </c>
      <c r="M6" s="17">
        <f>IFERROR(INDEX('PROJETO PERFURAÇÃO'!$AN:$AN,MATCH(MEDIÇÃO!K6,'PROJETO PERFURAÇÃO'!$B:$B,0)),"")</f>
        <v>13.44</v>
      </c>
      <c r="N6" s="3"/>
      <c r="O6" s="3"/>
      <c r="P6" s="3" t="str">
        <f>IFERROR(ROUND(INDEX('PROJETO PERFURAÇÃO'!$AB:$AB,MATCH(MEDIÇÃO!R6,'PROJETO PERFURAÇÃO'!$B:$B,0)),1)&amp;"''","")</f>
        <v>5''</v>
      </c>
      <c r="Q6" s="3" t="str">
        <f>IFERROR(IF(INDEX('PROJETO PERFURAÇÃO'!$P:$P,MATCH(MEDIÇÃO!R6,'PROJETO PERFURAÇÃO'!$B:$B,0))="Production","P",IF(INDEX('PROJETO PERFURAÇÃO'!$P:$P,MATCH(MEDIÇÃO!R6,'PROJETO PERFURAÇÃO'!$B:$B,0))="Buffer","B",IF(INDEX('PROJETO PERFURAÇÃO'!$P:$P,MATCH(MEDIÇÃO!R6,'PROJETO PERFURAÇÃO'!$B:$B,0))="Pre-Splitting","S"))),"")</f>
        <v>S</v>
      </c>
      <c r="R6" s="5">
        <f>R5+1</f>
        <v>48</v>
      </c>
      <c r="S6" s="4" t="str">
        <f>IFERROR(INDEX('LEV R&amp;D'!$D:$D,MATCH(MEDIÇÃO!R6,'LEV R&amp;D'!$A:$A,0))-INDEX('PROJETO PERFURAÇÃO'!$AH:$AH,MATCH(MEDIÇÃO!R6,'PROJETO PERFURAÇÃO'!$B:$B,0)),"")</f>
        <v/>
      </c>
      <c r="T6" s="17">
        <f>IFERROR(INDEX('PROJETO PERFURAÇÃO'!$AN:$AN,MATCH(MEDIÇÃO!R6,'PROJETO PERFURAÇÃO'!$B:$B,0)),"")</f>
        <v>14.82</v>
      </c>
      <c r="U6" s="3"/>
      <c r="V6" s="3"/>
    </row>
    <row r="7" spans="2:22" ht="45" customHeight="1" x14ac:dyDescent="0.25">
      <c r="B7" s="3" t="str">
        <f>IFERROR(ROUND(INDEX('PROJETO PERFURAÇÃO'!$AB:$AB,MATCH(MEDIÇÃO!D7,'PROJETO PERFURAÇÃO'!$B:$B,0)),1)&amp;"''","")</f>
        <v>5''</v>
      </c>
      <c r="C7" s="3" t="str">
        <f>IFERROR(IF(INDEX('PROJETO PERFURAÇÃO'!$P:$P,MATCH(MEDIÇÃO!D7,'PROJETO PERFURAÇÃO'!$B:$B,0))="Production","P",IF(INDEX('PROJETO PERFURAÇÃO'!$P:$P,MATCH(MEDIÇÃO!D7,'PROJETO PERFURAÇÃO'!$B:$B,0))="Buffer","B",IF(INDEX('PROJETO PERFURAÇÃO'!$P:$P,MATCH(MEDIÇÃO!D7,'PROJETO PERFURAÇÃO'!$B:$B,0))="Pre-Splitting","S"))),"")</f>
        <v>S</v>
      </c>
      <c r="D7" s="5">
        <f t="shared" ref="D7:D27" si="0">D6+1</f>
        <v>3</v>
      </c>
      <c r="E7" s="4" t="str">
        <f>IFERROR(INDEX('LEV R&amp;D'!$D:$D,MATCH(MEDIÇÃO!D7,'LEV R&amp;D'!$A:$A,0))-INDEX('PROJETO PERFURAÇÃO'!$AH:$AH,MATCH(MEDIÇÃO!D7,'PROJETO PERFURAÇÃO'!$B:$B,0)),"")</f>
        <v/>
      </c>
      <c r="F7" s="17">
        <f>IFERROR(INDEX('PROJETO PERFURAÇÃO'!$AN:$AN,MATCH(MEDIÇÃO!D7,'PROJETO PERFURAÇÃO'!$B:$B,0)),"")</f>
        <v>15.66</v>
      </c>
      <c r="G7" s="3"/>
      <c r="H7" s="3"/>
      <c r="I7" s="3" t="str">
        <f>IFERROR(ROUND(INDEX('PROJETO PERFURAÇÃO'!$AB:$AB,MATCH(MEDIÇÃO!K7,'PROJETO PERFURAÇÃO'!$B:$B,0)),1)&amp;"''","")</f>
        <v>5''</v>
      </c>
      <c r="J7" s="3" t="str">
        <f>IFERROR(IF(INDEX('PROJETO PERFURAÇÃO'!$P:$P,MATCH(MEDIÇÃO!K7,'PROJETO PERFURAÇÃO'!$B:$B,0))="Production","P",IF(INDEX('PROJETO PERFURAÇÃO'!$P:$P,MATCH(MEDIÇÃO!K7,'PROJETO PERFURAÇÃO'!$B:$B,0))="Buffer","B",IF(INDEX('PROJETO PERFURAÇÃO'!$P:$P,MATCH(MEDIÇÃO!K7,'PROJETO PERFURAÇÃO'!$B:$B,0))="Pre-Splitting","S"))),"")</f>
        <v>S</v>
      </c>
      <c r="K7" s="5">
        <f t="shared" ref="K7:K27" si="1">K6+1</f>
        <v>26</v>
      </c>
      <c r="L7" s="4" t="str">
        <f>IFERROR(INDEX('LEV R&amp;D'!$D:$D,MATCH(MEDIÇÃO!K7,'LEV R&amp;D'!$A:$A,0))-INDEX('PROJETO PERFURAÇÃO'!$AH:$AH,MATCH(MEDIÇÃO!K7,'PROJETO PERFURAÇÃO'!$B:$B,0)),"")</f>
        <v/>
      </c>
      <c r="M7" s="17">
        <f>IFERROR(INDEX('PROJETO PERFURAÇÃO'!$AN:$AN,MATCH(MEDIÇÃO!K7,'PROJETO PERFURAÇÃO'!$B:$B,0)),"")</f>
        <v>13.47</v>
      </c>
      <c r="N7" s="3"/>
      <c r="O7" s="3"/>
      <c r="P7" s="3" t="str">
        <f>IFERROR(ROUND(INDEX('PROJETO PERFURAÇÃO'!$AB:$AB,MATCH(MEDIÇÃO!R7,'PROJETO PERFURAÇÃO'!$B:$B,0)),1)&amp;"''","")</f>
        <v>5''</v>
      </c>
      <c r="Q7" s="3" t="str">
        <f>IFERROR(IF(INDEX('PROJETO PERFURAÇÃO'!$P:$P,MATCH(MEDIÇÃO!R7,'PROJETO PERFURAÇÃO'!$B:$B,0))="Production","P",IF(INDEX('PROJETO PERFURAÇÃO'!$P:$P,MATCH(MEDIÇÃO!R7,'PROJETO PERFURAÇÃO'!$B:$B,0))="Buffer","B",IF(INDEX('PROJETO PERFURAÇÃO'!$P:$P,MATCH(MEDIÇÃO!R7,'PROJETO PERFURAÇÃO'!$B:$B,0))="Pre-Splitting","S"))),"")</f>
        <v>S</v>
      </c>
      <c r="R7" s="5">
        <f t="shared" ref="R7:R27" si="2">R6+1</f>
        <v>49</v>
      </c>
      <c r="S7" s="4" t="str">
        <f>IFERROR(INDEX('LEV R&amp;D'!$D:$D,MATCH(MEDIÇÃO!R7,'LEV R&amp;D'!$A:$A,0))-INDEX('PROJETO PERFURAÇÃO'!$AH:$AH,MATCH(MEDIÇÃO!R7,'PROJETO PERFURAÇÃO'!$B:$B,0)),"")</f>
        <v/>
      </c>
      <c r="T7" s="17">
        <f>IFERROR(INDEX('PROJETO PERFURAÇÃO'!$AN:$AN,MATCH(MEDIÇÃO!R7,'PROJETO PERFURAÇÃO'!$B:$B,0)),"")</f>
        <v>14.72</v>
      </c>
      <c r="U7" s="3"/>
      <c r="V7" s="3"/>
    </row>
    <row r="8" spans="2:22" ht="45" customHeight="1" x14ac:dyDescent="0.25">
      <c r="B8" s="3" t="str">
        <f>IFERROR(ROUND(INDEX('PROJETO PERFURAÇÃO'!$AB:$AB,MATCH(MEDIÇÃO!D8,'PROJETO PERFURAÇÃO'!$B:$B,0)),1)&amp;"''","")</f>
        <v>5''</v>
      </c>
      <c r="C8" s="3" t="str">
        <f>IFERROR(IF(INDEX('PROJETO PERFURAÇÃO'!$P:$P,MATCH(MEDIÇÃO!D8,'PROJETO PERFURAÇÃO'!$B:$B,0))="Production","P",IF(INDEX('PROJETO PERFURAÇÃO'!$P:$P,MATCH(MEDIÇÃO!D8,'PROJETO PERFURAÇÃO'!$B:$B,0))="Buffer","B",IF(INDEX('PROJETO PERFURAÇÃO'!$P:$P,MATCH(MEDIÇÃO!D8,'PROJETO PERFURAÇÃO'!$B:$B,0))="Pre-Splitting","S"))),"")</f>
        <v>S</v>
      </c>
      <c r="D8" s="5">
        <f t="shared" si="0"/>
        <v>4</v>
      </c>
      <c r="E8" s="4" t="str">
        <f>IFERROR(INDEX('LEV R&amp;D'!$D:$D,MATCH(MEDIÇÃO!D8,'LEV R&amp;D'!$A:$A,0))-INDEX('PROJETO PERFURAÇÃO'!$AH:$AH,MATCH(MEDIÇÃO!D8,'PROJETO PERFURAÇÃO'!$B:$B,0)),"")</f>
        <v/>
      </c>
      <c r="F8" s="17">
        <f>IFERROR(INDEX('PROJETO PERFURAÇÃO'!$AN:$AN,MATCH(MEDIÇÃO!D8,'PROJETO PERFURAÇÃO'!$B:$B,0)),"")</f>
        <v>15.6</v>
      </c>
      <c r="G8" s="3"/>
      <c r="H8" s="3"/>
      <c r="I8" s="3" t="str">
        <f>IFERROR(ROUND(INDEX('PROJETO PERFURAÇÃO'!$AB:$AB,MATCH(MEDIÇÃO!K8,'PROJETO PERFURAÇÃO'!$B:$B,0)),1)&amp;"''","")</f>
        <v>5''</v>
      </c>
      <c r="J8" s="3" t="str">
        <f>IFERROR(IF(INDEX('PROJETO PERFURAÇÃO'!$P:$P,MATCH(MEDIÇÃO!K8,'PROJETO PERFURAÇÃO'!$B:$B,0))="Production","P",IF(INDEX('PROJETO PERFURAÇÃO'!$P:$P,MATCH(MEDIÇÃO!K8,'PROJETO PERFURAÇÃO'!$B:$B,0))="Buffer","B",IF(INDEX('PROJETO PERFURAÇÃO'!$P:$P,MATCH(MEDIÇÃO!K8,'PROJETO PERFURAÇÃO'!$B:$B,0))="Pre-Splitting","S"))),"")</f>
        <v>S</v>
      </c>
      <c r="K8" s="5">
        <f t="shared" si="1"/>
        <v>27</v>
      </c>
      <c r="L8" s="4" t="str">
        <f>IFERROR(INDEX('LEV R&amp;D'!$D:$D,MATCH(MEDIÇÃO!K8,'LEV R&amp;D'!$A:$A,0))-INDEX('PROJETO PERFURAÇÃO'!$AH:$AH,MATCH(MEDIÇÃO!K8,'PROJETO PERFURAÇÃO'!$B:$B,0)),"")</f>
        <v/>
      </c>
      <c r="M8" s="17">
        <f>IFERROR(INDEX('PROJETO PERFURAÇÃO'!$AN:$AN,MATCH(MEDIÇÃO!K8,'PROJETO PERFURAÇÃO'!$B:$B,0)),"")</f>
        <v>13.35</v>
      </c>
      <c r="N8" s="3"/>
      <c r="O8" s="3"/>
      <c r="P8" s="3" t="str">
        <f>IFERROR(ROUND(INDEX('PROJETO PERFURAÇÃO'!$AB:$AB,MATCH(MEDIÇÃO!R8,'PROJETO PERFURAÇÃO'!$B:$B,0)),1)&amp;"''","")</f>
        <v>5''</v>
      </c>
      <c r="Q8" s="3" t="str">
        <f>IFERROR(IF(INDEX('PROJETO PERFURAÇÃO'!$P:$P,MATCH(MEDIÇÃO!R8,'PROJETO PERFURAÇÃO'!$B:$B,0))="Production","P",IF(INDEX('PROJETO PERFURAÇÃO'!$P:$P,MATCH(MEDIÇÃO!R8,'PROJETO PERFURAÇÃO'!$B:$B,0))="Buffer","B",IF(INDEX('PROJETO PERFURAÇÃO'!$P:$P,MATCH(MEDIÇÃO!R8,'PROJETO PERFURAÇÃO'!$B:$B,0))="Pre-Splitting","S"))),"")</f>
        <v>S</v>
      </c>
      <c r="R8" s="5">
        <f t="shared" si="2"/>
        <v>50</v>
      </c>
      <c r="S8" s="4" t="str">
        <f>IFERROR(INDEX('LEV R&amp;D'!$D:$D,MATCH(MEDIÇÃO!R8,'LEV R&amp;D'!$A:$A,0))-INDEX('PROJETO PERFURAÇÃO'!$AH:$AH,MATCH(MEDIÇÃO!R8,'PROJETO PERFURAÇÃO'!$B:$B,0)),"")</f>
        <v/>
      </c>
      <c r="T8" s="17">
        <f>IFERROR(INDEX('PROJETO PERFURAÇÃO'!$AN:$AN,MATCH(MEDIÇÃO!R8,'PROJETO PERFURAÇÃO'!$B:$B,0)),"")</f>
        <v>14.61</v>
      </c>
      <c r="U8" s="3"/>
      <c r="V8" s="3"/>
    </row>
    <row r="9" spans="2:22" ht="45" customHeight="1" x14ac:dyDescent="0.25">
      <c r="B9" s="3" t="str">
        <f>IFERROR(ROUND(INDEX('PROJETO PERFURAÇÃO'!$AB:$AB,MATCH(MEDIÇÃO!D9,'PROJETO PERFURAÇÃO'!$B:$B,0)),1)&amp;"''","")</f>
        <v>5''</v>
      </c>
      <c r="C9" s="3" t="str">
        <f>IFERROR(IF(INDEX('PROJETO PERFURAÇÃO'!$P:$P,MATCH(MEDIÇÃO!D9,'PROJETO PERFURAÇÃO'!$B:$B,0))="Production","P",IF(INDEX('PROJETO PERFURAÇÃO'!$P:$P,MATCH(MEDIÇÃO!D9,'PROJETO PERFURAÇÃO'!$B:$B,0))="Buffer","B",IF(INDEX('PROJETO PERFURAÇÃO'!$P:$P,MATCH(MEDIÇÃO!D9,'PROJETO PERFURAÇÃO'!$B:$B,0))="Pre-Splitting","S"))),"")</f>
        <v>S</v>
      </c>
      <c r="D9" s="5">
        <f t="shared" si="0"/>
        <v>5</v>
      </c>
      <c r="E9" s="4" t="str">
        <f>IFERROR(INDEX('LEV R&amp;D'!$D:$D,MATCH(MEDIÇÃO!D9,'LEV R&amp;D'!$A:$A,0))-INDEX('PROJETO PERFURAÇÃO'!$AH:$AH,MATCH(MEDIÇÃO!D9,'PROJETO PERFURAÇÃO'!$B:$B,0)),"")</f>
        <v/>
      </c>
      <c r="F9" s="17">
        <f>IFERROR(INDEX('PROJETO PERFURAÇÃO'!$AN:$AN,MATCH(MEDIÇÃO!D9,'PROJETO PERFURAÇÃO'!$B:$B,0)),"")</f>
        <v>15.63</v>
      </c>
      <c r="G9" s="3"/>
      <c r="H9" s="3"/>
      <c r="I9" s="3" t="str">
        <f>IFERROR(ROUND(INDEX('PROJETO PERFURAÇÃO'!$AB:$AB,MATCH(MEDIÇÃO!K9,'PROJETO PERFURAÇÃO'!$B:$B,0)),1)&amp;"''","")</f>
        <v>5''</v>
      </c>
      <c r="J9" s="3" t="str">
        <f>IFERROR(IF(INDEX('PROJETO PERFURAÇÃO'!$P:$P,MATCH(MEDIÇÃO!K9,'PROJETO PERFURAÇÃO'!$B:$B,0))="Production","P",IF(INDEX('PROJETO PERFURAÇÃO'!$P:$P,MATCH(MEDIÇÃO!K9,'PROJETO PERFURAÇÃO'!$B:$B,0))="Buffer","B",IF(INDEX('PROJETO PERFURAÇÃO'!$P:$P,MATCH(MEDIÇÃO!K9,'PROJETO PERFURAÇÃO'!$B:$B,0))="Pre-Splitting","S"))),"")</f>
        <v>S</v>
      </c>
      <c r="K9" s="5">
        <f t="shared" si="1"/>
        <v>28</v>
      </c>
      <c r="L9" s="4" t="str">
        <f>IFERROR(INDEX('LEV R&amp;D'!$D:$D,MATCH(MEDIÇÃO!K9,'LEV R&amp;D'!$A:$A,0))-INDEX('PROJETO PERFURAÇÃO'!$AH:$AH,MATCH(MEDIÇÃO!K9,'PROJETO PERFURAÇÃO'!$B:$B,0)),"")</f>
        <v/>
      </c>
      <c r="M9" s="17">
        <f>IFERROR(INDEX('PROJETO PERFURAÇÃO'!$AN:$AN,MATCH(MEDIÇÃO!K9,'PROJETO PERFURAÇÃO'!$B:$B,0)),"")</f>
        <v>13.35</v>
      </c>
      <c r="N9" s="3"/>
      <c r="O9" s="3"/>
      <c r="P9" s="3" t="str">
        <f>IFERROR(ROUND(INDEX('PROJETO PERFURAÇÃO'!$AB:$AB,MATCH(MEDIÇÃO!R9,'PROJETO PERFURAÇÃO'!$B:$B,0)),1)&amp;"''","")</f>
        <v>5''</v>
      </c>
      <c r="Q9" s="3" t="str">
        <f>IFERROR(IF(INDEX('PROJETO PERFURAÇÃO'!$P:$P,MATCH(MEDIÇÃO!R9,'PROJETO PERFURAÇÃO'!$B:$B,0))="Production","P",IF(INDEX('PROJETO PERFURAÇÃO'!$P:$P,MATCH(MEDIÇÃO!R9,'PROJETO PERFURAÇÃO'!$B:$B,0))="Buffer","B",IF(INDEX('PROJETO PERFURAÇÃO'!$P:$P,MATCH(MEDIÇÃO!R9,'PROJETO PERFURAÇÃO'!$B:$B,0))="Pre-Splitting","S"))),"")</f>
        <v>S</v>
      </c>
      <c r="R9" s="5">
        <f t="shared" si="2"/>
        <v>51</v>
      </c>
      <c r="S9" s="4" t="str">
        <f>IFERROR(INDEX('LEV R&amp;D'!$D:$D,MATCH(MEDIÇÃO!R9,'LEV R&amp;D'!$A:$A,0))-INDEX('PROJETO PERFURAÇÃO'!$AH:$AH,MATCH(MEDIÇÃO!R9,'PROJETO PERFURAÇÃO'!$B:$B,0)),"")</f>
        <v/>
      </c>
      <c r="T9" s="17">
        <f>IFERROR(INDEX('PROJETO PERFURAÇÃO'!$AN:$AN,MATCH(MEDIÇÃO!R9,'PROJETO PERFURAÇÃO'!$B:$B,0)),"")</f>
        <v>14.38</v>
      </c>
      <c r="U9" s="3"/>
      <c r="V9" s="3"/>
    </row>
    <row r="10" spans="2:22" ht="45" customHeight="1" x14ac:dyDescent="0.25">
      <c r="B10" s="3" t="str">
        <f>IFERROR(ROUND(INDEX('PROJETO PERFURAÇÃO'!$AB:$AB,MATCH(MEDIÇÃO!D10,'PROJETO PERFURAÇÃO'!$B:$B,0)),1)&amp;"''","")</f>
        <v>5''</v>
      </c>
      <c r="C10" s="3" t="str">
        <f>IFERROR(IF(INDEX('PROJETO PERFURAÇÃO'!$P:$P,MATCH(MEDIÇÃO!D10,'PROJETO PERFURAÇÃO'!$B:$B,0))="Production","P",IF(INDEX('PROJETO PERFURAÇÃO'!$P:$P,MATCH(MEDIÇÃO!D10,'PROJETO PERFURAÇÃO'!$B:$B,0))="Buffer","B",IF(INDEX('PROJETO PERFURAÇÃO'!$P:$P,MATCH(MEDIÇÃO!D10,'PROJETO PERFURAÇÃO'!$B:$B,0))="Pre-Splitting","S"))),"")</f>
        <v>S</v>
      </c>
      <c r="D10" s="5">
        <f t="shared" si="0"/>
        <v>6</v>
      </c>
      <c r="E10" s="4" t="str">
        <f>IFERROR(INDEX('LEV R&amp;D'!$D:$D,MATCH(MEDIÇÃO!D10,'LEV R&amp;D'!$A:$A,0))-INDEX('PROJETO PERFURAÇÃO'!$AH:$AH,MATCH(MEDIÇÃO!D10,'PROJETO PERFURAÇÃO'!$B:$B,0)),"")</f>
        <v/>
      </c>
      <c r="F10" s="17">
        <f>IFERROR(INDEX('PROJETO PERFURAÇÃO'!$AN:$AN,MATCH(MEDIÇÃO!D10,'PROJETO PERFURAÇÃO'!$B:$B,0)),"")</f>
        <v>15.64</v>
      </c>
      <c r="G10" s="3"/>
      <c r="H10" s="3"/>
      <c r="I10" s="3" t="str">
        <f>IFERROR(ROUND(INDEX('PROJETO PERFURAÇÃO'!$AB:$AB,MATCH(MEDIÇÃO!K10,'PROJETO PERFURAÇÃO'!$B:$B,0)),1)&amp;"''","")</f>
        <v>5''</v>
      </c>
      <c r="J10" s="3" t="str">
        <f>IFERROR(IF(INDEX('PROJETO PERFURAÇÃO'!$P:$P,MATCH(MEDIÇÃO!K10,'PROJETO PERFURAÇÃO'!$B:$B,0))="Production","P",IF(INDEX('PROJETO PERFURAÇÃO'!$P:$P,MATCH(MEDIÇÃO!K10,'PROJETO PERFURAÇÃO'!$B:$B,0))="Buffer","B",IF(INDEX('PROJETO PERFURAÇÃO'!$P:$P,MATCH(MEDIÇÃO!K10,'PROJETO PERFURAÇÃO'!$B:$B,0))="Pre-Splitting","S"))),"")</f>
        <v>S</v>
      </c>
      <c r="K10" s="5">
        <f t="shared" si="1"/>
        <v>29</v>
      </c>
      <c r="L10" s="4" t="str">
        <f>IFERROR(INDEX('LEV R&amp;D'!$D:$D,MATCH(MEDIÇÃO!K10,'LEV R&amp;D'!$A:$A,0))-INDEX('PROJETO PERFURAÇÃO'!$AH:$AH,MATCH(MEDIÇÃO!K10,'PROJETO PERFURAÇÃO'!$B:$B,0)),"")</f>
        <v/>
      </c>
      <c r="M10" s="17">
        <f>IFERROR(INDEX('PROJETO PERFURAÇÃO'!$AN:$AN,MATCH(MEDIÇÃO!K10,'PROJETO PERFURAÇÃO'!$B:$B,0)),"")</f>
        <v>13.17</v>
      </c>
      <c r="N10" s="3"/>
      <c r="O10" s="3"/>
      <c r="P10" s="3" t="str">
        <f>IFERROR(ROUND(INDEX('PROJETO PERFURAÇÃO'!$AB:$AB,MATCH(MEDIÇÃO!R10,'PROJETO PERFURAÇÃO'!$B:$B,0)),1)&amp;"''","")</f>
        <v>5''</v>
      </c>
      <c r="Q10" s="3" t="str">
        <f>IFERROR(IF(INDEX('PROJETO PERFURAÇÃO'!$P:$P,MATCH(MEDIÇÃO!R10,'PROJETO PERFURAÇÃO'!$B:$B,0))="Production","P",IF(INDEX('PROJETO PERFURAÇÃO'!$P:$P,MATCH(MEDIÇÃO!R10,'PROJETO PERFURAÇÃO'!$B:$B,0))="Buffer","B",IF(INDEX('PROJETO PERFURAÇÃO'!$P:$P,MATCH(MEDIÇÃO!R10,'PROJETO PERFURAÇÃO'!$B:$B,0))="Pre-Splitting","S"))),"")</f>
        <v>S</v>
      </c>
      <c r="R10" s="5">
        <f t="shared" si="2"/>
        <v>52</v>
      </c>
      <c r="S10" s="4" t="str">
        <f>IFERROR(INDEX('LEV R&amp;D'!$D:$D,MATCH(MEDIÇÃO!R10,'LEV R&amp;D'!$A:$A,0))-INDEX('PROJETO PERFURAÇÃO'!$AH:$AH,MATCH(MEDIÇÃO!R10,'PROJETO PERFURAÇÃO'!$B:$B,0)),"")</f>
        <v/>
      </c>
      <c r="T10" s="17">
        <f>IFERROR(INDEX('PROJETO PERFURAÇÃO'!$AN:$AN,MATCH(MEDIÇÃO!R10,'PROJETO PERFURAÇÃO'!$B:$B,0)),"")</f>
        <v>14.52</v>
      </c>
      <c r="U10" s="3"/>
      <c r="V10" s="3"/>
    </row>
    <row r="11" spans="2:22" ht="45" customHeight="1" x14ac:dyDescent="0.25">
      <c r="B11" s="3" t="str">
        <f>IFERROR(ROUND(INDEX('PROJETO PERFURAÇÃO'!$AB:$AB,MATCH(MEDIÇÃO!D11,'PROJETO PERFURAÇÃO'!$B:$B,0)),1)&amp;"''","")</f>
        <v>5''</v>
      </c>
      <c r="C11" s="3" t="str">
        <f>IFERROR(IF(INDEX('PROJETO PERFURAÇÃO'!$P:$P,MATCH(MEDIÇÃO!D11,'PROJETO PERFURAÇÃO'!$B:$B,0))="Production","P",IF(INDEX('PROJETO PERFURAÇÃO'!$P:$P,MATCH(MEDIÇÃO!D11,'PROJETO PERFURAÇÃO'!$B:$B,0))="Buffer","B",IF(INDEX('PROJETO PERFURAÇÃO'!$P:$P,MATCH(MEDIÇÃO!D11,'PROJETO PERFURAÇÃO'!$B:$B,0))="Pre-Splitting","S"))),"")</f>
        <v>S</v>
      </c>
      <c r="D11" s="5">
        <f t="shared" si="0"/>
        <v>7</v>
      </c>
      <c r="E11" s="4" t="str">
        <f>IFERROR(INDEX('LEV R&amp;D'!$D:$D,MATCH(MEDIÇÃO!D11,'LEV R&amp;D'!$A:$A,0))-INDEX('PROJETO PERFURAÇÃO'!$AH:$AH,MATCH(MEDIÇÃO!D11,'PROJETO PERFURAÇÃO'!$B:$B,0)),"")</f>
        <v/>
      </c>
      <c r="F11" s="17">
        <f>IFERROR(INDEX('PROJETO PERFURAÇÃO'!$AN:$AN,MATCH(MEDIÇÃO!D11,'PROJETO PERFURAÇÃO'!$B:$B,0)),"")</f>
        <v>15.73</v>
      </c>
      <c r="G11" s="3"/>
      <c r="H11" s="3"/>
      <c r="I11" s="3" t="str">
        <f>IFERROR(ROUND(INDEX('PROJETO PERFURAÇÃO'!$AB:$AB,MATCH(MEDIÇÃO!K11,'PROJETO PERFURAÇÃO'!$B:$B,0)),1)&amp;"''","")</f>
        <v>5''</v>
      </c>
      <c r="J11" s="3" t="str">
        <f>IFERROR(IF(INDEX('PROJETO PERFURAÇÃO'!$P:$P,MATCH(MEDIÇÃO!K11,'PROJETO PERFURAÇÃO'!$B:$B,0))="Production","P",IF(INDEX('PROJETO PERFURAÇÃO'!$P:$P,MATCH(MEDIÇÃO!K11,'PROJETO PERFURAÇÃO'!$B:$B,0))="Buffer","B",IF(INDEX('PROJETO PERFURAÇÃO'!$P:$P,MATCH(MEDIÇÃO!K11,'PROJETO PERFURAÇÃO'!$B:$B,0))="Pre-Splitting","S"))),"")</f>
        <v>S</v>
      </c>
      <c r="K11" s="5">
        <f t="shared" si="1"/>
        <v>30</v>
      </c>
      <c r="L11" s="4" t="str">
        <f>IFERROR(INDEX('LEV R&amp;D'!$D:$D,MATCH(MEDIÇÃO!K11,'LEV R&amp;D'!$A:$A,0))-INDEX('PROJETO PERFURAÇÃO'!$AH:$AH,MATCH(MEDIÇÃO!K11,'PROJETO PERFURAÇÃO'!$B:$B,0)),"")</f>
        <v/>
      </c>
      <c r="M11" s="17">
        <f>IFERROR(INDEX('PROJETO PERFURAÇÃO'!$AN:$AN,MATCH(MEDIÇÃO!K11,'PROJETO PERFURAÇÃO'!$B:$B,0)),"")</f>
        <v>13.11</v>
      </c>
      <c r="N11" s="3"/>
      <c r="O11" s="3"/>
      <c r="P11" s="3" t="str">
        <f>IFERROR(ROUND(INDEX('PROJETO PERFURAÇÃO'!$AB:$AB,MATCH(MEDIÇÃO!R11,'PROJETO PERFURAÇÃO'!$B:$B,0)),1)&amp;"''","")</f>
        <v>5''</v>
      </c>
      <c r="Q11" s="3" t="str">
        <f>IFERROR(IF(INDEX('PROJETO PERFURAÇÃO'!$P:$P,MATCH(MEDIÇÃO!R11,'PROJETO PERFURAÇÃO'!$B:$B,0))="Production","P",IF(INDEX('PROJETO PERFURAÇÃO'!$P:$P,MATCH(MEDIÇÃO!R11,'PROJETO PERFURAÇÃO'!$B:$B,0))="Buffer","B",IF(INDEX('PROJETO PERFURAÇÃO'!$P:$P,MATCH(MEDIÇÃO!R11,'PROJETO PERFURAÇÃO'!$B:$B,0))="Pre-Splitting","S"))),"")</f>
        <v>S</v>
      </c>
      <c r="R11" s="5">
        <f t="shared" si="2"/>
        <v>53</v>
      </c>
      <c r="S11" s="4" t="str">
        <f>IFERROR(INDEX('LEV R&amp;D'!$D:$D,MATCH(MEDIÇÃO!R11,'LEV R&amp;D'!$A:$A,0))-INDEX('PROJETO PERFURAÇÃO'!$AH:$AH,MATCH(MEDIÇÃO!R11,'PROJETO PERFURAÇÃO'!$B:$B,0)),"")</f>
        <v/>
      </c>
      <c r="T11" s="17">
        <f>IFERROR(INDEX('PROJETO PERFURAÇÃO'!$AN:$AN,MATCH(MEDIÇÃO!R11,'PROJETO PERFURAÇÃO'!$B:$B,0)),"")</f>
        <v>14.77</v>
      </c>
      <c r="U11" s="3"/>
      <c r="V11" s="3"/>
    </row>
    <row r="12" spans="2:22" ht="45" customHeight="1" x14ac:dyDescent="0.25">
      <c r="B12" s="3" t="str">
        <f>IFERROR(ROUND(INDEX('PROJETO PERFURAÇÃO'!$AB:$AB,MATCH(MEDIÇÃO!D12,'PROJETO PERFURAÇÃO'!$B:$B,0)),1)&amp;"''","")</f>
        <v>5''</v>
      </c>
      <c r="C12" s="3" t="str">
        <f>IFERROR(IF(INDEX('PROJETO PERFURAÇÃO'!$P:$P,MATCH(MEDIÇÃO!D12,'PROJETO PERFURAÇÃO'!$B:$B,0))="Production","P",IF(INDEX('PROJETO PERFURAÇÃO'!$P:$P,MATCH(MEDIÇÃO!D12,'PROJETO PERFURAÇÃO'!$B:$B,0))="Buffer","B",IF(INDEX('PROJETO PERFURAÇÃO'!$P:$P,MATCH(MEDIÇÃO!D12,'PROJETO PERFURAÇÃO'!$B:$B,0))="Pre-Splitting","S"))),"")</f>
        <v>S</v>
      </c>
      <c r="D12" s="5">
        <f t="shared" si="0"/>
        <v>8</v>
      </c>
      <c r="E12" s="4" t="str">
        <f>IFERROR(INDEX('LEV R&amp;D'!$D:$D,MATCH(MEDIÇÃO!D12,'LEV R&amp;D'!$A:$A,0))-INDEX('PROJETO PERFURAÇÃO'!$AH:$AH,MATCH(MEDIÇÃO!D12,'PROJETO PERFURAÇÃO'!$B:$B,0)),"")</f>
        <v/>
      </c>
      <c r="F12" s="17">
        <f>IFERROR(INDEX('PROJETO PERFURAÇÃO'!$AN:$AN,MATCH(MEDIÇÃO!D12,'PROJETO PERFURAÇÃO'!$B:$B,0)),"")</f>
        <v>15.65</v>
      </c>
      <c r="G12" s="3"/>
      <c r="H12" s="3"/>
      <c r="I12" s="3" t="str">
        <f>IFERROR(ROUND(INDEX('PROJETO PERFURAÇÃO'!$AB:$AB,MATCH(MEDIÇÃO!K12,'PROJETO PERFURAÇÃO'!$B:$B,0)),1)&amp;"''","")</f>
        <v>5''</v>
      </c>
      <c r="J12" s="3" t="str">
        <f>IFERROR(IF(INDEX('PROJETO PERFURAÇÃO'!$P:$P,MATCH(MEDIÇÃO!K12,'PROJETO PERFURAÇÃO'!$B:$B,0))="Production","P",IF(INDEX('PROJETO PERFURAÇÃO'!$P:$P,MATCH(MEDIÇÃO!K12,'PROJETO PERFURAÇÃO'!$B:$B,0))="Buffer","B",IF(INDEX('PROJETO PERFURAÇÃO'!$P:$P,MATCH(MEDIÇÃO!K12,'PROJETO PERFURAÇÃO'!$B:$B,0))="Pre-Splitting","S"))),"")</f>
        <v>S</v>
      </c>
      <c r="K12" s="5">
        <f t="shared" si="1"/>
        <v>31</v>
      </c>
      <c r="L12" s="4" t="str">
        <f>IFERROR(INDEX('LEV R&amp;D'!$D:$D,MATCH(MEDIÇÃO!K12,'LEV R&amp;D'!$A:$A,0))-INDEX('PROJETO PERFURAÇÃO'!$AH:$AH,MATCH(MEDIÇÃO!K12,'PROJETO PERFURAÇÃO'!$B:$B,0)),"")</f>
        <v/>
      </c>
      <c r="M12" s="17">
        <f>IFERROR(INDEX('PROJETO PERFURAÇÃO'!$AN:$AN,MATCH(MEDIÇÃO!K12,'PROJETO PERFURAÇÃO'!$B:$B,0)),"")</f>
        <v>13.4</v>
      </c>
      <c r="N12" s="3"/>
      <c r="O12" s="3"/>
      <c r="P12" s="3" t="str">
        <f>IFERROR(ROUND(INDEX('PROJETO PERFURAÇÃO'!$AB:$AB,MATCH(MEDIÇÃO!R12,'PROJETO PERFURAÇÃO'!$B:$B,0)),1)&amp;"''","")</f>
        <v>5''</v>
      </c>
      <c r="Q12" s="3" t="str">
        <f>IFERROR(IF(INDEX('PROJETO PERFURAÇÃO'!$P:$P,MATCH(MEDIÇÃO!R12,'PROJETO PERFURAÇÃO'!$B:$B,0))="Production","P",IF(INDEX('PROJETO PERFURAÇÃO'!$P:$P,MATCH(MEDIÇÃO!R12,'PROJETO PERFURAÇÃO'!$B:$B,0))="Buffer","B",IF(INDEX('PROJETO PERFURAÇÃO'!$P:$P,MATCH(MEDIÇÃO!R12,'PROJETO PERFURAÇÃO'!$B:$B,0))="Pre-Splitting","S"))),"")</f>
        <v>S</v>
      </c>
      <c r="R12" s="5">
        <f t="shared" si="2"/>
        <v>54</v>
      </c>
      <c r="S12" s="4" t="str">
        <f>IFERROR(INDEX('LEV R&amp;D'!$D:$D,MATCH(MEDIÇÃO!R12,'LEV R&amp;D'!$A:$A,0))-INDEX('PROJETO PERFURAÇÃO'!$AH:$AH,MATCH(MEDIÇÃO!R12,'PROJETO PERFURAÇÃO'!$B:$B,0)),"")</f>
        <v/>
      </c>
      <c r="T12" s="17">
        <f>IFERROR(INDEX('PROJETO PERFURAÇÃO'!$AN:$AN,MATCH(MEDIÇÃO!R12,'PROJETO PERFURAÇÃO'!$B:$B,0)),"")</f>
        <v>14.75</v>
      </c>
      <c r="U12" s="3"/>
      <c r="V12" s="3"/>
    </row>
    <row r="13" spans="2:22" ht="45" customHeight="1" x14ac:dyDescent="0.25">
      <c r="B13" s="3" t="str">
        <f>IFERROR(ROUND(INDEX('PROJETO PERFURAÇÃO'!$AB:$AB,MATCH(MEDIÇÃO!D13,'PROJETO PERFURAÇÃO'!$B:$B,0)),1)&amp;"''","")</f>
        <v>5''</v>
      </c>
      <c r="C13" s="3" t="str">
        <f>IFERROR(IF(INDEX('PROJETO PERFURAÇÃO'!$P:$P,MATCH(MEDIÇÃO!D13,'PROJETO PERFURAÇÃO'!$B:$B,0))="Production","P",IF(INDEX('PROJETO PERFURAÇÃO'!$P:$P,MATCH(MEDIÇÃO!D13,'PROJETO PERFURAÇÃO'!$B:$B,0))="Buffer","B",IF(INDEX('PROJETO PERFURAÇÃO'!$P:$P,MATCH(MEDIÇÃO!D13,'PROJETO PERFURAÇÃO'!$B:$B,0))="Pre-Splitting","S"))),"")</f>
        <v>S</v>
      </c>
      <c r="D13" s="5">
        <f t="shared" si="0"/>
        <v>9</v>
      </c>
      <c r="E13" s="4" t="str">
        <f>IFERROR(INDEX('LEV R&amp;D'!$D:$D,MATCH(MEDIÇÃO!D13,'LEV R&amp;D'!$A:$A,0))-INDEX('PROJETO PERFURAÇÃO'!$AH:$AH,MATCH(MEDIÇÃO!D13,'PROJETO PERFURAÇÃO'!$B:$B,0)),"")</f>
        <v/>
      </c>
      <c r="F13" s="17">
        <f>IFERROR(INDEX('PROJETO PERFURAÇÃO'!$AN:$AN,MATCH(MEDIÇÃO!D13,'PROJETO PERFURAÇÃO'!$B:$B,0)),"")</f>
        <v>15.4</v>
      </c>
      <c r="G13" s="3"/>
      <c r="H13" s="3"/>
      <c r="I13" s="3" t="str">
        <f>IFERROR(ROUND(INDEX('PROJETO PERFURAÇÃO'!$AB:$AB,MATCH(MEDIÇÃO!K13,'PROJETO PERFURAÇÃO'!$B:$B,0)),1)&amp;"''","")</f>
        <v>5''</v>
      </c>
      <c r="J13" s="3" t="str">
        <f>IFERROR(IF(INDEX('PROJETO PERFURAÇÃO'!$P:$P,MATCH(MEDIÇÃO!K13,'PROJETO PERFURAÇÃO'!$B:$B,0))="Production","P",IF(INDEX('PROJETO PERFURAÇÃO'!$P:$P,MATCH(MEDIÇÃO!K13,'PROJETO PERFURAÇÃO'!$B:$B,0))="Buffer","B",IF(INDEX('PROJETO PERFURAÇÃO'!$P:$P,MATCH(MEDIÇÃO!K13,'PROJETO PERFURAÇÃO'!$B:$B,0))="Pre-Splitting","S"))),"")</f>
        <v>S</v>
      </c>
      <c r="K13" s="5">
        <f t="shared" si="1"/>
        <v>32</v>
      </c>
      <c r="L13" s="4" t="str">
        <f>IFERROR(INDEX('LEV R&amp;D'!$D:$D,MATCH(MEDIÇÃO!K13,'LEV R&amp;D'!$A:$A,0))-INDEX('PROJETO PERFURAÇÃO'!$AH:$AH,MATCH(MEDIÇÃO!K13,'PROJETO PERFURAÇÃO'!$B:$B,0)),"")</f>
        <v/>
      </c>
      <c r="M13" s="17">
        <f>IFERROR(INDEX('PROJETO PERFURAÇÃO'!$AN:$AN,MATCH(MEDIÇÃO!K13,'PROJETO PERFURAÇÃO'!$B:$B,0)),"")</f>
        <v>13.72</v>
      </c>
      <c r="N13" s="3"/>
      <c r="O13" s="3"/>
      <c r="P13" s="3" t="str">
        <f>IFERROR(ROUND(INDEX('PROJETO PERFURAÇÃO'!$AB:$AB,MATCH(MEDIÇÃO!R13,'PROJETO PERFURAÇÃO'!$B:$B,0)),1)&amp;"''","")</f>
        <v>5''</v>
      </c>
      <c r="Q13" s="3" t="str">
        <f>IFERROR(IF(INDEX('PROJETO PERFURAÇÃO'!$P:$P,MATCH(MEDIÇÃO!R13,'PROJETO PERFURAÇÃO'!$B:$B,0))="Production","P",IF(INDEX('PROJETO PERFURAÇÃO'!$P:$P,MATCH(MEDIÇÃO!R13,'PROJETO PERFURAÇÃO'!$B:$B,0))="Buffer","B",IF(INDEX('PROJETO PERFURAÇÃO'!$P:$P,MATCH(MEDIÇÃO!R13,'PROJETO PERFURAÇÃO'!$B:$B,0))="Pre-Splitting","S"))),"")</f>
        <v>S</v>
      </c>
      <c r="R13" s="5">
        <f t="shared" si="2"/>
        <v>55</v>
      </c>
      <c r="S13" s="4" t="str">
        <f>IFERROR(INDEX('LEV R&amp;D'!$D:$D,MATCH(MEDIÇÃO!R13,'LEV R&amp;D'!$A:$A,0))-INDEX('PROJETO PERFURAÇÃO'!$AH:$AH,MATCH(MEDIÇÃO!R13,'PROJETO PERFURAÇÃO'!$B:$B,0)),"")</f>
        <v/>
      </c>
      <c r="T13" s="17">
        <f>IFERROR(INDEX('PROJETO PERFURAÇÃO'!$AN:$AN,MATCH(MEDIÇÃO!R13,'PROJETO PERFURAÇÃO'!$B:$B,0)),"")</f>
        <v>14.69</v>
      </c>
      <c r="U13" s="3"/>
      <c r="V13" s="3"/>
    </row>
    <row r="14" spans="2:22" ht="45" customHeight="1" x14ac:dyDescent="0.25">
      <c r="B14" s="3" t="str">
        <f>IFERROR(ROUND(INDEX('PROJETO PERFURAÇÃO'!$AB:$AB,MATCH(MEDIÇÃO!D14,'PROJETO PERFURAÇÃO'!$B:$B,0)),1)&amp;"''","")</f>
        <v>5''</v>
      </c>
      <c r="C14" s="3" t="str">
        <f>IFERROR(IF(INDEX('PROJETO PERFURAÇÃO'!$P:$P,MATCH(MEDIÇÃO!D14,'PROJETO PERFURAÇÃO'!$B:$B,0))="Production","P",IF(INDEX('PROJETO PERFURAÇÃO'!$P:$P,MATCH(MEDIÇÃO!D14,'PROJETO PERFURAÇÃO'!$B:$B,0))="Buffer","B",IF(INDEX('PROJETO PERFURAÇÃO'!$P:$P,MATCH(MEDIÇÃO!D14,'PROJETO PERFURAÇÃO'!$B:$B,0))="Pre-Splitting","S"))),"")</f>
        <v>S</v>
      </c>
      <c r="D14" s="5">
        <f t="shared" si="0"/>
        <v>10</v>
      </c>
      <c r="E14" s="4" t="str">
        <f>IFERROR(INDEX('LEV R&amp;D'!$D:$D,MATCH(MEDIÇÃO!D14,'LEV R&amp;D'!$A:$A,0))-INDEX('PROJETO PERFURAÇÃO'!$AH:$AH,MATCH(MEDIÇÃO!D14,'PROJETO PERFURAÇÃO'!$B:$B,0)),"")</f>
        <v/>
      </c>
      <c r="F14" s="17">
        <f>IFERROR(INDEX('PROJETO PERFURAÇÃO'!$AN:$AN,MATCH(MEDIÇÃO!D14,'PROJETO PERFURAÇÃO'!$B:$B,0)),"")</f>
        <v>15.06</v>
      </c>
      <c r="G14" s="3"/>
      <c r="H14" s="3"/>
      <c r="I14" s="3" t="str">
        <f>IFERROR(ROUND(INDEX('PROJETO PERFURAÇÃO'!$AB:$AB,MATCH(MEDIÇÃO!K14,'PROJETO PERFURAÇÃO'!$B:$B,0)),1)&amp;"''","")</f>
        <v>5''</v>
      </c>
      <c r="J14" s="3" t="str">
        <f>IFERROR(IF(INDEX('PROJETO PERFURAÇÃO'!$P:$P,MATCH(MEDIÇÃO!K14,'PROJETO PERFURAÇÃO'!$B:$B,0))="Production","P",IF(INDEX('PROJETO PERFURAÇÃO'!$P:$P,MATCH(MEDIÇÃO!K14,'PROJETO PERFURAÇÃO'!$B:$B,0))="Buffer","B",IF(INDEX('PROJETO PERFURAÇÃO'!$P:$P,MATCH(MEDIÇÃO!K14,'PROJETO PERFURAÇÃO'!$B:$B,0))="Pre-Splitting","S"))),"")</f>
        <v>S</v>
      </c>
      <c r="K14" s="5">
        <f t="shared" si="1"/>
        <v>33</v>
      </c>
      <c r="L14" s="4" t="str">
        <f>IFERROR(INDEX('LEV R&amp;D'!$D:$D,MATCH(MEDIÇÃO!K14,'LEV R&amp;D'!$A:$A,0))-INDEX('PROJETO PERFURAÇÃO'!$AH:$AH,MATCH(MEDIÇÃO!K14,'PROJETO PERFURAÇÃO'!$B:$B,0)),"")</f>
        <v/>
      </c>
      <c r="M14" s="17">
        <f>IFERROR(INDEX('PROJETO PERFURAÇÃO'!$AN:$AN,MATCH(MEDIÇÃO!K14,'PROJETO PERFURAÇÃO'!$B:$B,0)),"")</f>
        <v>13.95</v>
      </c>
      <c r="N14" s="3"/>
      <c r="O14" s="3"/>
      <c r="P14" s="3" t="str">
        <f>IFERROR(ROUND(INDEX('PROJETO PERFURAÇÃO'!$AB:$AB,MATCH(MEDIÇÃO!R14,'PROJETO PERFURAÇÃO'!$B:$B,0)),1)&amp;"''","")</f>
        <v>5''</v>
      </c>
      <c r="Q14" s="3" t="str">
        <f>IFERROR(IF(INDEX('PROJETO PERFURAÇÃO'!$P:$P,MATCH(MEDIÇÃO!R14,'PROJETO PERFURAÇÃO'!$B:$B,0))="Production","P",IF(INDEX('PROJETO PERFURAÇÃO'!$P:$P,MATCH(MEDIÇÃO!R14,'PROJETO PERFURAÇÃO'!$B:$B,0))="Buffer","B",IF(INDEX('PROJETO PERFURAÇÃO'!$P:$P,MATCH(MEDIÇÃO!R14,'PROJETO PERFURAÇÃO'!$B:$B,0))="Pre-Splitting","S"))),"")</f>
        <v>S</v>
      </c>
      <c r="R14" s="5">
        <f t="shared" si="2"/>
        <v>56</v>
      </c>
      <c r="S14" s="4" t="str">
        <f>IFERROR(INDEX('LEV R&amp;D'!$D:$D,MATCH(MEDIÇÃO!R14,'LEV R&amp;D'!$A:$A,0))-INDEX('PROJETO PERFURAÇÃO'!$AH:$AH,MATCH(MEDIÇÃO!R14,'PROJETO PERFURAÇÃO'!$B:$B,0)),"")</f>
        <v/>
      </c>
      <c r="T14" s="17">
        <f>IFERROR(INDEX('PROJETO PERFURAÇÃO'!$AN:$AN,MATCH(MEDIÇÃO!R14,'PROJETO PERFURAÇÃO'!$B:$B,0)),"")</f>
        <v>14.56</v>
      </c>
      <c r="U14" s="3"/>
      <c r="V14" s="3"/>
    </row>
    <row r="15" spans="2:22" ht="45" customHeight="1" x14ac:dyDescent="0.25">
      <c r="B15" s="3" t="str">
        <f>IFERROR(ROUND(INDEX('PROJETO PERFURAÇÃO'!$AB:$AB,MATCH(MEDIÇÃO!D15,'PROJETO PERFURAÇÃO'!$B:$B,0)),1)&amp;"''","")</f>
        <v>5''</v>
      </c>
      <c r="C15" s="3" t="str">
        <f>IFERROR(IF(INDEX('PROJETO PERFURAÇÃO'!$P:$P,MATCH(MEDIÇÃO!D15,'PROJETO PERFURAÇÃO'!$B:$B,0))="Production","P",IF(INDEX('PROJETO PERFURAÇÃO'!$P:$P,MATCH(MEDIÇÃO!D15,'PROJETO PERFURAÇÃO'!$B:$B,0))="Buffer","B",IF(INDEX('PROJETO PERFURAÇÃO'!$P:$P,MATCH(MEDIÇÃO!D15,'PROJETO PERFURAÇÃO'!$B:$B,0))="Pre-Splitting","S"))),"")</f>
        <v>S</v>
      </c>
      <c r="D15" s="5">
        <f t="shared" si="0"/>
        <v>11</v>
      </c>
      <c r="E15" s="4" t="str">
        <f>IFERROR(INDEX('LEV R&amp;D'!$D:$D,MATCH(MEDIÇÃO!D15,'LEV R&amp;D'!$A:$A,0))-INDEX('PROJETO PERFURAÇÃO'!$AH:$AH,MATCH(MEDIÇÃO!D15,'PROJETO PERFURAÇÃO'!$B:$B,0)),"")</f>
        <v/>
      </c>
      <c r="F15" s="17">
        <f>IFERROR(INDEX('PROJETO PERFURAÇÃO'!$AN:$AN,MATCH(MEDIÇÃO!D15,'PROJETO PERFURAÇÃO'!$B:$B,0)),"")</f>
        <v>14.77</v>
      </c>
      <c r="G15" s="3"/>
      <c r="H15" s="3"/>
      <c r="I15" s="3" t="str">
        <f>IFERROR(ROUND(INDEX('PROJETO PERFURAÇÃO'!$AB:$AB,MATCH(MEDIÇÃO!K15,'PROJETO PERFURAÇÃO'!$B:$B,0)),1)&amp;"''","")</f>
        <v>5''</v>
      </c>
      <c r="J15" s="3" t="str">
        <f>IFERROR(IF(INDEX('PROJETO PERFURAÇÃO'!$P:$P,MATCH(MEDIÇÃO!K15,'PROJETO PERFURAÇÃO'!$B:$B,0))="Production","P",IF(INDEX('PROJETO PERFURAÇÃO'!$P:$P,MATCH(MEDIÇÃO!K15,'PROJETO PERFURAÇÃO'!$B:$B,0))="Buffer","B",IF(INDEX('PROJETO PERFURAÇÃO'!$P:$P,MATCH(MEDIÇÃO!K15,'PROJETO PERFURAÇÃO'!$B:$B,0))="Pre-Splitting","S"))),"")</f>
        <v>S</v>
      </c>
      <c r="K15" s="5">
        <f t="shared" si="1"/>
        <v>34</v>
      </c>
      <c r="L15" s="4" t="str">
        <f>IFERROR(INDEX('LEV R&amp;D'!$D:$D,MATCH(MEDIÇÃO!K15,'LEV R&amp;D'!$A:$A,0))-INDEX('PROJETO PERFURAÇÃO'!$AH:$AH,MATCH(MEDIÇÃO!K15,'PROJETO PERFURAÇÃO'!$B:$B,0)),"")</f>
        <v/>
      </c>
      <c r="M15" s="17">
        <f>IFERROR(INDEX('PROJETO PERFURAÇÃO'!$AN:$AN,MATCH(MEDIÇÃO!K15,'PROJETO PERFURAÇÃO'!$B:$B,0)),"")</f>
        <v>13.96</v>
      </c>
      <c r="N15" s="3"/>
      <c r="O15" s="3"/>
      <c r="P15" s="3" t="str">
        <f>IFERROR(ROUND(INDEX('PROJETO PERFURAÇÃO'!$AB:$AB,MATCH(MEDIÇÃO!R15,'PROJETO PERFURAÇÃO'!$B:$B,0)),1)&amp;"''","")</f>
        <v>5''</v>
      </c>
      <c r="Q15" s="3" t="str">
        <f>IFERROR(IF(INDEX('PROJETO PERFURAÇÃO'!$P:$P,MATCH(MEDIÇÃO!R15,'PROJETO PERFURAÇÃO'!$B:$B,0))="Production","P",IF(INDEX('PROJETO PERFURAÇÃO'!$P:$P,MATCH(MEDIÇÃO!R15,'PROJETO PERFURAÇÃO'!$B:$B,0))="Buffer","B",IF(INDEX('PROJETO PERFURAÇÃO'!$P:$P,MATCH(MEDIÇÃO!R15,'PROJETO PERFURAÇÃO'!$B:$B,0))="Pre-Splitting","S"))),"")</f>
        <v>S</v>
      </c>
      <c r="R15" s="5">
        <f t="shared" si="2"/>
        <v>57</v>
      </c>
      <c r="S15" s="4" t="str">
        <f>IFERROR(INDEX('LEV R&amp;D'!$D:$D,MATCH(MEDIÇÃO!R15,'LEV R&amp;D'!$A:$A,0))-INDEX('PROJETO PERFURAÇÃO'!$AH:$AH,MATCH(MEDIÇÃO!R15,'PROJETO PERFURAÇÃO'!$B:$B,0)),"")</f>
        <v/>
      </c>
      <c r="T15" s="17">
        <f>IFERROR(INDEX('PROJETO PERFURAÇÃO'!$AN:$AN,MATCH(MEDIÇÃO!R15,'PROJETO PERFURAÇÃO'!$B:$B,0)),"")</f>
        <v>14.61</v>
      </c>
      <c r="U15" s="3"/>
      <c r="V15" s="3"/>
    </row>
    <row r="16" spans="2:22" ht="45" customHeight="1" x14ac:dyDescent="0.25">
      <c r="B16" s="3" t="str">
        <f>IFERROR(ROUND(INDEX('PROJETO PERFURAÇÃO'!$AB:$AB,MATCH(MEDIÇÃO!D16,'PROJETO PERFURAÇÃO'!$B:$B,0)),1)&amp;"''","")</f>
        <v>5''</v>
      </c>
      <c r="C16" s="3" t="str">
        <f>IFERROR(IF(INDEX('PROJETO PERFURAÇÃO'!$P:$P,MATCH(MEDIÇÃO!D16,'PROJETO PERFURAÇÃO'!$B:$B,0))="Production","P",IF(INDEX('PROJETO PERFURAÇÃO'!$P:$P,MATCH(MEDIÇÃO!D16,'PROJETO PERFURAÇÃO'!$B:$B,0))="Buffer","B",IF(INDEX('PROJETO PERFURAÇÃO'!$P:$P,MATCH(MEDIÇÃO!D16,'PROJETO PERFURAÇÃO'!$B:$B,0))="Pre-Splitting","S"))),"")</f>
        <v>S</v>
      </c>
      <c r="D16" s="5">
        <f t="shared" si="0"/>
        <v>12</v>
      </c>
      <c r="E16" s="4" t="str">
        <f>IFERROR(INDEX('LEV R&amp;D'!$D:$D,MATCH(MEDIÇÃO!D16,'LEV R&amp;D'!$A:$A,0))-INDEX('PROJETO PERFURAÇÃO'!$AH:$AH,MATCH(MEDIÇÃO!D16,'PROJETO PERFURAÇÃO'!$B:$B,0)),"")</f>
        <v/>
      </c>
      <c r="F16" s="17">
        <f>IFERROR(INDEX('PROJETO PERFURAÇÃO'!$AN:$AN,MATCH(MEDIÇÃO!D16,'PROJETO PERFURAÇÃO'!$B:$B,0)),"")</f>
        <v>14.78</v>
      </c>
      <c r="G16" s="3"/>
      <c r="H16" s="3"/>
      <c r="I16" s="3" t="str">
        <f>IFERROR(ROUND(INDEX('PROJETO PERFURAÇÃO'!$AB:$AB,MATCH(MEDIÇÃO!K16,'PROJETO PERFURAÇÃO'!$B:$B,0)),1)&amp;"''","")</f>
        <v>5''</v>
      </c>
      <c r="J16" s="3" t="str">
        <f>IFERROR(IF(INDEX('PROJETO PERFURAÇÃO'!$P:$P,MATCH(MEDIÇÃO!K16,'PROJETO PERFURAÇÃO'!$B:$B,0))="Production","P",IF(INDEX('PROJETO PERFURAÇÃO'!$P:$P,MATCH(MEDIÇÃO!K16,'PROJETO PERFURAÇÃO'!$B:$B,0))="Buffer","B",IF(INDEX('PROJETO PERFURAÇÃO'!$P:$P,MATCH(MEDIÇÃO!K16,'PROJETO PERFURAÇÃO'!$B:$B,0))="Pre-Splitting","S"))),"")</f>
        <v>S</v>
      </c>
      <c r="K16" s="5">
        <f t="shared" si="1"/>
        <v>35</v>
      </c>
      <c r="L16" s="4" t="str">
        <f>IFERROR(INDEX('LEV R&amp;D'!$D:$D,MATCH(MEDIÇÃO!K16,'LEV R&amp;D'!$A:$A,0))-INDEX('PROJETO PERFURAÇÃO'!$AH:$AH,MATCH(MEDIÇÃO!K16,'PROJETO PERFURAÇÃO'!$B:$B,0)),"")</f>
        <v/>
      </c>
      <c r="M16" s="17">
        <f>IFERROR(INDEX('PROJETO PERFURAÇÃO'!$AN:$AN,MATCH(MEDIÇÃO!K16,'PROJETO PERFURAÇÃO'!$B:$B,0)),"")</f>
        <v>14.42</v>
      </c>
      <c r="N16" s="3"/>
      <c r="O16" s="3"/>
      <c r="P16" s="3" t="str">
        <f>IFERROR(ROUND(INDEX('PROJETO PERFURAÇÃO'!$AB:$AB,MATCH(MEDIÇÃO!R16,'PROJETO PERFURAÇÃO'!$B:$B,0)),1)&amp;"''","")</f>
        <v>5''</v>
      </c>
      <c r="Q16" s="3" t="str">
        <f>IFERROR(IF(INDEX('PROJETO PERFURAÇÃO'!$P:$P,MATCH(MEDIÇÃO!R16,'PROJETO PERFURAÇÃO'!$B:$B,0))="Production","P",IF(INDEX('PROJETO PERFURAÇÃO'!$P:$P,MATCH(MEDIÇÃO!R16,'PROJETO PERFURAÇÃO'!$B:$B,0))="Buffer","B",IF(INDEX('PROJETO PERFURAÇÃO'!$P:$P,MATCH(MEDIÇÃO!R16,'PROJETO PERFURAÇÃO'!$B:$B,0))="Pre-Splitting","S"))),"")</f>
        <v>S</v>
      </c>
      <c r="R16" s="5">
        <f t="shared" si="2"/>
        <v>58</v>
      </c>
      <c r="S16" s="4" t="str">
        <f>IFERROR(INDEX('LEV R&amp;D'!$D:$D,MATCH(MEDIÇÃO!R16,'LEV R&amp;D'!$A:$A,0))-INDEX('PROJETO PERFURAÇÃO'!$AH:$AH,MATCH(MEDIÇÃO!R16,'PROJETO PERFURAÇÃO'!$B:$B,0)),"")</f>
        <v/>
      </c>
      <c r="T16" s="17">
        <f>IFERROR(INDEX('PROJETO PERFURAÇÃO'!$AN:$AN,MATCH(MEDIÇÃO!R16,'PROJETO PERFURAÇÃO'!$B:$B,0)),"")</f>
        <v>14.7</v>
      </c>
      <c r="U16" s="3"/>
      <c r="V16" s="3"/>
    </row>
    <row r="17" spans="2:22" ht="45" customHeight="1" x14ac:dyDescent="0.25">
      <c r="B17" s="3" t="str">
        <f>IFERROR(ROUND(INDEX('PROJETO PERFURAÇÃO'!$AB:$AB,MATCH(MEDIÇÃO!D17,'PROJETO PERFURAÇÃO'!$B:$B,0)),1)&amp;"''","")</f>
        <v>5''</v>
      </c>
      <c r="C17" s="3" t="str">
        <f>IFERROR(IF(INDEX('PROJETO PERFURAÇÃO'!$P:$P,MATCH(MEDIÇÃO!D17,'PROJETO PERFURAÇÃO'!$B:$B,0))="Production","P",IF(INDEX('PROJETO PERFURAÇÃO'!$P:$P,MATCH(MEDIÇÃO!D17,'PROJETO PERFURAÇÃO'!$B:$B,0))="Buffer","B",IF(INDEX('PROJETO PERFURAÇÃO'!$P:$P,MATCH(MEDIÇÃO!D17,'PROJETO PERFURAÇÃO'!$B:$B,0))="Pre-Splitting","S"))),"")</f>
        <v>S</v>
      </c>
      <c r="D17" s="5">
        <f t="shared" si="0"/>
        <v>13</v>
      </c>
      <c r="E17" s="4" t="str">
        <f>IFERROR(INDEX('LEV R&amp;D'!$D:$D,MATCH(MEDIÇÃO!D17,'LEV R&amp;D'!$A:$A,0))-INDEX('PROJETO PERFURAÇÃO'!$AH:$AH,MATCH(MEDIÇÃO!D17,'PROJETO PERFURAÇÃO'!$B:$B,0)),"")</f>
        <v/>
      </c>
      <c r="F17" s="17">
        <f>IFERROR(INDEX('PROJETO PERFURAÇÃO'!$AN:$AN,MATCH(MEDIÇÃO!D17,'PROJETO PERFURAÇÃO'!$B:$B,0)),"")</f>
        <v>14.88</v>
      </c>
      <c r="G17" s="3"/>
      <c r="H17" s="3"/>
      <c r="I17" s="3" t="str">
        <f>IFERROR(ROUND(INDEX('PROJETO PERFURAÇÃO'!$AB:$AB,MATCH(MEDIÇÃO!K17,'PROJETO PERFURAÇÃO'!$B:$B,0)),1)&amp;"''","")</f>
        <v>5''</v>
      </c>
      <c r="J17" s="3" t="str">
        <f>IFERROR(IF(INDEX('PROJETO PERFURAÇÃO'!$P:$P,MATCH(MEDIÇÃO!K17,'PROJETO PERFURAÇÃO'!$B:$B,0))="Production","P",IF(INDEX('PROJETO PERFURAÇÃO'!$P:$P,MATCH(MEDIÇÃO!K17,'PROJETO PERFURAÇÃO'!$B:$B,0))="Buffer","B",IF(INDEX('PROJETO PERFURAÇÃO'!$P:$P,MATCH(MEDIÇÃO!K17,'PROJETO PERFURAÇÃO'!$B:$B,0))="Pre-Splitting","S"))),"")</f>
        <v>S</v>
      </c>
      <c r="K17" s="5">
        <f t="shared" si="1"/>
        <v>36</v>
      </c>
      <c r="L17" s="4" t="str">
        <f>IFERROR(INDEX('LEV R&amp;D'!$D:$D,MATCH(MEDIÇÃO!K17,'LEV R&amp;D'!$A:$A,0))-INDEX('PROJETO PERFURAÇÃO'!$AH:$AH,MATCH(MEDIÇÃO!K17,'PROJETO PERFURAÇÃO'!$B:$B,0)),"")</f>
        <v/>
      </c>
      <c r="M17" s="17">
        <f>IFERROR(INDEX('PROJETO PERFURAÇÃO'!$AN:$AN,MATCH(MEDIÇÃO!K17,'PROJETO PERFURAÇÃO'!$B:$B,0)),"")</f>
        <v>14.54</v>
      </c>
      <c r="N17" s="3"/>
      <c r="O17" s="3"/>
      <c r="P17" s="3" t="str">
        <f>IFERROR(ROUND(INDEX('PROJETO PERFURAÇÃO'!$AB:$AB,MATCH(MEDIÇÃO!R17,'PROJETO PERFURAÇÃO'!$B:$B,0)),1)&amp;"''","")</f>
        <v>5''</v>
      </c>
      <c r="Q17" s="3" t="str">
        <f>IFERROR(IF(INDEX('PROJETO PERFURAÇÃO'!$P:$P,MATCH(MEDIÇÃO!R17,'PROJETO PERFURAÇÃO'!$B:$B,0))="Production","P",IF(INDEX('PROJETO PERFURAÇÃO'!$P:$P,MATCH(MEDIÇÃO!R17,'PROJETO PERFURAÇÃO'!$B:$B,0))="Buffer","B",IF(INDEX('PROJETO PERFURAÇÃO'!$P:$P,MATCH(MEDIÇÃO!R17,'PROJETO PERFURAÇÃO'!$B:$B,0))="Pre-Splitting","S"))),"")</f>
        <v>S</v>
      </c>
      <c r="R17" s="5">
        <f t="shared" si="2"/>
        <v>59</v>
      </c>
      <c r="S17" s="4" t="str">
        <f>IFERROR(INDEX('LEV R&amp;D'!$D:$D,MATCH(MEDIÇÃO!R17,'LEV R&amp;D'!$A:$A,0))-INDEX('PROJETO PERFURAÇÃO'!$AH:$AH,MATCH(MEDIÇÃO!R17,'PROJETO PERFURAÇÃO'!$B:$B,0)),"")</f>
        <v/>
      </c>
      <c r="T17" s="17">
        <f>IFERROR(INDEX('PROJETO PERFURAÇÃO'!$AN:$AN,MATCH(MEDIÇÃO!R17,'PROJETO PERFURAÇÃO'!$B:$B,0)),"")</f>
        <v>14.77</v>
      </c>
      <c r="U17" s="3"/>
      <c r="V17" s="3"/>
    </row>
    <row r="18" spans="2:22" ht="45" customHeight="1" x14ac:dyDescent="0.25">
      <c r="B18" s="3" t="str">
        <f>IFERROR(ROUND(INDEX('PROJETO PERFURAÇÃO'!$AB:$AB,MATCH(MEDIÇÃO!D18,'PROJETO PERFURAÇÃO'!$B:$B,0)),1)&amp;"''","")</f>
        <v>5''</v>
      </c>
      <c r="C18" s="3" t="str">
        <f>IFERROR(IF(INDEX('PROJETO PERFURAÇÃO'!$P:$P,MATCH(MEDIÇÃO!D18,'PROJETO PERFURAÇÃO'!$B:$B,0))="Production","P",IF(INDEX('PROJETO PERFURAÇÃO'!$P:$P,MATCH(MEDIÇÃO!D18,'PROJETO PERFURAÇÃO'!$B:$B,0))="Buffer","B",IF(INDEX('PROJETO PERFURAÇÃO'!$P:$P,MATCH(MEDIÇÃO!D18,'PROJETO PERFURAÇÃO'!$B:$B,0))="Pre-Splitting","S"))),"")</f>
        <v>S</v>
      </c>
      <c r="D18" s="5">
        <f t="shared" si="0"/>
        <v>14</v>
      </c>
      <c r="E18" s="4" t="str">
        <f>IFERROR(INDEX('LEV R&amp;D'!$D:$D,MATCH(MEDIÇÃO!D18,'LEV R&amp;D'!$A:$A,0))-INDEX('PROJETO PERFURAÇÃO'!$AH:$AH,MATCH(MEDIÇÃO!D18,'PROJETO PERFURAÇÃO'!$B:$B,0)),"")</f>
        <v/>
      </c>
      <c r="F18" s="17">
        <f>IFERROR(INDEX('PROJETO PERFURAÇÃO'!$AN:$AN,MATCH(MEDIÇÃO!D18,'PROJETO PERFURAÇÃO'!$B:$B,0)),"")</f>
        <v>15.03</v>
      </c>
      <c r="G18" s="3"/>
      <c r="H18" s="3"/>
      <c r="I18" s="3" t="str">
        <f>IFERROR(ROUND(INDEX('PROJETO PERFURAÇÃO'!$AB:$AB,MATCH(MEDIÇÃO!K18,'PROJETO PERFURAÇÃO'!$B:$B,0)),1)&amp;"''","")</f>
        <v>5''</v>
      </c>
      <c r="J18" s="3" t="str">
        <f>IFERROR(IF(INDEX('PROJETO PERFURAÇÃO'!$P:$P,MATCH(MEDIÇÃO!K18,'PROJETO PERFURAÇÃO'!$B:$B,0))="Production","P",IF(INDEX('PROJETO PERFURAÇÃO'!$P:$P,MATCH(MEDIÇÃO!K18,'PROJETO PERFURAÇÃO'!$B:$B,0))="Buffer","B",IF(INDEX('PROJETO PERFURAÇÃO'!$P:$P,MATCH(MEDIÇÃO!K18,'PROJETO PERFURAÇÃO'!$B:$B,0))="Pre-Splitting","S"))),"")</f>
        <v>S</v>
      </c>
      <c r="K18" s="5">
        <f t="shared" si="1"/>
        <v>37</v>
      </c>
      <c r="L18" s="4" t="str">
        <f>IFERROR(INDEX('LEV R&amp;D'!$D:$D,MATCH(MEDIÇÃO!K18,'LEV R&amp;D'!$A:$A,0))-INDEX('PROJETO PERFURAÇÃO'!$AH:$AH,MATCH(MEDIÇÃO!K18,'PROJETO PERFURAÇÃO'!$B:$B,0)),"")</f>
        <v/>
      </c>
      <c r="M18" s="17">
        <f>IFERROR(INDEX('PROJETO PERFURAÇÃO'!$AN:$AN,MATCH(MEDIÇÃO!K18,'PROJETO PERFURAÇÃO'!$B:$B,0)),"")</f>
        <v>14.61</v>
      </c>
      <c r="N18" s="3"/>
      <c r="O18" s="3"/>
      <c r="P18" s="3" t="str">
        <f>IFERROR(ROUND(INDEX('PROJETO PERFURAÇÃO'!$AB:$AB,MATCH(MEDIÇÃO!R18,'PROJETO PERFURAÇÃO'!$B:$B,0)),1)&amp;"''","")</f>
        <v>5''</v>
      </c>
      <c r="Q18" s="3" t="str">
        <f>IFERROR(IF(INDEX('PROJETO PERFURAÇÃO'!$P:$P,MATCH(MEDIÇÃO!R18,'PROJETO PERFURAÇÃO'!$B:$B,0))="Production","P",IF(INDEX('PROJETO PERFURAÇÃO'!$P:$P,MATCH(MEDIÇÃO!R18,'PROJETO PERFURAÇÃO'!$B:$B,0))="Buffer","B",IF(INDEX('PROJETO PERFURAÇÃO'!$P:$P,MATCH(MEDIÇÃO!R18,'PROJETO PERFURAÇÃO'!$B:$B,0))="Pre-Splitting","S"))),"")</f>
        <v>S</v>
      </c>
      <c r="R18" s="5">
        <f t="shared" si="2"/>
        <v>60</v>
      </c>
      <c r="S18" s="4" t="str">
        <f>IFERROR(INDEX('LEV R&amp;D'!$D:$D,MATCH(MEDIÇÃO!R18,'LEV R&amp;D'!$A:$A,0))-INDEX('PROJETO PERFURAÇÃO'!$AH:$AH,MATCH(MEDIÇÃO!R18,'PROJETO PERFURAÇÃO'!$B:$B,0)),"")</f>
        <v/>
      </c>
      <c r="T18" s="17">
        <f>IFERROR(INDEX('PROJETO PERFURAÇÃO'!$AN:$AN,MATCH(MEDIÇÃO!R18,'PROJETO PERFURAÇÃO'!$B:$B,0)),"")</f>
        <v>14.71</v>
      </c>
      <c r="U18" s="3"/>
      <c r="V18" s="3"/>
    </row>
    <row r="19" spans="2:22" ht="45" customHeight="1" x14ac:dyDescent="0.25">
      <c r="B19" s="3" t="str">
        <f>IFERROR(ROUND(INDEX('PROJETO PERFURAÇÃO'!$AB:$AB,MATCH(MEDIÇÃO!D19,'PROJETO PERFURAÇÃO'!$B:$B,0)),1)&amp;"''","")</f>
        <v>5''</v>
      </c>
      <c r="C19" s="3" t="str">
        <f>IFERROR(IF(INDEX('PROJETO PERFURAÇÃO'!$P:$P,MATCH(MEDIÇÃO!D19,'PROJETO PERFURAÇÃO'!$B:$B,0))="Production","P",IF(INDEX('PROJETO PERFURAÇÃO'!$P:$P,MATCH(MEDIÇÃO!D19,'PROJETO PERFURAÇÃO'!$B:$B,0))="Buffer","B",IF(INDEX('PROJETO PERFURAÇÃO'!$P:$P,MATCH(MEDIÇÃO!D19,'PROJETO PERFURAÇÃO'!$B:$B,0))="Pre-Splitting","S"))),"")</f>
        <v>S</v>
      </c>
      <c r="D19" s="5">
        <f t="shared" si="0"/>
        <v>15</v>
      </c>
      <c r="E19" s="4" t="str">
        <f>IFERROR(INDEX('LEV R&amp;D'!$D:$D,MATCH(MEDIÇÃO!D19,'LEV R&amp;D'!$A:$A,0))-INDEX('PROJETO PERFURAÇÃO'!$AH:$AH,MATCH(MEDIÇÃO!D19,'PROJETO PERFURAÇÃO'!$B:$B,0)),"")</f>
        <v/>
      </c>
      <c r="F19" s="17">
        <f>IFERROR(INDEX('PROJETO PERFURAÇÃO'!$AN:$AN,MATCH(MEDIÇÃO!D19,'PROJETO PERFURAÇÃO'!$B:$B,0)),"")</f>
        <v>15.39</v>
      </c>
      <c r="G19" s="3"/>
      <c r="H19" s="3"/>
      <c r="I19" s="3" t="str">
        <f>IFERROR(ROUND(INDEX('PROJETO PERFURAÇÃO'!$AB:$AB,MATCH(MEDIÇÃO!K19,'PROJETO PERFURAÇÃO'!$B:$B,0)),1)&amp;"''","")</f>
        <v>5''</v>
      </c>
      <c r="J19" s="3" t="str">
        <f>IFERROR(IF(INDEX('PROJETO PERFURAÇÃO'!$P:$P,MATCH(MEDIÇÃO!K19,'PROJETO PERFURAÇÃO'!$B:$B,0))="Production","P",IF(INDEX('PROJETO PERFURAÇÃO'!$P:$P,MATCH(MEDIÇÃO!K19,'PROJETO PERFURAÇÃO'!$B:$B,0))="Buffer","B",IF(INDEX('PROJETO PERFURAÇÃO'!$P:$P,MATCH(MEDIÇÃO!K19,'PROJETO PERFURAÇÃO'!$B:$B,0))="Pre-Splitting","S"))),"")</f>
        <v>S</v>
      </c>
      <c r="K19" s="5">
        <f t="shared" si="1"/>
        <v>38</v>
      </c>
      <c r="L19" s="4" t="str">
        <f>IFERROR(INDEX('LEV R&amp;D'!$D:$D,MATCH(MEDIÇÃO!K19,'LEV R&amp;D'!$A:$A,0))-INDEX('PROJETO PERFURAÇÃO'!$AH:$AH,MATCH(MEDIÇÃO!K19,'PROJETO PERFURAÇÃO'!$B:$B,0)),"")</f>
        <v/>
      </c>
      <c r="M19" s="17">
        <f>IFERROR(INDEX('PROJETO PERFURAÇÃO'!$AN:$AN,MATCH(MEDIÇÃO!K19,'PROJETO PERFURAÇÃO'!$B:$B,0)),"")</f>
        <v>13.98</v>
      </c>
      <c r="N19" s="3"/>
      <c r="O19" s="3"/>
      <c r="P19" s="3" t="str">
        <f>IFERROR(ROUND(INDEX('PROJETO PERFURAÇÃO'!$AB:$AB,MATCH(MEDIÇÃO!R19,'PROJETO PERFURAÇÃO'!$B:$B,0)),1)&amp;"''","")</f>
        <v>5''</v>
      </c>
      <c r="Q19" s="3" t="str">
        <f>IFERROR(IF(INDEX('PROJETO PERFURAÇÃO'!$P:$P,MATCH(MEDIÇÃO!R19,'PROJETO PERFURAÇÃO'!$B:$B,0))="Production","P",IF(INDEX('PROJETO PERFURAÇÃO'!$P:$P,MATCH(MEDIÇÃO!R19,'PROJETO PERFURAÇÃO'!$B:$B,0))="Buffer","B",IF(INDEX('PROJETO PERFURAÇÃO'!$P:$P,MATCH(MEDIÇÃO!R19,'PROJETO PERFURAÇÃO'!$B:$B,0))="Pre-Splitting","S"))),"")</f>
        <v>S</v>
      </c>
      <c r="R19" s="5">
        <f t="shared" si="2"/>
        <v>61</v>
      </c>
      <c r="S19" s="4" t="str">
        <f>IFERROR(INDEX('LEV R&amp;D'!$D:$D,MATCH(MEDIÇÃO!R19,'LEV R&amp;D'!$A:$A,0))-INDEX('PROJETO PERFURAÇÃO'!$AH:$AH,MATCH(MEDIÇÃO!R19,'PROJETO PERFURAÇÃO'!$B:$B,0)),"")</f>
        <v/>
      </c>
      <c r="T19" s="17">
        <f>IFERROR(INDEX('PROJETO PERFURAÇÃO'!$AN:$AN,MATCH(MEDIÇÃO!R19,'PROJETO PERFURAÇÃO'!$B:$B,0)),"")</f>
        <v>14.74</v>
      </c>
      <c r="U19" s="3"/>
      <c r="V19" s="3"/>
    </row>
    <row r="20" spans="2:22" ht="45" customHeight="1" x14ac:dyDescent="0.25">
      <c r="B20" s="3" t="str">
        <f>IFERROR(ROUND(INDEX('PROJETO PERFURAÇÃO'!$AB:$AB,MATCH(MEDIÇÃO!D20,'PROJETO PERFURAÇÃO'!$B:$B,0)),1)&amp;"''","")</f>
        <v>5''</v>
      </c>
      <c r="C20" s="3" t="str">
        <f>IFERROR(IF(INDEX('PROJETO PERFURAÇÃO'!$P:$P,MATCH(MEDIÇÃO!D20,'PROJETO PERFURAÇÃO'!$B:$B,0))="Production","P",IF(INDEX('PROJETO PERFURAÇÃO'!$P:$P,MATCH(MEDIÇÃO!D20,'PROJETO PERFURAÇÃO'!$B:$B,0))="Buffer","B",IF(INDEX('PROJETO PERFURAÇÃO'!$P:$P,MATCH(MEDIÇÃO!D20,'PROJETO PERFURAÇÃO'!$B:$B,0))="Pre-Splitting","S"))),"")</f>
        <v>S</v>
      </c>
      <c r="D20" s="5">
        <f t="shared" si="0"/>
        <v>16</v>
      </c>
      <c r="E20" s="4" t="str">
        <f>IFERROR(INDEX('LEV R&amp;D'!$D:$D,MATCH(MEDIÇÃO!D20,'LEV R&amp;D'!$A:$A,0))-INDEX('PROJETO PERFURAÇÃO'!$AH:$AH,MATCH(MEDIÇÃO!D20,'PROJETO PERFURAÇÃO'!$B:$B,0)),"")</f>
        <v/>
      </c>
      <c r="F20" s="17">
        <f>IFERROR(INDEX('PROJETO PERFURAÇÃO'!$AN:$AN,MATCH(MEDIÇÃO!D20,'PROJETO PERFURAÇÃO'!$B:$B,0)),"")</f>
        <v>15.67</v>
      </c>
      <c r="G20" s="3"/>
      <c r="H20" s="3"/>
      <c r="I20" s="3" t="str">
        <f>IFERROR(ROUND(INDEX('PROJETO PERFURAÇÃO'!$AB:$AB,MATCH(MEDIÇÃO!K20,'PROJETO PERFURAÇÃO'!$B:$B,0)),1)&amp;"''","")</f>
        <v>5''</v>
      </c>
      <c r="J20" s="3" t="str">
        <f>IFERROR(IF(INDEX('PROJETO PERFURAÇÃO'!$P:$P,MATCH(MEDIÇÃO!K20,'PROJETO PERFURAÇÃO'!$B:$B,0))="Production","P",IF(INDEX('PROJETO PERFURAÇÃO'!$P:$P,MATCH(MEDIÇÃO!K20,'PROJETO PERFURAÇÃO'!$B:$B,0))="Buffer","B",IF(INDEX('PROJETO PERFURAÇÃO'!$P:$P,MATCH(MEDIÇÃO!K20,'PROJETO PERFURAÇÃO'!$B:$B,0))="Pre-Splitting","S"))),"")</f>
        <v>S</v>
      </c>
      <c r="K20" s="5">
        <f t="shared" si="1"/>
        <v>39</v>
      </c>
      <c r="L20" s="4" t="str">
        <f>IFERROR(INDEX('LEV R&amp;D'!$D:$D,MATCH(MEDIÇÃO!K20,'LEV R&amp;D'!$A:$A,0))-INDEX('PROJETO PERFURAÇÃO'!$AH:$AH,MATCH(MEDIÇÃO!K20,'PROJETO PERFURAÇÃO'!$B:$B,0)),"")</f>
        <v/>
      </c>
      <c r="M20" s="17">
        <f>IFERROR(INDEX('PROJETO PERFURAÇÃO'!$AN:$AN,MATCH(MEDIÇÃO!K20,'PROJETO PERFURAÇÃO'!$B:$B,0)),"")</f>
        <v>13.91</v>
      </c>
      <c r="N20" s="3"/>
      <c r="O20" s="3"/>
      <c r="P20" s="3" t="str">
        <f>IFERROR(ROUND(INDEX('PROJETO PERFURAÇÃO'!$AB:$AB,MATCH(MEDIÇÃO!R20,'PROJETO PERFURAÇÃO'!$B:$B,0)),1)&amp;"''","")</f>
        <v>5''</v>
      </c>
      <c r="Q20" s="3" t="str">
        <f>IFERROR(IF(INDEX('PROJETO PERFURAÇÃO'!$P:$P,MATCH(MEDIÇÃO!R20,'PROJETO PERFURAÇÃO'!$B:$B,0))="Production","P",IF(INDEX('PROJETO PERFURAÇÃO'!$P:$P,MATCH(MEDIÇÃO!R20,'PROJETO PERFURAÇÃO'!$B:$B,0))="Buffer","B",IF(INDEX('PROJETO PERFURAÇÃO'!$P:$P,MATCH(MEDIÇÃO!R20,'PROJETO PERFURAÇÃO'!$B:$B,0))="Pre-Splitting","S"))),"")</f>
        <v>S</v>
      </c>
      <c r="R20" s="5">
        <f t="shared" si="2"/>
        <v>62</v>
      </c>
      <c r="S20" s="4" t="str">
        <f>IFERROR(INDEX('LEV R&amp;D'!$D:$D,MATCH(MEDIÇÃO!R20,'LEV R&amp;D'!$A:$A,0))-INDEX('PROJETO PERFURAÇÃO'!$AH:$AH,MATCH(MEDIÇÃO!R20,'PROJETO PERFURAÇÃO'!$B:$B,0)),"")</f>
        <v/>
      </c>
      <c r="T20" s="17">
        <f>IFERROR(INDEX('PROJETO PERFURAÇÃO'!$AN:$AN,MATCH(MEDIÇÃO!R20,'PROJETO PERFURAÇÃO'!$B:$B,0)),"")</f>
        <v>14.63</v>
      </c>
      <c r="U20" s="3"/>
      <c r="V20" s="3"/>
    </row>
    <row r="21" spans="2:22" ht="45" customHeight="1" x14ac:dyDescent="0.25">
      <c r="B21" s="3" t="str">
        <f>IFERROR(ROUND(INDEX('PROJETO PERFURAÇÃO'!$AB:$AB,MATCH(MEDIÇÃO!D21,'PROJETO PERFURAÇÃO'!$B:$B,0)),1)&amp;"''","")</f>
        <v>5''</v>
      </c>
      <c r="C21" s="3" t="str">
        <f>IFERROR(IF(INDEX('PROJETO PERFURAÇÃO'!$P:$P,MATCH(MEDIÇÃO!D21,'PROJETO PERFURAÇÃO'!$B:$B,0))="Production","P",IF(INDEX('PROJETO PERFURAÇÃO'!$P:$P,MATCH(MEDIÇÃO!D21,'PROJETO PERFURAÇÃO'!$B:$B,0))="Buffer","B",IF(INDEX('PROJETO PERFURAÇÃO'!$P:$P,MATCH(MEDIÇÃO!D21,'PROJETO PERFURAÇÃO'!$B:$B,0))="Pre-Splitting","S"))),"")</f>
        <v>S</v>
      </c>
      <c r="D21" s="5">
        <f t="shared" si="0"/>
        <v>17</v>
      </c>
      <c r="E21" s="4" t="str">
        <f>IFERROR(INDEX('LEV R&amp;D'!$D:$D,MATCH(MEDIÇÃO!D21,'LEV R&amp;D'!$A:$A,0))-INDEX('PROJETO PERFURAÇÃO'!$AH:$AH,MATCH(MEDIÇÃO!D21,'PROJETO PERFURAÇÃO'!$B:$B,0)),"")</f>
        <v/>
      </c>
      <c r="F21" s="17">
        <f>IFERROR(INDEX('PROJETO PERFURAÇÃO'!$AN:$AN,MATCH(MEDIÇÃO!D21,'PROJETO PERFURAÇÃO'!$B:$B,0)),"")</f>
        <v>15.78</v>
      </c>
      <c r="G21" s="3"/>
      <c r="H21" s="3"/>
      <c r="I21" s="3" t="str">
        <f>IFERROR(ROUND(INDEX('PROJETO PERFURAÇÃO'!$AB:$AB,MATCH(MEDIÇÃO!K21,'PROJETO PERFURAÇÃO'!$B:$B,0)),1)&amp;"''","")</f>
        <v>5''</v>
      </c>
      <c r="J21" s="3" t="str">
        <f>IFERROR(IF(INDEX('PROJETO PERFURAÇÃO'!$P:$P,MATCH(MEDIÇÃO!K21,'PROJETO PERFURAÇÃO'!$B:$B,0))="Production","P",IF(INDEX('PROJETO PERFURAÇÃO'!$P:$P,MATCH(MEDIÇÃO!K21,'PROJETO PERFURAÇÃO'!$B:$B,0))="Buffer","B",IF(INDEX('PROJETO PERFURAÇÃO'!$P:$P,MATCH(MEDIÇÃO!K21,'PROJETO PERFURAÇÃO'!$B:$B,0))="Pre-Splitting","S"))),"")</f>
        <v>S</v>
      </c>
      <c r="K21" s="5">
        <f t="shared" si="1"/>
        <v>40</v>
      </c>
      <c r="L21" s="4" t="str">
        <f>IFERROR(INDEX('LEV R&amp;D'!$D:$D,MATCH(MEDIÇÃO!K21,'LEV R&amp;D'!$A:$A,0))-INDEX('PROJETO PERFURAÇÃO'!$AH:$AH,MATCH(MEDIÇÃO!K21,'PROJETO PERFURAÇÃO'!$B:$B,0)),"")</f>
        <v/>
      </c>
      <c r="M21" s="17">
        <f>IFERROR(INDEX('PROJETO PERFURAÇÃO'!$AN:$AN,MATCH(MEDIÇÃO!K21,'PROJETO PERFURAÇÃO'!$B:$B,0)),"")</f>
        <v>13.85</v>
      </c>
      <c r="N21" s="3"/>
      <c r="O21" s="3"/>
      <c r="P21" s="3" t="str">
        <f>IFERROR(ROUND(INDEX('PROJETO PERFURAÇÃO'!$AB:$AB,MATCH(MEDIÇÃO!R21,'PROJETO PERFURAÇÃO'!$B:$B,0)),1)&amp;"''","")</f>
        <v>5''</v>
      </c>
      <c r="Q21" s="3" t="str">
        <f>IFERROR(IF(INDEX('PROJETO PERFURAÇÃO'!$P:$P,MATCH(MEDIÇÃO!R21,'PROJETO PERFURAÇÃO'!$B:$B,0))="Production","P",IF(INDEX('PROJETO PERFURAÇÃO'!$P:$P,MATCH(MEDIÇÃO!R21,'PROJETO PERFURAÇÃO'!$B:$B,0))="Buffer","B",IF(INDEX('PROJETO PERFURAÇÃO'!$P:$P,MATCH(MEDIÇÃO!R21,'PROJETO PERFURAÇÃO'!$B:$B,0))="Pre-Splitting","S"))),"")</f>
        <v>S</v>
      </c>
      <c r="R21" s="5">
        <f t="shared" si="2"/>
        <v>63</v>
      </c>
      <c r="S21" s="4" t="str">
        <f>IFERROR(INDEX('LEV R&amp;D'!$D:$D,MATCH(MEDIÇÃO!R21,'LEV R&amp;D'!$A:$A,0))-INDEX('PROJETO PERFURAÇÃO'!$AH:$AH,MATCH(MEDIÇÃO!R21,'PROJETO PERFURAÇÃO'!$B:$B,0)),"")</f>
        <v/>
      </c>
      <c r="T21" s="17">
        <f>IFERROR(INDEX('PROJETO PERFURAÇÃO'!$AN:$AN,MATCH(MEDIÇÃO!R21,'PROJETO PERFURAÇÃO'!$B:$B,0)),"")</f>
        <v>14.4</v>
      </c>
      <c r="U21" s="3"/>
      <c r="V21" s="3"/>
    </row>
    <row r="22" spans="2:22" ht="45" customHeight="1" x14ac:dyDescent="0.25">
      <c r="B22" s="3" t="str">
        <f>IFERROR(ROUND(INDEX('PROJETO PERFURAÇÃO'!$AB:$AB,MATCH(MEDIÇÃO!D22,'PROJETO PERFURAÇÃO'!$B:$B,0)),1)&amp;"''","")</f>
        <v>5''</v>
      </c>
      <c r="C22" s="3" t="str">
        <f>IFERROR(IF(INDEX('PROJETO PERFURAÇÃO'!$P:$P,MATCH(MEDIÇÃO!D22,'PROJETO PERFURAÇÃO'!$B:$B,0))="Production","P",IF(INDEX('PROJETO PERFURAÇÃO'!$P:$P,MATCH(MEDIÇÃO!D22,'PROJETO PERFURAÇÃO'!$B:$B,0))="Buffer","B",IF(INDEX('PROJETO PERFURAÇÃO'!$P:$P,MATCH(MEDIÇÃO!D22,'PROJETO PERFURAÇÃO'!$B:$B,0))="Pre-Splitting","S"))),"")</f>
        <v>S</v>
      </c>
      <c r="D22" s="5">
        <f t="shared" si="0"/>
        <v>18</v>
      </c>
      <c r="E22" s="4" t="str">
        <f>IFERROR(INDEX('LEV R&amp;D'!$D:$D,MATCH(MEDIÇÃO!D22,'LEV R&amp;D'!$A:$A,0))-INDEX('PROJETO PERFURAÇÃO'!$AH:$AH,MATCH(MEDIÇÃO!D22,'PROJETO PERFURAÇÃO'!$B:$B,0)),"")</f>
        <v/>
      </c>
      <c r="F22" s="17">
        <f>IFERROR(INDEX('PROJETO PERFURAÇÃO'!$AN:$AN,MATCH(MEDIÇÃO!D22,'PROJETO PERFURAÇÃO'!$B:$B,0)),"")</f>
        <v>15.68</v>
      </c>
      <c r="G22" s="3"/>
      <c r="H22" s="3"/>
      <c r="I22" s="3" t="str">
        <f>IFERROR(ROUND(INDEX('PROJETO PERFURAÇÃO'!$AB:$AB,MATCH(MEDIÇÃO!K22,'PROJETO PERFURAÇÃO'!$B:$B,0)),1)&amp;"''","")</f>
        <v>5''</v>
      </c>
      <c r="J22" s="3" t="str">
        <f>IFERROR(IF(INDEX('PROJETO PERFURAÇÃO'!$P:$P,MATCH(MEDIÇÃO!K22,'PROJETO PERFURAÇÃO'!$B:$B,0))="Production","P",IF(INDEX('PROJETO PERFURAÇÃO'!$P:$P,MATCH(MEDIÇÃO!K22,'PROJETO PERFURAÇÃO'!$B:$B,0))="Buffer","B",IF(INDEX('PROJETO PERFURAÇÃO'!$P:$P,MATCH(MEDIÇÃO!K22,'PROJETO PERFURAÇÃO'!$B:$B,0))="Pre-Splitting","S"))),"")</f>
        <v>S</v>
      </c>
      <c r="K22" s="5">
        <f t="shared" si="1"/>
        <v>41</v>
      </c>
      <c r="L22" s="4" t="str">
        <f>IFERROR(INDEX('LEV R&amp;D'!$D:$D,MATCH(MEDIÇÃO!K22,'LEV R&amp;D'!$A:$A,0))-INDEX('PROJETO PERFURAÇÃO'!$AH:$AH,MATCH(MEDIÇÃO!K22,'PROJETO PERFURAÇÃO'!$B:$B,0)),"")</f>
        <v/>
      </c>
      <c r="M22" s="17">
        <f>IFERROR(INDEX('PROJETO PERFURAÇÃO'!$AN:$AN,MATCH(MEDIÇÃO!K22,'PROJETO PERFURAÇÃO'!$B:$B,0)),"")</f>
        <v>13.73</v>
      </c>
      <c r="N22" s="3"/>
      <c r="O22" s="3"/>
      <c r="P22" s="3" t="str">
        <f>IFERROR(ROUND(INDEX('PROJETO PERFURAÇÃO'!$AB:$AB,MATCH(MEDIÇÃO!R22,'PROJETO PERFURAÇÃO'!$B:$B,0)),1)&amp;"''","")</f>
        <v>5''</v>
      </c>
      <c r="Q22" s="3" t="str">
        <f>IFERROR(IF(INDEX('PROJETO PERFURAÇÃO'!$P:$P,MATCH(MEDIÇÃO!R22,'PROJETO PERFURAÇÃO'!$B:$B,0))="Production","P",IF(INDEX('PROJETO PERFURAÇÃO'!$P:$P,MATCH(MEDIÇÃO!R22,'PROJETO PERFURAÇÃO'!$B:$B,0))="Buffer","B",IF(INDEX('PROJETO PERFURAÇÃO'!$P:$P,MATCH(MEDIÇÃO!R22,'PROJETO PERFURAÇÃO'!$B:$B,0))="Pre-Splitting","S"))),"")</f>
        <v>S</v>
      </c>
      <c r="R22" s="5">
        <f t="shared" si="2"/>
        <v>64</v>
      </c>
      <c r="S22" s="4" t="str">
        <f>IFERROR(INDEX('LEV R&amp;D'!$D:$D,MATCH(MEDIÇÃO!R22,'LEV R&amp;D'!$A:$A,0))-INDEX('PROJETO PERFURAÇÃO'!$AH:$AH,MATCH(MEDIÇÃO!R22,'PROJETO PERFURAÇÃO'!$B:$B,0)),"")</f>
        <v/>
      </c>
      <c r="T22" s="17">
        <f>IFERROR(INDEX('PROJETO PERFURAÇÃO'!$AN:$AN,MATCH(MEDIÇÃO!R22,'PROJETO PERFURAÇÃO'!$B:$B,0)),"")</f>
        <v>14.59</v>
      </c>
      <c r="U22" s="3"/>
      <c r="V22" s="3"/>
    </row>
    <row r="23" spans="2:22" ht="45" customHeight="1" x14ac:dyDescent="0.25">
      <c r="B23" s="3" t="str">
        <f>IFERROR(ROUND(INDEX('PROJETO PERFURAÇÃO'!$AB:$AB,MATCH(MEDIÇÃO!D23,'PROJETO PERFURAÇÃO'!$B:$B,0)),1)&amp;"''","")</f>
        <v>5''</v>
      </c>
      <c r="C23" s="3" t="str">
        <f>IFERROR(IF(INDEX('PROJETO PERFURAÇÃO'!$P:$P,MATCH(MEDIÇÃO!D23,'PROJETO PERFURAÇÃO'!$B:$B,0))="Production","P",IF(INDEX('PROJETO PERFURAÇÃO'!$P:$P,MATCH(MEDIÇÃO!D23,'PROJETO PERFURAÇÃO'!$B:$B,0))="Buffer","B",IF(INDEX('PROJETO PERFURAÇÃO'!$P:$P,MATCH(MEDIÇÃO!D23,'PROJETO PERFURAÇÃO'!$B:$B,0))="Pre-Splitting","S"))),"")</f>
        <v>S</v>
      </c>
      <c r="D23" s="5">
        <f t="shared" si="0"/>
        <v>19</v>
      </c>
      <c r="E23" s="4" t="str">
        <f>IFERROR(INDEX('LEV R&amp;D'!$D:$D,MATCH(MEDIÇÃO!D23,'LEV R&amp;D'!$A:$A,0))-INDEX('PROJETO PERFURAÇÃO'!$AH:$AH,MATCH(MEDIÇÃO!D23,'PROJETO PERFURAÇÃO'!$B:$B,0)),"")</f>
        <v/>
      </c>
      <c r="F23" s="17">
        <f>IFERROR(INDEX('PROJETO PERFURAÇÃO'!$AN:$AN,MATCH(MEDIÇÃO!D23,'PROJETO PERFURAÇÃO'!$B:$B,0)),"")</f>
        <v>15.53</v>
      </c>
      <c r="G23" s="3"/>
      <c r="H23" s="3"/>
      <c r="I23" s="3" t="str">
        <f>IFERROR(ROUND(INDEX('PROJETO PERFURAÇÃO'!$AB:$AB,MATCH(MEDIÇÃO!K23,'PROJETO PERFURAÇÃO'!$B:$B,0)),1)&amp;"''","")</f>
        <v>5''</v>
      </c>
      <c r="J23" s="3" t="str">
        <f>IFERROR(IF(INDEX('PROJETO PERFURAÇÃO'!$P:$P,MATCH(MEDIÇÃO!K23,'PROJETO PERFURAÇÃO'!$B:$B,0))="Production","P",IF(INDEX('PROJETO PERFURAÇÃO'!$P:$P,MATCH(MEDIÇÃO!K23,'PROJETO PERFURAÇÃO'!$B:$B,0))="Buffer","B",IF(INDEX('PROJETO PERFURAÇÃO'!$P:$P,MATCH(MEDIÇÃO!K23,'PROJETO PERFURAÇÃO'!$B:$B,0))="Pre-Splitting","S"))),"")</f>
        <v>S</v>
      </c>
      <c r="K23" s="5">
        <f t="shared" si="1"/>
        <v>42</v>
      </c>
      <c r="L23" s="4" t="str">
        <f>IFERROR(INDEX('LEV R&amp;D'!$D:$D,MATCH(MEDIÇÃO!K23,'LEV R&amp;D'!$A:$A,0))-INDEX('PROJETO PERFURAÇÃO'!$AH:$AH,MATCH(MEDIÇÃO!K23,'PROJETO PERFURAÇÃO'!$B:$B,0)),"")</f>
        <v/>
      </c>
      <c r="M23" s="17">
        <f>IFERROR(INDEX('PROJETO PERFURAÇÃO'!$AN:$AN,MATCH(MEDIÇÃO!K23,'PROJETO PERFURAÇÃO'!$B:$B,0)),"")</f>
        <v>12.75</v>
      </c>
      <c r="N23" s="3"/>
      <c r="O23" s="3"/>
      <c r="P23" s="3" t="str">
        <f>IFERROR(ROUND(INDEX('PROJETO PERFURAÇÃO'!$AB:$AB,MATCH(MEDIÇÃO!R23,'PROJETO PERFURAÇÃO'!$B:$B,0)),1)&amp;"''","")</f>
        <v>5''</v>
      </c>
      <c r="Q23" s="3" t="str">
        <f>IFERROR(IF(INDEX('PROJETO PERFURAÇÃO'!$P:$P,MATCH(MEDIÇÃO!R23,'PROJETO PERFURAÇÃO'!$B:$B,0))="Production","P",IF(INDEX('PROJETO PERFURAÇÃO'!$P:$P,MATCH(MEDIÇÃO!R23,'PROJETO PERFURAÇÃO'!$B:$B,0))="Buffer","B",IF(INDEX('PROJETO PERFURAÇÃO'!$P:$P,MATCH(MEDIÇÃO!R23,'PROJETO PERFURAÇÃO'!$B:$B,0))="Pre-Splitting","S"))),"")</f>
        <v>S</v>
      </c>
      <c r="R23" s="5">
        <f t="shared" si="2"/>
        <v>65</v>
      </c>
      <c r="S23" s="4" t="str">
        <f>IFERROR(INDEX('LEV R&amp;D'!$D:$D,MATCH(MEDIÇÃO!R23,'LEV R&amp;D'!$A:$A,0))-INDEX('PROJETO PERFURAÇÃO'!$AH:$AH,MATCH(MEDIÇÃO!R23,'PROJETO PERFURAÇÃO'!$B:$B,0)),"")</f>
        <v/>
      </c>
      <c r="T23" s="17">
        <f>IFERROR(INDEX('PROJETO PERFURAÇÃO'!$AN:$AN,MATCH(MEDIÇÃO!R23,'PROJETO PERFURAÇÃO'!$B:$B,0)),"")</f>
        <v>14.72</v>
      </c>
      <c r="U23" s="3"/>
      <c r="V23" s="3"/>
    </row>
    <row r="24" spans="2:22" ht="45" customHeight="1" x14ac:dyDescent="0.25">
      <c r="B24" s="3" t="str">
        <f>IFERROR(ROUND(INDEX('PROJETO PERFURAÇÃO'!$AB:$AB,MATCH(MEDIÇÃO!D24,'PROJETO PERFURAÇÃO'!$B:$B,0)),1)&amp;"''","")</f>
        <v>5''</v>
      </c>
      <c r="C24" s="3" t="str">
        <f>IFERROR(IF(INDEX('PROJETO PERFURAÇÃO'!$P:$P,MATCH(MEDIÇÃO!D24,'PROJETO PERFURAÇÃO'!$B:$B,0))="Production","P",IF(INDEX('PROJETO PERFURAÇÃO'!$P:$P,MATCH(MEDIÇÃO!D24,'PROJETO PERFURAÇÃO'!$B:$B,0))="Buffer","B",IF(INDEX('PROJETO PERFURAÇÃO'!$P:$P,MATCH(MEDIÇÃO!D24,'PROJETO PERFURAÇÃO'!$B:$B,0))="Pre-Splitting","S"))),"")</f>
        <v>S</v>
      </c>
      <c r="D24" s="5">
        <f t="shared" si="0"/>
        <v>20</v>
      </c>
      <c r="E24" s="4" t="str">
        <f>IFERROR(INDEX('LEV R&amp;D'!$D:$D,MATCH(MEDIÇÃO!D24,'LEV R&amp;D'!$A:$A,0))-INDEX('PROJETO PERFURAÇÃO'!$AH:$AH,MATCH(MEDIÇÃO!D24,'PROJETO PERFURAÇÃO'!$B:$B,0)),"")</f>
        <v/>
      </c>
      <c r="F24" s="17">
        <f>IFERROR(INDEX('PROJETO PERFURAÇÃO'!$AN:$AN,MATCH(MEDIÇÃO!D24,'PROJETO PERFURAÇÃO'!$B:$B,0)),"")</f>
        <v>15.53</v>
      </c>
      <c r="G24" s="3"/>
      <c r="H24" s="3"/>
      <c r="I24" s="3" t="str">
        <f>IFERROR(ROUND(INDEX('PROJETO PERFURAÇÃO'!$AB:$AB,MATCH(MEDIÇÃO!K24,'PROJETO PERFURAÇÃO'!$B:$B,0)),1)&amp;"''","")</f>
        <v>5''</v>
      </c>
      <c r="J24" s="3" t="str">
        <f>IFERROR(IF(INDEX('PROJETO PERFURAÇÃO'!$P:$P,MATCH(MEDIÇÃO!K24,'PROJETO PERFURAÇÃO'!$B:$B,0))="Production","P",IF(INDEX('PROJETO PERFURAÇÃO'!$P:$P,MATCH(MEDIÇÃO!K24,'PROJETO PERFURAÇÃO'!$B:$B,0))="Buffer","B",IF(INDEX('PROJETO PERFURAÇÃO'!$P:$P,MATCH(MEDIÇÃO!K24,'PROJETO PERFURAÇÃO'!$B:$B,0))="Pre-Splitting","S"))),"")</f>
        <v>S</v>
      </c>
      <c r="K24" s="5">
        <f t="shared" si="1"/>
        <v>43</v>
      </c>
      <c r="L24" s="4" t="str">
        <f>IFERROR(INDEX('LEV R&amp;D'!$D:$D,MATCH(MEDIÇÃO!K24,'LEV R&amp;D'!$A:$A,0))-INDEX('PROJETO PERFURAÇÃO'!$AH:$AH,MATCH(MEDIÇÃO!K24,'PROJETO PERFURAÇÃO'!$B:$B,0)),"")</f>
        <v/>
      </c>
      <c r="M24" s="17">
        <f>IFERROR(INDEX('PROJETO PERFURAÇÃO'!$AN:$AN,MATCH(MEDIÇÃO!K24,'PROJETO PERFURAÇÃO'!$B:$B,0)),"")</f>
        <v>12.53</v>
      </c>
      <c r="N24" s="3"/>
      <c r="O24" s="3"/>
      <c r="P24" s="3" t="str">
        <f>IFERROR(ROUND(INDEX('PROJETO PERFURAÇÃO'!$AB:$AB,MATCH(MEDIÇÃO!R24,'PROJETO PERFURAÇÃO'!$B:$B,0)),1)&amp;"''","")</f>
        <v>5''</v>
      </c>
      <c r="Q24" s="3" t="str">
        <f>IFERROR(IF(INDEX('PROJETO PERFURAÇÃO'!$P:$P,MATCH(MEDIÇÃO!R24,'PROJETO PERFURAÇÃO'!$B:$B,0))="Production","P",IF(INDEX('PROJETO PERFURAÇÃO'!$P:$P,MATCH(MEDIÇÃO!R24,'PROJETO PERFURAÇÃO'!$B:$B,0))="Buffer","B",IF(INDEX('PROJETO PERFURAÇÃO'!$P:$P,MATCH(MEDIÇÃO!R24,'PROJETO PERFURAÇÃO'!$B:$B,0))="Pre-Splitting","S"))),"")</f>
        <v>S</v>
      </c>
      <c r="R24" s="5">
        <f t="shared" si="2"/>
        <v>66</v>
      </c>
      <c r="S24" s="4" t="str">
        <f>IFERROR(INDEX('LEV R&amp;D'!$D:$D,MATCH(MEDIÇÃO!R24,'LEV R&amp;D'!$A:$A,0))-INDEX('PROJETO PERFURAÇÃO'!$AH:$AH,MATCH(MEDIÇÃO!R24,'PROJETO PERFURAÇÃO'!$B:$B,0)),"")</f>
        <v/>
      </c>
      <c r="T24" s="17">
        <f>IFERROR(INDEX('PROJETO PERFURAÇÃO'!$AN:$AN,MATCH(MEDIÇÃO!R24,'PROJETO PERFURAÇÃO'!$B:$B,0)),"")</f>
        <v>14.78</v>
      </c>
      <c r="U24" s="3"/>
      <c r="V24" s="3"/>
    </row>
    <row r="25" spans="2:22" ht="45" customHeight="1" x14ac:dyDescent="0.25">
      <c r="B25" s="3" t="str">
        <f>IFERROR(ROUND(INDEX('PROJETO PERFURAÇÃO'!$AB:$AB,MATCH(MEDIÇÃO!D25,'PROJETO PERFURAÇÃO'!$B:$B,0)),1)&amp;"''","")</f>
        <v>5''</v>
      </c>
      <c r="C25" s="3" t="str">
        <f>IFERROR(IF(INDEX('PROJETO PERFURAÇÃO'!$P:$P,MATCH(MEDIÇÃO!D25,'PROJETO PERFURAÇÃO'!$B:$B,0))="Production","P",IF(INDEX('PROJETO PERFURAÇÃO'!$P:$P,MATCH(MEDIÇÃO!D25,'PROJETO PERFURAÇÃO'!$B:$B,0))="Buffer","B",IF(INDEX('PROJETO PERFURAÇÃO'!$P:$P,MATCH(MEDIÇÃO!D25,'PROJETO PERFURAÇÃO'!$B:$B,0))="Pre-Splitting","S"))),"")</f>
        <v>S</v>
      </c>
      <c r="D25" s="5">
        <f t="shared" si="0"/>
        <v>21</v>
      </c>
      <c r="E25" s="4" t="str">
        <f>IFERROR(INDEX('LEV R&amp;D'!$D:$D,MATCH(MEDIÇÃO!D25,'LEV R&amp;D'!$A:$A,0))-INDEX('PROJETO PERFURAÇÃO'!$AH:$AH,MATCH(MEDIÇÃO!D25,'PROJETO PERFURAÇÃO'!$B:$B,0)),"")</f>
        <v/>
      </c>
      <c r="F25" s="17">
        <f>IFERROR(INDEX('PROJETO PERFURAÇÃO'!$AN:$AN,MATCH(MEDIÇÃO!D25,'PROJETO PERFURAÇÃO'!$B:$B,0)),"")</f>
        <v>15.37</v>
      </c>
      <c r="G25" s="3"/>
      <c r="H25" s="3"/>
      <c r="I25" s="3" t="str">
        <f>IFERROR(ROUND(INDEX('PROJETO PERFURAÇÃO'!$AB:$AB,MATCH(MEDIÇÃO!K25,'PROJETO PERFURAÇÃO'!$B:$B,0)),1)&amp;"''","")</f>
        <v>5''</v>
      </c>
      <c r="J25" s="3" t="str">
        <f>IFERROR(IF(INDEX('PROJETO PERFURAÇÃO'!$P:$P,MATCH(MEDIÇÃO!K25,'PROJETO PERFURAÇÃO'!$B:$B,0))="Production","P",IF(INDEX('PROJETO PERFURAÇÃO'!$P:$P,MATCH(MEDIÇÃO!K25,'PROJETO PERFURAÇÃO'!$B:$B,0))="Buffer","B",IF(INDEX('PROJETO PERFURAÇÃO'!$P:$P,MATCH(MEDIÇÃO!K25,'PROJETO PERFURAÇÃO'!$B:$B,0))="Pre-Splitting","S"))),"")</f>
        <v>S</v>
      </c>
      <c r="K25" s="5">
        <f t="shared" si="1"/>
        <v>44</v>
      </c>
      <c r="L25" s="4" t="str">
        <f>IFERROR(INDEX('LEV R&amp;D'!$D:$D,MATCH(MEDIÇÃO!K25,'LEV R&amp;D'!$A:$A,0))-INDEX('PROJETO PERFURAÇÃO'!$AH:$AH,MATCH(MEDIÇÃO!K25,'PROJETO PERFURAÇÃO'!$B:$B,0)),"")</f>
        <v/>
      </c>
      <c r="M25" s="17">
        <f>IFERROR(INDEX('PROJETO PERFURAÇÃO'!$AN:$AN,MATCH(MEDIÇÃO!K25,'PROJETO PERFURAÇÃO'!$B:$B,0)),"")</f>
        <v>13.04</v>
      </c>
      <c r="N25" s="3"/>
      <c r="O25" s="3"/>
      <c r="P25" s="3" t="str">
        <f>IFERROR(ROUND(INDEX('PROJETO PERFURAÇÃO'!$AB:$AB,MATCH(MEDIÇÃO!R25,'PROJETO PERFURAÇÃO'!$B:$B,0)),1)&amp;"''","")</f>
        <v>5''</v>
      </c>
      <c r="Q25" s="3" t="str">
        <f>IFERROR(IF(INDEX('PROJETO PERFURAÇÃO'!$P:$P,MATCH(MEDIÇÃO!R25,'PROJETO PERFURAÇÃO'!$B:$B,0))="Production","P",IF(INDEX('PROJETO PERFURAÇÃO'!$P:$P,MATCH(MEDIÇÃO!R25,'PROJETO PERFURAÇÃO'!$B:$B,0))="Buffer","B",IF(INDEX('PROJETO PERFURAÇÃO'!$P:$P,MATCH(MEDIÇÃO!R25,'PROJETO PERFURAÇÃO'!$B:$B,0))="Pre-Splitting","S"))),"")</f>
        <v>S</v>
      </c>
      <c r="R25" s="5">
        <f t="shared" si="2"/>
        <v>67</v>
      </c>
      <c r="S25" s="4" t="str">
        <f>IFERROR(INDEX('LEV R&amp;D'!$D:$D,MATCH(MEDIÇÃO!R25,'LEV R&amp;D'!$A:$A,0))-INDEX('PROJETO PERFURAÇÃO'!$AH:$AH,MATCH(MEDIÇÃO!R25,'PROJETO PERFURAÇÃO'!$B:$B,0)),"")</f>
        <v/>
      </c>
      <c r="T25" s="17">
        <f>IFERROR(INDEX('PROJETO PERFURAÇÃO'!$AN:$AN,MATCH(MEDIÇÃO!R25,'PROJETO PERFURAÇÃO'!$B:$B,0)),"")</f>
        <v>14.76</v>
      </c>
      <c r="U25" s="3"/>
      <c r="V25" s="3"/>
    </row>
    <row r="26" spans="2:22" ht="45" customHeight="1" x14ac:dyDescent="0.25">
      <c r="B26" s="3" t="str">
        <f>IFERROR(ROUND(INDEX('PROJETO PERFURAÇÃO'!$AB:$AB,MATCH(MEDIÇÃO!D26,'PROJETO PERFURAÇÃO'!$B:$B,0)),1)&amp;"''","")</f>
        <v>5''</v>
      </c>
      <c r="C26" s="3" t="str">
        <f>IFERROR(IF(INDEX('PROJETO PERFURAÇÃO'!$P:$P,MATCH(MEDIÇÃO!D26,'PROJETO PERFURAÇÃO'!$B:$B,0))="Production","P",IF(INDEX('PROJETO PERFURAÇÃO'!$P:$P,MATCH(MEDIÇÃO!D26,'PROJETO PERFURAÇÃO'!$B:$B,0))="Buffer","B",IF(INDEX('PROJETO PERFURAÇÃO'!$P:$P,MATCH(MEDIÇÃO!D26,'PROJETO PERFURAÇÃO'!$B:$B,0))="Pre-Splitting","S"))),"")</f>
        <v>S</v>
      </c>
      <c r="D26" s="5">
        <f t="shared" si="0"/>
        <v>22</v>
      </c>
      <c r="E26" s="4" t="str">
        <f>IFERROR(INDEX('LEV R&amp;D'!$D:$D,MATCH(MEDIÇÃO!D26,'LEV R&amp;D'!$A:$A,0))-INDEX('PROJETO PERFURAÇÃO'!$AH:$AH,MATCH(MEDIÇÃO!D26,'PROJETO PERFURAÇÃO'!$B:$B,0)),"")</f>
        <v/>
      </c>
      <c r="F26" s="17">
        <f>IFERROR(INDEX('PROJETO PERFURAÇÃO'!$AN:$AN,MATCH(MEDIÇÃO!D26,'PROJETO PERFURAÇÃO'!$B:$B,0)),"")</f>
        <v>13.69</v>
      </c>
      <c r="G26" s="3"/>
      <c r="H26" s="3"/>
      <c r="I26" s="3" t="str">
        <f>IFERROR(ROUND(INDEX('PROJETO PERFURAÇÃO'!$AB:$AB,MATCH(MEDIÇÃO!K26,'PROJETO PERFURAÇÃO'!$B:$B,0)),1)&amp;"''","")</f>
        <v>5''</v>
      </c>
      <c r="J26" s="3" t="str">
        <f>IFERROR(IF(INDEX('PROJETO PERFURAÇÃO'!$P:$P,MATCH(MEDIÇÃO!K26,'PROJETO PERFURAÇÃO'!$B:$B,0))="Production","P",IF(INDEX('PROJETO PERFURAÇÃO'!$P:$P,MATCH(MEDIÇÃO!K26,'PROJETO PERFURAÇÃO'!$B:$B,0))="Buffer","B",IF(INDEX('PROJETO PERFURAÇÃO'!$P:$P,MATCH(MEDIÇÃO!K26,'PROJETO PERFURAÇÃO'!$B:$B,0))="Pre-Splitting","S"))),"")</f>
        <v>S</v>
      </c>
      <c r="K26" s="5">
        <f t="shared" si="1"/>
        <v>45</v>
      </c>
      <c r="L26" s="4" t="str">
        <f>IFERROR(INDEX('LEV R&amp;D'!$D:$D,MATCH(MEDIÇÃO!K26,'LEV R&amp;D'!$A:$A,0))-INDEX('PROJETO PERFURAÇÃO'!$AH:$AH,MATCH(MEDIÇÃO!K26,'PROJETO PERFURAÇÃO'!$B:$B,0)),"")</f>
        <v/>
      </c>
      <c r="M26" s="17">
        <f>IFERROR(INDEX('PROJETO PERFURAÇÃO'!$AN:$AN,MATCH(MEDIÇÃO!K26,'PROJETO PERFURAÇÃO'!$B:$B,0)),"")</f>
        <v>14.14</v>
      </c>
      <c r="N26" s="3"/>
      <c r="O26" s="3"/>
      <c r="P26" s="3" t="str">
        <f>IFERROR(ROUND(INDEX('PROJETO PERFURAÇÃO'!$AB:$AB,MATCH(MEDIÇÃO!R26,'PROJETO PERFURAÇÃO'!$B:$B,0)),1)&amp;"''","")</f>
        <v>5''</v>
      </c>
      <c r="Q26" s="3" t="str">
        <f>IFERROR(IF(INDEX('PROJETO PERFURAÇÃO'!$P:$P,MATCH(MEDIÇÃO!R26,'PROJETO PERFURAÇÃO'!$B:$B,0))="Production","P",IF(INDEX('PROJETO PERFURAÇÃO'!$P:$P,MATCH(MEDIÇÃO!R26,'PROJETO PERFURAÇÃO'!$B:$B,0))="Buffer","B",IF(INDEX('PROJETO PERFURAÇÃO'!$P:$P,MATCH(MEDIÇÃO!R26,'PROJETO PERFURAÇÃO'!$B:$B,0))="Pre-Splitting","S"))),"")</f>
        <v>S</v>
      </c>
      <c r="R26" s="5">
        <f t="shared" si="2"/>
        <v>68</v>
      </c>
      <c r="S26" s="4" t="str">
        <f>IFERROR(INDEX('LEV R&amp;D'!$D:$D,MATCH(MEDIÇÃO!R26,'LEV R&amp;D'!$A:$A,0))-INDEX('PROJETO PERFURAÇÃO'!$AH:$AH,MATCH(MEDIÇÃO!R26,'PROJETO PERFURAÇÃO'!$B:$B,0)),"")</f>
        <v/>
      </c>
      <c r="T26" s="17">
        <f>IFERROR(INDEX('PROJETO PERFURAÇÃO'!$AN:$AN,MATCH(MEDIÇÃO!R26,'PROJETO PERFURAÇÃO'!$B:$B,0)),"")</f>
        <v>14.81</v>
      </c>
      <c r="U26" s="3"/>
      <c r="V26" s="3"/>
    </row>
    <row r="27" spans="2:22" ht="45" customHeight="1" x14ac:dyDescent="0.25">
      <c r="B27" s="3" t="str">
        <f>IFERROR(ROUND(INDEX('PROJETO PERFURAÇÃO'!$AB:$AB,MATCH(MEDIÇÃO!D27,'PROJETO PERFURAÇÃO'!$B:$B,0)),1)&amp;"''","")</f>
        <v>5''</v>
      </c>
      <c r="C27" s="3" t="str">
        <f>IFERROR(IF(INDEX('PROJETO PERFURAÇÃO'!$P:$P,MATCH(MEDIÇÃO!D27,'PROJETO PERFURAÇÃO'!$B:$B,0))="Production","P",IF(INDEX('PROJETO PERFURAÇÃO'!$P:$P,MATCH(MEDIÇÃO!D27,'PROJETO PERFURAÇÃO'!$B:$B,0))="Buffer","B",IF(INDEX('PROJETO PERFURAÇÃO'!$P:$P,MATCH(MEDIÇÃO!D27,'PROJETO PERFURAÇÃO'!$B:$B,0))="Pre-Splitting","S"))),"")</f>
        <v>S</v>
      </c>
      <c r="D27" s="5">
        <f t="shared" si="0"/>
        <v>23</v>
      </c>
      <c r="E27" s="4" t="str">
        <f>IFERROR(INDEX('LEV R&amp;D'!$D:$D,MATCH(MEDIÇÃO!D27,'LEV R&amp;D'!$A:$A,0))-INDEX('PROJETO PERFURAÇÃO'!$AH:$AH,MATCH(MEDIÇÃO!D27,'PROJETO PERFURAÇÃO'!$B:$B,0)),"")</f>
        <v/>
      </c>
      <c r="F27" s="17">
        <f>IFERROR(INDEX('PROJETO PERFURAÇÃO'!$AN:$AN,MATCH(MEDIÇÃO!D27,'PROJETO PERFURAÇÃO'!$B:$B,0)),"")</f>
        <v>13.75</v>
      </c>
      <c r="G27" s="3"/>
      <c r="H27" s="3"/>
      <c r="I27" s="3" t="str">
        <f>IFERROR(ROUND(INDEX('PROJETO PERFURAÇÃO'!$AB:$AB,MATCH(MEDIÇÃO!K27,'PROJETO PERFURAÇÃO'!$B:$B,0)),1)&amp;"''","")</f>
        <v>5''</v>
      </c>
      <c r="J27" s="3" t="str">
        <f>IFERROR(IF(INDEX('PROJETO PERFURAÇÃO'!$P:$P,MATCH(MEDIÇÃO!K27,'PROJETO PERFURAÇÃO'!$B:$B,0))="Production","P",IF(INDEX('PROJETO PERFURAÇÃO'!$P:$P,MATCH(MEDIÇÃO!K27,'PROJETO PERFURAÇÃO'!$B:$B,0))="Buffer","B",IF(INDEX('PROJETO PERFURAÇÃO'!$P:$P,MATCH(MEDIÇÃO!K27,'PROJETO PERFURAÇÃO'!$B:$B,0))="Pre-Splitting","S"))),"")</f>
        <v>S</v>
      </c>
      <c r="K27" s="5">
        <f t="shared" si="1"/>
        <v>46</v>
      </c>
      <c r="L27" s="4" t="str">
        <f>IFERROR(INDEX('LEV R&amp;D'!$D:$D,MATCH(MEDIÇÃO!K27,'LEV R&amp;D'!$A:$A,0))-INDEX('PROJETO PERFURAÇÃO'!$AH:$AH,MATCH(MEDIÇÃO!K27,'PROJETO PERFURAÇÃO'!$B:$B,0)),"")</f>
        <v/>
      </c>
      <c r="M27" s="17">
        <f>IFERROR(INDEX('PROJETO PERFURAÇÃO'!$AN:$AN,MATCH(MEDIÇÃO!K27,'PROJETO PERFURAÇÃO'!$B:$B,0)),"")</f>
        <v>14.67</v>
      </c>
      <c r="N27" s="3"/>
      <c r="O27" s="3"/>
      <c r="P27" s="3" t="str">
        <f>IFERROR(ROUND(INDEX('PROJETO PERFURAÇÃO'!$AB:$AB,MATCH(MEDIÇÃO!R27,'PROJETO PERFURAÇÃO'!$B:$B,0)),1)&amp;"''","")</f>
        <v>5''</v>
      </c>
      <c r="Q27" s="3" t="str">
        <f>IFERROR(IF(INDEX('PROJETO PERFURAÇÃO'!$P:$P,MATCH(MEDIÇÃO!R27,'PROJETO PERFURAÇÃO'!$B:$B,0))="Production","P",IF(INDEX('PROJETO PERFURAÇÃO'!$P:$P,MATCH(MEDIÇÃO!R27,'PROJETO PERFURAÇÃO'!$B:$B,0))="Buffer","B",IF(INDEX('PROJETO PERFURAÇÃO'!$P:$P,MATCH(MEDIÇÃO!R27,'PROJETO PERFURAÇÃO'!$B:$B,0))="Pre-Splitting","S"))),"")</f>
        <v>S</v>
      </c>
      <c r="R27" s="5">
        <f t="shared" si="2"/>
        <v>69</v>
      </c>
      <c r="S27" s="4" t="str">
        <f>IFERROR(INDEX('LEV R&amp;D'!$D:$D,MATCH(MEDIÇÃO!R27,'LEV R&amp;D'!$A:$A,0))-INDEX('PROJETO PERFURAÇÃO'!$AH:$AH,MATCH(MEDIÇÃO!R27,'PROJETO PERFURAÇÃO'!$B:$B,0)),"")</f>
        <v/>
      </c>
      <c r="T27" s="17">
        <f>IFERROR(INDEX('PROJETO PERFURAÇÃO'!$AN:$AN,MATCH(MEDIÇÃO!R27,'PROJETO PERFURAÇÃO'!$B:$B,0)),"")</f>
        <v>14.92</v>
      </c>
      <c r="U27" s="3"/>
      <c r="V27" s="3"/>
    </row>
    <row r="28" spans="2:22" ht="30" customHeight="1" x14ac:dyDescent="0.25">
      <c r="B28" s="1"/>
      <c r="C28" s="1"/>
      <c r="D28" s="15"/>
      <c r="E28" s="2"/>
      <c r="F28" s="16"/>
      <c r="G28" s="1"/>
      <c r="H28" s="1"/>
      <c r="I28" s="1"/>
      <c r="J28" s="1"/>
      <c r="K28" s="15"/>
      <c r="L28" s="2"/>
      <c r="M28" s="16"/>
      <c r="N28" s="1"/>
      <c r="O28" s="1"/>
      <c r="P28" s="1"/>
      <c r="Q28" s="1"/>
      <c r="R28" s="15"/>
      <c r="S28" s="2"/>
      <c r="T28" s="16"/>
      <c r="U28" s="1"/>
      <c r="V28" s="1"/>
    </row>
    <row r="29" spans="2:22" ht="30" customHeight="1" x14ac:dyDescent="0.25">
      <c r="C29" s="20"/>
      <c r="D29" s="20"/>
      <c r="E29" s="20"/>
      <c r="F29" s="20"/>
      <c r="G29" s="20"/>
      <c r="H29" s="20"/>
      <c r="I29" s="20"/>
      <c r="J29" s="20"/>
      <c r="K29" s="20"/>
      <c r="M29" s="20"/>
      <c r="N29" s="20"/>
      <c r="O29" s="20"/>
      <c r="P29" s="20"/>
      <c r="Q29" s="20"/>
      <c r="R29" s="20"/>
      <c r="S29" s="20"/>
      <c r="T29" s="20"/>
      <c r="U29" s="20"/>
    </row>
    <row r="30" spans="2:22" ht="30" customHeight="1" x14ac:dyDescent="0.25">
      <c r="C30" s="21" t="s">
        <v>40</v>
      </c>
      <c r="D30" s="21"/>
      <c r="E30" s="21"/>
      <c r="F30" s="21"/>
      <c r="G30" s="21"/>
      <c r="H30" s="21"/>
      <c r="I30" s="21"/>
      <c r="J30" s="21"/>
      <c r="K30" s="21"/>
      <c r="L30" s="9"/>
      <c r="M30" s="21" t="s">
        <v>40</v>
      </c>
      <c r="N30" s="21"/>
      <c r="O30" s="21"/>
      <c r="P30" s="21"/>
      <c r="Q30" s="21"/>
      <c r="R30" s="21"/>
      <c r="S30" s="21"/>
      <c r="T30" s="21"/>
      <c r="U30" s="21"/>
      <c r="V30" s="9"/>
    </row>
    <row r="31" spans="2:22" ht="30" customHeight="1" x14ac:dyDescent="0.25">
      <c r="D31" s="9"/>
      <c r="E31" s="9"/>
      <c r="F31" s="9"/>
      <c r="G31" s="9"/>
      <c r="H31" s="9"/>
      <c r="I31" s="9"/>
      <c r="J31" s="9"/>
      <c r="K31" s="9"/>
      <c r="L31" s="9"/>
      <c r="M31" s="9"/>
      <c r="N31" s="9"/>
      <c r="Q31" s="9"/>
      <c r="R31" s="9"/>
      <c r="S31" s="9"/>
      <c r="T31" s="9"/>
      <c r="U31" s="9"/>
      <c r="V31" s="9"/>
    </row>
    <row r="32" spans="2:22" ht="30" customHeight="1" x14ac:dyDescent="0.25">
      <c r="B32" s="19" t="str">
        <f>'PROJETO PERFURAÇÃO'!$C$2&amp;" - "&amp;'PROJETO PERFURAÇÃO'!$H$2</f>
        <v>LIB065 - PP0651026</v>
      </c>
      <c r="C32" s="19"/>
      <c r="D32" s="19"/>
      <c r="E32" s="19"/>
      <c r="F32" s="19"/>
      <c r="G32" s="19"/>
      <c r="H32" s="19"/>
      <c r="I32" s="11" t="s">
        <v>34</v>
      </c>
      <c r="J32" s="10" t="s">
        <v>37</v>
      </c>
    </row>
    <row r="33" spans="1:23" ht="30" customHeight="1" x14ac:dyDescent="0.25">
      <c r="B33" s="19"/>
      <c r="C33" s="19"/>
      <c r="D33" s="19"/>
      <c r="E33" s="19"/>
      <c r="F33" s="19"/>
      <c r="G33" s="19"/>
      <c r="H33" s="19"/>
      <c r="I33" s="12" t="s">
        <v>35</v>
      </c>
      <c r="J33" s="10" t="s">
        <v>38</v>
      </c>
      <c r="K33" s="9"/>
      <c r="L33" s="9"/>
      <c r="M33" s="9"/>
      <c r="N33" s="9"/>
      <c r="O33" s="9"/>
      <c r="P33" s="9"/>
      <c r="Q33" s="9"/>
      <c r="R33" s="9"/>
      <c r="S33" s="9"/>
      <c r="T33" s="9"/>
      <c r="U33" s="9"/>
      <c r="V33" s="9"/>
    </row>
    <row r="34" spans="1:23" ht="30" customHeight="1" x14ac:dyDescent="0.25">
      <c r="B34" s="19"/>
      <c r="C34" s="19"/>
      <c r="D34" s="19"/>
      <c r="E34" s="19"/>
      <c r="F34" s="19"/>
      <c r="G34" s="19"/>
      <c r="H34" s="19"/>
      <c r="I34" s="13" t="s">
        <v>36</v>
      </c>
      <c r="J34" s="10" t="s">
        <v>39</v>
      </c>
    </row>
    <row r="35" spans="1:23" ht="30" customHeight="1" x14ac:dyDescent="0.25">
      <c r="A35" s="1"/>
      <c r="B35" s="6" t="s">
        <v>33</v>
      </c>
      <c r="C35" s="6" t="s">
        <v>13</v>
      </c>
      <c r="D35" s="7" t="s">
        <v>1</v>
      </c>
      <c r="E35" s="7" t="s">
        <v>29</v>
      </c>
      <c r="F35" s="7" t="s">
        <v>30</v>
      </c>
      <c r="G35" s="7" t="s">
        <v>31</v>
      </c>
      <c r="H35" s="7" t="s">
        <v>32</v>
      </c>
      <c r="I35" s="6" t="s">
        <v>33</v>
      </c>
      <c r="J35" s="6" t="s">
        <v>13</v>
      </c>
      <c r="K35" s="7" t="s">
        <v>1</v>
      </c>
      <c r="L35" s="7" t="s">
        <v>29</v>
      </c>
      <c r="M35" s="7" t="s">
        <v>30</v>
      </c>
      <c r="N35" s="7" t="s">
        <v>31</v>
      </c>
      <c r="O35" s="7" t="s">
        <v>32</v>
      </c>
      <c r="P35" s="6" t="s">
        <v>33</v>
      </c>
      <c r="Q35" s="6" t="s">
        <v>13</v>
      </c>
      <c r="R35" s="7" t="s">
        <v>1</v>
      </c>
      <c r="S35" s="7" t="s">
        <v>29</v>
      </c>
      <c r="T35" s="7" t="s">
        <v>30</v>
      </c>
      <c r="U35" s="7" t="s">
        <v>31</v>
      </c>
      <c r="V35" s="7" t="s">
        <v>32</v>
      </c>
      <c r="W35" s="1"/>
    </row>
    <row r="36" spans="1:23" ht="45" customHeight="1" x14ac:dyDescent="0.25">
      <c r="B36" s="3" t="str">
        <f>IFERROR(ROUND(INDEX('PROJETO PERFURAÇÃO'!$AB:$AB,MATCH(MEDIÇÃO!D36,'PROJETO PERFURAÇÃO'!$B:$B,0)),1)&amp;"''","")</f>
        <v>5''</v>
      </c>
      <c r="C36" s="3" t="str">
        <f>IFERROR(IF(INDEX('PROJETO PERFURAÇÃO'!$P:$P,MATCH(MEDIÇÃO!D36,'PROJETO PERFURAÇÃO'!$B:$B,0))="Production","P",IF(INDEX('PROJETO PERFURAÇÃO'!$P:$P,MATCH(MEDIÇÃO!D36,'PROJETO PERFURAÇÃO'!$B:$B,0))="Buffer","B",IF(INDEX('PROJETO PERFURAÇÃO'!$P:$P,MATCH(MEDIÇÃO!D36,'PROJETO PERFURAÇÃO'!$B:$B,0))="Pre-Splitting","S"))),"")</f>
        <v>S</v>
      </c>
      <c r="D36" s="14">
        <f>R27+1</f>
        <v>70</v>
      </c>
      <c r="E36" s="4" t="str">
        <f>IFERROR(INDEX('LEV R&amp;D'!$D:$D,MATCH(MEDIÇÃO!D36,'LEV R&amp;D'!$A:$A,0))-INDEX('PROJETO PERFURAÇÃO'!$AH:$AH,MATCH(MEDIÇÃO!D36,'PROJETO PERFURAÇÃO'!$B:$B,0)),"")</f>
        <v/>
      </c>
      <c r="F36" s="17">
        <f>IFERROR(INDEX('PROJETO PERFURAÇÃO'!$AN:$AN,MATCH(MEDIÇÃO!D36,'PROJETO PERFURAÇÃO'!$B:$B,0)),"")</f>
        <v>14.96</v>
      </c>
      <c r="G36" s="3"/>
      <c r="H36" s="3"/>
      <c r="I36" s="3" t="str">
        <f>IFERROR(ROUND(INDEX('PROJETO PERFURAÇÃO'!$AB:$AB,MATCH(MEDIÇÃO!K36,'PROJETO PERFURAÇÃO'!$B:$B,0)),1)&amp;"''","")</f>
        <v>5''</v>
      </c>
      <c r="J36" s="3" t="str">
        <f>IFERROR(IF(INDEX('PROJETO PERFURAÇÃO'!$P:$P,MATCH(MEDIÇÃO!K36,'PROJETO PERFURAÇÃO'!$B:$B,0))="Production","P",IF(INDEX('PROJETO PERFURAÇÃO'!$P:$P,MATCH(MEDIÇÃO!K36,'PROJETO PERFURAÇÃO'!$B:$B,0))="Buffer","B",IF(INDEX('PROJETO PERFURAÇÃO'!$P:$P,MATCH(MEDIÇÃO!K36,'PROJETO PERFURAÇÃO'!$B:$B,0))="Pre-Splitting","S"))),"")</f>
        <v>S</v>
      </c>
      <c r="K36" s="14">
        <f>D58+1</f>
        <v>93</v>
      </c>
      <c r="L36" s="4" t="str">
        <f>IFERROR(INDEX('LEV R&amp;D'!$D:$D,MATCH(MEDIÇÃO!K36,'LEV R&amp;D'!$A:$A,0))-INDEX('PROJETO PERFURAÇÃO'!$AH:$AH,MATCH(MEDIÇÃO!K36,'PROJETO PERFURAÇÃO'!$B:$B,0)),"")</f>
        <v/>
      </c>
      <c r="M36" s="17">
        <f>IFERROR(INDEX('PROJETO PERFURAÇÃO'!$AN:$AN,MATCH(MEDIÇÃO!K36,'PROJETO PERFURAÇÃO'!$B:$B,0)),"")</f>
        <v>15.33</v>
      </c>
      <c r="N36" s="3"/>
      <c r="O36" s="3"/>
      <c r="P36" s="3" t="str">
        <f>IFERROR(ROUND(INDEX('PROJETO PERFURAÇÃO'!$AB:$AB,MATCH(MEDIÇÃO!R36,'PROJETO PERFURAÇÃO'!$B:$B,0)),1)&amp;"''","")</f>
        <v>5''</v>
      </c>
      <c r="Q36" s="3" t="str">
        <f>IFERROR(IF(INDEX('PROJETO PERFURAÇÃO'!$P:$P,MATCH(MEDIÇÃO!R36,'PROJETO PERFURAÇÃO'!$B:$B,0))="Production","P",IF(INDEX('PROJETO PERFURAÇÃO'!$P:$P,MATCH(MEDIÇÃO!R36,'PROJETO PERFURAÇÃO'!$B:$B,0))="Buffer","B",IF(INDEX('PROJETO PERFURAÇÃO'!$P:$P,MATCH(MEDIÇÃO!R36,'PROJETO PERFURAÇÃO'!$B:$B,0))="Pre-Splitting","S"))),"")</f>
        <v>S</v>
      </c>
      <c r="R36" s="14">
        <f>K58+1</f>
        <v>116</v>
      </c>
      <c r="S36" s="4" t="str">
        <f>IFERROR(INDEX('LEV R&amp;D'!$D:$D,MATCH(MEDIÇÃO!R36,'LEV R&amp;D'!$A:$A,0))-INDEX('PROJETO PERFURAÇÃO'!$AH:$AH,MATCH(MEDIÇÃO!R36,'PROJETO PERFURAÇÃO'!$B:$B,0)),"")</f>
        <v/>
      </c>
      <c r="T36" s="17">
        <f>IFERROR(INDEX('PROJETO PERFURAÇÃO'!$AN:$AN,MATCH(MEDIÇÃO!R36,'PROJETO PERFURAÇÃO'!$B:$B,0)),"")</f>
        <v>16.79</v>
      </c>
      <c r="U36" s="3"/>
      <c r="V36" s="3"/>
    </row>
    <row r="37" spans="1:23" ht="45" customHeight="1" x14ac:dyDescent="0.25">
      <c r="B37" s="3" t="str">
        <f>IFERROR(ROUND(INDEX('PROJETO PERFURAÇÃO'!$AB:$AB,MATCH(MEDIÇÃO!D37,'PROJETO PERFURAÇÃO'!$B:$B,0)),1)&amp;"''","")</f>
        <v>5''</v>
      </c>
      <c r="C37" s="3" t="str">
        <f>IFERROR(IF(INDEX('PROJETO PERFURAÇÃO'!$P:$P,MATCH(MEDIÇÃO!D37,'PROJETO PERFURAÇÃO'!$B:$B,0))="Production","P",IF(INDEX('PROJETO PERFURAÇÃO'!$P:$P,MATCH(MEDIÇÃO!D37,'PROJETO PERFURAÇÃO'!$B:$B,0))="Buffer","B",IF(INDEX('PROJETO PERFURAÇÃO'!$P:$P,MATCH(MEDIÇÃO!D37,'PROJETO PERFURAÇÃO'!$B:$B,0))="Pre-Splitting","S"))),"")</f>
        <v>S</v>
      </c>
      <c r="D37" s="14">
        <f>D36+1</f>
        <v>71</v>
      </c>
      <c r="E37" s="4" t="str">
        <f>IFERROR(INDEX('LEV R&amp;D'!$D:$D,MATCH(MEDIÇÃO!D37,'LEV R&amp;D'!$A:$A,0))-INDEX('PROJETO PERFURAÇÃO'!$AH:$AH,MATCH(MEDIÇÃO!D37,'PROJETO PERFURAÇÃO'!$B:$B,0)),"")</f>
        <v/>
      </c>
      <c r="F37" s="17">
        <f>IFERROR(INDEX('PROJETO PERFURAÇÃO'!$AN:$AN,MATCH(MEDIÇÃO!D37,'PROJETO PERFURAÇÃO'!$B:$B,0)),"")</f>
        <v>15.02</v>
      </c>
      <c r="G37" s="3"/>
      <c r="H37" s="3"/>
      <c r="I37" s="3" t="str">
        <f>IFERROR(ROUND(INDEX('PROJETO PERFURAÇÃO'!$AB:$AB,MATCH(MEDIÇÃO!K37,'PROJETO PERFURAÇÃO'!$B:$B,0)),1)&amp;"''","")</f>
        <v>5''</v>
      </c>
      <c r="J37" s="3" t="str">
        <f>IFERROR(IF(INDEX('PROJETO PERFURAÇÃO'!$P:$P,MATCH(MEDIÇÃO!K37,'PROJETO PERFURAÇÃO'!$B:$B,0))="Production","P",IF(INDEX('PROJETO PERFURAÇÃO'!$P:$P,MATCH(MEDIÇÃO!K37,'PROJETO PERFURAÇÃO'!$B:$B,0))="Buffer","B",IF(INDEX('PROJETO PERFURAÇÃO'!$P:$P,MATCH(MEDIÇÃO!K37,'PROJETO PERFURAÇÃO'!$B:$B,0))="Pre-Splitting","S"))),"")</f>
        <v>S</v>
      </c>
      <c r="K37" s="14">
        <f>K36+1</f>
        <v>94</v>
      </c>
      <c r="L37" s="4" t="str">
        <f>IFERROR(INDEX('LEV R&amp;D'!$D:$D,MATCH(MEDIÇÃO!K37,'LEV R&amp;D'!$A:$A,0))-INDEX('PROJETO PERFURAÇÃO'!$AH:$AH,MATCH(MEDIÇÃO!K37,'PROJETO PERFURAÇÃO'!$B:$B,0)),"")</f>
        <v/>
      </c>
      <c r="M37" s="17">
        <f>IFERROR(INDEX('PROJETO PERFURAÇÃO'!$AN:$AN,MATCH(MEDIÇÃO!K37,'PROJETO PERFURAÇÃO'!$B:$B,0)),"")</f>
        <v>15.49</v>
      </c>
      <c r="N37" s="3"/>
      <c r="O37" s="3"/>
      <c r="P37" s="3" t="str">
        <f>IFERROR(ROUND(INDEX('PROJETO PERFURAÇÃO'!$AB:$AB,MATCH(MEDIÇÃO!R37,'PROJETO PERFURAÇÃO'!$B:$B,0)),1)&amp;"''","")</f>
        <v>5''</v>
      </c>
      <c r="Q37" s="3" t="str">
        <f>IFERROR(IF(INDEX('PROJETO PERFURAÇÃO'!$P:$P,MATCH(MEDIÇÃO!R37,'PROJETO PERFURAÇÃO'!$B:$B,0))="Production","P",IF(INDEX('PROJETO PERFURAÇÃO'!$P:$P,MATCH(MEDIÇÃO!R37,'PROJETO PERFURAÇÃO'!$B:$B,0))="Buffer","B",IF(INDEX('PROJETO PERFURAÇÃO'!$P:$P,MATCH(MEDIÇÃO!R37,'PROJETO PERFURAÇÃO'!$B:$B,0))="Pre-Splitting","S"))),"")</f>
        <v>P</v>
      </c>
      <c r="R37" s="14">
        <f>R36+1</f>
        <v>117</v>
      </c>
      <c r="S37" s="4" t="str">
        <f>IFERROR(INDEX('LEV R&amp;D'!$D:$D,MATCH(MEDIÇÃO!R37,'LEV R&amp;D'!$A:$A,0))-INDEX('PROJETO PERFURAÇÃO'!$AH:$AH,MATCH(MEDIÇÃO!R37,'PROJETO PERFURAÇÃO'!$B:$B,0)),"")</f>
        <v/>
      </c>
      <c r="T37" s="17">
        <f>IFERROR(INDEX('PROJETO PERFURAÇÃO'!$AN:$AN,MATCH(MEDIÇÃO!R37,'PROJETO PERFURAÇÃO'!$B:$B,0)),"")</f>
        <v>0</v>
      </c>
      <c r="U37" s="3"/>
      <c r="V37" s="3"/>
    </row>
    <row r="38" spans="1:23" ht="45" customHeight="1" x14ac:dyDescent="0.25">
      <c r="B38" s="3" t="str">
        <f>IFERROR(ROUND(INDEX('PROJETO PERFURAÇÃO'!$AB:$AB,MATCH(MEDIÇÃO!D38,'PROJETO PERFURAÇÃO'!$B:$B,0)),1)&amp;"''","")</f>
        <v>5''</v>
      </c>
      <c r="C38" s="3" t="str">
        <f>IFERROR(IF(INDEX('PROJETO PERFURAÇÃO'!$P:$P,MATCH(MEDIÇÃO!D38,'PROJETO PERFURAÇÃO'!$B:$B,0))="Production","P",IF(INDEX('PROJETO PERFURAÇÃO'!$P:$P,MATCH(MEDIÇÃO!D38,'PROJETO PERFURAÇÃO'!$B:$B,0))="Buffer","B",IF(INDEX('PROJETO PERFURAÇÃO'!$P:$P,MATCH(MEDIÇÃO!D38,'PROJETO PERFURAÇÃO'!$B:$B,0))="Pre-Splitting","S"))),"")</f>
        <v>S</v>
      </c>
      <c r="D38" s="14">
        <f t="shared" ref="D38:D58" si="3">D37+1</f>
        <v>72</v>
      </c>
      <c r="E38" s="4" t="str">
        <f>IFERROR(INDEX('LEV R&amp;D'!$D:$D,MATCH(MEDIÇÃO!D38,'LEV R&amp;D'!$A:$A,0))-INDEX('PROJETO PERFURAÇÃO'!$AH:$AH,MATCH(MEDIÇÃO!D38,'PROJETO PERFURAÇÃO'!$B:$B,0)),"")</f>
        <v/>
      </c>
      <c r="F38" s="17">
        <f>IFERROR(INDEX('PROJETO PERFURAÇÃO'!$AN:$AN,MATCH(MEDIÇÃO!D38,'PROJETO PERFURAÇÃO'!$B:$B,0)),"")</f>
        <v>15.06</v>
      </c>
      <c r="G38" s="3"/>
      <c r="H38" s="3"/>
      <c r="I38" s="3" t="str">
        <f>IFERROR(ROUND(INDEX('PROJETO PERFURAÇÃO'!$AB:$AB,MATCH(MEDIÇÃO!K38,'PROJETO PERFURAÇÃO'!$B:$B,0)),1)&amp;"''","")</f>
        <v>5''</v>
      </c>
      <c r="J38" s="3" t="str">
        <f>IFERROR(IF(INDEX('PROJETO PERFURAÇÃO'!$P:$P,MATCH(MEDIÇÃO!K38,'PROJETO PERFURAÇÃO'!$B:$B,0))="Production","P",IF(INDEX('PROJETO PERFURAÇÃO'!$P:$P,MATCH(MEDIÇÃO!K38,'PROJETO PERFURAÇÃO'!$B:$B,0))="Buffer","B",IF(INDEX('PROJETO PERFURAÇÃO'!$P:$P,MATCH(MEDIÇÃO!K38,'PROJETO PERFURAÇÃO'!$B:$B,0))="Pre-Splitting","S"))),"")</f>
        <v>S</v>
      </c>
      <c r="K38" s="14">
        <f t="shared" ref="K38:K58" si="4">K37+1</f>
        <v>95</v>
      </c>
      <c r="L38" s="4" t="str">
        <f>IFERROR(INDEX('LEV R&amp;D'!$D:$D,MATCH(MEDIÇÃO!K38,'LEV R&amp;D'!$A:$A,0))-INDEX('PROJETO PERFURAÇÃO'!$AH:$AH,MATCH(MEDIÇÃO!K38,'PROJETO PERFURAÇÃO'!$B:$B,0)),"")</f>
        <v/>
      </c>
      <c r="M38" s="17">
        <f>IFERROR(INDEX('PROJETO PERFURAÇÃO'!$AN:$AN,MATCH(MEDIÇÃO!K38,'PROJETO PERFURAÇÃO'!$B:$B,0)),"")</f>
        <v>15.4</v>
      </c>
      <c r="N38" s="3"/>
      <c r="O38" s="3"/>
      <c r="P38" s="3" t="str">
        <f>IFERROR(ROUND(INDEX('PROJETO PERFURAÇÃO'!$AB:$AB,MATCH(MEDIÇÃO!R38,'PROJETO PERFURAÇÃO'!$B:$B,0)),1)&amp;"''","")</f>
        <v>5''</v>
      </c>
      <c r="Q38" s="3" t="str">
        <f>IFERROR(IF(INDEX('PROJETO PERFURAÇÃO'!$P:$P,MATCH(MEDIÇÃO!R38,'PROJETO PERFURAÇÃO'!$B:$B,0))="Production","P",IF(INDEX('PROJETO PERFURAÇÃO'!$P:$P,MATCH(MEDIÇÃO!R38,'PROJETO PERFURAÇÃO'!$B:$B,0))="Buffer","B",IF(INDEX('PROJETO PERFURAÇÃO'!$P:$P,MATCH(MEDIÇÃO!R38,'PROJETO PERFURAÇÃO'!$B:$B,0))="Pre-Splitting","S"))),"")</f>
        <v>P</v>
      </c>
      <c r="R38" s="14">
        <f t="shared" ref="R38:R58" si="5">R37+1</f>
        <v>118</v>
      </c>
      <c r="S38" s="4" t="str">
        <f>IFERROR(INDEX('LEV R&amp;D'!$D:$D,MATCH(MEDIÇÃO!R38,'LEV R&amp;D'!$A:$A,0))-INDEX('PROJETO PERFURAÇÃO'!$AH:$AH,MATCH(MEDIÇÃO!R38,'PROJETO PERFURAÇÃO'!$B:$B,0)),"")</f>
        <v/>
      </c>
      <c r="T38" s="17">
        <f>IFERROR(INDEX('PROJETO PERFURAÇÃO'!$AN:$AN,MATCH(MEDIÇÃO!R38,'PROJETO PERFURAÇÃO'!$B:$B,0)),"")</f>
        <v>0</v>
      </c>
      <c r="U38" s="3"/>
      <c r="V38" s="3"/>
    </row>
    <row r="39" spans="1:23" ht="45" customHeight="1" x14ac:dyDescent="0.25">
      <c r="B39" s="3" t="str">
        <f>IFERROR(ROUND(INDEX('PROJETO PERFURAÇÃO'!$AB:$AB,MATCH(MEDIÇÃO!D39,'PROJETO PERFURAÇÃO'!$B:$B,0)),1)&amp;"''","")</f>
        <v>5''</v>
      </c>
      <c r="C39" s="3" t="str">
        <f>IFERROR(IF(INDEX('PROJETO PERFURAÇÃO'!$P:$P,MATCH(MEDIÇÃO!D39,'PROJETO PERFURAÇÃO'!$B:$B,0))="Production","P",IF(INDEX('PROJETO PERFURAÇÃO'!$P:$P,MATCH(MEDIÇÃO!D39,'PROJETO PERFURAÇÃO'!$B:$B,0))="Buffer","B",IF(INDEX('PROJETO PERFURAÇÃO'!$P:$P,MATCH(MEDIÇÃO!D39,'PROJETO PERFURAÇÃO'!$B:$B,0))="Pre-Splitting","S"))),"")</f>
        <v>S</v>
      </c>
      <c r="D39" s="14">
        <f t="shared" si="3"/>
        <v>73</v>
      </c>
      <c r="E39" s="4" t="str">
        <f>IFERROR(INDEX('LEV R&amp;D'!$D:$D,MATCH(MEDIÇÃO!D39,'LEV R&amp;D'!$A:$A,0))-INDEX('PROJETO PERFURAÇÃO'!$AH:$AH,MATCH(MEDIÇÃO!D39,'PROJETO PERFURAÇÃO'!$B:$B,0)),"")</f>
        <v/>
      </c>
      <c r="F39" s="17">
        <f>IFERROR(INDEX('PROJETO PERFURAÇÃO'!$AN:$AN,MATCH(MEDIÇÃO!D39,'PROJETO PERFURAÇÃO'!$B:$B,0)),"")</f>
        <v>15.07</v>
      </c>
      <c r="G39" s="3"/>
      <c r="H39" s="3"/>
      <c r="I39" s="3" t="str">
        <f>IFERROR(ROUND(INDEX('PROJETO PERFURAÇÃO'!$AB:$AB,MATCH(MEDIÇÃO!K39,'PROJETO PERFURAÇÃO'!$B:$B,0)),1)&amp;"''","")</f>
        <v>5''</v>
      </c>
      <c r="J39" s="3" t="str">
        <f>IFERROR(IF(INDEX('PROJETO PERFURAÇÃO'!$P:$P,MATCH(MEDIÇÃO!K39,'PROJETO PERFURAÇÃO'!$B:$B,0))="Production","P",IF(INDEX('PROJETO PERFURAÇÃO'!$P:$P,MATCH(MEDIÇÃO!K39,'PROJETO PERFURAÇÃO'!$B:$B,0))="Buffer","B",IF(INDEX('PROJETO PERFURAÇÃO'!$P:$P,MATCH(MEDIÇÃO!K39,'PROJETO PERFURAÇÃO'!$B:$B,0))="Pre-Splitting","S"))),"")</f>
        <v>S</v>
      </c>
      <c r="K39" s="14">
        <f t="shared" si="4"/>
        <v>96</v>
      </c>
      <c r="L39" s="4" t="str">
        <f>IFERROR(INDEX('LEV R&amp;D'!$D:$D,MATCH(MEDIÇÃO!K39,'LEV R&amp;D'!$A:$A,0))-INDEX('PROJETO PERFURAÇÃO'!$AH:$AH,MATCH(MEDIÇÃO!K39,'PROJETO PERFURAÇÃO'!$B:$B,0)),"")</f>
        <v/>
      </c>
      <c r="M39" s="17">
        <f>IFERROR(INDEX('PROJETO PERFURAÇÃO'!$AN:$AN,MATCH(MEDIÇÃO!K39,'PROJETO PERFURAÇÃO'!$B:$B,0)),"")</f>
        <v>15.38</v>
      </c>
      <c r="N39" s="3"/>
      <c r="O39" s="3"/>
      <c r="P39" s="3" t="str">
        <f>IFERROR(ROUND(INDEX('PROJETO PERFURAÇÃO'!$AB:$AB,MATCH(MEDIÇÃO!R39,'PROJETO PERFURAÇÃO'!$B:$B,0)),1)&amp;"''","")</f>
        <v>5''</v>
      </c>
      <c r="Q39" s="3" t="str">
        <f>IFERROR(IF(INDEX('PROJETO PERFURAÇÃO'!$P:$P,MATCH(MEDIÇÃO!R39,'PROJETO PERFURAÇÃO'!$B:$B,0))="Production","P",IF(INDEX('PROJETO PERFURAÇÃO'!$P:$P,MATCH(MEDIÇÃO!R39,'PROJETO PERFURAÇÃO'!$B:$B,0))="Buffer","B",IF(INDEX('PROJETO PERFURAÇÃO'!$P:$P,MATCH(MEDIÇÃO!R39,'PROJETO PERFURAÇÃO'!$B:$B,0))="Pre-Splitting","S"))),"")</f>
        <v>P</v>
      </c>
      <c r="R39" s="14">
        <f t="shared" si="5"/>
        <v>119</v>
      </c>
      <c r="S39" s="4" t="str">
        <f>IFERROR(INDEX('LEV R&amp;D'!$D:$D,MATCH(MEDIÇÃO!R39,'LEV R&amp;D'!$A:$A,0))-INDEX('PROJETO PERFURAÇÃO'!$AH:$AH,MATCH(MEDIÇÃO!R39,'PROJETO PERFURAÇÃO'!$B:$B,0)),"")</f>
        <v/>
      </c>
      <c r="T39" s="17">
        <f>IFERROR(INDEX('PROJETO PERFURAÇÃO'!$AN:$AN,MATCH(MEDIÇÃO!R39,'PROJETO PERFURAÇÃO'!$B:$B,0)),"")</f>
        <v>0</v>
      </c>
      <c r="U39" s="3"/>
      <c r="V39" s="3"/>
    </row>
    <row r="40" spans="1:23" ht="45" customHeight="1" x14ac:dyDescent="0.25">
      <c r="B40" s="3" t="str">
        <f>IFERROR(ROUND(INDEX('PROJETO PERFURAÇÃO'!$AB:$AB,MATCH(MEDIÇÃO!D40,'PROJETO PERFURAÇÃO'!$B:$B,0)),1)&amp;"''","")</f>
        <v>5''</v>
      </c>
      <c r="C40" s="3" t="str">
        <f>IFERROR(IF(INDEX('PROJETO PERFURAÇÃO'!$P:$P,MATCH(MEDIÇÃO!D40,'PROJETO PERFURAÇÃO'!$B:$B,0))="Production","P",IF(INDEX('PROJETO PERFURAÇÃO'!$P:$P,MATCH(MEDIÇÃO!D40,'PROJETO PERFURAÇÃO'!$B:$B,0))="Buffer","B",IF(INDEX('PROJETO PERFURAÇÃO'!$P:$P,MATCH(MEDIÇÃO!D40,'PROJETO PERFURAÇÃO'!$B:$B,0))="Pre-Splitting","S"))),"")</f>
        <v>S</v>
      </c>
      <c r="D40" s="14">
        <f t="shared" si="3"/>
        <v>74</v>
      </c>
      <c r="E40" s="4" t="str">
        <f>IFERROR(INDEX('LEV R&amp;D'!$D:$D,MATCH(MEDIÇÃO!D40,'LEV R&amp;D'!$A:$A,0))-INDEX('PROJETO PERFURAÇÃO'!$AH:$AH,MATCH(MEDIÇÃO!D40,'PROJETO PERFURAÇÃO'!$B:$B,0)),"")</f>
        <v/>
      </c>
      <c r="F40" s="17">
        <f>IFERROR(INDEX('PROJETO PERFURAÇÃO'!$AN:$AN,MATCH(MEDIÇÃO!D40,'PROJETO PERFURAÇÃO'!$B:$B,0)),"")</f>
        <v>14.9</v>
      </c>
      <c r="G40" s="3"/>
      <c r="H40" s="3"/>
      <c r="I40" s="3" t="str">
        <f>IFERROR(ROUND(INDEX('PROJETO PERFURAÇÃO'!$AB:$AB,MATCH(MEDIÇÃO!K40,'PROJETO PERFURAÇÃO'!$B:$B,0)),1)&amp;"''","")</f>
        <v>5''</v>
      </c>
      <c r="J40" s="3" t="str">
        <f>IFERROR(IF(INDEX('PROJETO PERFURAÇÃO'!$P:$P,MATCH(MEDIÇÃO!K40,'PROJETO PERFURAÇÃO'!$B:$B,0))="Production","P",IF(INDEX('PROJETO PERFURAÇÃO'!$P:$P,MATCH(MEDIÇÃO!K40,'PROJETO PERFURAÇÃO'!$B:$B,0))="Buffer","B",IF(INDEX('PROJETO PERFURAÇÃO'!$P:$P,MATCH(MEDIÇÃO!K40,'PROJETO PERFURAÇÃO'!$B:$B,0))="Pre-Splitting","S"))),"")</f>
        <v>S</v>
      </c>
      <c r="K40" s="14">
        <f t="shared" si="4"/>
        <v>97</v>
      </c>
      <c r="L40" s="4" t="str">
        <f>IFERROR(INDEX('LEV R&amp;D'!$D:$D,MATCH(MEDIÇÃO!K40,'LEV R&amp;D'!$A:$A,0))-INDEX('PROJETO PERFURAÇÃO'!$AH:$AH,MATCH(MEDIÇÃO!K40,'PROJETO PERFURAÇÃO'!$B:$B,0)),"")</f>
        <v/>
      </c>
      <c r="M40" s="17">
        <f>IFERROR(INDEX('PROJETO PERFURAÇÃO'!$AN:$AN,MATCH(MEDIÇÃO!K40,'PROJETO PERFURAÇÃO'!$B:$B,0)),"")</f>
        <v>15.45</v>
      </c>
      <c r="N40" s="3"/>
      <c r="O40" s="3"/>
      <c r="P40" s="3" t="str">
        <f>IFERROR(ROUND(INDEX('PROJETO PERFURAÇÃO'!$AB:$AB,MATCH(MEDIÇÃO!R40,'PROJETO PERFURAÇÃO'!$B:$B,0)),1)&amp;"''","")</f>
        <v>5''</v>
      </c>
      <c r="Q40" s="3" t="str">
        <f>IFERROR(IF(INDEX('PROJETO PERFURAÇÃO'!$P:$P,MATCH(MEDIÇÃO!R40,'PROJETO PERFURAÇÃO'!$B:$B,0))="Production","P",IF(INDEX('PROJETO PERFURAÇÃO'!$P:$P,MATCH(MEDIÇÃO!R40,'PROJETO PERFURAÇÃO'!$B:$B,0))="Buffer","B",IF(INDEX('PROJETO PERFURAÇÃO'!$P:$P,MATCH(MEDIÇÃO!R40,'PROJETO PERFURAÇÃO'!$B:$B,0))="Pre-Splitting","S"))),"")</f>
        <v>P</v>
      </c>
      <c r="R40" s="14">
        <f t="shared" si="5"/>
        <v>120</v>
      </c>
      <c r="S40" s="4" t="str">
        <f>IFERROR(INDEX('LEV R&amp;D'!$D:$D,MATCH(MEDIÇÃO!R40,'LEV R&amp;D'!$A:$A,0))-INDEX('PROJETO PERFURAÇÃO'!$AH:$AH,MATCH(MEDIÇÃO!R40,'PROJETO PERFURAÇÃO'!$B:$B,0)),"")</f>
        <v/>
      </c>
      <c r="T40" s="17">
        <f>IFERROR(INDEX('PROJETO PERFURAÇÃO'!$AN:$AN,MATCH(MEDIÇÃO!R40,'PROJETO PERFURAÇÃO'!$B:$B,0)),"")</f>
        <v>0</v>
      </c>
      <c r="U40" s="3"/>
      <c r="V40" s="3"/>
    </row>
    <row r="41" spans="1:23" ht="45" customHeight="1" x14ac:dyDescent="0.25">
      <c r="B41" s="3" t="str">
        <f>IFERROR(ROUND(INDEX('PROJETO PERFURAÇÃO'!$AB:$AB,MATCH(MEDIÇÃO!D41,'PROJETO PERFURAÇÃO'!$B:$B,0)),1)&amp;"''","")</f>
        <v>5''</v>
      </c>
      <c r="C41" s="3" t="str">
        <f>IFERROR(IF(INDEX('PROJETO PERFURAÇÃO'!$P:$P,MATCH(MEDIÇÃO!D41,'PROJETO PERFURAÇÃO'!$B:$B,0))="Production","P",IF(INDEX('PROJETO PERFURAÇÃO'!$P:$P,MATCH(MEDIÇÃO!D41,'PROJETO PERFURAÇÃO'!$B:$B,0))="Buffer","B",IF(INDEX('PROJETO PERFURAÇÃO'!$P:$P,MATCH(MEDIÇÃO!D41,'PROJETO PERFURAÇÃO'!$B:$B,0))="Pre-Splitting","S"))),"")</f>
        <v>S</v>
      </c>
      <c r="D41" s="14">
        <f t="shared" si="3"/>
        <v>75</v>
      </c>
      <c r="E41" s="4" t="str">
        <f>IFERROR(INDEX('LEV R&amp;D'!$D:$D,MATCH(MEDIÇÃO!D41,'LEV R&amp;D'!$A:$A,0))-INDEX('PROJETO PERFURAÇÃO'!$AH:$AH,MATCH(MEDIÇÃO!D41,'PROJETO PERFURAÇÃO'!$B:$B,0)),"")</f>
        <v/>
      </c>
      <c r="F41" s="17">
        <f>IFERROR(INDEX('PROJETO PERFURAÇÃO'!$AN:$AN,MATCH(MEDIÇÃO!D41,'PROJETO PERFURAÇÃO'!$B:$B,0)),"")</f>
        <v>14.82</v>
      </c>
      <c r="G41" s="3"/>
      <c r="H41" s="3"/>
      <c r="I41" s="3" t="str">
        <f>IFERROR(ROUND(INDEX('PROJETO PERFURAÇÃO'!$AB:$AB,MATCH(MEDIÇÃO!K41,'PROJETO PERFURAÇÃO'!$B:$B,0)),1)&amp;"''","")</f>
        <v>5''</v>
      </c>
      <c r="J41" s="3" t="str">
        <f>IFERROR(IF(INDEX('PROJETO PERFURAÇÃO'!$P:$P,MATCH(MEDIÇÃO!K41,'PROJETO PERFURAÇÃO'!$B:$B,0))="Production","P",IF(INDEX('PROJETO PERFURAÇÃO'!$P:$P,MATCH(MEDIÇÃO!K41,'PROJETO PERFURAÇÃO'!$B:$B,0))="Buffer","B",IF(INDEX('PROJETO PERFURAÇÃO'!$P:$P,MATCH(MEDIÇÃO!K41,'PROJETO PERFURAÇÃO'!$B:$B,0))="Pre-Splitting","S"))),"")</f>
        <v>S</v>
      </c>
      <c r="K41" s="14">
        <f t="shared" si="4"/>
        <v>98</v>
      </c>
      <c r="L41" s="4" t="str">
        <f>IFERROR(INDEX('LEV R&amp;D'!$D:$D,MATCH(MEDIÇÃO!K41,'LEV R&amp;D'!$A:$A,0))-INDEX('PROJETO PERFURAÇÃO'!$AH:$AH,MATCH(MEDIÇÃO!K41,'PROJETO PERFURAÇÃO'!$B:$B,0)),"")</f>
        <v/>
      </c>
      <c r="M41" s="17">
        <f>IFERROR(INDEX('PROJETO PERFURAÇÃO'!$AN:$AN,MATCH(MEDIÇÃO!K41,'PROJETO PERFURAÇÃO'!$B:$B,0)),"")</f>
        <v>15.6</v>
      </c>
      <c r="N41" s="3"/>
      <c r="O41" s="3"/>
      <c r="P41" s="3" t="str">
        <f>IFERROR(ROUND(INDEX('PROJETO PERFURAÇÃO'!$AB:$AB,MATCH(MEDIÇÃO!R41,'PROJETO PERFURAÇÃO'!$B:$B,0)),1)&amp;"''","")</f>
        <v>5''</v>
      </c>
      <c r="Q41" s="3" t="str">
        <f>IFERROR(IF(INDEX('PROJETO PERFURAÇÃO'!$P:$P,MATCH(MEDIÇÃO!R41,'PROJETO PERFURAÇÃO'!$B:$B,0))="Production","P",IF(INDEX('PROJETO PERFURAÇÃO'!$P:$P,MATCH(MEDIÇÃO!R41,'PROJETO PERFURAÇÃO'!$B:$B,0))="Buffer","B",IF(INDEX('PROJETO PERFURAÇÃO'!$P:$P,MATCH(MEDIÇÃO!R41,'PROJETO PERFURAÇÃO'!$B:$B,0))="Pre-Splitting","S"))),"")</f>
        <v>P</v>
      </c>
      <c r="R41" s="14">
        <f t="shared" si="5"/>
        <v>121</v>
      </c>
      <c r="S41" s="4" t="str">
        <f>IFERROR(INDEX('LEV R&amp;D'!$D:$D,MATCH(MEDIÇÃO!R41,'LEV R&amp;D'!$A:$A,0))-INDEX('PROJETO PERFURAÇÃO'!$AH:$AH,MATCH(MEDIÇÃO!R41,'PROJETO PERFURAÇÃO'!$B:$B,0)),"")</f>
        <v/>
      </c>
      <c r="T41" s="17">
        <f>IFERROR(INDEX('PROJETO PERFURAÇÃO'!$AN:$AN,MATCH(MEDIÇÃO!R41,'PROJETO PERFURAÇÃO'!$B:$B,0)),"")</f>
        <v>0</v>
      </c>
      <c r="U41" s="3"/>
      <c r="V41" s="3"/>
    </row>
    <row r="42" spans="1:23" ht="45" customHeight="1" x14ac:dyDescent="0.25">
      <c r="B42" s="3" t="str">
        <f>IFERROR(ROUND(INDEX('PROJETO PERFURAÇÃO'!$AB:$AB,MATCH(MEDIÇÃO!D42,'PROJETO PERFURAÇÃO'!$B:$B,0)),1)&amp;"''","")</f>
        <v>5''</v>
      </c>
      <c r="C42" s="3" t="str">
        <f>IFERROR(IF(INDEX('PROJETO PERFURAÇÃO'!$P:$P,MATCH(MEDIÇÃO!D42,'PROJETO PERFURAÇÃO'!$B:$B,0))="Production","P",IF(INDEX('PROJETO PERFURAÇÃO'!$P:$P,MATCH(MEDIÇÃO!D42,'PROJETO PERFURAÇÃO'!$B:$B,0))="Buffer","B",IF(INDEX('PROJETO PERFURAÇÃO'!$P:$P,MATCH(MEDIÇÃO!D42,'PROJETO PERFURAÇÃO'!$B:$B,0))="Pre-Splitting","S"))),"")</f>
        <v>S</v>
      </c>
      <c r="D42" s="14">
        <f t="shared" si="3"/>
        <v>76</v>
      </c>
      <c r="E42" s="4" t="str">
        <f>IFERROR(INDEX('LEV R&amp;D'!$D:$D,MATCH(MEDIÇÃO!D42,'LEV R&amp;D'!$A:$A,0))-INDEX('PROJETO PERFURAÇÃO'!$AH:$AH,MATCH(MEDIÇÃO!D42,'PROJETO PERFURAÇÃO'!$B:$B,0)),"")</f>
        <v/>
      </c>
      <c r="F42" s="17">
        <f>IFERROR(INDEX('PROJETO PERFURAÇÃO'!$AN:$AN,MATCH(MEDIÇÃO!D42,'PROJETO PERFURAÇÃO'!$B:$B,0)),"")</f>
        <v>14.89</v>
      </c>
      <c r="G42" s="3"/>
      <c r="H42" s="3"/>
      <c r="I42" s="3" t="str">
        <f>IFERROR(ROUND(INDEX('PROJETO PERFURAÇÃO'!$AB:$AB,MATCH(MEDIÇÃO!K42,'PROJETO PERFURAÇÃO'!$B:$B,0)),1)&amp;"''","")</f>
        <v>5''</v>
      </c>
      <c r="J42" s="3" t="str">
        <f>IFERROR(IF(INDEX('PROJETO PERFURAÇÃO'!$P:$P,MATCH(MEDIÇÃO!K42,'PROJETO PERFURAÇÃO'!$B:$B,0))="Production","P",IF(INDEX('PROJETO PERFURAÇÃO'!$P:$P,MATCH(MEDIÇÃO!K42,'PROJETO PERFURAÇÃO'!$B:$B,0))="Buffer","B",IF(INDEX('PROJETO PERFURAÇÃO'!$P:$P,MATCH(MEDIÇÃO!K42,'PROJETO PERFURAÇÃO'!$B:$B,0))="Pre-Splitting","S"))),"")</f>
        <v>S</v>
      </c>
      <c r="K42" s="14">
        <f t="shared" si="4"/>
        <v>99</v>
      </c>
      <c r="L42" s="4" t="str">
        <f>IFERROR(INDEX('LEV R&amp;D'!$D:$D,MATCH(MEDIÇÃO!K42,'LEV R&amp;D'!$A:$A,0))-INDEX('PROJETO PERFURAÇÃO'!$AH:$AH,MATCH(MEDIÇÃO!K42,'PROJETO PERFURAÇÃO'!$B:$B,0)),"")</f>
        <v/>
      </c>
      <c r="M42" s="17">
        <f>IFERROR(INDEX('PROJETO PERFURAÇÃO'!$AN:$AN,MATCH(MEDIÇÃO!K42,'PROJETO PERFURAÇÃO'!$B:$B,0)),"")</f>
        <v>15.88</v>
      </c>
      <c r="N42" s="3"/>
      <c r="O42" s="3"/>
      <c r="P42" s="3" t="str">
        <f>IFERROR(ROUND(INDEX('PROJETO PERFURAÇÃO'!$AB:$AB,MATCH(MEDIÇÃO!R42,'PROJETO PERFURAÇÃO'!$B:$B,0)),1)&amp;"''","")</f>
        <v>5''</v>
      </c>
      <c r="Q42" s="3" t="str">
        <f>IFERROR(IF(INDEX('PROJETO PERFURAÇÃO'!$P:$P,MATCH(MEDIÇÃO!R42,'PROJETO PERFURAÇÃO'!$B:$B,0))="Production","P",IF(INDEX('PROJETO PERFURAÇÃO'!$P:$P,MATCH(MEDIÇÃO!R42,'PROJETO PERFURAÇÃO'!$B:$B,0))="Buffer","B",IF(INDEX('PROJETO PERFURAÇÃO'!$P:$P,MATCH(MEDIÇÃO!R42,'PROJETO PERFURAÇÃO'!$B:$B,0))="Pre-Splitting","S"))),"")</f>
        <v>P</v>
      </c>
      <c r="R42" s="14">
        <f t="shared" si="5"/>
        <v>122</v>
      </c>
      <c r="S42" s="4" t="str">
        <f>IFERROR(INDEX('LEV R&amp;D'!$D:$D,MATCH(MEDIÇÃO!R42,'LEV R&amp;D'!$A:$A,0))-INDEX('PROJETO PERFURAÇÃO'!$AH:$AH,MATCH(MEDIÇÃO!R42,'PROJETO PERFURAÇÃO'!$B:$B,0)),"")</f>
        <v/>
      </c>
      <c r="T42" s="17">
        <f>IFERROR(INDEX('PROJETO PERFURAÇÃO'!$AN:$AN,MATCH(MEDIÇÃO!R42,'PROJETO PERFURAÇÃO'!$B:$B,0)),"")</f>
        <v>0</v>
      </c>
      <c r="U42" s="3"/>
      <c r="V42" s="3"/>
    </row>
    <row r="43" spans="1:23" ht="45" customHeight="1" x14ac:dyDescent="0.25">
      <c r="B43" s="3" t="str">
        <f>IFERROR(ROUND(INDEX('PROJETO PERFURAÇÃO'!$AB:$AB,MATCH(MEDIÇÃO!D43,'PROJETO PERFURAÇÃO'!$B:$B,0)),1)&amp;"''","")</f>
        <v>5''</v>
      </c>
      <c r="C43" s="3" t="str">
        <f>IFERROR(IF(INDEX('PROJETO PERFURAÇÃO'!$P:$P,MATCH(MEDIÇÃO!D43,'PROJETO PERFURAÇÃO'!$B:$B,0))="Production","P",IF(INDEX('PROJETO PERFURAÇÃO'!$P:$P,MATCH(MEDIÇÃO!D43,'PROJETO PERFURAÇÃO'!$B:$B,0))="Buffer","B",IF(INDEX('PROJETO PERFURAÇÃO'!$P:$P,MATCH(MEDIÇÃO!D43,'PROJETO PERFURAÇÃO'!$B:$B,0))="Pre-Splitting","S"))),"")</f>
        <v>S</v>
      </c>
      <c r="D43" s="14">
        <f t="shared" si="3"/>
        <v>77</v>
      </c>
      <c r="E43" s="4" t="str">
        <f>IFERROR(INDEX('LEV R&amp;D'!$D:$D,MATCH(MEDIÇÃO!D43,'LEV R&amp;D'!$A:$A,0))-INDEX('PROJETO PERFURAÇÃO'!$AH:$AH,MATCH(MEDIÇÃO!D43,'PROJETO PERFURAÇÃO'!$B:$B,0)),"")</f>
        <v/>
      </c>
      <c r="F43" s="17">
        <f>IFERROR(INDEX('PROJETO PERFURAÇÃO'!$AN:$AN,MATCH(MEDIÇÃO!D43,'PROJETO PERFURAÇÃO'!$B:$B,0)),"")</f>
        <v>14.99</v>
      </c>
      <c r="G43" s="3"/>
      <c r="H43" s="3"/>
      <c r="I43" s="3" t="str">
        <f>IFERROR(ROUND(INDEX('PROJETO PERFURAÇÃO'!$AB:$AB,MATCH(MEDIÇÃO!K43,'PROJETO PERFURAÇÃO'!$B:$B,0)),1)&amp;"''","")</f>
        <v>5''</v>
      </c>
      <c r="J43" s="3" t="str">
        <f>IFERROR(IF(INDEX('PROJETO PERFURAÇÃO'!$P:$P,MATCH(MEDIÇÃO!K43,'PROJETO PERFURAÇÃO'!$B:$B,0))="Production","P",IF(INDEX('PROJETO PERFURAÇÃO'!$P:$P,MATCH(MEDIÇÃO!K43,'PROJETO PERFURAÇÃO'!$B:$B,0))="Buffer","B",IF(INDEX('PROJETO PERFURAÇÃO'!$P:$P,MATCH(MEDIÇÃO!K43,'PROJETO PERFURAÇÃO'!$B:$B,0))="Pre-Splitting","S"))),"")</f>
        <v>S</v>
      </c>
      <c r="K43" s="14">
        <f t="shared" si="4"/>
        <v>100</v>
      </c>
      <c r="L43" s="4" t="str">
        <f>IFERROR(INDEX('LEV R&amp;D'!$D:$D,MATCH(MEDIÇÃO!K43,'LEV R&amp;D'!$A:$A,0))-INDEX('PROJETO PERFURAÇÃO'!$AH:$AH,MATCH(MEDIÇÃO!K43,'PROJETO PERFURAÇÃO'!$B:$B,0)),"")</f>
        <v/>
      </c>
      <c r="M43" s="17">
        <f>IFERROR(INDEX('PROJETO PERFURAÇÃO'!$AN:$AN,MATCH(MEDIÇÃO!K43,'PROJETO PERFURAÇÃO'!$B:$B,0)),"")</f>
        <v>16</v>
      </c>
      <c r="N43" s="3"/>
      <c r="O43" s="3"/>
      <c r="P43" s="3" t="str">
        <f>IFERROR(ROUND(INDEX('PROJETO PERFURAÇÃO'!$AB:$AB,MATCH(MEDIÇÃO!R43,'PROJETO PERFURAÇÃO'!$B:$B,0)),1)&amp;"''","")</f>
        <v>5''</v>
      </c>
      <c r="Q43" s="3" t="str">
        <f>IFERROR(IF(INDEX('PROJETO PERFURAÇÃO'!$P:$P,MATCH(MEDIÇÃO!R43,'PROJETO PERFURAÇÃO'!$B:$B,0))="Production","P",IF(INDEX('PROJETO PERFURAÇÃO'!$P:$P,MATCH(MEDIÇÃO!R43,'PROJETO PERFURAÇÃO'!$B:$B,0))="Buffer","B",IF(INDEX('PROJETO PERFURAÇÃO'!$P:$P,MATCH(MEDIÇÃO!R43,'PROJETO PERFURAÇÃO'!$B:$B,0))="Pre-Splitting","S"))),"")</f>
        <v>P</v>
      </c>
      <c r="R43" s="14">
        <f t="shared" si="5"/>
        <v>123</v>
      </c>
      <c r="S43" s="4" t="str">
        <f>IFERROR(INDEX('LEV R&amp;D'!$D:$D,MATCH(MEDIÇÃO!R43,'LEV R&amp;D'!$A:$A,0))-INDEX('PROJETO PERFURAÇÃO'!$AH:$AH,MATCH(MEDIÇÃO!R43,'PROJETO PERFURAÇÃO'!$B:$B,0)),"")</f>
        <v/>
      </c>
      <c r="T43" s="17">
        <f>IFERROR(INDEX('PROJETO PERFURAÇÃO'!$AN:$AN,MATCH(MEDIÇÃO!R43,'PROJETO PERFURAÇÃO'!$B:$B,0)),"")</f>
        <v>0</v>
      </c>
      <c r="U43" s="3"/>
      <c r="V43" s="3"/>
    </row>
    <row r="44" spans="1:23" ht="45" customHeight="1" x14ac:dyDescent="0.25">
      <c r="B44" s="3" t="str">
        <f>IFERROR(ROUND(INDEX('PROJETO PERFURAÇÃO'!$AB:$AB,MATCH(MEDIÇÃO!D44,'PROJETO PERFURAÇÃO'!$B:$B,0)),1)&amp;"''","")</f>
        <v>5''</v>
      </c>
      <c r="C44" s="3" t="str">
        <f>IFERROR(IF(INDEX('PROJETO PERFURAÇÃO'!$P:$P,MATCH(MEDIÇÃO!D44,'PROJETO PERFURAÇÃO'!$B:$B,0))="Production","P",IF(INDEX('PROJETO PERFURAÇÃO'!$P:$P,MATCH(MEDIÇÃO!D44,'PROJETO PERFURAÇÃO'!$B:$B,0))="Buffer","B",IF(INDEX('PROJETO PERFURAÇÃO'!$P:$P,MATCH(MEDIÇÃO!D44,'PROJETO PERFURAÇÃO'!$B:$B,0))="Pre-Splitting","S"))),"")</f>
        <v>S</v>
      </c>
      <c r="D44" s="14">
        <f t="shared" si="3"/>
        <v>78</v>
      </c>
      <c r="E44" s="4" t="str">
        <f>IFERROR(INDEX('LEV R&amp;D'!$D:$D,MATCH(MEDIÇÃO!D44,'LEV R&amp;D'!$A:$A,0))-INDEX('PROJETO PERFURAÇÃO'!$AH:$AH,MATCH(MEDIÇÃO!D44,'PROJETO PERFURAÇÃO'!$B:$B,0)),"")</f>
        <v/>
      </c>
      <c r="F44" s="17">
        <f>IFERROR(INDEX('PROJETO PERFURAÇÃO'!$AN:$AN,MATCH(MEDIÇÃO!D44,'PROJETO PERFURAÇÃO'!$B:$B,0)),"")</f>
        <v>14.96</v>
      </c>
      <c r="G44" s="3"/>
      <c r="H44" s="3"/>
      <c r="I44" s="3" t="str">
        <f>IFERROR(ROUND(INDEX('PROJETO PERFURAÇÃO'!$AB:$AB,MATCH(MEDIÇÃO!K44,'PROJETO PERFURAÇÃO'!$B:$B,0)),1)&amp;"''","")</f>
        <v>5''</v>
      </c>
      <c r="J44" s="3" t="str">
        <f>IFERROR(IF(INDEX('PROJETO PERFURAÇÃO'!$P:$P,MATCH(MEDIÇÃO!K44,'PROJETO PERFURAÇÃO'!$B:$B,0))="Production","P",IF(INDEX('PROJETO PERFURAÇÃO'!$P:$P,MATCH(MEDIÇÃO!K44,'PROJETO PERFURAÇÃO'!$B:$B,0))="Buffer","B",IF(INDEX('PROJETO PERFURAÇÃO'!$P:$P,MATCH(MEDIÇÃO!K44,'PROJETO PERFURAÇÃO'!$B:$B,0))="Pre-Splitting","S"))),"")</f>
        <v>S</v>
      </c>
      <c r="K44" s="14">
        <f t="shared" si="4"/>
        <v>101</v>
      </c>
      <c r="L44" s="4" t="str">
        <f>IFERROR(INDEX('LEV R&amp;D'!$D:$D,MATCH(MEDIÇÃO!K44,'LEV R&amp;D'!$A:$A,0))-INDEX('PROJETO PERFURAÇÃO'!$AH:$AH,MATCH(MEDIÇÃO!K44,'PROJETO PERFURAÇÃO'!$B:$B,0)),"")</f>
        <v/>
      </c>
      <c r="M44" s="17">
        <f>IFERROR(INDEX('PROJETO PERFURAÇÃO'!$AN:$AN,MATCH(MEDIÇÃO!K44,'PROJETO PERFURAÇÃO'!$B:$B,0)),"")</f>
        <v>15.98</v>
      </c>
      <c r="N44" s="3"/>
      <c r="O44" s="3"/>
      <c r="P44" s="3" t="str">
        <f>IFERROR(ROUND(INDEX('PROJETO PERFURAÇÃO'!$AB:$AB,MATCH(MEDIÇÃO!R44,'PROJETO PERFURAÇÃO'!$B:$B,0)),1)&amp;"''","")</f>
        <v>5''</v>
      </c>
      <c r="Q44" s="3" t="str">
        <f>IFERROR(IF(INDEX('PROJETO PERFURAÇÃO'!$P:$P,MATCH(MEDIÇÃO!R44,'PROJETO PERFURAÇÃO'!$B:$B,0))="Production","P",IF(INDEX('PROJETO PERFURAÇÃO'!$P:$P,MATCH(MEDIÇÃO!R44,'PROJETO PERFURAÇÃO'!$B:$B,0))="Buffer","B",IF(INDEX('PROJETO PERFURAÇÃO'!$P:$P,MATCH(MEDIÇÃO!R44,'PROJETO PERFURAÇÃO'!$B:$B,0))="Pre-Splitting","S"))),"")</f>
        <v>P</v>
      </c>
      <c r="R44" s="14">
        <f t="shared" si="5"/>
        <v>124</v>
      </c>
      <c r="S44" s="4" t="str">
        <f>IFERROR(INDEX('LEV R&amp;D'!$D:$D,MATCH(MEDIÇÃO!R44,'LEV R&amp;D'!$A:$A,0))-INDEX('PROJETO PERFURAÇÃO'!$AH:$AH,MATCH(MEDIÇÃO!R44,'PROJETO PERFURAÇÃO'!$B:$B,0)),"")</f>
        <v/>
      </c>
      <c r="T44" s="17">
        <f>IFERROR(INDEX('PROJETO PERFURAÇÃO'!$AN:$AN,MATCH(MEDIÇÃO!R44,'PROJETO PERFURAÇÃO'!$B:$B,0)),"")</f>
        <v>0</v>
      </c>
      <c r="U44" s="3"/>
      <c r="V44" s="3"/>
    </row>
    <row r="45" spans="1:23" ht="45" customHeight="1" x14ac:dyDescent="0.25">
      <c r="B45" s="3" t="str">
        <f>IFERROR(ROUND(INDEX('PROJETO PERFURAÇÃO'!$AB:$AB,MATCH(MEDIÇÃO!D45,'PROJETO PERFURAÇÃO'!$B:$B,0)),1)&amp;"''","")</f>
        <v>5''</v>
      </c>
      <c r="C45" s="3" t="str">
        <f>IFERROR(IF(INDEX('PROJETO PERFURAÇÃO'!$P:$P,MATCH(MEDIÇÃO!D45,'PROJETO PERFURAÇÃO'!$B:$B,0))="Production","P",IF(INDEX('PROJETO PERFURAÇÃO'!$P:$P,MATCH(MEDIÇÃO!D45,'PROJETO PERFURAÇÃO'!$B:$B,0))="Buffer","B",IF(INDEX('PROJETO PERFURAÇÃO'!$P:$P,MATCH(MEDIÇÃO!D45,'PROJETO PERFURAÇÃO'!$B:$B,0))="Pre-Splitting","S"))),"")</f>
        <v>S</v>
      </c>
      <c r="D45" s="14">
        <f t="shared" si="3"/>
        <v>79</v>
      </c>
      <c r="E45" s="4" t="str">
        <f>IFERROR(INDEX('LEV R&amp;D'!$D:$D,MATCH(MEDIÇÃO!D45,'LEV R&amp;D'!$A:$A,0))-INDEX('PROJETO PERFURAÇÃO'!$AH:$AH,MATCH(MEDIÇÃO!D45,'PROJETO PERFURAÇÃO'!$B:$B,0)),"")</f>
        <v/>
      </c>
      <c r="F45" s="17">
        <f>IFERROR(INDEX('PROJETO PERFURAÇÃO'!$AN:$AN,MATCH(MEDIÇÃO!D45,'PROJETO PERFURAÇÃO'!$B:$B,0)),"")</f>
        <v>15.02</v>
      </c>
      <c r="G45" s="3"/>
      <c r="H45" s="3"/>
      <c r="I45" s="3" t="str">
        <f>IFERROR(ROUND(INDEX('PROJETO PERFURAÇÃO'!$AB:$AB,MATCH(MEDIÇÃO!K45,'PROJETO PERFURAÇÃO'!$B:$B,0)),1)&amp;"''","")</f>
        <v>5''</v>
      </c>
      <c r="J45" s="3" t="str">
        <f>IFERROR(IF(INDEX('PROJETO PERFURAÇÃO'!$P:$P,MATCH(MEDIÇÃO!K45,'PROJETO PERFURAÇÃO'!$B:$B,0))="Production","P",IF(INDEX('PROJETO PERFURAÇÃO'!$P:$P,MATCH(MEDIÇÃO!K45,'PROJETO PERFURAÇÃO'!$B:$B,0))="Buffer","B",IF(INDEX('PROJETO PERFURAÇÃO'!$P:$P,MATCH(MEDIÇÃO!K45,'PROJETO PERFURAÇÃO'!$B:$B,0))="Pre-Splitting","S"))),"")</f>
        <v>S</v>
      </c>
      <c r="K45" s="14">
        <f t="shared" si="4"/>
        <v>102</v>
      </c>
      <c r="L45" s="4" t="str">
        <f>IFERROR(INDEX('LEV R&amp;D'!$D:$D,MATCH(MEDIÇÃO!K45,'LEV R&amp;D'!$A:$A,0))-INDEX('PROJETO PERFURAÇÃO'!$AH:$AH,MATCH(MEDIÇÃO!K45,'PROJETO PERFURAÇÃO'!$B:$B,0)),"")</f>
        <v/>
      </c>
      <c r="M45" s="17">
        <f>IFERROR(INDEX('PROJETO PERFURAÇÃO'!$AN:$AN,MATCH(MEDIÇÃO!K45,'PROJETO PERFURAÇÃO'!$B:$B,0)),"")</f>
        <v>16.079999999999998</v>
      </c>
      <c r="N45" s="3"/>
      <c r="O45" s="3"/>
      <c r="P45" s="3" t="str">
        <f>IFERROR(ROUND(INDEX('PROJETO PERFURAÇÃO'!$AB:$AB,MATCH(MEDIÇÃO!R45,'PROJETO PERFURAÇÃO'!$B:$B,0)),1)&amp;"''","")</f>
        <v>5''</v>
      </c>
      <c r="Q45" s="3" t="str">
        <f>IFERROR(IF(INDEX('PROJETO PERFURAÇÃO'!$P:$P,MATCH(MEDIÇÃO!R45,'PROJETO PERFURAÇÃO'!$B:$B,0))="Production","P",IF(INDEX('PROJETO PERFURAÇÃO'!$P:$P,MATCH(MEDIÇÃO!R45,'PROJETO PERFURAÇÃO'!$B:$B,0))="Buffer","B",IF(INDEX('PROJETO PERFURAÇÃO'!$P:$P,MATCH(MEDIÇÃO!R45,'PROJETO PERFURAÇÃO'!$B:$B,0))="Pre-Splitting","S"))),"")</f>
        <v>P</v>
      </c>
      <c r="R45" s="14">
        <f t="shared" si="5"/>
        <v>125</v>
      </c>
      <c r="S45" s="4" t="str">
        <f>IFERROR(INDEX('LEV R&amp;D'!$D:$D,MATCH(MEDIÇÃO!R45,'LEV R&amp;D'!$A:$A,0))-INDEX('PROJETO PERFURAÇÃO'!$AH:$AH,MATCH(MEDIÇÃO!R45,'PROJETO PERFURAÇÃO'!$B:$B,0)),"")</f>
        <v/>
      </c>
      <c r="T45" s="17">
        <f>IFERROR(INDEX('PROJETO PERFURAÇÃO'!$AN:$AN,MATCH(MEDIÇÃO!R45,'PROJETO PERFURAÇÃO'!$B:$B,0)),"")</f>
        <v>0</v>
      </c>
      <c r="U45" s="3"/>
      <c r="V45" s="3"/>
    </row>
    <row r="46" spans="1:23" ht="45" customHeight="1" x14ac:dyDescent="0.25">
      <c r="B46" s="3" t="str">
        <f>IFERROR(ROUND(INDEX('PROJETO PERFURAÇÃO'!$AB:$AB,MATCH(MEDIÇÃO!D46,'PROJETO PERFURAÇÃO'!$B:$B,0)),1)&amp;"''","")</f>
        <v>5''</v>
      </c>
      <c r="C46" s="3" t="str">
        <f>IFERROR(IF(INDEX('PROJETO PERFURAÇÃO'!$P:$P,MATCH(MEDIÇÃO!D46,'PROJETO PERFURAÇÃO'!$B:$B,0))="Production","P",IF(INDEX('PROJETO PERFURAÇÃO'!$P:$P,MATCH(MEDIÇÃO!D46,'PROJETO PERFURAÇÃO'!$B:$B,0))="Buffer","B",IF(INDEX('PROJETO PERFURAÇÃO'!$P:$P,MATCH(MEDIÇÃO!D46,'PROJETO PERFURAÇÃO'!$B:$B,0))="Pre-Splitting","S"))),"")</f>
        <v>S</v>
      </c>
      <c r="D46" s="14">
        <f t="shared" si="3"/>
        <v>80</v>
      </c>
      <c r="E46" s="4" t="str">
        <f>IFERROR(INDEX('LEV R&amp;D'!$D:$D,MATCH(MEDIÇÃO!D46,'LEV R&amp;D'!$A:$A,0))-INDEX('PROJETO PERFURAÇÃO'!$AH:$AH,MATCH(MEDIÇÃO!D46,'PROJETO PERFURAÇÃO'!$B:$B,0)),"")</f>
        <v/>
      </c>
      <c r="F46" s="17">
        <f>IFERROR(INDEX('PROJETO PERFURAÇÃO'!$AN:$AN,MATCH(MEDIÇÃO!D46,'PROJETO PERFURAÇÃO'!$B:$B,0)),"")</f>
        <v>15.03</v>
      </c>
      <c r="G46" s="3"/>
      <c r="H46" s="3"/>
      <c r="I46" s="3" t="str">
        <f>IFERROR(ROUND(INDEX('PROJETO PERFURAÇÃO'!$AB:$AB,MATCH(MEDIÇÃO!K46,'PROJETO PERFURAÇÃO'!$B:$B,0)),1)&amp;"''","")</f>
        <v>5''</v>
      </c>
      <c r="J46" s="3" t="str">
        <f>IFERROR(IF(INDEX('PROJETO PERFURAÇÃO'!$P:$P,MATCH(MEDIÇÃO!K46,'PROJETO PERFURAÇÃO'!$B:$B,0))="Production","P",IF(INDEX('PROJETO PERFURAÇÃO'!$P:$P,MATCH(MEDIÇÃO!K46,'PROJETO PERFURAÇÃO'!$B:$B,0))="Buffer","B",IF(INDEX('PROJETO PERFURAÇÃO'!$P:$P,MATCH(MEDIÇÃO!K46,'PROJETO PERFURAÇÃO'!$B:$B,0))="Pre-Splitting","S"))),"")</f>
        <v>S</v>
      </c>
      <c r="K46" s="14">
        <f t="shared" si="4"/>
        <v>103</v>
      </c>
      <c r="L46" s="4" t="str">
        <f>IFERROR(INDEX('LEV R&amp;D'!$D:$D,MATCH(MEDIÇÃO!K46,'LEV R&amp;D'!$A:$A,0))-INDEX('PROJETO PERFURAÇÃO'!$AH:$AH,MATCH(MEDIÇÃO!K46,'PROJETO PERFURAÇÃO'!$B:$B,0)),"")</f>
        <v/>
      </c>
      <c r="M46" s="17">
        <f>IFERROR(INDEX('PROJETO PERFURAÇÃO'!$AN:$AN,MATCH(MEDIÇÃO!K46,'PROJETO PERFURAÇÃO'!$B:$B,0)),"")</f>
        <v>16.16</v>
      </c>
      <c r="N46" s="3"/>
      <c r="O46" s="3"/>
      <c r="P46" s="3" t="str">
        <f>IFERROR(ROUND(INDEX('PROJETO PERFURAÇÃO'!$AB:$AB,MATCH(MEDIÇÃO!R46,'PROJETO PERFURAÇÃO'!$B:$B,0)),1)&amp;"''","")</f>
        <v>5''</v>
      </c>
      <c r="Q46" s="3" t="str">
        <f>IFERROR(IF(INDEX('PROJETO PERFURAÇÃO'!$P:$P,MATCH(MEDIÇÃO!R46,'PROJETO PERFURAÇÃO'!$B:$B,0))="Production","P",IF(INDEX('PROJETO PERFURAÇÃO'!$P:$P,MATCH(MEDIÇÃO!R46,'PROJETO PERFURAÇÃO'!$B:$B,0))="Buffer","B",IF(INDEX('PROJETO PERFURAÇÃO'!$P:$P,MATCH(MEDIÇÃO!R46,'PROJETO PERFURAÇÃO'!$B:$B,0))="Pre-Splitting","S"))),"")</f>
        <v>P</v>
      </c>
      <c r="R46" s="14">
        <f t="shared" si="5"/>
        <v>126</v>
      </c>
      <c r="S46" s="4" t="str">
        <f>IFERROR(INDEX('LEV R&amp;D'!$D:$D,MATCH(MEDIÇÃO!R46,'LEV R&amp;D'!$A:$A,0))-INDEX('PROJETO PERFURAÇÃO'!$AH:$AH,MATCH(MEDIÇÃO!R46,'PROJETO PERFURAÇÃO'!$B:$B,0)),"")</f>
        <v/>
      </c>
      <c r="T46" s="17">
        <f>IFERROR(INDEX('PROJETO PERFURAÇÃO'!$AN:$AN,MATCH(MEDIÇÃO!R46,'PROJETO PERFURAÇÃO'!$B:$B,0)),"")</f>
        <v>0</v>
      </c>
      <c r="U46" s="3"/>
      <c r="V46" s="3"/>
    </row>
    <row r="47" spans="1:23" ht="45" customHeight="1" x14ac:dyDescent="0.25">
      <c r="B47" s="3" t="str">
        <f>IFERROR(ROUND(INDEX('PROJETO PERFURAÇÃO'!$AB:$AB,MATCH(MEDIÇÃO!D47,'PROJETO PERFURAÇÃO'!$B:$B,0)),1)&amp;"''","")</f>
        <v>5''</v>
      </c>
      <c r="C47" s="3" t="str">
        <f>IFERROR(IF(INDEX('PROJETO PERFURAÇÃO'!$P:$P,MATCH(MEDIÇÃO!D47,'PROJETO PERFURAÇÃO'!$B:$B,0))="Production","P",IF(INDEX('PROJETO PERFURAÇÃO'!$P:$P,MATCH(MEDIÇÃO!D47,'PROJETO PERFURAÇÃO'!$B:$B,0))="Buffer","B",IF(INDEX('PROJETO PERFURAÇÃO'!$P:$P,MATCH(MEDIÇÃO!D47,'PROJETO PERFURAÇÃO'!$B:$B,0))="Pre-Splitting","S"))),"")</f>
        <v>S</v>
      </c>
      <c r="D47" s="14">
        <f t="shared" si="3"/>
        <v>81</v>
      </c>
      <c r="E47" s="4" t="str">
        <f>IFERROR(INDEX('LEV R&amp;D'!$D:$D,MATCH(MEDIÇÃO!D47,'LEV R&amp;D'!$A:$A,0))-INDEX('PROJETO PERFURAÇÃO'!$AH:$AH,MATCH(MEDIÇÃO!D47,'PROJETO PERFURAÇÃO'!$B:$B,0)),"")</f>
        <v/>
      </c>
      <c r="F47" s="17">
        <f>IFERROR(INDEX('PROJETO PERFURAÇÃO'!$AN:$AN,MATCH(MEDIÇÃO!D47,'PROJETO PERFURAÇÃO'!$B:$B,0)),"")</f>
        <v>15.1</v>
      </c>
      <c r="G47" s="3"/>
      <c r="H47" s="3"/>
      <c r="I47" s="3" t="str">
        <f>IFERROR(ROUND(INDEX('PROJETO PERFURAÇÃO'!$AB:$AB,MATCH(MEDIÇÃO!K47,'PROJETO PERFURAÇÃO'!$B:$B,0)),1)&amp;"''","")</f>
        <v>5''</v>
      </c>
      <c r="J47" s="3" t="str">
        <f>IFERROR(IF(INDEX('PROJETO PERFURAÇÃO'!$P:$P,MATCH(MEDIÇÃO!K47,'PROJETO PERFURAÇÃO'!$B:$B,0))="Production","P",IF(INDEX('PROJETO PERFURAÇÃO'!$P:$P,MATCH(MEDIÇÃO!K47,'PROJETO PERFURAÇÃO'!$B:$B,0))="Buffer","B",IF(INDEX('PROJETO PERFURAÇÃO'!$P:$P,MATCH(MEDIÇÃO!K47,'PROJETO PERFURAÇÃO'!$B:$B,0))="Pre-Splitting","S"))),"")</f>
        <v>S</v>
      </c>
      <c r="K47" s="14">
        <f t="shared" si="4"/>
        <v>104</v>
      </c>
      <c r="L47" s="4" t="str">
        <f>IFERROR(INDEX('LEV R&amp;D'!$D:$D,MATCH(MEDIÇÃO!K47,'LEV R&amp;D'!$A:$A,0))-INDEX('PROJETO PERFURAÇÃO'!$AH:$AH,MATCH(MEDIÇÃO!K47,'PROJETO PERFURAÇÃO'!$B:$B,0)),"")</f>
        <v/>
      </c>
      <c r="M47" s="17">
        <f>IFERROR(INDEX('PROJETO PERFURAÇÃO'!$AN:$AN,MATCH(MEDIÇÃO!K47,'PROJETO PERFURAÇÃO'!$B:$B,0)),"")</f>
        <v>16.32</v>
      </c>
      <c r="N47" s="3"/>
      <c r="O47" s="3"/>
      <c r="P47" s="3" t="str">
        <f>IFERROR(ROUND(INDEX('PROJETO PERFURAÇÃO'!$AB:$AB,MATCH(MEDIÇÃO!R47,'PROJETO PERFURAÇÃO'!$B:$B,0)),1)&amp;"''","")</f>
        <v>5''</v>
      </c>
      <c r="Q47" s="3" t="str">
        <f>IFERROR(IF(INDEX('PROJETO PERFURAÇÃO'!$P:$P,MATCH(MEDIÇÃO!R47,'PROJETO PERFURAÇÃO'!$B:$B,0))="Production","P",IF(INDEX('PROJETO PERFURAÇÃO'!$P:$P,MATCH(MEDIÇÃO!R47,'PROJETO PERFURAÇÃO'!$B:$B,0))="Buffer","B",IF(INDEX('PROJETO PERFURAÇÃO'!$P:$P,MATCH(MEDIÇÃO!R47,'PROJETO PERFURAÇÃO'!$B:$B,0))="Pre-Splitting","S"))),"")</f>
        <v>P</v>
      </c>
      <c r="R47" s="14">
        <f t="shared" si="5"/>
        <v>127</v>
      </c>
      <c r="S47" s="4" t="str">
        <f>IFERROR(INDEX('LEV R&amp;D'!$D:$D,MATCH(MEDIÇÃO!R47,'LEV R&amp;D'!$A:$A,0))-INDEX('PROJETO PERFURAÇÃO'!$AH:$AH,MATCH(MEDIÇÃO!R47,'PROJETO PERFURAÇÃO'!$B:$B,0)),"")</f>
        <v/>
      </c>
      <c r="T47" s="17">
        <f>IFERROR(INDEX('PROJETO PERFURAÇÃO'!$AN:$AN,MATCH(MEDIÇÃO!R47,'PROJETO PERFURAÇÃO'!$B:$B,0)),"")</f>
        <v>0</v>
      </c>
      <c r="U47" s="3"/>
      <c r="V47" s="3"/>
    </row>
    <row r="48" spans="1:23" ht="45" customHeight="1" x14ac:dyDescent="0.25">
      <c r="B48" s="3" t="str">
        <f>IFERROR(ROUND(INDEX('PROJETO PERFURAÇÃO'!$AB:$AB,MATCH(MEDIÇÃO!D48,'PROJETO PERFURAÇÃO'!$B:$B,0)),1)&amp;"''","")</f>
        <v>5''</v>
      </c>
      <c r="C48" s="3" t="str">
        <f>IFERROR(IF(INDEX('PROJETO PERFURAÇÃO'!$P:$P,MATCH(MEDIÇÃO!D48,'PROJETO PERFURAÇÃO'!$B:$B,0))="Production","P",IF(INDEX('PROJETO PERFURAÇÃO'!$P:$P,MATCH(MEDIÇÃO!D48,'PROJETO PERFURAÇÃO'!$B:$B,0))="Buffer","B",IF(INDEX('PROJETO PERFURAÇÃO'!$P:$P,MATCH(MEDIÇÃO!D48,'PROJETO PERFURAÇÃO'!$B:$B,0))="Pre-Splitting","S"))),"")</f>
        <v>S</v>
      </c>
      <c r="D48" s="14">
        <f t="shared" si="3"/>
        <v>82</v>
      </c>
      <c r="E48" s="4" t="str">
        <f>IFERROR(INDEX('LEV R&amp;D'!$D:$D,MATCH(MEDIÇÃO!D48,'LEV R&amp;D'!$A:$A,0))-INDEX('PROJETO PERFURAÇÃO'!$AH:$AH,MATCH(MEDIÇÃO!D48,'PROJETO PERFURAÇÃO'!$B:$B,0)),"")</f>
        <v/>
      </c>
      <c r="F48" s="17">
        <f>IFERROR(INDEX('PROJETO PERFURAÇÃO'!$AN:$AN,MATCH(MEDIÇÃO!D48,'PROJETO PERFURAÇÃO'!$B:$B,0)),"")</f>
        <v>15.04</v>
      </c>
      <c r="G48" s="3"/>
      <c r="H48" s="3"/>
      <c r="I48" s="3" t="str">
        <f>IFERROR(ROUND(INDEX('PROJETO PERFURAÇÃO'!$AB:$AB,MATCH(MEDIÇÃO!K48,'PROJETO PERFURAÇÃO'!$B:$B,0)),1)&amp;"''","")</f>
        <v>5''</v>
      </c>
      <c r="J48" s="3" t="str">
        <f>IFERROR(IF(INDEX('PROJETO PERFURAÇÃO'!$P:$P,MATCH(MEDIÇÃO!K48,'PROJETO PERFURAÇÃO'!$B:$B,0))="Production","P",IF(INDEX('PROJETO PERFURAÇÃO'!$P:$P,MATCH(MEDIÇÃO!K48,'PROJETO PERFURAÇÃO'!$B:$B,0))="Buffer","B",IF(INDEX('PROJETO PERFURAÇÃO'!$P:$P,MATCH(MEDIÇÃO!K48,'PROJETO PERFURAÇÃO'!$B:$B,0))="Pre-Splitting","S"))),"")</f>
        <v>S</v>
      </c>
      <c r="K48" s="14">
        <f t="shared" si="4"/>
        <v>105</v>
      </c>
      <c r="L48" s="4" t="str">
        <f>IFERROR(INDEX('LEV R&amp;D'!$D:$D,MATCH(MEDIÇÃO!K48,'LEV R&amp;D'!$A:$A,0))-INDEX('PROJETO PERFURAÇÃO'!$AH:$AH,MATCH(MEDIÇÃO!K48,'PROJETO PERFURAÇÃO'!$B:$B,0)),"")</f>
        <v/>
      </c>
      <c r="M48" s="17">
        <f>IFERROR(INDEX('PROJETO PERFURAÇÃO'!$AN:$AN,MATCH(MEDIÇÃO!K48,'PROJETO PERFURAÇÃO'!$B:$B,0)),"")</f>
        <v>16.399999999999999</v>
      </c>
      <c r="N48" s="3"/>
      <c r="O48" s="3"/>
      <c r="P48" s="3" t="str">
        <f>IFERROR(ROUND(INDEX('PROJETO PERFURAÇÃO'!$AB:$AB,MATCH(MEDIÇÃO!R48,'PROJETO PERFURAÇÃO'!$B:$B,0)),1)&amp;"''","")</f>
        <v>5''</v>
      </c>
      <c r="Q48" s="3" t="str">
        <f>IFERROR(IF(INDEX('PROJETO PERFURAÇÃO'!$P:$P,MATCH(MEDIÇÃO!R48,'PROJETO PERFURAÇÃO'!$B:$B,0))="Production","P",IF(INDEX('PROJETO PERFURAÇÃO'!$P:$P,MATCH(MEDIÇÃO!R48,'PROJETO PERFURAÇÃO'!$B:$B,0))="Buffer","B",IF(INDEX('PROJETO PERFURAÇÃO'!$P:$P,MATCH(MEDIÇÃO!R48,'PROJETO PERFURAÇÃO'!$B:$B,0))="Pre-Splitting","S"))),"")</f>
        <v>P</v>
      </c>
      <c r="R48" s="14">
        <f t="shared" si="5"/>
        <v>128</v>
      </c>
      <c r="S48" s="4" t="str">
        <f>IFERROR(INDEX('LEV R&amp;D'!$D:$D,MATCH(MEDIÇÃO!R48,'LEV R&amp;D'!$A:$A,0))-INDEX('PROJETO PERFURAÇÃO'!$AH:$AH,MATCH(MEDIÇÃO!R48,'PROJETO PERFURAÇÃO'!$B:$B,0)),"")</f>
        <v/>
      </c>
      <c r="T48" s="17">
        <f>IFERROR(INDEX('PROJETO PERFURAÇÃO'!$AN:$AN,MATCH(MEDIÇÃO!R48,'PROJETO PERFURAÇÃO'!$B:$B,0)),"")</f>
        <v>0</v>
      </c>
      <c r="U48" s="3"/>
      <c r="V48" s="3"/>
    </row>
    <row r="49" spans="2:22" ht="45" customHeight="1" x14ac:dyDescent="0.25">
      <c r="B49" s="3" t="str">
        <f>IFERROR(ROUND(INDEX('PROJETO PERFURAÇÃO'!$AB:$AB,MATCH(MEDIÇÃO!D49,'PROJETO PERFURAÇÃO'!$B:$B,0)),1)&amp;"''","")</f>
        <v>5''</v>
      </c>
      <c r="C49" s="3" t="str">
        <f>IFERROR(IF(INDEX('PROJETO PERFURAÇÃO'!$P:$P,MATCH(MEDIÇÃO!D49,'PROJETO PERFURAÇÃO'!$B:$B,0))="Production","P",IF(INDEX('PROJETO PERFURAÇÃO'!$P:$P,MATCH(MEDIÇÃO!D49,'PROJETO PERFURAÇÃO'!$B:$B,0))="Buffer","B",IF(INDEX('PROJETO PERFURAÇÃO'!$P:$P,MATCH(MEDIÇÃO!D49,'PROJETO PERFURAÇÃO'!$B:$B,0))="Pre-Splitting","S"))),"")</f>
        <v>S</v>
      </c>
      <c r="D49" s="14">
        <f t="shared" si="3"/>
        <v>83</v>
      </c>
      <c r="E49" s="4" t="str">
        <f>IFERROR(INDEX('LEV R&amp;D'!$D:$D,MATCH(MEDIÇÃO!D49,'LEV R&amp;D'!$A:$A,0))-INDEX('PROJETO PERFURAÇÃO'!$AH:$AH,MATCH(MEDIÇÃO!D49,'PROJETO PERFURAÇÃO'!$B:$B,0)),"")</f>
        <v/>
      </c>
      <c r="F49" s="17">
        <f>IFERROR(INDEX('PROJETO PERFURAÇÃO'!$AN:$AN,MATCH(MEDIÇÃO!D49,'PROJETO PERFURAÇÃO'!$B:$B,0)),"")</f>
        <v>15.19</v>
      </c>
      <c r="G49" s="3"/>
      <c r="H49" s="3"/>
      <c r="I49" s="3" t="str">
        <f>IFERROR(ROUND(INDEX('PROJETO PERFURAÇÃO'!$AB:$AB,MATCH(MEDIÇÃO!K49,'PROJETO PERFURAÇÃO'!$B:$B,0)),1)&amp;"''","")</f>
        <v>5''</v>
      </c>
      <c r="J49" s="3" t="str">
        <f>IFERROR(IF(INDEX('PROJETO PERFURAÇÃO'!$P:$P,MATCH(MEDIÇÃO!K49,'PROJETO PERFURAÇÃO'!$B:$B,0))="Production","P",IF(INDEX('PROJETO PERFURAÇÃO'!$P:$P,MATCH(MEDIÇÃO!K49,'PROJETO PERFURAÇÃO'!$B:$B,0))="Buffer","B",IF(INDEX('PROJETO PERFURAÇÃO'!$P:$P,MATCH(MEDIÇÃO!K49,'PROJETO PERFURAÇÃO'!$B:$B,0))="Pre-Splitting","S"))),"")</f>
        <v>S</v>
      </c>
      <c r="K49" s="14">
        <f t="shared" si="4"/>
        <v>106</v>
      </c>
      <c r="L49" s="4" t="str">
        <f>IFERROR(INDEX('LEV R&amp;D'!$D:$D,MATCH(MEDIÇÃO!K49,'LEV R&amp;D'!$A:$A,0))-INDEX('PROJETO PERFURAÇÃO'!$AH:$AH,MATCH(MEDIÇÃO!K49,'PROJETO PERFURAÇÃO'!$B:$B,0)),"")</f>
        <v/>
      </c>
      <c r="M49" s="17">
        <f>IFERROR(INDEX('PROJETO PERFURAÇÃO'!$AN:$AN,MATCH(MEDIÇÃO!K49,'PROJETO PERFURAÇÃO'!$B:$B,0)),"")</f>
        <v>16.34</v>
      </c>
      <c r="N49" s="3"/>
      <c r="O49" s="3"/>
      <c r="P49" s="3" t="str">
        <f>IFERROR(ROUND(INDEX('PROJETO PERFURAÇÃO'!$AB:$AB,MATCH(MEDIÇÃO!R49,'PROJETO PERFURAÇÃO'!$B:$B,0)),1)&amp;"''","")</f>
        <v>5''</v>
      </c>
      <c r="Q49" s="3" t="str">
        <f>IFERROR(IF(INDEX('PROJETO PERFURAÇÃO'!$P:$P,MATCH(MEDIÇÃO!R49,'PROJETO PERFURAÇÃO'!$B:$B,0))="Production","P",IF(INDEX('PROJETO PERFURAÇÃO'!$P:$P,MATCH(MEDIÇÃO!R49,'PROJETO PERFURAÇÃO'!$B:$B,0))="Buffer","B",IF(INDEX('PROJETO PERFURAÇÃO'!$P:$P,MATCH(MEDIÇÃO!R49,'PROJETO PERFURAÇÃO'!$B:$B,0))="Pre-Splitting","S"))),"")</f>
        <v>P</v>
      </c>
      <c r="R49" s="14">
        <f t="shared" si="5"/>
        <v>129</v>
      </c>
      <c r="S49" s="4" t="str">
        <f>IFERROR(INDEX('LEV R&amp;D'!$D:$D,MATCH(MEDIÇÃO!R49,'LEV R&amp;D'!$A:$A,0))-INDEX('PROJETO PERFURAÇÃO'!$AH:$AH,MATCH(MEDIÇÃO!R49,'PROJETO PERFURAÇÃO'!$B:$B,0)),"")</f>
        <v/>
      </c>
      <c r="T49" s="17">
        <f>IFERROR(INDEX('PROJETO PERFURAÇÃO'!$AN:$AN,MATCH(MEDIÇÃO!R49,'PROJETO PERFURAÇÃO'!$B:$B,0)),"")</f>
        <v>0</v>
      </c>
      <c r="U49" s="3"/>
      <c r="V49" s="3"/>
    </row>
    <row r="50" spans="2:22" ht="45" customHeight="1" x14ac:dyDescent="0.25">
      <c r="B50" s="3" t="str">
        <f>IFERROR(ROUND(INDEX('PROJETO PERFURAÇÃO'!$AB:$AB,MATCH(MEDIÇÃO!D50,'PROJETO PERFURAÇÃO'!$B:$B,0)),1)&amp;"''","")</f>
        <v>5''</v>
      </c>
      <c r="C50" s="3" t="str">
        <f>IFERROR(IF(INDEX('PROJETO PERFURAÇÃO'!$P:$P,MATCH(MEDIÇÃO!D50,'PROJETO PERFURAÇÃO'!$B:$B,0))="Production","P",IF(INDEX('PROJETO PERFURAÇÃO'!$P:$P,MATCH(MEDIÇÃO!D50,'PROJETO PERFURAÇÃO'!$B:$B,0))="Buffer","B",IF(INDEX('PROJETO PERFURAÇÃO'!$P:$P,MATCH(MEDIÇÃO!D50,'PROJETO PERFURAÇÃO'!$B:$B,0))="Pre-Splitting","S"))),"")</f>
        <v>S</v>
      </c>
      <c r="D50" s="14">
        <f t="shared" si="3"/>
        <v>84</v>
      </c>
      <c r="E50" s="4" t="str">
        <f>IFERROR(INDEX('LEV R&amp;D'!$D:$D,MATCH(MEDIÇÃO!D50,'LEV R&amp;D'!$A:$A,0))-INDEX('PROJETO PERFURAÇÃO'!$AH:$AH,MATCH(MEDIÇÃO!D50,'PROJETO PERFURAÇÃO'!$B:$B,0)),"")</f>
        <v/>
      </c>
      <c r="F50" s="17">
        <f>IFERROR(INDEX('PROJETO PERFURAÇÃO'!$AN:$AN,MATCH(MEDIÇÃO!D50,'PROJETO PERFURAÇÃO'!$B:$B,0)),"")</f>
        <v>15.01</v>
      </c>
      <c r="G50" s="3"/>
      <c r="H50" s="3"/>
      <c r="I50" s="3" t="str">
        <f>IFERROR(ROUND(INDEX('PROJETO PERFURAÇÃO'!$AB:$AB,MATCH(MEDIÇÃO!K50,'PROJETO PERFURAÇÃO'!$B:$B,0)),1)&amp;"''","")</f>
        <v>5''</v>
      </c>
      <c r="J50" s="3" t="str">
        <f>IFERROR(IF(INDEX('PROJETO PERFURAÇÃO'!$P:$P,MATCH(MEDIÇÃO!K50,'PROJETO PERFURAÇÃO'!$B:$B,0))="Production","P",IF(INDEX('PROJETO PERFURAÇÃO'!$P:$P,MATCH(MEDIÇÃO!K50,'PROJETO PERFURAÇÃO'!$B:$B,0))="Buffer","B",IF(INDEX('PROJETO PERFURAÇÃO'!$P:$P,MATCH(MEDIÇÃO!K50,'PROJETO PERFURAÇÃO'!$B:$B,0))="Pre-Splitting","S"))),"")</f>
        <v>S</v>
      </c>
      <c r="K50" s="14">
        <f t="shared" si="4"/>
        <v>107</v>
      </c>
      <c r="L50" s="4" t="str">
        <f>IFERROR(INDEX('LEV R&amp;D'!$D:$D,MATCH(MEDIÇÃO!K50,'LEV R&amp;D'!$A:$A,0))-INDEX('PROJETO PERFURAÇÃO'!$AH:$AH,MATCH(MEDIÇÃO!K50,'PROJETO PERFURAÇÃO'!$B:$B,0)),"")</f>
        <v/>
      </c>
      <c r="M50" s="17">
        <f>IFERROR(INDEX('PROJETO PERFURAÇÃO'!$AN:$AN,MATCH(MEDIÇÃO!K50,'PROJETO PERFURAÇÃO'!$B:$B,0)),"")</f>
        <v>16.41</v>
      </c>
      <c r="N50" s="3"/>
      <c r="O50" s="3"/>
      <c r="P50" s="3" t="str">
        <f>IFERROR(ROUND(INDEX('PROJETO PERFURAÇÃO'!$AB:$AB,MATCH(MEDIÇÃO!R50,'PROJETO PERFURAÇÃO'!$B:$B,0)),1)&amp;"''","")</f>
        <v>5''</v>
      </c>
      <c r="Q50" s="3" t="str">
        <f>IFERROR(IF(INDEX('PROJETO PERFURAÇÃO'!$P:$P,MATCH(MEDIÇÃO!R50,'PROJETO PERFURAÇÃO'!$B:$B,0))="Production","P",IF(INDEX('PROJETO PERFURAÇÃO'!$P:$P,MATCH(MEDIÇÃO!R50,'PROJETO PERFURAÇÃO'!$B:$B,0))="Buffer","B",IF(INDEX('PROJETO PERFURAÇÃO'!$P:$P,MATCH(MEDIÇÃO!R50,'PROJETO PERFURAÇÃO'!$B:$B,0))="Pre-Splitting","S"))),"")</f>
        <v>P</v>
      </c>
      <c r="R50" s="14">
        <f t="shared" si="5"/>
        <v>130</v>
      </c>
      <c r="S50" s="4" t="str">
        <f>IFERROR(INDEX('LEV R&amp;D'!$D:$D,MATCH(MEDIÇÃO!R50,'LEV R&amp;D'!$A:$A,0))-INDEX('PROJETO PERFURAÇÃO'!$AH:$AH,MATCH(MEDIÇÃO!R50,'PROJETO PERFURAÇÃO'!$B:$B,0)),"")</f>
        <v/>
      </c>
      <c r="T50" s="17">
        <f>IFERROR(INDEX('PROJETO PERFURAÇÃO'!$AN:$AN,MATCH(MEDIÇÃO!R50,'PROJETO PERFURAÇÃO'!$B:$B,0)),"")</f>
        <v>0</v>
      </c>
      <c r="U50" s="3"/>
      <c r="V50" s="3"/>
    </row>
    <row r="51" spans="2:22" ht="45" customHeight="1" x14ac:dyDescent="0.25">
      <c r="B51" s="3" t="str">
        <f>IFERROR(ROUND(INDEX('PROJETO PERFURAÇÃO'!$AB:$AB,MATCH(MEDIÇÃO!D51,'PROJETO PERFURAÇÃO'!$B:$B,0)),1)&amp;"''","")</f>
        <v>5''</v>
      </c>
      <c r="C51" s="3" t="str">
        <f>IFERROR(IF(INDEX('PROJETO PERFURAÇÃO'!$P:$P,MATCH(MEDIÇÃO!D51,'PROJETO PERFURAÇÃO'!$B:$B,0))="Production","P",IF(INDEX('PROJETO PERFURAÇÃO'!$P:$P,MATCH(MEDIÇÃO!D51,'PROJETO PERFURAÇÃO'!$B:$B,0))="Buffer","B",IF(INDEX('PROJETO PERFURAÇÃO'!$P:$P,MATCH(MEDIÇÃO!D51,'PROJETO PERFURAÇÃO'!$B:$B,0))="Pre-Splitting","S"))),"")</f>
        <v>S</v>
      </c>
      <c r="D51" s="14">
        <f t="shared" si="3"/>
        <v>85</v>
      </c>
      <c r="E51" s="4" t="str">
        <f>IFERROR(INDEX('LEV R&amp;D'!$D:$D,MATCH(MEDIÇÃO!D51,'LEV R&amp;D'!$A:$A,0))-INDEX('PROJETO PERFURAÇÃO'!$AH:$AH,MATCH(MEDIÇÃO!D51,'PROJETO PERFURAÇÃO'!$B:$B,0)),"")</f>
        <v/>
      </c>
      <c r="F51" s="17">
        <f>IFERROR(INDEX('PROJETO PERFURAÇÃO'!$AN:$AN,MATCH(MEDIÇÃO!D51,'PROJETO PERFURAÇÃO'!$B:$B,0)),"")</f>
        <v>14.69</v>
      </c>
      <c r="G51" s="3"/>
      <c r="H51" s="3"/>
      <c r="I51" s="3" t="str">
        <f>IFERROR(ROUND(INDEX('PROJETO PERFURAÇÃO'!$AB:$AB,MATCH(MEDIÇÃO!K51,'PROJETO PERFURAÇÃO'!$B:$B,0)),1)&amp;"''","")</f>
        <v>5''</v>
      </c>
      <c r="J51" s="3" t="str">
        <f>IFERROR(IF(INDEX('PROJETO PERFURAÇÃO'!$P:$P,MATCH(MEDIÇÃO!K51,'PROJETO PERFURAÇÃO'!$B:$B,0))="Production","P",IF(INDEX('PROJETO PERFURAÇÃO'!$P:$P,MATCH(MEDIÇÃO!K51,'PROJETO PERFURAÇÃO'!$B:$B,0))="Buffer","B",IF(INDEX('PROJETO PERFURAÇÃO'!$P:$P,MATCH(MEDIÇÃO!K51,'PROJETO PERFURAÇÃO'!$B:$B,0))="Pre-Splitting","S"))),"")</f>
        <v>S</v>
      </c>
      <c r="K51" s="14">
        <f t="shared" si="4"/>
        <v>108</v>
      </c>
      <c r="L51" s="4" t="str">
        <f>IFERROR(INDEX('LEV R&amp;D'!$D:$D,MATCH(MEDIÇÃO!K51,'LEV R&amp;D'!$A:$A,0))-INDEX('PROJETO PERFURAÇÃO'!$AH:$AH,MATCH(MEDIÇÃO!K51,'PROJETO PERFURAÇÃO'!$B:$B,0)),"")</f>
        <v/>
      </c>
      <c r="M51" s="17">
        <f>IFERROR(INDEX('PROJETO PERFURAÇÃO'!$AN:$AN,MATCH(MEDIÇÃO!K51,'PROJETO PERFURAÇÃO'!$B:$B,0)),"")</f>
        <v>16.61</v>
      </c>
      <c r="N51" s="3"/>
      <c r="O51" s="3"/>
      <c r="P51" s="3" t="str">
        <f>IFERROR(ROUND(INDEX('PROJETO PERFURAÇÃO'!$AB:$AB,MATCH(MEDIÇÃO!R51,'PROJETO PERFURAÇÃO'!$B:$B,0)),1)&amp;"''","")</f>
        <v>5''</v>
      </c>
      <c r="Q51" s="3" t="str">
        <f>IFERROR(IF(INDEX('PROJETO PERFURAÇÃO'!$P:$P,MATCH(MEDIÇÃO!R51,'PROJETO PERFURAÇÃO'!$B:$B,0))="Production","P",IF(INDEX('PROJETO PERFURAÇÃO'!$P:$P,MATCH(MEDIÇÃO!R51,'PROJETO PERFURAÇÃO'!$B:$B,0))="Buffer","B",IF(INDEX('PROJETO PERFURAÇÃO'!$P:$P,MATCH(MEDIÇÃO!R51,'PROJETO PERFURAÇÃO'!$B:$B,0))="Pre-Splitting","S"))),"")</f>
        <v>P</v>
      </c>
      <c r="R51" s="14">
        <f t="shared" si="5"/>
        <v>131</v>
      </c>
      <c r="S51" s="4" t="str">
        <f>IFERROR(INDEX('LEV R&amp;D'!$D:$D,MATCH(MEDIÇÃO!R51,'LEV R&amp;D'!$A:$A,0))-INDEX('PROJETO PERFURAÇÃO'!$AH:$AH,MATCH(MEDIÇÃO!R51,'PROJETO PERFURAÇÃO'!$B:$B,0)),"")</f>
        <v/>
      </c>
      <c r="T51" s="17">
        <f>IFERROR(INDEX('PROJETO PERFURAÇÃO'!$AN:$AN,MATCH(MEDIÇÃO!R51,'PROJETO PERFURAÇÃO'!$B:$B,0)),"")</f>
        <v>0</v>
      </c>
      <c r="U51" s="3"/>
      <c r="V51" s="3"/>
    </row>
    <row r="52" spans="2:22" ht="45" customHeight="1" x14ac:dyDescent="0.25">
      <c r="B52" s="3" t="str">
        <f>IFERROR(ROUND(INDEX('PROJETO PERFURAÇÃO'!$AB:$AB,MATCH(MEDIÇÃO!D52,'PROJETO PERFURAÇÃO'!$B:$B,0)),1)&amp;"''","")</f>
        <v>5''</v>
      </c>
      <c r="C52" s="3" t="str">
        <f>IFERROR(IF(INDEX('PROJETO PERFURAÇÃO'!$P:$P,MATCH(MEDIÇÃO!D52,'PROJETO PERFURAÇÃO'!$B:$B,0))="Production","P",IF(INDEX('PROJETO PERFURAÇÃO'!$P:$P,MATCH(MEDIÇÃO!D52,'PROJETO PERFURAÇÃO'!$B:$B,0))="Buffer","B",IF(INDEX('PROJETO PERFURAÇÃO'!$P:$P,MATCH(MEDIÇÃO!D52,'PROJETO PERFURAÇÃO'!$B:$B,0))="Pre-Splitting","S"))),"")</f>
        <v>S</v>
      </c>
      <c r="D52" s="14">
        <f t="shared" si="3"/>
        <v>86</v>
      </c>
      <c r="E52" s="4" t="str">
        <f>IFERROR(INDEX('LEV R&amp;D'!$D:$D,MATCH(MEDIÇÃO!D52,'LEV R&amp;D'!$A:$A,0))-INDEX('PROJETO PERFURAÇÃO'!$AH:$AH,MATCH(MEDIÇÃO!D52,'PROJETO PERFURAÇÃO'!$B:$B,0)),"")</f>
        <v/>
      </c>
      <c r="F52" s="17">
        <f>IFERROR(INDEX('PROJETO PERFURAÇÃO'!$AN:$AN,MATCH(MEDIÇÃO!D52,'PROJETO PERFURAÇÃO'!$B:$B,0)),"")</f>
        <v>14.61</v>
      </c>
      <c r="G52" s="3"/>
      <c r="H52" s="3"/>
      <c r="I52" s="3" t="str">
        <f>IFERROR(ROUND(INDEX('PROJETO PERFURAÇÃO'!$AB:$AB,MATCH(MEDIÇÃO!K52,'PROJETO PERFURAÇÃO'!$B:$B,0)),1)&amp;"''","")</f>
        <v>5''</v>
      </c>
      <c r="J52" s="3" t="str">
        <f>IFERROR(IF(INDEX('PROJETO PERFURAÇÃO'!$P:$P,MATCH(MEDIÇÃO!K52,'PROJETO PERFURAÇÃO'!$B:$B,0))="Production","P",IF(INDEX('PROJETO PERFURAÇÃO'!$P:$P,MATCH(MEDIÇÃO!K52,'PROJETO PERFURAÇÃO'!$B:$B,0))="Buffer","B",IF(INDEX('PROJETO PERFURAÇÃO'!$P:$P,MATCH(MEDIÇÃO!K52,'PROJETO PERFURAÇÃO'!$B:$B,0))="Pre-Splitting","S"))),"")</f>
        <v>S</v>
      </c>
      <c r="K52" s="14">
        <f t="shared" si="4"/>
        <v>109</v>
      </c>
      <c r="L52" s="4" t="str">
        <f>IFERROR(INDEX('LEV R&amp;D'!$D:$D,MATCH(MEDIÇÃO!K52,'LEV R&amp;D'!$A:$A,0))-INDEX('PROJETO PERFURAÇÃO'!$AH:$AH,MATCH(MEDIÇÃO!K52,'PROJETO PERFURAÇÃO'!$B:$B,0)),"")</f>
        <v/>
      </c>
      <c r="M52" s="17">
        <f>IFERROR(INDEX('PROJETO PERFURAÇÃO'!$AN:$AN,MATCH(MEDIÇÃO!K52,'PROJETO PERFURAÇÃO'!$B:$B,0)),"")</f>
        <v>16.84</v>
      </c>
      <c r="N52" s="3"/>
      <c r="O52" s="3"/>
      <c r="P52" s="3" t="str">
        <f>IFERROR(ROUND(INDEX('PROJETO PERFURAÇÃO'!$AB:$AB,MATCH(MEDIÇÃO!R52,'PROJETO PERFURAÇÃO'!$B:$B,0)),1)&amp;"''","")</f>
        <v>5''</v>
      </c>
      <c r="Q52" s="3" t="str">
        <f>IFERROR(IF(INDEX('PROJETO PERFURAÇÃO'!$P:$P,MATCH(MEDIÇÃO!R52,'PROJETO PERFURAÇÃO'!$B:$B,0))="Production","P",IF(INDEX('PROJETO PERFURAÇÃO'!$P:$P,MATCH(MEDIÇÃO!R52,'PROJETO PERFURAÇÃO'!$B:$B,0))="Buffer","B",IF(INDEX('PROJETO PERFURAÇÃO'!$P:$P,MATCH(MEDIÇÃO!R52,'PROJETO PERFURAÇÃO'!$B:$B,0))="Pre-Splitting","S"))),"")</f>
        <v>P</v>
      </c>
      <c r="R52" s="14">
        <f t="shared" si="5"/>
        <v>132</v>
      </c>
      <c r="S52" s="4" t="str">
        <f>IFERROR(INDEX('LEV R&amp;D'!$D:$D,MATCH(MEDIÇÃO!R52,'LEV R&amp;D'!$A:$A,0))-INDEX('PROJETO PERFURAÇÃO'!$AH:$AH,MATCH(MEDIÇÃO!R52,'PROJETO PERFURAÇÃO'!$B:$B,0)),"")</f>
        <v/>
      </c>
      <c r="T52" s="17">
        <f>IFERROR(INDEX('PROJETO PERFURAÇÃO'!$AN:$AN,MATCH(MEDIÇÃO!R52,'PROJETO PERFURAÇÃO'!$B:$B,0)),"")</f>
        <v>0</v>
      </c>
      <c r="U52" s="3"/>
      <c r="V52" s="3"/>
    </row>
    <row r="53" spans="2:22" ht="45" customHeight="1" x14ac:dyDescent="0.25">
      <c r="B53" s="3" t="str">
        <f>IFERROR(ROUND(INDEX('PROJETO PERFURAÇÃO'!$AB:$AB,MATCH(MEDIÇÃO!D53,'PROJETO PERFURAÇÃO'!$B:$B,0)),1)&amp;"''","")</f>
        <v>5''</v>
      </c>
      <c r="C53" s="3" t="str">
        <f>IFERROR(IF(INDEX('PROJETO PERFURAÇÃO'!$P:$P,MATCH(MEDIÇÃO!D53,'PROJETO PERFURAÇÃO'!$B:$B,0))="Production","P",IF(INDEX('PROJETO PERFURAÇÃO'!$P:$P,MATCH(MEDIÇÃO!D53,'PROJETO PERFURAÇÃO'!$B:$B,0))="Buffer","B",IF(INDEX('PROJETO PERFURAÇÃO'!$P:$P,MATCH(MEDIÇÃO!D53,'PROJETO PERFURAÇÃO'!$B:$B,0))="Pre-Splitting","S"))),"")</f>
        <v>S</v>
      </c>
      <c r="D53" s="14">
        <f t="shared" si="3"/>
        <v>87</v>
      </c>
      <c r="E53" s="4" t="str">
        <f>IFERROR(INDEX('LEV R&amp;D'!$D:$D,MATCH(MEDIÇÃO!D53,'LEV R&amp;D'!$A:$A,0))-INDEX('PROJETO PERFURAÇÃO'!$AH:$AH,MATCH(MEDIÇÃO!D53,'PROJETO PERFURAÇÃO'!$B:$B,0)),"")</f>
        <v/>
      </c>
      <c r="F53" s="17">
        <f>IFERROR(INDEX('PROJETO PERFURAÇÃO'!$AN:$AN,MATCH(MEDIÇÃO!D53,'PROJETO PERFURAÇÃO'!$B:$B,0)),"")</f>
        <v>14.54</v>
      </c>
      <c r="G53" s="3"/>
      <c r="H53" s="3"/>
      <c r="I53" s="3" t="str">
        <f>IFERROR(ROUND(INDEX('PROJETO PERFURAÇÃO'!$AB:$AB,MATCH(MEDIÇÃO!K53,'PROJETO PERFURAÇÃO'!$B:$B,0)),1)&amp;"''","")</f>
        <v>5''</v>
      </c>
      <c r="J53" s="3" t="str">
        <f>IFERROR(IF(INDEX('PROJETO PERFURAÇÃO'!$P:$P,MATCH(MEDIÇÃO!K53,'PROJETO PERFURAÇÃO'!$B:$B,0))="Production","P",IF(INDEX('PROJETO PERFURAÇÃO'!$P:$P,MATCH(MEDIÇÃO!K53,'PROJETO PERFURAÇÃO'!$B:$B,0))="Buffer","B",IF(INDEX('PROJETO PERFURAÇÃO'!$P:$P,MATCH(MEDIÇÃO!K53,'PROJETO PERFURAÇÃO'!$B:$B,0))="Pre-Splitting","S"))),"")</f>
        <v>S</v>
      </c>
      <c r="K53" s="14">
        <f t="shared" si="4"/>
        <v>110</v>
      </c>
      <c r="L53" s="4" t="str">
        <f>IFERROR(INDEX('LEV R&amp;D'!$D:$D,MATCH(MEDIÇÃO!K53,'LEV R&amp;D'!$A:$A,0))-INDEX('PROJETO PERFURAÇÃO'!$AH:$AH,MATCH(MEDIÇÃO!K53,'PROJETO PERFURAÇÃO'!$B:$B,0)),"")</f>
        <v/>
      </c>
      <c r="M53" s="17">
        <f>IFERROR(INDEX('PROJETO PERFURAÇÃO'!$AN:$AN,MATCH(MEDIÇÃO!K53,'PROJETO PERFURAÇÃO'!$B:$B,0)),"")</f>
        <v>17.239999999999998</v>
      </c>
      <c r="N53" s="3"/>
      <c r="O53" s="3"/>
      <c r="P53" s="3" t="str">
        <f>IFERROR(ROUND(INDEX('PROJETO PERFURAÇÃO'!$AB:$AB,MATCH(MEDIÇÃO!R53,'PROJETO PERFURAÇÃO'!$B:$B,0)),1)&amp;"''","")</f>
        <v>5''</v>
      </c>
      <c r="Q53" s="3" t="str">
        <f>IFERROR(IF(INDEX('PROJETO PERFURAÇÃO'!$P:$P,MATCH(MEDIÇÃO!R53,'PROJETO PERFURAÇÃO'!$B:$B,0))="Production","P",IF(INDEX('PROJETO PERFURAÇÃO'!$P:$P,MATCH(MEDIÇÃO!R53,'PROJETO PERFURAÇÃO'!$B:$B,0))="Buffer","B",IF(INDEX('PROJETO PERFURAÇÃO'!$P:$P,MATCH(MEDIÇÃO!R53,'PROJETO PERFURAÇÃO'!$B:$B,0))="Pre-Splitting","S"))),"")</f>
        <v>P</v>
      </c>
      <c r="R53" s="14">
        <f t="shared" si="5"/>
        <v>133</v>
      </c>
      <c r="S53" s="4" t="str">
        <f>IFERROR(INDEX('LEV R&amp;D'!$D:$D,MATCH(MEDIÇÃO!R53,'LEV R&amp;D'!$A:$A,0))-INDEX('PROJETO PERFURAÇÃO'!$AH:$AH,MATCH(MEDIÇÃO!R53,'PROJETO PERFURAÇÃO'!$B:$B,0)),"")</f>
        <v/>
      </c>
      <c r="T53" s="17">
        <f>IFERROR(INDEX('PROJETO PERFURAÇÃO'!$AN:$AN,MATCH(MEDIÇÃO!R53,'PROJETO PERFURAÇÃO'!$B:$B,0)),"")</f>
        <v>0</v>
      </c>
      <c r="U53" s="3"/>
      <c r="V53" s="3"/>
    </row>
    <row r="54" spans="2:22" ht="45" customHeight="1" x14ac:dyDescent="0.25">
      <c r="B54" s="3" t="str">
        <f>IFERROR(ROUND(INDEX('PROJETO PERFURAÇÃO'!$AB:$AB,MATCH(MEDIÇÃO!D54,'PROJETO PERFURAÇÃO'!$B:$B,0)),1)&amp;"''","")</f>
        <v>5''</v>
      </c>
      <c r="C54" s="3" t="str">
        <f>IFERROR(IF(INDEX('PROJETO PERFURAÇÃO'!$P:$P,MATCH(MEDIÇÃO!D54,'PROJETO PERFURAÇÃO'!$B:$B,0))="Production","P",IF(INDEX('PROJETO PERFURAÇÃO'!$P:$P,MATCH(MEDIÇÃO!D54,'PROJETO PERFURAÇÃO'!$B:$B,0))="Buffer","B",IF(INDEX('PROJETO PERFURAÇÃO'!$P:$P,MATCH(MEDIÇÃO!D54,'PROJETO PERFURAÇÃO'!$B:$B,0))="Pre-Splitting","S"))),"")</f>
        <v>S</v>
      </c>
      <c r="D54" s="14">
        <f t="shared" si="3"/>
        <v>88</v>
      </c>
      <c r="E54" s="4" t="str">
        <f>IFERROR(INDEX('LEV R&amp;D'!$D:$D,MATCH(MEDIÇÃO!D54,'LEV R&amp;D'!$A:$A,0))-INDEX('PROJETO PERFURAÇÃO'!$AH:$AH,MATCH(MEDIÇÃO!D54,'PROJETO PERFURAÇÃO'!$B:$B,0)),"")</f>
        <v/>
      </c>
      <c r="F54" s="17">
        <f>IFERROR(INDEX('PROJETO PERFURAÇÃO'!$AN:$AN,MATCH(MEDIÇÃO!D54,'PROJETO PERFURAÇÃO'!$B:$B,0)),"")</f>
        <v>14.67</v>
      </c>
      <c r="G54" s="3"/>
      <c r="H54" s="3"/>
      <c r="I54" s="3" t="str">
        <f>IFERROR(ROUND(INDEX('PROJETO PERFURAÇÃO'!$AB:$AB,MATCH(MEDIÇÃO!K54,'PROJETO PERFURAÇÃO'!$B:$B,0)),1)&amp;"''","")</f>
        <v>5''</v>
      </c>
      <c r="J54" s="3" t="str">
        <f>IFERROR(IF(INDEX('PROJETO PERFURAÇÃO'!$P:$P,MATCH(MEDIÇÃO!K54,'PROJETO PERFURAÇÃO'!$B:$B,0))="Production","P",IF(INDEX('PROJETO PERFURAÇÃO'!$P:$P,MATCH(MEDIÇÃO!K54,'PROJETO PERFURAÇÃO'!$B:$B,0))="Buffer","B",IF(INDEX('PROJETO PERFURAÇÃO'!$P:$P,MATCH(MEDIÇÃO!K54,'PROJETO PERFURAÇÃO'!$B:$B,0))="Pre-Splitting","S"))),"")</f>
        <v>S</v>
      </c>
      <c r="K54" s="14">
        <f t="shared" si="4"/>
        <v>111</v>
      </c>
      <c r="L54" s="4" t="str">
        <f>IFERROR(INDEX('LEV R&amp;D'!$D:$D,MATCH(MEDIÇÃO!K54,'LEV R&amp;D'!$A:$A,0))-INDEX('PROJETO PERFURAÇÃO'!$AH:$AH,MATCH(MEDIÇÃO!K54,'PROJETO PERFURAÇÃO'!$B:$B,0)),"")</f>
        <v/>
      </c>
      <c r="M54" s="17">
        <f>IFERROR(INDEX('PROJETO PERFURAÇÃO'!$AN:$AN,MATCH(MEDIÇÃO!K54,'PROJETO PERFURAÇÃO'!$B:$B,0)),"")</f>
        <v>17.46</v>
      </c>
      <c r="N54" s="3"/>
      <c r="O54" s="3"/>
      <c r="P54" s="3" t="str">
        <f>IFERROR(ROUND(INDEX('PROJETO PERFURAÇÃO'!$AB:$AB,MATCH(MEDIÇÃO!R54,'PROJETO PERFURAÇÃO'!$B:$B,0)),1)&amp;"''","")</f>
        <v>5''</v>
      </c>
      <c r="Q54" s="3" t="str">
        <f>IFERROR(IF(INDEX('PROJETO PERFURAÇÃO'!$P:$P,MATCH(MEDIÇÃO!R54,'PROJETO PERFURAÇÃO'!$B:$B,0))="Production","P",IF(INDEX('PROJETO PERFURAÇÃO'!$P:$P,MATCH(MEDIÇÃO!R54,'PROJETO PERFURAÇÃO'!$B:$B,0))="Buffer","B",IF(INDEX('PROJETO PERFURAÇÃO'!$P:$P,MATCH(MEDIÇÃO!R54,'PROJETO PERFURAÇÃO'!$B:$B,0))="Pre-Splitting","S"))),"")</f>
        <v>P</v>
      </c>
      <c r="R54" s="14">
        <f t="shared" si="5"/>
        <v>134</v>
      </c>
      <c r="S54" s="4" t="str">
        <f>IFERROR(INDEX('LEV R&amp;D'!$D:$D,MATCH(MEDIÇÃO!R54,'LEV R&amp;D'!$A:$A,0))-INDEX('PROJETO PERFURAÇÃO'!$AH:$AH,MATCH(MEDIÇÃO!R54,'PROJETO PERFURAÇÃO'!$B:$B,0)),"")</f>
        <v/>
      </c>
      <c r="T54" s="17">
        <f>IFERROR(INDEX('PROJETO PERFURAÇÃO'!$AN:$AN,MATCH(MEDIÇÃO!R54,'PROJETO PERFURAÇÃO'!$B:$B,0)),"")</f>
        <v>0</v>
      </c>
      <c r="U54" s="3"/>
      <c r="V54" s="3"/>
    </row>
    <row r="55" spans="2:22" ht="45" customHeight="1" x14ac:dyDescent="0.25">
      <c r="B55" s="3" t="str">
        <f>IFERROR(ROUND(INDEX('PROJETO PERFURAÇÃO'!$AB:$AB,MATCH(MEDIÇÃO!D55,'PROJETO PERFURAÇÃO'!$B:$B,0)),1)&amp;"''","")</f>
        <v>5''</v>
      </c>
      <c r="C55" s="3" t="str">
        <f>IFERROR(IF(INDEX('PROJETO PERFURAÇÃO'!$P:$P,MATCH(MEDIÇÃO!D55,'PROJETO PERFURAÇÃO'!$B:$B,0))="Production","P",IF(INDEX('PROJETO PERFURAÇÃO'!$P:$P,MATCH(MEDIÇÃO!D55,'PROJETO PERFURAÇÃO'!$B:$B,0))="Buffer","B",IF(INDEX('PROJETO PERFURAÇÃO'!$P:$P,MATCH(MEDIÇÃO!D55,'PROJETO PERFURAÇÃO'!$B:$B,0))="Pre-Splitting","S"))),"")</f>
        <v>S</v>
      </c>
      <c r="D55" s="14">
        <f t="shared" si="3"/>
        <v>89</v>
      </c>
      <c r="E55" s="4" t="str">
        <f>IFERROR(INDEX('LEV R&amp;D'!$D:$D,MATCH(MEDIÇÃO!D55,'LEV R&amp;D'!$A:$A,0))-INDEX('PROJETO PERFURAÇÃO'!$AH:$AH,MATCH(MEDIÇÃO!D55,'PROJETO PERFURAÇÃO'!$B:$B,0)),"")</f>
        <v/>
      </c>
      <c r="F55" s="17">
        <f>IFERROR(INDEX('PROJETO PERFURAÇÃO'!$AN:$AN,MATCH(MEDIÇÃO!D55,'PROJETO PERFURAÇÃO'!$B:$B,0)),"")</f>
        <v>14.85</v>
      </c>
      <c r="G55" s="3"/>
      <c r="H55" s="3"/>
      <c r="I55" s="3" t="str">
        <f>IFERROR(ROUND(INDEX('PROJETO PERFURAÇÃO'!$AB:$AB,MATCH(MEDIÇÃO!K55,'PROJETO PERFURAÇÃO'!$B:$B,0)),1)&amp;"''","")</f>
        <v>5''</v>
      </c>
      <c r="J55" s="3" t="str">
        <f>IFERROR(IF(INDEX('PROJETO PERFURAÇÃO'!$P:$P,MATCH(MEDIÇÃO!K55,'PROJETO PERFURAÇÃO'!$B:$B,0))="Production","P",IF(INDEX('PROJETO PERFURAÇÃO'!$P:$P,MATCH(MEDIÇÃO!K55,'PROJETO PERFURAÇÃO'!$B:$B,0))="Buffer","B",IF(INDEX('PROJETO PERFURAÇÃO'!$P:$P,MATCH(MEDIÇÃO!K55,'PROJETO PERFURAÇÃO'!$B:$B,0))="Pre-Splitting","S"))),"")</f>
        <v>S</v>
      </c>
      <c r="K55" s="14">
        <f t="shared" si="4"/>
        <v>112</v>
      </c>
      <c r="L55" s="4" t="str">
        <f>IFERROR(INDEX('LEV R&amp;D'!$D:$D,MATCH(MEDIÇÃO!K55,'LEV R&amp;D'!$A:$A,0))-INDEX('PROJETO PERFURAÇÃO'!$AH:$AH,MATCH(MEDIÇÃO!K55,'PROJETO PERFURAÇÃO'!$B:$B,0)),"")</f>
        <v/>
      </c>
      <c r="M55" s="17">
        <f>IFERROR(INDEX('PROJETO PERFURAÇÃO'!$AN:$AN,MATCH(MEDIÇÃO!K55,'PROJETO PERFURAÇÃO'!$B:$B,0)),"")</f>
        <v>17.84</v>
      </c>
      <c r="N55" s="3"/>
      <c r="O55" s="3"/>
      <c r="P55" s="3" t="str">
        <f>IFERROR(ROUND(INDEX('PROJETO PERFURAÇÃO'!$AB:$AB,MATCH(MEDIÇÃO!R55,'PROJETO PERFURAÇÃO'!$B:$B,0)),1)&amp;"''","")</f>
        <v>5''</v>
      </c>
      <c r="Q55" s="3" t="str">
        <f>IFERROR(IF(INDEX('PROJETO PERFURAÇÃO'!$P:$P,MATCH(MEDIÇÃO!R55,'PROJETO PERFURAÇÃO'!$B:$B,0))="Production","P",IF(INDEX('PROJETO PERFURAÇÃO'!$P:$P,MATCH(MEDIÇÃO!R55,'PROJETO PERFURAÇÃO'!$B:$B,0))="Buffer","B",IF(INDEX('PROJETO PERFURAÇÃO'!$P:$P,MATCH(MEDIÇÃO!R55,'PROJETO PERFURAÇÃO'!$B:$B,0))="Pre-Splitting","S"))),"")</f>
        <v>P</v>
      </c>
      <c r="R55" s="14">
        <f t="shared" si="5"/>
        <v>135</v>
      </c>
      <c r="S55" s="4" t="str">
        <f>IFERROR(INDEX('LEV R&amp;D'!$D:$D,MATCH(MEDIÇÃO!R55,'LEV R&amp;D'!$A:$A,0))-INDEX('PROJETO PERFURAÇÃO'!$AH:$AH,MATCH(MEDIÇÃO!R55,'PROJETO PERFURAÇÃO'!$B:$B,0)),"")</f>
        <v/>
      </c>
      <c r="T55" s="17">
        <f>IFERROR(INDEX('PROJETO PERFURAÇÃO'!$AN:$AN,MATCH(MEDIÇÃO!R55,'PROJETO PERFURAÇÃO'!$B:$B,0)),"")</f>
        <v>0</v>
      </c>
      <c r="U55" s="3"/>
      <c r="V55" s="3"/>
    </row>
    <row r="56" spans="2:22" ht="45" customHeight="1" x14ac:dyDescent="0.25">
      <c r="B56" s="3" t="str">
        <f>IFERROR(ROUND(INDEX('PROJETO PERFURAÇÃO'!$AB:$AB,MATCH(MEDIÇÃO!D56,'PROJETO PERFURAÇÃO'!$B:$B,0)),1)&amp;"''","")</f>
        <v>5''</v>
      </c>
      <c r="C56" s="3" t="str">
        <f>IFERROR(IF(INDEX('PROJETO PERFURAÇÃO'!$P:$P,MATCH(MEDIÇÃO!D56,'PROJETO PERFURAÇÃO'!$B:$B,0))="Production","P",IF(INDEX('PROJETO PERFURAÇÃO'!$P:$P,MATCH(MEDIÇÃO!D56,'PROJETO PERFURAÇÃO'!$B:$B,0))="Buffer","B",IF(INDEX('PROJETO PERFURAÇÃO'!$P:$P,MATCH(MEDIÇÃO!D56,'PROJETO PERFURAÇÃO'!$B:$B,0))="Pre-Splitting","S"))),"")</f>
        <v>S</v>
      </c>
      <c r="D56" s="14">
        <f t="shared" si="3"/>
        <v>90</v>
      </c>
      <c r="E56" s="4" t="str">
        <f>IFERROR(INDEX('LEV R&amp;D'!$D:$D,MATCH(MEDIÇÃO!D56,'LEV R&amp;D'!$A:$A,0))-INDEX('PROJETO PERFURAÇÃO'!$AH:$AH,MATCH(MEDIÇÃO!D56,'PROJETO PERFURAÇÃO'!$B:$B,0)),"")</f>
        <v/>
      </c>
      <c r="F56" s="17">
        <f>IFERROR(INDEX('PROJETO PERFURAÇÃO'!$AN:$AN,MATCH(MEDIÇÃO!D56,'PROJETO PERFURAÇÃO'!$B:$B,0)),"")</f>
        <v>14.98</v>
      </c>
      <c r="G56" s="3"/>
      <c r="H56" s="3"/>
      <c r="I56" s="3" t="str">
        <f>IFERROR(ROUND(INDEX('PROJETO PERFURAÇÃO'!$AB:$AB,MATCH(MEDIÇÃO!K56,'PROJETO PERFURAÇÃO'!$B:$B,0)),1)&amp;"''","")</f>
        <v>5''</v>
      </c>
      <c r="J56" s="3" t="str">
        <f>IFERROR(IF(INDEX('PROJETO PERFURAÇÃO'!$P:$P,MATCH(MEDIÇÃO!K56,'PROJETO PERFURAÇÃO'!$B:$B,0))="Production","P",IF(INDEX('PROJETO PERFURAÇÃO'!$P:$P,MATCH(MEDIÇÃO!K56,'PROJETO PERFURAÇÃO'!$B:$B,0))="Buffer","B",IF(INDEX('PROJETO PERFURAÇÃO'!$P:$P,MATCH(MEDIÇÃO!K56,'PROJETO PERFURAÇÃO'!$B:$B,0))="Pre-Splitting","S"))),"")</f>
        <v>S</v>
      </c>
      <c r="K56" s="14">
        <f t="shared" si="4"/>
        <v>113</v>
      </c>
      <c r="L56" s="4" t="str">
        <f>IFERROR(INDEX('LEV R&amp;D'!$D:$D,MATCH(MEDIÇÃO!K56,'LEV R&amp;D'!$A:$A,0))-INDEX('PROJETO PERFURAÇÃO'!$AH:$AH,MATCH(MEDIÇÃO!K56,'PROJETO PERFURAÇÃO'!$B:$B,0)),"")</f>
        <v/>
      </c>
      <c r="M56" s="17">
        <f>IFERROR(INDEX('PROJETO PERFURAÇÃO'!$AN:$AN,MATCH(MEDIÇÃO!K56,'PROJETO PERFURAÇÃO'!$B:$B,0)),"")</f>
        <v>18.010000000000002</v>
      </c>
      <c r="N56" s="3"/>
      <c r="O56" s="3"/>
      <c r="P56" s="3" t="str">
        <f>IFERROR(ROUND(INDEX('PROJETO PERFURAÇÃO'!$AB:$AB,MATCH(MEDIÇÃO!R56,'PROJETO PERFURAÇÃO'!$B:$B,0)),1)&amp;"''","")</f>
        <v>5''</v>
      </c>
      <c r="Q56" s="3" t="str">
        <f>IFERROR(IF(INDEX('PROJETO PERFURAÇÃO'!$P:$P,MATCH(MEDIÇÃO!R56,'PROJETO PERFURAÇÃO'!$B:$B,0))="Production","P",IF(INDEX('PROJETO PERFURAÇÃO'!$P:$P,MATCH(MEDIÇÃO!R56,'PROJETO PERFURAÇÃO'!$B:$B,0))="Buffer","B",IF(INDEX('PROJETO PERFURAÇÃO'!$P:$P,MATCH(MEDIÇÃO!R56,'PROJETO PERFURAÇÃO'!$B:$B,0))="Pre-Splitting","S"))),"")</f>
        <v>P</v>
      </c>
      <c r="R56" s="14">
        <f t="shared" si="5"/>
        <v>136</v>
      </c>
      <c r="S56" s="4" t="str">
        <f>IFERROR(INDEX('LEV R&amp;D'!$D:$D,MATCH(MEDIÇÃO!R56,'LEV R&amp;D'!$A:$A,0))-INDEX('PROJETO PERFURAÇÃO'!$AH:$AH,MATCH(MEDIÇÃO!R56,'PROJETO PERFURAÇÃO'!$B:$B,0)),"")</f>
        <v/>
      </c>
      <c r="T56" s="17">
        <f>IFERROR(INDEX('PROJETO PERFURAÇÃO'!$AN:$AN,MATCH(MEDIÇÃO!R56,'PROJETO PERFURAÇÃO'!$B:$B,0)),"")</f>
        <v>0</v>
      </c>
      <c r="U56" s="3"/>
      <c r="V56" s="3"/>
    </row>
    <row r="57" spans="2:22" ht="45" customHeight="1" x14ac:dyDescent="0.25">
      <c r="B57" s="3" t="str">
        <f>IFERROR(ROUND(INDEX('PROJETO PERFURAÇÃO'!$AB:$AB,MATCH(MEDIÇÃO!D57,'PROJETO PERFURAÇÃO'!$B:$B,0)),1)&amp;"''","")</f>
        <v>5''</v>
      </c>
      <c r="C57" s="3" t="str">
        <f>IFERROR(IF(INDEX('PROJETO PERFURAÇÃO'!$P:$P,MATCH(MEDIÇÃO!D57,'PROJETO PERFURAÇÃO'!$B:$B,0))="Production","P",IF(INDEX('PROJETO PERFURAÇÃO'!$P:$P,MATCH(MEDIÇÃO!D57,'PROJETO PERFURAÇÃO'!$B:$B,0))="Buffer","B",IF(INDEX('PROJETO PERFURAÇÃO'!$P:$P,MATCH(MEDIÇÃO!D57,'PROJETO PERFURAÇÃO'!$B:$B,0))="Pre-Splitting","S"))),"")</f>
        <v>S</v>
      </c>
      <c r="D57" s="14">
        <f t="shared" si="3"/>
        <v>91</v>
      </c>
      <c r="E57" s="4" t="str">
        <f>IFERROR(INDEX('LEV R&amp;D'!$D:$D,MATCH(MEDIÇÃO!D57,'LEV R&amp;D'!$A:$A,0))-INDEX('PROJETO PERFURAÇÃO'!$AH:$AH,MATCH(MEDIÇÃO!D57,'PROJETO PERFURAÇÃO'!$B:$B,0)),"")</f>
        <v/>
      </c>
      <c r="F57" s="17">
        <f>IFERROR(INDEX('PROJETO PERFURAÇÃO'!$AN:$AN,MATCH(MEDIÇÃO!D57,'PROJETO PERFURAÇÃO'!$B:$B,0)),"")</f>
        <v>15.09</v>
      </c>
      <c r="G57" s="3"/>
      <c r="H57" s="3"/>
      <c r="I57" s="3" t="str">
        <f>IFERROR(ROUND(INDEX('PROJETO PERFURAÇÃO'!$AB:$AB,MATCH(MEDIÇÃO!K57,'PROJETO PERFURAÇÃO'!$B:$B,0)),1)&amp;"''","")</f>
        <v>5''</v>
      </c>
      <c r="J57" s="3" t="str">
        <f>IFERROR(IF(INDEX('PROJETO PERFURAÇÃO'!$P:$P,MATCH(MEDIÇÃO!K57,'PROJETO PERFURAÇÃO'!$B:$B,0))="Production","P",IF(INDEX('PROJETO PERFURAÇÃO'!$P:$P,MATCH(MEDIÇÃO!K57,'PROJETO PERFURAÇÃO'!$B:$B,0))="Buffer","B",IF(INDEX('PROJETO PERFURAÇÃO'!$P:$P,MATCH(MEDIÇÃO!K57,'PROJETO PERFURAÇÃO'!$B:$B,0))="Pre-Splitting","S"))),"")</f>
        <v>S</v>
      </c>
      <c r="K57" s="14">
        <f t="shared" si="4"/>
        <v>114</v>
      </c>
      <c r="L57" s="4" t="str">
        <f>IFERROR(INDEX('LEV R&amp;D'!$D:$D,MATCH(MEDIÇÃO!K57,'LEV R&amp;D'!$A:$A,0))-INDEX('PROJETO PERFURAÇÃO'!$AH:$AH,MATCH(MEDIÇÃO!K57,'PROJETO PERFURAÇÃO'!$B:$B,0)),"")</f>
        <v/>
      </c>
      <c r="M57" s="17">
        <f>IFERROR(INDEX('PROJETO PERFURAÇÃO'!$AN:$AN,MATCH(MEDIÇÃO!K57,'PROJETO PERFURAÇÃO'!$B:$B,0)),"")</f>
        <v>17.71</v>
      </c>
      <c r="N57" s="3"/>
      <c r="O57" s="3"/>
      <c r="P57" s="3" t="str">
        <f>IFERROR(ROUND(INDEX('PROJETO PERFURAÇÃO'!$AB:$AB,MATCH(MEDIÇÃO!R57,'PROJETO PERFURAÇÃO'!$B:$B,0)),1)&amp;"''","")</f>
        <v>5''</v>
      </c>
      <c r="Q57" s="3" t="str">
        <f>IFERROR(IF(INDEX('PROJETO PERFURAÇÃO'!$P:$P,MATCH(MEDIÇÃO!R57,'PROJETO PERFURAÇÃO'!$B:$B,0))="Production","P",IF(INDEX('PROJETO PERFURAÇÃO'!$P:$P,MATCH(MEDIÇÃO!R57,'PROJETO PERFURAÇÃO'!$B:$B,0))="Buffer","B",IF(INDEX('PROJETO PERFURAÇÃO'!$P:$P,MATCH(MEDIÇÃO!R57,'PROJETO PERFURAÇÃO'!$B:$B,0))="Pre-Splitting","S"))),"")</f>
        <v>P</v>
      </c>
      <c r="R57" s="14">
        <f t="shared" si="5"/>
        <v>137</v>
      </c>
      <c r="S57" s="4" t="str">
        <f>IFERROR(INDEX('LEV R&amp;D'!$D:$D,MATCH(MEDIÇÃO!R57,'LEV R&amp;D'!$A:$A,0))-INDEX('PROJETO PERFURAÇÃO'!$AH:$AH,MATCH(MEDIÇÃO!R57,'PROJETO PERFURAÇÃO'!$B:$B,0)),"")</f>
        <v/>
      </c>
      <c r="T57" s="17">
        <f>IFERROR(INDEX('PROJETO PERFURAÇÃO'!$AN:$AN,MATCH(MEDIÇÃO!R57,'PROJETO PERFURAÇÃO'!$B:$B,0)),"")</f>
        <v>0</v>
      </c>
      <c r="U57" s="3"/>
      <c r="V57" s="3"/>
    </row>
    <row r="58" spans="2:22" ht="45" customHeight="1" x14ac:dyDescent="0.25">
      <c r="B58" s="3" t="str">
        <f>IFERROR(ROUND(INDEX('PROJETO PERFURAÇÃO'!$AB:$AB,MATCH(MEDIÇÃO!D58,'PROJETO PERFURAÇÃO'!$B:$B,0)),1)&amp;"''","")</f>
        <v>5''</v>
      </c>
      <c r="C58" s="3" t="str">
        <f>IFERROR(IF(INDEX('PROJETO PERFURAÇÃO'!$P:$P,MATCH(MEDIÇÃO!D58,'PROJETO PERFURAÇÃO'!$B:$B,0))="Production","P",IF(INDEX('PROJETO PERFURAÇÃO'!$P:$P,MATCH(MEDIÇÃO!D58,'PROJETO PERFURAÇÃO'!$B:$B,0))="Buffer","B",IF(INDEX('PROJETO PERFURAÇÃO'!$P:$P,MATCH(MEDIÇÃO!D58,'PROJETO PERFURAÇÃO'!$B:$B,0))="Pre-Splitting","S"))),"")</f>
        <v>S</v>
      </c>
      <c r="D58" s="14">
        <f t="shared" si="3"/>
        <v>92</v>
      </c>
      <c r="E58" s="4" t="str">
        <f>IFERROR(INDEX('LEV R&amp;D'!$D:$D,MATCH(MEDIÇÃO!D58,'LEV R&amp;D'!$A:$A,0))-INDEX('PROJETO PERFURAÇÃO'!$AH:$AH,MATCH(MEDIÇÃO!D58,'PROJETO PERFURAÇÃO'!$B:$B,0)),"")</f>
        <v/>
      </c>
      <c r="F58" s="17">
        <f>IFERROR(INDEX('PROJETO PERFURAÇÃO'!$AN:$AN,MATCH(MEDIÇÃO!D58,'PROJETO PERFURAÇÃO'!$B:$B,0)),"")</f>
        <v>15.24</v>
      </c>
      <c r="G58" s="3"/>
      <c r="H58" s="3"/>
      <c r="I58" s="3" t="str">
        <f>IFERROR(ROUND(INDEX('PROJETO PERFURAÇÃO'!$AB:$AB,MATCH(MEDIÇÃO!K58,'PROJETO PERFURAÇÃO'!$B:$B,0)),1)&amp;"''","")</f>
        <v>5''</v>
      </c>
      <c r="J58" s="3" t="str">
        <f>IFERROR(IF(INDEX('PROJETO PERFURAÇÃO'!$P:$P,MATCH(MEDIÇÃO!K58,'PROJETO PERFURAÇÃO'!$B:$B,0))="Production","P",IF(INDEX('PROJETO PERFURAÇÃO'!$P:$P,MATCH(MEDIÇÃO!K58,'PROJETO PERFURAÇÃO'!$B:$B,0))="Buffer","B",IF(INDEX('PROJETO PERFURAÇÃO'!$P:$P,MATCH(MEDIÇÃO!K58,'PROJETO PERFURAÇÃO'!$B:$B,0))="Pre-Splitting","S"))),"")</f>
        <v>S</v>
      </c>
      <c r="K58" s="14">
        <f t="shared" si="4"/>
        <v>115</v>
      </c>
      <c r="L58" s="4" t="str">
        <f>IFERROR(INDEX('LEV R&amp;D'!$D:$D,MATCH(MEDIÇÃO!K58,'LEV R&amp;D'!$A:$A,0))-INDEX('PROJETO PERFURAÇÃO'!$AH:$AH,MATCH(MEDIÇÃO!K58,'PROJETO PERFURAÇÃO'!$B:$B,0)),"")</f>
        <v/>
      </c>
      <c r="M58" s="17">
        <f>IFERROR(INDEX('PROJETO PERFURAÇÃO'!$AN:$AN,MATCH(MEDIÇÃO!K58,'PROJETO PERFURAÇÃO'!$B:$B,0)),"")</f>
        <v>17.420000000000002</v>
      </c>
      <c r="N58" s="3"/>
      <c r="O58" s="3"/>
      <c r="P58" s="3" t="str">
        <f>IFERROR(ROUND(INDEX('PROJETO PERFURAÇÃO'!$AB:$AB,MATCH(MEDIÇÃO!R58,'PROJETO PERFURAÇÃO'!$B:$B,0)),1)&amp;"''","")</f>
        <v>5''</v>
      </c>
      <c r="Q58" s="3" t="str">
        <f>IFERROR(IF(INDEX('PROJETO PERFURAÇÃO'!$P:$P,MATCH(MEDIÇÃO!R58,'PROJETO PERFURAÇÃO'!$B:$B,0))="Production","P",IF(INDEX('PROJETO PERFURAÇÃO'!$P:$P,MATCH(MEDIÇÃO!R58,'PROJETO PERFURAÇÃO'!$B:$B,0))="Buffer","B",IF(INDEX('PROJETO PERFURAÇÃO'!$P:$P,MATCH(MEDIÇÃO!R58,'PROJETO PERFURAÇÃO'!$B:$B,0))="Pre-Splitting","S"))),"")</f>
        <v>P</v>
      </c>
      <c r="R58" s="14">
        <f t="shared" si="5"/>
        <v>138</v>
      </c>
      <c r="S58" s="4" t="str">
        <f>IFERROR(INDEX('LEV R&amp;D'!$D:$D,MATCH(MEDIÇÃO!R58,'LEV R&amp;D'!$A:$A,0))-INDEX('PROJETO PERFURAÇÃO'!$AH:$AH,MATCH(MEDIÇÃO!R58,'PROJETO PERFURAÇÃO'!$B:$B,0)),"")</f>
        <v/>
      </c>
      <c r="T58" s="17">
        <f>IFERROR(INDEX('PROJETO PERFURAÇÃO'!$AN:$AN,MATCH(MEDIÇÃO!R58,'PROJETO PERFURAÇÃO'!$B:$B,0)),"")</f>
        <v>0</v>
      </c>
      <c r="U58" s="3"/>
      <c r="V58" s="3"/>
    </row>
    <row r="59" spans="2:22" ht="30" customHeight="1" x14ac:dyDescent="0.25">
      <c r="B59" s="1"/>
      <c r="C59" s="1"/>
      <c r="D59" s="15"/>
      <c r="E59" s="2"/>
      <c r="F59" s="16"/>
      <c r="G59" s="1"/>
      <c r="H59" s="1"/>
      <c r="I59" s="1"/>
      <c r="J59" s="1"/>
      <c r="K59" s="15"/>
      <c r="L59" s="2"/>
      <c r="M59" s="16"/>
      <c r="N59" s="1"/>
      <c r="O59" s="1"/>
      <c r="P59" s="1"/>
      <c r="Q59" s="1"/>
      <c r="R59" s="15"/>
      <c r="S59" s="2"/>
      <c r="T59" s="16"/>
      <c r="U59" s="1"/>
      <c r="V59" s="1"/>
    </row>
    <row r="60" spans="2:22" ht="30" customHeight="1" x14ac:dyDescent="0.25">
      <c r="C60" s="20"/>
      <c r="D60" s="20"/>
      <c r="E60" s="20"/>
      <c r="F60" s="20"/>
      <c r="G60" s="20"/>
      <c r="H60" s="20"/>
      <c r="I60" s="20"/>
      <c r="J60" s="20"/>
      <c r="K60" s="20"/>
      <c r="M60" s="20"/>
      <c r="N60" s="20"/>
      <c r="O60" s="20"/>
      <c r="P60" s="20"/>
      <c r="Q60" s="20"/>
      <c r="R60" s="20"/>
      <c r="S60" s="20"/>
      <c r="T60" s="20"/>
      <c r="U60" s="20"/>
    </row>
    <row r="61" spans="2:22" ht="30" customHeight="1" x14ac:dyDescent="0.25">
      <c r="C61" s="21" t="s">
        <v>40</v>
      </c>
      <c r="D61" s="21"/>
      <c r="E61" s="21"/>
      <c r="F61" s="21"/>
      <c r="G61" s="21"/>
      <c r="H61" s="21"/>
      <c r="I61" s="21"/>
      <c r="J61" s="21"/>
      <c r="K61" s="21"/>
      <c r="L61" s="9"/>
      <c r="M61" s="21" t="s">
        <v>40</v>
      </c>
      <c r="N61" s="21"/>
      <c r="O61" s="21"/>
      <c r="P61" s="21"/>
      <c r="Q61" s="21"/>
      <c r="R61" s="21"/>
      <c r="S61" s="21"/>
      <c r="T61" s="21"/>
      <c r="U61" s="21"/>
      <c r="V61" s="9"/>
    </row>
    <row r="62" spans="2:22" ht="30" customHeight="1" x14ac:dyDescent="0.25">
      <c r="D62" s="9"/>
      <c r="E62" s="9"/>
      <c r="F62" s="9"/>
      <c r="G62" s="9"/>
      <c r="H62" s="9"/>
      <c r="I62" s="9"/>
      <c r="J62" s="9"/>
      <c r="K62" s="9"/>
      <c r="L62" s="9"/>
      <c r="M62" s="9"/>
      <c r="N62" s="9"/>
      <c r="Q62" s="9"/>
      <c r="R62" s="9"/>
      <c r="S62" s="9"/>
      <c r="T62" s="9"/>
      <c r="U62" s="9"/>
      <c r="V62" s="9"/>
    </row>
    <row r="63" spans="2:22" ht="30" customHeight="1" x14ac:dyDescent="0.25">
      <c r="B63" s="19" t="str">
        <f>'PROJETO PERFURAÇÃO'!$C$2&amp;" - "&amp;'PROJETO PERFURAÇÃO'!$H$2</f>
        <v>LIB065 - PP0651026</v>
      </c>
      <c r="C63" s="19"/>
      <c r="D63" s="19"/>
      <c r="E63" s="19"/>
      <c r="F63" s="19"/>
      <c r="G63" s="19"/>
      <c r="H63" s="19"/>
      <c r="I63" s="11" t="s">
        <v>34</v>
      </c>
      <c r="J63" s="10" t="s">
        <v>37</v>
      </c>
    </row>
    <row r="64" spans="2:22" ht="30" customHeight="1" x14ac:dyDescent="0.25">
      <c r="B64" s="19"/>
      <c r="C64" s="19"/>
      <c r="D64" s="19"/>
      <c r="E64" s="19"/>
      <c r="F64" s="19"/>
      <c r="G64" s="19"/>
      <c r="H64" s="19"/>
      <c r="I64" s="12" t="s">
        <v>35</v>
      </c>
      <c r="J64" s="10" t="s">
        <v>38</v>
      </c>
      <c r="K64" s="9"/>
      <c r="L64" s="9"/>
      <c r="M64" s="9"/>
      <c r="N64" s="9"/>
      <c r="O64" s="9"/>
      <c r="P64" s="9"/>
      <c r="Q64" s="9"/>
      <c r="R64" s="9"/>
      <c r="S64" s="9"/>
      <c r="T64" s="9"/>
      <c r="U64" s="9"/>
      <c r="V64" s="9"/>
    </row>
    <row r="65" spans="1:23" ht="30" customHeight="1" x14ac:dyDescent="0.25">
      <c r="B65" s="19"/>
      <c r="C65" s="19"/>
      <c r="D65" s="19"/>
      <c r="E65" s="19"/>
      <c r="F65" s="19"/>
      <c r="G65" s="19"/>
      <c r="H65" s="19"/>
      <c r="I65" s="13" t="s">
        <v>36</v>
      </c>
      <c r="J65" s="10" t="s">
        <v>39</v>
      </c>
    </row>
    <row r="66" spans="1:23" ht="30" customHeight="1" x14ac:dyDescent="0.25">
      <c r="A66" s="1"/>
      <c r="B66" s="6" t="s">
        <v>33</v>
      </c>
      <c r="C66" s="6" t="s">
        <v>13</v>
      </c>
      <c r="D66" s="7" t="s">
        <v>1</v>
      </c>
      <c r="E66" s="7" t="s">
        <v>29</v>
      </c>
      <c r="F66" s="7" t="s">
        <v>30</v>
      </c>
      <c r="G66" s="7" t="s">
        <v>31</v>
      </c>
      <c r="H66" s="7" t="s">
        <v>32</v>
      </c>
      <c r="I66" s="6" t="s">
        <v>33</v>
      </c>
      <c r="J66" s="6" t="s">
        <v>13</v>
      </c>
      <c r="K66" s="7" t="s">
        <v>1</v>
      </c>
      <c r="L66" s="7" t="s">
        <v>29</v>
      </c>
      <c r="M66" s="7" t="s">
        <v>30</v>
      </c>
      <c r="N66" s="7" t="s">
        <v>31</v>
      </c>
      <c r="O66" s="7" t="s">
        <v>32</v>
      </c>
      <c r="P66" s="6" t="s">
        <v>33</v>
      </c>
      <c r="Q66" s="6" t="s">
        <v>13</v>
      </c>
      <c r="R66" s="7" t="s">
        <v>1</v>
      </c>
      <c r="S66" s="7" t="s">
        <v>29</v>
      </c>
      <c r="T66" s="7" t="s">
        <v>30</v>
      </c>
      <c r="U66" s="7" t="s">
        <v>31</v>
      </c>
      <c r="V66" s="7" t="s">
        <v>32</v>
      </c>
      <c r="W66" s="1"/>
    </row>
    <row r="67" spans="1:23" ht="45" customHeight="1" x14ac:dyDescent="0.25">
      <c r="B67" s="3" t="str">
        <f>IFERROR(ROUND(INDEX('PROJETO PERFURAÇÃO'!$AB:$AB,MATCH(MEDIÇÃO!D67,'PROJETO PERFURAÇÃO'!$B:$B,0)),1)&amp;"''","")</f>
        <v>5''</v>
      </c>
      <c r="C67" s="3" t="str">
        <f>IFERROR(IF(INDEX('PROJETO PERFURAÇÃO'!$P:$P,MATCH(MEDIÇÃO!D67,'PROJETO PERFURAÇÃO'!$B:$B,0))="Production","P",IF(INDEX('PROJETO PERFURAÇÃO'!$P:$P,MATCH(MEDIÇÃO!D67,'PROJETO PERFURAÇÃO'!$B:$B,0))="Buffer","B",IF(INDEX('PROJETO PERFURAÇÃO'!$P:$P,MATCH(MEDIÇÃO!D67,'PROJETO PERFURAÇÃO'!$B:$B,0))="Pre-Splitting","S"))),"")</f>
        <v>P</v>
      </c>
      <c r="D67" s="14">
        <f>R58+1</f>
        <v>139</v>
      </c>
      <c r="E67" s="4" t="str">
        <f>IFERROR(INDEX('LEV R&amp;D'!$D:$D,MATCH(MEDIÇÃO!D67,'LEV R&amp;D'!$A:$A,0))-INDEX('PROJETO PERFURAÇÃO'!$AH:$AH,MATCH(MEDIÇÃO!D67,'PROJETO PERFURAÇÃO'!$B:$B,0)),"")</f>
        <v/>
      </c>
      <c r="F67" s="17">
        <f>IFERROR(INDEX('PROJETO PERFURAÇÃO'!$AN:$AN,MATCH(MEDIÇÃO!D67,'PROJETO PERFURAÇÃO'!$B:$B,0)),"")</f>
        <v>0</v>
      </c>
      <c r="G67" s="3"/>
      <c r="H67" s="3"/>
      <c r="I67" s="3" t="str">
        <f>IFERROR(ROUND(INDEX('PROJETO PERFURAÇÃO'!$AB:$AB,MATCH(MEDIÇÃO!K67,'PROJETO PERFURAÇÃO'!$B:$B,0)),1)&amp;"''","")</f>
        <v>5''</v>
      </c>
      <c r="J67" s="3" t="str">
        <f>IFERROR(IF(INDEX('PROJETO PERFURAÇÃO'!$P:$P,MATCH(MEDIÇÃO!K67,'PROJETO PERFURAÇÃO'!$B:$B,0))="Production","P",IF(INDEX('PROJETO PERFURAÇÃO'!$P:$P,MATCH(MEDIÇÃO!K67,'PROJETO PERFURAÇÃO'!$B:$B,0))="Buffer","B",IF(INDEX('PROJETO PERFURAÇÃO'!$P:$P,MATCH(MEDIÇÃO!K67,'PROJETO PERFURAÇÃO'!$B:$B,0))="Pre-Splitting","S"))),"")</f>
        <v>P</v>
      </c>
      <c r="K67" s="14">
        <f>D89+1</f>
        <v>162</v>
      </c>
      <c r="L67" s="4" t="str">
        <f>IFERROR(INDEX('LEV R&amp;D'!$D:$D,MATCH(MEDIÇÃO!K67,'LEV R&amp;D'!$A:$A,0))-INDEX('PROJETO PERFURAÇÃO'!$AH:$AH,MATCH(MEDIÇÃO!K67,'PROJETO PERFURAÇÃO'!$B:$B,0)),"")</f>
        <v/>
      </c>
      <c r="M67" s="17">
        <f>IFERROR(INDEX('PROJETO PERFURAÇÃO'!$AN:$AN,MATCH(MEDIÇÃO!K67,'PROJETO PERFURAÇÃO'!$B:$B,0)),"")</f>
        <v>0</v>
      </c>
      <c r="N67" s="3"/>
      <c r="O67" s="3"/>
      <c r="P67" s="3" t="str">
        <f>IFERROR(ROUND(INDEX('PROJETO PERFURAÇÃO'!$AB:$AB,MATCH(MEDIÇÃO!R67,'PROJETO PERFURAÇÃO'!$B:$B,0)),1)&amp;"''","")</f>
        <v>5''</v>
      </c>
      <c r="Q67" s="3" t="str">
        <f>IFERROR(IF(INDEX('PROJETO PERFURAÇÃO'!$P:$P,MATCH(MEDIÇÃO!R67,'PROJETO PERFURAÇÃO'!$B:$B,0))="Production","P",IF(INDEX('PROJETO PERFURAÇÃO'!$P:$P,MATCH(MEDIÇÃO!R67,'PROJETO PERFURAÇÃO'!$B:$B,0))="Buffer","B",IF(INDEX('PROJETO PERFURAÇÃO'!$P:$P,MATCH(MEDIÇÃO!R67,'PROJETO PERFURAÇÃO'!$B:$B,0))="Pre-Splitting","S"))),"")</f>
        <v>P</v>
      </c>
      <c r="R67" s="14">
        <f>K89+1</f>
        <v>185</v>
      </c>
      <c r="S67" s="4" t="str">
        <f>IFERROR(INDEX('LEV R&amp;D'!$D:$D,MATCH(MEDIÇÃO!R67,'LEV R&amp;D'!$A:$A,0))-INDEX('PROJETO PERFURAÇÃO'!$AH:$AH,MATCH(MEDIÇÃO!R67,'PROJETO PERFURAÇÃO'!$B:$B,0)),"")</f>
        <v/>
      </c>
      <c r="T67" s="17">
        <f>IFERROR(INDEX('PROJETO PERFURAÇÃO'!$AN:$AN,MATCH(MEDIÇÃO!R67,'PROJETO PERFURAÇÃO'!$B:$B,0)),"")</f>
        <v>0</v>
      </c>
      <c r="U67" s="3"/>
      <c r="V67" s="3"/>
    </row>
    <row r="68" spans="1:23" ht="45" customHeight="1" x14ac:dyDescent="0.25">
      <c r="B68" s="3" t="str">
        <f>IFERROR(ROUND(INDEX('PROJETO PERFURAÇÃO'!$AB:$AB,MATCH(MEDIÇÃO!D68,'PROJETO PERFURAÇÃO'!$B:$B,0)),1)&amp;"''","")</f>
        <v>5''</v>
      </c>
      <c r="C68" s="3" t="str">
        <f>IFERROR(IF(INDEX('PROJETO PERFURAÇÃO'!$P:$P,MATCH(MEDIÇÃO!D68,'PROJETO PERFURAÇÃO'!$B:$B,0))="Production","P",IF(INDEX('PROJETO PERFURAÇÃO'!$P:$P,MATCH(MEDIÇÃO!D68,'PROJETO PERFURAÇÃO'!$B:$B,0))="Buffer","B",IF(INDEX('PROJETO PERFURAÇÃO'!$P:$P,MATCH(MEDIÇÃO!D68,'PROJETO PERFURAÇÃO'!$B:$B,0))="Pre-Splitting","S"))),"")</f>
        <v>P</v>
      </c>
      <c r="D68" s="14">
        <f>D67+1</f>
        <v>140</v>
      </c>
      <c r="E68" s="4" t="str">
        <f>IFERROR(INDEX('LEV R&amp;D'!$D:$D,MATCH(MEDIÇÃO!D68,'LEV R&amp;D'!$A:$A,0))-INDEX('PROJETO PERFURAÇÃO'!$AH:$AH,MATCH(MEDIÇÃO!D68,'PROJETO PERFURAÇÃO'!$B:$B,0)),"")</f>
        <v/>
      </c>
      <c r="F68" s="17">
        <f>IFERROR(INDEX('PROJETO PERFURAÇÃO'!$AN:$AN,MATCH(MEDIÇÃO!D68,'PROJETO PERFURAÇÃO'!$B:$B,0)),"")</f>
        <v>0</v>
      </c>
      <c r="G68" s="3"/>
      <c r="H68" s="3"/>
      <c r="I68" s="3" t="str">
        <f>IFERROR(ROUND(INDEX('PROJETO PERFURAÇÃO'!$AB:$AB,MATCH(MEDIÇÃO!K68,'PROJETO PERFURAÇÃO'!$B:$B,0)),1)&amp;"''","")</f>
        <v>5''</v>
      </c>
      <c r="J68" s="3" t="str">
        <f>IFERROR(IF(INDEX('PROJETO PERFURAÇÃO'!$P:$P,MATCH(MEDIÇÃO!K68,'PROJETO PERFURAÇÃO'!$B:$B,0))="Production","P",IF(INDEX('PROJETO PERFURAÇÃO'!$P:$P,MATCH(MEDIÇÃO!K68,'PROJETO PERFURAÇÃO'!$B:$B,0))="Buffer","B",IF(INDEX('PROJETO PERFURAÇÃO'!$P:$P,MATCH(MEDIÇÃO!K68,'PROJETO PERFURAÇÃO'!$B:$B,0))="Pre-Splitting","S"))),"")</f>
        <v>P</v>
      </c>
      <c r="K68" s="14">
        <f>K67+1</f>
        <v>163</v>
      </c>
      <c r="L68" s="4" t="str">
        <f>IFERROR(INDEX('LEV R&amp;D'!$D:$D,MATCH(MEDIÇÃO!K68,'LEV R&amp;D'!$A:$A,0))-INDEX('PROJETO PERFURAÇÃO'!$AH:$AH,MATCH(MEDIÇÃO!K68,'PROJETO PERFURAÇÃO'!$B:$B,0)),"")</f>
        <v/>
      </c>
      <c r="M68" s="17">
        <f>IFERROR(INDEX('PROJETO PERFURAÇÃO'!$AN:$AN,MATCH(MEDIÇÃO!K68,'PROJETO PERFURAÇÃO'!$B:$B,0)),"")</f>
        <v>0</v>
      </c>
      <c r="N68" s="3"/>
      <c r="O68" s="3"/>
      <c r="P68" s="3" t="str">
        <f>IFERROR(ROUND(INDEX('PROJETO PERFURAÇÃO'!$AB:$AB,MATCH(MEDIÇÃO!R68,'PROJETO PERFURAÇÃO'!$B:$B,0)),1)&amp;"''","")</f>
        <v>5''</v>
      </c>
      <c r="Q68" s="3" t="str">
        <f>IFERROR(IF(INDEX('PROJETO PERFURAÇÃO'!$P:$P,MATCH(MEDIÇÃO!R68,'PROJETO PERFURAÇÃO'!$B:$B,0))="Production","P",IF(INDEX('PROJETO PERFURAÇÃO'!$P:$P,MATCH(MEDIÇÃO!R68,'PROJETO PERFURAÇÃO'!$B:$B,0))="Buffer","B",IF(INDEX('PROJETO PERFURAÇÃO'!$P:$P,MATCH(MEDIÇÃO!R68,'PROJETO PERFURAÇÃO'!$B:$B,0))="Pre-Splitting","S"))),"")</f>
        <v>P</v>
      </c>
      <c r="R68" s="14">
        <f>R67+1</f>
        <v>186</v>
      </c>
      <c r="S68" s="4" t="str">
        <f>IFERROR(INDEX('LEV R&amp;D'!$D:$D,MATCH(MEDIÇÃO!R68,'LEV R&amp;D'!$A:$A,0))-INDEX('PROJETO PERFURAÇÃO'!$AH:$AH,MATCH(MEDIÇÃO!R68,'PROJETO PERFURAÇÃO'!$B:$B,0)),"")</f>
        <v/>
      </c>
      <c r="T68" s="17">
        <f>IFERROR(INDEX('PROJETO PERFURAÇÃO'!$AN:$AN,MATCH(MEDIÇÃO!R68,'PROJETO PERFURAÇÃO'!$B:$B,0)),"")</f>
        <v>0</v>
      </c>
      <c r="U68" s="3"/>
      <c r="V68" s="3"/>
    </row>
    <row r="69" spans="1:23" ht="45" customHeight="1" x14ac:dyDescent="0.25">
      <c r="B69" s="3" t="str">
        <f>IFERROR(ROUND(INDEX('PROJETO PERFURAÇÃO'!$AB:$AB,MATCH(MEDIÇÃO!D69,'PROJETO PERFURAÇÃO'!$B:$B,0)),1)&amp;"''","")</f>
        <v>5''</v>
      </c>
      <c r="C69" s="3" t="str">
        <f>IFERROR(IF(INDEX('PROJETO PERFURAÇÃO'!$P:$P,MATCH(MEDIÇÃO!D69,'PROJETO PERFURAÇÃO'!$B:$B,0))="Production","P",IF(INDEX('PROJETO PERFURAÇÃO'!$P:$P,MATCH(MEDIÇÃO!D69,'PROJETO PERFURAÇÃO'!$B:$B,0))="Buffer","B",IF(INDEX('PROJETO PERFURAÇÃO'!$P:$P,MATCH(MEDIÇÃO!D69,'PROJETO PERFURAÇÃO'!$B:$B,0))="Pre-Splitting","S"))),"")</f>
        <v>P</v>
      </c>
      <c r="D69" s="14">
        <f t="shared" ref="D69:D89" si="6">D68+1</f>
        <v>141</v>
      </c>
      <c r="E69" s="4" t="str">
        <f>IFERROR(INDEX('LEV R&amp;D'!$D:$D,MATCH(MEDIÇÃO!D69,'LEV R&amp;D'!$A:$A,0))-INDEX('PROJETO PERFURAÇÃO'!$AH:$AH,MATCH(MEDIÇÃO!D69,'PROJETO PERFURAÇÃO'!$B:$B,0)),"")</f>
        <v/>
      </c>
      <c r="F69" s="17">
        <f>IFERROR(INDEX('PROJETO PERFURAÇÃO'!$AN:$AN,MATCH(MEDIÇÃO!D69,'PROJETO PERFURAÇÃO'!$B:$B,0)),"")</f>
        <v>0</v>
      </c>
      <c r="G69" s="3"/>
      <c r="H69" s="3"/>
      <c r="I69" s="3" t="str">
        <f>IFERROR(ROUND(INDEX('PROJETO PERFURAÇÃO'!$AB:$AB,MATCH(MEDIÇÃO!K69,'PROJETO PERFURAÇÃO'!$B:$B,0)),1)&amp;"''","")</f>
        <v>5''</v>
      </c>
      <c r="J69" s="3" t="str">
        <f>IFERROR(IF(INDEX('PROJETO PERFURAÇÃO'!$P:$P,MATCH(MEDIÇÃO!K69,'PROJETO PERFURAÇÃO'!$B:$B,0))="Production","P",IF(INDEX('PROJETO PERFURAÇÃO'!$P:$P,MATCH(MEDIÇÃO!K69,'PROJETO PERFURAÇÃO'!$B:$B,0))="Buffer","B",IF(INDEX('PROJETO PERFURAÇÃO'!$P:$P,MATCH(MEDIÇÃO!K69,'PROJETO PERFURAÇÃO'!$B:$B,0))="Pre-Splitting","S"))),"")</f>
        <v>P</v>
      </c>
      <c r="K69" s="14">
        <f t="shared" ref="K69:K89" si="7">K68+1</f>
        <v>164</v>
      </c>
      <c r="L69" s="4" t="str">
        <f>IFERROR(INDEX('LEV R&amp;D'!$D:$D,MATCH(MEDIÇÃO!K69,'LEV R&amp;D'!$A:$A,0))-INDEX('PROJETO PERFURAÇÃO'!$AH:$AH,MATCH(MEDIÇÃO!K69,'PROJETO PERFURAÇÃO'!$B:$B,0)),"")</f>
        <v/>
      </c>
      <c r="M69" s="17">
        <f>IFERROR(INDEX('PROJETO PERFURAÇÃO'!$AN:$AN,MATCH(MEDIÇÃO!K69,'PROJETO PERFURAÇÃO'!$B:$B,0)),"")</f>
        <v>0</v>
      </c>
      <c r="N69" s="3"/>
      <c r="O69" s="3"/>
      <c r="P69" s="3" t="str">
        <f>IFERROR(ROUND(INDEX('PROJETO PERFURAÇÃO'!$AB:$AB,MATCH(MEDIÇÃO!R69,'PROJETO PERFURAÇÃO'!$B:$B,0)),1)&amp;"''","")</f>
        <v>5''</v>
      </c>
      <c r="Q69" s="3" t="str">
        <f>IFERROR(IF(INDEX('PROJETO PERFURAÇÃO'!$P:$P,MATCH(MEDIÇÃO!R69,'PROJETO PERFURAÇÃO'!$B:$B,0))="Production","P",IF(INDEX('PROJETO PERFURAÇÃO'!$P:$P,MATCH(MEDIÇÃO!R69,'PROJETO PERFURAÇÃO'!$B:$B,0))="Buffer","B",IF(INDEX('PROJETO PERFURAÇÃO'!$P:$P,MATCH(MEDIÇÃO!R69,'PROJETO PERFURAÇÃO'!$B:$B,0))="Pre-Splitting","S"))),"")</f>
        <v>P</v>
      </c>
      <c r="R69" s="14">
        <f t="shared" ref="R69:R89" si="8">R68+1</f>
        <v>187</v>
      </c>
      <c r="S69" s="4" t="str">
        <f>IFERROR(INDEX('LEV R&amp;D'!$D:$D,MATCH(MEDIÇÃO!R69,'LEV R&amp;D'!$A:$A,0))-INDEX('PROJETO PERFURAÇÃO'!$AH:$AH,MATCH(MEDIÇÃO!R69,'PROJETO PERFURAÇÃO'!$B:$B,0)),"")</f>
        <v/>
      </c>
      <c r="T69" s="17">
        <f>IFERROR(INDEX('PROJETO PERFURAÇÃO'!$AN:$AN,MATCH(MEDIÇÃO!R69,'PROJETO PERFURAÇÃO'!$B:$B,0)),"")</f>
        <v>0</v>
      </c>
      <c r="U69" s="3"/>
      <c r="V69" s="3"/>
    </row>
    <row r="70" spans="1:23" ht="45" customHeight="1" x14ac:dyDescent="0.25">
      <c r="B70" s="3" t="str">
        <f>IFERROR(ROUND(INDEX('PROJETO PERFURAÇÃO'!$AB:$AB,MATCH(MEDIÇÃO!D70,'PROJETO PERFURAÇÃO'!$B:$B,0)),1)&amp;"''","")</f>
        <v>5''</v>
      </c>
      <c r="C70" s="3" t="str">
        <f>IFERROR(IF(INDEX('PROJETO PERFURAÇÃO'!$P:$P,MATCH(MEDIÇÃO!D70,'PROJETO PERFURAÇÃO'!$B:$B,0))="Production","P",IF(INDEX('PROJETO PERFURAÇÃO'!$P:$P,MATCH(MEDIÇÃO!D70,'PROJETO PERFURAÇÃO'!$B:$B,0))="Buffer","B",IF(INDEX('PROJETO PERFURAÇÃO'!$P:$P,MATCH(MEDIÇÃO!D70,'PROJETO PERFURAÇÃO'!$B:$B,0))="Pre-Splitting","S"))),"")</f>
        <v>P</v>
      </c>
      <c r="D70" s="14">
        <f t="shared" si="6"/>
        <v>142</v>
      </c>
      <c r="E70" s="4" t="str">
        <f>IFERROR(INDEX('LEV R&amp;D'!$D:$D,MATCH(MEDIÇÃO!D70,'LEV R&amp;D'!$A:$A,0))-INDEX('PROJETO PERFURAÇÃO'!$AH:$AH,MATCH(MEDIÇÃO!D70,'PROJETO PERFURAÇÃO'!$B:$B,0)),"")</f>
        <v/>
      </c>
      <c r="F70" s="17">
        <f>IFERROR(INDEX('PROJETO PERFURAÇÃO'!$AN:$AN,MATCH(MEDIÇÃO!D70,'PROJETO PERFURAÇÃO'!$B:$B,0)),"")</f>
        <v>0</v>
      </c>
      <c r="G70" s="3"/>
      <c r="H70" s="3"/>
      <c r="I70" s="3" t="str">
        <f>IFERROR(ROUND(INDEX('PROJETO PERFURAÇÃO'!$AB:$AB,MATCH(MEDIÇÃO!K70,'PROJETO PERFURAÇÃO'!$B:$B,0)),1)&amp;"''","")</f>
        <v>5''</v>
      </c>
      <c r="J70" s="3" t="str">
        <f>IFERROR(IF(INDEX('PROJETO PERFURAÇÃO'!$P:$P,MATCH(MEDIÇÃO!K70,'PROJETO PERFURAÇÃO'!$B:$B,0))="Production","P",IF(INDEX('PROJETO PERFURAÇÃO'!$P:$P,MATCH(MEDIÇÃO!K70,'PROJETO PERFURAÇÃO'!$B:$B,0))="Buffer","B",IF(INDEX('PROJETO PERFURAÇÃO'!$P:$P,MATCH(MEDIÇÃO!K70,'PROJETO PERFURAÇÃO'!$B:$B,0))="Pre-Splitting","S"))),"")</f>
        <v>P</v>
      </c>
      <c r="K70" s="14">
        <f t="shared" si="7"/>
        <v>165</v>
      </c>
      <c r="L70" s="4" t="str">
        <f>IFERROR(INDEX('LEV R&amp;D'!$D:$D,MATCH(MEDIÇÃO!K70,'LEV R&amp;D'!$A:$A,0))-INDEX('PROJETO PERFURAÇÃO'!$AH:$AH,MATCH(MEDIÇÃO!K70,'PROJETO PERFURAÇÃO'!$B:$B,0)),"")</f>
        <v/>
      </c>
      <c r="M70" s="17">
        <f>IFERROR(INDEX('PROJETO PERFURAÇÃO'!$AN:$AN,MATCH(MEDIÇÃO!K70,'PROJETO PERFURAÇÃO'!$B:$B,0)),"")</f>
        <v>0</v>
      </c>
      <c r="N70" s="3"/>
      <c r="O70" s="3"/>
      <c r="P70" s="3" t="str">
        <f>IFERROR(ROUND(INDEX('PROJETO PERFURAÇÃO'!$AB:$AB,MATCH(MEDIÇÃO!R70,'PROJETO PERFURAÇÃO'!$B:$B,0)),1)&amp;"''","")</f>
        <v>5''</v>
      </c>
      <c r="Q70" s="3" t="str">
        <f>IFERROR(IF(INDEX('PROJETO PERFURAÇÃO'!$P:$P,MATCH(MEDIÇÃO!R70,'PROJETO PERFURAÇÃO'!$B:$B,0))="Production","P",IF(INDEX('PROJETO PERFURAÇÃO'!$P:$P,MATCH(MEDIÇÃO!R70,'PROJETO PERFURAÇÃO'!$B:$B,0))="Buffer","B",IF(INDEX('PROJETO PERFURAÇÃO'!$P:$P,MATCH(MEDIÇÃO!R70,'PROJETO PERFURAÇÃO'!$B:$B,0))="Pre-Splitting","S"))),"")</f>
        <v>P</v>
      </c>
      <c r="R70" s="14">
        <f t="shared" si="8"/>
        <v>188</v>
      </c>
      <c r="S70" s="4" t="str">
        <f>IFERROR(INDEX('LEV R&amp;D'!$D:$D,MATCH(MEDIÇÃO!R70,'LEV R&amp;D'!$A:$A,0))-INDEX('PROJETO PERFURAÇÃO'!$AH:$AH,MATCH(MEDIÇÃO!R70,'PROJETO PERFURAÇÃO'!$B:$B,0)),"")</f>
        <v/>
      </c>
      <c r="T70" s="17">
        <f>IFERROR(INDEX('PROJETO PERFURAÇÃO'!$AN:$AN,MATCH(MEDIÇÃO!R70,'PROJETO PERFURAÇÃO'!$B:$B,0)),"")</f>
        <v>0</v>
      </c>
      <c r="U70" s="3"/>
      <c r="V70" s="3"/>
    </row>
    <row r="71" spans="1:23" ht="45" customHeight="1" x14ac:dyDescent="0.25">
      <c r="B71" s="3" t="str">
        <f>IFERROR(ROUND(INDEX('PROJETO PERFURAÇÃO'!$AB:$AB,MATCH(MEDIÇÃO!D71,'PROJETO PERFURAÇÃO'!$B:$B,0)),1)&amp;"''","")</f>
        <v>5''</v>
      </c>
      <c r="C71" s="3" t="str">
        <f>IFERROR(IF(INDEX('PROJETO PERFURAÇÃO'!$P:$P,MATCH(MEDIÇÃO!D71,'PROJETO PERFURAÇÃO'!$B:$B,0))="Production","P",IF(INDEX('PROJETO PERFURAÇÃO'!$P:$P,MATCH(MEDIÇÃO!D71,'PROJETO PERFURAÇÃO'!$B:$B,0))="Buffer","B",IF(INDEX('PROJETO PERFURAÇÃO'!$P:$P,MATCH(MEDIÇÃO!D71,'PROJETO PERFURAÇÃO'!$B:$B,0))="Pre-Splitting","S"))),"")</f>
        <v>P</v>
      </c>
      <c r="D71" s="14">
        <f t="shared" si="6"/>
        <v>143</v>
      </c>
      <c r="E71" s="4" t="str">
        <f>IFERROR(INDEX('LEV R&amp;D'!$D:$D,MATCH(MEDIÇÃO!D71,'LEV R&amp;D'!$A:$A,0))-INDEX('PROJETO PERFURAÇÃO'!$AH:$AH,MATCH(MEDIÇÃO!D71,'PROJETO PERFURAÇÃO'!$B:$B,0)),"")</f>
        <v/>
      </c>
      <c r="F71" s="17">
        <f>IFERROR(INDEX('PROJETO PERFURAÇÃO'!$AN:$AN,MATCH(MEDIÇÃO!D71,'PROJETO PERFURAÇÃO'!$B:$B,0)),"")</f>
        <v>0</v>
      </c>
      <c r="G71" s="3"/>
      <c r="H71" s="3"/>
      <c r="I71" s="3" t="str">
        <f>IFERROR(ROUND(INDEX('PROJETO PERFURAÇÃO'!$AB:$AB,MATCH(MEDIÇÃO!K71,'PROJETO PERFURAÇÃO'!$B:$B,0)),1)&amp;"''","")</f>
        <v>5''</v>
      </c>
      <c r="J71" s="3" t="str">
        <f>IFERROR(IF(INDEX('PROJETO PERFURAÇÃO'!$P:$P,MATCH(MEDIÇÃO!K71,'PROJETO PERFURAÇÃO'!$B:$B,0))="Production","P",IF(INDEX('PROJETO PERFURAÇÃO'!$P:$P,MATCH(MEDIÇÃO!K71,'PROJETO PERFURAÇÃO'!$B:$B,0))="Buffer","B",IF(INDEX('PROJETO PERFURAÇÃO'!$P:$P,MATCH(MEDIÇÃO!K71,'PROJETO PERFURAÇÃO'!$B:$B,0))="Pre-Splitting","S"))),"")</f>
        <v>P</v>
      </c>
      <c r="K71" s="14">
        <f t="shared" si="7"/>
        <v>166</v>
      </c>
      <c r="L71" s="4" t="str">
        <f>IFERROR(INDEX('LEV R&amp;D'!$D:$D,MATCH(MEDIÇÃO!K71,'LEV R&amp;D'!$A:$A,0))-INDEX('PROJETO PERFURAÇÃO'!$AH:$AH,MATCH(MEDIÇÃO!K71,'PROJETO PERFURAÇÃO'!$B:$B,0)),"")</f>
        <v/>
      </c>
      <c r="M71" s="17">
        <f>IFERROR(INDEX('PROJETO PERFURAÇÃO'!$AN:$AN,MATCH(MEDIÇÃO!K71,'PROJETO PERFURAÇÃO'!$B:$B,0)),"")</f>
        <v>0</v>
      </c>
      <c r="N71" s="3"/>
      <c r="O71" s="3"/>
      <c r="P71" s="3" t="str">
        <f>IFERROR(ROUND(INDEX('PROJETO PERFURAÇÃO'!$AB:$AB,MATCH(MEDIÇÃO!R71,'PROJETO PERFURAÇÃO'!$B:$B,0)),1)&amp;"''","")</f>
        <v>5''</v>
      </c>
      <c r="Q71" s="3" t="str">
        <f>IFERROR(IF(INDEX('PROJETO PERFURAÇÃO'!$P:$P,MATCH(MEDIÇÃO!R71,'PROJETO PERFURAÇÃO'!$B:$B,0))="Production","P",IF(INDEX('PROJETO PERFURAÇÃO'!$P:$P,MATCH(MEDIÇÃO!R71,'PROJETO PERFURAÇÃO'!$B:$B,0))="Buffer","B",IF(INDEX('PROJETO PERFURAÇÃO'!$P:$P,MATCH(MEDIÇÃO!R71,'PROJETO PERFURAÇÃO'!$B:$B,0))="Pre-Splitting","S"))),"")</f>
        <v>P</v>
      </c>
      <c r="R71" s="14">
        <f t="shared" si="8"/>
        <v>189</v>
      </c>
      <c r="S71" s="4" t="str">
        <f>IFERROR(INDEX('LEV R&amp;D'!$D:$D,MATCH(MEDIÇÃO!R71,'LEV R&amp;D'!$A:$A,0))-INDEX('PROJETO PERFURAÇÃO'!$AH:$AH,MATCH(MEDIÇÃO!R71,'PROJETO PERFURAÇÃO'!$B:$B,0)),"")</f>
        <v/>
      </c>
      <c r="T71" s="17">
        <f>IFERROR(INDEX('PROJETO PERFURAÇÃO'!$AN:$AN,MATCH(MEDIÇÃO!R71,'PROJETO PERFURAÇÃO'!$B:$B,0)),"")</f>
        <v>0</v>
      </c>
      <c r="U71" s="3"/>
      <c r="V71" s="3"/>
    </row>
    <row r="72" spans="1:23" ht="45" customHeight="1" x14ac:dyDescent="0.25">
      <c r="B72" s="3" t="str">
        <f>IFERROR(ROUND(INDEX('PROJETO PERFURAÇÃO'!$AB:$AB,MATCH(MEDIÇÃO!D72,'PROJETO PERFURAÇÃO'!$B:$B,0)),1)&amp;"''","")</f>
        <v>5''</v>
      </c>
      <c r="C72" s="3" t="str">
        <f>IFERROR(IF(INDEX('PROJETO PERFURAÇÃO'!$P:$P,MATCH(MEDIÇÃO!D72,'PROJETO PERFURAÇÃO'!$B:$B,0))="Production","P",IF(INDEX('PROJETO PERFURAÇÃO'!$P:$P,MATCH(MEDIÇÃO!D72,'PROJETO PERFURAÇÃO'!$B:$B,0))="Buffer","B",IF(INDEX('PROJETO PERFURAÇÃO'!$P:$P,MATCH(MEDIÇÃO!D72,'PROJETO PERFURAÇÃO'!$B:$B,0))="Pre-Splitting","S"))),"")</f>
        <v>P</v>
      </c>
      <c r="D72" s="14">
        <f t="shared" si="6"/>
        <v>144</v>
      </c>
      <c r="E72" s="4" t="str">
        <f>IFERROR(INDEX('LEV R&amp;D'!$D:$D,MATCH(MEDIÇÃO!D72,'LEV R&amp;D'!$A:$A,0))-INDEX('PROJETO PERFURAÇÃO'!$AH:$AH,MATCH(MEDIÇÃO!D72,'PROJETO PERFURAÇÃO'!$B:$B,0)),"")</f>
        <v/>
      </c>
      <c r="F72" s="17">
        <f>IFERROR(INDEX('PROJETO PERFURAÇÃO'!$AN:$AN,MATCH(MEDIÇÃO!D72,'PROJETO PERFURAÇÃO'!$B:$B,0)),"")</f>
        <v>0</v>
      </c>
      <c r="G72" s="3"/>
      <c r="H72" s="3"/>
      <c r="I72" s="3" t="str">
        <f>IFERROR(ROUND(INDEX('PROJETO PERFURAÇÃO'!$AB:$AB,MATCH(MEDIÇÃO!K72,'PROJETO PERFURAÇÃO'!$B:$B,0)),1)&amp;"''","")</f>
        <v>5''</v>
      </c>
      <c r="J72" s="3" t="str">
        <f>IFERROR(IF(INDEX('PROJETO PERFURAÇÃO'!$P:$P,MATCH(MEDIÇÃO!K72,'PROJETO PERFURAÇÃO'!$B:$B,0))="Production","P",IF(INDEX('PROJETO PERFURAÇÃO'!$P:$P,MATCH(MEDIÇÃO!K72,'PROJETO PERFURAÇÃO'!$B:$B,0))="Buffer","B",IF(INDEX('PROJETO PERFURAÇÃO'!$P:$P,MATCH(MEDIÇÃO!K72,'PROJETO PERFURAÇÃO'!$B:$B,0))="Pre-Splitting","S"))),"")</f>
        <v>P</v>
      </c>
      <c r="K72" s="14">
        <f t="shared" si="7"/>
        <v>167</v>
      </c>
      <c r="L72" s="4" t="str">
        <f>IFERROR(INDEX('LEV R&amp;D'!$D:$D,MATCH(MEDIÇÃO!K72,'LEV R&amp;D'!$A:$A,0))-INDEX('PROJETO PERFURAÇÃO'!$AH:$AH,MATCH(MEDIÇÃO!K72,'PROJETO PERFURAÇÃO'!$B:$B,0)),"")</f>
        <v/>
      </c>
      <c r="M72" s="17">
        <f>IFERROR(INDEX('PROJETO PERFURAÇÃO'!$AN:$AN,MATCH(MEDIÇÃO!K72,'PROJETO PERFURAÇÃO'!$B:$B,0)),"")</f>
        <v>0</v>
      </c>
      <c r="N72" s="3"/>
      <c r="O72" s="3"/>
      <c r="P72" s="3" t="str">
        <f>IFERROR(ROUND(INDEX('PROJETO PERFURAÇÃO'!$AB:$AB,MATCH(MEDIÇÃO!R72,'PROJETO PERFURAÇÃO'!$B:$B,0)),1)&amp;"''","")</f>
        <v>5''</v>
      </c>
      <c r="Q72" s="3" t="str">
        <f>IFERROR(IF(INDEX('PROJETO PERFURAÇÃO'!$P:$P,MATCH(MEDIÇÃO!R72,'PROJETO PERFURAÇÃO'!$B:$B,0))="Production","P",IF(INDEX('PROJETO PERFURAÇÃO'!$P:$P,MATCH(MEDIÇÃO!R72,'PROJETO PERFURAÇÃO'!$B:$B,0))="Buffer","B",IF(INDEX('PROJETO PERFURAÇÃO'!$P:$P,MATCH(MEDIÇÃO!R72,'PROJETO PERFURAÇÃO'!$B:$B,0))="Pre-Splitting","S"))),"")</f>
        <v>P</v>
      </c>
      <c r="R72" s="14">
        <f t="shared" si="8"/>
        <v>190</v>
      </c>
      <c r="S72" s="4" t="str">
        <f>IFERROR(INDEX('LEV R&amp;D'!$D:$D,MATCH(MEDIÇÃO!R72,'LEV R&amp;D'!$A:$A,0))-INDEX('PROJETO PERFURAÇÃO'!$AH:$AH,MATCH(MEDIÇÃO!R72,'PROJETO PERFURAÇÃO'!$B:$B,0)),"")</f>
        <v/>
      </c>
      <c r="T72" s="17">
        <f>IFERROR(INDEX('PROJETO PERFURAÇÃO'!$AN:$AN,MATCH(MEDIÇÃO!R72,'PROJETO PERFURAÇÃO'!$B:$B,0)),"")</f>
        <v>0</v>
      </c>
      <c r="U72" s="3"/>
      <c r="V72" s="3"/>
    </row>
    <row r="73" spans="1:23" ht="45" customHeight="1" x14ac:dyDescent="0.25">
      <c r="B73" s="3" t="str">
        <f>IFERROR(ROUND(INDEX('PROJETO PERFURAÇÃO'!$AB:$AB,MATCH(MEDIÇÃO!D73,'PROJETO PERFURAÇÃO'!$B:$B,0)),1)&amp;"''","")</f>
        <v>5''</v>
      </c>
      <c r="C73" s="3" t="str">
        <f>IFERROR(IF(INDEX('PROJETO PERFURAÇÃO'!$P:$P,MATCH(MEDIÇÃO!D73,'PROJETO PERFURAÇÃO'!$B:$B,0))="Production","P",IF(INDEX('PROJETO PERFURAÇÃO'!$P:$P,MATCH(MEDIÇÃO!D73,'PROJETO PERFURAÇÃO'!$B:$B,0))="Buffer","B",IF(INDEX('PROJETO PERFURAÇÃO'!$P:$P,MATCH(MEDIÇÃO!D73,'PROJETO PERFURAÇÃO'!$B:$B,0))="Pre-Splitting","S"))),"")</f>
        <v>P</v>
      </c>
      <c r="D73" s="14">
        <f t="shared" si="6"/>
        <v>145</v>
      </c>
      <c r="E73" s="4" t="str">
        <f>IFERROR(INDEX('LEV R&amp;D'!$D:$D,MATCH(MEDIÇÃO!D73,'LEV R&amp;D'!$A:$A,0))-INDEX('PROJETO PERFURAÇÃO'!$AH:$AH,MATCH(MEDIÇÃO!D73,'PROJETO PERFURAÇÃO'!$B:$B,0)),"")</f>
        <v/>
      </c>
      <c r="F73" s="17">
        <f>IFERROR(INDEX('PROJETO PERFURAÇÃO'!$AN:$AN,MATCH(MEDIÇÃO!D73,'PROJETO PERFURAÇÃO'!$B:$B,0)),"")</f>
        <v>0</v>
      </c>
      <c r="G73" s="3"/>
      <c r="H73" s="3"/>
      <c r="I73" s="3" t="str">
        <f>IFERROR(ROUND(INDEX('PROJETO PERFURAÇÃO'!$AB:$AB,MATCH(MEDIÇÃO!K73,'PROJETO PERFURAÇÃO'!$B:$B,0)),1)&amp;"''","")</f>
        <v>5''</v>
      </c>
      <c r="J73" s="3" t="str">
        <f>IFERROR(IF(INDEX('PROJETO PERFURAÇÃO'!$P:$P,MATCH(MEDIÇÃO!K73,'PROJETO PERFURAÇÃO'!$B:$B,0))="Production","P",IF(INDEX('PROJETO PERFURAÇÃO'!$P:$P,MATCH(MEDIÇÃO!K73,'PROJETO PERFURAÇÃO'!$B:$B,0))="Buffer","B",IF(INDEX('PROJETO PERFURAÇÃO'!$P:$P,MATCH(MEDIÇÃO!K73,'PROJETO PERFURAÇÃO'!$B:$B,0))="Pre-Splitting","S"))),"")</f>
        <v>P</v>
      </c>
      <c r="K73" s="14">
        <f t="shared" si="7"/>
        <v>168</v>
      </c>
      <c r="L73" s="4" t="str">
        <f>IFERROR(INDEX('LEV R&amp;D'!$D:$D,MATCH(MEDIÇÃO!K73,'LEV R&amp;D'!$A:$A,0))-INDEX('PROJETO PERFURAÇÃO'!$AH:$AH,MATCH(MEDIÇÃO!K73,'PROJETO PERFURAÇÃO'!$B:$B,0)),"")</f>
        <v/>
      </c>
      <c r="M73" s="17">
        <f>IFERROR(INDEX('PROJETO PERFURAÇÃO'!$AN:$AN,MATCH(MEDIÇÃO!K73,'PROJETO PERFURAÇÃO'!$B:$B,0)),"")</f>
        <v>0</v>
      </c>
      <c r="N73" s="3"/>
      <c r="O73" s="3"/>
      <c r="P73" s="3" t="str">
        <f>IFERROR(ROUND(INDEX('PROJETO PERFURAÇÃO'!$AB:$AB,MATCH(MEDIÇÃO!R73,'PROJETO PERFURAÇÃO'!$B:$B,0)),1)&amp;"''","")</f>
        <v>5''</v>
      </c>
      <c r="Q73" s="3" t="str">
        <f>IFERROR(IF(INDEX('PROJETO PERFURAÇÃO'!$P:$P,MATCH(MEDIÇÃO!R73,'PROJETO PERFURAÇÃO'!$B:$B,0))="Production","P",IF(INDEX('PROJETO PERFURAÇÃO'!$P:$P,MATCH(MEDIÇÃO!R73,'PROJETO PERFURAÇÃO'!$B:$B,0))="Buffer","B",IF(INDEX('PROJETO PERFURAÇÃO'!$P:$P,MATCH(MEDIÇÃO!R73,'PROJETO PERFURAÇÃO'!$B:$B,0))="Pre-Splitting","S"))),"")</f>
        <v>P</v>
      </c>
      <c r="R73" s="14">
        <f t="shared" si="8"/>
        <v>191</v>
      </c>
      <c r="S73" s="4" t="str">
        <f>IFERROR(INDEX('LEV R&amp;D'!$D:$D,MATCH(MEDIÇÃO!R73,'LEV R&amp;D'!$A:$A,0))-INDEX('PROJETO PERFURAÇÃO'!$AH:$AH,MATCH(MEDIÇÃO!R73,'PROJETO PERFURAÇÃO'!$B:$B,0)),"")</f>
        <v/>
      </c>
      <c r="T73" s="17">
        <f>IFERROR(INDEX('PROJETO PERFURAÇÃO'!$AN:$AN,MATCH(MEDIÇÃO!R73,'PROJETO PERFURAÇÃO'!$B:$B,0)),"")</f>
        <v>0</v>
      </c>
      <c r="U73" s="3"/>
      <c r="V73" s="3"/>
    </row>
    <row r="74" spans="1:23" ht="45" customHeight="1" x14ac:dyDescent="0.25">
      <c r="B74" s="3" t="str">
        <f>IFERROR(ROUND(INDEX('PROJETO PERFURAÇÃO'!$AB:$AB,MATCH(MEDIÇÃO!D74,'PROJETO PERFURAÇÃO'!$B:$B,0)),1)&amp;"''","")</f>
        <v>5''</v>
      </c>
      <c r="C74" s="3" t="str">
        <f>IFERROR(IF(INDEX('PROJETO PERFURAÇÃO'!$P:$P,MATCH(MEDIÇÃO!D74,'PROJETO PERFURAÇÃO'!$B:$B,0))="Production","P",IF(INDEX('PROJETO PERFURAÇÃO'!$P:$P,MATCH(MEDIÇÃO!D74,'PROJETO PERFURAÇÃO'!$B:$B,0))="Buffer","B",IF(INDEX('PROJETO PERFURAÇÃO'!$P:$P,MATCH(MEDIÇÃO!D74,'PROJETO PERFURAÇÃO'!$B:$B,0))="Pre-Splitting","S"))),"")</f>
        <v>P</v>
      </c>
      <c r="D74" s="14">
        <f t="shared" si="6"/>
        <v>146</v>
      </c>
      <c r="E74" s="4" t="str">
        <f>IFERROR(INDEX('LEV R&amp;D'!$D:$D,MATCH(MEDIÇÃO!D74,'LEV R&amp;D'!$A:$A,0))-INDEX('PROJETO PERFURAÇÃO'!$AH:$AH,MATCH(MEDIÇÃO!D74,'PROJETO PERFURAÇÃO'!$B:$B,0)),"")</f>
        <v/>
      </c>
      <c r="F74" s="17">
        <f>IFERROR(INDEX('PROJETO PERFURAÇÃO'!$AN:$AN,MATCH(MEDIÇÃO!D74,'PROJETO PERFURAÇÃO'!$B:$B,0)),"")</f>
        <v>0</v>
      </c>
      <c r="G74" s="3"/>
      <c r="H74" s="3"/>
      <c r="I74" s="3" t="str">
        <f>IFERROR(ROUND(INDEX('PROJETO PERFURAÇÃO'!$AB:$AB,MATCH(MEDIÇÃO!K74,'PROJETO PERFURAÇÃO'!$B:$B,0)),1)&amp;"''","")</f>
        <v>5''</v>
      </c>
      <c r="J74" s="3" t="str">
        <f>IFERROR(IF(INDEX('PROJETO PERFURAÇÃO'!$P:$P,MATCH(MEDIÇÃO!K74,'PROJETO PERFURAÇÃO'!$B:$B,0))="Production","P",IF(INDEX('PROJETO PERFURAÇÃO'!$P:$P,MATCH(MEDIÇÃO!K74,'PROJETO PERFURAÇÃO'!$B:$B,0))="Buffer","B",IF(INDEX('PROJETO PERFURAÇÃO'!$P:$P,MATCH(MEDIÇÃO!K74,'PROJETO PERFURAÇÃO'!$B:$B,0))="Pre-Splitting","S"))),"")</f>
        <v>P</v>
      </c>
      <c r="K74" s="14">
        <f t="shared" si="7"/>
        <v>169</v>
      </c>
      <c r="L74" s="4" t="str">
        <f>IFERROR(INDEX('LEV R&amp;D'!$D:$D,MATCH(MEDIÇÃO!K74,'LEV R&amp;D'!$A:$A,0))-INDEX('PROJETO PERFURAÇÃO'!$AH:$AH,MATCH(MEDIÇÃO!K74,'PROJETO PERFURAÇÃO'!$B:$B,0)),"")</f>
        <v/>
      </c>
      <c r="M74" s="17">
        <f>IFERROR(INDEX('PROJETO PERFURAÇÃO'!$AN:$AN,MATCH(MEDIÇÃO!K74,'PROJETO PERFURAÇÃO'!$B:$B,0)),"")</f>
        <v>0</v>
      </c>
      <c r="N74" s="3"/>
      <c r="O74" s="3"/>
      <c r="P74" s="3" t="str">
        <f>IFERROR(ROUND(INDEX('PROJETO PERFURAÇÃO'!$AB:$AB,MATCH(MEDIÇÃO!R74,'PROJETO PERFURAÇÃO'!$B:$B,0)),1)&amp;"''","")</f>
        <v>5''</v>
      </c>
      <c r="Q74" s="3" t="str">
        <f>IFERROR(IF(INDEX('PROJETO PERFURAÇÃO'!$P:$P,MATCH(MEDIÇÃO!R74,'PROJETO PERFURAÇÃO'!$B:$B,0))="Production","P",IF(INDEX('PROJETO PERFURAÇÃO'!$P:$P,MATCH(MEDIÇÃO!R74,'PROJETO PERFURAÇÃO'!$B:$B,0))="Buffer","B",IF(INDEX('PROJETO PERFURAÇÃO'!$P:$P,MATCH(MEDIÇÃO!R74,'PROJETO PERFURAÇÃO'!$B:$B,0))="Pre-Splitting","S"))),"")</f>
        <v>P</v>
      </c>
      <c r="R74" s="14">
        <f t="shared" si="8"/>
        <v>192</v>
      </c>
      <c r="S74" s="4" t="str">
        <f>IFERROR(INDEX('LEV R&amp;D'!$D:$D,MATCH(MEDIÇÃO!R74,'LEV R&amp;D'!$A:$A,0))-INDEX('PROJETO PERFURAÇÃO'!$AH:$AH,MATCH(MEDIÇÃO!R74,'PROJETO PERFURAÇÃO'!$B:$B,0)),"")</f>
        <v/>
      </c>
      <c r="T74" s="17">
        <f>IFERROR(INDEX('PROJETO PERFURAÇÃO'!$AN:$AN,MATCH(MEDIÇÃO!R74,'PROJETO PERFURAÇÃO'!$B:$B,0)),"")</f>
        <v>0</v>
      </c>
      <c r="U74" s="3"/>
      <c r="V74" s="3"/>
    </row>
    <row r="75" spans="1:23" ht="45" customHeight="1" x14ac:dyDescent="0.25">
      <c r="B75" s="3" t="str">
        <f>IFERROR(ROUND(INDEX('PROJETO PERFURAÇÃO'!$AB:$AB,MATCH(MEDIÇÃO!D75,'PROJETO PERFURAÇÃO'!$B:$B,0)),1)&amp;"''","")</f>
        <v>5''</v>
      </c>
      <c r="C75" s="3" t="str">
        <f>IFERROR(IF(INDEX('PROJETO PERFURAÇÃO'!$P:$P,MATCH(MEDIÇÃO!D75,'PROJETO PERFURAÇÃO'!$B:$B,0))="Production","P",IF(INDEX('PROJETO PERFURAÇÃO'!$P:$P,MATCH(MEDIÇÃO!D75,'PROJETO PERFURAÇÃO'!$B:$B,0))="Buffer","B",IF(INDEX('PROJETO PERFURAÇÃO'!$P:$P,MATCH(MEDIÇÃO!D75,'PROJETO PERFURAÇÃO'!$B:$B,0))="Pre-Splitting","S"))),"")</f>
        <v>P</v>
      </c>
      <c r="D75" s="14">
        <f t="shared" si="6"/>
        <v>147</v>
      </c>
      <c r="E75" s="4" t="str">
        <f>IFERROR(INDEX('LEV R&amp;D'!$D:$D,MATCH(MEDIÇÃO!D75,'LEV R&amp;D'!$A:$A,0))-INDEX('PROJETO PERFURAÇÃO'!$AH:$AH,MATCH(MEDIÇÃO!D75,'PROJETO PERFURAÇÃO'!$B:$B,0)),"")</f>
        <v/>
      </c>
      <c r="F75" s="17">
        <f>IFERROR(INDEX('PROJETO PERFURAÇÃO'!$AN:$AN,MATCH(MEDIÇÃO!D75,'PROJETO PERFURAÇÃO'!$B:$B,0)),"")</f>
        <v>0</v>
      </c>
      <c r="G75" s="3"/>
      <c r="H75" s="3"/>
      <c r="I75" s="3" t="str">
        <f>IFERROR(ROUND(INDEX('PROJETO PERFURAÇÃO'!$AB:$AB,MATCH(MEDIÇÃO!K75,'PROJETO PERFURAÇÃO'!$B:$B,0)),1)&amp;"''","")</f>
        <v>5''</v>
      </c>
      <c r="J75" s="3" t="str">
        <f>IFERROR(IF(INDEX('PROJETO PERFURAÇÃO'!$P:$P,MATCH(MEDIÇÃO!K75,'PROJETO PERFURAÇÃO'!$B:$B,0))="Production","P",IF(INDEX('PROJETO PERFURAÇÃO'!$P:$P,MATCH(MEDIÇÃO!K75,'PROJETO PERFURAÇÃO'!$B:$B,0))="Buffer","B",IF(INDEX('PROJETO PERFURAÇÃO'!$P:$P,MATCH(MEDIÇÃO!K75,'PROJETO PERFURAÇÃO'!$B:$B,0))="Pre-Splitting","S"))),"")</f>
        <v>P</v>
      </c>
      <c r="K75" s="14">
        <f t="shared" si="7"/>
        <v>170</v>
      </c>
      <c r="L75" s="4" t="str">
        <f>IFERROR(INDEX('LEV R&amp;D'!$D:$D,MATCH(MEDIÇÃO!K75,'LEV R&amp;D'!$A:$A,0))-INDEX('PROJETO PERFURAÇÃO'!$AH:$AH,MATCH(MEDIÇÃO!K75,'PROJETO PERFURAÇÃO'!$B:$B,0)),"")</f>
        <v/>
      </c>
      <c r="M75" s="17">
        <f>IFERROR(INDEX('PROJETO PERFURAÇÃO'!$AN:$AN,MATCH(MEDIÇÃO!K75,'PROJETO PERFURAÇÃO'!$B:$B,0)),"")</f>
        <v>0</v>
      </c>
      <c r="N75" s="3"/>
      <c r="O75" s="3"/>
      <c r="P75" s="3" t="str">
        <f>IFERROR(ROUND(INDEX('PROJETO PERFURAÇÃO'!$AB:$AB,MATCH(MEDIÇÃO!R75,'PROJETO PERFURAÇÃO'!$B:$B,0)),1)&amp;"''","")</f>
        <v>5''</v>
      </c>
      <c r="Q75" s="3" t="str">
        <f>IFERROR(IF(INDEX('PROJETO PERFURAÇÃO'!$P:$P,MATCH(MEDIÇÃO!R75,'PROJETO PERFURAÇÃO'!$B:$B,0))="Production","P",IF(INDEX('PROJETO PERFURAÇÃO'!$P:$P,MATCH(MEDIÇÃO!R75,'PROJETO PERFURAÇÃO'!$B:$B,0))="Buffer","B",IF(INDEX('PROJETO PERFURAÇÃO'!$P:$P,MATCH(MEDIÇÃO!R75,'PROJETO PERFURAÇÃO'!$B:$B,0))="Pre-Splitting","S"))),"")</f>
        <v>P</v>
      </c>
      <c r="R75" s="14">
        <f t="shared" si="8"/>
        <v>193</v>
      </c>
      <c r="S75" s="4" t="str">
        <f>IFERROR(INDEX('LEV R&amp;D'!$D:$D,MATCH(MEDIÇÃO!R75,'LEV R&amp;D'!$A:$A,0))-INDEX('PROJETO PERFURAÇÃO'!$AH:$AH,MATCH(MEDIÇÃO!R75,'PROJETO PERFURAÇÃO'!$B:$B,0)),"")</f>
        <v/>
      </c>
      <c r="T75" s="17">
        <f>IFERROR(INDEX('PROJETO PERFURAÇÃO'!$AN:$AN,MATCH(MEDIÇÃO!R75,'PROJETO PERFURAÇÃO'!$B:$B,0)),"")</f>
        <v>0</v>
      </c>
      <c r="U75" s="3"/>
      <c r="V75" s="3"/>
    </row>
    <row r="76" spans="1:23" ht="45" customHeight="1" x14ac:dyDescent="0.25">
      <c r="B76" s="3" t="str">
        <f>IFERROR(ROUND(INDEX('PROJETO PERFURAÇÃO'!$AB:$AB,MATCH(MEDIÇÃO!D76,'PROJETO PERFURAÇÃO'!$B:$B,0)),1)&amp;"''","")</f>
        <v>5''</v>
      </c>
      <c r="C76" s="3" t="str">
        <f>IFERROR(IF(INDEX('PROJETO PERFURAÇÃO'!$P:$P,MATCH(MEDIÇÃO!D76,'PROJETO PERFURAÇÃO'!$B:$B,0))="Production","P",IF(INDEX('PROJETO PERFURAÇÃO'!$P:$P,MATCH(MEDIÇÃO!D76,'PROJETO PERFURAÇÃO'!$B:$B,0))="Buffer","B",IF(INDEX('PROJETO PERFURAÇÃO'!$P:$P,MATCH(MEDIÇÃO!D76,'PROJETO PERFURAÇÃO'!$B:$B,0))="Pre-Splitting","S"))),"")</f>
        <v>P</v>
      </c>
      <c r="D76" s="14">
        <f t="shared" si="6"/>
        <v>148</v>
      </c>
      <c r="E76" s="4" t="str">
        <f>IFERROR(INDEX('LEV R&amp;D'!$D:$D,MATCH(MEDIÇÃO!D76,'LEV R&amp;D'!$A:$A,0))-INDEX('PROJETO PERFURAÇÃO'!$AH:$AH,MATCH(MEDIÇÃO!D76,'PROJETO PERFURAÇÃO'!$B:$B,0)),"")</f>
        <v/>
      </c>
      <c r="F76" s="17">
        <f>IFERROR(INDEX('PROJETO PERFURAÇÃO'!$AN:$AN,MATCH(MEDIÇÃO!D76,'PROJETO PERFURAÇÃO'!$B:$B,0)),"")</f>
        <v>0</v>
      </c>
      <c r="G76" s="3"/>
      <c r="H76" s="3"/>
      <c r="I76" s="3" t="str">
        <f>IFERROR(ROUND(INDEX('PROJETO PERFURAÇÃO'!$AB:$AB,MATCH(MEDIÇÃO!K76,'PROJETO PERFURAÇÃO'!$B:$B,0)),1)&amp;"''","")</f>
        <v>5''</v>
      </c>
      <c r="J76" s="3" t="str">
        <f>IFERROR(IF(INDEX('PROJETO PERFURAÇÃO'!$P:$P,MATCH(MEDIÇÃO!K76,'PROJETO PERFURAÇÃO'!$B:$B,0))="Production","P",IF(INDEX('PROJETO PERFURAÇÃO'!$P:$P,MATCH(MEDIÇÃO!K76,'PROJETO PERFURAÇÃO'!$B:$B,0))="Buffer","B",IF(INDEX('PROJETO PERFURAÇÃO'!$P:$P,MATCH(MEDIÇÃO!K76,'PROJETO PERFURAÇÃO'!$B:$B,0))="Pre-Splitting","S"))),"")</f>
        <v>P</v>
      </c>
      <c r="K76" s="14">
        <f t="shared" si="7"/>
        <v>171</v>
      </c>
      <c r="L76" s="4" t="str">
        <f>IFERROR(INDEX('LEV R&amp;D'!$D:$D,MATCH(MEDIÇÃO!K76,'LEV R&amp;D'!$A:$A,0))-INDEX('PROJETO PERFURAÇÃO'!$AH:$AH,MATCH(MEDIÇÃO!K76,'PROJETO PERFURAÇÃO'!$B:$B,0)),"")</f>
        <v/>
      </c>
      <c r="M76" s="17">
        <f>IFERROR(INDEX('PROJETO PERFURAÇÃO'!$AN:$AN,MATCH(MEDIÇÃO!K76,'PROJETO PERFURAÇÃO'!$B:$B,0)),"")</f>
        <v>0</v>
      </c>
      <c r="N76" s="3"/>
      <c r="O76" s="3"/>
      <c r="P76" s="3" t="str">
        <f>IFERROR(ROUND(INDEX('PROJETO PERFURAÇÃO'!$AB:$AB,MATCH(MEDIÇÃO!R76,'PROJETO PERFURAÇÃO'!$B:$B,0)),1)&amp;"''","")</f>
        <v>5''</v>
      </c>
      <c r="Q76" s="3" t="str">
        <f>IFERROR(IF(INDEX('PROJETO PERFURAÇÃO'!$P:$P,MATCH(MEDIÇÃO!R76,'PROJETO PERFURAÇÃO'!$B:$B,0))="Production","P",IF(INDEX('PROJETO PERFURAÇÃO'!$P:$P,MATCH(MEDIÇÃO!R76,'PROJETO PERFURAÇÃO'!$B:$B,0))="Buffer","B",IF(INDEX('PROJETO PERFURAÇÃO'!$P:$P,MATCH(MEDIÇÃO!R76,'PROJETO PERFURAÇÃO'!$B:$B,0))="Pre-Splitting","S"))),"")</f>
        <v>P</v>
      </c>
      <c r="R76" s="14">
        <f t="shared" si="8"/>
        <v>194</v>
      </c>
      <c r="S76" s="4" t="str">
        <f>IFERROR(INDEX('LEV R&amp;D'!$D:$D,MATCH(MEDIÇÃO!R76,'LEV R&amp;D'!$A:$A,0))-INDEX('PROJETO PERFURAÇÃO'!$AH:$AH,MATCH(MEDIÇÃO!R76,'PROJETO PERFURAÇÃO'!$B:$B,0)),"")</f>
        <v/>
      </c>
      <c r="T76" s="17">
        <f>IFERROR(INDEX('PROJETO PERFURAÇÃO'!$AN:$AN,MATCH(MEDIÇÃO!R76,'PROJETO PERFURAÇÃO'!$B:$B,0)),"")</f>
        <v>0</v>
      </c>
      <c r="U76" s="3"/>
      <c r="V76" s="3"/>
    </row>
    <row r="77" spans="1:23" ht="45" customHeight="1" x14ac:dyDescent="0.25">
      <c r="B77" s="3" t="str">
        <f>IFERROR(ROUND(INDEX('PROJETO PERFURAÇÃO'!$AB:$AB,MATCH(MEDIÇÃO!D77,'PROJETO PERFURAÇÃO'!$B:$B,0)),1)&amp;"''","")</f>
        <v>5''</v>
      </c>
      <c r="C77" s="3" t="str">
        <f>IFERROR(IF(INDEX('PROJETO PERFURAÇÃO'!$P:$P,MATCH(MEDIÇÃO!D77,'PROJETO PERFURAÇÃO'!$B:$B,0))="Production","P",IF(INDEX('PROJETO PERFURAÇÃO'!$P:$P,MATCH(MEDIÇÃO!D77,'PROJETO PERFURAÇÃO'!$B:$B,0))="Buffer","B",IF(INDEX('PROJETO PERFURAÇÃO'!$P:$P,MATCH(MEDIÇÃO!D77,'PROJETO PERFURAÇÃO'!$B:$B,0))="Pre-Splitting","S"))),"")</f>
        <v>P</v>
      </c>
      <c r="D77" s="14">
        <f t="shared" si="6"/>
        <v>149</v>
      </c>
      <c r="E77" s="4" t="str">
        <f>IFERROR(INDEX('LEV R&amp;D'!$D:$D,MATCH(MEDIÇÃO!D77,'LEV R&amp;D'!$A:$A,0))-INDEX('PROJETO PERFURAÇÃO'!$AH:$AH,MATCH(MEDIÇÃO!D77,'PROJETO PERFURAÇÃO'!$B:$B,0)),"")</f>
        <v/>
      </c>
      <c r="F77" s="17">
        <f>IFERROR(INDEX('PROJETO PERFURAÇÃO'!$AN:$AN,MATCH(MEDIÇÃO!D77,'PROJETO PERFURAÇÃO'!$B:$B,0)),"")</f>
        <v>0</v>
      </c>
      <c r="G77" s="3"/>
      <c r="H77" s="3"/>
      <c r="I77" s="3" t="str">
        <f>IFERROR(ROUND(INDEX('PROJETO PERFURAÇÃO'!$AB:$AB,MATCH(MEDIÇÃO!K77,'PROJETO PERFURAÇÃO'!$B:$B,0)),1)&amp;"''","")</f>
        <v>5''</v>
      </c>
      <c r="J77" s="3" t="str">
        <f>IFERROR(IF(INDEX('PROJETO PERFURAÇÃO'!$P:$P,MATCH(MEDIÇÃO!K77,'PROJETO PERFURAÇÃO'!$B:$B,0))="Production","P",IF(INDEX('PROJETO PERFURAÇÃO'!$P:$P,MATCH(MEDIÇÃO!K77,'PROJETO PERFURAÇÃO'!$B:$B,0))="Buffer","B",IF(INDEX('PROJETO PERFURAÇÃO'!$P:$P,MATCH(MEDIÇÃO!K77,'PROJETO PERFURAÇÃO'!$B:$B,0))="Pre-Splitting","S"))),"")</f>
        <v>P</v>
      </c>
      <c r="K77" s="14">
        <f t="shared" si="7"/>
        <v>172</v>
      </c>
      <c r="L77" s="4" t="str">
        <f>IFERROR(INDEX('LEV R&amp;D'!$D:$D,MATCH(MEDIÇÃO!K77,'LEV R&amp;D'!$A:$A,0))-INDEX('PROJETO PERFURAÇÃO'!$AH:$AH,MATCH(MEDIÇÃO!K77,'PROJETO PERFURAÇÃO'!$B:$B,0)),"")</f>
        <v/>
      </c>
      <c r="M77" s="17">
        <f>IFERROR(INDEX('PROJETO PERFURAÇÃO'!$AN:$AN,MATCH(MEDIÇÃO!K77,'PROJETO PERFURAÇÃO'!$B:$B,0)),"")</f>
        <v>0</v>
      </c>
      <c r="N77" s="3"/>
      <c r="O77" s="3"/>
      <c r="P77" s="3" t="str">
        <f>IFERROR(ROUND(INDEX('PROJETO PERFURAÇÃO'!$AB:$AB,MATCH(MEDIÇÃO!R77,'PROJETO PERFURAÇÃO'!$B:$B,0)),1)&amp;"''","")</f>
        <v>5''</v>
      </c>
      <c r="Q77" s="3" t="str">
        <f>IFERROR(IF(INDEX('PROJETO PERFURAÇÃO'!$P:$P,MATCH(MEDIÇÃO!R77,'PROJETO PERFURAÇÃO'!$B:$B,0))="Production","P",IF(INDEX('PROJETO PERFURAÇÃO'!$P:$P,MATCH(MEDIÇÃO!R77,'PROJETO PERFURAÇÃO'!$B:$B,0))="Buffer","B",IF(INDEX('PROJETO PERFURAÇÃO'!$P:$P,MATCH(MEDIÇÃO!R77,'PROJETO PERFURAÇÃO'!$B:$B,0))="Pre-Splitting","S"))),"")</f>
        <v>P</v>
      </c>
      <c r="R77" s="14">
        <f t="shared" si="8"/>
        <v>195</v>
      </c>
      <c r="S77" s="4" t="str">
        <f>IFERROR(INDEX('LEV R&amp;D'!$D:$D,MATCH(MEDIÇÃO!R77,'LEV R&amp;D'!$A:$A,0))-INDEX('PROJETO PERFURAÇÃO'!$AH:$AH,MATCH(MEDIÇÃO!R77,'PROJETO PERFURAÇÃO'!$B:$B,0)),"")</f>
        <v/>
      </c>
      <c r="T77" s="17">
        <f>IFERROR(INDEX('PROJETO PERFURAÇÃO'!$AN:$AN,MATCH(MEDIÇÃO!R77,'PROJETO PERFURAÇÃO'!$B:$B,0)),"")</f>
        <v>0</v>
      </c>
      <c r="U77" s="3"/>
      <c r="V77" s="3"/>
    </row>
    <row r="78" spans="1:23" ht="45" customHeight="1" x14ac:dyDescent="0.25">
      <c r="B78" s="3" t="str">
        <f>IFERROR(ROUND(INDEX('PROJETO PERFURAÇÃO'!$AB:$AB,MATCH(MEDIÇÃO!D78,'PROJETO PERFURAÇÃO'!$B:$B,0)),1)&amp;"''","")</f>
        <v>5''</v>
      </c>
      <c r="C78" s="3" t="str">
        <f>IFERROR(IF(INDEX('PROJETO PERFURAÇÃO'!$P:$P,MATCH(MEDIÇÃO!D78,'PROJETO PERFURAÇÃO'!$B:$B,0))="Production","P",IF(INDEX('PROJETO PERFURAÇÃO'!$P:$P,MATCH(MEDIÇÃO!D78,'PROJETO PERFURAÇÃO'!$B:$B,0))="Buffer","B",IF(INDEX('PROJETO PERFURAÇÃO'!$P:$P,MATCH(MEDIÇÃO!D78,'PROJETO PERFURAÇÃO'!$B:$B,0))="Pre-Splitting","S"))),"")</f>
        <v>P</v>
      </c>
      <c r="D78" s="14">
        <f t="shared" si="6"/>
        <v>150</v>
      </c>
      <c r="E78" s="4" t="str">
        <f>IFERROR(INDEX('LEV R&amp;D'!$D:$D,MATCH(MEDIÇÃO!D78,'LEV R&amp;D'!$A:$A,0))-INDEX('PROJETO PERFURAÇÃO'!$AH:$AH,MATCH(MEDIÇÃO!D78,'PROJETO PERFURAÇÃO'!$B:$B,0)),"")</f>
        <v/>
      </c>
      <c r="F78" s="17">
        <f>IFERROR(INDEX('PROJETO PERFURAÇÃO'!$AN:$AN,MATCH(MEDIÇÃO!D78,'PROJETO PERFURAÇÃO'!$B:$B,0)),"")</f>
        <v>0</v>
      </c>
      <c r="G78" s="3"/>
      <c r="H78" s="3"/>
      <c r="I78" s="3" t="str">
        <f>IFERROR(ROUND(INDEX('PROJETO PERFURAÇÃO'!$AB:$AB,MATCH(MEDIÇÃO!K78,'PROJETO PERFURAÇÃO'!$B:$B,0)),1)&amp;"''","")</f>
        <v>5''</v>
      </c>
      <c r="J78" s="3" t="str">
        <f>IFERROR(IF(INDEX('PROJETO PERFURAÇÃO'!$P:$P,MATCH(MEDIÇÃO!K78,'PROJETO PERFURAÇÃO'!$B:$B,0))="Production","P",IF(INDEX('PROJETO PERFURAÇÃO'!$P:$P,MATCH(MEDIÇÃO!K78,'PROJETO PERFURAÇÃO'!$B:$B,0))="Buffer","B",IF(INDEX('PROJETO PERFURAÇÃO'!$P:$P,MATCH(MEDIÇÃO!K78,'PROJETO PERFURAÇÃO'!$B:$B,0))="Pre-Splitting","S"))),"")</f>
        <v>P</v>
      </c>
      <c r="K78" s="14">
        <f t="shared" si="7"/>
        <v>173</v>
      </c>
      <c r="L78" s="4" t="str">
        <f>IFERROR(INDEX('LEV R&amp;D'!$D:$D,MATCH(MEDIÇÃO!K78,'LEV R&amp;D'!$A:$A,0))-INDEX('PROJETO PERFURAÇÃO'!$AH:$AH,MATCH(MEDIÇÃO!K78,'PROJETO PERFURAÇÃO'!$B:$B,0)),"")</f>
        <v/>
      </c>
      <c r="M78" s="17">
        <f>IFERROR(INDEX('PROJETO PERFURAÇÃO'!$AN:$AN,MATCH(MEDIÇÃO!K78,'PROJETO PERFURAÇÃO'!$B:$B,0)),"")</f>
        <v>0</v>
      </c>
      <c r="N78" s="3"/>
      <c r="O78" s="3"/>
      <c r="P78" s="3" t="str">
        <f>IFERROR(ROUND(INDEX('PROJETO PERFURAÇÃO'!$AB:$AB,MATCH(MEDIÇÃO!R78,'PROJETO PERFURAÇÃO'!$B:$B,0)),1)&amp;"''","")</f>
        <v>5''</v>
      </c>
      <c r="Q78" s="3" t="str">
        <f>IFERROR(IF(INDEX('PROJETO PERFURAÇÃO'!$P:$P,MATCH(MEDIÇÃO!R78,'PROJETO PERFURAÇÃO'!$B:$B,0))="Production","P",IF(INDEX('PROJETO PERFURAÇÃO'!$P:$P,MATCH(MEDIÇÃO!R78,'PROJETO PERFURAÇÃO'!$B:$B,0))="Buffer","B",IF(INDEX('PROJETO PERFURAÇÃO'!$P:$P,MATCH(MEDIÇÃO!R78,'PROJETO PERFURAÇÃO'!$B:$B,0))="Pre-Splitting","S"))),"")</f>
        <v>P</v>
      </c>
      <c r="R78" s="14">
        <f t="shared" si="8"/>
        <v>196</v>
      </c>
      <c r="S78" s="4" t="str">
        <f>IFERROR(INDEX('LEV R&amp;D'!$D:$D,MATCH(MEDIÇÃO!R78,'LEV R&amp;D'!$A:$A,0))-INDEX('PROJETO PERFURAÇÃO'!$AH:$AH,MATCH(MEDIÇÃO!R78,'PROJETO PERFURAÇÃO'!$B:$B,0)),"")</f>
        <v/>
      </c>
      <c r="T78" s="17">
        <f>IFERROR(INDEX('PROJETO PERFURAÇÃO'!$AN:$AN,MATCH(MEDIÇÃO!R78,'PROJETO PERFURAÇÃO'!$B:$B,0)),"")</f>
        <v>0</v>
      </c>
      <c r="U78" s="3"/>
      <c r="V78" s="3"/>
    </row>
    <row r="79" spans="1:23" ht="45" customHeight="1" x14ac:dyDescent="0.25">
      <c r="B79" s="3" t="str">
        <f>IFERROR(ROUND(INDEX('PROJETO PERFURAÇÃO'!$AB:$AB,MATCH(MEDIÇÃO!D79,'PROJETO PERFURAÇÃO'!$B:$B,0)),1)&amp;"''","")</f>
        <v>5''</v>
      </c>
      <c r="C79" s="3" t="str">
        <f>IFERROR(IF(INDEX('PROJETO PERFURAÇÃO'!$P:$P,MATCH(MEDIÇÃO!D79,'PROJETO PERFURAÇÃO'!$B:$B,0))="Production","P",IF(INDEX('PROJETO PERFURAÇÃO'!$P:$P,MATCH(MEDIÇÃO!D79,'PROJETO PERFURAÇÃO'!$B:$B,0))="Buffer","B",IF(INDEX('PROJETO PERFURAÇÃO'!$P:$P,MATCH(MEDIÇÃO!D79,'PROJETO PERFURAÇÃO'!$B:$B,0))="Pre-Splitting","S"))),"")</f>
        <v>P</v>
      </c>
      <c r="D79" s="14">
        <f t="shared" si="6"/>
        <v>151</v>
      </c>
      <c r="E79" s="4" t="str">
        <f>IFERROR(INDEX('LEV R&amp;D'!$D:$D,MATCH(MEDIÇÃO!D79,'LEV R&amp;D'!$A:$A,0))-INDEX('PROJETO PERFURAÇÃO'!$AH:$AH,MATCH(MEDIÇÃO!D79,'PROJETO PERFURAÇÃO'!$B:$B,0)),"")</f>
        <v/>
      </c>
      <c r="F79" s="17">
        <f>IFERROR(INDEX('PROJETO PERFURAÇÃO'!$AN:$AN,MATCH(MEDIÇÃO!D79,'PROJETO PERFURAÇÃO'!$B:$B,0)),"")</f>
        <v>0</v>
      </c>
      <c r="G79" s="3"/>
      <c r="H79" s="3"/>
      <c r="I79" s="3" t="str">
        <f>IFERROR(ROUND(INDEX('PROJETO PERFURAÇÃO'!$AB:$AB,MATCH(MEDIÇÃO!K79,'PROJETO PERFURAÇÃO'!$B:$B,0)),1)&amp;"''","")</f>
        <v>5''</v>
      </c>
      <c r="J79" s="3" t="str">
        <f>IFERROR(IF(INDEX('PROJETO PERFURAÇÃO'!$P:$P,MATCH(MEDIÇÃO!K79,'PROJETO PERFURAÇÃO'!$B:$B,0))="Production","P",IF(INDEX('PROJETO PERFURAÇÃO'!$P:$P,MATCH(MEDIÇÃO!K79,'PROJETO PERFURAÇÃO'!$B:$B,0))="Buffer","B",IF(INDEX('PROJETO PERFURAÇÃO'!$P:$P,MATCH(MEDIÇÃO!K79,'PROJETO PERFURAÇÃO'!$B:$B,0))="Pre-Splitting","S"))),"")</f>
        <v>P</v>
      </c>
      <c r="K79" s="14">
        <f t="shared" si="7"/>
        <v>174</v>
      </c>
      <c r="L79" s="4" t="str">
        <f>IFERROR(INDEX('LEV R&amp;D'!$D:$D,MATCH(MEDIÇÃO!K79,'LEV R&amp;D'!$A:$A,0))-INDEX('PROJETO PERFURAÇÃO'!$AH:$AH,MATCH(MEDIÇÃO!K79,'PROJETO PERFURAÇÃO'!$B:$B,0)),"")</f>
        <v/>
      </c>
      <c r="M79" s="17">
        <f>IFERROR(INDEX('PROJETO PERFURAÇÃO'!$AN:$AN,MATCH(MEDIÇÃO!K79,'PROJETO PERFURAÇÃO'!$B:$B,0)),"")</f>
        <v>0</v>
      </c>
      <c r="N79" s="3"/>
      <c r="O79" s="3"/>
      <c r="P79" s="3" t="str">
        <f>IFERROR(ROUND(INDEX('PROJETO PERFURAÇÃO'!$AB:$AB,MATCH(MEDIÇÃO!R79,'PROJETO PERFURAÇÃO'!$B:$B,0)),1)&amp;"''","")</f>
        <v>5''</v>
      </c>
      <c r="Q79" s="3" t="str">
        <f>IFERROR(IF(INDEX('PROJETO PERFURAÇÃO'!$P:$P,MATCH(MEDIÇÃO!R79,'PROJETO PERFURAÇÃO'!$B:$B,0))="Production","P",IF(INDEX('PROJETO PERFURAÇÃO'!$P:$P,MATCH(MEDIÇÃO!R79,'PROJETO PERFURAÇÃO'!$B:$B,0))="Buffer","B",IF(INDEX('PROJETO PERFURAÇÃO'!$P:$P,MATCH(MEDIÇÃO!R79,'PROJETO PERFURAÇÃO'!$B:$B,0))="Pre-Splitting","S"))),"")</f>
        <v>P</v>
      </c>
      <c r="R79" s="14">
        <f t="shared" si="8"/>
        <v>197</v>
      </c>
      <c r="S79" s="4" t="str">
        <f>IFERROR(INDEX('LEV R&amp;D'!$D:$D,MATCH(MEDIÇÃO!R79,'LEV R&amp;D'!$A:$A,0))-INDEX('PROJETO PERFURAÇÃO'!$AH:$AH,MATCH(MEDIÇÃO!R79,'PROJETO PERFURAÇÃO'!$B:$B,0)),"")</f>
        <v/>
      </c>
      <c r="T79" s="17">
        <f>IFERROR(INDEX('PROJETO PERFURAÇÃO'!$AN:$AN,MATCH(MEDIÇÃO!R79,'PROJETO PERFURAÇÃO'!$B:$B,0)),"")</f>
        <v>0</v>
      </c>
      <c r="U79" s="3"/>
      <c r="V79" s="3"/>
    </row>
    <row r="80" spans="1:23" ht="45" customHeight="1" x14ac:dyDescent="0.25">
      <c r="B80" s="3" t="str">
        <f>IFERROR(ROUND(INDEX('PROJETO PERFURAÇÃO'!$AB:$AB,MATCH(MEDIÇÃO!D80,'PROJETO PERFURAÇÃO'!$B:$B,0)),1)&amp;"''","")</f>
        <v>5''</v>
      </c>
      <c r="C80" s="3" t="str">
        <f>IFERROR(IF(INDEX('PROJETO PERFURAÇÃO'!$P:$P,MATCH(MEDIÇÃO!D80,'PROJETO PERFURAÇÃO'!$B:$B,0))="Production","P",IF(INDEX('PROJETO PERFURAÇÃO'!$P:$P,MATCH(MEDIÇÃO!D80,'PROJETO PERFURAÇÃO'!$B:$B,0))="Buffer","B",IF(INDEX('PROJETO PERFURAÇÃO'!$P:$P,MATCH(MEDIÇÃO!D80,'PROJETO PERFURAÇÃO'!$B:$B,0))="Pre-Splitting","S"))),"")</f>
        <v>P</v>
      </c>
      <c r="D80" s="14">
        <f t="shared" si="6"/>
        <v>152</v>
      </c>
      <c r="E80" s="4" t="str">
        <f>IFERROR(INDEX('LEV R&amp;D'!$D:$D,MATCH(MEDIÇÃO!D80,'LEV R&amp;D'!$A:$A,0))-INDEX('PROJETO PERFURAÇÃO'!$AH:$AH,MATCH(MEDIÇÃO!D80,'PROJETO PERFURAÇÃO'!$B:$B,0)),"")</f>
        <v/>
      </c>
      <c r="F80" s="17">
        <f>IFERROR(INDEX('PROJETO PERFURAÇÃO'!$AN:$AN,MATCH(MEDIÇÃO!D80,'PROJETO PERFURAÇÃO'!$B:$B,0)),"")</f>
        <v>0</v>
      </c>
      <c r="G80" s="3"/>
      <c r="H80" s="3"/>
      <c r="I80" s="3" t="str">
        <f>IFERROR(ROUND(INDEX('PROJETO PERFURAÇÃO'!$AB:$AB,MATCH(MEDIÇÃO!K80,'PROJETO PERFURAÇÃO'!$B:$B,0)),1)&amp;"''","")</f>
        <v>5''</v>
      </c>
      <c r="J80" s="3" t="str">
        <f>IFERROR(IF(INDEX('PROJETO PERFURAÇÃO'!$P:$P,MATCH(MEDIÇÃO!K80,'PROJETO PERFURAÇÃO'!$B:$B,0))="Production","P",IF(INDEX('PROJETO PERFURAÇÃO'!$P:$P,MATCH(MEDIÇÃO!K80,'PROJETO PERFURAÇÃO'!$B:$B,0))="Buffer","B",IF(INDEX('PROJETO PERFURAÇÃO'!$P:$P,MATCH(MEDIÇÃO!K80,'PROJETO PERFURAÇÃO'!$B:$B,0))="Pre-Splitting","S"))),"")</f>
        <v>P</v>
      </c>
      <c r="K80" s="14">
        <f t="shared" si="7"/>
        <v>175</v>
      </c>
      <c r="L80" s="4" t="str">
        <f>IFERROR(INDEX('LEV R&amp;D'!$D:$D,MATCH(MEDIÇÃO!K80,'LEV R&amp;D'!$A:$A,0))-INDEX('PROJETO PERFURAÇÃO'!$AH:$AH,MATCH(MEDIÇÃO!K80,'PROJETO PERFURAÇÃO'!$B:$B,0)),"")</f>
        <v/>
      </c>
      <c r="M80" s="17">
        <f>IFERROR(INDEX('PROJETO PERFURAÇÃO'!$AN:$AN,MATCH(MEDIÇÃO!K80,'PROJETO PERFURAÇÃO'!$B:$B,0)),"")</f>
        <v>0</v>
      </c>
      <c r="N80" s="3"/>
      <c r="O80" s="3"/>
      <c r="P80" s="3" t="str">
        <f>IFERROR(ROUND(INDEX('PROJETO PERFURAÇÃO'!$AB:$AB,MATCH(MEDIÇÃO!R80,'PROJETO PERFURAÇÃO'!$B:$B,0)),1)&amp;"''","")</f>
        <v>5''</v>
      </c>
      <c r="Q80" s="3" t="str">
        <f>IFERROR(IF(INDEX('PROJETO PERFURAÇÃO'!$P:$P,MATCH(MEDIÇÃO!R80,'PROJETO PERFURAÇÃO'!$B:$B,0))="Production","P",IF(INDEX('PROJETO PERFURAÇÃO'!$P:$P,MATCH(MEDIÇÃO!R80,'PROJETO PERFURAÇÃO'!$B:$B,0))="Buffer","B",IF(INDEX('PROJETO PERFURAÇÃO'!$P:$P,MATCH(MEDIÇÃO!R80,'PROJETO PERFURAÇÃO'!$B:$B,0))="Pre-Splitting","S"))),"")</f>
        <v>P</v>
      </c>
      <c r="R80" s="14">
        <f t="shared" si="8"/>
        <v>198</v>
      </c>
      <c r="S80" s="4" t="str">
        <f>IFERROR(INDEX('LEV R&amp;D'!$D:$D,MATCH(MEDIÇÃO!R80,'LEV R&amp;D'!$A:$A,0))-INDEX('PROJETO PERFURAÇÃO'!$AH:$AH,MATCH(MEDIÇÃO!R80,'PROJETO PERFURAÇÃO'!$B:$B,0)),"")</f>
        <v/>
      </c>
      <c r="T80" s="17">
        <f>IFERROR(INDEX('PROJETO PERFURAÇÃO'!$AN:$AN,MATCH(MEDIÇÃO!R80,'PROJETO PERFURAÇÃO'!$B:$B,0)),"")</f>
        <v>0</v>
      </c>
      <c r="U80" s="3"/>
      <c r="V80" s="3"/>
    </row>
    <row r="81" spans="2:22" ht="45" customHeight="1" x14ac:dyDescent="0.25">
      <c r="B81" s="3" t="str">
        <f>IFERROR(ROUND(INDEX('PROJETO PERFURAÇÃO'!$AB:$AB,MATCH(MEDIÇÃO!D81,'PROJETO PERFURAÇÃO'!$B:$B,0)),1)&amp;"''","")</f>
        <v>5''</v>
      </c>
      <c r="C81" s="3" t="str">
        <f>IFERROR(IF(INDEX('PROJETO PERFURAÇÃO'!$P:$P,MATCH(MEDIÇÃO!D81,'PROJETO PERFURAÇÃO'!$B:$B,0))="Production","P",IF(INDEX('PROJETO PERFURAÇÃO'!$P:$P,MATCH(MEDIÇÃO!D81,'PROJETO PERFURAÇÃO'!$B:$B,0))="Buffer","B",IF(INDEX('PROJETO PERFURAÇÃO'!$P:$P,MATCH(MEDIÇÃO!D81,'PROJETO PERFURAÇÃO'!$B:$B,0))="Pre-Splitting","S"))),"")</f>
        <v>P</v>
      </c>
      <c r="D81" s="14">
        <f t="shared" si="6"/>
        <v>153</v>
      </c>
      <c r="E81" s="4" t="str">
        <f>IFERROR(INDEX('LEV R&amp;D'!$D:$D,MATCH(MEDIÇÃO!D81,'LEV R&amp;D'!$A:$A,0))-INDEX('PROJETO PERFURAÇÃO'!$AH:$AH,MATCH(MEDIÇÃO!D81,'PROJETO PERFURAÇÃO'!$B:$B,0)),"")</f>
        <v/>
      </c>
      <c r="F81" s="17">
        <f>IFERROR(INDEX('PROJETO PERFURAÇÃO'!$AN:$AN,MATCH(MEDIÇÃO!D81,'PROJETO PERFURAÇÃO'!$B:$B,0)),"")</f>
        <v>0</v>
      </c>
      <c r="G81" s="3"/>
      <c r="H81" s="3"/>
      <c r="I81" s="3" t="str">
        <f>IFERROR(ROUND(INDEX('PROJETO PERFURAÇÃO'!$AB:$AB,MATCH(MEDIÇÃO!K81,'PROJETO PERFURAÇÃO'!$B:$B,0)),1)&amp;"''","")</f>
        <v>5''</v>
      </c>
      <c r="J81" s="3" t="str">
        <f>IFERROR(IF(INDEX('PROJETO PERFURAÇÃO'!$P:$P,MATCH(MEDIÇÃO!K81,'PROJETO PERFURAÇÃO'!$B:$B,0))="Production","P",IF(INDEX('PROJETO PERFURAÇÃO'!$P:$P,MATCH(MEDIÇÃO!K81,'PROJETO PERFURAÇÃO'!$B:$B,0))="Buffer","B",IF(INDEX('PROJETO PERFURAÇÃO'!$P:$P,MATCH(MEDIÇÃO!K81,'PROJETO PERFURAÇÃO'!$B:$B,0))="Pre-Splitting","S"))),"")</f>
        <v>P</v>
      </c>
      <c r="K81" s="14">
        <f t="shared" si="7"/>
        <v>176</v>
      </c>
      <c r="L81" s="4" t="str">
        <f>IFERROR(INDEX('LEV R&amp;D'!$D:$D,MATCH(MEDIÇÃO!K81,'LEV R&amp;D'!$A:$A,0))-INDEX('PROJETO PERFURAÇÃO'!$AH:$AH,MATCH(MEDIÇÃO!K81,'PROJETO PERFURAÇÃO'!$B:$B,0)),"")</f>
        <v/>
      </c>
      <c r="M81" s="17">
        <f>IFERROR(INDEX('PROJETO PERFURAÇÃO'!$AN:$AN,MATCH(MEDIÇÃO!K81,'PROJETO PERFURAÇÃO'!$B:$B,0)),"")</f>
        <v>0</v>
      </c>
      <c r="N81" s="3"/>
      <c r="O81" s="3"/>
      <c r="P81" s="3" t="str">
        <f>IFERROR(ROUND(INDEX('PROJETO PERFURAÇÃO'!$AB:$AB,MATCH(MEDIÇÃO!R81,'PROJETO PERFURAÇÃO'!$B:$B,0)),1)&amp;"''","")</f>
        <v>5''</v>
      </c>
      <c r="Q81" s="3" t="str">
        <f>IFERROR(IF(INDEX('PROJETO PERFURAÇÃO'!$P:$P,MATCH(MEDIÇÃO!R81,'PROJETO PERFURAÇÃO'!$B:$B,0))="Production","P",IF(INDEX('PROJETO PERFURAÇÃO'!$P:$P,MATCH(MEDIÇÃO!R81,'PROJETO PERFURAÇÃO'!$B:$B,0))="Buffer","B",IF(INDEX('PROJETO PERFURAÇÃO'!$P:$P,MATCH(MEDIÇÃO!R81,'PROJETO PERFURAÇÃO'!$B:$B,0))="Pre-Splitting","S"))),"")</f>
        <v>P</v>
      </c>
      <c r="R81" s="14">
        <f t="shared" si="8"/>
        <v>199</v>
      </c>
      <c r="S81" s="4" t="str">
        <f>IFERROR(INDEX('LEV R&amp;D'!$D:$D,MATCH(MEDIÇÃO!R81,'LEV R&amp;D'!$A:$A,0))-INDEX('PROJETO PERFURAÇÃO'!$AH:$AH,MATCH(MEDIÇÃO!R81,'PROJETO PERFURAÇÃO'!$B:$B,0)),"")</f>
        <v/>
      </c>
      <c r="T81" s="17">
        <f>IFERROR(INDEX('PROJETO PERFURAÇÃO'!$AN:$AN,MATCH(MEDIÇÃO!R81,'PROJETO PERFURAÇÃO'!$B:$B,0)),"")</f>
        <v>0</v>
      </c>
      <c r="U81" s="3"/>
      <c r="V81" s="3"/>
    </row>
    <row r="82" spans="2:22" ht="45" customHeight="1" x14ac:dyDescent="0.25">
      <c r="B82" s="3" t="str">
        <f>IFERROR(ROUND(INDEX('PROJETO PERFURAÇÃO'!$AB:$AB,MATCH(MEDIÇÃO!D82,'PROJETO PERFURAÇÃO'!$B:$B,0)),1)&amp;"''","")</f>
        <v>5''</v>
      </c>
      <c r="C82" s="3" t="str">
        <f>IFERROR(IF(INDEX('PROJETO PERFURAÇÃO'!$P:$P,MATCH(MEDIÇÃO!D82,'PROJETO PERFURAÇÃO'!$B:$B,0))="Production","P",IF(INDEX('PROJETO PERFURAÇÃO'!$P:$P,MATCH(MEDIÇÃO!D82,'PROJETO PERFURAÇÃO'!$B:$B,0))="Buffer","B",IF(INDEX('PROJETO PERFURAÇÃO'!$P:$P,MATCH(MEDIÇÃO!D82,'PROJETO PERFURAÇÃO'!$B:$B,0))="Pre-Splitting","S"))),"")</f>
        <v>P</v>
      </c>
      <c r="D82" s="14">
        <f t="shared" si="6"/>
        <v>154</v>
      </c>
      <c r="E82" s="4" t="str">
        <f>IFERROR(INDEX('LEV R&amp;D'!$D:$D,MATCH(MEDIÇÃO!D82,'LEV R&amp;D'!$A:$A,0))-INDEX('PROJETO PERFURAÇÃO'!$AH:$AH,MATCH(MEDIÇÃO!D82,'PROJETO PERFURAÇÃO'!$B:$B,0)),"")</f>
        <v/>
      </c>
      <c r="F82" s="17">
        <f>IFERROR(INDEX('PROJETO PERFURAÇÃO'!$AN:$AN,MATCH(MEDIÇÃO!D82,'PROJETO PERFURAÇÃO'!$B:$B,0)),"")</f>
        <v>0</v>
      </c>
      <c r="G82" s="3"/>
      <c r="H82" s="3"/>
      <c r="I82" s="3" t="str">
        <f>IFERROR(ROUND(INDEX('PROJETO PERFURAÇÃO'!$AB:$AB,MATCH(MEDIÇÃO!K82,'PROJETO PERFURAÇÃO'!$B:$B,0)),1)&amp;"''","")</f>
        <v>5''</v>
      </c>
      <c r="J82" s="3" t="str">
        <f>IFERROR(IF(INDEX('PROJETO PERFURAÇÃO'!$P:$P,MATCH(MEDIÇÃO!K82,'PROJETO PERFURAÇÃO'!$B:$B,0))="Production","P",IF(INDEX('PROJETO PERFURAÇÃO'!$P:$P,MATCH(MEDIÇÃO!K82,'PROJETO PERFURAÇÃO'!$B:$B,0))="Buffer","B",IF(INDEX('PROJETO PERFURAÇÃO'!$P:$P,MATCH(MEDIÇÃO!K82,'PROJETO PERFURAÇÃO'!$B:$B,0))="Pre-Splitting","S"))),"")</f>
        <v>P</v>
      </c>
      <c r="K82" s="14">
        <f t="shared" si="7"/>
        <v>177</v>
      </c>
      <c r="L82" s="4" t="str">
        <f>IFERROR(INDEX('LEV R&amp;D'!$D:$D,MATCH(MEDIÇÃO!K82,'LEV R&amp;D'!$A:$A,0))-INDEX('PROJETO PERFURAÇÃO'!$AH:$AH,MATCH(MEDIÇÃO!K82,'PROJETO PERFURAÇÃO'!$B:$B,0)),"")</f>
        <v/>
      </c>
      <c r="M82" s="17">
        <f>IFERROR(INDEX('PROJETO PERFURAÇÃO'!$AN:$AN,MATCH(MEDIÇÃO!K82,'PROJETO PERFURAÇÃO'!$B:$B,0)),"")</f>
        <v>0</v>
      </c>
      <c r="N82" s="3"/>
      <c r="O82" s="3"/>
      <c r="P82" s="3" t="str">
        <f>IFERROR(ROUND(INDEX('PROJETO PERFURAÇÃO'!$AB:$AB,MATCH(MEDIÇÃO!R82,'PROJETO PERFURAÇÃO'!$B:$B,0)),1)&amp;"''","")</f>
        <v>5''</v>
      </c>
      <c r="Q82" s="3" t="str">
        <f>IFERROR(IF(INDEX('PROJETO PERFURAÇÃO'!$P:$P,MATCH(MEDIÇÃO!R82,'PROJETO PERFURAÇÃO'!$B:$B,0))="Production","P",IF(INDEX('PROJETO PERFURAÇÃO'!$P:$P,MATCH(MEDIÇÃO!R82,'PROJETO PERFURAÇÃO'!$B:$B,0))="Buffer","B",IF(INDEX('PROJETO PERFURAÇÃO'!$P:$P,MATCH(MEDIÇÃO!R82,'PROJETO PERFURAÇÃO'!$B:$B,0))="Pre-Splitting","S"))),"")</f>
        <v>P</v>
      </c>
      <c r="R82" s="14">
        <f t="shared" si="8"/>
        <v>200</v>
      </c>
      <c r="S82" s="4" t="str">
        <f>IFERROR(INDEX('LEV R&amp;D'!$D:$D,MATCH(MEDIÇÃO!R82,'LEV R&amp;D'!$A:$A,0))-INDEX('PROJETO PERFURAÇÃO'!$AH:$AH,MATCH(MEDIÇÃO!R82,'PROJETO PERFURAÇÃO'!$B:$B,0)),"")</f>
        <v/>
      </c>
      <c r="T82" s="17">
        <f>IFERROR(INDEX('PROJETO PERFURAÇÃO'!$AN:$AN,MATCH(MEDIÇÃO!R82,'PROJETO PERFURAÇÃO'!$B:$B,0)),"")</f>
        <v>0</v>
      </c>
      <c r="U82" s="3"/>
      <c r="V82" s="3"/>
    </row>
    <row r="83" spans="2:22" ht="45" customHeight="1" x14ac:dyDescent="0.25">
      <c r="B83" s="3" t="str">
        <f>IFERROR(ROUND(INDEX('PROJETO PERFURAÇÃO'!$AB:$AB,MATCH(MEDIÇÃO!D83,'PROJETO PERFURAÇÃO'!$B:$B,0)),1)&amp;"''","")</f>
        <v>5''</v>
      </c>
      <c r="C83" s="3" t="str">
        <f>IFERROR(IF(INDEX('PROJETO PERFURAÇÃO'!$P:$P,MATCH(MEDIÇÃO!D83,'PROJETO PERFURAÇÃO'!$B:$B,0))="Production","P",IF(INDEX('PROJETO PERFURAÇÃO'!$P:$P,MATCH(MEDIÇÃO!D83,'PROJETO PERFURAÇÃO'!$B:$B,0))="Buffer","B",IF(INDEX('PROJETO PERFURAÇÃO'!$P:$P,MATCH(MEDIÇÃO!D83,'PROJETO PERFURAÇÃO'!$B:$B,0))="Pre-Splitting","S"))),"")</f>
        <v>P</v>
      </c>
      <c r="D83" s="14">
        <f t="shared" si="6"/>
        <v>155</v>
      </c>
      <c r="E83" s="4" t="str">
        <f>IFERROR(INDEX('LEV R&amp;D'!$D:$D,MATCH(MEDIÇÃO!D83,'LEV R&amp;D'!$A:$A,0))-INDEX('PROJETO PERFURAÇÃO'!$AH:$AH,MATCH(MEDIÇÃO!D83,'PROJETO PERFURAÇÃO'!$B:$B,0)),"")</f>
        <v/>
      </c>
      <c r="F83" s="17">
        <f>IFERROR(INDEX('PROJETO PERFURAÇÃO'!$AN:$AN,MATCH(MEDIÇÃO!D83,'PROJETO PERFURAÇÃO'!$B:$B,0)),"")</f>
        <v>0</v>
      </c>
      <c r="G83" s="3"/>
      <c r="H83" s="3"/>
      <c r="I83" s="3" t="str">
        <f>IFERROR(ROUND(INDEX('PROJETO PERFURAÇÃO'!$AB:$AB,MATCH(MEDIÇÃO!K83,'PROJETO PERFURAÇÃO'!$B:$B,0)),1)&amp;"''","")</f>
        <v>5''</v>
      </c>
      <c r="J83" s="3" t="str">
        <f>IFERROR(IF(INDEX('PROJETO PERFURAÇÃO'!$P:$P,MATCH(MEDIÇÃO!K83,'PROJETO PERFURAÇÃO'!$B:$B,0))="Production","P",IF(INDEX('PROJETO PERFURAÇÃO'!$P:$P,MATCH(MEDIÇÃO!K83,'PROJETO PERFURAÇÃO'!$B:$B,0))="Buffer","B",IF(INDEX('PROJETO PERFURAÇÃO'!$P:$P,MATCH(MEDIÇÃO!K83,'PROJETO PERFURAÇÃO'!$B:$B,0))="Pre-Splitting","S"))),"")</f>
        <v>P</v>
      </c>
      <c r="K83" s="14">
        <f t="shared" si="7"/>
        <v>178</v>
      </c>
      <c r="L83" s="4" t="str">
        <f>IFERROR(INDEX('LEV R&amp;D'!$D:$D,MATCH(MEDIÇÃO!K83,'LEV R&amp;D'!$A:$A,0))-INDEX('PROJETO PERFURAÇÃO'!$AH:$AH,MATCH(MEDIÇÃO!K83,'PROJETO PERFURAÇÃO'!$B:$B,0)),"")</f>
        <v/>
      </c>
      <c r="M83" s="17">
        <f>IFERROR(INDEX('PROJETO PERFURAÇÃO'!$AN:$AN,MATCH(MEDIÇÃO!K83,'PROJETO PERFURAÇÃO'!$B:$B,0)),"")</f>
        <v>0</v>
      </c>
      <c r="N83" s="3"/>
      <c r="O83" s="3"/>
      <c r="P83" s="3" t="str">
        <f>IFERROR(ROUND(INDEX('PROJETO PERFURAÇÃO'!$AB:$AB,MATCH(MEDIÇÃO!R83,'PROJETO PERFURAÇÃO'!$B:$B,0)),1)&amp;"''","")</f>
        <v>5''</v>
      </c>
      <c r="Q83" s="3" t="str">
        <f>IFERROR(IF(INDEX('PROJETO PERFURAÇÃO'!$P:$P,MATCH(MEDIÇÃO!R83,'PROJETO PERFURAÇÃO'!$B:$B,0))="Production","P",IF(INDEX('PROJETO PERFURAÇÃO'!$P:$P,MATCH(MEDIÇÃO!R83,'PROJETO PERFURAÇÃO'!$B:$B,0))="Buffer","B",IF(INDEX('PROJETO PERFURAÇÃO'!$P:$P,MATCH(MEDIÇÃO!R83,'PROJETO PERFURAÇÃO'!$B:$B,0))="Pre-Splitting","S"))),"")</f>
        <v>P</v>
      </c>
      <c r="R83" s="14">
        <f t="shared" si="8"/>
        <v>201</v>
      </c>
      <c r="S83" s="4" t="str">
        <f>IFERROR(INDEX('LEV R&amp;D'!$D:$D,MATCH(MEDIÇÃO!R83,'LEV R&amp;D'!$A:$A,0))-INDEX('PROJETO PERFURAÇÃO'!$AH:$AH,MATCH(MEDIÇÃO!R83,'PROJETO PERFURAÇÃO'!$B:$B,0)),"")</f>
        <v/>
      </c>
      <c r="T83" s="17">
        <f>IFERROR(INDEX('PROJETO PERFURAÇÃO'!$AN:$AN,MATCH(MEDIÇÃO!R83,'PROJETO PERFURAÇÃO'!$B:$B,0)),"")</f>
        <v>0</v>
      </c>
      <c r="U83" s="3"/>
      <c r="V83" s="3"/>
    </row>
    <row r="84" spans="2:22" ht="45" customHeight="1" x14ac:dyDescent="0.25">
      <c r="B84" s="3" t="str">
        <f>IFERROR(ROUND(INDEX('PROJETO PERFURAÇÃO'!$AB:$AB,MATCH(MEDIÇÃO!D84,'PROJETO PERFURAÇÃO'!$B:$B,0)),1)&amp;"''","")</f>
        <v>5''</v>
      </c>
      <c r="C84" s="3" t="str">
        <f>IFERROR(IF(INDEX('PROJETO PERFURAÇÃO'!$P:$P,MATCH(MEDIÇÃO!D84,'PROJETO PERFURAÇÃO'!$B:$B,0))="Production","P",IF(INDEX('PROJETO PERFURAÇÃO'!$P:$P,MATCH(MEDIÇÃO!D84,'PROJETO PERFURAÇÃO'!$B:$B,0))="Buffer","B",IF(INDEX('PROJETO PERFURAÇÃO'!$P:$P,MATCH(MEDIÇÃO!D84,'PROJETO PERFURAÇÃO'!$B:$B,0))="Pre-Splitting","S"))),"")</f>
        <v>P</v>
      </c>
      <c r="D84" s="14">
        <f t="shared" si="6"/>
        <v>156</v>
      </c>
      <c r="E84" s="4" t="str">
        <f>IFERROR(INDEX('LEV R&amp;D'!$D:$D,MATCH(MEDIÇÃO!D84,'LEV R&amp;D'!$A:$A,0))-INDEX('PROJETO PERFURAÇÃO'!$AH:$AH,MATCH(MEDIÇÃO!D84,'PROJETO PERFURAÇÃO'!$B:$B,0)),"")</f>
        <v/>
      </c>
      <c r="F84" s="17">
        <f>IFERROR(INDEX('PROJETO PERFURAÇÃO'!$AN:$AN,MATCH(MEDIÇÃO!D84,'PROJETO PERFURAÇÃO'!$B:$B,0)),"")</f>
        <v>0</v>
      </c>
      <c r="G84" s="3"/>
      <c r="H84" s="3"/>
      <c r="I84" s="3" t="str">
        <f>IFERROR(ROUND(INDEX('PROJETO PERFURAÇÃO'!$AB:$AB,MATCH(MEDIÇÃO!K84,'PROJETO PERFURAÇÃO'!$B:$B,0)),1)&amp;"''","")</f>
        <v>5''</v>
      </c>
      <c r="J84" s="3" t="str">
        <f>IFERROR(IF(INDEX('PROJETO PERFURAÇÃO'!$P:$P,MATCH(MEDIÇÃO!K84,'PROJETO PERFURAÇÃO'!$B:$B,0))="Production","P",IF(INDEX('PROJETO PERFURAÇÃO'!$P:$P,MATCH(MEDIÇÃO!K84,'PROJETO PERFURAÇÃO'!$B:$B,0))="Buffer","B",IF(INDEX('PROJETO PERFURAÇÃO'!$P:$P,MATCH(MEDIÇÃO!K84,'PROJETO PERFURAÇÃO'!$B:$B,0))="Pre-Splitting","S"))),"")</f>
        <v>P</v>
      </c>
      <c r="K84" s="14">
        <f t="shared" si="7"/>
        <v>179</v>
      </c>
      <c r="L84" s="4" t="str">
        <f>IFERROR(INDEX('LEV R&amp;D'!$D:$D,MATCH(MEDIÇÃO!K84,'LEV R&amp;D'!$A:$A,0))-INDEX('PROJETO PERFURAÇÃO'!$AH:$AH,MATCH(MEDIÇÃO!K84,'PROJETO PERFURAÇÃO'!$B:$B,0)),"")</f>
        <v/>
      </c>
      <c r="M84" s="17">
        <f>IFERROR(INDEX('PROJETO PERFURAÇÃO'!$AN:$AN,MATCH(MEDIÇÃO!K84,'PROJETO PERFURAÇÃO'!$B:$B,0)),"")</f>
        <v>0</v>
      </c>
      <c r="N84" s="3"/>
      <c r="O84" s="3"/>
      <c r="P84" s="3" t="str">
        <f>IFERROR(ROUND(INDEX('PROJETO PERFURAÇÃO'!$AB:$AB,MATCH(MEDIÇÃO!R84,'PROJETO PERFURAÇÃO'!$B:$B,0)),1)&amp;"''","")</f>
        <v>5''</v>
      </c>
      <c r="Q84" s="3" t="str">
        <f>IFERROR(IF(INDEX('PROJETO PERFURAÇÃO'!$P:$P,MATCH(MEDIÇÃO!R84,'PROJETO PERFURAÇÃO'!$B:$B,0))="Production","P",IF(INDEX('PROJETO PERFURAÇÃO'!$P:$P,MATCH(MEDIÇÃO!R84,'PROJETO PERFURAÇÃO'!$B:$B,0))="Buffer","B",IF(INDEX('PROJETO PERFURAÇÃO'!$P:$P,MATCH(MEDIÇÃO!R84,'PROJETO PERFURAÇÃO'!$B:$B,0))="Pre-Splitting","S"))),"")</f>
        <v>P</v>
      </c>
      <c r="R84" s="14">
        <f t="shared" si="8"/>
        <v>202</v>
      </c>
      <c r="S84" s="4" t="str">
        <f>IFERROR(INDEX('LEV R&amp;D'!$D:$D,MATCH(MEDIÇÃO!R84,'LEV R&amp;D'!$A:$A,0))-INDEX('PROJETO PERFURAÇÃO'!$AH:$AH,MATCH(MEDIÇÃO!R84,'PROJETO PERFURAÇÃO'!$B:$B,0)),"")</f>
        <v/>
      </c>
      <c r="T84" s="17">
        <f>IFERROR(INDEX('PROJETO PERFURAÇÃO'!$AN:$AN,MATCH(MEDIÇÃO!R84,'PROJETO PERFURAÇÃO'!$B:$B,0)),"")</f>
        <v>0</v>
      </c>
      <c r="U84" s="3"/>
      <c r="V84" s="3"/>
    </row>
    <row r="85" spans="2:22" ht="45" customHeight="1" x14ac:dyDescent="0.25">
      <c r="B85" s="3" t="str">
        <f>IFERROR(ROUND(INDEX('PROJETO PERFURAÇÃO'!$AB:$AB,MATCH(MEDIÇÃO!D85,'PROJETO PERFURAÇÃO'!$B:$B,0)),1)&amp;"''","")</f>
        <v>5''</v>
      </c>
      <c r="C85" s="3" t="str">
        <f>IFERROR(IF(INDEX('PROJETO PERFURAÇÃO'!$P:$P,MATCH(MEDIÇÃO!D85,'PROJETO PERFURAÇÃO'!$B:$B,0))="Production","P",IF(INDEX('PROJETO PERFURAÇÃO'!$P:$P,MATCH(MEDIÇÃO!D85,'PROJETO PERFURAÇÃO'!$B:$B,0))="Buffer","B",IF(INDEX('PROJETO PERFURAÇÃO'!$P:$P,MATCH(MEDIÇÃO!D85,'PROJETO PERFURAÇÃO'!$B:$B,0))="Pre-Splitting","S"))),"")</f>
        <v>P</v>
      </c>
      <c r="D85" s="14">
        <f t="shared" si="6"/>
        <v>157</v>
      </c>
      <c r="E85" s="4" t="str">
        <f>IFERROR(INDEX('LEV R&amp;D'!$D:$D,MATCH(MEDIÇÃO!D85,'LEV R&amp;D'!$A:$A,0))-INDEX('PROJETO PERFURAÇÃO'!$AH:$AH,MATCH(MEDIÇÃO!D85,'PROJETO PERFURAÇÃO'!$B:$B,0)),"")</f>
        <v/>
      </c>
      <c r="F85" s="17">
        <f>IFERROR(INDEX('PROJETO PERFURAÇÃO'!$AN:$AN,MATCH(MEDIÇÃO!D85,'PROJETO PERFURAÇÃO'!$B:$B,0)),"")</f>
        <v>0</v>
      </c>
      <c r="G85" s="3"/>
      <c r="H85" s="3"/>
      <c r="I85" s="3" t="str">
        <f>IFERROR(ROUND(INDEX('PROJETO PERFURAÇÃO'!$AB:$AB,MATCH(MEDIÇÃO!K85,'PROJETO PERFURAÇÃO'!$B:$B,0)),1)&amp;"''","")</f>
        <v>5''</v>
      </c>
      <c r="J85" s="3" t="str">
        <f>IFERROR(IF(INDEX('PROJETO PERFURAÇÃO'!$P:$P,MATCH(MEDIÇÃO!K85,'PROJETO PERFURAÇÃO'!$B:$B,0))="Production","P",IF(INDEX('PROJETO PERFURAÇÃO'!$P:$P,MATCH(MEDIÇÃO!K85,'PROJETO PERFURAÇÃO'!$B:$B,0))="Buffer","B",IF(INDEX('PROJETO PERFURAÇÃO'!$P:$P,MATCH(MEDIÇÃO!K85,'PROJETO PERFURAÇÃO'!$B:$B,0))="Pre-Splitting","S"))),"")</f>
        <v>P</v>
      </c>
      <c r="K85" s="14">
        <f t="shared" si="7"/>
        <v>180</v>
      </c>
      <c r="L85" s="4" t="str">
        <f>IFERROR(INDEX('LEV R&amp;D'!$D:$D,MATCH(MEDIÇÃO!K85,'LEV R&amp;D'!$A:$A,0))-INDEX('PROJETO PERFURAÇÃO'!$AH:$AH,MATCH(MEDIÇÃO!K85,'PROJETO PERFURAÇÃO'!$B:$B,0)),"")</f>
        <v/>
      </c>
      <c r="M85" s="17">
        <f>IFERROR(INDEX('PROJETO PERFURAÇÃO'!$AN:$AN,MATCH(MEDIÇÃO!K85,'PROJETO PERFURAÇÃO'!$B:$B,0)),"")</f>
        <v>0</v>
      </c>
      <c r="N85" s="3"/>
      <c r="O85" s="3"/>
      <c r="P85" s="3" t="str">
        <f>IFERROR(ROUND(INDEX('PROJETO PERFURAÇÃO'!$AB:$AB,MATCH(MEDIÇÃO!R85,'PROJETO PERFURAÇÃO'!$B:$B,0)),1)&amp;"''","")</f>
        <v>5''</v>
      </c>
      <c r="Q85" s="3" t="str">
        <f>IFERROR(IF(INDEX('PROJETO PERFURAÇÃO'!$P:$P,MATCH(MEDIÇÃO!R85,'PROJETO PERFURAÇÃO'!$B:$B,0))="Production","P",IF(INDEX('PROJETO PERFURAÇÃO'!$P:$P,MATCH(MEDIÇÃO!R85,'PROJETO PERFURAÇÃO'!$B:$B,0))="Buffer","B",IF(INDEX('PROJETO PERFURAÇÃO'!$P:$P,MATCH(MEDIÇÃO!R85,'PROJETO PERFURAÇÃO'!$B:$B,0))="Pre-Splitting","S"))),"")</f>
        <v>P</v>
      </c>
      <c r="R85" s="14">
        <f t="shared" si="8"/>
        <v>203</v>
      </c>
      <c r="S85" s="4" t="str">
        <f>IFERROR(INDEX('LEV R&amp;D'!$D:$D,MATCH(MEDIÇÃO!R85,'LEV R&amp;D'!$A:$A,0))-INDEX('PROJETO PERFURAÇÃO'!$AH:$AH,MATCH(MEDIÇÃO!R85,'PROJETO PERFURAÇÃO'!$B:$B,0)),"")</f>
        <v/>
      </c>
      <c r="T85" s="17">
        <f>IFERROR(INDEX('PROJETO PERFURAÇÃO'!$AN:$AN,MATCH(MEDIÇÃO!R85,'PROJETO PERFURAÇÃO'!$B:$B,0)),"")</f>
        <v>0</v>
      </c>
      <c r="U85" s="3"/>
      <c r="V85" s="3"/>
    </row>
    <row r="86" spans="2:22" ht="45" customHeight="1" x14ac:dyDescent="0.25">
      <c r="B86" s="3" t="str">
        <f>IFERROR(ROUND(INDEX('PROJETO PERFURAÇÃO'!$AB:$AB,MATCH(MEDIÇÃO!D86,'PROJETO PERFURAÇÃO'!$B:$B,0)),1)&amp;"''","")</f>
        <v>5''</v>
      </c>
      <c r="C86" s="3" t="str">
        <f>IFERROR(IF(INDEX('PROJETO PERFURAÇÃO'!$P:$P,MATCH(MEDIÇÃO!D86,'PROJETO PERFURAÇÃO'!$B:$B,0))="Production","P",IF(INDEX('PROJETO PERFURAÇÃO'!$P:$P,MATCH(MEDIÇÃO!D86,'PROJETO PERFURAÇÃO'!$B:$B,0))="Buffer","B",IF(INDEX('PROJETO PERFURAÇÃO'!$P:$P,MATCH(MEDIÇÃO!D86,'PROJETO PERFURAÇÃO'!$B:$B,0))="Pre-Splitting","S"))),"")</f>
        <v>P</v>
      </c>
      <c r="D86" s="14">
        <f t="shared" si="6"/>
        <v>158</v>
      </c>
      <c r="E86" s="4" t="str">
        <f>IFERROR(INDEX('LEV R&amp;D'!$D:$D,MATCH(MEDIÇÃO!D86,'LEV R&amp;D'!$A:$A,0))-INDEX('PROJETO PERFURAÇÃO'!$AH:$AH,MATCH(MEDIÇÃO!D86,'PROJETO PERFURAÇÃO'!$B:$B,0)),"")</f>
        <v/>
      </c>
      <c r="F86" s="17">
        <f>IFERROR(INDEX('PROJETO PERFURAÇÃO'!$AN:$AN,MATCH(MEDIÇÃO!D86,'PROJETO PERFURAÇÃO'!$B:$B,0)),"")</f>
        <v>0</v>
      </c>
      <c r="G86" s="3"/>
      <c r="H86" s="3"/>
      <c r="I86" s="3" t="str">
        <f>IFERROR(ROUND(INDEX('PROJETO PERFURAÇÃO'!$AB:$AB,MATCH(MEDIÇÃO!K86,'PROJETO PERFURAÇÃO'!$B:$B,0)),1)&amp;"''","")</f>
        <v>5''</v>
      </c>
      <c r="J86" s="3" t="str">
        <f>IFERROR(IF(INDEX('PROJETO PERFURAÇÃO'!$P:$P,MATCH(MEDIÇÃO!K86,'PROJETO PERFURAÇÃO'!$B:$B,0))="Production","P",IF(INDEX('PROJETO PERFURAÇÃO'!$P:$P,MATCH(MEDIÇÃO!K86,'PROJETO PERFURAÇÃO'!$B:$B,0))="Buffer","B",IF(INDEX('PROJETO PERFURAÇÃO'!$P:$P,MATCH(MEDIÇÃO!K86,'PROJETO PERFURAÇÃO'!$B:$B,0))="Pre-Splitting","S"))),"")</f>
        <v>P</v>
      </c>
      <c r="K86" s="14">
        <f t="shared" si="7"/>
        <v>181</v>
      </c>
      <c r="L86" s="4" t="str">
        <f>IFERROR(INDEX('LEV R&amp;D'!$D:$D,MATCH(MEDIÇÃO!K86,'LEV R&amp;D'!$A:$A,0))-INDEX('PROJETO PERFURAÇÃO'!$AH:$AH,MATCH(MEDIÇÃO!K86,'PROJETO PERFURAÇÃO'!$B:$B,0)),"")</f>
        <v/>
      </c>
      <c r="M86" s="17">
        <f>IFERROR(INDEX('PROJETO PERFURAÇÃO'!$AN:$AN,MATCH(MEDIÇÃO!K86,'PROJETO PERFURAÇÃO'!$B:$B,0)),"")</f>
        <v>0</v>
      </c>
      <c r="N86" s="3"/>
      <c r="O86" s="3"/>
      <c r="P86" s="3" t="str">
        <f>IFERROR(ROUND(INDEX('PROJETO PERFURAÇÃO'!$AB:$AB,MATCH(MEDIÇÃO!R86,'PROJETO PERFURAÇÃO'!$B:$B,0)),1)&amp;"''","")</f>
        <v>5''</v>
      </c>
      <c r="Q86" s="3" t="str">
        <f>IFERROR(IF(INDEX('PROJETO PERFURAÇÃO'!$P:$P,MATCH(MEDIÇÃO!R86,'PROJETO PERFURAÇÃO'!$B:$B,0))="Production","P",IF(INDEX('PROJETO PERFURAÇÃO'!$P:$P,MATCH(MEDIÇÃO!R86,'PROJETO PERFURAÇÃO'!$B:$B,0))="Buffer","B",IF(INDEX('PROJETO PERFURAÇÃO'!$P:$P,MATCH(MEDIÇÃO!R86,'PROJETO PERFURAÇÃO'!$B:$B,0))="Pre-Splitting","S"))),"")</f>
        <v>P</v>
      </c>
      <c r="R86" s="14">
        <f t="shared" si="8"/>
        <v>204</v>
      </c>
      <c r="S86" s="4" t="str">
        <f>IFERROR(INDEX('LEV R&amp;D'!$D:$D,MATCH(MEDIÇÃO!R86,'LEV R&amp;D'!$A:$A,0))-INDEX('PROJETO PERFURAÇÃO'!$AH:$AH,MATCH(MEDIÇÃO!R86,'PROJETO PERFURAÇÃO'!$B:$B,0)),"")</f>
        <v/>
      </c>
      <c r="T86" s="17">
        <f>IFERROR(INDEX('PROJETO PERFURAÇÃO'!$AN:$AN,MATCH(MEDIÇÃO!R86,'PROJETO PERFURAÇÃO'!$B:$B,0)),"")</f>
        <v>0</v>
      </c>
      <c r="U86" s="3"/>
      <c r="V86" s="3"/>
    </row>
    <row r="87" spans="2:22" ht="45" customHeight="1" x14ac:dyDescent="0.25">
      <c r="B87" s="3" t="str">
        <f>IFERROR(ROUND(INDEX('PROJETO PERFURAÇÃO'!$AB:$AB,MATCH(MEDIÇÃO!D87,'PROJETO PERFURAÇÃO'!$B:$B,0)),1)&amp;"''","")</f>
        <v>5''</v>
      </c>
      <c r="C87" s="3" t="str">
        <f>IFERROR(IF(INDEX('PROJETO PERFURAÇÃO'!$P:$P,MATCH(MEDIÇÃO!D87,'PROJETO PERFURAÇÃO'!$B:$B,0))="Production","P",IF(INDEX('PROJETO PERFURAÇÃO'!$P:$P,MATCH(MEDIÇÃO!D87,'PROJETO PERFURAÇÃO'!$B:$B,0))="Buffer","B",IF(INDEX('PROJETO PERFURAÇÃO'!$P:$P,MATCH(MEDIÇÃO!D87,'PROJETO PERFURAÇÃO'!$B:$B,0))="Pre-Splitting","S"))),"")</f>
        <v>P</v>
      </c>
      <c r="D87" s="14">
        <f t="shared" si="6"/>
        <v>159</v>
      </c>
      <c r="E87" s="4" t="str">
        <f>IFERROR(INDEX('LEV R&amp;D'!$D:$D,MATCH(MEDIÇÃO!D87,'LEV R&amp;D'!$A:$A,0))-INDEX('PROJETO PERFURAÇÃO'!$AH:$AH,MATCH(MEDIÇÃO!D87,'PROJETO PERFURAÇÃO'!$B:$B,0)),"")</f>
        <v/>
      </c>
      <c r="F87" s="17">
        <f>IFERROR(INDEX('PROJETO PERFURAÇÃO'!$AN:$AN,MATCH(MEDIÇÃO!D87,'PROJETO PERFURAÇÃO'!$B:$B,0)),"")</f>
        <v>0</v>
      </c>
      <c r="G87" s="3"/>
      <c r="H87" s="3"/>
      <c r="I87" s="3" t="str">
        <f>IFERROR(ROUND(INDEX('PROJETO PERFURAÇÃO'!$AB:$AB,MATCH(MEDIÇÃO!K87,'PROJETO PERFURAÇÃO'!$B:$B,0)),1)&amp;"''","")</f>
        <v>5''</v>
      </c>
      <c r="J87" s="3" t="str">
        <f>IFERROR(IF(INDEX('PROJETO PERFURAÇÃO'!$P:$P,MATCH(MEDIÇÃO!K87,'PROJETO PERFURAÇÃO'!$B:$B,0))="Production","P",IF(INDEX('PROJETO PERFURAÇÃO'!$P:$P,MATCH(MEDIÇÃO!K87,'PROJETO PERFURAÇÃO'!$B:$B,0))="Buffer","B",IF(INDEX('PROJETO PERFURAÇÃO'!$P:$P,MATCH(MEDIÇÃO!K87,'PROJETO PERFURAÇÃO'!$B:$B,0))="Pre-Splitting","S"))),"")</f>
        <v>P</v>
      </c>
      <c r="K87" s="14">
        <f t="shared" si="7"/>
        <v>182</v>
      </c>
      <c r="L87" s="4" t="str">
        <f>IFERROR(INDEX('LEV R&amp;D'!$D:$D,MATCH(MEDIÇÃO!K87,'LEV R&amp;D'!$A:$A,0))-INDEX('PROJETO PERFURAÇÃO'!$AH:$AH,MATCH(MEDIÇÃO!K87,'PROJETO PERFURAÇÃO'!$B:$B,0)),"")</f>
        <v/>
      </c>
      <c r="M87" s="17">
        <f>IFERROR(INDEX('PROJETO PERFURAÇÃO'!$AN:$AN,MATCH(MEDIÇÃO!K87,'PROJETO PERFURAÇÃO'!$B:$B,0)),"")</f>
        <v>0</v>
      </c>
      <c r="N87" s="3"/>
      <c r="O87" s="3"/>
      <c r="P87" s="3" t="str">
        <f>IFERROR(ROUND(INDEX('PROJETO PERFURAÇÃO'!$AB:$AB,MATCH(MEDIÇÃO!R87,'PROJETO PERFURAÇÃO'!$B:$B,0)),1)&amp;"''","")</f>
        <v>5''</v>
      </c>
      <c r="Q87" s="3" t="str">
        <f>IFERROR(IF(INDEX('PROJETO PERFURAÇÃO'!$P:$P,MATCH(MEDIÇÃO!R87,'PROJETO PERFURAÇÃO'!$B:$B,0))="Production","P",IF(INDEX('PROJETO PERFURAÇÃO'!$P:$P,MATCH(MEDIÇÃO!R87,'PROJETO PERFURAÇÃO'!$B:$B,0))="Buffer","B",IF(INDEX('PROJETO PERFURAÇÃO'!$P:$P,MATCH(MEDIÇÃO!R87,'PROJETO PERFURAÇÃO'!$B:$B,0))="Pre-Splitting","S"))),"")</f>
        <v>P</v>
      </c>
      <c r="R87" s="14">
        <f t="shared" si="8"/>
        <v>205</v>
      </c>
      <c r="S87" s="4" t="str">
        <f>IFERROR(INDEX('LEV R&amp;D'!$D:$D,MATCH(MEDIÇÃO!R87,'LEV R&amp;D'!$A:$A,0))-INDEX('PROJETO PERFURAÇÃO'!$AH:$AH,MATCH(MEDIÇÃO!R87,'PROJETO PERFURAÇÃO'!$B:$B,0)),"")</f>
        <v/>
      </c>
      <c r="T87" s="17">
        <f>IFERROR(INDEX('PROJETO PERFURAÇÃO'!$AN:$AN,MATCH(MEDIÇÃO!R87,'PROJETO PERFURAÇÃO'!$B:$B,0)),"")</f>
        <v>0</v>
      </c>
      <c r="U87" s="3"/>
      <c r="V87" s="3"/>
    </row>
    <row r="88" spans="2:22" ht="45" customHeight="1" x14ac:dyDescent="0.25">
      <c r="B88" s="3" t="str">
        <f>IFERROR(ROUND(INDEX('PROJETO PERFURAÇÃO'!$AB:$AB,MATCH(MEDIÇÃO!D88,'PROJETO PERFURAÇÃO'!$B:$B,0)),1)&amp;"''","")</f>
        <v>5''</v>
      </c>
      <c r="C88" s="3" t="str">
        <f>IFERROR(IF(INDEX('PROJETO PERFURAÇÃO'!$P:$P,MATCH(MEDIÇÃO!D88,'PROJETO PERFURAÇÃO'!$B:$B,0))="Production","P",IF(INDEX('PROJETO PERFURAÇÃO'!$P:$P,MATCH(MEDIÇÃO!D88,'PROJETO PERFURAÇÃO'!$B:$B,0))="Buffer","B",IF(INDEX('PROJETO PERFURAÇÃO'!$P:$P,MATCH(MEDIÇÃO!D88,'PROJETO PERFURAÇÃO'!$B:$B,0))="Pre-Splitting","S"))),"")</f>
        <v>P</v>
      </c>
      <c r="D88" s="14">
        <f t="shared" si="6"/>
        <v>160</v>
      </c>
      <c r="E88" s="4" t="str">
        <f>IFERROR(INDEX('LEV R&amp;D'!$D:$D,MATCH(MEDIÇÃO!D88,'LEV R&amp;D'!$A:$A,0))-INDEX('PROJETO PERFURAÇÃO'!$AH:$AH,MATCH(MEDIÇÃO!D88,'PROJETO PERFURAÇÃO'!$B:$B,0)),"")</f>
        <v/>
      </c>
      <c r="F88" s="17">
        <f>IFERROR(INDEX('PROJETO PERFURAÇÃO'!$AN:$AN,MATCH(MEDIÇÃO!D88,'PROJETO PERFURAÇÃO'!$B:$B,0)),"")</f>
        <v>0</v>
      </c>
      <c r="G88" s="3"/>
      <c r="H88" s="3"/>
      <c r="I88" s="3" t="str">
        <f>IFERROR(ROUND(INDEX('PROJETO PERFURAÇÃO'!$AB:$AB,MATCH(MEDIÇÃO!K88,'PROJETO PERFURAÇÃO'!$B:$B,0)),1)&amp;"''","")</f>
        <v>5''</v>
      </c>
      <c r="J88" s="3" t="str">
        <f>IFERROR(IF(INDEX('PROJETO PERFURAÇÃO'!$P:$P,MATCH(MEDIÇÃO!K88,'PROJETO PERFURAÇÃO'!$B:$B,0))="Production","P",IF(INDEX('PROJETO PERFURAÇÃO'!$P:$P,MATCH(MEDIÇÃO!K88,'PROJETO PERFURAÇÃO'!$B:$B,0))="Buffer","B",IF(INDEX('PROJETO PERFURAÇÃO'!$P:$P,MATCH(MEDIÇÃO!K88,'PROJETO PERFURAÇÃO'!$B:$B,0))="Pre-Splitting","S"))),"")</f>
        <v>P</v>
      </c>
      <c r="K88" s="14">
        <f t="shared" si="7"/>
        <v>183</v>
      </c>
      <c r="L88" s="4" t="str">
        <f>IFERROR(INDEX('LEV R&amp;D'!$D:$D,MATCH(MEDIÇÃO!K88,'LEV R&amp;D'!$A:$A,0))-INDEX('PROJETO PERFURAÇÃO'!$AH:$AH,MATCH(MEDIÇÃO!K88,'PROJETO PERFURAÇÃO'!$B:$B,0)),"")</f>
        <v/>
      </c>
      <c r="M88" s="17">
        <f>IFERROR(INDEX('PROJETO PERFURAÇÃO'!$AN:$AN,MATCH(MEDIÇÃO!K88,'PROJETO PERFURAÇÃO'!$B:$B,0)),"")</f>
        <v>0</v>
      </c>
      <c r="N88" s="3"/>
      <c r="O88" s="3"/>
      <c r="P88" s="3" t="str">
        <f>IFERROR(ROUND(INDEX('PROJETO PERFURAÇÃO'!$AB:$AB,MATCH(MEDIÇÃO!R88,'PROJETO PERFURAÇÃO'!$B:$B,0)),1)&amp;"''","")</f>
        <v>5''</v>
      </c>
      <c r="Q88" s="3" t="str">
        <f>IFERROR(IF(INDEX('PROJETO PERFURAÇÃO'!$P:$P,MATCH(MEDIÇÃO!R88,'PROJETO PERFURAÇÃO'!$B:$B,0))="Production","P",IF(INDEX('PROJETO PERFURAÇÃO'!$P:$P,MATCH(MEDIÇÃO!R88,'PROJETO PERFURAÇÃO'!$B:$B,0))="Buffer","B",IF(INDEX('PROJETO PERFURAÇÃO'!$P:$P,MATCH(MEDIÇÃO!R88,'PROJETO PERFURAÇÃO'!$B:$B,0))="Pre-Splitting","S"))),"")</f>
        <v>P</v>
      </c>
      <c r="R88" s="14">
        <f t="shared" si="8"/>
        <v>206</v>
      </c>
      <c r="S88" s="4" t="str">
        <f>IFERROR(INDEX('LEV R&amp;D'!$D:$D,MATCH(MEDIÇÃO!R88,'LEV R&amp;D'!$A:$A,0))-INDEX('PROJETO PERFURAÇÃO'!$AH:$AH,MATCH(MEDIÇÃO!R88,'PROJETO PERFURAÇÃO'!$B:$B,0)),"")</f>
        <v/>
      </c>
      <c r="T88" s="17">
        <f>IFERROR(INDEX('PROJETO PERFURAÇÃO'!$AN:$AN,MATCH(MEDIÇÃO!R88,'PROJETO PERFURAÇÃO'!$B:$B,0)),"")</f>
        <v>0</v>
      </c>
      <c r="U88" s="3"/>
      <c r="V88" s="3"/>
    </row>
    <row r="89" spans="2:22" ht="45" customHeight="1" x14ac:dyDescent="0.25">
      <c r="B89" s="3" t="str">
        <f>IFERROR(ROUND(INDEX('PROJETO PERFURAÇÃO'!$AB:$AB,MATCH(MEDIÇÃO!D89,'PROJETO PERFURAÇÃO'!$B:$B,0)),1)&amp;"''","")</f>
        <v>5''</v>
      </c>
      <c r="C89" s="3" t="str">
        <f>IFERROR(IF(INDEX('PROJETO PERFURAÇÃO'!$P:$P,MATCH(MEDIÇÃO!D89,'PROJETO PERFURAÇÃO'!$B:$B,0))="Production","P",IF(INDEX('PROJETO PERFURAÇÃO'!$P:$P,MATCH(MEDIÇÃO!D89,'PROJETO PERFURAÇÃO'!$B:$B,0))="Buffer","B",IF(INDEX('PROJETO PERFURAÇÃO'!$P:$P,MATCH(MEDIÇÃO!D89,'PROJETO PERFURAÇÃO'!$B:$B,0))="Pre-Splitting","S"))),"")</f>
        <v>P</v>
      </c>
      <c r="D89" s="14">
        <f t="shared" si="6"/>
        <v>161</v>
      </c>
      <c r="E89" s="4" t="str">
        <f>IFERROR(INDEX('LEV R&amp;D'!$D:$D,MATCH(MEDIÇÃO!D89,'LEV R&amp;D'!$A:$A,0))-INDEX('PROJETO PERFURAÇÃO'!$AH:$AH,MATCH(MEDIÇÃO!D89,'PROJETO PERFURAÇÃO'!$B:$B,0)),"")</f>
        <v/>
      </c>
      <c r="F89" s="17">
        <f>IFERROR(INDEX('PROJETO PERFURAÇÃO'!$AN:$AN,MATCH(MEDIÇÃO!D89,'PROJETO PERFURAÇÃO'!$B:$B,0)),"")</f>
        <v>0</v>
      </c>
      <c r="G89" s="3"/>
      <c r="H89" s="3"/>
      <c r="I89" s="3" t="str">
        <f>IFERROR(ROUND(INDEX('PROJETO PERFURAÇÃO'!$AB:$AB,MATCH(MEDIÇÃO!K89,'PROJETO PERFURAÇÃO'!$B:$B,0)),1)&amp;"''","")</f>
        <v>5''</v>
      </c>
      <c r="J89" s="3" t="str">
        <f>IFERROR(IF(INDEX('PROJETO PERFURAÇÃO'!$P:$P,MATCH(MEDIÇÃO!K89,'PROJETO PERFURAÇÃO'!$B:$B,0))="Production","P",IF(INDEX('PROJETO PERFURAÇÃO'!$P:$P,MATCH(MEDIÇÃO!K89,'PROJETO PERFURAÇÃO'!$B:$B,0))="Buffer","B",IF(INDEX('PROJETO PERFURAÇÃO'!$P:$P,MATCH(MEDIÇÃO!K89,'PROJETO PERFURAÇÃO'!$B:$B,0))="Pre-Splitting","S"))),"")</f>
        <v>P</v>
      </c>
      <c r="K89" s="14">
        <f t="shared" si="7"/>
        <v>184</v>
      </c>
      <c r="L89" s="4" t="str">
        <f>IFERROR(INDEX('LEV R&amp;D'!$D:$D,MATCH(MEDIÇÃO!K89,'LEV R&amp;D'!$A:$A,0))-INDEX('PROJETO PERFURAÇÃO'!$AH:$AH,MATCH(MEDIÇÃO!K89,'PROJETO PERFURAÇÃO'!$B:$B,0)),"")</f>
        <v/>
      </c>
      <c r="M89" s="17">
        <f>IFERROR(INDEX('PROJETO PERFURAÇÃO'!$AN:$AN,MATCH(MEDIÇÃO!K89,'PROJETO PERFURAÇÃO'!$B:$B,0)),"")</f>
        <v>0</v>
      </c>
      <c r="N89" s="3"/>
      <c r="O89" s="3"/>
      <c r="P89" s="3" t="str">
        <f>IFERROR(ROUND(INDEX('PROJETO PERFURAÇÃO'!$AB:$AB,MATCH(MEDIÇÃO!R89,'PROJETO PERFURAÇÃO'!$B:$B,0)),1)&amp;"''","")</f>
        <v>5''</v>
      </c>
      <c r="Q89" s="3" t="str">
        <f>IFERROR(IF(INDEX('PROJETO PERFURAÇÃO'!$P:$P,MATCH(MEDIÇÃO!R89,'PROJETO PERFURAÇÃO'!$B:$B,0))="Production","P",IF(INDEX('PROJETO PERFURAÇÃO'!$P:$P,MATCH(MEDIÇÃO!R89,'PROJETO PERFURAÇÃO'!$B:$B,0))="Buffer","B",IF(INDEX('PROJETO PERFURAÇÃO'!$P:$P,MATCH(MEDIÇÃO!R89,'PROJETO PERFURAÇÃO'!$B:$B,0))="Pre-Splitting","S"))),"")</f>
        <v>P</v>
      </c>
      <c r="R89" s="14">
        <f t="shared" si="8"/>
        <v>207</v>
      </c>
      <c r="S89" s="4" t="str">
        <f>IFERROR(INDEX('LEV R&amp;D'!$D:$D,MATCH(MEDIÇÃO!R89,'LEV R&amp;D'!$A:$A,0))-INDEX('PROJETO PERFURAÇÃO'!$AH:$AH,MATCH(MEDIÇÃO!R89,'PROJETO PERFURAÇÃO'!$B:$B,0)),"")</f>
        <v/>
      </c>
      <c r="T89" s="17">
        <f>IFERROR(INDEX('PROJETO PERFURAÇÃO'!$AN:$AN,MATCH(MEDIÇÃO!R89,'PROJETO PERFURAÇÃO'!$B:$B,0)),"")</f>
        <v>0</v>
      </c>
      <c r="U89" s="3"/>
      <c r="V89" s="3"/>
    </row>
    <row r="90" spans="2:22" ht="30" customHeight="1" x14ac:dyDescent="0.25">
      <c r="B90" s="1"/>
      <c r="C90" s="1"/>
      <c r="D90" s="15"/>
      <c r="E90" s="2"/>
      <c r="F90" s="16"/>
      <c r="G90" s="1"/>
      <c r="H90" s="1"/>
      <c r="I90" s="1"/>
      <c r="J90" s="1"/>
      <c r="K90" s="15"/>
      <c r="L90" s="2"/>
      <c r="M90" s="16"/>
      <c r="N90" s="1"/>
      <c r="O90" s="1"/>
      <c r="P90" s="1"/>
      <c r="Q90" s="1"/>
      <c r="R90" s="15"/>
      <c r="S90" s="2"/>
      <c r="T90" s="16"/>
      <c r="U90" s="1"/>
      <c r="V90" s="1"/>
    </row>
    <row r="91" spans="2:22" ht="30" customHeight="1" x14ac:dyDescent="0.25">
      <c r="C91" s="20"/>
      <c r="D91" s="20"/>
      <c r="E91" s="20"/>
      <c r="F91" s="20"/>
      <c r="G91" s="20"/>
      <c r="H91" s="20"/>
      <c r="I91" s="20"/>
      <c r="J91" s="20"/>
      <c r="K91" s="20"/>
      <c r="M91" s="20"/>
      <c r="N91" s="20"/>
      <c r="O91" s="20"/>
      <c r="P91" s="20"/>
      <c r="Q91" s="20"/>
      <c r="R91" s="20"/>
      <c r="S91" s="20"/>
      <c r="T91" s="20"/>
      <c r="U91" s="20"/>
    </row>
    <row r="92" spans="2:22" ht="30" customHeight="1" x14ac:dyDescent="0.25">
      <c r="C92" s="21" t="s">
        <v>40</v>
      </c>
      <c r="D92" s="21"/>
      <c r="E92" s="21"/>
      <c r="F92" s="21"/>
      <c r="G92" s="21"/>
      <c r="H92" s="21"/>
      <c r="I92" s="21"/>
      <c r="J92" s="21"/>
      <c r="K92" s="21"/>
      <c r="L92" s="9"/>
      <c r="M92" s="21" t="s">
        <v>40</v>
      </c>
      <c r="N92" s="21"/>
      <c r="O92" s="21"/>
      <c r="P92" s="21"/>
      <c r="Q92" s="21"/>
      <c r="R92" s="21"/>
      <c r="S92" s="21"/>
      <c r="T92" s="21"/>
      <c r="U92" s="21"/>
      <c r="V92" s="9"/>
    </row>
    <row r="93" spans="2:22" ht="30" customHeight="1" x14ac:dyDescent="0.25">
      <c r="D93" s="9"/>
      <c r="E93" s="9"/>
      <c r="F93" s="9"/>
      <c r="G93" s="9"/>
      <c r="H93" s="9"/>
      <c r="I93" s="9"/>
      <c r="J93" s="9"/>
      <c r="K93" s="9"/>
      <c r="L93" s="9"/>
      <c r="M93" s="9"/>
      <c r="N93" s="9"/>
      <c r="Q93" s="9"/>
      <c r="R93" s="9"/>
      <c r="S93" s="9"/>
      <c r="T93" s="9"/>
      <c r="U93" s="9"/>
      <c r="V93" s="9"/>
    </row>
    <row r="94" spans="2:22" ht="30" customHeight="1" x14ac:dyDescent="0.25">
      <c r="B94" s="19" t="str">
        <f>'PROJETO PERFURAÇÃO'!$C$2&amp;" - "&amp;'PROJETO PERFURAÇÃO'!$H$2</f>
        <v>LIB065 - PP0651026</v>
      </c>
      <c r="C94" s="19"/>
      <c r="D94" s="19"/>
      <c r="E94" s="19"/>
      <c r="F94" s="19"/>
      <c r="G94" s="19"/>
      <c r="H94" s="19"/>
      <c r="I94" s="11" t="s">
        <v>34</v>
      </c>
      <c r="J94" s="10" t="s">
        <v>37</v>
      </c>
    </row>
    <row r="95" spans="2:22" ht="30" customHeight="1" x14ac:dyDescent="0.25">
      <c r="B95" s="19"/>
      <c r="C95" s="19"/>
      <c r="D95" s="19"/>
      <c r="E95" s="19"/>
      <c r="F95" s="19"/>
      <c r="G95" s="19"/>
      <c r="H95" s="19"/>
      <c r="I95" s="12" t="s">
        <v>35</v>
      </c>
      <c r="J95" s="10" t="s">
        <v>38</v>
      </c>
      <c r="K95" s="9"/>
      <c r="L95" s="9"/>
      <c r="M95" s="9"/>
      <c r="N95" s="9"/>
      <c r="O95" s="9"/>
      <c r="P95" s="9"/>
      <c r="Q95" s="9"/>
      <c r="R95" s="9"/>
      <c r="S95" s="9"/>
      <c r="T95" s="9"/>
      <c r="U95" s="9"/>
      <c r="V95" s="9"/>
    </row>
    <row r="96" spans="2:22" ht="30" customHeight="1" x14ac:dyDescent="0.25">
      <c r="B96" s="19"/>
      <c r="C96" s="19"/>
      <c r="D96" s="19"/>
      <c r="E96" s="19"/>
      <c r="F96" s="19"/>
      <c r="G96" s="19"/>
      <c r="H96" s="19"/>
      <c r="I96" s="13" t="s">
        <v>36</v>
      </c>
      <c r="J96" s="10" t="s">
        <v>39</v>
      </c>
    </row>
    <row r="97" spans="1:23" ht="30" customHeight="1" x14ac:dyDescent="0.25">
      <c r="A97" s="1"/>
      <c r="B97" s="6" t="s">
        <v>33</v>
      </c>
      <c r="C97" s="6" t="s">
        <v>13</v>
      </c>
      <c r="D97" s="7" t="s">
        <v>1</v>
      </c>
      <c r="E97" s="7" t="s">
        <v>29</v>
      </c>
      <c r="F97" s="7" t="s">
        <v>30</v>
      </c>
      <c r="G97" s="7" t="s">
        <v>31</v>
      </c>
      <c r="H97" s="7" t="s">
        <v>32</v>
      </c>
      <c r="I97" s="6" t="s">
        <v>33</v>
      </c>
      <c r="J97" s="6" t="s">
        <v>13</v>
      </c>
      <c r="K97" s="7" t="s">
        <v>1</v>
      </c>
      <c r="L97" s="7" t="s">
        <v>29</v>
      </c>
      <c r="M97" s="7" t="s">
        <v>30</v>
      </c>
      <c r="N97" s="7" t="s">
        <v>31</v>
      </c>
      <c r="O97" s="7" t="s">
        <v>32</v>
      </c>
      <c r="P97" s="6" t="s">
        <v>33</v>
      </c>
      <c r="Q97" s="6" t="s">
        <v>13</v>
      </c>
      <c r="R97" s="7" t="s">
        <v>1</v>
      </c>
      <c r="S97" s="7" t="s">
        <v>29</v>
      </c>
      <c r="T97" s="7" t="s">
        <v>30</v>
      </c>
      <c r="U97" s="7" t="s">
        <v>31</v>
      </c>
      <c r="V97" s="7" t="s">
        <v>32</v>
      </c>
      <c r="W97" s="1"/>
    </row>
    <row r="98" spans="1:23" ht="45" customHeight="1" x14ac:dyDescent="0.25">
      <c r="B98" s="3" t="str">
        <f>IFERROR(ROUND(INDEX('PROJETO PERFURAÇÃO'!$AB:$AB,MATCH(MEDIÇÃO!D98,'PROJETO PERFURAÇÃO'!$B:$B,0)),1)&amp;"''","")</f>
        <v>5''</v>
      </c>
      <c r="C98" s="3" t="str">
        <f>IFERROR(IF(INDEX('PROJETO PERFURAÇÃO'!$P:$P,MATCH(MEDIÇÃO!D98,'PROJETO PERFURAÇÃO'!$B:$B,0))="Production","P",IF(INDEX('PROJETO PERFURAÇÃO'!$P:$P,MATCH(MEDIÇÃO!D98,'PROJETO PERFURAÇÃO'!$B:$B,0))="Buffer","B",IF(INDEX('PROJETO PERFURAÇÃO'!$P:$P,MATCH(MEDIÇÃO!D98,'PROJETO PERFURAÇÃO'!$B:$B,0))="Pre-Splitting","S"))),"")</f>
        <v>P</v>
      </c>
      <c r="D98" s="14">
        <f>R89+1</f>
        <v>208</v>
      </c>
      <c r="E98" s="4" t="str">
        <f>IFERROR(INDEX('LEV R&amp;D'!$D:$D,MATCH(MEDIÇÃO!D98,'LEV R&amp;D'!$A:$A,0))-INDEX('PROJETO PERFURAÇÃO'!$AH:$AH,MATCH(MEDIÇÃO!D98,'PROJETO PERFURAÇÃO'!$B:$B,0)),"")</f>
        <v/>
      </c>
      <c r="F98" s="17">
        <f>IFERROR(INDEX('PROJETO PERFURAÇÃO'!$AN:$AN,MATCH(MEDIÇÃO!D98,'PROJETO PERFURAÇÃO'!$B:$B,0)),"")</f>
        <v>0</v>
      </c>
      <c r="G98" s="3"/>
      <c r="H98" s="3"/>
      <c r="I98" s="3" t="str">
        <f>IFERROR(ROUND(INDEX('PROJETO PERFURAÇÃO'!$AB:$AB,MATCH(MEDIÇÃO!K98,'PROJETO PERFURAÇÃO'!$B:$B,0)),1)&amp;"''","")</f>
        <v>5''</v>
      </c>
      <c r="J98" s="3" t="str">
        <f>IFERROR(IF(INDEX('PROJETO PERFURAÇÃO'!$P:$P,MATCH(MEDIÇÃO!K98,'PROJETO PERFURAÇÃO'!$B:$B,0))="Production","P",IF(INDEX('PROJETO PERFURAÇÃO'!$P:$P,MATCH(MEDIÇÃO!K98,'PROJETO PERFURAÇÃO'!$B:$B,0))="Buffer","B",IF(INDEX('PROJETO PERFURAÇÃO'!$P:$P,MATCH(MEDIÇÃO!K98,'PROJETO PERFURAÇÃO'!$B:$B,0))="Pre-Splitting","S"))),"")</f>
        <v>P</v>
      </c>
      <c r="K98" s="14">
        <f>D120+1</f>
        <v>231</v>
      </c>
      <c r="L98" s="4" t="str">
        <f>IFERROR(INDEX('LEV R&amp;D'!$D:$D,MATCH(MEDIÇÃO!K98,'LEV R&amp;D'!$A:$A,0))-INDEX('PROJETO PERFURAÇÃO'!$AH:$AH,MATCH(MEDIÇÃO!K98,'PROJETO PERFURAÇÃO'!$B:$B,0)),"")</f>
        <v/>
      </c>
      <c r="M98" s="17">
        <f>IFERROR(INDEX('PROJETO PERFURAÇÃO'!$AN:$AN,MATCH(MEDIÇÃO!K98,'PROJETO PERFURAÇÃO'!$B:$B,0)),"")</f>
        <v>0</v>
      </c>
      <c r="N98" s="3"/>
      <c r="O98" s="3"/>
      <c r="P98" s="3" t="str">
        <f>IFERROR(ROUND(INDEX('PROJETO PERFURAÇÃO'!$AB:$AB,MATCH(MEDIÇÃO!R98,'PROJETO PERFURAÇÃO'!$B:$B,0)),1)&amp;"''","")</f>
        <v>5''</v>
      </c>
      <c r="Q98" s="3" t="str">
        <f>IFERROR(IF(INDEX('PROJETO PERFURAÇÃO'!$P:$P,MATCH(MEDIÇÃO!R98,'PROJETO PERFURAÇÃO'!$B:$B,0))="Production","P",IF(INDEX('PROJETO PERFURAÇÃO'!$P:$P,MATCH(MEDIÇÃO!R98,'PROJETO PERFURAÇÃO'!$B:$B,0))="Buffer","B",IF(INDEX('PROJETO PERFURAÇÃO'!$P:$P,MATCH(MEDIÇÃO!R98,'PROJETO PERFURAÇÃO'!$B:$B,0))="Pre-Splitting","S"))),"")</f>
        <v>P</v>
      </c>
      <c r="R98" s="14">
        <f>K120+1</f>
        <v>254</v>
      </c>
      <c r="S98" s="4" t="str">
        <f>IFERROR(INDEX('LEV R&amp;D'!$D:$D,MATCH(MEDIÇÃO!R98,'LEV R&amp;D'!$A:$A,0))-INDEX('PROJETO PERFURAÇÃO'!$AH:$AH,MATCH(MEDIÇÃO!R98,'PROJETO PERFURAÇÃO'!$B:$B,0)),"")</f>
        <v/>
      </c>
      <c r="T98" s="17">
        <f>IFERROR(INDEX('PROJETO PERFURAÇÃO'!$AN:$AN,MATCH(MEDIÇÃO!R98,'PROJETO PERFURAÇÃO'!$B:$B,0)),"")</f>
        <v>0</v>
      </c>
      <c r="U98" s="3"/>
      <c r="V98" s="3"/>
    </row>
    <row r="99" spans="1:23" ht="45" customHeight="1" x14ac:dyDescent="0.25">
      <c r="B99" s="3" t="str">
        <f>IFERROR(ROUND(INDEX('PROJETO PERFURAÇÃO'!$AB:$AB,MATCH(MEDIÇÃO!D99,'PROJETO PERFURAÇÃO'!$B:$B,0)),1)&amp;"''","")</f>
        <v>5''</v>
      </c>
      <c r="C99" s="3" t="str">
        <f>IFERROR(IF(INDEX('PROJETO PERFURAÇÃO'!$P:$P,MATCH(MEDIÇÃO!D99,'PROJETO PERFURAÇÃO'!$B:$B,0))="Production","P",IF(INDEX('PROJETO PERFURAÇÃO'!$P:$P,MATCH(MEDIÇÃO!D99,'PROJETO PERFURAÇÃO'!$B:$B,0))="Buffer","B",IF(INDEX('PROJETO PERFURAÇÃO'!$P:$P,MATCH(MEDIÇÃO!D99,'PROJETO PERFURAÇÃO'!$B:$B,0))="Pre-Splitting","S"))),"")</f>
        <v>P</v>
      </c>
      <c r="D99" s="14">
        <f>D98+1</f>
        <v>209</v>
      </c>
      <c r="E99" s="4" t="str">
        <f>IFERROR(INDEX('LEV R&amp;D'!$D:$D,MATCH(MEDIÇÃO!D99,'LEV R&amp;D'!$A:$A,0))-INDEX('PROJETO PERFURAÇÃO'!$AH:$AH,MATCH(MEDIÇÃO!D99,'PROJETO PERFURAÇÃO'!$B:$B,0)),"")</f>
        <v/>
      </c>
      <c r="F99" s="17">
        <f>IFERROR(INDEX('PROJETO PERFURAÇÃO'!$AN:$AN,MATCH(MEDIÇÃO!D99,'PROJETO PERFURAÇÃO'!$B:$B,0)),"")</f>
        <v>0</v>
      </c>
      <c r="G99" s="3"/>
      <c r="H99" s="3"/>
      <c r="I99" s="3" t="str">
        <f>IFERROR(ROUND(INDEX('PROJETO PERFURAÇÃO'!$AB:$AB,MATCH(MEDIÇÃO!K99,'PROJETO PERFURAÇÃO'!$B:$B,0)),1)&amp;"''","")</f>
        <v>5''</v>
      </c>
      <c r="J99" s="3" t="str">
        <f>IFERROR(IF(INDEX('PROJETO PERFURAÇÃO'!$P:$P,MATCH(MEDIÇÃO!K99,'PROJETO PERFURAÇÃO'!$B:$B,0))="Production","P",IF(INDEX('PROJETO PERFURAÇÃO'!$P:$P,MATCH(MEDIÇÃO!K99,'PROJETO PERFURAÇÃO'!$B:$B,0))="Buffer","B",IF(INDEX('PROJETO PERFURAÇÃO'!$P:$P,MATCH(MEDIÇÃO!K99,'PROJETO PERFURAÇÃO'!$B:$B,0))="Pre-Splitting","S"))),"")</f>
        <v>P</v>
      </c>
      <c r="K99" s="14">
        <f>K98+1</f>
        <v>232</v>
      </c>
      <c r="L99" s="4" t="str">
        <f>IFERROR(INDEX('LEV R&amp;D'!$D:$D,MATCH(MEDIÇÃO!K99,'LEV R&amp;D'!$A:$A,0))-INDEX('PROJETO PERFURAÇÃO'!$AH:$AH,MATCH(MEDIÇÃO!K99,'PROJETO PERFURAÇÃO'!$B:$B,0)),"")</f>
        <v/>
      </c>
      <c r="M99" s="17">
        <f>IFERROR(INDEX('PROJETO PERFURAÇÃO'!$AN:$AN,MATCH(MEDIÇÃO!K99,'PROJETO PERFURAÇÃO'!$B:$B,0)),"")</f>
        <v>0</v>
      </c>
      <c r="N99" s="3"/>
      <c r="O99" s="3"/>
      <c r="P99" s="3" t="str">
        <f>IFERROR(ROUND(INDEX('PROJETO PERFURAÇÃO'!$AB:$AB,MATCH(MEDIÇÃO!R99,'PROJETO PERFURAÇÃO'!$B:$B,0)),1)&amp;"''","")</f>
        <v>5''</v>
      </c>
      <c r="Q99" s="3" t="str">
        <f>IFERROR(IF(INDEX('PROJETO PERFURAÇÃO'!$P:$P,MATCH(MEDIÇÃO!R99,'PROJETO PERFURAÇÃO'!$B:$B,0))="Production","P",IF(INDEX('PROJETO PERFURAÇÃO'!$P:$P,MATCH(MEDIÇÃO!R99,'PROJETO PERFURAÇÃO'!$B:$B,0))="Buffer","B",IF(INDEX('PROJETO PERFURAÇÃO'!$P:$P,MATCH(MEDIÇÃO!R99,'PROJETO PERFURAÇÃO'!$B:$B,0))="Pre-Splitting","S"))),"")</f>
        <v>P</v>
      </c>
      <c r="R99" s="14">
        <f>R98+1</f>
        <v>255</v>
      </c>
      <c r="S99" s="4" t="str">
        <f>IFERROR(INDEX('LEV R&amp;D'!$D:$D,MATCH(MEDIÇÃO!R99,'LEV R&amp;D'!$A:$A,0))-INDEX('PROJETO PERFURAÇÃO'!$AH:$AH,MATCH(MEDIÇÃO!R99,'PROJETO PERFURAÇÃO'!$B:$B,0)),"")</f>
        <v/>
      </c>
      <c r="T99" s="17">
        <f>IFERROR(INDEX('PROJETO PERFURAÇÃO'!$AN:$AN,MATCH(MEDIÇÃO!R99,'PROJETO PERFURAÇÃO'!$B:$B,0)),"")</f>
        <v>0</v>
      </c>
      <c r="U99" s="3"/>
      <c r="V99" s="3"/>
    </row>
    <row r="100" spans="1:23" ht="45" customHeight="1" x14ac:dyDescent="0.25">
      <c r="B100" s="3" t="str">
        <f>IFERROR(ROUND(INDEX('PROJETO PERFURAÇÃO'!$AB:$AB,MATCH(MEDIÇÃO!D100,'PROJETO PERFURAÇÃO'!$B:$B,0)),1)&amp;"''","")</f>
        <v>5''</v>
      </c>
      <c r="C100" s="3" t="str">
        <f>IFERROR(IF(INDEX('PROJETO PERFURAÇÃO'!$P:$P,MATCH(MEDIÇÃO!D100,'PROJETO PERFURAÇÃO'!$B:$B,0))="Production","P",IF(INDEX('PROJETO PERFURAÇÃO'!$P:$P,MATCH(MEDIÇÃO!D100,'PROJETO PERFURAÇÃO'!$B:$B,0))="Buffer","B",IF(INDEX('PROJETO PERFURAÇÃO'!$P:$P,MATCH(MEDIÇÃO!D100,'PROJETO PERFURAÇÃO'!$B:$B,0))="Pre-Splitting","S"))),"")</f>
        <v>P</v>
      </c>
      <c r="D100" s="14">
        <f t="shared" ref="D100:D120" si="9">D99+1</f>
        <v>210</v>
      </c>
      <c r="E100" s="4" t="str">
        <f>IFERROR(INDEX('LEV R&amp;D'!$D:$D,MATCH(MEDIÇÃO!D100,'LEV R&amp;D'!$A:$A,0))-INDEX('PROJETO PERFURAÇÃO'!$AH:$AH,MATCH(MEDIÇÃO!D100,'PROJETO PERFURAÇÃO'!$B:$B,0)),"")</f>
        <v/>
      </c>
      <c r="F100" s="17">
        <f>IFERROR(INDEX('PROJETO PERFURAÇÃO'!$AN:$AN,MATCH(MEDIÇÃO!D100,'PROJETO PERFURAÇÃO'!$B:$B,0)),"")</f>
        <v>0</v>
      </c>
      <c r="G100" s="3"/>
      <c r="H100" s="3"/>
      <c r="I100" s="3" t="str">
        <f>IFERROR(ROUND(INDEX('PROJETO PERFURAÇÃO'!$AB:$AB,MATCH(MEDIÇÃO!K100,'PROJETO PERFURAÇÃO'!$B:$B,0)),1)&amp;"''","")</f>
        <v>5''</v>
      </c>
      <c r="J100" s="3" t="str">
        <f>IFERROR(IF(INDEX('PROJETO PERFURAÇÃO'!$P:$P,MATCH(MEDIÇÃO!K100,'PROJETO PERFURAÇÃO'!$B:$B,0))="Production","P",IF(INDEX('PROJETO PERFURAÇÃO'!$P:$P,MATCH(MEDIÇÃO!K100,'PROJETO PERFURAÇÃO'!$B:$B,0))="Buffer","B",IF(INDEX('PROJETO PERFURAÇÃO'!$P:$P,MATCH(MEDIÇÃO!K100,'PROJETO PERFURAÇÃO'!$B:$B,0))="Pre-Splitting","S"))),"")</f>
        <v>P</v>
      </c>
      <c r="K100" s="14">
        <f t="shared" ref="K100:K120" si="10">K99+1</f>
        <v>233</v>
      </c>
      <c r="L100" s="4" t="str">
        <f>IFERROR(INDEX('LEV R&amp;D'!$D:$D,MATCH(MEDIÇÃO!K100,'LEV R&amp;D'!$A:$A,0))-INDEX('PROJETO PERFURAÇÃO'!$AH:$AH,MATCH(MEDIÇÃO!K100,'PROJETO PERFURAÇÃO'!$B:$B,0)),"")</f>
        <v/>
      </c>
      <c r="M100" s="17">
        <f>IFERROR(INDEX('PROJETO PERFURAÇÃO'!$AN:$AN,MATCH(MEDIÇÃO!K100,'PROJETO PERFURAÇÃO'!$B:$B,0)),"")</f>
        <v>0</v>
      </c>
      <c r="N100" s="3"/>
      <c r="O100" s="3"/>
      <c r="P100" s="3" t="str">
        <f>IFERROR(ROUND(INDEX('PROJETO PERFURAÇÃO'!$AB:$AB,MATCH(MEDIÇÃO!R100,'PROJETO PERFURAÇÃO'!$B:$B,0)),1)&amp;"''","")</f>
        <v>5''</v>
      </c>
      <c r="Q100" s="3" t="str">
        <f>IFERROR(IF(INDEX('PROJETO PERFURAÇÃO'!$P:$P,MATCH(MEDIÇÃO!R100,'PROJETO PERFURAÇÃO'!$B:$B,0))="Production","P",IF(INDEX('PROJETO PERFURAÇÃO'!$P:$P,MATCH(MEDIÇÃO!R100,'PROJETO PERFURAÇÃO'!$B:$B,0))="Buffer","B",IF(INDEX('PROJETO PERFURAÇÃO'!$P:$P,MATCH(MEDIÇÃO!R100,'PROJETO PERFURAÇÃO'!$B:$B,0))="Pre-Splitting","S"))),"")</f>
        <v>P</v>
      </c>
      <c r="R100" s="14">
        <f t="shared" ref="R100:R120" si="11">R99+1</f>
        <v>256</v>
      </c>
      <c r="S100" s="4" t="str">
        <f>IFERROR(INDEX('LEV R&amp;D'!$D:$D,MATCH(MEDIÇÃO!R100,'LEV R&amp;D'!$A:$A,0))-INDEX('PROJETO PERFURAÇÃO'!$AH:$AH,MATCH(MEDIÇÃO!R100,'PROJETO PERFURAÇÃO'!$B:$B,0)),"")</f>
        <v/>
      </c>
      <c r="T100" s="17">
        <f>IFERROR(INDEX('PROJETO PERFURAÇÃO'!$AN:$AN,MATCH(MEDIÇÃO!R100,'PROJETO PERFURAÇÃO'!$B:$B,0)),"")</f>
        <v>0</v>
      </c>
      <c r="U100" s="3"/>
      <c r="V100" s="3"/>
    </row>
    <row r="101" spans="1:23" ht="45" customHeight="1" x14ac:dyDescent="0.25">
      <c r="B101" s="3" t="str">
        <f>IFERROR(ROUND(INDEX('PROJETO PERFURAÇÃO'!$AB:$AB,MATCH(MEDIÇÃO!D101,'PROJETO PERFURAÇÃO'!$B:$B,0)),1)&amp;"''","")</f>
        <v>5''</v>
      </c>
      <c r="C101" s="3" t="str">
        <f>IFERROR(IF(INDEX('PROJETO PERFURAÇÃO'!$P:$P,MATCH(MEDIÇÃO!D101,'PROJETO PERFURAÇÃO'!$B:$B,0))="Production","P",IF(INDEX('PROJETO PERFURAÇÃO'!$P:$P,MATCH(MEDIÇÃO!D101,'PROJETO PERFURAÇÃO'!$B:$B,0))="Buffer","B",IF(INDEX('PROJETO PERFURAÇÃO'!$P:$P,MATCH(MEDIÇÃO!D101,'PROJETO PERFURAÇÃO'!$B:$B,0))="Pre-Splitting","S"))),"")</f>
        <v>P</v>
      </c>
      <c r="D101" s="14">
        <f t="shared" si="9"/>
        <v>211</v>
      </c>
      <c r="E101" s="4" t="str">
        <f>IFERROR(INDEX('LEV R&amp;D'!$D:$D,MATCH(MEDIÇÃO!D101,'LEV R&amp;D'!$A:$A,0))-INDEX('PROJETO PERFURAÇÃO'!$AH:$AH,MATCH(MEDIÇÃO!D101,'PROJETO PERFURAÇÃO'!$B:$B,0)),"")</f>
        <v/>
      </c>
      <c r="F101" s="17">
        <f>IFERROR(INDEX('PROJETO PERFURAÇÃO'!$AN:$AN,MATCH(MEDIÇÃO!D101,'PROJETO PERFURAÇÃO'!$B:$B,0)),"")</f>
        <v>0</v>
      </c>
      <c r="G101" s="3"/>
      <c r="H101" s="3"/>
      <c r="I101" s="3" t="str">
        <f>IFERROR(ROUND(INDEX('PROJETO PERFURAÇÃO'!$AB:$AB,MATCH(MEDIÇÃO!K101,'PROJETO PERFURAÇÃO'!$B:$B,0)),1)&amp;"''","")</f>
        <v>5''</v>
      </c>
      <c r="J101" s="3" t="str">
        <f>IFERROR(IF(INDEX('PROJETO PERFURAÇÃO'!$P:$P,MATCH(MEDIÇÃO!K101,'PROJETO PERFURAÇÃO'!$B:$B,0))="Production","P",IF(INDEX('PROJETO PERFURAÇÃO'!$P:$P,MATCH(MEDIÇÃO!K101,'PROJETO PERFURAÇÃO'!$B:$B,0))="Buffer","B",IF(INDEX('PROJETO PERFURAÇÃO'!$P:$P,MATCH(MEDIÇÃO!K101,'PROJETO PERFURAÇÃO'!$B:$B,0))="Pre-Splitting","S"))),"")</f>
        <v>P</v>
      </c>
      <c r="K101" s="14">
        <f t="shared" si="10"/>
        <v>234</v>
      </c>
      <c r="L101" s="4" t="str">
        <f>IFERROR(INDEX('LEV R&amp;D'!$D:$D,MATCH(MEDIÇÃO!K101,'LEV R&amp;D'!$A:$A,0))-INDEX('PROJETO PERFURAÇÃO'!$AH:$AH,MATCH(MEDIÇÃO!K101,'PROJETO PERFURAÇÃO'!$B:$B,0)),"")</f>
        <v/>
      </c>
      <c r="M101" s="17">
        <f>IFERROR(INDEX('PROJETO PERFURAÇÃO'!$AN:$AN,MATCH(MEDIÇÃO!K101,'PROJETO PERFURAÇÃO'!$B:$B,0)),"")</f>
        <v>0</v>
      </c>
      <c r="N101" s="3"/>
      <c r="O101" s="3"/>
      <c r="P101" s="3" t="str">
        <f>IFERROR(ROUND(INDEX('PROJETO PERFURAÇÃO'!$AB:$AB,MATCH(MEDIÇÃO!R101,'PROJETO PERFURAÇÃO'!$B:$B,0)),1)&amp;"''","")</f>
        <v>5''</v>
      </c>
      <c r="Q101" s="3" t="str">
        <f>IFERROR(IF(INDEX('PROJETO PERFURAÇÃO'!$P:$P,MATCH(MEDIÇÃO!R101,'PROJETO PERFURAÇÃO'!$B:$B,0))="Production","P",IF(INDEX('PROJETO PERFURAÇÃO'!$P:$P,MATCH(MEDIÇÃO!R101,'PROJETO PERFURAÇÃO'!$B:$B,0))="Buffer","B",IF(INDEX('PROJETO PERFURAÇÃO'!$P:$P,MATCH(MEDIÇÃO!R101,'PROJETO PERFURAÇÃO'!$B:$B,0))="Pre-Splitting","S"))),"")</f>
        <v>P</v>
      </c>
      <c r="R101" s="14">
        <f t="shared" si="11"/>
        <v>257</v>
      </c>
      <c r="S101" s="4" t="str">
        <f>IFERROR(INDEX('LEV R&amp;D'!$D:$D,MATCH(MEDIÇÃO!R101,'LEV R&amp;D'!$A:$A,0))-INDEX('PROJETO PERFURAÇÃO'!$AH:$AH,MATCH(MEDIÇÃO!R101,'PROJETO PERFURAÇÃO'!$B:$B,0)),"")</f>
        <v/>
      </c>
      <c r="T101" s="17">
        <f>IFERROR(INDEX('PROJETO PERFURAÇÃO'!$AN:$AN,MATCH(MEDIÇÃO!R101,'PROJETO PERFURAÇÃO'!$B:$B,0)),"")</f>
        <v>0</v>
      </c>
      <c r="U101" s="3"/>
      <c r="V101" s="3"/>
    </row>
    <row r="102" spans="1:23" ht="45" customHeight="1" x14ac:dyDescent="0.25">
      <c r="B102" s="3" t="str">
        <f>IFERROR(ROUND(INDEX('PROJETO PERFURAÇÃO'!$AB:$AB,MATCH(MEDIÇÃO!D102,'PROJETO PERFURAÇÃO'!$B:$B,0)),1)&amp;"''","")</f>
        <v>5''</v>
      </c>
      <c r="C102" s="3" t="str">
        <f>IFERROR(IF(INDEX('PROJETO PERFURAÇÃO'!$P:$P,MATCH(MEDIÇÃO!D102,'PROJETO PERFURAÇÃO'!$B:$B,0))="Production","P",IF(INDEX('PROJETO PERFURAÇÃO'!$P:$P,MATCH(MEDIÇÃO!D102,'PROJETO PERFURAÇÃO'!$B:$B,0))="Buffer","B",IF(INDEX('PROJETO PERFURAÇÃO'!$P:$P,MATCH(MEDIÇÃO!D102,'PROJETO PERFURAÇÃO'!$B:$B,0))="Pre-Splitting","S"))),"")</f>
        <v>P</v>
      </c>
      <c r="D102" s="14">
        <f t="shared" si="9"/>
        <v>212</v>
      </c>
      <c r="E102" s="4" t="str">
        <f>IFERROR(INDEX('LEV R&amp;D'!$D:$D,MATCH(MEDIÇÃO!D102,'LEV R&amp;D'!$A:$A,0))-INDEX('PROJETO PERFURAÇÃO'!$AH:$AH,MATCH(MEDIÇÃO!D102,'PROJETO PERFURAÇÃO'!$B:$B,0)),"")</f>
        <v/>
      </c>
      <c r="F102" s="17">
        <f>IFERROR(INDEX('PROJETO PERFURAÇÃO'!$AN:$AN,MATCH(MEDIÇÃO!D102,'PROJETO PERFURAÇÃO'!$B:$B,0)),"")</f>
        <v>0</v>
      </c>
      <c r="G102" s="3"/>
      <c r="H102" s="3"/>
      <c r="I102" s="3" t="str">
        <f>IFERROR(ROUND(INDEX('PROJETO PERFURAÇÃO'!$AB:$AB,MATCH(MEDIÇÃO!K102,'PROJETO PERFURAÇÃO'!$B:$B,0)),1)&amp;"''","")</f>
        <v>5''</v>
      </c>
      <c r="J102" s="3" t="str">
        <f>IFERROR(IF(INDEX('PROJETO PERFURAÇÃO'!$P:$P,MATCH(MEDIÇÃO!K102,'PROJETO PERFURAÇÃO'!$B:$B,0))="Production","P",IF(INDEX('PROJETO PERFURAÇÃO'!$P:$P,MATCH(MEDIÇÃO!K102,'PROJETO PERFURAÇÃO'!$B:$B,0))="Buffer","B",IF(INDEX('PROJETO PERFURAÇÃO'!$P:$P,MATCH(MEDIÇÃO!K102,'PROJETO PERFURAÇÃO'!$B:$B,0))="Pre-Splitting","S"))),"")</f>
        <v>P</v>
      </c>
      <c r="K102" s="14">
        <f t="shared" si="10"/>
        <v>235</v>
      </c>
      <c r="L102" s="4" t="str">
        <f>IFERROR(INDEX('LEV R&amp;D'!$D:$D,MATCH(MEDIÇÃO!K102,'LEV R&amp;D'!$A:$A,0))-INDEX('PROJETO PERFURAÇÃO'!$AH:$AH,MATCH(MEDIÇÃO!K102,'PROJETO PERFURAÇÃO'!$B:$B,0)),"")</f>
        <v/>
      </c>
      <c r="M102" s="17">
        <f>IFERROR(INDEX('PROJETO PERFURAÇÃO'!$AN:$AN,MATCH(MEDIÇÃO!K102,'PROJETO PERFURAÇÃO'!$B:$B,0)),"")</f>
        <v>0</v>
      </c>
      <c r="N102" s="3"/>
      <c r="O102" s="3"/>
      <c r="P102" s="3" t="str">
        <f>IFERROR(ROUND(INDEX('PROJETO PERFURAÇÃO'!$AB:$AB,MATCH(MEDIÇÃO!R102,'PROJETO PERFURAÇÃO'!$B:$B,0)),1)&amp;"''","")</f>
        <v>5''</v>
      </c>
      <c r="Q102" s="3" t="str">
        <f>IFERROR(IF(INDEX('PROJETO PERFURAÇÃO'!$P:$P,MATCH(MEDIÇÃO!R102,'PROJETO PERFURAÇÃO'!$B:$B,0))="Production","P",IF(INDEX('PROJETO PERFURAÇÃO'!$P:$P,MATCH(MEDIÇÃO!R102,'PROJETO PERFURAÇÃO'!$B:$B,0))="Buffer","B",IF(INDEX('PROJETO PERFURAÇÃO'!$P:$P,MATCH(MEDIÇÃO!R102,'PROJETO PERFURAÇÃO'!$B:$B,0))="Pre-Splitting","S"))),"")</f>
        <v>P</v>
      </c>
      <c r="R102" s="14">
        <f t="shared" si="11"/>
        <v>258</v>
      </c>
      <c r="S102" s="4" t="str">
        <f>IFERROR(INDEX('LEV R&amp;D'!$D:$D,MATCH(MEDIÇÃO!R102,'LEV R&amp;D'!$A:$A,0))-INDEX('PROJETO PERFURAÇÃO'!$AH:$AH,MATCH(MEDIÇÃO!R102,'PROJETO PERFURAÇÃO'!$B:$B,0)),"")</f>
        <v/>
      </c>
      <c r="T102" s="17">
        <f>IFERROR(INDEX('PROJETO PERFURAÇÃO'!$AN:$AN,MATCH(MEDIÇÃO!R102,'PROJETO PERFURAÇÃO'!$B:$B,0)),"")</f>
        <v>0</v>
      </c>
      <c r="U102" s="3"/>
      <c r="V102" s="3"/>
    </row>
    <row r="103" spans="1:23" ht="45" customHeight="1" x14ac:dyDescent="0.25">
      <c r="B103" s="3" t="str">
        <f>IFERROR(ROUND(INDEX('PROJETO PERFURAÇÃO'!$AB:$AB,MATCH(MEDIÇÃO!D103,'PROJETO PERFURAÇÃO'!$B:$B,0)),1)&amp;"''","")</f>
        <v>5''</v>
      </c>
      <c r="C103" s="3" t="str">
        <f>IFERROR(IF(INDEX('PROJETO PERFURAÇÃO'!$P:$P,MATCH(MEDIÇÃO!D103,'PROJETO PERFURAÇÃO'!$B:$B,0))="Production","P",IF(INDEX('PROJETO PERFURAÇÃO'!$P:$P,MATCH(MEDIÇÃO!D103,'PROJETO PERFURAÇÃO'!$B:$B,0))="Buffer","B",IF(INDEX('PROJETO PERFURAÇÃO'!$P:$P,MATCH(MEDIÇÃO!D103,'PROJETO PERFURAÇÃO'!$B:$B,0))="Pre-Splitting","S"))),"")</f>
        <v>P</v>
      </c>
      <c r="D103" s="14">
        <f t="shared" si="9"/>
        <v>213</v>
      </c>
      <c r="E103" s="4" t="str">
        <f>IFERROR(INDEX('LEV R&amp;D'!$D:$D,MATCH(MEDIÇÃO!D103,'LEV R&amp;D'!$A:$A,0))-INDEX('PROJETO PERFURAÇÃO'!$AH:$AH,MATCH(MEDIÇÃO!D103,'PROJETO PERFURAÇÃO'!$B:$B,0)),"")</f>
        <v/>
      </c>
      <c r="F103" s="17">
        <f>IFERROR(INDEX('PROJETO PERFURAÇÃO'!$AN:$AN,MATCH(MEDIÇÃO!D103,'PROJETO PERFURAÇÃO'!$B:$B,0)),"")</f>
        <v>0</v>
      </c>
      <c r="G103" s="3"/>
      <c r="H103" s="3"/>
      <c r="I103" s="3" t="str">
        <f>IFERROR(ROUND(INDEX('PROJETO PERFURAÇÃO'!$AB:$AB,MATCH(MEDIÇÃO!K103,'PROJETO PERFURAÇÃO'!$B:$B,0)),1)&amp;"''","")</f>
        <v>5''</v>
      </c>
      <c r="J103" s="3" t="str">
        <f>IFERROR(IF(INDEX('PROJETO PERFURAÇÃO'!$P:$P,MATCH(MEDIÇÃO!K103,'PROJETO PERFURAÇÃO'!$B:$B,0))="Production","P",IF(INDEX('PROJETO PERFURAÇÃO'!$P:$P,MATCH(MEDIÇÃO!K103,'PROJETO PERFURAÇÃO'!$B:$B,0))="Buffer","B",IF(INDEX('PROJETO PERFURAÇÃO'!$P:$P,MATCH(MEDIÇÃO!K103,'PROJETO PERFURAÇÃO'!$B:$B,0))="Pre-Splitting","S"))),"")</f>
        <v>P</v>
      </c>
      <c r="K103" s="14">
        <f t="shared" si="10"/>
        <v>236</v>
      </c>
      <c r="L103" s="4" t="str">
        <f>IFERROR(INDEX('LEV R&amp;D'!$D:$D,MATCH(MEDIÇÃO!K103,'LEV R&amp;D'!$A:$A,0))-INDEX('PROJETO PERFURAÇÃO'!$AH:$AH,MATCH(MEDIÇÃO!K103,'PROJETO PERFURAÇÃO'!$B:$B,0)),"")</f>
        <v/>
      </c>
      <c r="M103" s="17">
        <f>IFERROR(INDEX('PROJETO PERFURAÇÃO'!$AN:$AN,MATCH(MEDIÇÃO!K103,'PROJETO PERFURAÇÃO'!$B:$B,0)),"")</f>
        <v>0</v>
      </c>
      <c r="N103" s="3"/>
      <c r="O103" s="3"/>
      <c r="P103" s="3" t="str">
        <f>IFERROR(ROUND(INDEX('PROJETO PERFURAÇÃO'!$AB:$AB,MATCH(MEDIÇÃO!R103,'PROJETO PERFURAÇÃO'!$B:$B,0)),1)&amp;"''","")</f>
        <v>5''</v>
      </c>
      <c r="Q103" s="3" t="str">
        <f>IFERROR(IF(INDEX('PROJETO PERFURAÇÃO'!$P:$P,MATCH(MEDIÇÃO!R103,'PROJETO PERFURAÇÃO'!$B:$B,0))="Production","P",IF(INDEX('PROJETO PERFURAÇÃO'!$P:$P,MATCH(MEDIÇÃO!R103,'PROJETO PERFURAÇÃO'!$B:$B,0))="Buffer","B",IF(INDEX('PROJETO PERFURAÇÃO'!$P:$P,MATCH(MEDIÇÃO!R103,'PROJETO PERFURAÇÃO'!$B:$B,0))="Pre-Splitting","S"))),"")</f>
        <v>P</v>
      </c>
      <c r="R103" s="14">
        <f t="shared" si="11"/>
        <v>259</v>
      </c>
      <c r="S103" s="4" t="str">
        <f>IFERROR(INDEX('LEV R&amp;D'!$D:$D,MATCH(MEDIÇÃO!R103,'LEV R&amp;D'!$A:$A,0))-INDEX('PROJETO PERFURAÇÃO'!$AH:$AH,MATCH(MEDIÇÃO!R103,'PROJETO PERFURAÇÃO'!$B:$B,0)),"")</f>
        <v/>
      </c>
      <c r="T103" s="17">
        <f>IFERROR(INDEX('PROJETO PERFURAÇÃO'!$AN:$AN,MATCH(MEDIÇÃO!R103,'PROJETO PERFURAÇÃO'!$B:$B,0)),"")</f>
        <v>0</v>
      </c>
      <c r="U103" s="3"/>
      <c r="V103" s="3"/>
    </row>
    <row r="104" spans="1:23" ht="45" customHeight="1" x14ac:dyDescent="0.25">
      <c r="B104" s="3" t="str">
        <f>IFERROR(ROUND(INDEX('PROJETO PERFURAÇÃO'!$AB:$AB,MATCH(MEDIÇÃO!D104,'PROJETO PERFURAÇÃO'!$B:$B,0)),1)&amp;"''","")</f>
        <v>5''</v>
      </c>
      <c r="C104" s="3" t="str">
        <f>IFERROR(IF(INDEX('PROJETO PERFURAÇÃO'!$P:$P,MATCH(MEDIÇÃO!D104,'PROJETO PERFURAÇÃO'!$B:$B,0))="Production","P",IF(INDEX('PROJETO PERFURAÇÃO'!$P:$P,MATCH(MEDIÇÃO!D104,'PROJETO PERFURAÇÃO'!$B:$B,0))="Buffer","B",IF(INDEX('PROJETO PERFURAÇÃO'!$P:$P,MATCH(MEDIÇÃO!D104,'PROJETO PERFURAÇÃO'!$B:$B,0))="Pre-Splitting","S"))),"")</f>
        <v>P</v>
      </c>
      <c r="D104" s="14">
        <f t="shared" si="9"/>
        <v>214</v>
      </c>
      <c r="E104" s="4" t="str">
        <f>IFERROR(INDEX('LEV R&amp;D'!$D:$D,MATCH(MEDIÇÃO!D104,'LEV R&amp;D'!$A:$A,0))-INDEX('PROJETO PERFURAÇÃO'!$AH:$AH,MATCH(MEDIÇÃO!D104,'PROJETO PERFURAÇÃO'!$B:$B,0)),"")</f>
        <v/>
      </c>
      <c r="F104" s="17">
        <f>IFERROR(INDEX('PROJETO PERFURAÇÃO'!$AN:$AN,MATCH(MEDIÇÃO!D104,'PROJETO PERFURAÇÃO'!$B:$B,0)),"")</f>
        <v>0</v>
      </c>
      <c r="G104" s="3"/>
      <c r="H104" s="3"/>
      <c r="I104" s="3" t="str">
        <f>IFERROR(ROUND(INDEX('PROJETO PERFURAÇÃO'!$AB:$AB,MATCH(MEDIÇÃO!K104,'PROJETO PERFURAÇÃO'!$B:$B,0)),1)&amp;"''","")</f>
        <v>5''</v>
      </c>
      <c r="J104" s="3" t="str">
        <f>IFERROR(IF(INDEX('PROJETO PERFURAÇÃO'!$P:$P,MATCH(MEDIÇÃO!K104,'PROJETO PERFURAÇÃO'!$B:$B,0))="Production","P",IF(INDEX('PROJETO PERFURAÇÃO'!$P:$P,MATCH(MEDIÇÃO!K104,'PROJETO PERFURAÇÃO'!$B:$B,0))="Buffer","B",IF(INDEX('PROJETO PERFURAÇÃO'!$P:$P,MATCH(MEDIÇÃO!K104,'PROJETO PERFURAÇÃO'!$B:$B,0))="Pre-Splitting","S"))),"")</f>
        <v>P</v>
      </c>
      <c r="K104" s="14">
        <f t="shared" si="10"/>
        <v>237</v>
      </c>
      <c r="L104" s="4" t="str">
        <f>IFERROR(INDEX('LEV R&amp;D'!$D:$D,MATCH(MEDIÇÃO!K104,'LEV R&amp;D'!$A:$A,0))-INDEX('PROJETO PERFURAÇÃO'!$AH:$AH,MATCH(MEDIÇÃO!K104,'PROJETO PERFURAÇÃO'!$B:$B,0)),"")</f>
        <v/>
      </c>
      <c r="M104" s="17">
        <f>IFERROR(INDEX('PROJETO PERFURAÇÃO'!$AN:$AN,MATCH(MEDIÇÃO!K104,'PROJETO PERFURAÇÃO'!$B:$B,0)),"")</f>
        <v>0</v>
      </c>
      <c r="N104" s="3"/>
      <c r="O104" s="3"/>
      <c r="P104" s="3" t="str">
        <f>IFERROR(ROUND(INDEX('PROJETO PERFURAÇÃO'!$AB:$AB,MATCH(MEDIÇÃO!R104,'PROJETO PERFURAÇÃO'!$B:$B,0)),1)&amp;"''","")</f>
        <v>5''</v>
      </c>
      <c r="Q104" s="3" t="str">
        <f>IFERROR(IF(INDEX('PROJETO PERFURAÇÃO'!$P:$P,MATCH(MEDIÇÃO!R104,'PROJETO PERFURAÇÃO'!$B:$B,0))="Production","P",IF(INDEX('PROJETO PERFURAÇÃO'!$P:$P,MATCH(MEDIÇÃO!R104,'PROJETO PERFURAÇÃO'!$B:$B,0))="Buffer","B",IF(INDEX('PROJETO PERFURAÇÃO'!$P:$P,MATCH(MEDIÇÃO!R104,'PROJETO PERFURAÇÃO'!$B:$B,0))="Pre-Splitting","S"))),"")</f>
        <v>P</v>
      </c>
      <c r="R104" s="14">
        <f t="shared" si="11"/>
        <v>260</v>
      </c>
      <c r="S104" s="4" t="str">
        <f>IFERROR(INDEX('LEV R&amp;D'!$D:$D,MATCH(MEDIÇÃO!R104,'LEV R&amp;D'!$A:$A,0))-INDEX('PROJETO PERFURAÇÃO'!$AH:$AH,MATCH(MEDIÇÃO!R104,'PROJETO PERFURAÇÃO'!$B:$B,0)),"")</f>
        <v/>
      </c>
      <c r="T104" s="17">
        <f>IFERROR(INDEX('PROJETO PERFURAÇÃO'!$AN:$AN,MATCH(MEDIÇÃO!R104,'PROJETO PERFURAÇÃO'!$B:$B,0)),"")</f>
        <v>0</v>
      </c>
      <c r="U104" s="3"/>
      <c r="V104" s="3"/>
    </row>
    <row r="105" spans="1:23" ht="45" customHeight="1" x14ac:dyDescent="0.25">
      <c r="B105" s="3" t="str">
        <f>IFERROR(ROUND(INDEX('PROJETO PERFURAÇÃO'!$AB:$AB,MATCH(MEDIÇÃO!D105,'PROJETO PERFURAÇÃO'!$B:$B,0)),1)&amp;"''","")</f>
        <v>5''</v>
      </c>
      <c r="C105" s="3" t="str">
        <f>IFERROR(IF(INDEX('PROJETO PERFURAÇÃO'!$P:$P,MATCH(MEDIÇÃO!D105,'PROJETO PERFURAÇÃO'!$B:$B,0))="Production","P",IF(INDEX('PROJETO PERFURAÇÃO'!$P:$P,MATCH(MEDIÇÃO!D105,'PROJETO PERFURAÇÃO'!$B:$B,0))="Buffer","B",IF(INDEX('PROJETO PERFURAÇÃO'!$P:$P,MATCH(MEDIÇÃO!D105,'PROJETO PERFURAÇÃO'!$B:$B,0))="Pre-Splitting","S"))),"")</f>
        <v>P</v>
      </c>
      <c r="D105" s="14">
        <f t="shared" si="9"/>
        <v>215</v>
      </c>
      <c r="E105" s="4" t="str">
        <f>IFERROR(INDEX('LEV R&amp;D'!$D:$D,MATCH(MEDIÇÃO!D105,'LEV R&amp;D'!$A:$A,0))-INDEX('PROJETO PERFURAÇÃO'!$AH:$AH,MATCH(MEDIÇÃO!D105,'PROJETO PERFURAÇÃO'!$B:$B,0)),"")</f>
        <v/>
      </c>
      <c r="F105" s="17">
        <f>IFERROR(INDEX('PROJETO PERFURAÇÃO'!$AN:$AN,MATCH(MEDIÇÃO!D105,'PROJETO PERFURAÇÃO'!$B:$B,0)),"")</f>
        <v>0</v>
      </c>
      <c r="G105" s="3"/>
      <c r="H105" s="3"/>
      <c r="I105" s="3" t="str">
        <f>IFERROR(ROUND(INDEX('PROJETO PERFURAÇÃO'!$AB:$AB,MATCH(MEDIÇÃO!K105,'PROJETO PERFURAÇÃO'!$B:$B,0)),1)&amp;"''","")</f>
        <v>5''</v>
      </c>
      <c r="J105" s="3" t="str">
        <f>IFERROR(IF(INDEX('PROJETO PERFURAÇÃO'!$P:$P,MATCH(MEDIÇÃO!K105,'PROJETO PERFURAÇÃO'!$B:$B,0))="Production","P",IF(INDEX('PROJETO PERFURAÇÃO'!$P:$P,MATCH(MEDIÇÃO!K105,'PROJETO PERFURAÇÃO'!$B:$B,0))="Buffer","B",IF(INDEX('PROJETO PERFURAÇÃO'!$P:$P,MATCH(MEDIÇÃO!K105,'PROJETO PERFURAÇÃO'!$B:$B,0))="Pre-Splitting","S"))),"")</f>
        <v>P</v>
      </c>
      <c r="K105" s="14">
        <f t="shared" si="10"/>
        <v>238</v>
      </c>
      <c r="L105" s="4" t="str">
        <f>IFERROR(INDEX('LEV R&amp;D'!$D:$D,MATCH(MEDIÇÃO!K105,'LEV R&amp;D'!$A:$A,0))-INDEX('PROJETO PERFURAÇÃO'!$AH:$AH,MATCH(MEDIÇÃO!K105,'PROJETO PERFURAÇÃO'!$B:$B,0)),"")</f>
        <v/>
      </c>
      <c r="M105" s="17">
        <f>IFERROR(INDEX('PROJETO PERFURAÇÃO'!$AN:$AN,MATCH(MEDIÇÃO!K105,'PROJETO PERFURAÇÃO'!$B:$B,0)),"")</f>
        <v>0</v>
      </c>
      <c r="N105" s="3"/>
      <c r="O105" s="3"/>
      <c r="P105" s="3" t="str">
        <f>IFERROR(ROUND(INDEX('PROJETO PERFURAÇÃO'!$AB:$AB,MATCH(MEDIÇÃO!R105,'PROJETO PERFURAÇÃO'!$B:$B,0)),1)&amp;"''","")</f>
        <v>5''</v>
      </c>
      <c r="Q105" s="3" t="str">
        <f>IFERROR(IF(INDEX('PROJETO PERFURAÇÃO'!$P:$P,MATCH(MEDIÇÃO!R105,'PROJETO PERFURAÇÃO'!$B:$B,0))="Production","P",IF(INDEX('PROJETO PERFURAÇÃO'!$P:$P,MATCH(MEDIÇÃO!R105,'PROJETO PERFURAÇÃO'!$B:$B,0))="Buffer","B",IF(INDEX('PROJETO PERFURAÇÃO'!$P:$P,MATCH(MEDIÇÃO!R105,'PROJETO PERFURAÇÃO'!$B:$B,0))="Pre-Splitting","S"))),"")</f>
        <v>P</v>
      </c>
      <c r="R105" s="14">
        <f t="shared" si="11"/>
        <v>261</v>
      </c>
      <c r="S105" s="4" t="str">
        <f>IFERROR(INDEX('LEV R&amp;D'!$D:$D,MATCH(MEDIÇÃO!R105,'LEV R&amp;D'!$A:$A,0))-INDEX('PROJETO PERFURAÇÃO'!$AH:$AH,MATCH(MEDIÇÃO!R105,'PROJETO PERFURAÇÃO'!$B:$B,0)),"")</f>
        <v/>
      </c>
      <c r="T105" s="17">
        <f>IFERROR(INDEX('PROJETO PERFURAÇÃO'!$AN:$AN,MATCH(MEDIÇÃO!R105,'PROJETO PERFURAÇÃO'!$B:$B,0)),"")</f>
        <v>0</v>
      </c>
      <c r="U105" s="3"/>
      <c r="V105" s="3"/>
    </row>
    <row r="106" spans="1:23" ht="45" customHeight="1" x14ac:dyDescent="0.25">
      <c r="B106" s="3" t="str">
        <f>IFERROR(ROUND(INDEX('PROJETO PERFURAÇÃO'!$AB:$AB,MATCH(MEDIÇÃO!D106,'PROJETO PERFURAÇÃO'!$B:$B,0)),1)&amp;"''","")</f>
        <v>5''</v>
      </c>
      <c r="C106" s="3" t="str">
        <f>IFERROR(IF(INDEX('PROJETO PERFURAÇÃO'!$P:$P,MATCH(MEDIÇÃO!D106,'PROJETO PERFURAÇÃO'!$B:$B,0))="Production","P",IF(INDEX('PROJETO PERFURAÇÃO'!$P:$P,MATCH(MEDIÇÃO!D106,'PROJETO PERFURAÇÃO'!$B:$B,0))="Buffer","B",IF(INDEX('PROJETO PERFURAÇÃO'!$P:$P,MATCH(MEDIÇÃO!D106,'PROJETO PERFURAÇÃO'!$B:$B,0))="Pre-Splitting","S"))),"")</f>
        <v>P</v>
      </c>
      <c r="D106" s="14">
        <f t="shared" si="9"/>
        <v>216</v>
      </c>
      <c r="E106" s="4" t="str">
        <f>IFERROR(INDEX('LEV R&amp;D'!$D:$D,MATCH(MEDIÇÃO!D106,'LEV R&amp;D'!$A:$A,0))-INDEX('PROJETO PERFURAÇÃO'!$AH:$AH,MATCH(MEDIÇÃO!D106,'PROJETO PERFURAÇÃO'!$B:$B,0)),"")</f>
        <v/>
      </c>
      <c r="F106" s="17">
        <f>IFERROR(INDEX('PROJETO PERFURAÇÃO'!$AN:$AN,MATCH(MEDIÇÃO!D106,'PROJETO PERFURAÇÃO'!$B:$B,0)),"")</f>
        <v>0</v>
      </c>
      <c r="G106" s="3"/>
      <c r="H106" s="3"/>
      <c r="I106" s="3" t="str">
        <f>IFERROR(ROUND(INDEX('PROJETO PERFURAÇÃO'!$AB:$AB,MATCH(MEDIÇÃO!K106,'PROJETO PERFURAÇÃO'!$B:$B,0)),1)&amp;"''","")</f>
        <v>5''</v>
      </c>
      <c r="J106" s="3" t="str">
        <f>IFERROR(IF(INDEX('PROJETO PERFURAÇÃO'!$P:$P,MATCH(MEDIÇÃO!K106,'PROJETO PERFURAÇÃO'!$B:$B,0))="Production","P",IF(INDEX('PROJETO PERFURAÇÃO'!$P:$P,MATCH(MEDIÇÃO!K106,'PROJETO PERFURAÇÃO'!$B:$B,0))="Buffer","B",IF(INDEX('PROJETO PERFURAÇÃO'!$P:$P,MATCH(MEDIÇÃO!K106,'PROJETO PERFURAÇÃO'!$B:$B,0))="Pre-Splitting","S"))),"")</f>
        <v>P</v>
      </c>
      <c r="K106" s="14">
        <f t="shared" si="10"/>
        <v>239</v>
      </c>
      <c r="L106" s="4" t="str">
        <f>IFERROR(INDEX('LEV R&amp;D'!$D:$D,MATCH(MEDIÇÃO!K106,'LEV R&amp;D'!$A:$A,0))-INDEX('PROJETO PERFURAÇÃO'!$AH:$AH,MATCH(MEDIÇÃO!K106,'PROJETO PERFURAÇÃO'!$B:$B,0)),"")</f>
        <v/>
      </c>
      <c r="M106" s="17">
        <f>IFERROR(INDEX('PROJETO PERFURAÇÃO'!$AN:$AN,MATCH(MEDIÇÃO!K106,'PROJETO PERFURAÇÃO'!$B:$B,0)),"")</f>
        <v>0</v>
      </c>
      <c r="N106" s="3"/>
      <c r="O106" s="3"/>
      <c r="P106" s="3" t="str">
        <f>IFERROR(ROUND(INDEX('PROJETO PERFURAÇÃO'!$AB:$AB,MATCH(MEDIÇÃO!R106,'PROJETO PERFURAÇÃO'!$B:$B,0)),1)&amp;"''","")</f>
        <v>5''</v>
      </c>
      <c r="Q106" s="3" t="str">
        <f>IFERROR(IF(INDEX('PROJETO PERFURAÇÃO'!$P:$P,MATCH(MEDIÇÃO!R106,'PROJETO PERFURAÇÃO'!$B:$B,0))="Production","P",IF(INDEX('PROJETO PERFURAÇÃO'!$P:$P,MATCH(MEDIÇÃO!R106,'PROJETO PERFURAÇÃO'!$B:$B,0))="Buffer","B",IF(INDEX('PROJETO PERFURAÇÃO'!$P:$P,MATCH(MEDIÇÃO!R106,'PROJETO PERFURAÇÃO'!$B:$B,0))="Pre-Splitting","S"))),"")</f>
        <v>P</v>
      </c>
      <c r="R106" s="14">
        <f t="shared" si="11"/>
        <v>262</v>
      </c>
      <c r="S106" s="4" t="str">
        <f>IFERROR(INDEX('LEV R&amp;D'!$D:$D,MATCH(MEDIÇÃO!R106,'LEV R&amp;D'!$A:$A,0))-INDEX('PROJETO PERFURAÇÃO'!$AH:$AH,MATCH(MEDIÇÃO!R106,'PROJETO PERFURAÇÃO'!$B:$B,0)),"")</f>
        <v/>
      </c>
      <c r="T106" s="17">
        <f>IFERROR(INDEX('PROJETO PERFURAÇÃO'!$AN:$AN,MATCH(MEDIÇÃO!R106,'PROJETO PERFURAÇÃO'!$B:$B,0)),"")</f>
        <v>0</v>
      </c>
      <c r="U106" s="3"/>
      <c r="V106" s="3"/>
    </row>
    <row r="107" spans="1:23" ht="45" customHeight="1" x14ac:dyDescent="0.25">
      <c r="B107" s="3" t="str">
        <f>IFERROR(ROUND(INDEX('PROJETO PERFURAÇÃO'!$AB:$AB,MATCH(MEDIÇÃO!D107,'PROJETO PERFURAÇÃO'!$B:$B,0)),1)&amp;"''","")</f>
        <v>5''</v>
      </c>
      <c r="C107" s="3" t="str">
        <f>IFERROR(IF(INDEX('PROJETO PERFURAÇÃO'!$P:$P,MATCH(MEDIÇÃO!D107,'PROJETO PERFURAÇÃO'!$B:$B,0))="Production","P",IF(INDEX('PROJETO PERFURAÇÃO'!$P:$P,MATCH(MEDIÇÃO!D107,'PROJETO PERFURAÇÃO'!$B:$B,0))="Buffer","B",IF(INDEX('PROJETO PERFURAÇÃO'!$P:$P,MATCH(MEDIÇÃO!D107,'PROJETO PERFURAÇÃO'!$B:$B,0))="Pre-Splitting","S"))),"")</f>
        <v>P</v>
      </c>
      <c r="D107" s="14">
        <f t="shared" si="9"/>
        <v>217</v>
      </c>
      <c r="E107" s="4" t="str">
        <f>IFERROR(INDEX('LEV R&amp;D'!$D:$D,MATCH(MEDIÇÃO!D107,'LEV R&amp;D'!$A:$A,0))-INDEX('PROJETO PERFURAÇÃO'!$AH:$AH,MATCH(MEDIÇÃO!D107,'PROJETO PERFURAÇÃO'!$B:$B,0)),"")</f>
        <v/>
      </c>
      <c r="F107" s="17">
        <f>IFERROR(INDEX('PROJETO PERFURAÇÃO'!$AN:$AN,MATCH(MEDIÇÃO!D107,'PROJETO PERFURAÇÃO'!$B:$B,0)),"")</f>
        <v>0</v>
      </c>
      <c r="G107" s="3"/>
      <c r="H107" s="3"/>
      <c r="I107" s="3" t="str">
        <f>IFERROR(ROUND(INDEX('PROJETO PERFURAÇÃO'!$AB:$AB,MATCH(MEDIÇÃO!K107,'PROJETO PERFURAÇÃO'!$B:$B,0)),1)&amp;"''","")</f>
        <v>5''</v>
      </c>
      <c r="J107" s="3" t="str">
        <f>IFERROR(IF(INDEX('PROJETO PERFURAÇÃO'!$P:$P,MATCH(MEDIÇÃO!K107,'PROJETO PERFURAÇÃO'!$B:$B,0))="Production","P",IF(INDEX('PROJETO PERFURAÇÃO'!$P:$P,MATCH(MEDIÇÃO!K107,'PROJETO PERFURAÇÃO'!$B:$B,0))="Buffer","B",IF(INDEX('PROJETO PERFURAÇÃO'!$P:$P,MATCH(MEDIÇÃO!K107,'PROJETO PERFURAÇÃO'!$B:$B,0))="Pre-Splitting","S"))),"")</f>
        <v>P</v>
      </c>
      <c r="K107" s="14">
        <f t="shared" si="10"/>
        <v>240</v>
      </c>
      <c r="L107" s="4" t="str">
        <f>IFERROR(INDEX('LEV R&amp;D'!$D:$D,MATCH(MEDIÇÃO!K107,'LEV R&amp;D'!$A:$A,0))-INDEX('PROJETO PERFURAÇÃO'!$AH:$AH,MATCH(MEDIÇÃO!K107,'PROJETO PERFURAÇÃO'!$B:$B,0)),"")</f>
        <v/>
      </c>
      <c r="M107" s="17">
        <f>IFERROR(INDEX('PROJETO PERFURAÇÃO'!$AN:$AN,MATCH(MEDIÇÃO!K107,'PROJETO PERFURAÇÃO'!$B:$B,0)),"")</f>
        <v>0</v>
      </c>
      <c r="N107" s="3"/>
      <c r="O107" s="3"/>
      <c r="P107" s="3" t="str">
        <f>IFERROR(ROUND(INDEX('PROJETO PERFURAÇÃO'!$AB:$AB,MATCH(MEDIÇÃO!R107,'PROJETO PERFURAÇÃO'!$B:$B,0)),1)&amp;"''","")</f>
        <v>5''</v>
      </c>
      <c r="Q107" s="3" t="str">
        <f>IFERROR(IF(INDEX('PROJETO PERFURAÇÃO'!$P:$P,MATCH(MEDIÇÃO!R107,'PROJETO PERFURAÇÃO'!$B:$B,0))="Production","P",IF(INDEX('PROJETO PERFURAÇÃO'!$P:$P,MATCH(MEDIÇÃO!R107,'PROJETO PERFURAÇÃO'!$B:$B,0))="Buffer","B",IF(INDEX('PROJETO PERFURAÇÃO'!$P:$P,MATCH(MEDIÇÃO!R107,'PROJETO PERFURAÇÃO'!$B:$B,0))="Pre-Splitting","S"))),"")</f>
        <v>P</v>
      </c>
      <c r="R107" s="14">
        <f t="shared" si="11"/>
        <v>263</v>
      </c>
      <c r="S107" s="4" t="str">
        <f>IFERROR(INDEX('LEV R&amp;D'!$D:$D,MATCH(MEDIÇÃO!R107,'LEV R&amp;D'!$A:$A,0))-INDEX('PROJETO PERFURAÇÃO'!$AH:$AH,MATCH(MEDIÇÃO!R107,'PROJETO PERFURAÇÃO'!$B:$B,0)),"")</f>
        <v/>
      </c>
      <c r="T107" s="17">
        <f>IFERROR(INDEX('PROJETO PERFURAÇÃO'!$AN:$AN,MATCH(MEDIÇÃO!R107,'PROJETO PERFURAÇÃO'!$B:$B,0)),"")</f>
        <v>0</v>
      </c>
      <c r="U107" s="3"/>
      <c r="V107" s="3"/>
    </row>
    <row r="108" spans="1:23" ht="45" customHeight="1" x14ac:dyDescent="0.25">
      <c r="B108" s="3" t="str">
        <f>IFERROR(ROUND(INDEX('PROJETO PERFURAÇÃO'!$AB:$AB,MATCH(MEDIÇÃO!D108,'PROJETO PERFURAÇÃO'!$B:$B,0)),1)&amp;"''","")</f>
        <v>5''</v>
      </c>
      <c r="C108" s="3" t="str">
        <f>IFERROR(IF(INDEX('PROJETO PERFURAÇÃO'!$P:$P,MATCH(MEDIÇÃO!D108,'PROJETO PERFURAÇÃO'!$B:$B,0))="Production","P",IF(INDEX('PROJETO PERFURAÇÃO'!$P:$P,MATCH(MEDIÇÃO!D108,'PROJETO PERFURAÇÃO'!$B:$B,0))="Buffer","B",IF(INDEX('PROJETO PERFURAÇÃO'!$P:$P,MATCH(MEDIÇÃO!D108,'PROJETO PERFURAÇÃO'!$B:$B,0))="Pre-Splitting","S"))),"")</f>
        <v>P</v>
      </c>
      <c r="D108" s="14">
        <f t="shared" si="9"/>
        <v>218</v>
      </c>
      <c r="E108" s="4" t="str">
        <f>IFERROR(INDEX('LEV R&amp;D'!$D:$D,MATCH(MEDIÇÃO!D108,'LEV R&amp;D'!$A:$A,0))-INDEX('PROJETO PERFURAÇÃO'!$AH:$AH,MATCH(MEDIÇÃO!D108,'PROJETO PERFURAÇÃO'!$B:$B,0)),"")</f>
        <v/>
      </c>
      <c r="F108" s="17">
        <f>IFERROR(INDEX('PROJETO PERFURAÇÃO'!$AN:$AN,MATCH(MEDIÇÃO!D108,'PROJETO PERFURAÇÃO'!$B:$B,0)),"")</f>
        <v>0</v>
      </c>
      <c r="G108" s="3"/>
      <c r="H108" s="3"/>
      <c r="I108" s="3" t="str">
        <f>IFERROR(ROUND(INDEX('PROJETO PERFURAÇÃO'!$AB:$AB,MATCH(MEDIÇÃO!K108,'PROJETO PERFURAÇÃO'!$B:$B,0)),1)&amp;"''","")</f>
        <v>5''</v>
      </c>
      <c r="J108" s="3" t="str">
        <f>IFERROR(IF(INDEX('PROJETO PERFURAÇÃO'!$P:$P,MATCH(MEDIÇÃO!K108,'PROJETO PERFURAÇÃO'!$B:$B,0))="Production","P",IF(INDEX('PROJETO PERFURAÇÃO'!$P:$P,MATCH(MEDIÇÃO!K108,'PROJETO PERFURAÇÃO'!$B:$B,0))="Buffer","B",IF(INDEX('PROJETO PERFURAÇÃO'!$P:$P,MATCH(MEDIÇÃO!K108,'PROJETO PERFURAÇÃO'!$B:$B,0))="Pre-Splitting","S"))),"")</f>
        <v>P</v>
      </c>
      <c r="K108" s="14">
        <f t="shared" si="10"/>
        <v>241</v>
      </c>
      <c r="L108" s="4" t="str">
        <f>IFERROR(INDEX('LEV R&amp;D'!$D:$D,MATCH(MEDIÇÃO!K108,'LEV R&amp;D'!$A:$A,0))-INDEX('PROJETO PERFURAÇÃO'!$AH:$AH,MATCH(MEDIÇÃO!K108,'PROJETO PERFURAÇÃO'!$B:$B,0)),"")</f>
        <v/>
      </c>
      <c r="M108" s="17">
        <f>IFERROR(INDEX('PROJETO PERFURAÇÃO'!$AN:$AN,MATCH(MEDIÇÃO!K108,'PROJETO PERFURAÇÃO'!$B:$B,0)),"")</f>
        <v>0</v>
      </c>
      <c r="N108" s="3"/>
      <c r="O108" s="3"/>
      <c r="P108" s="3" t="str">
        <f>IFERROR(ROUND(INDEX('PROJETO PERFURAÇÃO'!$AB:$AB,MATCH(MEDIÇÃO!R108,'PROJETO PERFURAÇÃO'!$B:$B,0)),1)&amp;"''","")</f>
        <v>5''</v>
      </c>
      <c r="Q108" s="3" t="str">
        <f>IFERROR(IF(INDEX('PROJETO PERFURAÇÃO'!$P:$P,MATCH(MEDIÇÃO!R108,'PROJETO PERFURAÇÃO'!$B:$B,0))="Production","P",IF(INDEX('PROJETO PERFURAÇÃO'!$P:$P,MATCH(MEDIÇÃO!R108,'PROJETO PERFURAÇÃO'!$B:$B,0))="Buffer","B",IF(INDEX('PROJETO PERFURAÇÃO'!$P:$P,MATCH(MEDIÇÃO!R108,'PROJETO PERFURAÇÃO'!$B:$B,0))="Pre-Splitting","S"))),"")</f>
        <v>P</v>
      </c>
      <c r="R108" s="14">
        <f t="shared" si="11"/>
        <v>264</v>
      </c>
      <c r="S108" s="4" t="str">
        <f>IFERROR(INDEX('LEV R&amp;D'!$D:$D,MATCH(MEDIÇÃO!R108,'LEV R&amp;D'!$A:$A,0))-INDEX('PROJETO PERFURAÇÃO'!$AH:$AH,MATCH(MEDIÇÃO!R108,'PROJETO PERFURAÇÃO'!$B:$B,0)),"")</f>
        <v/>
      </c>
      <c r="T108" s="17">
        <f>IFERROR(INDEX('PROJETO PERFURAÇÃO'!$AN:$AN,MATCH(MEDIÇÃO!R108,'PROJETO PERFURAÇÃO'!$B:$B,0)),"")</f>
        <v>0</v>
      </c>
      <c r="U108" s="3"/>
      <c r="V108" s="3"/>
    </row>
    <row r="109" spans="1:23" ht="45" customHeight="1" x14ac:dyDescent="0.25">
      <c r="B109" s="3" t="str">
        <f>IFERROR(ROUND(INDEX('PROJETO PERFURAÇÃO'!$AB:$AB,MATCH(MEDIÇÃO!D109,'PROJETO PERFURAÇÃO'!$B:$B,0)),1)&amp;"''","")</f>
        <v>5''</v>
      </c>
      <c r="C109" s="3" t="str">
        <f>IFERROR(IF(INDEX('PROJETO PERFURAÇÃO'!$P:$P,MATCH(MEDIÇÃO!D109,'PROJETO PERFURAÇÃO'!$B:$B,0))="Production","P",IF(INDEX('PROJETO PERFURAÇÃO'!$P:$P,MATCH(MEDIÇÃO!D109,'PROJETO PERFURAÇÃO'!$B:$B,0))="Buffer","B",IF(INDEX('PROJETO PERFURAÇÃO'!$P:$P,MATCH(MEDIÇÃO!D109,'PROJETO PERFURAÇÃO'!$B:$B,0))="Pre-Splitting","S"))),"")</f>
        <v>P</v>
      </c>
      <c r="D109" s="14">
        <f t="shared" si="9"/>
        <v>219</v>
      </c>
      <c r="E109" s="4" t="str">
        <f>IFERROR(INDEX('LEV R&amp;D'!$D:$D,MATCH(MEDIÇÃO!D109,'LEV R&amp;D'!$A:$A,0))-INDEX('PROJETO PERFURAÇÃO'!$AH:$AH,MATCH(MEDIÇÃO!D109,'PROJETO PERFURAÇÃO'!$B:$B,0)),"")</f>
        <v/>
      </c>
      <c r="F109" s="17">
        <f>IFERROR(INDEX('PROJETO PERFURAÇÃO'!$AN:$AN,MATCH(MEDIÇÃO!D109,'PROJETO PERFURAÇÃO'!$B:$B,0)),"")</f>
        <v>0</v>
      </c>
      <c r="G109" s="3"/>
      <c r="H109" s="3"/>
      <c r="I109" s="3" t="str">
        <f>IFERROR(ROUND(INDEX('PROJETO PERFURAÇÃO'!$AB:$AB,MATCH(MEDIÇÃO!K109,'PROJETO PERFURAÇÃO'!$B:$B,0)),1)&amp;"''","")</f>
        <v>5''</v>
      </c>
      <c r="J109" s="3" t="str">
        <f>IFERROR(IF(INDEX('PROJETO PERFURAÇÃO'!$P:$P,MATCH(MEDIÇÃO!K109,'PROJETO PERFURAÇÃO'!$B:$B,0))="Production","P",IF(INDEX('PROJETO PERFURAÇÃO'!$P:$P,MATCH(MEDIÇÃO!K109,'PROJETO PERFURAÇÃO'!$B:$B,0))="Buffer","B",IF(INDEX('PROJETO PERFURAÇÃO'!$P:$P,MATCH(MEDIÇÃO!K109,'PROJETO PERFURAÇÃO'!$B:$B,0))="Pre-Splitting","S"))),"")</f>
        <v>P</v>
      </c>
      <c r="K109" s="14">
        <f t="shared" si="10"/>
        <v>242</v>
      </c>
      <c r="L109" s="4" t="str">
        <f>IFERROR(INDEX('LEV R&amp;D'!$D:$D,MATCH(MEDIÇÃO!K109,'LEV R&amp;D'!$A:$A,0))-INDEX('PROJETO PERFURAÇÃO'!$AH:$AH,MATCH(MEDIÇÃO!K109,'PROJETO PERFURAÇÃO'!$B:$B,0)),"")</f>
        <v/>
      </c>
      <c r="M109" s="17">
        <f>IFERROR(INDEX('PROJETO PERFURAÇÃO'!$AN:$AN,MATCH(MEDIÇÃO!K109,'PROJETO PERFURAÇÃO'!$B:$B,0)),"")</f>
        <v>0</v>
      </c>
      <c r="N109" s="3"/>
      <c r="O109" s="3"/>
      <c r="P109" s="3" t="str">
        <f>IFERROR(ROUND(INDEX('PROJETO PERFURAÇÃO'!$AB:$AB,MATCH(MEDIÇÃO!R109,'PROJETO PERFURAÇÃO'!$B:$B,0)),1)&amp;"''","")</f>
        <v>5''</v>
      </c>
      <c r="Q109" s="3" t="str">
        <f>IFERROR(IF(INDEX('PROJETO PERFURAÇÃO'!$P:$P,MATCH(MEDIÇÃO!R109,'PROJETO PERFURAÇÃO'!$B:$B,0))="Production","P",IF(INDEX('PROJETO PERFURAÇÃO'!$P:$P,MATCH(MEDIÇÃO!R109,'PROJETO PERFURAÇÃO'!$B:$B,0))="Buffer","B",IF(INDEX('PROJETO PERFURAÇÃO'!$P:$P,MATCH(MEDIÇÃO!R109,'PROJETO PERFURAÇÃO'!$B:$B,0))="Pre-Splitting","S"))),"")</f>
        <v>P</v>
      </c>
      <c r="R109" s="14">
        <f t="shared" si="11"/>
        <v>265</v>
      </c>
      <c r="S109" s="4" t="str">
        <f>IFERROR(INDEX('LEV R&amp;D'!$D:$D,MATCH(MEDIÇÃO!R109,'LEV R&amp;D'!$A:$A,0))-INDEX('PROJETO PERFURAÇÃO'!$AH:$AH,MATCH(MEDIÇÃO!R109,'PROJETO PERFURAÇÃO'!$B:$B,0)),"")</f>
        <v/>
      </c>
      <c r="T109" s="17">
        <f>IFERROR(INDEX('PROJETO PERFURAÇÃO'!$AN:$AN,MATCH(MEDIÇÃO!R109,'PROJETO PERFURAÇÃO'!$B:$B,0)),"")</f>
        <v>0</v>
      </c>
      <c r="U109" s="3"/>
      <c r="V109" s="3"/>
    </row>
    <row r="110" spans="1:23" ht="45" customHeight="1" x14ac:dyDescent="0.25">
      <c r="B110" s="3" t="str">
        <f>IFERROR(ROUND(INDEX('PROJETO PERFURAÇÃO'!$AB:$AB,MATCH(MEDIÇÃO!D110,'PROJETO PERFURAÇÃO'!$B:$B,0)),1)&amp;"''","")</f>
        <v>5''</v>
      </c>
      <c r="C110" s="3" t="str">
        <f>IFERROR(IF(INDEX('PROJETO PERFURAÇÃO'!$P:$P,MATCH(MEDIÇÃO!D110,'PROJETO PERFURAÇÃO'!$B:$B,0))="Production","P",IF(INDEX('PROJETO PERFURAÇÃO'!$P:$P,MATCH(MEDIÇÃO!D110,'PROJETO PERFURAÇÃO'!$B:$B,0))="Buffer","B",IF(INDEX('PROJETO PERFURAÇÃO'!$P:$P,MATCH(MEDIÇÃO!D110,'PROJETO PERFURAÇÃO'!$B:$B,0))="Pre-Splitting","S"))),"")</f>
        <v>P</v>
      </c>
      <c r="D110" s="14">
        <f t="shared" si="9"/>
        <v>220</v>
      </c>
      <c r="E110" s="4" t="str">
        <f>IFERROR(INDEX('LEV R&amp;D'!$D:$D,MATCH(MEDIÇÃO!D110,'LEV R&amp;D'!$A:$A,0))-INDEX('PROJETO PERFURAÇÃO'!$AH:$AH,MATCH(MEDIÇÃO!D110,'PROJETO PERFURAÇÃO'!$B:$B,0)),"")</f>
        <v/>
      </c>
      <c r="F110" s="17">
        <f>IFERROR(INDEX('PROJETO PERFURAÇÃO'!$AN:$AN,MATCH(MEDIÇÃO!D110,'PROJETO PERFURAÇÃO'!$B:$B,0)),"")</f>
        <v>0</v>
      </c>
      <c r="G110" s="3"/>
      <c r="H110" s="3"/>
      <c r="I110" s="3" t="str">
        <f>IFERROR(ROUND(INDEX('PROJETO PERFURAÇÃO'!$AB:$AB,MATCH(MEDIÇÃO!K110,'PROJETO PERFURAÇÃO'!$B:$B,0)),1)&amp;"''","")</f>
        <v>5''</v>
      </c>
      <c r="J110" s="3" t="str">
        <f>IFERROR(IF(INDEX('PROJETO PERFURAÇÃO'!$P:$P,MATCH(MEDIÇÃO!K110,'PROJETO PERFURAÇÃO'!$B:$B,0))="Production","P",IF(INDEX('PROJETO PERFURAÇÃO'!$P:$P,MATCH(MEDIÇÃO!K110,'PROJETO PERFURAÇÃO'!$B:$B,0))="Buffer","B",IF(INDEX('PROJETO PERFURAÇÃO'!$P:$P,MATCH(MEDIÇÃO!K110,'PROJETO PERFURAÇÃO'!$B:$B,0))="Pre-Splitting","S"))),"")</f>
        <v>P</v>
      </c>
      <c r="K110" s="14">
        <f t="shared" si="10"/>
        <v>243</v>
      </c>
      <c r="L110" s="4" t="str">
        <f>IFERROR(INDEX('LEV R&amp;D'!$D:$D,MATCH(MEDIÇÃO!K110,'LEV R&amp;D'!$A:$A,0))-INDEX('PROJETO PERFURAÇÃO'!$AH:$AH,MATCH(MEDIÇÃO!K110,'PROJETO PERFURAÇÃO'!$B:$B,0)),"")</f>
        <v/>
      </c>
      <c r="M110" s="17">
        <f>IFERROR(INDEX('PROJETO PERFURAÇÃO'!$AN:$AN,MATCH(MEDIÇÃO!K110,'PROJETO PERFURAÇÃO'!$B:$B,0)),"")</f>
        <v>0</v>
      </c>
      <c r="N110" s="3"/>
      <c r="O110" s="3"/>
      <c r="P110" s="3" t="str">
        <f>IFERROR(ROUND(INDEX('PROJETO PERFURAÇÃO'!$AB:$AB,MATCH(MEDIÇÃO!R110,'PROJETO PERFURAÇÃO'!$B:$B,0)),1)&amp;"''","")</f>
        <v>5''</v>
      </c>
      <c r="Q110" s="3" t="str">
        <f>IFERROR(IF(INDEX('PROJETO PERFURAÇÃO'!$P:$P,MATCH(MEDIÇÃO!R110,'PROJETO PERFURAÇÃO'!$B:$B,0))="Production","P",IF(INDEX('PROJETO PERFURAÇÃO'!$P:$P,MATCH(MEDIÇÃO!R110,'PROJETO PERFURAÇÃO'!$B:$B,0))="Buffer","B",IF(INDEX('PROJETO PERFURAÇÃO'!$P:$P,MATCH(MEDIÇÃO!R110,'PROJETO PERFURAÇÃO'!$B:$B,0))="Pre-Splitting","S"))),"")</f>
        <v>P</v>
      </c>
      <c r="R110" s="14">
        <f t="shared" si="11"/>
        <v>266</v>
      </c>
      <c r="S110" s="4" t="str">
        <f>IFERROR(INDEX('LEV R&amp;D'!$D:$D,MATCH(MEDIÇÃO!R110,'LEV R&amp;D'!$A:$A,0))-INDEX('PROJETO PERFURAÇÃO'!$AH:$AH,MATCH(MEDIÇÃO!R110,'PROJETO PERFURAÇÃO'!$B:$B,0)),"")</f>
        <v/>
      </c>
      <c r="T110" s="17">
        <f>IFERROR(INDEX('PROJETO PERFURAÇÃO'!$AN:$AN,MATCH(MEDIÇÃO!R110,'PROJETO PERFURAÇÃO'!$B:$B,0)),"")</f>
        <v>0</v>
      </c>
      <c r="U110" s="3"/>
      <c r="V110" s="3"/>
    </row>
    <row r="111" spans="1:23" ht="45" customHeight="1" x14ac:dyDescent="0.25">
      <c r="B111" s="3" t="str">
        <f>IFERROR(ROUND(INDEX('PROJETO PERFURAÇÃO'!$AB:$AB,MATCH(MEDIÇÃO!D111,'PROJETO PERFURAÇÃO'!$B:$B,0)),1)&amp;"''","")</f>
        <v>5''</v>
      </c>
      <c r="C111" s="3" t="str">
        <f>IFERROR(IF(INDEX('PROJETO PERFURAÇÃO'!$P:$P,MATCH(MEDIÇÃO!D111,'PROJETO PERFURAÇÃO'!$B:$B,0))="Production","P",IF(INDEX('PROJETO PERFURAÇÃO'!$P:$P,MATCH(MEDIÇÃO!D111,'PROJETO PERFURAÇÃO'!$B:$B,0))="Buffer","B",IF(INDEX('PROJETO PERFURAÇÃO'!$P:$P,MATCH(MEDIÇÃO!D111,'PROJETO PERFURAÇÃO'!$B:$B,0))="Pre-Splitting","S"))),"")</f>
        <v>P</v>
      </c>
      <c r="D111" s="14">
        <f t="shared" si="9"/>
        <v>221</v>
      </c>
      <c r="E111" s="4" t="str">
        <f>IFERROR(INDEX('LEV R&amp;D'!$D:$D,MATCH(MEDIÇÃO!D111,'LEV R&amp;D'!$A:$A,0))-INDEX('PROJETO PERFURAÇÃO'!$AH:$AH,MATCH(MEDIÇÃO!D111,'PROJETO PERFURAÇÃO'!$B:$B,0)),"")</f>
        <v/>
      </c>
      <c r="F111" s="17">
        <f>IFERROR(INDEX('PROJETO PERFURAÇÃO'!$AN:$AN,MATCH(MEDIÇÃO!D111,'PROJETO PERFURAÇÃO'!$B:$B,0)),"")</f>
        <v>0</v>
      </c>
      <c r="G111" s="3"/>
      <c r="H111" s="3"/>
      <c r="I111" s="3" t="str">
        <f>IFERROR(ROUND(INDEX('PROJETO PERFURAÇÃO'!$AB:$AB,MATCH(MEDIÇÃO!K111,'PROJETO PERFURAÇÃO'!$B:$B,0)),1)&amp;"''","")</f>
        <v>5''</v>
      </c>
      <c r="J111" s="3" t="str">
        <f>IFERROR(IF(INDEX('PROJETO PERFURAÇÃO'!$P:$P,MATCH(MEDIÇÃO!K111,'PROJETO PERFURAÇÃO'!$B:$B,0))="Production","P",IF(INDEX('PROJETO PERFURAÇÃO'!$P:$P,MATCH(MEDIÇÃO!K111,'PROJETO PERFURAÇÃO'!$B:$B,0))="Buffer","B",IF(INDEX('PROJETO PERFURAÇÃO'!$P:$P,MATCH(MEDIÇÃO!K111,'PROJETO PERFURAÇÃO'!$B:$B,0))="Pre-Splitting","S"))),"")</f>
        <v>P</v>
      </c>
      <c r="K111" s="14">
        <f t="shared" si="10"/>
        <v>244</v>
      </c>
      <c r="L111" s="4" t="str">
        <f>IFERROR(INDEX('LEV R&amp;D'!$D:$D,MATCH(MEDIÇÃO!K111,'LEV R&amp;D'!$A:$A,0))-INDEX('PROJETO PERFURAÇÃO'!$AH:$AH,MATCH(MEDIÇÃO!K111,'PROJETO PERFURAÇÃO'!$B:$B,0)),"")</f>
        <v/>
      </c>
      <c r="M111" s="17">
        <f>IFERROR(INDEX('PROJETO PERFURAÇÃO'!$AN:$AN,MATCH(MEDIÇÃO!K111,'PROJETO PERFURAÇÃO'!$B:$B,0)),"")</f>
        <v>0</v>
      </c>
      <c r="N111" s="3"/>
      <c r="O111" s="3"/>
      <c r="P111" s="3" t="str">
        <f>IFERROR(ROUND(INDEX('PROJETO PERFURAÇÃO'!$AB:$AB,MATCH(MEDIÇÃO!R111,'PROJETO PERFURAÇÃO'!$B:$B,0)),1)&amp;"''","")</f>
        <v>5''</v>
      </c>
      <c r="Q111" s="3" t="str">
        <f>IFERROR(IF(INDEX('PROJETO PERFURAÇÃO'!$P:$P,MATCH(MEDIÇÃO!R111,'PROJETO PERFURAÇÃO'!$B:$B,0))="Production","P",IF(INDEX('PROJETO PERFURAÇÃO'!$P:$P,MATCH(MEDIÇÃO!R111,'PROJETO PERFURAÇÃO'!$B:$B,0))="Buffer","B",IF(INDEX('PROJETO PERFURAÇÃO'!$P:$P,MATCH(MEDIÇÃO!R111,'PROJETO PERFURAÇÃO'!$B:$B,0))="Pre-Splitting","S"))),"")</f>
        <v>P</v>
      </c>
      <c r="R111" s="14">
        <f t="shared" si="11"/>
        <v>267</v>
      </c>
      <c r="S111" s="4" t="str">
        <f>IFERROR(INDEX('LEV R&amp;D'!$D:$D,MATCH(MEDIÇÃO!R111,'LEV R&amp;D'!$A:$A,0))-INDEX('PROJETO PERFURAÇÃO'!$AH:$AH,MATCH(MEDIÇÃO!R111,'PROJETO PERFURAÇÃO'!$B:$B,0)),"")</f>
        <v/>
      </c>
      <c r="T111" s="17">
        <f>IFERROR(INDEX('PROJETO PERFURAÇÃO'!$AN:$AN,MATCH(MEDIÇÃO!R111,'PROJETO PERFURAÇÃO'!$B:$B,0)),"")</f>
        <v>0</v>
      </c>
      <c r="U111" s="3"/>
      <c r="V111" s="3"/>
    </row>
    <row r="112" spans="1:23" ht="45" customHeight="1" x14ac:dyDescent="0.25">
      <c r="B112" s="3" t="str">
        <f>IFERROR(ROUND(INDEX('PROJETO PERFURAÇÃO'!$AB:$AB,MATCH(MEDIÇÃO!D112,'PROJETO PERFURAÇÃO'!$B:$B,0)),1)&amp;"''","")</f>
        <v>5''</v>
      </c>
      <c r="C112" s="3" t="str">
        <f>IFERROR(IF(INDEX('PROJETO PERFURAÇÃO'!$P:$P,MATCH(MEDIÇÃO!D112,'PROJETO PERFURAÇÃO'!$B:$B,0))="Production","P",IF(INDEX('PROJETO PERFURAÇÃO'!$P:$P,MATCH(MEDIÇÃO!D112,'PROJETO PERFURAÇÃO'!$B:$B,0))="Buffer","B",IF(INDEX('PROJETO PERFURAÇÃO'!$P:$P,MATCH(MEDIÇÃO!D112,'PROJETO PERFURAÇÃO'!$B:$B,0))="Pre-Splitting","S"))),"")</f>
        <v>P</v>
      </c>
      <c r="D112" s="14">
        <f t="shared" si="9"/>
        <v>222</v>
      </c>
      <c r="E112" s="4" t="str">
        <f>IFERROR(INDEX('LEV R&amp;D'!$D:$D,MATCH(MEDIÇÃO!D112,'LEV R&amp;D'!$A:$A,0))-INDEX('PROJETO PERFURAÇÃO'!$AH:$AH,MATCH(MEDIÇÃO!D112,'PROJETO PERFURAÇÃO'!$B:$B,0)),"")</f>
        <v/>
      </c>
      <c r="F112" s="17">
        <f>IFERROR(INDEX('PROJETO PERFURAÇÃO'!$AN:$AN,MATCH(MEDIÇÃO!D112,'PROJETO PERFURAÇÃO'!$B:$B,0)),"")</f>
        <v>0</v>
      </c>
      <c r="G112" s="3"/>
      <c r="H112" s="3"/>
      <c r="I112" s="3" t="str">
        <f>IFERROR(ROUND(INDEX('PROJETO PERFURAÇÃO'!$AB:$AB,MATCH(MEDIÇÃO!K112,'PROJETO PERFURAÇÃO'!$B:$B,0)),1)&amp;"''","")</f>
        <v>5''</v>
      </c>
      <c r="J112" s="3" t="str">
        <f>IFERROR(IF(INDEX('PROJETO PERFURAÇÃO'!$P:$P,MATCH(MEDIÇÃO!K112,'PROJETO PERFURAÇÃO'!$B:$B,0))="Production","P",IF(INDEX('PROJETO PERFURAÇÃO'!$P:$P,MATCH(MEDIÇÃO!K112,'PROJETO PERFURAÇÃO'!$B:$B,0))="Buffer","B",IF(INDEX('PROJETO PERFURAÇÃO'!$P:$P,MATCH(MEDIÇÃO!K112,'PROJETO PERFURAÇÃO'!$B:$B,0))="Pre-Splitting","S"))),"")</f>
        <v>P</v>
      </c>
      <c r="K112" s="14">
        <f t="shared" si="10"/>
        <v>245</v>
      </c>
      <c r="L112" s="4" t="str">
        <f>IFERROR(INDEX('LEV R&amp;D'!$D:$D,MATCH(MEDIÇÃO!K112,'LEV R&amp;D'!$A:$A,0))-INDEX('PROJETO PERFURAÇÃO'!$AH:$AH,MATCH(MEDIÇÃO!K112,'PROJETO PERFURAÇÃO'!$B:$B,0)),"")</f>
        <v/>
      </c>
      <c r="M112" s="17">
        <f>IFERROR(INDEX('PROJETO PERFURAÇÃO'!$AN:$AN,MATCH(MEDIÇÃO!K112,'PROJETO PERFURAÇÃO'!$B:$B,0)),"")</f>
        <v>0</v>
      </c>
      <c r="N112" s="3"/>
      <c r="O112" s="3"/>
      <c r="P112" s="3" t="str">
        <f>IFERROR(ROUND(INDEX('PROJETO PERFURAÇÃO'!$AB:$AB,MATCH(MEDIÇÃO!R112,'PROJETO PERFURAÇÃO'!$B:$B,0)),1)&amp;"''","")</f>
        <v>5''</v>
      </c>
      <c r="Q112" s="3" t="str">
        <f>IFERROR(IF(INDEX('PROJETO PERFURAÇÃO'!$P:$P,MATCH(MEDIÇÃO!R112,'PROJETO PERFURAÇÃO'!$B:$B,0))="Production","P",IF(INDEX('PROJETO PERFURAÇÃO'!$P:$P,MATCH(MEDIÇÃO!R112,'PROJETO PERFURAÇÃO'!$B:$B,0))="Buffer","B",IF(INDEX('PROJETO PERFURAÇÃO'!$P:$P,MATCH(MEDIÇÃO!R112,'PROJETO PERFURAÇÃO'!$B:$B,0))="Pre-Splitting","S"))),"")</f>
        <v>P</v>
      </c>
      <c r="R112" s="14">
        <f t="shared" si="11"/>
        <v>268</v>
      </c>
      <c r="S112" s="4" t="str">
        <f>IFERROR(INDEX('LEV R&amp;D'!$D:$D,MATCH(MEDIÇÃO!R112,'LEV R&amp;D'!$A:$A,0))-INDEX('PROJETO PERFURAÇÃO'!$AH:$AH,MATCH(MEDIÇÃO!R112,'PROJETO PERFURAÇÃO'!$B:$B,0)),"")</f>
        <v/>
      </c>
      <c r="T112" s="17">
        <f>IFERROR(INDEX('PROJETO PERFURAÇÃO'!$AN:$AN,MATCH(MEDIÇÃO!R112,'PROJETO PERFURAÇÃO'!$B:$B,0)),"")</f>
        <v>0</v>
      </c>
      <c r="U112" s="3"/>
      <c r="V112" s="3"/>
    </row>
    <row r="113" spans="1:23" ht="45" customHeight="1" x14ac:dyDescent="0.25">
      <c r="B113" s="3" t="str">
        <f>IFERROR(ROUND(INDEX('PROJETO PERFURAÇÃO'!$AB:$AB,MATCH(MEDIÇÃO!D113,'PROJETO PERFURAÇÃO'!$B:$B,0)),1)&amp;"''","")</f>
        <v>5''</v>
      </c>
      <c r="C113" s="3" t="str">
        <f>IFERROR(IF(INDEX('PROJETO PERFURAÇÃO'!$P:$P,MATCH(MEDIÇÃO!D113,'PROJETO PERFURAÇÃO'!$B:$B,0))="Production","P",IF(INDEX('PROJETO PERFURAÇÃO'!$P:$P,MATCH(MEDIÇÃO!D113,'PROJETO PERFURAÇÃO'!$B:$B,0))="Buffer","B",IF(INDEX('PROJETO PERFURAÇÃO'!$P:$P,MATCH(MEDIÇÃO!D113,'PROJETO PERFURAÇÃO'!$B:$B,0))="Pre-Splitting","S"))),"")</f>
        <v>P</v>
      </c>
      <c r="D113" s="14">
        <f t="shared" si="9"/>
        <v>223</v>
      </c>
      <c r="E113" s="4" t="str">
        <f>IFERROR(INDEX('LEV R&amp;D'!$D:$D,MATCH(MEDIÇÃO!D113,'LEV R&amp;D'!$A:$A,0))-INDEX('PROJETO PERFURAÇÃO'!$AH:$AH,MATCH(MEDIÇÃO!D113,'PROJETO PERFURAÇÃO'!$B:$B,0)),"")</f>
        <v/>
      </c>
      <c r="F113" s="17">
        <f>IFERROR(INDEX('PROJETO PERFURAÇÃO'!$AN:$AN,MATCH(MEDIÇÃO!D113,'PROJETO PERFURAÇÃO'!$B:$B,0)),"")</f>
        <v>0</v>
      </c>
      <c r="G113" s="3"/>
      <c r="H113" s="3"/>
      <c r="I113" s="3" t="str">
        <f>IFERROR(ROUND(INDEX('PROJETO PERFURAÇÃO'!$AB:$AB,MATCH(MEDIÇÃO!K113,'PROJETO PERFURAÇÃO'!$B:$B,0)),1)&amp;"''","")</f>
        <v>5''</v>
      </c>
      <c r="J113" s="3" t="str">
        <f>IFERROR(IF(INDEX('PROJETO PERFURAÇÃO'!$P:$P,MATCH(MEDIÇÃO!K113,'PROJETO PERFURAÇÃO'!$B:$B,0))="Production","P",IF(INDEX('PROJETO PERFURAÇÃO'!$P:$P,MATCH(MEDIÇÃO!K113,'PROJETO PERFURAÇÃO'!$B:$B,0))="Buffer","B",IF(INDEX('PROJETO PERFURAÇÃO'!$P:$P,MATCH(MEDIÇÃO!K113,'PROJETO PERFURAÇÃO'!$B:$B,0))="Pre-Splitting","S"))),"")</f>
        <v>P</v>
      </c>
      <c r="K113" s="14">
        <f t="shared" si="10"/>
        <v>246</v>
      </c>
      <c r="L113" s="4" t="str">
        <f>IFERROR(INDEX('LEV R&amp;D'!$D:$D,MATCH(MEDIÇÃO!K113,'LEV R&amp;D'!$A:$A,0))-INDEX('PROJETO PERFURAÇÃO'!$AH:$AH,MATCH(MEDIÇÃO!K113,'PROJETO PERFURAÇÃO'!$B:$B,0)),"")</f>
        <v/>
      </c>
      <c r="M113" s="17">
        <f>IFERROR(INDEX('PROJETO PERFURAÇÃO'!$AN:$AN,MATCH(MEDIÇÃO!K113,'PROJETO PERFURAÇÃO'!$B:$B,0)),"")</f>
        <v>0</v>
      </c>
      <c r="N113" s="3"/>
      <c r="O113" s="3"/>
      <c r="P113" s="3" t="str">
        <f>IFERROR(ROUND(INDEX('PROJETO PERFURAÇÃO'!$AB:$AB,MATCH(MEDIÇÃO!R113,'PROJETO PERFURAÇÃO'!$B:$B,0)),1)&amp;"''","")</f>
        <v>5''</v>
      </c>
      <c r="Q113" s="3" t="str">
        <f>IFERROR(IF(INDEX('PROJETO PERFURAÇÃO'!$P:$P,MATCH(MEDIÇÃO!R113,'PROJETO PERFURAÇÃO'!$B:$B,0))="Production","P",IF(INDEX('PROJETO PERFURAÇÃO'!$P:$P,MATCH(MEDIÇÃO!R113,'PROJETO PERFURAÇÃO'!$B:$B,0))="Buffer","B",IF(INDEX('PROJETO PERFURAÇÃO'!$P:$P,MATCH(MEDIÇÃO!R113,'PROJETO PERFURAÇÃO'!$B:$B,0))="Pre-Splitting","S"))),"")</f>
        <v>P</v>
      </c>
      <c r="R113" s="14">
        <f t="shared" si="11"/>
        <v>269</v>
      </c>
      <c r="S113" s="4" t="str">
        <f>IFERROR(INDEX('LEV R&amp;D'!$D:$D,MATCH(MEDIÇÃO!R113,'LEV R&amp;D'!$A:$A,0))-INDEX('PROJETO PERFURAÇÃO'!$AH:$AH,MATCH(MEDIÇÃO!R113,'PROJETO PERFURAÇÃO'!$B:$B,0)),"")</f>
        <v/>
      </c>
      <c r="T113" s="17">
        <f>IFERROR(INDEX('PROJETO PERFURAÇÃO'!$AN:$AN,MATCH(MEDIÇÃO!R113,'PROJETO PERFURAÇÃO'!$B:$B,0)),"")</f>
        <v>0</v>
      </c>
      <c r="U113" s="3"/>
      <c r="V113" s="3"/>
    </row>
    <row r="114" spans="1:23" ht="45" customHeight="1" x14ac:dyDescent="0.25">
      <c r="B114" s="3" t="str">
        <f>IFERROR(ROUND(INDEX('PROJETO PERFURAÇÃO'!$AB:$AB,MATCH(MEDIÇÃO!D114,'PROJETO PERFURAÇÃO'!$B:$B,0)),1)&amp;"''","")</f>
        <v>5''</v>
      </c>
      <c r="C114" s="3" t="str">
        <f>IFERROR(IF(INDEX('PROJETO PERFURAÇÃO'!$P:$P,MATCH(MEDIÇÃO!D114,'PROJETO PERFURAÇÃO'!$B:$B,0))="Production","P",IF(INDEX('PROJETO PERFURAÇÃO'!$P:$P,MATCH(MEDIÇÃO!D114,'PROJETO PERFURAÇÃO'!$B:$B,0))="Buffer","B",IF(INDEX('PROJETO PERFURAÇÃO'!$P:$P,MATCH(MEDIÇÃO!D114,'PROJETO PERFURAÇÃO'!$B:$B,0))="Pre-Splitting","S"))),"")</f>
        <v>P</v>
      </c>
      <c r="D114" s="14">
        <f t="shared" si="9"/>
        <v>224</v>
      </c>
      <c r="E114" s="4" t="str">
        <f>IFERROR(INDEX('LEV R&amp;D'!$D:$D,MATCH(MEDIÇÃO!D114,'LEV R&amp;D'!$A:$A,0))-INDEX('PROJETO PERFURAÇÃO'!$AH:$AH,MATCH(MEDIÇÃO!D114,'PROJETO PERFURAÇÃO'!$B:$B,0)),"")</f>
        <v/>
      </c>
      <c r="F114" s="17">
        <f>IFERROR(INDEX('PROJETO PERFURAÇÃO'!$AN:$AN,MATCH(MEDIÇÃO!D114,'PROJETO PERFURAÇÃO'!$B:$B,0)),"")</f>
        <v>0</v>
      </c>
      <c r="G114" s="3"/>
      <c r="H114" s="3"/>
      <c r="I114" s="3" t="str">
        <f>IFERROR(ROUND(INDEX('PROJETO PERFURAÇÃO'!$AB:$AB,MATCH(MEDIÇÃO!K114,'PROJETO PERFURAÇÃO'!$B:$B,0)),1)&amp;"''","")</f>
        <v>5''</v>
      </c>
      <c r="J114" s="3" t="str">
        <f>IFERROR(IF(INDEX('PROJETO PERFURAÇÃO'!$P:$P,MATCH(MEDIÇÃO!K114,'PROJETO PERFURAÇÃO'!$B:$B,0))="Production","P",IF(INDEX('PROJETO PERFURAÇÃO'!$P:$P,MATCH(MEDIÇÃO!K114,'PROJETO PERFURAÇÃO'!$B:$B,0))="Buffer","B",IF(INDEX('PROJETO PERFURAÇÃO'!$P:$P,MATCH(MEDIÇÃO!K114,'PROJETO PERFURAÇÃO'!$B:$B,0))="Pre-Splitting","S"))),"")</f>
        <v>P</v>
      </c>
      <c r="K114" s="14">
        <f t="shared" si="10"/>
        <v>247</v>
      </c>
      <c r="L114" s="4" t="str">
        <f>IFERROR(INDEX('LEV R&amp;D'!$D:$D,MATCH(MEDIÇÃO!K114,'LEV R&amp;D'!$A:$A,0))-INDEX('PROJETO PERFURAÇÃO'!$AH:$AH,MATCH(MEDIÇÃO!K114,'PROJETO PERFURAÇÃO'!$B:$B,0)),"")</f>
        <v/>
      </c>
      <c r="M114" s="17">
        <f>IFERROR(INDEX('PROJETO PERFURAÇÃO'!$AN:$AN,MATCH(MEDIÇÃO!K114,'PROJETO PERFURAÇÃO'!$B:$B,0)),"")</f>
        <v>0</v>
      </c>
      <c r="N114" s="3"/>
      <c r="O114" s="3"/>
      <c r="P114" s="3" t="str">
        <f>IFERROR(ROUND(INDEX('PROJETO PERFURAÇÃO'!$AB:$AB,MATCH(MEDIÇÃO!R114,'PROJETO PERFURAÇÃO'!$B:$B,0)),1)&amp;"''","")</f>
        <v>5''</v>
      </c>
      <c r="Q114" s="3" t="str">
        <f>IFERROR(IF(INDEX('PROJETO PERFURAÇÃO'!$P:$P,MATCH(MEDIÇÃO!R114,'PROJETO PERFURAÇÃO'!$B:$B,0))="Production","P",IF(INDEX('PROJETO PERFURAÇÃO'!$P:$P,MATCH(MEDIÇÃO!R114,'PROJETO PERFURAÇÃO'!$B:$B,0))="Buffer","B",IF(INDEX('PROJETO PERFURAÇÃO'!$P:$P,MATCH(MEDIÇÃO!R114,'PROJETO PERFURAÇÃO'!$B:$B,0))="Pre-Splitting","S"))),"")</f>
        <v>P</v>
      </c>
      <c r="R114" s="14">
        <f t="shared" si="11"/>
        <v>270</v>
      </c>
      <c r="S114" s="4" t="str">
        <f>IFERROR(INDEX('LEV R&amp;D'!$D:$D,MATCH(MEDIÇÃO!R114,'LEV R&amp;D'!$A:$A,0))-INDEX('PROJETO PERFURAÇÃO'!$AH:$AH,MATCH(MEDIÇÃO!R114,'PROJETO PERFURAÇÃO'!$B:$B,0)),"")</f>
        <v/>
      </c>
      <c r="T114" s="17">
        <f>IFERROR(INDEX('PROJETO PERFURAÇÃO'!$AN:$AN,MATCH(MEDIÇÃO!R114,'PROJETO PERFURAÇÃO'!$B:$B,0)),"")</f>
        <v>0</v>
      </c>
      <c r="U114" s="3"/>
      <c r="V114" s="3"/>
    </row>
    <row r="115" spans="1:23" ht="45" customHeight="1" x14ac:dyDescent="0.25">
      <c r="B115" s="3" t="str">
        <f>IFERROR(ROUND(INDEX('PROJETO PERFURAÇÃO'!$AB:$AB,MATCH(MEDIÇÃO!D115,'PROJETO PERFURAÇÃO'!$B:$B,0)),1)&amp;"''","")</f>
        <v>5''</v>
      </c>
      <c r="C115" s="3" t="str">
        <f>IFERROR(IF(INDEX('PROJETO PERFURAÇÃO'!$P:$P,MATCH(MEDIÇÃO!D115,'PROJETO PERFURAÇÃO'!$B:$B,0))="Production","P",IF(INDEX('PROJETO PERFURAÇÃO'!$P:$P,MATCH(MEDIÇÃO!D115,'PROJETO PERFURAÇÃO'!$B:$B,0))="Buffer","B",IF(INDEX('PROJETO PERFURAÇÃO'!$P:$P,MATCH(MEDIÇÃO!D115,'PROJETO PERFURAÇÃO'!$B:$B,0))="Pre-Splitting","S"))),"")</f>
        <v>P</v>
      </c>
      <c r="D115" s="14">
        <f t="shared" si="9"/>
        <v>225</v>
      </c>
      <c r="E115" s="4" t="str">
        <f>IFERROR(INDEX('LEV R&amp;D'!$D:$D,MATCH(MEDIÇÃO!D115,'LEV R&amp;D'!$A:$A,0))-INDEX('PROJETO PERFURAÇÃO'!$AH:$AH,MATCH(MEDIÇÃO!D115,'PROJETO PERFURAÇÃO'!$B:$B,0)),"")</f>
        <v/>
      </c>
      <c r="F115" s="17">
        <f>IFERROR(INDEX('PROJETO PERFURAÇÃO'!$AN:$AN,MATCH(MEDIÇÃO!D115,'PROJETO PERFURAÇÃO'!$B:$B,0)),"")</f>
        <v>0</v>
      </c>
      <c r="G115" s="3"/>
      <c r="H115" s="3"/>
      <c r="I115" s="3" t="str">
        <f>IFERROR(ROUND(INDEX('PROJETO PERFURAÇÃO'!$AB:$AB,MATCH(MEDIÇÃO!K115,'PROJETO PERFURAÇÃO'!$B:$B,0)),1)&amp;"''","")</f>
        <v>5''</v>
      </c>
      <c r="J115" s="3" t="str">
        <f>IFERROR(IF(INDEX('PROJETO PERFURAÇÃO'!$P:$P,MATCH(MEDIÇÃO!K115,'PROJETO PERFURAÇÃO'!$B:$B,0))="Production","P",IF(INDEX('PROJETO PERFURAÇÃO'!$P:$P,MATCH(MEDIÇÃO!K115,'PROJETO PERFURAÇÃO'!$B:$B,0))="Buffer","B",IF(INDEX('PROJETO PERFURAÇÃO'!$P:$P,MATCH(MEDIÇÃO!K115,'PROJETO PERFURAÇÃO'!$B:$B,0))="Pre-Splitting","S"))),"")</f>
        <v>P</v>
      </c>
      <c r="K115" s="14">
        <f t="shared" si="10"/>
        <v>248</v>
      </c>
      <c r="L115" s="4" t="str">
        <f>IFERROR(INDEX('LEV R&amp;D'!$D:$D,MATCH(MEDIÇÃO!K115,'LEV R&amp;D'!$A:$A,0))-INDEX('PROJETO PERFURAÇÃO'!$AH:$AH,MATCH(MEDIÇÃO!K115,'PROJETO PERFURAÇÃO'!$B:$B,0)),"")</f>
        <v/>
      </c>
      <c r="M115" s="17">
        <f>IFERROR(INDEX('PROJETO PERFURAÇÃO'!$AN:$AN,MATCH(MEDIÇÃO!K115,'PROJETO PERFURAÇÃO'!$B:$B,0)),"")</f>
        <v>0</v>
      </c>
      <c r="N115" s="3"/>
      <c r="O115" s="3"/>
      <c r="P115" s="3" t="str">
        <f>IFERROR(ROUND(INDEX('PROJETO PERFURAÇÃO'!$AB:$AB,MATCH(MEDIÇÃO!R115,'PROJETO PERFURAÇÃO'!$B:$B,0)),1)&amp;"''","")</f>
        <v>5''</v>
      </c>
      <c r="Q115" s="3" t="str">
        <f>IFERROR(IF(INDEX('PROJETO PERFURAÇÃO'!$P:$P,MATCH(MEDIÇÃO!R115,'PROJETO PERFURAÇÃO'!$B:$B,0))="Production","P",IF(INDEX('PROJETO PERFURAÇÃO'!$P:$P,MATCH(MEDIÇÃO!R115,'PROJETO PERFURAÇÃO'!$B:$B,0))="Buffer","B",IF(INDEX('PROJETO PERFURAÇÃO'!$P:$P,MATCH(MEDIÇÃO!R115,'PROJETO PERFURAÇÃO'!$B:$B,0))="Pre-Splitting","S"))),"")</f>
        <v>P</v>
      </c>
      <c r="R115" s="14">
        <f t="shared" si="11"/>
        <v>271</v>
      </c>
      <c r="S115" s="4" t="str">
        <f>IFERROR(INDEX('LEV R&amp;D'!$D:$D,MATCH(MEDIÇÃO!R115,'LEV R&amp;D'!$A:$A,0))-INDEX('PROJETO PERFURAÇÃO'!$AH:$AH,MATCH(MEDIÇÃO!R115,'PROJETO PERFURAÇÃO'!$B:$B,0)),"")</f>
        <v/>
      </c>
      <c r="T115" s="17">
        <f>IFERROR(INDEX('PROJETO PERFURAÇÃO'!$AN:$AN,MATCH(MEDIÇÃO!R115,'PROJETO PERFURAÇÃO'!$B:$B,0)),"")</f>
        <v>0</v>
      </c>
      <c r="U115" s="3"/>
      <c r="V115" s="3"/>
    </row>
    <row r="116" spans="1:23" ht="45" customHeight="1" x14ac:dyDescent="0.25">
      <c r="B116" s="3" t="str">
        <f>IFERROR(ROUND(INDEX('PROJETO PERFURAÇÃO'!$AB:$AB,MATCH(MEDIÇÃO!D116,'PROJETO PERFURAÇÃO'!$B:$B,0)),1)&amp;"''","")</f>
        <v>5''</v>
      </c>
      <c r="C116" s="3" t="str">
        <f>IFERROR(IF(INDEX('PROJETO PERFURAÇÃO'!$P:$P,MATCH(MEDIÇÃO!D116,'PROJETO PERFURAÇÃO'!$B:$B,0))="Production","P",IF(INDEX('PROJETO PERFURAÇÃO'!$P:$P,MATCH(MEDIÇÃO!D116,'PROJETO PERFURAÇÃO'!$B:$B,0))="Buffer","B",IF(INDEX('PROJETO PERFURAÇÃO'!$P:$P,MATCH(MEDIÇÃO!D116,'PROJETO PERFURAÇÃO'!$B:$B,0))="Pre-Splitting","S"))),"")</f>
        <v>P</v>
      </c>
      <c r="D116" s="14">
        <f t="shared" si="9"/>
        <v>226</v>
      </c>
      <c r="E116" s="4" t="str">
        <f>IFERROR(INDEX('LEV R&amp;D'!$D:$D,MATCH(MEDIÇÃO!D116,'LEV R&amp;D'!$A:$A,0))-INDEX('PROJETO PERFURAÇÃO'!$AH:$AH,MATCH(MEDIÇÃO!D116,'PROJETO PERFURAÇÃO'!$B:$B,0)),"")</f>
        <v/>
      </c>
      <c r="F116" s="17">
        <f>IFERROR(INDEX('PROJETO PERFURAÇÃO'!$AN:$AN,MATCH(MEDIÇÃO!D116,'PROJETO PERFURAÇÃO'!$B:$B,0)),"")</f>
        <v>0</v>
      </c>
      <c r="G116" s="3"/>
      <c r="H116" s="3"/>
      <c r="I116" s="3" t="str">
        <f>IFERROR(ROUND(INDEX('PROJETO PERFURAÇÃO'!$AB:$AB,MATCH(MEDIÇÃO!K116,'PROJETO PERFURAÇÃO'!$B:$B,0)),1)&amp;"''","")</f>
        <v>5''</v>
      </c>
      <c r="J116" s="3" t="str">
        <f>IFERROR(IF(INDEX('PROJETO PERFURAÇÃO'!$P:$P,MATCH(MEDIÇÃO!K116,'PROJETO PERFURAÇÃO'!$B:$B,0))="Production","P",IF(INDEX('PROJETO PERFURAÇÃO'!$P:$P,MATCH(MEDIÇÃO!K116,'PROJETO PERFURAÇÃO'!$B:$B,0))="Buffer","B",IF(INDEX('PROJETO PERFURAÇÃO'!$P:$P,MATCH(MEDIÇÃO!K116,'PROJETO PERFURAÇÃO'!$B:$B,0))="Pre-Splitting","S"))),"")</f>
        <v>P</v>
      </c>
      <c r="K116" s="14">
        <f t="shared" si="10"/>
        <v>249</v>
      </c>
      <c r="L116" s="4" t="str">
        <f>IFERROR(INDEX('LEV R&amp;D'!$D:$D,MATCH(MEDIÇÃO!K116,'LEV R&amp;D'!$A:$A,0))-INDEX('PROJETO PERFURAÇÃO'!$AH:$AH,MATCH(MEDIÇÃO!K116,'PROJETO PERFURAÇÃO'!$B:$B,0)),"")</f>
        <v/>
      </c>
      <c r="M116" s="17">
        <f>IFERROR(INDEX('PROJETO PERFURAÇÃO'!$AN:$AN,MATCH(MEDIÇÃO!K116,'PROJETO PERFURAÇÃO'!$B:$B,0)),"")</f>
        <v>0</v>
      </c>
      <c r="N116" s="3"/>
      <c r="O116" s="3"/>
      <c r="P116" s="3" t="str">
        <f>IFERROR(ROUND(INDEX('PROJETO PERFURAÇÃO'!$AB:$AB,MATCH(MEDIÇÃO!R116,'PROJETO PERFURAÇÃO'!$B:$B,0)),1)&amp;"''","")</f>
        <v>5''</v>
      </c>
      <c r="Q116" s="3" t="str">
        <f>IFERROR(IF(INDEX('PROJETO PERFURAÇÃO'!$P:$P,MATCH(MEDIÇÃO!R116,'PROJETO PERFURAÇÃO'!$B:$B,0))="Production","P",IF(INDEX('PROJETO PERFURAÇÃO'!$P:$P,MATCH(MEDIÇÃO!R116,'PROJETO PERFURAÇÃO'!$B:$B,0))="Buffer","B",IF(INDEX('PROJETO PERFURAÇÃO'!$P:$P,MATCH(MEDIÇÃO!R116,'PROJETO PERFURAÇÃO'!$B:$B,0))="Pre-Splitting","S"))),"")</f>
        <v>P</v>
      </c>
      <c r="R116" s="14">
        <f t="shared" si="11"/>
        <v>272</v>
      </c>
      <c r="S116" s="4" t="str">
        <f>IFERROR(INDEX('LEV R&amp;D'!$D:$D,MATCH(MEDIÇÃO!R116,'LEV R&amp;D'!$A:$A,0))-INDEX('PROJETO PERFURAÇÃO'!$AH:$AH,MATCH(MEDIÇÃO!R116,'PROJETO PERFURAÇÃO'!$B:$B,0)),"")</f>
        <v/>
      </c>
      <c r="T116" s="17">
        <f>IFERROR(INDEX('PROJETO PERFURAÇÃO'!$AN:$AN,MATCH(MEDIÇÃO!R116,'PROJETO PERFURAÇÃO'!$B:$B,0)),"")</f>
        <v>0</v>
      </c>
      <c r="U116" s="3"/>
      <c r="V116" s="3"/>
    </row>
    <row r="117" spans="1:23" ht="45" customHeight="1" x14ac:dyDescent="0.25">
      <c r="B117" s="3" t="str">
        <f>IFERROR(ROUND(INDEX('PROJETO PERFURAÇÃO'!$AB:$AB,MATCH(MEDIÇÃO!D117,'PROJETO PERFURAÇÃO'!$B:$B,0)),1)&amp;"''","")</f>
        <v>5''</v>
      </c>
      <c r="C117" s="3" t="str">
        <f>IFERROR(IF(INDEX('PROJETO PERFURAÇÃO'!$P:$P,MATCH(MEDIÇÃO!D117,'PROJETO PERFURAÇÃO'!$B:$B,0))="Production","P",IF(INDEX('PROJETO PERFURAÇÃO'!$P:$P,MATCH(MEDIÇÃO!D117,'PROJETO PERFURAÇÃO'!$B:$B,0))="Buffer","B",IF(INDEX('PROJETO PERFURAÇÃO'!$P:$P,MATCH(MEDIÇÃO!D117,'PROJETO PERFURAÇÃO'!$B:$B,0))="Pre-Splitting","S"))),"")</f>
        <v>P</v>
      </c>
      <c r="D117" s="14">
        <f t="shared" si="9"/>
        <v>227</v>
      </c>
      <c r="E117" s="4" t="str">
        <f>IFERROR(INDEX('LEV R&amp;D'!$D:$D,MATCH(MEDIÇÃO!D117,'LEV R&amp;D'!$A:$A,0))-INDEX('PROJETO PERFURAÇÃO'!$AH:$AH,MATCH(MEDIÇÃO!D117,'PROJETO PERFURAÇÃO'!$B:$B,0)),"")</f>
        <v/>
      </c>
      <c r="F117" s="17">
        <f>IFERROR(INDEX('PROJETO PERFURAÇÃO'!$AN:$AN,MATCH(MEDIÇÃO!D117,'PROJETO PERFURAÇÃO'!$B:$B,0)),"")</f>
        <v>0</v>
      </c>
      <c r="G117" s="3"/>
      <c r="H117" s="3"/>
      <c r="I117" s="3" t="str">
        <f>IFERROR(ROUND(INDEX('PROJETO PERFURAÇÃO'!$AB:$AB,MATCH(MEDIÇÃO!K117,'PROJETO PERFURAÇÃO'!$B:$B,0)),1)&amp;"''","")</f>
        <v>5''</v>
      </c>
      <c r="J117" s="3" t="str">
        <f>IFERROR(IF(INDEX('PROJETO PERFURAÇÃO'!$P:$P,MATCH(MEDIÇÃO!K117,'PROJETO PERFURAÇÃO'!$B:$B,0))="Production","P",IF(INDEX('PROJETO PERFURAÇÃO'!$P:$P,MATCH(MEDIÇÃO!K117,'PROJETO PERFURAÇÃO'!$B:$B,0))="Buffer","B",IF(INDEX('PROJETO PERFURAÇÃO'!$P:$P,MATCH(MEDIÇÃO!K117,'PROJETO PERFURAÇÃO'!$B:$B,0))="Pre-Splitting","S"))),"")</f>
        <v>P</v>
      </c>
      <c r="K117" s="14">
        <f t="shared" si="10"/>
        <v>250</v>
      </c>
      <c r="L117" s="4" t="str">
        <f>IFERROR(INDEX('LEV R&amp;D'!$D:$D,MATCH(MEDIÇÃO!K117,'LEV R&amp;D'!$A:$A,0))-INDEX('PROJETO PERFURAÇÃO'!$AH:$AH,MATCH(MEDIÇÃO!K117,'PROJETO PERFURAÇÃO'!$B:$B,0)),"")</f>
        <v/>
      </c>
      <c r="M117" s="17">
        <f>IFERROR(INDEX('PROJETO PERFURAÇÃO'!$AN:$AN,MATCH(MEDIÇÃO!K117,'PROJETO PERFURAÇÃO'!$B:$B,0)),"")</f>
        <v>0</v>
      </c>
      <c r="N117" s="3"/>
      <c r="O117" s="3"/>
      <c r="P117" s="3" t="str">
        <f>IFERROR(ROUND(INDEX('PROJETO PERFURAÇÃO'!$AB:$AB,MATCH(MEDIÇÃO!R117,'PROJETO PERFURAÇÃO'!$B:$B,0)),1)&amp;"''","")</f>
        <v>5''</v>
      </c>
      <c r="Q117" s="3" t="str">
        <f>IFERROR(IF(INDEX('PROJETO PERFURAÇÃO'!$P:$P,MATCH(MEDIÇÃO!R117,'PROJETO PERFURAÇÃO'!$B:$B,0))="Production","P",IF(INDEX('PROJETO PERFURAÇÃO'!$P:$P,MATCH(MEDIÇÃO!R117,'PROJETO PERFURAÇÃO'!$B:$B,0))="Buffer","B",IF(INDEX('PROJETO PERFURAÇÃO'!$P:$P,MATCH(MEDIÇÃO!R117,'PROJETO PERFURAÇÃO'!$B:$B,0))="Pre-Splitting","S"))),"")</f>
        <v>P</v>
      </c>
      <c r="R117" s="14">
        <f t="shared" si="11"/>
        <v>273</v>
      </c>
      <c r="S117" s="4" t="str">
        <f>IFERROR(INDEX('LEV R&amp;D'!$D:$D,MATCH(MEDIÇÃO!R117,'LEV R&amp;D'!$A:$A,0))-INDEX('PROJETO PERFURAÇÃO'!$AH:$AH,MATCH(MEDIÇÃO!R117,'PROJETO PERFURAÇÃO'!$B:$B,0)),"")</f>
        <v/>
      </c>
      <c r="T117" s="17">
        <f>IFERROR(INDEX('PROJETO PERFURAÇÃO'!$AN:$AN,MATCH(MEDIÇÃO!R117,'PROJETO PERFURAÇÃO'!$B:$B,0)),"")</f>
        <v>0</v>
      </c>
      <c r="U117" s="3"/>
      <c r="V117" s="3"/>
    </row>
    <row r="118" spans="1:23" ht="45" customHeight="1" x14ac:dyDescent="0.25">
      <c r="B118" s="3" t="str">
        <f>IFERROR(ROUND(INDEX('PROJETO PERFURAÇÃO'!$AB:$AB,MATCH(MEDIÇÃO!D118,'PROJETO PERFURAÇÃO'!$B:$B,0)),1)&amp;"''","")</f>
        <v>5''</v>
      </c>
      <c r="C118" s="3" t="str">
        <f>IFERROR(IF(INDEX('PROJETO PERFURAÇÃO'!$P:$P,MATCH(MEDIÇÃO!D118,'PROJETO PERFURAÇÃO'!$B:$B,0))="Production","P",IF(INDEX('PROJETO PERFURAÇÃO'!$P:$P,MATCH(MEDIÇÃO!D118,'PROJETO PERFURAÇÃO'!$B:$B,0))="Buffer","B",IF(INDEX('PROJETO PERFURAÇÃO'!$P:$P,MATCH(MEDIÇÃO!D118,'PROJETO PERFURAÇÃO'!$B:$B,0))="Pre-Splitting","S"))),"")</f>
        <v>P</v>
      </c>
      <c r="D118" s="14">
        <f t="shared" si="9"/>
        <v>228</v>
      </c>
      <c r="E118" s="4" t="str">
        <f>IFERROR(INDEX('LEV R&amp;D'!$D:$D,MATCH(MEDIÇÃO!D118,'LEV R&amp;D'!$A:$A,0))-INDEX('PROJETO PERFURAÇÃO'!$AH:$AH,MATCH(MEDIÇÃO!D118,'PROJETO PERFURAÇÃO'!$B:$B,0)),"")</f>
        <v/>
      </c>
      <c r="F118" s="17">
        <f>IFERROR(INDEX('PROJETO PERFURAÇÃO'!$AN:$AN,MATCH(MEDIÇÃO!D118,'PROJETO PERFURAÇÃO'!$B:$B,0)),"")</f>
        <v>0</v>
      </c>
      <c r="G118" s="3"/>
      <c r="H118" s="3"/>
      <c r="I118" s="3" t="str">
        <f>IFERROR(ROUND(INDEX('PROJETO PERFURAÇÃO'!$AB:$AB,MATCH(MEDIÇÃO!K118,'PROJETO PERFURAÇÃO'!$B:$B,0)),1)&amp;"''","")</f>
        <v>5''</v>
      </c>
      <c r="J118" s="3" t="str">
        <f>IFERROR(IF(INDEX('PROJETO PERFURAÇÃO'!$P:$P,MATCH(MEDIÇÃO!K118,'PROJETO PERFURAÇÃO'!$B:$B,0))="Production","P",IF(INDEX('PROJETO PERFURAÇÃO'!$P:$P,MATCH(MEDIÇÃO!K118,'PROJETO PERFURAÇÃO'!$B:$B,0))="Buffer","B",IF(INDEX('PROJETO PERFURAÇÃO'!$P:$P,MATCH(MEDIÇÃO!K118,'PROJETO PERFURAÇÃO'!$B:$B,0))="Pre-Splitting","S"))),"")</f>
        <v>P</v>
      </c>
      <c r="K118" s="14">
        <f t="shared" si="10"/>
        <v>251</v>
      </c>
      <c r="L118" s="4" t="str">
        <f>IFERROR(INDEX('LEV R&amp;D'!$D:$D,MATCH(MEDIÇÃO!K118,'LEV R&amp;D'!$A:$A,0))-INDEX('PROJETO PERFURAÇÃO'!$AH:$AH,MATCH(MEDIÇÃO!K118,'PROJETO PERFURAÇÃO'!$B:$B,0)),"")</f>
        <v/>
      </c>
      <c r="M118" s="17">
        <f>IFERROR(INDEX('PROJETO PERFURAÇÃO'!$AN:$AN,MATCH(MEDIÇÃO!K118,'PROJETO PERFURAÇÃO'!$B:$B,0)),"")</f>
        <v>0</v>
      </c>
      <c r="N118" s="3"/>
      <c r="O118" s="3"/>
      <c r="P118" s="3" t="str">
        <f>IFERROR(ROUND(INDEX('PROJETO PERFURAÇÃO'!$AB:$AB,MATCH(MEDIÇÃO!R118,'PROJETO PERFURAÇÃO'!$B:$B,0)),1)&amp;"''","")</f>
        <v>5''</v>
      </c>
      <c r="Q118" s="3" t="str">
        <f>IFERROR(IF(INDEX('PROJETO PERFURAÇÃO'!$P:$P,MATCH(MEDIÇÃO!R118,'PROJETO PERFURAÇÃO'!$B:$B,0))="Production","P",IF(INDEX('PROJETO PERFURAÇÃO'!$P:$P,MATCH(MEDIÇÃO!R118,'PROJETO PERFURAÇÃO'!$B:$B,0))="Buffer","B",IF(INDEX('PROJETO PERFURAÇÃO'!$P:$P,MATCH(MEDIÇÃO!R118,'PROJETO PERFURAÇÃO'!$B:$B,0))="Pre-Splitting","S"))),"")</f>
        <v>P</v>
      </c>
      <c r="R118" s="14">
        <f t="shared" si="11"/>
        <v>274</v>
      </c>
      <c r="S118" s="4" t="str">
        <f>IFERROR(INDEX('LEV R&amp;D'!$D:$D,MATCH(MEDIÇÃO!R118,'LEV R&amp;D'!$A:$A,0))-INDEX('PROJETO PERFURAÇÃO'!$AH:$AH,MATCH(MEDIÇÃO!R118,'PROJETO PERFURAÇÃO'!$B:$B,0)),"")</f>
        <v/>
      </c>
      <c r="T118" s="17">
        <f>IFERROR(INDEX('PROJETO PERFURAÇÃO'!$AN:$AN,MATCH(MEDIÇÃO!R118,'PROJETO PERFURAÇÃO'!$B:$B,0)),"")</f>
        <v>0</v>
      </c>
      <c r="U118" s="3"/>
      <c r="V118" s="3"/>
    </row>
    <row r="119" spans="1:23" ht="45" customHeight="1" x14ac:dyDescent="0.25">
      <c r="B119" s="3" t="str">
        <f>IFERROR(ROUND(INDEX('PROJETO PERFURAÇÃO'!$AB:$AB,MATCH(MEDIÇÃO!D119,'PROJETO PERFURAÇÃO'!$B:$B,0)),1)&amp;"''","")</f>
        <v>5''</v>
      </c>
      <c r="C119" s="3" t="str">
        <f>IFERROR(IF(INDEX('PROJETO PERFURAÇÃO'!$P:$P,MATCH(MEDIÇÃO!D119,'PROJETO PERFURAÇÃO'!$B:$B,0))="Production","P",IF(INDEX('PROJETO PERFURAÇÃO'!$P:$P,MATCH(MEDIÇÃO!D119,'PROJETO PERFURAÇÃO'!$B:$B,0))="Buffer","B",IF(INDEX('PROJETO PERFURAÇÃO'!$P:$P,MATCH(MEDIÇÃO!D119,'PROJETO PERFURAÇÃO'!$B:$B,0))="Pre-Splitting","S"))),"")</f>
        <v>P</v>
      </c>
      <c r="D119" s="14">
        <f t="shared" si="9"/>
        <v>229</v>
      </c>
      <c r="E119" s="4" t="str">
        <f>IFERROR(INDEX('LEV R&amp;D'!$D:$D,MATCH(MEDIÇÃO!D119,'LEV R&amp;D'!$A:$A,0))-INDEX('PROJETO PERFURAÇÃO'!$AH:$AH,MATCH(MEDIÇÃO!D119,'PROJETO PERFURAÇÃO'!$B:$B,0)),"")</f>
        <v/>
      </c>
      <c r="F119" s="17">
        <f>IFERROR(INDEX('PROJETO PERFURAÇÃO'!$AN:$AN,MATCH(MEDIÇÃO!D119,'PROJETO PERFURAÇÃO'!$B:$B,0)),"")</f>
        <v>0</v>
      </c>
      <c r="G119" s="3"/>
      <c r="H119" s="3"/>
      <c r="I119" s="3" t="str">
        <f>IFERROR(ROUND(INDEX('PROJETO PERFURAÇÃO'!$AB:$AB,MATCH(MEDIÇÃO!K119,'PROJETO PERFURAÇÃO'!$B:$B,0)),1)&amp;"''","")</f>
        <v>5''</v>
      </c>
      <c r="J119" s="3" t="str">
        <f>IFERROR(IF(INDEX('PROJETO PERFURAÇÃO'!$P:$P,MATCH(MEDIÇÃO!K119,'PROJETO PERFURAÇÃO'!$B:$B,0))="Production","P",IF(INDEX('PROJETO PERFURAÇÃO'!$P:$P,MATCH(MEDIÇÃO!K119,'PROJETO PERFURAÇÃO'!$B:$B,0))="Buffer","B",IF(INDEX('PROJETO PERFURAÇÃO'!$P:$P,MATCH(MEDIÇÃO!K119,'PROJETO PERFURAÇÃO'!$B:$B,0))="Pre-Splitting","S"))),"")</f>
        <v>P</v>
      </c>
      <c r="K119" s="14">
        <f t="shared" si="10"/>
        <v>252</v>
      </c>
      <c r="L119" s="4" t="str">
        <f>IFERROR(INDEX('LEV R&amp;D'!$D:$D,MATCH(MEDIÇÃO!K119,'LEV R&amp;D'!$A:$A,0))-INDEX('PROJETO PERFURAÇÃO'!$AH:$AH,MATCH(MEDIÇÃO!K119,'PROJETO PERFURAÇÃO'!$B:$B,0)),"")</f>
        <v/>
      </c>
      <c r="M119" s="17">
        <f>IFERROR(INDEX('PROJETO PERFURAÇÃO'!$AN:$AN,MATCH(MEDIÇÃO!K119,'PROJETO PERFURAÇÃO'!$B:$B,0)),"")</f>
        <v>0</v>
      </c>
      <c r="N119" s="3"/>
      <c r="O119" s="3"/>
      <c r="P119" s="3" t="str">
        <f>IFERROR(ROUND(INDEX('PROJETO PERFURAÇÃO'!$AB:$AB,MATCH(MEDIÇÃO!R119,'PROJETO PERFURAÇÃO'!$B:$B,0)),1)&amp;"''","")</f>
        <v>5''</v>
      </c>
      <c r="Q119" s="3" t="str">
        <f>IFERROR(IF(INDEX('PROJETO PERFURAÇÃO'!$P:$P,MATCH(MEDIÇÃO!R119,'PROJETO PERFURAÇÃO'!$B:$B,0))="Production","P",IF(INDEX('PROJETO PERFURAÇÃO'!$P:$P,MATCH(MEDIÇÃO!R119,'PROJETO PERFURAÇÃO'!$B:$B,0))="Buffer","B",IF(INDEX('PROJETO PERFURAÇÃO'!$P:$P,MATCH(MEDIÇÃO!R119,'PROJETO PERFURAÇÃO'!$B:$B,0))="Pre-Splitting","S"))),"")</f>
        <v>P</v>
      </c>
      <c r="R119" s="14">
        <f t="shared" si="11"/>
        <v>275</v>
      </c>
      <c r="S119" s="4" t="str">
        <f>IFERROR(INDEX('LEV R&amp;D'!$D:$D,MATCH(MEDIÇÃO!R119,'LEV R&amp;D'!$A:$A,0))-INDEX('PROJETO PERFURAÇÃO'!$AH:$AH,MATCH(MEDIÇÃO!R119,'PROJETO PERFURAÇÃO'!$B:$B,0)),"")</f>
        <v/>
      </c>
      <c r="T119" s="17">
        <f>IFERROR(INDEX('PROJETO PERFURAÇÃO'!$AN:$AN,MATCH(MEDIÇÃO!R119,'PROJETO PERFURAÇÃO'!$B:$B,0)),"")</f>
        <v>0</v>
      </c>
      <c r="U119" s="3"/>
      <c r="V119" s="3"/>
    </row>
    <row r="120" spans="1:23" ht="45" customHeight="1" x14ac:dyDescent="0.25">
      <c r="B120" s="3" t="str">
        <f>IFERROR(ROUND(INDEX('PROJETO PERFURAÇÃO'!$AB:$AB,MATCH(MEDIÇÃO!D120,'PROJETO PERFURAÇÃO'!$B:$B,0)),1)&amp;"''","")</f>
        <v>5''</v>
      </c>
      <c r="C120" s="3" t="str">
        <f>IFERROR(IF(INDEX('PROJETO PERFURAÇÃO'!$P:$P,MATCH(MEDIÇÃO!D120,'PROJETO PERFURAÇÃO'!$B:$B,0))="Production","P",IF(INDEX('PROJETO PERFURAÇÃO'!$P:$P,MATCH(MEDIÇÃO!D120,'PROJETO PERFURAÇÃO'!$B:$B,0))="Buffer","B",IF(INDEX('PROJETO PERFURAÇÃO'!$P:$P,MATCH(MEDIÇÃO!D120,'PROJETO PERFURAÇÃO'!$B:$B,0))="Pre-Splitting","S"))),"")</f>
        <v>P</v>
      </c>
      <c r="D120" s="14">
        <f t="shared" si="9"/>
        <v>230</v>
      </c>
      <c r="E120" s="4" t="str">
        <f>IFERROR(INDEX('LEV R&amp;D'!$D:$D,MATCH(MEDIÇÃO!D120,'LEV R&amp;D'!$A:$A,0))-INDEX('PROJETO PERFURAÇÃO'!$AH:$AH,MATCH(MEDIÇÃO!D120,'PROJETO PERFURAÇÃO'!$B:$B,0)),"")</f>
        <v/>
      </c>
      <c r="F120" s="17">
        <f>IFERROR(INDEX('PROJETO PERFURAÇÃO'!$AN:$AN,MATCH(MEDIÇÃO!D120,'PROJETO PERFURAÇÃO'!$B:$B,0)),"")</f>
        <v>0</v>
      </c>
      <c r="G120" s="3"/>
      <c r="H120" s="3"/>
      <c r="I120" s="3" t="str">
        <f>IFERROR(ROUND(INDEX('PROJETO PERFURAÇÃO'!$AB:$AB,MATCH(MEDIÇÃO!K120,'PROJETO PERFURAÇÃO'!$B:$B,0)),1)&amp;"''","")</f>
        <v>5''</v>
      </c>
      <c r="J120" s="3" t="str">
        <f>IFERROR(IF(INDEX('PROJETO PERFURAÇÃO'!$P:$P,MATCH(MEDIÇÃO!K120,'PROJETO PERFURAÇÃO'!$B:$B,0))="Production","P",IF(INDEX('PROJETO PERFURAÇÃO'!$P:$P,MATCH(MEDIÇÃO!K120,'PROJETO PERFURAÇÃO'!$B:$B,0))="Buffer","B",IF(INDEX('PROJETO PERFURAÇÃO'!$P:$P,MATCH(MEDIÇÃO!K120,'PROJETO PERFURAÇÃO'!$B:$B,0))="Pre-Splitting","S"))),"")</f>
        <v>P</v>
      </c>
      <c r="K120" s="14">
        <f t="shared" si="10"/>
        <v>253</v>
      </c>
      <c r="L120" s="4" t="str">
        <f>IFERROR(INDEX('LEV R&amp;D'!$D:$D,MATCH(MEDIÇÃO!K120,'LEV R&amp;D'!$A:$A,0))-INDEX('PROJETO PERFURAÇÃO'!$AH:$AH,MATCH(MEDIÇÃO!K120,'PROJETO PERFURAÇÃO'!$B:$B,0)),"")</f>
        <v/>
      </c>
      <c r="M120" s="17">
        <f>IFERROR(INDEX('PROJETO PERFURAÇÃO'!$AN:$AN,MATCH(MEDIÇÃO!K120,'PROJETO PERFURAÇÃO'!$B:$B,0)),"")</f>
        <v>0</v>
      </c>
      <c r="N120" s="3"/>
      <c r="O120" s="3"/>
      <c r="P120" s="3" t="str">
        <f>IFERROR(ROUND(INDEX('PROJETO PERFURAÇÃO'!$AB:$AB,MATCH(MEDIÇÃO!R120,'PROJETO PERFURAÇÃO'!$B:$B,0)),1)&amp;"''","")</f>
        <v>5''</v>
      </c>
      <c r="Q120" s="3" t="str">
        <f>IFERROR(IF(INDEX('PROJETO PERFURAÇÃO'!$P:$P,MATCH(MEDIÇÃO!R120,'PROJETO PERFURAÇÃO'!$B:$B,0))="Production","P",IF(INDEX('PROJETO PERFURAÇÃO'!$P:$P,MATCH(MEDIÇÃO!R120,'PROJETO PERFURAÇÃO'!$B:$B,0))="Buffer","B",IF(INDEX('PROJETO PERFURAÇÃO'!$P:$P,MATCH(MEDIÇÃO!R120,'PROJETO PERFURAÇÃO'!$B:$B,0))="Pre-Splitting","S"))),"")</f>
        <v>P</v>
      </c>
      <c r="R120" s="14">
        <f t="shared" si="11"/>
        <v>276</v>
      </c>
      <c r="S120" s="4" t="str">
        <f>IFERROR(INDEX('LEV R&amp;D'!$D:$D,MATCH(MEDIÇÃO!R120,'LEV R&amp;D'!$A:$A,0))-INDEX('PROJETO PERFURAÇÃO'!$AH:$AH,MATCH(MEDIÇÃO!R120,'PROJETO PERFURAÇÃO'!$B:$B,0)),"")</f>
        <v/>
      </c>
      <c r="T120" s="17">
        <f>IFERROR(INDEX('PROJETO PERFURAÇÃO'!$AN:$AN,MATCH(MEDIÇÃO!R120,'PROJETO PERFURAÇÃO'!$B:$B,0)),"")</f>
        <v>0</v>
      </c>
      <c r="U120" s="3"/>
      <c r="V120" s="3"/>
    </row>
    <row r="121" spans="1:23" ht="30" customHeight="1" x14ac:dyDescent="0.25">
      <c r="B121" s="1"/>
      <c r="C121" s="1"/>
      <c r="D121" s="15"/>
      <c r="E121" s="2"/>
      <c r="F121" s="16"/>
      <c r="G121" s="1"/>
      <c r="H121" s="1"/>
      <c r="I121" s="1"/>
      <c r="J121" s="1"/>
      <c r="K121" s="15"/>
      <c r="L121" s="2"/>
      <c r="M121" s="16"/>
      <c r="N121" s="1"/>
      <c r="O121" s="1"/>
      <c r="P121" s="1"/>
      <c r="Q121" s="1"/>
      <c r="R121" s="15"/>
      <c r="S121" s="2"/>
      <c r="T121" s="16"/>
      <c r="U121" s="1"/>
      <c r="V121" s="1"/>
    </row>
    <row r="122" spans="1:23" ht="30" customHeight="1" x14ac:dyDescent="0.25">
      <c r="C122" s="20"/>
      <c r="D122" s="20"/>
      <c r="E122" s="20"/>
      <c r="F122" s="20"/>
      <c r="G122" s="20"/>
      <c r="H122" s="20"/>
      <c r="I122" s="20"/>
      <c r="J122" s="20"/>
      <c r="K122" s="20"/>
      <c r="M122" s="20"/>
      <c r="N122" s="20"/>
      <c r="O122" s="20"/>
      <c r="P122" s="20"/>
      <c r="Q122" s="20"/>
      <c r="R122" s="20"/>
      <c r="S122" s="20"/>
      <c r="T122" s="20"/>
      <c r="U122" s="20"/>
    </row>
    <row r="123" spans="1:23" ht="30" customHeight="1" x14ac:dyDescent="0.25">
      <c r="C123" s="21" t="s">
        <v>40</v>
      </c>
      <c r="D123" s="21"/>
      <c r="E123" s="21"/>
      <c r="F123" s="21"/>
      <c r="G123" s="21"/>
      <c r="H123" s="21"/>
      <c r="I123" s="21"/>
      <c r="J123" s="21"/>
      <c r="K123" s="21"/>
      <c r="L123" s="9"/>
      <c r="M123" s="21" t="s">
        <v>40</v>
      </c>
      <c r="N123" s="21"/>
      <c r="O123" s="21"/>
      <c r="P123" s="21"/>
      <c r="Q123" s="21"/>
      <c r="R123" s="21"/>
      <c r="S123" s="21"/>
      <c r="T123" s="21"/>
      <c r="U123" s="21"/>
      <c r="V123" s="9"/>
    </row>
    <row r="124" spans="1:23" ht="30" customHeight="1" x14ac:dyDescent="0.25">
      <c r="D124" s="9"/>
      <c r="E124" s="9"/>
      <c r="F124" s="9"/>
      <c r="G124" s="9"/>
      <c r="H124" s="9"/>
      <c r="I124" s="9"/>
      <c r="J124" s="9"/>
      <c r="K124" s="9"/>
      <c r="L124" s="9"/>
      <c r="M124" s="9"/>
      <c r="N124" s="9"/>
      <c r="Q124" s="9"/>
      <c r="R124" s="9"/>
      <c r="S124" s="9"/>
      <c r="T124" s="9"/>
      <c r="U124" s="9"/>
      <c r="V124" s="9"/>
    </row>
    <row r="125" spans="1:23" ht="30" customHeight="1" x14ac:dyDescent="0.25">
      <c r="B125" s="19" t="str">
        <f>'PROJETO PERFURAÇÃO'!$C$2&amp;" - "&amp;'PROJETO PERFURAÇÃO'!$H$2</f>
        <v>LIB065 - PP0651026</v>
      </c>
      <c r="C125" s="19"/>
      <c r="D125" s="19"/>
      <c r="E125" s="19"/>
      <c r="F125" s="19"/>
      <c r="G125" s="19"/>
      <c r="H125" s="19"/>
      <c r="I125" s="11" t="s">
        <v>34</v>
      </c>
      <c r="J125" s="10" t="s">
        <v>37</v>
      </c>
    </row>
    <row r="126" spans="1:23" ht="30" customHeight="1" x14ac:dyDescent="0.25">
      <c r="B126" s="19"/>
      <c r="C126" s="19"/>
      <c r="D126" s="19"/>
      <c r="E126" s="19"/>
      <c r="F126" s="19"/>
      <c r="G126" s="19"/>
      <c r="H126" s="19"/>
      <c r="I126" s="12" t="s">
        <v>35</v>
      </c>
      <c r="J126" s="10" t="s">
        <v>38</v>
      </c>
      <c r="K126" s="9"/>
      <c r="L126" s="9"/>
      <c r="M126" s="9"/>
      <c r="N126" s="9"/>
      <c r="O126" s="9"/>
      <c r="P126" s="9"/>
      <c r="Q126" s="9"/>
      <c r="R126" s="9"/>
      <c r="S126" s="9"/>
      <c r="T126" s="9"/>
      <c r="U126" s="9"/>
      <c r="V126" s="9"/>
    </row>
    <row r="127" spans="1:23" ht="30" customHeight="1" x14ac:dyDescent="0.25">
      <c r="B127" s="19"/>
      <c r="C127" s="19"/>
      <c r="D127" s="19"/>
      <c r="E127" s="19"/>
      <c r="F127" s="19"/>
      <c r="G127" s="19"/>
      <c r="H127" s="19"/>
      <c r="I127" s="13" t="s">
        <v>36</v>
      </c>
      <c r="J127" s="10" t="s">
        <v>39</v>
      </c>
    </row>
    <row r="128" spans="1:23" ht="30" customHeight="1" x14ac:dyDescent="0.25">
      <c r="A128" s="1"/>
      <c r="B128" s="6" t="s">
        <v>33</v>
      </c>
      <c r="C128" s="6" t="s">
        <v>13</v>
      </c>
      <c r="D128" s="7" t="s">
        <v>1</v>
      </c>
      <c r="E128" s="7" t="s">
        <v>29</v>
      </c>
      <c r="F128" s="7" t="s">
        <v>30</v>
      </c>
      <c r="G128" s="7" t="s">
        <v>31</v>
      </c>
      <c r="H128" s="7" t="s">
        <v>32</v>
      </c>
      <c r="I128" s="6" t="s">
        <v>33</v>
      </c>
      <c r="J128" s="6" t="s">
        <v>13</v>
      </c>
      <c r="K128" s="7" t="s">
        <v>1</v>
      </c>
      <c r="L128" s="7" t="s">
        <v>29</v>
      </c>
      <c r="M128" s="7" t="s">
        <v>30</v>
      </c>
      <c r="N128" s="7" t="s">
        <v>31</v>
      </c>
      <c r="O128" s="7" t="s">
        <v>32</v>
      </c>
      <c r="P128" s="6" t="s">
        <v>33</v>
      </c>
      <c r="Q128" s="6" t="s">
        <v>13</v>
      </c>
      <c r="R128" s="7" t="s">
        <v>1</v>
      </c>
      <c r="S128" s="7" t="s">
        <v>29</v>
      </c>
      <c r="T128" s="7" t="s">
        <v>30</v>
      </c>
      <c r="U128" s="7" t="s">
        <v>31</v>
      </c>
      <c r="V128" s="7" t="s">
        <v>32</v>
      </c>
      <c r="W128" s="1"/>
    </row>
    <row r="129" spans="2:22" ht="45" customHeight="1" x14ac:dyDescent="0.25">
      <c r="B129" s="3" t="str">
        <f>IFERROR(ROUND(INDEX('PROJETO PERFURAÇÃO'!$AB:$AB,MATCH(MEDIÇÃO!D129,'PROJETO PERFURAÇÃO'!$B:$B,0)),1)&amp;"''","")</f>
        <v>5''</v>
      </c>
      <c r="C129" s="3" t="str">
        <f>IFERROR(IF(INDEX('PROJETO PERFURAÇÃO'!$P:$P,MATCH(MEDIÇÃO!D129,'PROJETO PERFURAÇÃO'!$B:$B,0))="Production","P",IF(INDEX('PROJETO PERFURAÇÃO'!$P:$P,MATCH(MEDIÇÃO!D129,'PROJETO PERFURAÇÃO'!$B:$B,0))="Buffer","B",IF(INDEX('PROJETO PERFURAÇÃO'!$P:$P,MATCH(MEDIÇÃO!D129,'PROJETO PERFURAÇÃO'!$B:$B,0))="Pre-Splitting","S"))),"")</f>
        <v>P</v>
      </c>
      <c r="D129" s="14">
        <f>R120+1</f>
        <v>277</v>
      </c>
      <c r="E129" s="4" t="str">
        <f>IFERROR(INDEX('LEV R&amp;D'!$D:$D,MATCH(MEDIÇÃO!D129,'LEV R&amp;D'!$A:$A,0))-INDEX('PROJETO PERFURAÇÃO'!$AH:$AH,MATCH(MEDIÇÃO!D129,'PROJETO PERFURAÇÃO'!$B:$B,0)),"")</f>
        <v/>
      </c>
      <c r="F129" s="17">
        <f>IFERROR(INDEX('PROJETO PERFURAÇÃO'!$AN:$AN,MATCH(MEDIÇÃO!D129,'PROJETO PERFURAÇÃO'!$B:$B,0)),"")</f>
        <v>0</v>
      </c>
      <c r="G129" s="3"/>
      <c r="H129" s="3"/>
      <c r="I129" s="3" t="str">
        <f>IFERROR(ROUND(INDEX('PROJETO PERFURAÇÃO'!$AB:$AB,MATCH(MEDIÇÃO!K129,'PROJETO PERFURAÇÃO'!$B:$B,0)),1)&amp;"''","")</f>
        <v>5''</v>
      </c>
      <c r="J129" s="3" t="str">
        <f>IFERROR(IF(INDEX('PROJETO PERFURAÇÃO'!$P:$P,MATCH(MEDIÇÃO!K129,'PROJETO PERFURAÇÃO'!$B:$B,0))="Production","P",IF(INDEX('PROJETO PERFURAÇÃO'!$P:$P,MATCH(MEDIÇÃO!K129,'PROJETO PERFURAÇÃO'!$B:$B,0))="Buffer","B",IF(INDEX('PROJETO PERFURAÇÃO'!$P:$P,MATCH(MEDIÇÃO!K129,'PROJETO PERFURAÇÃO'!$B:$B,0))="Pre-Splitting","S"))),"")</f>
        <v>S</v>
      </c>
      <c r="K129" s="14">
        <f>D151+1</f>
        <v>300</v>
      </c>
      <c r="L129" s="4" t="str">
        <f>IFERROR(INDEX('LEV R&amp;D'!$D:$D,MATCH(MEDIÇÃO!K129,'LEV R&amp;D'!$A:$A,0))-INDEX('PROJETO PERFURAÇÃO'!$AH:$AH,MATCH(MEDIÇÃO!K129,'PROJETO PERFURAÇÃO'!$B:$B,0)),"")</f>
        <v/>
      </c>
      <c r="M129" s="17">
        <f>IFERROR(INDEX('PROJETO PERFURAÇÃO'!$AN:$AN,MATCH(MEDIÇÃO!K129,'PROJETO PERFURAÇÃO'!$B:$B,0)),"")</f>
        <v>15.8</v>
      </c>
      <c r="N129" s="3"/>
      <c r="O129" s="3"/>
      <c r="P129" s="3" t="str">
        <f>IFERROR(ROUND(INDEX('PROJETO PERFURAÇÃO'!$AB:$AB,MATCH(MEDIÇÃO!R129,'PROJETO PERFURAÇÃO'!$B:$B,0)),1)&amp;"''","")</f>
        <v>5''</v>
      </c>
      <c r="Q129" s="3" t="str">
        <f>IFERROR(IF(INDEX('PROJETO PERFURAÇÃO'!$P:$P,MATCH(MEDIÇÃO!R129,'PROJETO PERFURAÇÃO'!$B:$B,0))="Production","P",IF(INDEX('PROJETO PERFURAÇÃO'!$P:$P,MATCH(MEDIÇÃO!R129,'PROJETO PERFURAÇÃO'!$B:$B,0))="Buffer","B",IF(INDEX('PROJETO PERFURAÇÃO'!$P:$P,MATCH(MEDIÇÃO!R129,'PROJETO PERFURAÇÃO'!$B:$B,0))="Pre-Splitting","S"))),"")</f>
        <v>S</v>
      </c>
      <c r="R129" s="14">
        <f>K151+1</f>
        <v>323</v>
      </c>
      <c r="S129" s="4" t="str">
        <f>IFERROR(INDEX('LEV R&amp;D'!$D:$D,MATCH(MEDIÇÃO!R129,'LEV R&amp;D'!$A:$A,0))-INDEX('PROJETO PERFURAÇÃO'!$AH:$AH,MATCH(MEDIÇÃO!R129,'PROJETO PERFURAÇÃO'!$B:$B,0)),"")</f>
        <v/>
      </c>
      <c r="T129" s="17">
        <f>IFERROR(INDEX('PROJETO PERFURAÇÃO'!$AN:$AN,MATCH(MEDIÇÃO!R129,'PROJETO PERFURAÇÃO'!$B:$B,0)),"")</f>
        <v>15.03</v>
      </c>
      <c r="U129" s="3"/>
      <c r="V129" s="3"/>
    </row>
    <row r="130" spans="2:22" ht="45" customHeight="1" x14ac:dyDescent="0.25">
      <c r="B130" s="3" t="str">
        <f>IFERROR(ROUND(INDEX('PROJETO PERFURAÇÃO'!$AB:$AB,MATCH(MEDIÇÃO!D130,'PROJETO PERFURAÇÃO'!$B:$B,0)),1)&amp;"''","")</f>
        <v>5''</v>
      </c>
      <c r="C130" s="3" t="str">
        <f>IFERROR(IF(INDEX('PROJETO PERFURAÇÃO'!$P:$P,MATCH(MEDIÇÃO!D130,'PROJETO PERFURAÇÃO'!$B:$B,0))="Production","P",IF(INDEX('PROJETO PERFURAÇÃO'!$P:$P,MATCH(MEDIÇÃO!D130,'PROJETO PERFURAÇÃO'!$B:$B,0))="Buffer","B",IF(INDEX('PROJETO PERFURAÇÃO'!$P:$P,MATCH(MEDIÇÃO!D130,'PROJETO PERFURAÇÃO'!$B:$B,0))="Pre-Splitting","S"))),"")</f>
        <v>P</v>
      </c>
      <c r="D130" s="14">
        <f>D129+1</f>
        <v>278</v>
      </c>
      <c r="E130" s="4" t="str">
        <f>IFERROR(INDEX('LEV R&amp;D'!$D:$D,MATCH(MEDIÇÃO!D130,'LEV R&amp;D'!$A:$A,0))-INDEX('PROJETO PERFURAÇÃO'!$AH:$AH,MATCH(MEDIÇÃO!D130,'PROJETO PERFURAÇÃO'!$B:$B,0)),"")</f>
        <v/>
      </c>
      <c r="F130" s="17">
        <f>IFERROR(INDEX('PROJETO PERFURAÇÃO'!$AN:$AN,MATCH(MEDIÇÃO!D130,'PROJETO PERFURAÇÃO'!$B:$B,0)),"")</f>
        <v>0</v>
      </c>
      <c r="G130" s="3"/>
      <c r="H130" s="3"/>
      <c r="I130" s="3" t="str">
        <f>IFERROR(ROUND(INDEX('PROJETO PERFURAÇÃO'!$AB:$AB,MATCH(MEDIÇÃO!K130,'PROJETO PERFURAÇÃO'!$B:$B,0)),1)&amp;"''","")</f>
        <v>5''</v>
      </c>
      <c r="J130" s="3" t="str">
        <f>IFERROR(IF(INDEX('PROJETO PERFURAÇÃO'!$P:$P,MATCH(MEDIÇÃO!K130,'PROJETO PERFURAÇÃO'!$B:$B,0))="Production","P",IF(INDEX('PROJETO PERFURAÇÃO'!$P:$P,MATCH(MEDIÇÃO!K130,'PROJETO PERFURAÇÃO'!$B:$B,0))="Buffer","B",IF(INDEX('PROJETO PERFURAÇÃO'!$P:$P,MATCH(MEDIÇÃO!K130,'PROJETO PERFURAÇÃO'!$B:$B,0))="Pre-Splitting","S"))),"")</f>
        <v>S</v>
      </c>
      <c r="K130" s="14">
        <f>K129+1</f>
        <v>301</v>
      </c>
      <c r="L130" s="4" t="str">
        <f>IFERROR(INDEX('LEV R&amp;D'!$D:$D,MATCH(MEDIÇÃO!K130,'LEV R&amp;D'!$A:$A,0))-INDEX('PROJETO PERFURAÇÃO'!$AH:$AH,MATCH(MEDIÇÃO!K130,'PROJETO PERFURAÇÃO'!$B:$B,0)),"")</f>
        <v/>
      </c>
      <c r="M130" s="17">
        <f>IFERROR(INDEX('PROJETO PERFURAÇÃO'!$AN:$AN,MATCH(MEDIÇÃO!K130,'PROJETO PERFURAÇÃO'!$B:$B,0)),"")</f>
        <v>15.65</v>
      </c>
      <c r="N130" s="3"/>
      <c r="O130" s="3"/>
      <c r="P130" s="3" t="str">
        <f>IFERROR(ROUND(INDEX('PROJETO PERFURAÇÃO'!$AB:$AB,MATCH(MEDIÇÃO!R130,'PROJETO PERFURAÇÃO'!$B:$B,0)),1)&amp;"''","")</f>
        <v>5''</v>
      </c>
      <c r="Q130" s="3" t="str">
        <f>IFERROR(IF(INDEX('PROJETO PERFURAÇÃO'!$P:$P,MATCH(MEDIÇÃO!R130,'PROJETO PERFURAÇÃO'!$B:$B,0))="Production","P",IF(INDEX('PROJETO PERFURAÇÃO'!$P:$P,MATCH(MEDIÇÃO!R130,'PROJETO PERFURAÇÃO'!$B:$B,0))="Buffer","B",IF(INDEX('PROJETO PERFURAÇÃO'!$P:$P,MATCH(MEDIÇÃO!R130,'PROJETO PERFURAÇÃO'!$B:$B,0))="Pre-Splitting","S"))),"")</f>
        <v>S</v>
      </c>
      <c r="R130" s="14">
        <f>R129+1</f>
        <v>324</v>
      </c>
      <c r="S130" s="4" t="str">
        <f>IFERROR(INDEX('LEV R&amp;D'!$D:$D,MATCH(MEDIÇÃO!R130,'LEV R&amp;D'!$A:$A,0))-INDEX('PROJETO PERFURAÇÃO'!$AH:$AH,MATCH(MEDIÇÃO!R130,'PROJETO PERFURAÇÃO'!$B:$B,0)),"")</f>
        <v/>
      </c>
      <c r="T130" s="17">
        <f>IFERROR(INDEX('PROJETO PERFURAÇÃO'!$AN:$AN,MATCH(MEDIÇÃO!R130,'PROJETO PERFURAÇÃO'!$B:$B,0)),"")</f>
        <v>15.05</v>
      </c>
      <c r="U130" s="3"/>
      <c r="V130" s="3"/>
    </row>
    <row r="131" spans="2:22" ht="45" customHeight="1" x14ac:dyDescent="0.25">
      <c r="B131" s="3" t="str">
        <f>IFERROR(ROUND(INDEX('PROJETO PERFURAÇÃO'!$AB:$AB,MATCH(MEDIÇÃO!D131,'PROJETO PERFURAÇÃO'!$B:$B,0)),1)&amp;"''","")</f>
        <v>5''</v>
      </c>
      <c r="C131" s="3" t="str">
        <f>IFERROR(IF(INDEX('PROJETO PERFURAÇÃO'!$P:$P,MATCH(MEDIÇÃO!D131,'PROJETO PERFURAÇÃO'!$B:$B,0))="Production","P",IF(INDEX('PROJETO PERFURAÇÃO'!$P:$P,MATCH(MEDIÇÃO!D131,'PROJETO PERFURAÇÃO'!$B:$B,0))="Buffer","B",IF(INDEX('PROJETO PERFURAÇÃO'!$P:$P,MATCH(MEDIÇÃO!D131,'PROJETO PERFURAÇÃO'!$B:$B,0))="Pre-Splitting","S"))),"")</f>
        <v>P</v>
      </c>
      <c r="D131" s="14">
        <f t="shared" ref="D131:D151" si="12">D130+1</f>
        <v>279</v>
      </c>
      <c r="E131" s="4" t="str">
        <f>IFERROR(INDEX('LEV R&amp;D'!$D:$D,MATCH(MEDIÇÃO!D131,'LEV R&amp;D'!$A:$A,0))-INDEX('PROJETO PERFURAÇÃO'!$AH:$AH,MATCH(MEDIÇÃO!D131,'PROJETO PERFURAÇÃO'!$B:$B,0)),"")</f>
        <v/>
      </c>
      <c r="F131" s="17">
        <f>IFERROR(INDEX('PROJETO PERFURAÇÃO'!$AN:$AN,MATCH(MEDIÇÃO!D131,'PROJETO PERFURAÇÃO'!$B:$B,0)),"")</f>
        <v>0</v>
      </c>
      <c r="G131" s="3"/>
      <c r="H131" s="3"/>
      <c r="I131" s="3" t="str">
        <f>IFERROR(ROUND(INDEX('PROJETO PERFURAÇÃO'!$AB:$AB,MATCH(MEDIÇÃO!K131,'PROJETO PERFURAÇÃO'!$B:$B,0)),1)&amp;"''","")</f>
        <v>5''</v>
      </c>
      <c r="J131" s="3" t="str">
        <f>IFERROR(IF(INDEX('PROJETO PERFURAÇÃO'!$P:$P,MATCH(MEDIÇÃO!K131,'PROJETO PERFURAÇÃO'!$B:$B,0))="Production","P",IF(INDEX('PROJETO PERFURAÇÃO'!$P:$P,MATCH(MEDIÇÃO!K131,'PROJETO PERFURAÇÃO'!$B:$B,0))="Buffer","B",IF(INDEX('PROJETO PERFURAÇÃO'!$P:$P,MATCH(MEDIÇÃO!K131,'PROJETO PERFURAÇÃO'!$B:$B,0))="Pre-Splitting","S"))),"")</f>
        <v>S</v>
      </c>
      <c r="K131" s="14">
        <f t="shared" ref="K131:K151" si="13">K130+1</f>
        <v>302</v>
      </c>
      <c r="L131" s="4" t="str">
        <f>IFERROR(INDEX('LEV R&amp;D'!$D:$D,MATCH(MEDIÇÃO!K131,'LEV R&amp;D'!$A:$A,0))-INDEX('PROJETO PERFURAÇÃO'!$AH:$AH,MATCH(MEDIÇÃO!K131,'PROJETO PERFURAÇÃO'!$B:$B,0)),"")</f>
        <v/>
      </c>
      <c r="M131" s="17">
        <f>IFERROR(INDEX('PROJETO PERFURAÇÃO'!$AN:$AN,MATCH(MEDIÇÃO!K131,'PROJETO PERFURAÇÃO'!$B:$B,0)),"")</f>
        <v>15.55</v>
      </c>
      <c r="N131" s="3"/>
      <c r="O131" s="3"/>
      <c r="P131" s="3" t="str">
        <f>IFERROR(ROUND(INDEX('PROJETO PERFURAÇÃO'!$AB:$AB,MATCH(MEDIÇÃO!R131,'PROJETO PERFURAÇÃO'!$B:$B,0)),1)&amp;"''","")</f>
        <v>5''</v>
      </c>
      <c r="Q131" s="3" t="str">
        <f>IFERROR(IF(INDEX('PROJETO PERFURAÇÃO'!$P:$P,MATCH(MEDIÇÃO!R131,'PROJETO PERFURAÇÃO'!$B:$B,0))="Production","P",IF(INDEX('PROJETO PERFURAÇÃO'!$P:$P,MATCH(MEDIÇÃO!R131,'PROJETO PERFURAÇÃO'!$B:$B,0))="Buffer","B",IF(INDEX('PROJETO PERFURAÇÃO'!$P:$P,MATCH(MEDIÇÃO!R131,'PROJETO PERFURAÇÃO'!$B:$B,0))="Pre-Splitting","S"))),"")</f>
        <v>S</v>
      </c>
      <c r="R131" s="14">
        <f t="shared" ref="R131:R151" si="14">R130+1</f>
        <v>325</v>
      </c>
      <c r="S131" s="4" t="str">
        <f>IFERROR(INDEX('LEV R&amp;D'!$D:$D,MATCH(MEDIÇÃO!R131,'LEV R&amp;D'!$A:$A,0))-INDEX('PROJETO PERFURAÇÃO'!$AH:$AH,MATCH(MEDIÇÃO!R131,'PROJETO PERFURAÇÃO'!$B:$B,0)),"")</f>
        <v/>
      </c>
      <c r="T131" s="17">
        <f>IFERROR(INDEX('PROJETO PERFURAÇÃO'!$AN:$AN,MATCH(MEDIÇÃO!R131,'PROJETO PERFURAÇÃO'!$B:$B,0)),"")</f>
        <v>15.07</v>
      </c>
      <c r="U131" s="3"/>
      <c r="V131" s="3"/>
    </row>
    <row r="132" spans="2:22" ht="45" customHeight="1" x14ac:dyDescent="0.25">
      <c r="B132" s="3" t="str">
        <f>IFERROR(ROUND(INDEX('PROJETO PERFURAÇÃO'!$AB:$AB,MATCH(MEDIÇÃO!D132,'PROJETO PERFURAÇÃO'!$B:$B,0)),1)&amp;"''","")</f>
        <v>5''</v>
      </c>
      <c r="C132" s="3" t="str">
        <f>IFERROR(IF(INDEX('PROJETO PERFURAÇÃO'!$P:$P,MATCH(MEDIÇÃO!D132,'PROJETO PERFURAÇÃO'!$B:$B,0))="Production","P",IF(INDEX('PROJETO PERFURAÇÃO'!$P:$P,MATCH(MEDIÇÃO!D132,'PROJETO PERFURAÇÃO'!$B:$B,0))="Buffer","B",IF(INDEX('PROJETO PERFURAÇÃO'!$P:$P,MATCH(MEDIÇÃO!D132,'PROJETO PERFURAÇÃO'!$B:$B,0))="Pre-Splitting","S"))),"")</f>
        <v>P</v>
      </c>
      <c r="D132" s="14">
        <f t="shared" si="12"/>
        <v>280</v>
      </c>
      <c r="E132" s="4" t="str">
        <f>IFERROR(INDEX('LEV R&amp;D'!$D:$D,MATCH(MEDIÇÃO!D132,'LEV R&amp;D'!$A:$A,0))-INDEX('PROJETO PERFURAÇÃO'!$AH:$AH,MATCH(MEDIÇÃO!D132,'PROJETO PERFURAÇÃO'!$B:$B,0)),"")</f>
        <v/>
      </c>
      <c r="F132" s="17">
        <f>IFERROR(INDEX('PROJETO PERFURAÇÃO'!$AN:$AN,MATCH(MEDIÇÃO!D132,'PROJETO PERFURAÇÃO'!$B:$B,0)),"")</f>
        <v>0</v>
      </c>
      <c r="G132" s="3"/>
      <c r="H132" s="3"/>
      <c r="I132" s="3" t="str">
        <f>IFERROR(ROUND(INDEX('PROJETO PERFURAÇÃO'!$AB:$AB,MATCH(MEDIÇÃO!K132,'PROJETO PERFURAÇÃO'!$B:$B,0)),1)&amp;"''","")</f>
        <v>5''</v>
      </c>
      <c r="J132" s="3" t="str">
        <f>IFERROR(IF(INDEX('PROJETO PERFURAÇÃO'!$P:$P,MATCH(MEDIÇÃO!K132,'PROJETO PERFURAÇÃO'!$B:$B,0))="Production","P",IF(INDEX('PROJETO PERFURAÇÃO'!$P:$P,MATCH(MEDIÇÃO!K132,'PROJETO PERFURAÇÃO'!$B:$B,0))="Buffer","B",IF(INDEX('PROJETO PERFURAÇÃO'!$P:$P,MATCH(MEDIÇÃO!K132,'PROJETO PERFURAÇÃO'!$B:$B,0))="Pre-Splitting","S"))),"")</f>
        <v>S</v>
      </c>
      <c r="K132" s="14">
        <f t="shared" si="13"/>
        <v>303</v>
      </c>
      <c r="L132" s="4" t="str">
        <f>IFERROR(INDEX('LEV R&amp;D'!$D:$D,MATCH(MEDIÇÃO!K132,'LEV R&amp;D'!$A:$A,0))-INDEX('PROJETO PERFURAÇÃO'!$AH:$AH,MATCH(MEDIÇÃO!K132,'PROJETO PERFURAÇÃO'!$B:$B,0)),"")</f>
        <v/>
      </c>
      <c r="M132" s="17">
        <f>IFERROR(INDEX('PROJETO PERFURAÇÃO'!$AN:$AN,MATCH(MEDIÇÃO!K132,'PROJETO PERFURAÇÃO'!$B:$B,0)),"")</f>
        <v>15.49</v>
      </c>
      <c r="N132" s="3"/>
      <c r="O132" s="3"/>
      <c r="P132" s="3" t="str">
        <f>IFERROR(ROUND(INDEX('PROJETO PERFURAÇÃO'!$AB:$AB,MATCH(MEDIÇÃO!R132,'PROJETO PERFURAÇÃO'!$B:$B,0)),1)&amp;"''","")</f>
        <v>5''</v>
      </c>
      <c r="Q132" s="3" t="str">
        <f>IFERROR(IF(INDEX('PROJETO PERFURAÇÃO'!$P:$P,MATCH(MEDIÇÃO!R132,'PROJETO PERFURAÇÃO'!$B:$B,0))="Production","P",IF(INDEX('PROJETO PERFURAÇÃO'!$P:$P,MATCH(MEDIÇÃO!R132,'PROJETO PERFURAÇÃO'!$B:$B,0))="Buffer","B",IF(INDEX('PROJETO PERFURAÇÃO'!$P:$P,MATCH(MEDIÇÃO!R132,'PROJETO PERFURAÇÃO'!$B:$B,0))="Pre-Splitting","S"))),"")</f>
        <v>S</v>
      </c>
      <c r="R132" s="14">
        <f t="shared" si="14"/>
        <v>326</v>
      </c>
      <c r="S132" s="4" t="str">
        <f>IFERROR(INDEX('LEV R&amp;D'!$D:$D,MATCH(MEDIÇÃO!R132,'LEV R&amp;D'!$A:$A,0))-INDEX('PROJETO PERFURAÇÃO'!$AH:$AH,MATCH(MEDIÇÃO!R132,'PROJETO PERFURAÇÃO'!$B:$B,0)),"")</f>
        <v/>
      </c>
      <c r="T132" s="17">
        <f>IFERROR(INDEX('PROJETO PERFURAÇÃO'!$AN:$AN,MATCH(MEDIÇÃO!R132,'PROJETO PERFURAÇÃO'!$B:$B,0)),"")</f>
        <v>15.06</v>
      </c>
      <c r="U132" s="3"/>
      <c r="V132" s="3"/>
    </row>
    <row r="133" spans="2:22" ht="45" customHeight="1" x14ac:dyDescent="0.25">
      <c r="B133" s="3" t="str">
        <f>IFERROR(ROUND(INDEX('PROJETO PERFURAÇÃO'!$AB:$AB,MATCH(MEDIÇÃO!D133,'PROJETO PERFURAÇÃO'!$B:$B,0)),1)&amp;"''","")</f>
        <v>5''</v>
      </c>
      <c r="C133" s="3" t="str">
        <f>IFERROR(IF(INDEX('PROJETO PERFURAÇÃO'!$P:$P,MATCH(MEDIÇÃO!D133,'PROJETO PERFURAÇÃO'!$B:$B,0))="Production","P",IF(INDEX('PROJETO PERFURAÇÃO'!$P:$P,MATCH(MEDIÇÃO!D133,'PROJETO PERFURAÇÃO'!$B:$B,0))="Buffer","B",IF(INDEX('PROJETO PERFURAÇÃO'!$P:$P,MATCH(MEDIÇÃO!D133,'PROJETO PERFURAÇÃO'!$B:$B,0))="Pre-Splitting","S"))),"")</f>
        <v>P</v>
      </c>
      <c r="D133" s="14">
        <f t="shared" si="12"/>
        <v>281</v>
      </c>
      <c r="E133" s="4" t="str">
        <f>IFERROR(INDEX('LEV R&amp;D'!$D:$D,MATCH(MEDIÇÃO!D133,'LEV R&amp;D'!$A:$A,0))-INDEX('PROJETO PERFURAÇÃO'!$AH:$AH,MATCH(MEDIÇÃO!D133,'PROJETO PERFURAÇÃO'!$B:$B,0)),"")</f>
        <v/>
      </c>
      <c r="F133" s="17">
        <f>IFERROR(INDEX('PROJETO PERFURAÇÃO'!$AN:$AN,MATCH(MEDIÇÃO!D133,'PROJETO PERFURAÇÃO'!$B:$B,0)),"")</f>
        <v>0</v>
      </c>
      <c r="G133" s="3"/>
      <c r="H133" s="3"/>
      <c r="I133" s="3" t="str">
        <f>IFERROR(ROUND(INDEX('PROJETO PERFURAÇÃO'!$AB:$AB,MATCH(MEDIÇÃO!K133,'PROJETO PERFURAÇÃO'!$B:$B,0)),1)&amp;"''","")</f>
        <v>5''</v>
      </c>
      <c r="J133" s="3" t="str">
        <f>IFERROR(IF(INDEX('PROJETO PERFURAÇÃO'!$P:$P,MATCH(MEDIÇÃO!K133,'PROJETO PERFURAÇÃO'!$B:$B,0))="Production","P",IF(INDEX('PROJETO PERFURAÇÃO'!$P:$P,MATCH(MEDIÇÃO!K133,'PROJETO PERFURAÇÃO'!$B:$B,0))="Buffer","B",IF(INDEX('PROJETO PERFURAÇÃO'!$P:$P,MATCH(MEDIÇÃO!K133,'PROJETO PERFURAÇÃO'!$B:$B,0))="Pre-Splitting","S"))),"")</f>
        <v>S</v>
      </c>
      <c r="K133" s="14">
        <f t="shared" si="13"/>
        <v>304</v>
      </c>
      <c r="L133" s="4" t="str">
        <f>IFERROR(INDEX('LEV R&amp;D'!$D:$D,MATCH(MEDIÇÃO!K133,'LEV R&amp;D'!$A:$A,0))-INDEX('PROJETO PERFURAÇÃO'!$AH:$AH,MATCH(MEDIÇÃO!K133,'PROJETO PERFURAÇÃO'!$B:$B,0)),"")</f>
        <v/>
      </c>
      <c r="M133" s="17">
        <f>IFERROR(INDEX('PROJETO PERFURAÇÃO'!$AN:$AN,MATCH(MEDIÇÃO!K133,'PROJETO PERFURAÇÃO'!$B:$B,0)),"")</f>
        <v>15.46</v>
      </c>
      <c r="N133" s="3"/>
      <c r="O133" s="3"/>
      <c r="P133" s="3" t="str">
        <f>IFERROR(ROUND(INDEX('PROJETO PERFURAÇÃO'!$AB:$AB,MATCH(MEDIÇÃO!R133,'PROJETO PERFURAÇÃO'!$B:$B,0)),1)&amp;"''","")</f>
        <v>5''</v>
      </c>
      <c r="Q133" s="3" t="str">
        <f>IFERROR(IF(INDEX('PROJETO PERFURAÇÃO'!$P:$P,MATCH(MEDIÇÃO!R133,'PROJETO PERFURAÇÃO'!$B:$B,0))="Production","P",IF(INDEX('PROJETO PERFURAÇÃO'!$P:$P,MATCH(MEDIÇÃO!R133,'PROJETO PERFURAÇÃO'!$B:$B,0))="Buffer","B",IF(INDEX('PROJETO PERFURAÇÃO'!$P:$P,MATCH(MEDIÇÃO!R133,'PROJETO PERFURAÇÃO'!$B:$B,0))="Pre-Splitting","S"))),"")</f>
        <v>S</v>
      </c>
      <c r="R133" s="14">
        <f t="shared" si="14"/>
        <v>327</v>
      </c>
      <c r="S133" s="4" t="str">
        <f>IFERROR(INDEX('LEV R&amp;D'!$D:$D,MATCH(MEDIÇÃO!R133,'LEV R&amp;D'!$A:$A,0))-INDEX('PROJETO PERFURAÇÃO'!$AH:$AH,MATCH(MEDIÇÃO!R133,'PROJETO PERFURAÇÃO'!$B:$B,0)),"")</f>
        <v/>
      </c>
      <c r="T133" s="17">
        <f>IFERROR(INDEX('PROJETO PERFURAÇÃO'!$AN:$AN,MATCH(MEDIÇÃO!R133,'PROJETO PERFURAÇÃO'!$B:$B,0)),"")</f>
        <v>15.02</v>
      </c>
      <c r="U133" s="3"/>
      <c r="V133" s="3"/>
    </row>
    <row r="134" spans="2:22" ht="45" customHeight="1" x14ac:dyDescent="0.25">
      <c r="B134" s="3" t="str">
        <f>IFERROR(ROUND(INDEX('PROJETO PERFURAÇÃO'!$AB:$AB,MATCH(MEDIÇÃO!D134,'PROJETO PERFURAÇÃO'!$B:$B,0)),1)&amp;"''","")</f>
        <v>5''</v>
      </c>
      <c r="C134" s="3" t="str">
        <f>IFERROR(IF(INDEX('PROJETO PERFURAÇÃO'!$P:$P,MATCH(MEDIÇÃO!D134,'PROJETO PERFURAÇÃO'!$B:$B,0))="Production","P",IF(INDEX('PROJETO PERFURAÇÃO'!$P:$P,MATCH(MEDIÇÃO!D134,'PROJETO PERFURAÇÃO'!$B:$B,0))="Buffer","B",IF(INDEX('PROJETO PERFURAÇÃO'!$P:$P,MATCH(MEDIÇÃO!D134,'PROJETO PERFURAÇÃO'!$B:$B,0))="Pre-Splitting","S"))),"")</f>
        <v>P</v>
      </c>
      <c r="D134" s="14">
        <f t="shared" si="12"/>
        <v>282</v>
      </c>
      <c r="E134" s="4" t="str">
        <f>IFERROR(INDEX('LEV R&amp;D'!$D:$D,MATCH(MEDIÇÃO!D134,'LEV R&amp;D'!$A:$A,0))-INDEX('PROJETO PERFURAÇÃO'!$AH:$AH,MATCH(MEDIÇÃO!D134,'PROJETO PERFURAÇÃO'!$B:$B,0)),"")</f>
        <v/>
      </c>
      <c r="F134" s="17">
        <f>IFERROR(INDEX('PROJETO PERFURAÇÃO'!$AN:$AN,MATCH(MEDIÇÃO!D134,'PROJETO PERFURAÇÃO'!$B:$B,0)),"")</f>
        <v>0</v>
      </c>
      <c r="G134" s="3"/>
      <c r="H134" s="3"/>
      <c r="I134" s="3" t="str">
        <f>IFERROR(ROUND(INDEX('PROJETO PERFURAÇÃO'!$AB:$AB,MATCH(MEDIÇÃO!K134,'PROJETO PERFURAÇÃO'!$B:$B,0)),1)&amp;"''","")</f>
        <v>5''</v>
      </c>
      <c r="J134" s="3" t="str">
        <f>IFERROR(IF(INDEX('PROJETO PERFURAÇÃO'!$P:$P,MATCH(MEDIÇÃO!K134,'PROJETO PERFURAÇÃO'!$B:$B,0))="Production","P",IF(INDEX('PROJETO PERFURAÇÃO'!$P:$P,MATCH(MEDIÇÃO!K134,'PROJETO PERFURAÇÃO'!$B:$B,0))="Buffer","B",IF(INDEX('PROJETO PERFURAÇÃO'!$P:$P,MATCH(MEDIÇÃO!K134,'PROJETO PERFURAÇÃO'!$B:$B,0))="Pre-Splitting","S"))),"")</f>
        <v>S</v>
      </c>
      <c r="K134" s="14">
        <f t="shared" si="13"/>
        <v>305</v>
      </c>
      <c r="L134" s="4" t="str">
        <f>IFERROR(INDEX('LEV R&amp;D'!$D:$D,MATCH(MEDIÇÃO!K134,'LEV R&amp;D'!$A:$A,0))-INDEX('PROJETO PERFURAÇÃO'!$AH:$AH,MATCH(MEDIÇÃO!K134,'PROJETO PERFURAÇÃO'!$B:$B,0)),"")</f>
        <v/>
      </c>
      <c r="M134" s="17">
        <f>IFERROR(INDEX('PROJETO PERFURAÇÃO'!$AN:$AN,MATCH(MEDIÇÃO!K134,'PROJETO PERFURAÇÃO'!$B:$B,0)),"")</f>
        <v>15.41</v>
      </c>
      <c r="N134" s="3"/>
      <c r="O134" s="3"/>
      <c r="P134" s="3" t="str">
        <f>IFERROR(ROUND(INDEX('PROJETO PERFURAÇÃO'!$AB:$AB,MATCH(MEDIÇÃO!R134,'PROJETO PERFURAÇÃO'!$B:$B,0)),1)&amp;"''","")</f>
        <v>5''</v>
      </c>
      <c r="Q134" s="3" t="str">
        <f>IFERROR(IF(INDEX('PROJETO PERFURAÇÃO'!$P:$P,MATCH(MEDIÇÃO!R134,'PROJETO PERFURAÇÃO'!$B:$B,0))="Production","P",IF(INDEX('PROJETO PERFURAÇÃO'!$P:$P,MATCH(MEDIÇÃO!R134,'PROJETO PERFURAÇÃO'!$B:$B,0))="Buffer","B",IF(INDEX('PROJETO PERFURAÇÃO'!$P:$P,MATCH(MEDIÇÃO!R134,'PROJETO PERFURAÇÃO'!$B:$B,0))="Pre-Splitting","S"))),"")</f>
        <v>S</v>
      </c>
      <c r="R134" s="14">
        <f t="shared" si="14"/>
        <v>328</v>
      </c>
      <c r="S134" s="4" t="str">
        <f>IFERROR(INDEX('LEV R&amp;D'!$D:$D,MATCH(MEDIÇÃO!R134,'LEV R&amp;D'!$A:$A,0))-INDEX('PROJETO PERFURAÇÃO'!$AH:$AH,MATCH(MEDIÇÃO!R134,'PROJETO PERFURAÇÃO'!$B:$B,0)),"")</f>
        <v/>
      </c>
      <c r="T134" s="17">
        <f>IFERROR(INDEX('PROJETO PERFURAÇÃO'!$AN:$AN,MATCH(MEDIÇÃO!R134,'PROJETO PERFURAÇÃO'!$B:$B,0)),"")</f>
        <v>15.07</v>
      </c>
      <c r="U134" s="3"/>
      <c r="V134" s="3"/>
    </row>
    <row r="135" spans="2:22" ht="45" customHeight="1" x14ac:dyDescent="0.25">
      <c r="B135" s="3" t="str">
        <f>IFERROR(ROUND(INDEX('PROJETO PERFURAÇÃO'!$AB:$AB,MATCH(MEDIÇÃO!D135,'PROJETO PERFURAÇÃO'!$B:$B,0)),1)&amp;"''","")</f>
        <v>5''</v>
      </c>
      <c r="C135" s="3" t="str">
        <f>IFERROR(IF(INDEX('PROJETO PERFURAÇÃO'!$P:$P,MATCH(MEDIÇÃO!D135,'PROJETO PERFURAÇÃO'!$B:$B,0))="Production","P",IF(INDEX('PROJETO PERFURAÇÃO'!$P:$P,MATCH(MEDIÇÃO!D135,'PROJETO PERFURAÇÃO'!$B:$B,0))="Buffer","B",IF(INDEX('PROJETO PERFURAÇÃO'!$P:$P,MATCH(MEDIÇÃO!D135,'PROJETO PERFURAÇÃO'!$B:$B,0))="Pre-Splitting","S"))),"")</f>
        <v>S</v>
      </c>
      <c r="D135" s="14">
        <f t="shared" si="12"/>
        <v>283</v>
      </c>
      <c r="E135" s="4" t="str">
        <f>IFERROR(INDEX('LEV R&amp;D'!$D:$D,MATCH(MEDIÇÃO!D135,'LEV R&amp;D'!$A:$A,0))-INDEX('PROJETO PERFURAÇÃO'!$AH:$AH,MATCH(MEDIÇÃO!D135,'PROJETO PERFURAÇÃO'!$B:$B,0)),"")</f>
        <v/>
      </c>
      <c r="F135" s="17">
        <f>IFERROR(INDEX('PROJETO PERFURAÇÃO'!$AN:$AN,MATCH(MEDIÇÃO!D135,'PROJETO PERFURAÇÃO'!$B:$B,0)),"")</f>
        <v>14.74</v>
      </c>
      <c r="G135" s="3"/>
      <c r="H135" s="3"/>
      <c r="I135" s="3" t="str">
        <f>IFERROR(ROUND(INDEX('PROJETO PERFURAÇÃO'!$AB:$AB,MATCH(MEDIÇÃO!K135,'PROJETO PERFURAÇÃO'!$B:$B,0)),1)&amp;"''","")</f>
        <v>5''</v>
      </c>
      <c r="J135" s="3" t="str">
        <f>IFERROR(IF(INDEX('PROJETO PERFURAÇÃO'!$P:$P,MATCH(MEDIÇÃO!K135,'PROJETO PERFURAÇÃO'!$B:$B,0))="Production","P",IF(INDEX('PROJETO PERFURAÇÃO'!$P:$P,MATCH(MEDIÇÃO!K135,'PROJETO PERFURAÇÃO'!$B:$B,0))="Buffer","B",IF(INDEX('PROJETO PERFURAÇÃO'!$P:$P,MATCH(MEDIÇÃO!K135,'PROJETO PERFURAÇÃO'!$B:$B,0))="Pre-Splitting","S"))),"")</f>
        <v>S</v>
      </c>
      <c r="K135" s="14">
        <f t="shared" si="13"/>
        <v>306</v>
      </c>
      <c r="L135" s="4" t="str">
        <f>IFERROR(INDEX('LEV R&amp;D'!$D:$D,MATCH(MEDIÇÃO!K135,'LEV R&amp;D'!$A:$A,0))-INDEX('PROJETO PERFURAÇÃO'!$AH:$AH,MATCH(MEDIÇÃO!K135,'PROJETO PERFURAÇÃO'!$B:$B,0)),"")</f>
        <v/>
      </c>
      <c r="M135" s="17">
        <f>IFERROR(INDEX('PROJETO PERFURAÇÃO'!$AN:$AN,MATCH(MEDIÇÃO!K135,'PROJETO PERFURAÇÃO'!$B:$B,0)),"")</f>
        <v>15.35</v>
      </c>
      <c r="N135" s="3"/>
      <c r="O135" s="3"/>
      <c r="P135" s="3" t="str">
        <f>IFERROR(ROUND(INDEX('PROJETO PERFURAÇÃO'!$AB:$AB,MATCH(MEDIÇÃO!R135,'PROJETO PERFURAÇÃO'!$B:$B,0)),1)&amp;"''","")</f>
        <v>5''</v>
      </c>
      <c r="Q135" s="3" t="str">
        <f>IFERROR(IF(INDEX('PROJETO PERFURAÇÃO'!$P:$P,MATCH(MEDIÇÃO!R135,'PROJETO PERFURAÇÃO'!$B:$B,0))="Production","P",IF(INDEX('PROJETO PERFURAÇÃO'!$P:$P,MATCH(MEDIÇÃO!R135,'PROJETO PERFURAÇÃO'!$B:$B,0))="Buffer","B",IF(INDEX('PROJETO PERFURAÇÃO'!$P:$P,MATCH(MEDIÇÃO!R135,'PROJETO PERFURAÇÃO'!$B:$B,0))="Pre-Splitting","S"))),"")</f>
        <v>S</v>
      </c>
      <c r="R135" s="14">
        <f t="shared" si="14"/>
        <v>329</v>
      </c>
      <c r="S135" s="4" t="str">
        <f>IFERROR(INDEX('LEV R&amp;D'!$D:$D,MATCH(MEDIÇÃO!R135,'LEV R&amp;D'!$A:$A,0))-INDEX('PROJETO PERFURAÇÃO'!$AH:$AH,MATCH(MEDIÇÃO!R135,'PROJETO PERFURAÇÃO'!$B:$B,0)),"")</f>
        <v/>
      </c>
      <c r="T135" s="17">
        <f>IFERROR(INDEX('PROJETO PERFURAÇÃO'!$AN:$AN,MATCH(MEDIÇÃO!R135,'PROJETO PERFURAÇÃO'!$B:$B,0)),"")</f>
        <v>15.16</v>
      </c>
      <c r="U135" s="3"/>
      <c r="V135" s="3"/>
    </row>
    <row r="136" spans="2:22" ht="45" customHeight="1" x14ac:dyDescent="0.25">
      <c r="B136" s="3" t="str">
        <f>IFERROR(ROUND(INDEX('PROJETO PERFURAÇÃO'!$AB:$AB,MATCH(MEDIÇÃO!D136,'PROJETO PERFURAÇÃO'!$B:$B,0)),1)&amp;"''","")</f>
        <v>5''</v>
      </c>
      <c r="C136" s="3" t="str">
        <f>IFERROR(IF(INDEX('PROJETO PERFURAÇÃO'!$P:$P,MATCH(MEDIÇÃO!D136,'PROJETO PERFURAÇÃO'!$B:$B,0))="Production","P",IF(INDEX('PROJETO PERFURAÇÃO'!$P:$P,MATCH(MEDIÇÃO!D136,'PROJETO PERFURAÇÃO'!$B:$B,0))="Buffer","B",IF(INDEX('PROJETO PERFURAÇÃO'!$P:$P,MATCH(MEDIÇÃO!D136,'PROJETO PERFURAÇÃO'!$B:$B,0))="Pre-Splitting","S"))),"")</f>
        <v>S</v>
      </c>
      <c r="D136" s="14">
        <f t="shared" si="12"/>
        <v>284</v>
      </c>
      <c r="E136" s="4" t="str">
        <f>IFERROR(INDEX('LEV R&amp;D'!$D:$D,MATCH(MEDIÇÃO!D136,'LEV R&amp;D'!$A:$A,0))-INDEX('PROJETO PERFURAÇÃO'!$AH:$AH,MATCH(MEDIÇÃO!D136,'PROJETO PERFURAÇÃO'!$B:$B,0)),"")</f>
        <v/>
      </c>
      <c r="F136" s="17">
        <f>IFERROR(INDEX('PROJETO PERFURAÇÃO'!$AN:$AN,MATCH(MEDIÇÃO!D136,'PROJETO PERFURAÇÃO'!$B:$B,0)),"")</f>
        <v>15.44</v>
      </c>
      <c r="G136" s="3"/>
      <c r="H136" s="3"/>
      <c r="I136" s="3" t="str">
        <f>IFERROR(ROUND(INDEX('PROJETO PERFURAÇÃO'!$AB:$AB,MATCH(MEDIÇÃO!K136,'PROJETO PERFURAÇÃO'!$B:$B,0)),1)&amp;"''","")</f>
        <v>5''</v>
      </c>
      <c r="J136" s="3" t="str">
        <f>IFERROR(IF(INDEX('PROJETO PERFURAÇÃO'!$P:$P,MATCH(MEDIÇÃO!K136,'PROJETO PERFURAÇÃO'!$B:$B,0))="Production","P",IF(INDEX('PROJETO PERFURAÇÃO'!$P:$P,MATCH(MEDIÇÃO!K136,'PROJETO PERFURAÇÃO'!$B:$B,0))="Buffer","B",IF(INDEX('PROJETO PERFURAÇÃO'!$P:$P,MATCH(MEDIÇÃO!K136,'PROJETO PERFURAÇÃO'!$B:$B,0))="Pre-Splitting","S"))),"")</f>
        <v>S</v>
      </c>
      <c r="K136" s="14">
        <f t="shared" si="13"/>
        <v>307</v>
      </c>
      <c r="L136" s="4" t="str">
        <f>IFERROR(INDEX('LEV R&amp;D'!$D:$D,MATCH(MEDIÇÃO!K136,'LEV R&amp;D'!$A:$A,0))-INDEX('PROJETO PERFURAÇÃO'!$AH:$AH,MATCH(MEDIÇÃO!K136,'PROJETO PERFURAÇÃO'!$B:$B,0)),"")</f>
        <v/>
      </c>
      <c r="M136" s="17">
        <f>IFERROR(INDEX('PROJETO PERFURAÇÃO'!$AN:$AN,MATCH(MEDIÇÃO!K136,'PROJETO PERFURAÇÃO'!$B:$B,0)),"")</f>
        <v>15.31</v>
      </c>
      <c r="N136" s="3"/>
      <c r="O136" s="3"/>
      <c r="P136" s="3" t="str">
        <f>IFERROR(ROUND(INDEX('PROJETO PERFURAÇÃO'!$AB:$AB,MATCH(MEDIÇÃO!R136,'PROJETO PERFURAÇÃO'!$B:$B,0)),1)&amp;"''","")</f>
        <v>5''</v>
      </c>
      <c r="Q136" s="3" t="str">
        <f>IFERROR(IF(INDEX('PROJETO PERFURAÇÃO'!$P:$P,MATCH(MEDIÇÃO!R136,'PROJETO PERFURAÇÃO'!$B:$B,0))="Production","P",IF(INDEX('PROJETO PERFURAÇÃO'!$P:$P,MATCH(MEDIÇÃO!R136,'PROJETO PERFURAÇÃO'!$B:$B,0))="Buffer","B",IF(INDEX('PROJETO PERFURAÇÃO'!$P:$P,MATCH(MEDIÇÃO!R136,'PROJETO PERFURAÇÃO'!$B:$B,0))="Pre-Splitting","S"))),"")</f>
        <v>S</v>
      </c>
      <c r="R136" s="14">
        <f t="shared" si="14"/>
        <v>330</v>
      </c>
      <c r="S136" s="4" t="str">
        <f>IFERROR(INDEX('LEV R&amp;D'!$D:$D,MATCH(MEDIÇÃO!R136,'LEV R&amp;D'!$A:$A,0))-INDEX('PROJETO PERFURAÇÃO'!$AH:$AH,MATCH(MEDIÇÃO!R136,'PROJETO PERFURAÇÃO'!$B:$B,0)),"")</f>
        <v/>
      </c>
      <c r="T136" s="17">
        <f>IFERROR(INDEX('PROJETO PERFURAÇÃO'!$AN:$AN,MATCH(MEDIÇÃO!R136,'PROJETO PERFURAÇÃO'!$B:$B,0)),"")</f>
        <v>15.21</v>
      </c>
      <c r="U136" s="3"/>
      <c r="V136" s="3"/>
    </row>
    <row r="137" spans="2:22" ht="45" customHeight="1" x14ac:dyDescent="0.25">
      <c r="B137" s="3" t="str">
        <f>IFERROR(ROUND(INDEX('PROJETO PERFURAÇÃO'!$AB:$AB,MATCH(MEDIÇÃO!D137,'PROJETO PERFURAÇÃO'!$B:$B,0)),1)&amp;"''","")</f>
        <v>5''</v>
      </c>
      <c r="C137" s="3" t="str">
        <f>IFERROR(IF(INDEX('PROJETO PERFURAÇÃO'!$P:$P,MATCH(MEDIÇÃO!D137,'PROJETO PERFURAÇÃO'!$B:$B,0))="Production","P",IF(INDEX('PROJETO PERFURAÇÃO'!$P:$P,MATCH(MEDIÇÃO!D137,'PROJETO PERFURAÇÃO'!$B:$B,0))="Buffer","B",IF(INDEX('PROJETO PERFURAÇÃO'!$P:$P,MATCH(MEDIÇÃO!D137,'PROJETO PERFURAÇÃO'!$B:$B,0))="Pre-Splitting","S"))),"")</f>
        <v>S</v>
      </c>
      <c r="D137" s="14">
        <f t="shared" si="12"/>
        <v>285</v>
      </c>
      <c r="E137" s="4" t="str">
        <f>IFERROR(INDEX('LEV R&amp;D'!$D:$D,MATCH(MEDIÇÃO!D137,'LEV R&amp;D'!$A:$A,0))-INDEX('PROJETO PERFURAÇÃO'!$AH:$AH,MATCH(MEDIÇÃO!D137,'PROJETO PERFURAÇÃO'!$B:$B,0)),"")</f>
        <v/>
      </c>
      <c r="F137" s="17">
        <f>IFERROR(INDEX('PROJETO PERFURAÇÃO'!$AN:$AN,MATCH(MEDIÇÃO!D137,'PROJETO PERFURAÇÃO'!$B:$B,0)),"")</f>
        <v>15.99</v>
      </c>
      <c r="G137" s="3"/>
      <c r="H137" s="3"/>
      <c r="I137" s="3" t="str">
        <f>IFERROR(ROUND(INDEX('PROJETO PERFURAÇÃO'!$AB:$AB,MATCH(MEDIÇÃO!K137,'PROJETO PERFURAÇÃO'!$B:$B,0)),1)&amp;"''","")</f>
        <v>5''</v>
      </c>
      <c r="J137" s="3" t="str">
        <f>IFERROR(IF(INDEX('PROJETO PERFURAÇÃO'!$P:$P,MATCH(MEDIÇÃO!K137,'PROJETO PERFURAÇÃO'!$B:$B,0))="Production","P",IF(INDEX('PROJETO PERFURAÇÃO'!$P:$P,MATCH(MEDIÇÃO!K137,'PROJETO PERFURAÇÃO'!$B:$B,0))="Buffer","B",IF(INDEX('PROJETO PERFURAÇÃO'!$P:$P,MATCH(MEDIÇÃO!K137,'PROJETO PERFURAÇÃO'!$B:$B,0))="Pre-Splitting","S"))),"")</f>
        <v>S</v>
      </c>
      <c r="K137" s="14">
        <f t="shared" si="13"/>
        <v>308</v>
      </c>
      <c r="L137" s="4" t="str">
        <f>IFERROR(INDEX('LEV R&amp;D'!$D:$D,MATCH(MEDIÇÃO!K137,'LEV R&amp;D'!$A:$A,0))-INDEX('PROJETO PERFURAÇÃO'!$AH:$AH,MATCH(MEDIÇÃO!K137,'PROJETO PERFURAÇÃO'!$B:$B,0)),"")</f>
        <v/>
      </c>
      <c r="M137" s="17">
        <f>IFERROR(INDEX('PROJETO PERFURAÇÃO'!$AN:$AN,MATCH(MEDIÇÃO!K137,'PROJETO PERFURAÇÃO'!$B:$B,0)),"")</f>
        <v>15.27</v>
      </c>
      <c r="N137" s="3"/>
      <c r="O137" s="3"/>
      <c r="P137" s="3" t="str">
        <f>IFERROR(ROUND(INDEX('PROJETO PERFURAÇÃO'!$AB:$AB,MATCH(MEDIÇÃO!R137,'PROJETO PERFURAÇÃO'!$B:$B,0)),1)&amp;"''","")</f>
        <v>5''</v>
      </c>
      <c r="Q137" s="3" t="str">
        <f>IFERROR(IF(INDEX('PROJETO PERFURAÇÃO'!$P:$P,MATCH(MEDIÇÃO!R137,'PROJETO PERFURAÇÃO'!$B:$B,0))="Production","P",IF(INDEX('PROJETO PERFURAÇÃO'!$P:$P,MATCH(MEDIÇÃO!R137,'PROJETO PERFURAÇÃO'!$B:$B,0))="Buffer","B",IF(INDEX('PROJETO PERFURAÇÃO'!$P:$P,MATCH(MEDIÇÃO!R137,'PROJETO PERFURAÇÃO'!$B:$B,0))="Pre-Splitting","S"))),"")</f>
        <v>S</v>
      </c>
      <c r="R137" s="14">
        <f t="shared" si="14"/>
        <v>331</v>
      </c>
      <c r="S137" s="4" t="str">
        <f>IFERROR(INDEX('LEV R&amp;D'!$D:$D,MATCH(MEDIÇÃO!R137,'LEV R&amp;D'!$A:$A,0))-INDEX('PROJETO PERFURAÇÃO'!$AH:$AH,MATCH(MEDIÇÃO!R137,'PROJETO PERFURAÇÃO'!$B:$B,0)),"")</f>
        <v/>
      </c>
      <c r="T137" s="17">
        <f>IFERROR(INDEX('PROJETO PERFURAÇÃO'!$AN:$AN,MATCH(MEDIÇÃO!R137,'PROJETO PERFURAÇÃO'!$B:$B,0)),"")</f>
        <v>15.26</v>
      </c>
      <c r="U137" s="3"/>
      <c r="V137" s="3"/>
    </row>
    <row r="138" spans="2:22" ht="45" customHeight="1" x14ac:dyDescent="0.25">
      <c r="B138" s="3" t="str">
        <f>IFERROR(ROUND(INDEX('PROJETO PERFURAÇÃO'!$AB:$AB,MATCH(MEDIÇÃO!D138,'PROJETO PERFURAÇÃO'!$B:$B,0)),1)&amp;"''","")</f>
        <v>5''</v>
      </c>
      <c r="C138" s="3" t="str">
        <f>IFERROR(IF(INDEX('PROJETO PERFURAÇÃO'!$P:$P,MATCH(MEDIÇÃO!D138,'PROJETO PERFURAÇÃO'!$B:$B,0))="Production","P",IF(INDEX('PROJETO PERFURAÇÃO'!$P:$P,MATCH(MEDIÇÃO!D138,'PROJETO PERFURAÇÃO'!$B:$B,0))="Buffer","B",IF(INDEX('PROJETO PERFURAÇÃO'!$P:$P,MATCH(MEDIÇÃO!D138,'PROJETO PERFURAÇÃO'!$B:$B,0))="Pre-Splitting","S"))),"")</f>
        <v>S</v>
      </c>
      <c r="D138" s="14">
        <f t="shared" si="12"/>
        <v>286</v>
      </c>
      <c r="E138" s="4" t="str">
        <f>IFERROR(INDEX('LEV R&amp;D'!$D:$D,MATCH(MEDIÇÃO!D138,'LEV R&amp;D'!$A:$A,0))-INDEX('PROJETO PERFURAÇÃO'!$AH:$AH,MATCH(MEDIÇÃO!D138,'PROJETO PERFURAÇÃO'!$B:$B,0)),"")</f>
        <v/>
      </c>
      <c r="F138" s="17">
        <f>IFERROR(INDEX('PROJETO PERFURAÇÃO'!$AN:$AN,MATCH(MEDIÇÃO!D138,'PROJETO PERFURAÇÃO'!$B:$B,0)),"")</f>
        <v>16.3</v>
      </c>
      <c r="G138" s="3"/>
      <c r="H138" s="3"/>
      <c r="I138" s="3" t="str">
        <f>IFERROR(ROUND(INDEX('PROJETO PERFURAÇÃO'!$AB:$AB,MATCH(MEDIÇÃO!K138,'PROJETO PERFURAÇÃO'!$B:$B,0)),1)&amp;"''","")</f>
        <v>5''</v>
      </c>
      <c r="J138" s="3" t="str">
        <f>IFERROR(IF(INDEX('PROJETO PERFURAÇÃO'!$P:$P,MATCH(MEDIÇÃO!K138,'PROJETO PERFURAÇÃO'!$B:$B,0))="Production","P",IF(INDEX('PROJETO PERFURAÇÃO'!$P:$P,MATCH(MEDIÇÃO!K138,'PROJETO PERFURAÇÃO'!$B:$B,0))="Buffer","B",IF(INDEX('PROJETO PERFURAÇÃO'!$P:$P,MATCH(MEDIÇÃO!K138,'PROJETO PERFURAÇÃO'!$B:$B,0))="Pre-Splitting","S"))),"")</f>
        <v>S</v>
      </c>
      <c r="K138" s="14">
        <f t="shared" si="13"/>
        <v>309</v>
      </c>
      <c r="L138" s="4" t="str">
        <f>IFERROR(INDEX('LEV R&amp;D'!$D:$D,MATCH(MEDIÇÃO!K138,'LEV R&amp;D'!$A:$A,0))-INDEX('PROJETO PERFURAÇÃO'!$AH:$AH,MATCH(MEDIÇÃO!K138,'PROJETO PERFURAÇÃO'!$B:$B,0)),"")</f>
        <v/>
      </c>
      <c r="M138" s="17">
        <f>IFERROR(INDEX('PROJETO PERFURAÇÃO'!$AN:$AN,MATCH(MEDIÇÃO!K138,'PROJETO PERFURAÇÃO'!$B:$B,0)),"")</f>
        <v>15.26</v>
      </c>
      <c r="N138" s="3"/>
      <c r="O138" s="3"/>
      <c r="P138" s="3" t="str">
        <f>IFERROR(ROUND(INDEX('PROJETO PERFURAÇÃO'!$AB:$AB,MATCH(MEDIÇÃO!R138,'PROJETO PERFURAÇÃO'!$B:$B,0)),1)&amp;"''","")</f>
        <v>5''</v>
      </c>
      <c r="Q138" s="3" t="str">
        <f>IFERROR(IF(INDEX('PROJETO PERFURAÇÃO'!$P:$P,MATCH(MEDIÇÃO!R138,'PROJETO PERFURAÇÃO'!$B:$B,0))="Production","P",IF(INDEX('PROJETO PERFURAÇÃO'!$P:$P,MATCH(MEDIÇÃO!R138,'PROJETO PERFURAÇÃO'!$B:$B,0))="Buffer","B",IF(INDEX('PROJETO PERFURAÇÃO'!$P:$P,MATCH(MEDIÇÃO!R138,'PROJETO PERFURAÇÃO'!$B:$B,0))="Pre-Splitting","S"))),"")</f>
        <v>S</v>
      </c>
      <c r="R138" s="14">
        <f t="shared" si="14"/>
        <v>332</v>
      </c>
      <c r="S138" s="4" t="str">
        <f>IFERROR(INDEX('LEV R&amp;D'!$D:$D,MATCH(MEDIÇÃO!R138,'LEV R&amp;D'!$A:$A,0))-INDEX('PROJETO PERFURAÇÃO'!$AH:$AH,MATCH(MEDIÇÃO!R138,'PROJETO PERFURAÇÃO'!$B:$B,0)),"")</f>
        <v/>
      </c>
      <c r="T138" s="17">
        <f>IFERROR(INDEX('PROJETO PERFURAÇÃO'!$AN:$AN,MATCH(MEDIÇÃO!R138,'PROJETO PERFURAÇÃO'!$B:$B,0)),"")</f>
        <v>15.3</v>
      </c>
      <c r="U138" s="3"/>
      <c r="V138" s="3"/>
    </row>
    <row r="139" spans="2:22" ht="45" customHeight="1" x14ac:dyDescent="0.25">
      <c r="B139" s="3" t="str">
        <f>IFERROR(ROUND(INDEX('PROJETO PERFURAÇÃO'!$AB:$AB,MATCH(MEDIÇÃO!D139,'PROJETO PERFURAÇÃO'!$B:$B,0)),1)&amp;"''","")</f>
        <v>5''</v>
      </c>
      <c r="C139" s="3" t="str">
        <f>IFERROR(IF(INDEX('PROJETO PERFURAÇÃO'!$P:$P,MATCH(MEDIÇÃO!D139,'PROJETO PERFURAÇÃO'!$B:$B,0))="Production","P",IF(INDEX('PROJETO PERFURAÇÃO'!$P:$P,MATCH(MEDIÇÃO!D139,'PROJETO PERFURAÇÃO'!$B:$B,0))="Buffer","B",IF(INDEX('PROJETO PERFURAÇÃO'!$P:$P,MATCH(MEDIÇÃO!D139,'PROJETO PERFURAÇÃO'!$B:$B,0))="Pre-Splitting","S"))),"")</f>
        <v>S</v>
      </c>
      <c r="D139" s="14">
        <f t="shared" si="12"/>
        <v>287</v>
      </c>
      <c r="E139" s="4" t="str">
        <f>IFERROR(INDEX('LEV R&amp;D'!$D:$D,MATCH(MEDIÇÃO!D139,'LEV R&amp;D'!$A:$A,0))-INDEX('PROJETO PERFURAÇÃO'!$AH:$AH,MATCH(MEDIÇÃO!D139,'PROJETO PERFURAÇÃO'!$B:$B,0)),"")</f>
        <v/>
      </c>
      <c r="F139" s="17">
        <f>IFERROR(INDEX('PROJETO PERFURAÇÃO'!$AN:$AN,MATCH(MEDIÇÃO!D139,'PROJETO PERFURAÇÃO'!$B:$B,0)),"")</f>
        <v>16.52</v>
      </c>
      <c r="G139" s="3"/>
      <c r="H139" s="3"/>
      <c r="I139" s="3" t="str">
        <f>IFERROR(ROUND(INDEX('PROJETO PERFURAÇÃO'!$AB:$AB,MATCH(MEDIÇÃO!K139,'PROJETO PERFURAÇÃO'!$B:$B,0)),1)&amp;"''","")</f>
        <v>5''</v>
      </c>
      <c r="J139" s="3" t="str">
        <f>IFERROR(IF(INDEX('PROJETO PERFURAÇÃO'!$P:$P,MATCH(MEDIÇÃO!K139,'PROJETO PERFURAÇÃO'!$B:$B,0))="Production","P",IF(INDEX('PROJETO PERFURAÇÃO'!$P:$P,MATCH(MEDIÇÃO!K139,'PROJETO PERFURAÇÃO'!$B:$B,0))="Buffer","B",IF(INDEX('PROJETO PERFURAÇÃO'!$P:$P,MATCH(MEDIÇÃO!K139,'PROJETO PERFURAÇÃO'!$B:$B,0))="Pre-Splitting","S"))),"")</f>
        <v>S</v>
      </c>
      <c r="K139" s="14">
        <f t="shared" si="13"/>
        <v>310</v>
      </c>
      <c r="L139" s="4" t="str">
        <f>IFERROR(INDEX('LEV R&amp;D'!$D:$D,MATCH(MEDIÇÃO!K139,'LEV R&amp;D'!$A:$A,0))-INDEX('PROJETO PERFURAÇÃO'!$AH:$AH,MATCH(MEDIÇÃO!K139,'PROJETO PERFURAÇÃO'!$B:$B,0)),"")</f>
        <v/>
      </c>
      <c r="M139" s="17">
        <f>IFERROR(INDEX('PROJETO PERFURAÇÃO'!$AN:$AN,MATCH(MEDIÇÃO!K139,'PROJETO PERFURAÇÃO'!$B:$B,0)),"")</f>
        <v>15.34</v>
      </c>
      <c r="N139" s="3"/>
      <c r="O139" s="3"/>
      <c r="P139" s="3" t="str">
        <f>IFERROR(ROUND(INDEX('PROJETO PERFURAÇÃO'!$AB:$AB,MATCH(MEDIÇÃO!R139,'PROJETO PERFURAÇÃO'!$B:$B,0)),1)&amp;"''","")</f>
        <v>5''</v>
      </c>
      <c r="Q139" s="3" t="str">
        <f>IFERROR(IF(INDEX('PROJETO PERFURAÇÃO'!$P:$P,MATCH(MEDIÇÃO!R139,'PROJETO PERFURAÇÃO'!$B:$B,0))="Production","P",IF(INDEX('PROJETO PERFURAÇÃO'!$P:$P,MATCH(MEDIÇÃO!R139,'PROJETO PERFURAÇÃO'!$B:$B,0))="Buffer","B",IF(INDEX('PROJETO PERFURAÇÃO'!$P:$P,MATCH(MEDIÇÃO!R139,'PROJETO PERFURAÇÃO'!$B:$B,0))="Pre-Splitting","S"))),"")</f>
        <v>S</v>
      </c>
      <c r="R139" s="14">
        <f t="shared" si="14"/>
        <v>333</v>
      </c>
      <c r="S139" s="4" t="str">
        <f>IFERROR(INDEX('LEV R&amp;D'!$D:$D,MATCH(MEDIÇÃO!R139,'LEV R&amp;D'!$A:$A,0))-INDEX('PROJETO PERFURAÇÃO'!$AH:$AH,MATCH(MEDIÇÃO!R139,'PROJETO PERFURAÇÃO'!$B:$B,0)),"")</f>
        <v/>
      </c>
      <c r="T139" s="17">
        <f>IFERROR(INDEX('PROJETO PERFURAÇÃO'!$AN:$AN,MATCH(MEDIÇÃO!R139,'PROJETO PERFURAÇÃO'!$B:$B,0)),"")</f>
        <v>15.42</v>
      </c>
      <c r="U139" s="3"/>
      <c r="V139" s="3"/>
    </row>
    <row r="140" spans="2:22" ht="45" customHeight="1" x14ac:dyDescent="0.25">
      <c r="B140" s="3" t="str">
        <f>IFERROR(ROUND(INDEX('PROJETO PERFURAÇÃO'!$AB:$AB,MATCH(MEDIÇÃO!D140,'PROJETO PERFURAÇÃO'!$B:$B,0)),1)&amp;"''","")</f>
        <v>5''</v>
      </c>
      <c r="C140" s="3" t="str">
        <f>IFERROR(IF(INDEX('PROJETO PERFURAÇÃO'!$P:$P,MATCH(MEDIÇÃO!D140,'PROJETO PERFURAÇÃO'!$B:$B,0))="Production","P",IF(INDEX('PROJETO PERFURAÇÃO'!$P:$P,MATCH(MEDIÇÃO!D140,'PROJETO PERFURAÇÃO'!$B:$B,0))="Buffer","B",IF(INDEX('PROJETO PERFURAÇÃO'!$P:$P,MATCH(MEDIÇÃO!D140,'PROJETO PERFURAÇÃO'!$B:$B,0))="Pre-Splitting","S"))),"")</f>
        <v>S</v>
      </c>
      <c r="D140" s="14">
        <f t="shared" si="12"/>
        <v>288</v>
      </c>
      <c r="E140" s="4" t="str">
        <f>IFERROR(INDEX('LEV R&amp;D'!$D:$D,MATCH(MEDIÇÃO!D140,'LEV R&amp;D'!$A:$A,0))-INDEX('PROJETO PERFURAÇÃO'!$AH:$AH,MATCH(MEDIÇÃO!D140,'PROJETO PERFURAÇÃO'!$B:$B,0)),"")</f>
        <v/>
      </c>
      <c r="F140" s="17">
        <f>IFERROR(INDEX('PROJETO PERFURAÇÃO'!$AN:$AN,MATCH(MEDIÇÃO!D140,'PROJETO PERFURAÇÃO'!$B:$B,0)),"")</f>
        <v>16.54</v>
      </c>
      <c r="G140" s="3"/>
      <c r="H140" s="3"/>
      <c r="I140" s="3" t="str">
        <f>IFERROR(ROUND(INDEX('PROJETO PERFURAÇÃO'!$AB:$AB,MATCH(MEDIÇÃO!K140,'PROJETO PERFURAÇÃO'!$B:$B,0)),1)&amp;"''","")</f>
        <v>5''</v>
      </c>
      <c r="J140" s="3" t="str">
        <f>IFERROR(IF(INDEX('PROJETO PERFURAÇÃO'!$P:$P,MATCH(MEDIÇÃO!K140,'PROJETO PERFURAÇÃO'!$B:$B,0))="Production","P",IF(INDEX('PROJETO PERFURAÇÃO'!$P:$P,MATCH(MEDIÇÃO!K140,'PROJETO PERFURAÇÃO'!$B:$B,0))="Buffer","B",IF(INDEX('PROJETO PERFURAÇÃO'!$P:$P,MATCH(MEDIÇÃO!K140,'PROJETO PERFURAÇÃO'!$B:$B,0))="Pre-Splitting","S"))),"")</f>
        <v>S</v>
      </c>
      <c r="K140" s="14">
        <f t="shared" si="13"/>
        <v>311</v>
      </c>
      <c r="L140" s="4" t="str">
        <f>IFERROR(INDEX('LEV R&amp;D'!$D:$D,MATCH(MEDIÇÃO!K140,'LEV R&amp;D'!$A:$A,0))-INDEX('PROJETO PERFURAÇÃO'!$AH:$AH,MATCH(MEDIÇÃO!K140,'PROJETO PERFURAÇÃO'!$B:$B,0)),"")</f>
        <v/>
      </c>
      <c r="M140" s="17">
        <f>IFERROR(INDEX('PROJETO PERFURAÇÃO'!$AN:$AN,MATCH(MEDIÇÃO!K140,'PROJETO PERFURAÇÃO'!$B:$B,0)),"")</f>
        <v>15.29</v>
      </c>
      <c r="N140" s="3"/>
      <c r="O140" s="3"/>
      <c r="P140" s="3" t="str">
        <f>IFERROR(ROUND(INDEX('PROJETO PERFURAÇÃO'!$AB:$AB,MATCH(MEDIÇÃO!R140,'PROJETO PERFURAÇÃO'!$B:$B,0)),1)&amp;"''","")</f>
        <v>5''</v>
      </c>
      <c r="Q140" s="3" t="str">
        <f>IFERROR(IF(INDEX('PROJETO PERFURAÇÃO'!$P:$P,MATCH(MEDIÇÃO!R140,'PROJETO PERFURAÇÃO'!$B:$B,0))="Production","P",IF(INDEX('PROJETO PERFURAÇÃO'!$P:$P,MATCH(MEDIÇÃO!R140,'PROJETO PERFURAÇÃO'!$B:$B,0))="Buffer","B",IF(INDEX('PROJETO PERFURAÇÃO'!$P:$P,MATCH(MEDIÇÃO!R140,'PROJETO PERFURAÇÃO'!$B:$B,0))="Pre-Splitting","S"))),"")</f>
        <v>S</v>
      </c>
      <c r="R140" s="14">
        <f t="shared" si="14"/>
        <v>334</v>
      </c>
      <c r="S140" s="4" t="str">
        <f>IFERROR(INDEX('LEV R&amp;D'!$D:$D,MATCH(MEDIÇÃO!R140,'LEV R&amp;D'!$A:$A,0))-INDEX('PROJETO PERFURAÇÃO'!$AH:$AH,MATCH(MEDIÇÃO!R140,'PROJETO PERFURAÇÃO'!$B:$B,0)),"")</f>
        <v/>
      </c>
      <c r="T140" s="17">
        <f>IFERROR(INDEX('PROJETO PERFURAÇÃO'!$AN:$AN,MATCH(MEDIÇÃO!R140,'PROJETO PERFURAÇÃO'!$B:$B,0)),"")</f>
        <v>15.6</v>
      </c>
      <c r="U140" s="3"/>
      <c r="V140" s="3"/>
    </row>
    <row r="141" spans="2:22" ht="45" customHeight="1" x14ac:dyDescent="0.25">
      <c r="B141" s="3" t="str">
        <f>IFERROR(ROUND(INDEX('PROJETO PERFURAÇÃO'!$AB:$AB,MATCH(MEDIÇÃO!D141,'PROJETO PERFURAÇÃO'!$B:$B,0)),1)&amp;"''","")</f>
        <v>5''</v>
      </c>
      <c r="C141" s="3" t="str">
        <f>IFERROR(IF(INDEX('PROJETO PERFURAÇÃO'!$P:$P,MATCH(MEDIÇÃO!D141,'PROJETO PERFURAÇÃO'!$B:$B,0))="Production","P",IF(INDEX('PROJETO PERFURAÇÃO'!$P:$P,MATCH(MEDIÇÃO!D141,'PROJETO PERFURAÇÃO'!$B:$B,0))="Buffer","B",IF(INDEX('PROJETO PERFURAÇÃO'!$P:$P,MATCH(MEDIÇÃO!D141,'PROJETO PERFURAÇÃO'!$B:$B,0))="Pre-Splitting","S"))),"")</f>
        <v>S</v>
      </c>
      <c r="D141" s="14">
        <f t="shared" si="12"/>
        <v>289</v>
      </c>
      <c r="E141" s="4" t="str">
        <f>IFERROR(INDEX('LEV R&amp;D'!$D:$D,MATCH(MEDIÇÃO!D141,'LEV R&amp;D'!$A:$A,0))-INDEX('PROJETO PERFURAÇÃO'!$AH:$AH,MATCH(MEDIÇÃO!D141,'PROJETO PERFURAÇÃO'!$B:$B,0)),"")</f>
        <v/>
      </c>
      <c r="F141" s="17">
        <f>IFERROR(INDEX('PROJETO PERFURAÇÃO'!$AN:$AN,MATCH(MEDIÇÃO!D141,'PROJETO PERFURAÇÃO'!$B:$B,0)),"")</f>
        <v>16.66</v>
      </c>
      <c r="G141" s="3"/>
      <c r="H141" s="3"/>
      <c r="I141" s="3" t="str">
        <f>IFERROR(ROUND(INDEX('PROJETO PERFURAÇÃO'!$AB:$AB,MATCH(MEDIÇÃO!K141,'PROJETO PERFURAÇÃO'!$B:$B,0)),1)&amp;"''","")</f>
        <v>5''</v>
      </c>
      <c r="J141" s="3" t="str">
        <f>IFERROR(IF(INDEX('PROJETO PERFURAÇÃO'!$P:$P,MATCH(MEDIÇÃO!K141,'PROJETO PERFURAÇÃO'!$B:$B,0))="Production","P",IF(INDEX('PROJETO PERFURAÇÃO'!$P:$P,MATCH(MEDIÇÃO!K141,'PROJETO PERFURAÇÃO'!$B:$B,0))="Buffer","B",IF(INDEX('PROJETO PERFURAÇÃO'!$P:$P,MATCH(MEDIÇÃO!K141,'PROJETO PERFURAÇÃO'!$B:$B,0))="Pre-Splitting","S"))),"")</f>
        <v>S</v>
      </c>
      <c r="K141" s="14">
        <f t="shared" si="13"/>
        <v>312</v>
      </c>
      <c r="L141" s="4" t="str">
        <f>IFERROR(INDEX('LEV R&amp;D'!$D:$D,MATCH(MEDIÇÃO!K141,'LEV R&amp;D'!$A:$A,0))-INDEX('PROJETO PERFURAÇÃO'!$AH:$AH,MATCH(MEDIÇÃO!K141,'PROJETO PERFURAÇÃO'!$B:$B,0)),"")</f>
        <v/>
      </c>
      <c r="M141" s="17">
        <f>IFERROR(INDEX('PROJETO PERFURAÇÃO'!$AN:$AN,MATCH(MEDIÇÃO!K141,'PROJETO PERFURAÇÃO'!$B:$B,0)),"")</f>
        <v>15.28</v>
      </c>
      <c r="N141" s="3"/>
      <c r="O141" s="3"/>
      <c r="P141" s="3" t="str">
        <f>IFERROR(ROUND(INDEX('PROJETO PERFURAÇÃO'!$AB:$AB,MATCH(MEDIÇÃO!R141,'PROJETO PERFURAÇÃO'!$B:$B,0)),1)&amp;"''","")</f>
        <v>5''</v>
      </c>
      <c r="Q141" s="3" t="str">
        <f>IFERROR(IF(INDEX('PROJETO PERFURAÇÃO'!$P:$P,MATCH(MEDIÇÃO!R141,'PROJETO PERFURAÇÃO'!$B:$B,0))="Production","P",IF(INDEX('PROJETO PERFURAÇÃO'!$P:$P,MATCH(MEDIÇÃO!R141,'PROJETO PERFURAÇÃO'!$B:$B,0))="Buffer","B",IF(INDEX('PROJETO PERFURAÇÃO'!$P:$P,MATCH(MEDIÇÃO!R141,'PROJETO PERFURAÇÃO'!$B:$B,0))="Pre-Splitting","S"))),"")</f>
        <v>S</v>
      </c>
      <c r="R141" s="14">
        <f t="shared" si="14"/>
        <v>335</v>
      </c>
      <c r="S141" s="4" t="str">
        <f>IFERROR(INDEX('LEV R&amp;D'!$D:$D,MATCH(MEDIÇÃO!R141,'LEV R&amp;D'!$A:$A,0))-INDEX('PROJETO PERFURAÇÃO'!$AH:$AH,MATCH(MEDIÇÃO!R141,'PROJETO PERFURAÇÃO'!$B:$B,0)),"")</f>
        <v/>
      </c>
      <c r="T141" s="17">
        <f>IFERROR(INDEX('PROJETO PERFURAÇÃO'!$AN:$AN,MATCH(MEDIÇÃO!R141,'PROJETO PERFURAÇÃO'!$B:$B,0)),"")</f>
        <v>15.71</v>
      </c>
      <c r="U141" s="3"/>
      <c r="V141" s="3"/>
    </row>
    <row r="142" spans="2:22" ht="45" customHeight="1" x14ac:dyDescent="0.25">
      <c r="B142" s="3" t="str">
        <f>IFERROR(ROUND(INDEX('PROJETO PERFURAÇÃO'!$AB:$AB,MATCH(MEDIÇÃO!D142,'PROJETO PERFURAÇÃO'!$B:$B,0)),1)&amp;"''","")</f>
        <v>5''</v>
      </c>
      <c r="C142" s="3" t="str">
        <f>IFERROR(IF(INDEX('PROJETO PERFURAÇÃO'!$P:$P,MATCH(MEDIÇÃO!D142,'PROJETO PERFURAÇÃO'!$B:$B,0))="Production","P",IF(INDEX('PROJETO PERFURAÇÃO'!$P:$P,MATCH(MEDIÇÃO!D142,'PROJETO PERFURAÇÃO'!$B:$B,0))="Buffer","B",IF(INDEX('PROJETO PERFURAÇÃO'!$P:$P,MATCH(MEDIÇÃO!D142,'PROJETO PERFURAÇÃO'!$B:$B,0))="Pre-Splitting","S"))),"")</f>
        <v>S</v>
      </c>
      <c r="D142" s="14">
        <f t="shared" si="12"/>
        <v>290</v>
      </c>
      <c r="E142" s="4" t="str">
        <f>IFERROR(INDEX('LEV R&amp;D'!$D:$D,MATCH(MEDIÇÃO!D142,'LEV R&amp;D'!$A:$A,0))-INDEX('PROJETO PERFURAÇÃO'!$AH:$AH,MATCH(MEDIÇÃO!D142,'PROJETO PERFURAÇÃO'!$B:$B,0)),"")</f>
        <v/>
      </c>
      <c r="F142" s="17">
        <f>IFERROR(INDEX('PROJETO PERFURAÇÃO'!$AN:$AN,MATCH(MEDIÇÃO!D142,'PROJETO PERFURAÇÃO'!$B:$B,0)),"")</f>
        <v>16.649999999999999</v>
      </c>
      <c r="G142" s="3"/>
      <c r="H142" s="3"/>
      <c r="I142" s="3" t="str">
        <f>IFERROR(ROUND(INDEX('PROJETO PERFURAÇÃO'!$AB:$AB,MATCH(MEDIÇÃO!K142,'PROJETO PERFURAÇÃO'!$B:$B,0)),1)&amp;"''","")</f>
        <v>5''</v>
      </c>
      <c r="J142" s="3" t="str">
        <f>IFERROR(IF(INDEX('PROJETO PERFURAÇÃO'!$P:$P,MATCH(MEDIÇÃO!K142,'PROJETO PERFURAÇÃO'!$B:$B,0))="Production","P",IF(INDEX('PROJETO PERFURAÇÃO'!$P:$P,MATCH(MEDIÇÃO!K142,'PROJETO PERFURAÇÃO'!$B:$B,0))="Buffer","B",IF(INDEX('PROJETO PERFURAÇÃO'!$P:$P,MATCH(MEDIÇÃO!K142,'PROJETO PERFURAÇÃO'!$B:$B,0))="Pre-Splitting","S"))),"")</f>
        <v>S</v>
      </c>
      <c r="K142" s="14">
        <f t="shared" si="13"/>
        <v>313</v>
      </c>
      <c r="L142" s="4" t="str">
        <f>IFERROR(INDEX('LEV R&amp;D'!$D:$D,MATCH(MEDIÇÃO!K142,'LEV R&amp;D'!$A:$A,0))-INDEX('PROJETO PERFURAÇÃO'!$AH:$AH,MATCH(MEDIÇÃO!K142,'PROJETO PERFURAÇÃO'!$B:$B,0)),"")</f>
        <v/>
      </c>
      <c r="M142" s="17">
        <f>IFERROR(INDEX('PROJETO PERFURAÇÃO'!$AN:$AN,MATCH(MEDIÇÃO!K142,'PROJETO PERFURAÇÃO'!$B:$B,0)),"")</f>
        <v>15.26</v>
      </c>
      <c r="N142" s="3"/>
      <c r="O142" s="3"/>
      <c r="P142" s="3" t="str">
        <f>IFERROR(ROUND(INDEX('PROJETO PERFURAÇÃO'!$AB:$AB,MATCH(MEDIÇÃO!R142,'PROJETO PERFURAÇÃO'!$B:$B,0)),1)&amp;"''","")</f>
        <v>5''</v>
      </c>
      <c r="Q142" s="3" t="str">
        <f>IFERROR(IF(INDEX('PROJETO PERFURAÇÃO'!$P:$P,MATCH(MEDIÇÃO!R142,'PROJETO PERFURAÇÃO'!$B:$B,0))="Production","P",IF(INDEX('PROJETO PERFURAÇÃO'!$P:$P,MATCH(MEDIÇÃO!R142,'PROJETO PERFURAÇÃO'!$B:$B,0))="Buffer","B",IF(INDEX('PROJETO PERFURAÇÃO'!$P:$P,MATCH(MEDIÇÃO!R142,'PROJETO PERFURAÇÃO'!$B:$B,0))="Pre-Splitting","S"))),"")</f>
        <v>S</v>
      </c>
      <c r="R142" s="14">
        <f t="shared" si="14"/>
        <v>336</v>
      </c>
      <c r="S142" s="4" t="str">
        <f>IFERROR(INDEX('LEV R&amp;D'!$D:$D,MATCH(MEDIÇÃO!R142,'LEV R&amp;D'!$A:$A,0))-INDEX('PROJETO PERFURAÇÃO'!$AH:$AH,MATCH(MEDIÇÃO!R142,'PROJETO PERFURAÇÃO'!$B:$B,0)),"")</f>
        <v/>
      </c>
      <c r="T142" s="17">
        <f>IFERROR(INDEX('PROJETO PERFURAÇÃO'!$AN:$AN,MATCH(MEDIÇÃO!R142,'PROJETO PERFURAÇÃO'!$B:$B,0)),"")</f>
        <v>15.66</v>
      </c>
      <c r="U142" s="3"/>
      <c r="V142" s="3"/>
    </row>
    <row r="143" spans="2:22" ht="45" customHeight="1" x14ac:dyDescent="0.25">
      <c r="B143" s="3" t="str">
        <f>IFERROR(ROUND(INDEX('PROJETO PERFURAÇÃO'!$AB:$AB,MATCH(MEDIÇÃO!D143,'PROJETO PERFURAÇÃO'!$B:$B,0)),1)&amp;"''","")</f>
        <v>5''</v>
      </c>
      <c r="C143" s="3" t="str">
        <f>IFERROR(IF(INDEX('PROJETO PERFURAÇÃO'!$P:$P,MATCH(MEDIÇÃO!D143,'PROJETO PERFURAÇÃO'!$B:$B,0))="Production","P",IF(INDEX('PROJETO PERFURAÇÃO'!$P:$P,MATCH(MEDIÇÃO!D143,'PROJETO PERFURAÇÃO'!$B:$B,0))="Buffer","B",IF(INDEX('PROJETO PERFURAÇÃO'!$P:$P,MATCH(MEDIÇÃO!D143,'PROJETO PERFURAÇÃO'!$B:$B,0))="Pre-Splitting","S"))),"")</f>
        <v>S</v>
      </c>
      <c r="D143" s="14">
        <f t="shared" si="12"/>
        <v>291</v>
      </c>
      <c r="E143" s="4" t="str">
        <f>IFERROR(INDEX('LEV R&amp;D'!$D:$D,MATCH(MEDIÇÃO!D143,'LEV R&amp;D'!$A:$A,0))-INDEX('PROJETO PERFURAÇÃO'!$AH:$AH,MATCH(MEDIÇÃO!D143,'PROJETO PERFURAÇÃO'!$B:$B,0)),"")</f>
        <v/>
      </c>
      <c r="F143" s="17">
        <f>IFERROR(INDEX('PROJETO PERFURAÇÃO'!$AN:$AN,MATCH(MEDIÇÃO!D143,'PROJETO PERFURAÇÃO'!$B:$B,0)),"")</f>
        <v>16.62</v>
      </c>
      <c r="G143" s="3"/>
      <c r="H143" s="3"/>
      <c r="I143" s="3" t="str">
        <f>IFERROR(ROUND(INDEX('PROJETO PERFURAÇÃO'!$AB:$AB,MATCH(MEDIÇÃO!K143,'PROJETO PERFURAÇÃO'!$B:$B,0)),1)&amp;"''","")</f>
        <v>5''</v>
      </c>
      <c r="J143" s="3" t="str">
        <f>IFERROR(IF(INDEX('PROJETO PERFURAÇÃO'!$P:$P,MATCH(MEDIÇÃO!K143,'PROJETO PERFURAÇÃO'!$B:$B,0))="Production","P",IF(INDEX('PROJETO PERFURAÇÃO'!$P:$P,MATCH(MEDIÇÃO!K143,'PROJETO PERFURAÇÃO'!$B:$B,0))="Buffer","B",IF(INDEX('PROJETO PERFURAÇÃO'!$P:$P,MATCH(MEDIÇÃO!K143,'PROJETO PERFURAÇÃO'!$B:$B,0))="Pre-Splitting","S"))),"")</f>
        <v>S</v>
      </c>
      <c r="K143" s="14">
        <f t="shared" si="13"/>
        <v>314</v>
      </c>
      <c r="L143" s="4" t="str">
        <f>IFERROR(INDEX('LEV R&amp;D'!$D:$D,MATCH(MEDIÇÃO!K143,'LEV R&amp;D'!$A:$A,0))-INDEX('PROJETO PERFURAÇÃO'!$AH:$AH,MATCH(MEDIÇÃO!K143,'PROJETO PERFURAÇÃO'!$B:$B,0)),"")</f>
        <v/>
      </c>
      <c r="M143" s="17">
        <f>IFERROR(INDEX('PROJETO PERFURAÇÃO'!$AN:$AN,MATCH(MEDIÇÃO!K143,'PROJETO PERFURAÇÃO'!$B:$B,0)),"")</f>
        <v>15.33</v>
      </c>
      <c r="N143" s="3"/>
      <c r="O143" s="3"/>
      <c r="P143" s="3" t="str">
        <f>IFERROR(ROUND(INDEX('PROJETO PERFURAÇÃO'!$AB:$AB,MATCH(MEDIÇÃO!R143,'PROJETO PERFURAÇÃO'!$B:$B,0)),1)&amp;"''","")</f>
        <v>5''</v>
      </c>
      <c r="Q143" s="3" t="str">
        <f>IFERROR(IF(INDEX('PROJETO PERFURAÇÃO'!$P:$P,MATCH(MEDIÇÃO!R143,'PROJETO PERFURAÇÃO'!$B:$B,0))="Production","P",IF(INDEX('PROJETO PERFURAÇÃO'!$P:$P,MATCH(MEDIÇÃO!R143,'PROJETO PERFURAÇÃO'!$B:$B,0))="Buffer","B",IF(INDEX('PROJETO PERFURAÇÃO'!$P:$P,MATCH(MEDIÇÃO!R143,'PROJETO PERFURAÇÃO'!$B:$B,0))="Pre-Splitting","S"))),"")</f>
        <v>S</v>
      </c>
      <c r="R143" s="14">
        <f t="shared" si="14"/>
        <v>337</v>
      </c>
      <c r="S143" s="4" t="str">
        <f>IFERROR(INDEX('LEV R&amp;D'!$D:$D,MATCH(MEDIÇÃO!R143,'LEV R&amp;D'!$A:$A,0))-INDEX('PROJETO PERFURAÇÃO'!$AH:$AH,MATCH(MEDIÇÃO!R143,'PROJETO PERFURAÇÃO'!$B:$B,0)),"")</f>
        <v/>
      </c>
      <c r="T143" s="17">
        <f>IFERROR(INDEX('PROJETO PERFURAÇÃO'!$AN:$AN,MATCH(MEDIÇÃO!R143,'PROJETO PERFURAÇÃO'!$B:$B,0)),"")</f>
        <v>15.74</v>
      </c>
      <c r="U143" s="3"/>
      <c r="V143" s="3"/>
    </row>
    <row r="144" spans="2:22" ht="45" customHeight="1" x14ac:dyDescent="0.25">
      <c r="B144" s="3" t="str">
        <f>IFERROR(ROUND(INDEX('PROJETO PERFURAÇÃO'!$AB:$AB,MATCH(MEDIÇÃO!D144,'PROJETO PERFURAÇÃO'!$B:$B,0)),1)&amp;"''","")</f>
        <v>5''</v>
      </c>
      <c r="C144" s="3" t="str">
        <f>IFERROR(IF(INDEX('PROJETO PERFURAÇÃO'!$P:$P,MATCH(MEDIÇÃO!D144,'PROJETO PERFURAÇÃO'!$B:$B,0))="Production","P",IF(INDEX('PROJETO PERFURAÇÃO'!$P:$P,MATCH(MEDIÇÃO!D144,'PROJETO PERFURAÇÃO'!$B:$B,0))="Buffer","B",IF(INDEX('PROJETO PERFURAÇÃO'!$P:$P,MATCH(MEDIÇÃO!D144,'PROJETO PERFURAÇÃO'!$B:$B,0))="Pre-Splitting","S"))),"")</f>
        <v>S</v>
      </c>
      <c r="D144" s="14">
        <f t="shared" si="12"/>
        <v>292</v>
      </c>
      <c r="E144" s="4" t="str">
        <f>IFERROR(INDEX('LEV R&amp;D'!$D:$D,MATCH(MEDIÇÃO!D144,'LEV R&amp;D'!$A:$A,0))-INDEX('PROJETO PERFURAÇÃO'!$AH:$AH,MATCH(MEDIÇÃO!D144,'PROJETO PERFURAÇÃO'!$B:$B,0)),"")</f>
        <v/>
      </c>
      <c r="F144" s="17">
        <f>IFERROR(INDEX('PROJETO PERFURAÇÃO'!$AN:$AN,MATCH(MEDIÇÃO!D144,'PROJETO PERFURAÇÃO'!$B:$B,0)),"")</f>
        <v>16.63</v>
      </c>
      <c r="G144" s="3"/>
      <c r="H144" s="3"/>
      <c r="I144" s="3" t="str">
        <f>IFERROR(ROUND(INDEX('PROJETO PERFURAÇÃO'!$AB:$AB,MATCH(MEDIÇÃO!K144,'PROJETO PERFURAÇÃO'!$B:$B,0)),1)&amp;"''","")</f>
        <v>5''</v>
      </c>
      <c r="J144" s="3" t="str">
        <f>IFERROR(IF(INDEX('PROJETO PERFURAÇÃO'!$P:$P,MATCH(MEDIÇÃO!K144,'PROJETO PERFURAÇÃO'!$B:$B,0))="Production","P",IF(INDEX('PROJETO PERFURAÇÃO'!$P:$P,MATCH(MEDIÇÃO!K144,'PROJETO PERFURAÇÃO'!$B:$B,0))="Buffer","B",IF(INDEX('PROJETO PERFURAÇÃO'!$P:$P,MATCH(MEDIÇÃO!K144,'PROJETO PERFURAÇÃO'!$B:$B,0))="Pre-Splitting","S"))),"")</f>
        <v>S</v>
      </c>
      <c r="K144" s="14">
        <f t="shared" si="13"/>
        <v>315</v>
      </c>
      <c r="L144" s="4" t="str">
        <f>IFERROR(INDEX('LEV R&amp;D'!$D:$D,MATCH(MEDIÇÃO!K144,'LEV R&amp;D'!$A:$A,0))-INDEX('PROJETO PERFURAÇÃO'!$AH:$AH,MATCH(MEDIÇÃO!K144,'PROJETO PERFURAÇÃO'!$B:$B,0)),"")</f>
        <v/>
      </c>
      <c r="M144" s="17">
        <f>IFERROR(INDEX('PROJETO PERFURAÇÃO'!$AN:$AN,MATCH(MEDIÇÃO!K144,'PROJETO PERFURAÇÃO'!$B:$B,0)),"")</f>
        <v>15.3</v>
      </c>
      <c r="N144" s="3"/>
      <c r="O144" s="3"/>
      <c r="P144" s="3" t="str">
        <f>IFERROR(ROUND(INDEX('PROJETO PERFURAÇÃO'!$AB:$AB,MATCH(MEDIÇÃO!R144,'PROJETO PERFURAÇÃO'!$B:$B,0)),1)&amp;"''","")</f>
        <v>5''</v>
      </c>
      <c r="Q144" s="3" t="str">
        <f>IFERROR(IF(INDEX('PROJETO PERFURAÇÃO'!$P:$P,MATCH(MEDIÇÃO!R144,'PROJETO PERFURAÇÃO'!$B:$B,0))="Production","P",IF(INDEX('PROJETO PERFURAÇÃO'!$P:$P,MATCH(MEDIÇÃO!R144,'PROJETO PERFURAÇÃO'!$B:$B,0))="Buffer","B",IF(INDEX('PROJETO PERFURAÇÃO'!$P:$P,MATCH(MEDIÇÃO!R144,'PROJETO PERFURAÇÃO'!$B:$B,0))="Pre-Splitting","S"))),"")</f>
        <v>S</v>
      </c>
      <c r="R144" s="14">
        <f t="shared" si="14"/>
        <v>338</v>
      </c>
      <c r="S144" s="4" t="str">
        <f>IFERROR(INDEX('LEV R&amp;D'!$D:$D,MATCH(MEDIÇÃO!R144,'LEV R&amp;D'!$A:$A,0))-INDEX('PROJETO PERFURAÇÃO'!$AH:$AH,MATCH(MEDIÇÃO!R144,'PROJETO PERFURAÇÃO'!$B:$B,0)),"")</f>
        <v/>
      </c>
      <c r="T144" s="17">
        <f>IFERROR(INDEX('PROJETO PERFURAÇÃO'!$AN:$AN,MATCH(MEDIÇÃO!R144,'PROJETO PERFURAÇÃO'!$B:$B,0)),"")</f>
        <v>15.86</v>
      </c>
      <c r="U144" s="3"/>
      <c r="V144" s="3"/>
    </row>
    <row r="145" spans="1:23" ht="45" customHeight="1" x14ac:dyDescent="0.25">
      <c r="B145" s="3" t="str">
        <f>IFERROR(ROUND(INDEX('PROJETO PERFURAÇÃO'!$AB:$AB,MATCH(MEDIÇÃO!D145,'PROJETO PERFURAÇÃO'!$B:$B,0)),1)&amp;"''","")</f>
        <v>5''</v>
      </c>
      <c r="C145" s="3" t="str">
        <f>IFERROR(IF(INDEX('PROJETO PERFURAÇÃO'!$P:$P,MATCH(MEDIÇÃO!D145,'PROJETO PERFURAÇÃO'!$B:$B,0))="Production","P",IF(INDEX('PROJETO PERFURAÇÃO'!$P:$P,MATCH(MEDIÇÃO!D145,'PROJETO PERFURAÇÃO'!$B:$B,0))="Buffer","B",IF(INDEX('PROJETO PERFURAÇÃO'!$P:$P,MATCH(MEDIÇÃO!D145,'PROJETO PERFURAÇÃO'!$B:$B,0))="Pre-Splitting","S"))),"")</f>
        <v>S</v>
      </c>
      <c r="D145" s="14">
        <f t="shared" si="12"/>
        <v>293</v>
      </c>
      <c r="E145" s="4" t="str">
        <f>IFERROR(INDEX('LEV R&amp;D'!$D:$D,MATCH(MEDIÇÃO!D145,'LEV R&amp;D'!$A:$A,0))-INDEX('PROJETO PERFURAÇÃO'!$AH:$AH,MATCH(MEDIÇÃO!D145,'PROJETO PERFURAÇÃO'!$B:$B,0)),"")</f>
        <v/>
      </c>
      <c r="F145" s="17">
        <f>IFERROR(INDEX('PROJETO PERFURAÇÃO'!$AN:$AN,MATCH(MEDIÇÃO!D145,'PROJETO PERFURAÇÃO'!$B:$B,0)),"")</f>
        <v>16.63</v>
      </c>
      <c r="G145" s="3"/>
      <c r="H145" s="3"/>
      <c r="I145" s="3" t="str">
        <f>IFERROR(ROUND(INDEX('PROJETO PERFURAÇÃO'!$AB:$AB,MATCH(MEDIÇÃO!K145,'PROJETO PERFURAÇÃO'!$B:$B,0)),1)&amp;"''","")</f>
        <v>5''</v>
      </c>
      <c r="J145" s="3" t="str">
        <f>IFERROR(IF(INDEX('PROJETO PERFURAÇÃO'!$P:$P,MATCH(MEDIÇÃO!K145,'PROJETO PERFURAÇÃO'!$B:$B,0))="Production","P",IF(INDEX('PROJETO PERFURAÇÃO'!$P:$P,MATCH(MEDIÇÃO!K145,'PROJETO PERFURAÇÃO'!$B:$B,0))="Buffer","B",IF(INDEX('PROJETO PERFURAÇÃO'!$P:$P,MATCH(MEDIÇÃO!K145,'PROJETO PERFURAÇÃO'!$B:$B,0))="Pre-Splitting","S"))),"")</f>
        <v>S</v>
      </c>
      <c r="K145" s="14">
        <f t="shared" si="13"/>
        <v>316</v>
      </c>
      <c r="L145" s="4" t="str">
        <f>IFERROR(INDEX('LEV R&amp;D'!$D:$D,MATCH(MEDIÇÃO!K145,'LEV R&amp;D'!$A:$A,0))-INDEX('PROJETO PERFURAÇÃO'!$AH:$AH,MATCH(MEDIÇÃO!K145,'PROJETO PERFURAÇÃO'!$B:$B,0)),"")</f>
        <v/>
      </c>
      <c r="M145" s="17">
        <f>IFERROR(INDEX('PROJETO PERFURAÇÃO'!$AN:$AN,MATCH(MEDIÇÃO!K145,'PROJETO PERFURAÇÃO'!$B:$B,0)),"")</f>
        <v>15.3</v>
      </c>
      <c r="N145" s="3"/>
      <c r="O145" s="3"/>
      <c r="P145" s="3" t="str">
        <f>IFERROR(ROUND(INDEX('PROJETO PERFURAÇÃO'!$AB:$AB,MATCH(MEDIÇÃO!R145,'PROJETO PERFURAÇÃO'!$B:$B,0)),1)&amp;"''","")</f>
        <v>5''</v>
      </c>
      <c r="Q145" s="3" t="str">
        <f>IFERROR(IF(INDEX('PROJETO PERFURAÇÃO'!$P:$P,MATCH(MEDIÇÃO!R145,'PROJETO PERFURAÇÃO'!$B:$B,0))="Production","P",IF(INDEX('PROJETO PERFURAÇÃO'!$P:$P,MATCH(MEDIÇÃO!R145,'PROJETO PERFURAÇÃO'!$B:$B,0))="Buffer","B",IF(INDEX('PROJETO PERFURAÇÃO'!$P:$P,MATCH(MEDIÇÃO!R145,'PROJETO PERFURAÇÃO'!$B:$B,0))="Pre-Splitting","S"))),"")</f>
        <v>S</v>
      </c>
      <c r="R145" s="14">
        <f t="shared" si="14"/>
        <v>339</v>
      </c>
      <c r="S145" s="4" t="str">
        <f>IFERROR(INDEX('LEV R&amp;D'!$D:$D,MATCH(MEDIÇÃO!R145,'LEV R&amp;D'!$A:$A,0))-INDEX('PROJETO PERFURAÇÃO'!$AH:$AH,MATCH(MEDIÇÃO!R145,'PROJETO PERFURAÇÃO'!$B:$B,0)),"")</f>
        <v/>
      </c>
      <c r="T145" s="17">
        <f>IFERROR(INDEX('PROJETO PERFURAÇÃO'!$AN:$AN,MATCH(MEDIÇÃO!R145,'PROJETO PERFURAÇÃO'!$B:$B,0)),"")</f>
        <v>15.88</v>
      </c>
      <c r="U145" s="3"/>
      <c r="V145" s="3"/>
    </row>
    <row r="146" spans="1:23" ht="45" customHeight="1" x14ac:dyDescent="0.25">
      <c r="B146" s="3" t="str">
        <f>IFERROR(ROUND(INDEX('PROJETO PERFURAÇÃO'!$AB:$AB,MATCH(MEDIÇÃO!D146,'PROJETO PERFURAÇÃO'!$B:$B,0)),1)&amp;"''","")</f>
        <v>5''</v>
      </c>
      <c r="C146" s="3" t="str">
        <f>IFERROR(IF(INDEX('PROJETO PERFURAÇÃO'!$P:$P,MATCH(MEDIÇÃO!D146,'PROJETO PERFURAÇÃO'!$B:$B,0))="Production","P",IF(INDEX('PROJETO PERFURAÇÃO'!$P:$P,MATCH(MEDIÇÃO!D146,'PROJETO PERFURAÇÃO'!$B:$B,0))="Buffer","B",IF(INDEX('PROJETO PERFURAÇÃO'!$P:$P,MATCH(MEDIÇÃO!D146,'PROJETO PERFURAÇÃO'!$B:$B,0))="Pre-Splitting","S"))),"")</f>
        <v>S</v>
      </c>
      <c r="D146" s="14">
        <f t="shared" si="12"/>
        <v>294</v>
      </c>
      <c r="E146" s="4" t="str">
        <f>IFERROR(INDEX('LEV R&amp;D'!$D:$D,MATCH(MEDIÇÃO!D146,'LEV R&amp;D'!$A:$A,0))-INDEX('PROJETO PERFURAÇÃO'!$AH:$AH,MATCH(MEDIÇÃO!D146,'PROJETO PERFURAÇÃO'!$B:$B,0)),"")</f>
        <v/>
      </c>
      <c r="F146" s="17">
        <f>IFERROR(INDEX('PROJETO PERFURAÇÃO'!$AN:$AN,MATCH(MEDIÇÃO!D146,'PROJETO PERFURAÇÃO'!$B:$B,0)),"")</f>
        <v>16.489999999999998</v>
      </c>
      <c r="G146" s="3"/>
      <c r="H146" s="3"/>
      <c r="I146" s="3" t="str">
        <f>IFERROR(ROUND(INDEX('PROJETO PERFURAÇÃO'!$AB:$AB,MATCH(MEDIÇÃO!K146,'PROJETO PERFURAÇÃO'!$B:$B,0)),1)&amp;"''","")</f>
        <v>5''</v>
      </c>
      <c r="J146" s="3" t="str">
        <f>IFERROR(IF(INDEX('PROJETO PERFURAÇÃO'!$P:$P,MATCH(MEDIÇÃO!K146,'PROJETO PERFURAÇÃO'!$B:$B,0))="Production","P",IF(INDEX('PROJETO PERFURAÇÃO'!$P:$P,MATCH(MEDIÇÃO!K146,'PROJETO PERFURAÇÃO'!$B:$B,0))="Buffer","B",IF(INDEX('PROJETO PERFURAÇÃO'!$P:$P,MATCH(MEDIÇÃO!K146,'PROJETO PERFURAÇÃO'!$B:$B,0))="Pre-Splitting","S"))),"")</f>
        <v>S</v>
      </c>
      <c r="K146" s="14">
        <f t="shared" si="13"/>
        <v>317</v>
      </c>
      <c r="L146" s="4" t="str">
        <f>IFERROR(INDEX('LEV R&amp;D'!$D:$D,MATCH(MEDIÇÃO!K146,'LEV R&amp;D'!$A:$A,0))-INDEX('PROJETO PERFURAÇÃO'!$AH:$AH,MATCH(MEDIÇÃO!K146,'PROJETO PERFURAÇÃO'!$B:$B,0)),"")</f>
        <v/>
      </c>
      <c r="M146" s="17">
        <f>IFERROR(INDEX('PROJETO PERFURAÇÃO'!$AN:$AN,MATCH(MEDIÇÃO!K146,'PROJETO PERFURAÇÃO'!$B:$B,0)),"")</f>
        <v>15.26</v>
      </c>
      <c r="N146" s="3"/>
      <c r="O146" s="3"/>
      <c r="P146" s="3" t="str">
        <f>IFERROR(ROUND(INDEX('PROJETO PERFURAÇÃO'!$AB:$AB,MATCH(MEDIÇÃO!R146,'PROJETO PERFURAÇÃO'!$B:$B,0)),1)&amp;"''","")</f>
        <v>5''</v>
      </c>
      <c r="Q146" s="3" t="str">
        <f>IFERROR(IF(INDEX('PROJETO PERFURAÇÃO'!$P:$P,MATCH(MEDIÇÃO!R146,'PROJETO PERFURAÇÃO'!$B:$B,0))="Production","P",IF(INDEX('PROJETO PERFURAÇÃO'!$P:$P,MATCH(MEDIÇÃO!R146,'PROJETO PERFURAÇÃO'!$B:$B,0))="Buffer","B",IF(INDEX('PROJETO PERFURAÇÃO'!$P:$P,MATCH(MEDIÇÃO!R146,'PROJETO PERFURAÇÃO'!$B:$B,0))="Pre-Splitting","S"))),"")</f>
        <v>S</v>
      </c>
      <c r="R146" s="14">
        <f t="shared" si="14"/>
        <v>340</v>
      </c>
      <c r="S146" s="4" t="str">
        <f>IFERROR(INDEX('LEV R&amp;D'!$D:$D,MATCH(MEDIÇÃO!R146,'LEV R&amp;D'!$A:$A,0))-INDEX('PROJETO PERFURAÇÃO'!$AH:$AH,MATCH(MEDIÇÃO!R146,'PROJETO PERFURAÇÃO'!$B:$B,0)),"")</f>
        <v/>
      </c>
      <c r="T146" s="17">
        <f>IFERROR(INDEX('PROJETO PERFURAÇÃO'!$AN:$AN,MATCH(MEDIÇÃO!R146,'PROJETO PERFURAÇÃO'!$B:$B,0)),"")</f>
        <v>15.96</v>
      </c>
      <c r="U146" s="3"/>
      <c r="V146" s="3"/>
    </row>
    <row r="147" spans="1:23" ht="45" customHeight="1" x14ac:dyDescent="0.25">
      <c r="B147" s="3" t="str">
        <f>IFERROR(ROUND(INDEX('PROJETO PERFURAÇÃO'!$AB:$AB,MATCH(MEDIÇÃO!D147,'PROJETO PERFURAÇÃO'!$B:$B,0)),1)&amp;"''","")</f>
        <v>5''</v>
      </c>
      <c r="C147" s="3" t="str">
        <f>IFERROR(IF(INDEX('PROJETO PERFURAÇÃO'!$P:$P,MATCH(MEDIÇÃO!D147,'PROJETO PERFURAÇÃO'!$B:$B,0))="Production","P",IF(INDEX('PROJETO PERFURAÇÃO'!$P:$P,MATCH(MEDIÇÃO!D147,'PROJETO PERFURAÇÃO'!$B:$B,0))="Buffer","B",IF(INDEX('PROJETO PERFURAÇÃO'!$P:$P,MATCH(MEDIÇÃO!D147,'PROJETO PERFURAÇÃO'!$B:$B,0))="Pre-Splitting","S"))),"")</f>
        <v>S</v>
      </c>
      <c r="D147" s="14">
        <f t="shared" si="12"/>
        <v>295</v>
      </c>
      <c r="E147" s="4" t="str">
        <f>IFERROR(INDEX('LEV R&amp;D'!$D:$D,MATCH(MEDIÇÃO!D147,'LEV R&amp;D'!$A:$A,0))-INDEX('PROJETO PERFURAÇÃO'!$AH:$AH,MATCH(MEDIÇÃO!D147,'PROJETO PERFURAÇÃO'!$B:$B,0)),"")</f>
        <v/>
      </c>
      <c r="F147" s="17">
        <f>IFERROR(INDEX('PROJETO PERFURAÇÃO'!$AN:$AN,MATCH(MEDIÇÃO!D147,'PROJETO PERFURAÇÃO'!$B:$B,0)),"")</f>
        <v>16.38</v>
      </c>
      <c r="G147" s="3"/>
      <c r="H147" s="3"/>
      <c r="I147" s="3" t="str">
        <f>IFERROR(ROUND(INDEX('PROJETO PERFURAÇÃO'!$AB:$AB,MATCH(MEDIÇÃO!K147,'PROJETO PERFURAÇÃO'!$B:$B,0)),1)&amp;"''","")</f>
        <v>5''</v>
      </c>
      <c r="J147" s="3" t="str">
        <f>IFERROR(IF(INDEX('PROJETO PERFURAÇÃO'!$P:$P,MATCH(MEDIÇÃO!K147,'PROJETO PERFURAÇÃO'!$B:$B,0))="Production","P",IF(INDEX('PROJETO PERFURAÇÃO'!$P:$P,MATCH(MEDIÇÃO!K147,'PROJETO PERFURAÇÃO'!$B:$B,0))="Buffer","B",IF(INDEX('PROJETO PERFURAÇÃO'!$P:$P,MATCH(MEDIÇÃO!K147,'PROJETO PERFURAÇÃO'!$B:$B,0))="Pre-Splitting","S"))),"")</f>
        <v>S</v>
      </c>
      <c r="K147" s="14">
        <f t="shared" si="13"/>
        <v>318</v>
      </c>
      <c r="L147" s="4" t="str">
        <f>IFERROR(INDEX('LEV R&amp;D'!$D:$D,MATCH(MEDIÇÃO!K147,'LEV R&amp;D'!$A:$A,0))-INDEX('PROJETO PERFURAÇÃO'!$AH:$AH,MATCH(MEDIÇÃO!K147,'PROJETO PERFURAÇÃO'!$B:$B,0)),"")</f>
        <v/>
      </c>
      <c r="M147" s="17">
        <f>IFERROR(INDEX('PROJETO PERFURAÇÃO'!$AN:$AN,MATCH(MEDIÇÃO!K147,'PROJETO PERFURAÇÃO'!$B:$B,0)),"")</f>
        <v>15.14</v>
      </c>
      <c r="N147" s="3"/>
      <c r="O147" s="3"/>
      <c r="P147" s="3" t="str">
        <f>IFERROR(ROUND(INDEX('PROJETO PERFURAÇÃO'!$AB:$AB,MATCH(MEDIÇÃO!R147,'PROJETO PERFURAÇÃO'!$B:$B,0)),1)&amp;"''","")</f>
        <v>5''</v>
      </c>
      <c r="Q147" s="3" t="str">
        <f>IFERROR(IF(INDEX('PROJETO PERFURAÇÃO'!$P:$P,MATCH(MEDIÇÃO!R147,'PROJETO PERFURAÇÃO'!$B:$B,0))="Production","P",IF(INDEX('PROJETO PERFURAÇÃO'!$P:$P,MATCH(MEDIÇÃO!R147,'PROJETO PERFURAÇÃO'!$B:$B,0))="Buffer","B",IF(INDEX('PROJETO PERFURAÇÃO'!$P:$P,MATCH(MEDIÇÃO!R147,'PROJETO PERFURAÇÃO'!$B:$B,0))="Pre-Splitting","S"))),"")</f>
        <v>S</v>
      </c>
      <c r="R147" s="14">
        <f t="shared" si="14"/>
        <v>341</v>
      </c>
      <c r="S147" s="4" t="str">
        <f>IFERROR(INDEX('LEV R&amp;D'!$D:$D,MATCH(MEDIÇÃO!R147,'LEV R&amp;D'!$A:$A,0))-INDEX('PROJETO PERFURAÇÃO'!$AH:$AH,MATCH(MEDIÇÃO!R147,'PROJETO PERFURAÇÃO'!$B:$B,0)),"")</f>
        <v/>
      </c>
      <c r="T147" s="17">
        <f>IFERROR(INDEX('PROJETO PERFURAÇÃO'!$AN:$AN,MATCH(MEDIÇÃO!R147,'PROJETO PERFURAÇÃO'!$B:$B,0)),"")</f>
        <v>15.96</v>
      </c>
      <c r="U147" s="3"/>
      <c r="V147" s="3"/>
    </row>
    <row r="148" spans="1:23" ht="45" customHeight="1" x14ac:dyDescent="0.25">
      <c r="B148" s="3" t="str">
        <f>IFERROR(ROUND(INDEX('PROJETO PERFURAÇÃO'!$AB:$AB,MATCH(MEDIÇÃO!D148,'PROJETO PERFURAÇÃO'!$B:$B,0)),1)&amp;"''","")</f>
        <v>5''</v>
      </c>
      <c r="C148" s="3" t="str">
        <f>IFERROR(IF(INDEX('PROJETO PERFURAÇÃO'!$P:$P,MATCH(MEDIÇÃO!D148,'PROJETO PERFURAÇÃO'!$B:$B,0))="Production","P",IF(INDEX('PROJETO PERFURAÇÃO'!$P:$P,MATCH(MEDIÇÃO!D148,'PROJETO PERFURAÇÃO'!$B:$B,0))="Buffer","B",IF(INDEX('PROJETO PERFURAÇÃO'!$P:$P,MATCH(MEDIÇÃO!D148,'PROJETO PERFURAÇÃO'!$B:$B,0))="Pre-Splitting","S"))),"")</f>
        <v>S</v>
      </c>
      <c r="D148" s="14">
        <f t="shared" si="12"/>
        <v>296</v>
      </c>
      <c r="E148" s="4" t="str">
        <f>IFERROR(INDEX('LEV R&amp;D'!$D:$D,MATCH(MEDIÇÃO!D148,'LEV R&amp;D'!$A:$A,0))-INDEX('PROJETO PERFURAÇÃO'!$AH:$AH,MATCH(MEDIÇÃO!D148,'PROJETO PERFURAÇÃO'!$B:$B,0)),"")</f>
        <v/>
      </c>
      <c r="F148" s="17">
        <f>IFERROR(INDEX('PROJETO PERFURAÇÃO'!$AN:$AN,MATCH(MEDIÇÃO!D148,'PROJETO PERFURAÇÃO'!$B:$B,0)),"")</f>
        <v>16.25</v>
      </c>
      <c r="G148" s="3"/>
      <c r="H148" s="3"/>
      <c r="I148" s="3" t="str">
        <f>IFERROR(ROUND(INDEX('PROJETO PERFURAÇÃO'!$AB:$AB,MATCH(MEDIÇÃO!K148,'PROJETO PERFURAÇÃO'!$B:$B,0)),1)&amp;"''","")</f>
        <v>5''</v>
      </c>
      <c r="J148" s="3" t="str">
        <f>IFERROR(IF(INDEX('PROJETO PERFURAÇÃO'!$P:$P,MATCH(MEDIÇÃO!K148,'PROJETO PERFURAÇÃO'!$B:$B,0))="Production","P",IF(INDEX('PROJETO PERFURAÇÃO'!$P:$P,MATCH(MEDIÇÃO!K148,'PROJETO PERFURAÇÃO'!$B:$B,0))="Buffer","B",IF(INDEX('PROJETO PERFURAÇÃO'!$P:$P,MATCH(MEDIÇÃO!K148,'PROJETO PERFURAÇÃO'!$B:$B,0))="Pre-Splitting","S"))),"")</f>
        <v>S</v>
      </c>
      <c r="K148" s="14">
        <f t="shared" si="13"/>
        <v>319</v>
      </c>
      <c r="L148" s="4" t="str">
        <f>IFERROR(INDEX('LEV R&amp;D'!$D:$D,MATCH(MEDIÇÃO!K148,'LEV R&amp;D'!$A:$A,0))-INDEX('PROJETO PERFURAÇÃO'!$AH:$AH,MATCH(MEDIÇÃO!K148,'PROJETO PERFURAÇÃO'!$B:$B,0)),"")</f>
        <v/>
      </c>
      <c r="M148" s="17">
        <f>IFERROR(INDEX('PROJETO PERFURAÇÃO'!$AN:$AN,MATCH(MEDIÇÃO!K148,'PROJETO PERFURAÇÃO'!$B:$B,0)),"")</f>
        <v>15.06</v>
      </c>
      <c r="N148" s="3"/>
      <c r="O148" s="3"/>
      <c r="P148" s="3" t="str">
        <f>IFERROR(ROUND(INDEX('PROJETO PERFURAÇÃO'!$AB:$AB,MATCH(MEDIÇÃO!R148,'PROJETO PERFURAÇÃO'!$B:$B,0)),1)&amp;"''","")</f>
        <v>5''</v>
      </c>
      <c r="Q148" s="3" t="str">
        <f>IFERROR(IF(INDEX('PROJETO PERFURAÇÃO'!$P:$P,MATCH(MEDIÇÃO!R148,'PROJETO PERFURAÇÃO'!$B:$B,0))="Production","P",IF(INDEX('PROJETO PERFURAÇÃO'!$P:$P,MATCH(MEDIÇÃO!R148,'PROJETO PERFURAÇÃO'!$B:$B,0))="Buffer","B",IF(INDEX('PROJETO PERFURAÇÃO'!$P:$P,MATCH(MEDIÇÃO!R148,'PROJETO PERFURAÇÃO'!$B:$B,0))="Pre-Splitting","S"))),"")</f>
        <v>S</v>
      </c>
      <c r="R148" s="14">
        <f t="shared" si="14"/>
        <v>342</v>
      </c>
      <c r="S148" s="4" t="str">
        <f>IFERROR(INDEX('LEV R&amp;D'!$D:$D,MATCH(MEDIÇÃO!R148,'LEV R&amp;D'!$A:$A,0))-INDEX('PROJETO PERFURAÇÃO'!$AH:$AH,MATCH(MEDIÇÃO!R148,'PROJETO PERFURAÇÃO'!$B:$B,0)),"")</f>
        <v/>
      </c>
      <c r="T148" s="17">
        <f>IFERROR(INDEX('PROJETO PERFURAÇÃO'!$AN:$AN,MATCH(MEDIÇÃO!R148,'PROJETO PERFURAÇÃO'!$B:$B,0)),"")</f>
        <v>15.83</v>
      </c>
      <c r="U148" s="3"/>
      <c r="V148" s="3"/>
    </row>
    <row r="149" spans="1:23" ht="45" customHeight="1" x14ac:dyDescent="0.25">
      <c r="B149" s="3" t="str">
        <f>IFERROR(ROUND(INDEX('PROJETO PERFURAÇÃO'!$AB:$AB,MATCH(MEDIÇÃO!D149,'PROJETO PERFURAÇÃO'!$B:$B,0)),1)&amp;"''","")</f>
        <v>5''</v>
      </c>
      <c r="C149" s="3" t="str">
        <f>IFERROR(IF(INDEX('PROJETO PERFURAÇÃO'!$P:$P,MATCH(MEDIÇÃO!D149,'PROJETO PERFURAÇÃO'!$B:$B,0))="Production","P",IF(INDEX('PROJETO PERFURAÇÃO'!$P:$P,MATCH(MEDIÇÃO!D149,'PROJETO PERFURAÇÃO'!$B:$B,0))="Buffer","B",IF(INDEX('PROJETO PERFURAÇÃO'!$P:$P,MATCH(MEDIÇÃO!D149,'PROJETO PERFURAÇÃO'!$B:$B,0))="Pre-Splitting","S"))),"")</f>
        <v>S</v>
      </c>
      <c r="D149" s="14">
        <f t="shared" si="12"/>
        <v>297</v>
      </c>
      <c r="E149" s="4" t="str">
        <f>IFERROR(INDEX('LEV R&amp;D'!$D:$D,MATCH(MEDIÇÃO!D149,'LEV R&amp;D'!$A:$A,0))-INDEX('PROJETO PERFURAÇÃO'!$AH:$AH,MATCH(MEDIÇÃO!D149,'PROJETO PERFURAÇÃO'!$B:$B,0)),"")</f>
        <v/>
      </c>
      <c r="F149" s="17">
        <f>IFERROR(INDEX('PROJETO PERFURAÇÃO'!$AN:$AN,MATCH(MEDIÇÃO!D149,'PROJETO PERFURAÇÃO'!$B:$B,0)),"")</f>
        <v>16.100000000000001</v>
      </c>
      <c r="G149" s="3"/>
      <c r="H149" s="3"/>
      <c r="I149" s="3" t="str">
        <f>IFERROR(ROUND(INDEX('PROJETO PERFURAÇÃO'!$AB:$AB,MATCH(MEDIÇÃO!K149,'PROJETO PERFURAÇÃO'!$B:$B,0)),1)&amp;"''","")</f>
        <v>5''</v>
      </c>
      <c r="J149" s="3" t="str">
        <f>IFERROR(IF(INDEX('PROJETO PERFURAÇÃO'!$P:$P,MATCH(MEDIÇÃO!K149,'PROJETO PERFURAÇÃO'!$B:$B,0))="Production","P",IF(INDEX('PROJETO PERFURAÇÃO'!$P:$P,MATCH(MEDIÇÃO!K149,'PROJETO PERFURAÇÃO'!$B:$B,0))="Buffer","B",IF(INDEX('PROJETO PERFURAÇÃO'!$P:$P,MATCH(MEDIÇÃO!K149,'PROJETO PERFURAÇÃO'!$B:$B,0))="Pre-Splitting","S"))),"")</f>
        <v>S</v>
      </c>
      <c r="K149" s="14">
        <f t="shared" si="13"/>
        <v>320</v>
      </c>
      <c r="L149" s="4" t="str">
        <f>IFERROR(INDEX('LEV R&amp;D'!$D:$D,MATCH(MEDIÇÃO!K149,'LEV R&amp;D'!$A:$A,0))-INDEX('PROJETO PERFURAÇÃO'!$AH:$AH,MATCH(MEDIÇÃO!K149,'PROJETO PERFURAÇÃO'!$B:$B,0)),"")</f>
        <v/>
      </c>
      <c r="M149" s="17">
        <f>IFERROR(INDEX('PROJETO PERFURAÇÃO'!$AN:$AN,MATCH(MEDIÇÃO!K149,'PROJETO PERFURAÇÃO'!$B:$B,0)),"")</f>
        <v>15.02</v>
      </c>
      <c r="N149" s="3"/>
      <c r="O149" s="3"/>
      <c r="P149" s="3" t="str">
        <f>IFERROR(ROUND(INDEX('PROJETO PERFURAÇÃO'!$AB:$AB,MATCH(MEDIÇÃO!R149,'PROJETO PERFURAÇÃO'!$B:$B,0)),1)&amp;"''","")</f>
        <v>5''</v>
      </c>
      <c r="Q149" s="3" t="str">
        <f>IFERROR(IF(INDEX('PROJETO PERFURAÇÃO'!$P:$P,MATCH(MEDIÇÃO!R149,'PROJETO PERFURAÇÃO'!$B:$B,0))="Production","P",IF(INDEX('PROJETO PERFURAÇÃO'!$P:$P,MATCH(MEDIÇÃO!R149,'PROJETO PERFURAÇÃO'!$B:$B,0))="Buffer","B",IF(INDEX('PROJETO PERFURAÇÃO'!$P:$P,MATCH(MEDIÇÃO!R149,'PROJETO PERFURAÇÃO'!$B:$B,0))="Pre-Splitting","S"))),"")</f>
        <v>S</v>
      </c>
      <c r="R149" s="14">
        <f t="shared" si="14"/>
        <v>343</v>
      </c>
      <c r="S149" s="4" t="str">
        <f>IFERROR(INDEX('LEV R&amp;D'!$D:$D,MATCH(MEDIÇÃO!R149,'LEV R&amp;D'!$A:$A,0))-INDEX('PROJETO PERFURAÇÃO'!$AH:$AH,MATCH(MEDIÇÃO!R149,'PROJETO PERFURAÇÃO'!$B:$B,0)),"")</f>
        <v/>
      </c>
      <c r="T149" s="17">
        <f>IFERROR(INDEX('PROJETO PERFURAÇÃO'!$AN:$AN,MATCH(MEDIÇÃO!R149,'PROJETO PERFURAÇÃO'!$B:$B,0)),"")</f>
        <v>15.59</v>
      </c>
      <c r="U149" s="3"/>
      <c r="V149" s="3"/>
    </row>
    <row r="150" spans="1:23" ht="45" customHeight="1" x14ac:dyDescent="0.25">
      <c r="B150" s="3" t="str">
        <f>IFERROR(ROUND(INDEX('PROJETO PERFURAÇÃO'!$AB:$AB,MATCH(MEDIÇÃO!D150,'PROJETO PERFURAÇÃO'!$B:$B,0)),1)&amp;"''","")</f>
        <v>5''</v>
      </c>
      <c r="C150" s="3" t="str">
        <f>IFERROR(IF(INDEX('PROJETO PERFURAÇÃO'!$P:$P,MATCH(MEDIÇÃO!D150,'PROJETO PERFURAÇÃO'!$B:$B,0))="Production","P",IF(INDEX('PROJETO PERFURAÇÃO'!$P:$P,MATCH(MEDIÇÃO!D150,'PROJETO PERFURAÇÃO'!$B:$B,0))="Buffer","B",IF(INDEX('PROJETO PERFURAÇÃO'!$P:$P,MATCH(MEDIÇÃO!D150,'PROJETO PERFURAÇÃO'!$B:$B,0))="Pre-Splitting","S"))),"")</f>
        <v>S</v>
      </c>
      <c r="D150" s="14">
        <f t="shared" si="12"/>
        <v>298</v>
      </c>
      <c r="E150" s="4" t="str">
        <f>IFERROR(INDEX('LEV R&amp;D'!$D:$D,MATCH(MEDIÇÃO!D150,'LEV R&amp;D'!$A:$A,0))-INDEX('PROJETO PERFURAÇÃO'!$AH:$AH,MATCH(MEDIÇÃO!D150,'PROJETO PERFURAÇÃO'!$B:$B,0)),"")</f>
        <v/>
      </c>
      <c r="F150" s="17">
        <f>IFERROR(INDEX('PROJETO PERFURAÇÃO'!$AN:$AN,MATCH(MEDIÇÃO!D150,'PROJETO PERFURAÇÃO'!$B:$B,0)),"")</f>
        <v>15.98</v>
      </c>
      <c r="G150" s="3"/>
      <c r="H150" s="3"/>
      <c r="I150" s="3" t="str">
        <f>IFERROR(ROUND(INDEX('PROJETO PERFURAÇÃO'!$AB:$AB,MATCH(MEDIÇÃO!K150,'PROJETO PERFURAÇÃO'!$B:$B,0)),1)&amp;"''","")</f>
        <v>5''</v>
      </c>
      <c r="J150" s="3" t="str">
        <f>IFERROR(IF(INDEX('PROJETO PERFURAÇÃO'!$P:$P,MATCH(MEDIÇÃO!K150,'PROJETO PERFURAÇÃO'!$B:$B,0))="Production","P",IF(INDEX('PROJETO PERFURAÇÃO'!$P:$P,MATCH(MEDIÇÃO!K150,'PROJETO PERFURAÇÃO'!$B:$B,0))="Buffer","B",IF(INDEX('PROJETO PERFURAÇÃO'!$P:$P,MATCH(MEDIÇÃO!K150,'PROJETO PERFURAÇÃO'!$B:$B,0))="Pre-Splitting","S"))),"")</f>
        <v>S</v>
      </c>
      <c r="K150" s="14">
        <f t="shared" si="13"/>
        <v>321</v>
      </c>
      <c r="L150" s="4" t="str">
        <f>IFERROR(INDEX('LEV R&amp;D'!$D:$D,MATCH(MEDIÇÃO!K150,'LEV R&amp;D'!$A:$A,0))-INDEX('PROJETO PERFURAÇÃO'!$AH:$AH,MATCH(MEDIÇÃO!K150,'PROJETO PERFURAÇÃO'!$B:$B,0)),"")</f>
        <v/>
      </c>
      <c r="M150" s="17">
        <f>IFERROR(INDEX('PROJETO PERFURAÇÃO'!$AN:$AN,MATCH(MEDIÇÃO!K150,'PROJETO PERFURAÇÃO'!$B:$B,0)),"")</f>
        <v>14.93</v>
      </c>
      <c r="N150" s="3"/>
      <c r="O150" s="3"/>
      <c r="P150" s="3" t="str">
        <f>IFERROR(ROUND(INDEX('PROJETO PERFURAÇÃO'!$AB:$AB,MATCH(MEDIÇÃO!R150,'PROJETO PERFURAÇÃO'!$B:$B,0)),1)&amp;"''","")</f>
        <v>5''</v>
      </c>
      <c r="Q150" s="3" t="str">
        <f>IFERROR(IF(INDEX('PROJETO PERFURAÇÃO'!$P:$P,MATCH(MEDIÇÃO!R150,'PROJETO PERFURAÇÃO'!$B:$B,0))="Production","P",IF(INDEX('PROJETO PERFURAÇÃO'!$P:$P,MATCH(MEDIÇÃO!R150,'PROJETO PERFURAÇÃO'!$B:$B,0))="Buffer","B",IF(INDEX('PROJETO PERFURAÇÃO'!$P:$P,MATCH(MEDIÇÃO!R150,'PROJETO PERFURAÇÃO'!$B:$B,0))="Pre-Splitting","S"))),"")</f>
        <v>S</v>
      </c>
      <c r="R150" s="14">
        <f t="shared" si="14"/>
        <v>344</v>
      </c>
      <c r="S150" s="4" t="str">
        <f>IFERROR(INDEX('LEV R&amp;D'!$D:$D,MATCH(MEDIÇÃO!R150,'LEV R&amp;D'!$A:$A,0))-INDEX('PROJETO PERFURAÇÃO'!$AH:$AH,MATCH(MEDIÇÃO!R150,'PROJETO PERFURAÇÃO'!$B:$B,0)),"")</f>
        <v/>
      </c>
      <c r="T150" s="17">
        <f>IFERROR(INDEX('PROJETO PERFURAÇÃO'!$AN:$AN,MATCH(MEDIÇÃO!R150,'PROJETO PERFURAÇÃO'!$B:$B,0)),"")</f>
        <v>15.57</v>
      </c>
      <c r="U150" s="3"/>
      <c r="V150" s="3"/>
    </row>
    <row r="151" spans="1:23" ht="45" customHeight="1" x14ac:dyDescent="0.25">
      <c r="B151" s="3" t="str">
        <f>IFERROR(ROUND(INDEX('PROJETO PERFURAÇÃO'!$AB:$AB,MATCH(MEDIÇÃO!D151,'PROJETO PERFURAÇÃO'!$B:$B,0)),1)&amp;"''","")</f>
        <v>5''</v>
      </c>
      <c r="C151" s="3" t="str">
        <f>IFERROR(IF(INDEX('PROJETO PERFURAÇÃO'!$P:$P,MATCH(MEDIÇÃO!D151,'PROJETO PERFURAÇÃO'!$B:$B,0))="Production","P",IF(INDEX('PROJETO PERFURAÇÃO'!$P:$P,MATCH(MEDIÇÃO!D151,'PROJETO PERFURAÇÃO'!$B:$B,0))="Buffer","B",IF(INDEX('PROJETO PERFURAÇÃO'!$P:$P,MATCH(MEDIÇÃO!D151,'PROJETO PERFURAÇÃO'!$B:$B,0))="Pre-Splitting","S"))),"")</f>
        <v>S</v>
      </c>
      <c r="D151" s="14">
        <f t="shared" si="12"/>
        <v>299</v>
      </c>
      <c r="E151" s="4" t="str">
        <f>IFERROR(INDEX('LEV R&amp;D'!$D:$D,MATCH(MEDIÇÃO!D151,'LEV R&amp;D'!$A:$A,0))-INDEX('PROJETO PERFURAÇÃO'!$AH:$AH,MATCH(MEDIÇÃO!D151,'PROJETO PERFURAÇÃO'!$B:$B,0)),"")</f>
        <v/>
      </c>
      <c r="F151" s="17">
        <f>IFERROR(INDEX('PROJETO PERFURAÇÃO'!$AN:$AN,MATCH(MEDIÇÃO!D151,'PROJETO PERFURAÇÃO'!$B:$B,0)),"")</f>
        <v>15.84</v>
      </c>
      <c r="G151" s="3"/>
      <c r="H151" s="3"/>
      <c r="I151" s="3" t="str">
        <f>IFERROR(ROUND(INDEX('PROJETO PERFURAÇÃO'!$AB:$AB,MATCH(MEDIÇÃO!K151,'PROJETO PERFURAÇÃO'!$B:$B,0)),1)&amp;"''","")</f>
        <v>5''</v>
      </c>
      <c r="J151" s="3" t="str">
        <f>IFERROR(IF(INDEX('PROJETO PERFURAÇÃO'!$P:$P,MATCH(MEDIÇÃO!K151,'PROJETO PERFURAÇÃO'!$B:$B,0))="Production","P",IF(INDEX('PROJETO PERFURAÇÃO'!$P:$P,MATCH(MEDIÇÃO!K151,'PROJETO PERFURAÇÃO'!$B:$B,0))="Buffer","B",IF(INDEX('PROJETO PERFURAÇÃO'!$P:$P,MATCH(MEDIÇÃO!K151,'PROJETO PERFURAÇÃO'!$B:$B,0))="Pre-Splitting","S"))),"")</f>
        <v>S</v>
      </c>
      <c r="K151" s="14">
        <f t="shared" si="13"/>
        <v>322</v>
      </c>
      <c r="L151" s="4" t="str">
        <f>IFERROR(INDEX('LEV R&amp;D'!$D:$D,MATCH(MEDIÇÃO!K151,'LEV R&amp;D'!$A:$A,0))-INDEX('PROJETO PERFURAÇÃO'!$AH:$AH,MATCH(MEDIÇÃO!K151,'PROJETO PERFURAÇÃO'!$B:$B,0)),"")</f>
        <v/>
      </c>
      <c r="M151" s="17">
        <f>IFERROR(INDEX('PROJETO PERFURAÇÃO'!$AN:$AN,MATCH(MEDIÇÃO!K151,'PROJETO PERFURAÇÃO'!$B:$B,0)),"")</f>
        <v>15.15</v>
      </c>
      <c r="N151" s="3"/>
      <c r="O151" s="3"/>
      <c r="P151" s="3" t="str">
        <f>IFERROR(ROUND(INDEX('PROJETO PERFURAÇÃO'!$AB:$AB,MATCH(MEDIÇÃO!R151,'PROJETO PERFURAÇÃO'!$B:$B,0)),1)&amp;"''","")</f>
        <v>5''</v>
      </c>
      <c r="Q151" s="3" t="str">
        <f>IFERROR(IF(INDEX('PROJETO PERFURAÇÃO'!$P:$P,MATCH(MEDIÇÃO!R151,'PROJETO PERFURAÇÃO'!$B:$B,0))="Production","P",IF(INDEX('PROJETO PERFURAÇÃO'!$P:$P,MATCH(MEDIÇÃO!R151,'PROJETO PERFURAÇÃO'!$B:$B,0))="Buffer","B",IF(INDEX('PROJETO PERFURAÇÃO'!$P:$P,MATCH(MEDIÇÃO!R151,'PROJETO PERFURAÇÃO'!$B:$B,0))="Pre-Splitting","S"))),"")</f>
        <v>S</v>
      </c>
      <c r="R151" s="14">
        <f t="shared" si="14"/>
        <v>345</v>
      </c>
      <c r="S151" s="4" t="str">
        <f>IFERROR(INDEX('LEV R&amp;D'!$D:$D,MATCH(MEDIÇÃO!R151,'LEV R&amp;D'!$A:$A,0))-INDEX('PROJETO PERFURAÇÃO'!$AH:$AH,MATCH(MEDIÇÃO!R151,'PROJETO PERFURAÇÃO'!$B:$B,0)),"")</f>
        <v/>
      </c>
      <c r="T151" s="17">
        <f>IFERROR(INDEX('PROJETO PERFURAÇÃO'!$AN:$AN,MATCH(MEDIÇÃO!R151,'PROJETO PERFURAÇÃO'!$B:$B,0)),"")</f>
        <v>15.53</v>
      </c>
      <c r="U151" s="3"/>
      <c r="V151" s="3"/>
    </row>
    <row r="152" spans="1:23" ht="30" customHeight="1" x14ac:dyDescent="0.25">
      <c r="B152" s="1"/>
      <c r="C152" s="1"/>
      <c r="D152" s="15"/>
      <c r="E152" s="2"/>
      <c r="F152" s="16"/>
      <c r="G152" s="1"/>
      <c r="H152" s="1"/>
      <c r="I152" s="1"/>
      <c r="J152" s="1"/>
      <c r="K152" s="15"/>
      <c r="L152" s="2"/>
      <c r="M152" s="16"/>
      <c r="N152" s="1"/>
      <c r="O152" s="1"/>
      <c r="P152" s="1"/>
      <c r="Q152" s="1"/>
      <c r="R152" s="15"/>
      <c r="S152" s="2"/>
      <c r="T152" s="16"/>
      <c r="U152" s="1"/>
      <c r="V152" s="1"/>
    </row>
    <row r="153" spans="1:23" ht="30" customHeight="1" x14ac:dyDescent="0.25">
      <c r="C153" s="20"/>
      <c r="D153" s="20"/>
      <c r="E153" s="20"/>
      <c r="F153" s="20"/>
      <c r="G153" s="20"/>
      <c r="H153" s="20"/>
      <c r="I153" s="20"/>
      <c r="J153" s="20"/>
      <c r="K153" s="20"/>
      <c r="M153" s="20"/>
      <c r="N153" s="20"/>
      <c r="O153" s="20"/>
      <c r="P153" s="20"/>
      <c r="Q153" s="20"/>
      <c r="R153" s="20"/>
      <c r="S153" s="20"/>
      <c r="T153" s="20"/>
      <c r="U153" s="20"/>
    </row>
    <row r="154" spans="1:23" ht="30" customHeight="1" x14ac:dyDescent="0.25">
      <c r="C154" s="21" t="s">
        <v>40</v>
      </c>
      <c r="D154" s="21"/>
      <c r="E154" s="21"/>
      <c r="F154" s="21"/>
      <c r="G154" s="21"/>
      <c r="H154" s="21"/>
      <c r="I154" s="21"/>
      <c r="J154" s="21"/>
      <c r="K154" s="21"/>
      <c r="L154" s="9"/>
      <c r="M154" s="21" t="s">
        <v>40</v>
      </c>
      <c r="N154" s="21"/>
      <c r="O154" s="21"/>
      <c r="P154" s="21"/>
      <c r="Q154" s="21"/>
      <c r="R154" s="21"/>
      <c r="S154" s="21"/>
      <c r="T154" s="21"/>
      <c r="U154" s="21"/>
      <c r="V154" s="9"/>
    </row>
    <row r="155" spans="1:23" ht="30" customHeight="1" x14ac:dyDescent="0.25">
      <c r="D155" s="9"/>
      <c r="E155" s="9"/>
      <c r="F155" s="9"/>
      <c r="G155" s="9"/>
      <c r="H155" s="9"/>
      <c r="I155" s="9"/>
      <c r="J155" s="9"/>
      <c r="K155" s="9"/>
      <c r="L155" s="9"/>
      <c r="M155" s="9"/>
      <c r="N155" s="9"/>
      <c r="Q155" s="9"/>
      <c r="R155" s="9"/>
      <c r="S155" s="9"/>
      <c r="T155" s="9"/>
      <c r="U155" s="9"/>
      <c r="V155" s="9"/>
    </row>
    <row r="156" spans="1:23" ht="30" customHeight="1" x14ac:dyDescent="0.25">
      <c r="B156" s="19" t="str">
        <f>'PROJETO PERFURAÇÃO'!$C$2&amp;" - "&amp;'PROJETO PERFURAÇÃO'!$H$2</f>
        <v>LIB065 - PP0651026</v>
      </c>
      <c r="C156" s="19"/>
      <c r="D156" s="19"/>
      <c r="E156" s="19"/>
      <c r="F156" s="19"/>
      <c r="G156" s="19"/>
      <c r="H156" s="19"/>
      <c r="I156" s="11" t="s">
        <v>34</v>
      </c>
      <c r="J156" s="10" t="s">
        <v>37</v>
      </c>
    </row>
    <row r="157" spans="1:23" ht="30" customHeight="1" x14ac:dyDescent="0.25">
      <c r="B157" s="19"/>
      <c r="C157" s="19"/>
      <c r="D157" s="19"/>
      <c r="E157" s="19"/>
      <c r="F157" s="19"/>
      <c r="G157" s="19"/>
      <c r="H157" s="19"/>
      <c r="I157" s="12" t="s">
        <v>35</v>
      </c>
      <c r="J157" s="10" t="s">
        <v>38</v>
      </c>
      <c r="K157" s="9"/>
      <c r="L157" s="9"/>
      <c r="M157" s="9"/>
      <c r="N157" s="9"/>
      <c r="O157" s="9"/>
      <c r="P157" s="9"/>
      <c r="Q157" s="9"/>
      <c r="R157" s="9"/>
      <c r="S157" s="9"/>
      <c r="T157" s="9"/>
      <c r="U157" s="9"/>
      <c r="V157" s="9"/>
    </row>
    <row r="158" spans="1:23" ht="30" customHeight="1" x14ac:dyDescent="0.25">
      <c r="B158" s="19"/>
      <c r="C158" s="19"/>
      <c r="D158" s="19"/>
      <c r="E158" s="19"/>
      <c r="F158" s="19"/>
      <c r="G158" s="19"/>
      <c r="H158" s="19"/>
      <c r="I158" s="13" t="s">
        <v>36</v>
      </c>
      <c r="J158" s="10" t="s">
        <v>39</v>
      </c>
    </row>
    <row r="159" spans="1:23" ht="30" customHeight="1" x14ac:dyDescent="0.25">
      <c r="A159" s="1"/>
      <c r="B159" s="6" t="s">
        <v>33</v>
      </c>
      <c r="C159" s="6" t="s">
        <v>13</v>
      </c>
      <c r="D159" s="7" t="s">
        <v>1</v>
      </c>
      <c r="E159" s="7" t="s">
        <v>29</v>
      </c>
      <c r="F159" s="7" t="s">
        <v>30</v>
      </c>
      <c r="G159" s="7" t="s">
        <v>31</v>
      </c>
      <c r="H159" s="7" t="s">
        <v>32</v>
      </c>
      <c r="I159" s="6" t="s">
        <v>33</v>
      </c>
      <c r="J159" s="6" t="s">
        <v>13</v>
      </c>
      <c r="K159" s="7" t="s">
        <v>1</v>
      </c>
      <c r="L159" s="7" t="s">
        <v>29</v>
      </c>
      <c r="M159" s="7" t="s">
        <v>30</v>
      </c>
      <c r="N159" s="7" t="s">
        <v>31</v>
      </c>
      <c r="O159" s="7" t="s">
        <v>32</v>
      </c>
      <c r="P159" s="6" t="s">
        <v>33</v>
      </c>
      <c r="Q159" s="6" t="s">
        <v>13</v>
      </c>
      <c r="R159" s="7" t="s">
        <v>1</v>
      </c>
      <c r="S159" s="7" t="s">
        <v>29</v>
      </c>
      <c r="T159" s="7" t="s">
        <v>30</v>
      </c>
      <c r="U159" s="7" t="s">
        <v>31</v>
      </c>
      <c r="V159" s="7" t="s">
        <v>32</v>
      </c>
      <c r="W159" s="1"/>
    </row>
    <row r="160" spans="1:23" ht="45" customHeight="1" x14ac:dyDescent="0.25">
      <c r="B160" s="3" t="str">
        <f>IFERROR(ROUND(INDEX('PROJETO PERFURAÇÃO'!$AB:$AB,MATCH(MEDIÇÃO!D160,'PROJETO PERFURAÇÃO'!$B:$B,0)),1)&amp;"''","")</f>
        <v>5''</v>
      </c>
      <c r="C160" s="3" t="str">
        <f>IFERROR(IF(INDEX('PROJETO PERFURAÇÃO'!$P:$P,MATCH(MEDIÇÃO!D160,'PROJETO PERFURAÇÃO'!$B:$B,0))="Production","P",IF(INDEX('PROJETO PERFURAÇÃO'!$P:$P,MATCH(MEDIÇÃO!D160,'PROJETO PERFURAÇÃO'!$B:$B,0))="Buffer","B",IF(INDEX('PROJETO PERFURAÇÃO'!$P:$P,MATCH(MEDIÇÃO!D160,'PROJETO PERFURAÇÃO'!$B:$B,0))="Pre-Splitting","S"))),"")</f>
        <v>S</v>
      </c>
      <c r="D160" s="14">
        <f>R151+1</f>
        <v>346</v>
      </c>
      <c r="E160" s="4" t="str">
        <f>IFERROR(INDEX('LEV R&amp;D'!$D:$D,MATCH(MEDIÇÃO!D160,'LEV R&amp;D'!$A:$A,0))-INDEX('PROJETO PERFURAÇÃO'!$AH:$AH,MATCH(MEDIÇÃO!D160,'PROJETO PERFURAÇÃO'!$B:$B,0)),"")</f>
        <v/>
      </c>
      <c r="F160" s="17">
        <f>IFERROR(INDEX('PROJETO PERFURAÇÃO'!$AN:$AN,MATCH(MEDIÇÃO!D160,'PROJETO PERFURAÇÃO'!$B:$B,0)),"")</f>
        <v>15.45</v>
      </c>
      <c r="G160" s="3"/>
      <c r="H160" s="3"/>
      <c r="I160" s="3" t="str">
        <f>IFERROR(ROUND(INDEX('PROJETO PERFURAÇÃO'!$AB:$AB,MATCH(MEDIÇÃO!K160,'PROJETO PERFURAÇÃO'!$B:$B,0)),1)&amp;"''","")</f>
        <v>5''</v>
      </c>
      <c r="J160" s="3" t="str">
        <f>IFERROR(IF(INDEX('PROJETO PERFURAÇÃO'!$P:$P,MATCH(MEDIÇÃO!K160,'PROJETO PERFURAÇÃO'!$B:$B,0))="Production","P",IF(INDEX('PROJETO PERFURAÇÃO'!$P:$P,MATCH(MEDIÇÃO!K160,'PROJETO PERFURAÇÃO'!$B:$B,0))="Buffer","B",IF(INDEX('PROJETO PERFURAÇÃO'!$P:$P,MATCH(MEDIÇÃO!K160,'PROJETO PERFURAÇÃO'!$B:$B,0))="Pre-Splitting","S"))),"")</f>
        <v>S</v>
      </c>
      <c r="K160" s="14">
        <f>D182+1</f>
        <v>369</v>
      </c>
      <c r="L160" s="4" t="str">
        <f>IFERROR(INDEX('LEV R&amp;D'!$D:$D,MATCH(MEDIÇÃO!K160,'LEV R&amp;D'!$A:$A,0))-INDEX('PROJETO PERFURAÇÃO'!$AH:$AH,MATCH(MEDIÇÃO!K160,'PROJETO PERFURAÇÃO'!$B:$B,0)),"")</f>
        <v/>
      </c>
      <c r="M160" s="17">
        <f>IFERROR(INDEX('PROJETO PERFURAÇÃO'!$AN:$AN,MATCH(MEDIÇÃO!K160,'PROJETO PERFURAÇÃO'!$B:$B,0)),"")</f>
        <v>8.76</v>
      </c>
      <c r="N160" s="3"/>
      <c r="O160" s="3"/>
      <c r="P160" s="3" t="str">
        <f>IFERROR(ROUND(INDEX('PROJETO PERFURAÇÃO'!$AB:$AB,MATCH(MEDIÇÃO!R160,'PROJETO PERFURAÇÃO'!$B:$B,0)),1)&amp;"''","")</f>
        <v>5''</v>
      </c>
      <c r="Q160" s="3" t="str">
        <f>IFERROR(IF(INDEX('PROJETO PERFURAÇÃO'!$P:$P,MATCH(MEDIÇÃO!R160,'PROJETO PERFURAÇÃO'!$B:$B,0))="Production","P",IF(INDEX('PROJETO PERFURAÇÃO'!$P:$P,MATCH(MEDIÇÃO!R160,'PROJETO PERFURAÇÃO'!$B:$B,0))="Buffer","B",IF(INDEX('PROJETO PERFURAÇÃO'!$P:$P,MATCH(MEDIÇÃO!R160,'PROJETO PERFURAÇÃO'!$B:$B,0))="Pre-Splitting","S"))),"")</f>
        <v>S</v>
      </c>
      <c r="R160" s="14">
        <f>K182+1</f>
        <v>392</v>
      </c>
      <c r="S160" s="4" t="str">
        <f>IFERROR(INDEX('LEV R&amp;D'!$D:$D,MATCH(MEDIÇÃO!R160,'LEV R&amp;D'!$A:$A,0))-INDEX('PROJETO PERFURAÇÃO'!$AH:$AH,MATCH(MEDIÇÃO!R160,'PROJETO PERFURAÇÃO'!$B:$B,0)),"")</f>
        <v/>
      </c>
      <c r="T160" s="17">
        <f>IFERROR(INDEX('PROJETO PERFURAÇÃO'!$AN:$AN,MATCH(MEDIÇÃO!R160,'PROJETO PERFURAÇÃO'!$B:$B,0)),"")</f>
        <v>15.18</v>
      </c>
      <c r="U160" s="3"/>
      <c r="V160" s="3"/>
    </row>
    <row r="161" spans="2:22" ht="45" customHeight="1" x14ac:dyDescent="0.25">
      <c r="B161" s="3" t="str">
        <f>IFERROR(ROUND(INDEX('PROJETO PERFURAÇÃO'!$AB:$AB,MATCH(MEDIÇÃO!D161,'PROJETO PERFURAÇÃO'!$B:$B,0)),1)&amp;"''","")</f>
        <v>5''</v>
      </c>
      <c r="C161" s="3" t="str">
        <f>IFERROR(IF(INDEX('PROJETO PERFURAÇÃO'!$P:$P,MATCH(MEDIÇÃO!D161,'PROJETO PERFURAÇÃO'!$B:$B,0))="Production","P",IF(INDEX('PROJETO PERFURAÇÃO'!$P:$P,MATCH(MEDIÇÃO!D161,'PROJETO PERFURAÇÃO'!$B:$B,0))="Buffer","B",IF(INDEX('PROJETO PERFURAÇÃO'!$P:$P,MATCH(MEDIÇÃO!D161,'PROJETO PERFURAÇÃO'!$B:$B,0))="Pre-Splitting","S"))),"")</f>
        <v>S</v>
      </c>
      <c r="D161" s="14">
        <f>D160+1</f>
        <v>347</v>
      </c>
      <c r="E161" s="4" t="str">
        <f>IFERROR(INDEX('LEV R&amp;D'!$D:$D,MATCH(MEDIÇÃO!D161,'LEV R&amp;D'!$A:$A,0))-INDEX('PROJETO PERFURAÇÃO'!$AH:$AH,MATCH(MEDIÇÃO!D161,'PROJETO PERFURAÇÃO'!$B:$B,0)),"")</f>
        <v/>
      </c>
      <c r="F161" s="17">
        <f>IFERROR(INDEX('PROJETO PERFURAÇÃO'!$AN:$AN,MATCH(MEDIÇÃO!D161,'PROJETO PERFURAÇÃO'!$B:$B,0)),"")</f>
        <v>15.38</v>
      </c>
      <c r="G161" s="3"/>
      <c r="H161" s="3"/>
      <c r="I161" s="3" t="str">
        <f>IFERROR(ROUND(INDEX('PROJETO PERFURAÇÃO'!$AB:$AB,MATCH(MEDIÇÃO!K161,'PROJETO PERFURAÇÃO'!$B:$B,0)),1)&amp;"''","")</f>
        <v>5''</v>
      </c>
      <c r="J161" s="3" t="str">
        <f>IFERROR(IF(INDEX('PROJETO PERFURAÇÃO'!$P:$P,MATCH(MEDIÇÃO!K161,'PROJETO PERFURAÇÃO'!$B:$B,0))="Production","P",IF(INDEX('PROJETO PERFURAÇÃO'!$P:$P,MATCH(MEDIÇÃO!K161,'PROJETO PERFURAÇÃO'!$B:$B,0))="Buffer","B",IF(INDEX('PROJETO PERFURAÇÃO'!$P:$P,MATCH(MEDIÇÃO!K161,'PROJETO PERFURAÇÃO'!$B:$B,0))="Pre-Splitting","S"))),"")</f>
        <v>S</v>
      </c>
      <c r="K161" s="14">
        <f>K160+1</f>
        <v>370</v>
      </c>
      <c r="L161" s="4" t="str">
        <f>IFERROR(INDEX('LEV R&amp;D'!$D:$D,MATCH(MEDIÇÃO!K161,'LEV R&amp;D'!$A:$A,0))-INDEX('PROJETO PERFURAÇÃO'!$AH:$AH,MATCH(MEDIÇÃO!K161,'PROJETO PERFURAÇÃO'!$B:$B,0)),"")</f>
        <v/>
      </c>
      <c r="M161" s="17">
        <f>IFERROR(INDEX('PROJETO PERFURAÇÃO'!$AN:$AN,MATCH(MEDIÇÃO!K161,'PROJETO PERFURAÇÃO'!$B:$B,0)),"")</f>
        <v>8.91</v>
      </c>
      <c r="N161" s="3"/>
      <c r="O161" s="3"/>
      <c r="P161" s="3" t="str">
        <f>IFERROR(ROUND(INDEX('PROJETO PERFURAÇÃO'!$AB:$AB,MATCH(MEDIÇÃO!R161,'PROJETO PERFURAÇÃO'!$B:$B,0)),1)&amp;"''","")</f>
        <v>5''</v>
      </c>
      <c r="Q161" s="3" t="str">
        <f>IFERROR(IF(INDEX('PROJETO PERFURAÇÃO'!$P:$P,MATCH(MEDIÇÃO!R161,'PROJETO PERFURAÇÃO'!$B:$B,0))="Production","P",IF(INDEX('PROJETO PERFURAÇÃO'!$P:$P,MATCH(MEDIÇÃO!R161,'PROJETO PERFURAÇÃO'!$B:$B,0))="Buffer","B",IF(INDEX('PROJETO PERFURAÇÃO'!$P:$P,MATCH(MEDIÇÃO!R161,'PROJETO PERFURAÇÃO'!$B:$B,0))="Pre-Splitting","S"))),"")</f>
        <v>S</v>
      </c>
      <c r="R161" s="14">
        <f>R160+1</f>
        <v>393</v>
      </c>
      <c r="S161" s="4" t="str">
        <f>IFERROR(INDEX('LEV R&amp;D'!$D:$D,MATCH(MEDIÇÃO!R161,'LEV R&amp;D'!$A:$A,0))-INDEX('PROJETO PERFURAÇÃO'!$AH:$AH,MATCH(MEDIÇÃO!R161,'PROJETO PERFURAÇÃO'!$B:$B,0)),"")</f>
        <v/>
      </c>
      <c r="T161" s="17">
        <f>IFERROR(INDEX('PROJETO PERFURAÇÃO'!$AN:$AN,MATCH(MEDIÇÃO!R161,'PROJETO PERFURAÇÃO'!$B:$B,0)),"")</f>
        <v>15.18</v>
      </c>
      <c r="U161" s="3"/>
      <c r="V161" s="3"/>
    </row>
    <row r="162" spans="2:22" ht="45" customHeight="1" x14ac:dyDescent="0.25">
      <c r="B162" s="3" t="str">
        <f>IFERROR(ROUND(INDEX('PROJETO PERFURAÇÃO'!$AB:$AB,MATCH(MEDIÇÃO!D162,'PROJETO PERFURAÇÃO'!$B:$B,0)),1)&amp;"''","")</f>
        <v>5''</v>
      </c>
      <c r="C162" s="3" t="str">
        <f>IFERROR(IF(INDEX('PROJETO PERFURAÇÃO'!$P:$P,MATCH(MEDIÇÃO!D162,'PROJETO PERFURAÇÃO'!$B:$B,0))="Production","P",IF(INDEX('PROJETO PERFURAÇÃO'!$P:$P,MATCH(MEDIÇÃO!D162,'PROJETO PERFURAÇÃO'!$B:$B,0))="Buffer","B",IF(INDEX('PROJETO PERFURAÇÃO'!$P:$P,MATCH(MEDIÇÃO!D162,'PROJETO PERFURAÇÃO'!$B:$B,0))="Pre-Splitting","S"))),"")</f>
        <v>S</v>
      </c>
      <c r="D162" s="14">
        <f t="shared" ref="D162:D182" si="15">D161+1</f>
        <v>348</v>
      </c>
      <c r="E162" s="4" t="str">
        <f>IFERROR(INDEX('LEV R&amp;D'!$D:$D,MATCH(MEDIÇÃO!D162,'LEV R&amp;D'!$A:$A,0))-INDEX('PROJETO PERFURAÇÃO'!$AH:$AH,MATCH(MEDIÇÃO!D162,'PROJETO PERFURAÇÃO'!$B:$B,0)),"")</f>
        <v/>
      </c>
      <c r="F162" s="17">
        <f>IFERROR(INDEX('PROJETO PERFURAÇÃO'!$AN:$AN,MATCH(MEDIÇÃO!D162,'PROJETO PERFURAÇÃO'!$B:$B,0)),"")</f>
        <v>15.27</v>
      </c>
      <c r="G162" s="3"/>
      <c r="H162" s="3"/>
      <c r="I162" s="3" t="str">
        <f>IFERROR(ROUND(INDEX('PROJETO PERFURAÇÃO'!$AB:$AB,MATCH(MEDIÇÃO!K162,'PROJETO PERFURAÇÃO'!$B:$B,0)),1)&amp;"''","")</f>
        <v>5''</v>
      </c>
      <c r="J162" s="3" t="str">
        <f>IFERROR(IF(INDEX('PROJETO PERFURAÇÃO'!$P:$P,MATCH(MEDIÇÃO!K162,'PROJETO PERFURAÇÃO'!$B:$B,0))="Production","P",IF(INDEX('PROJETO PERFURAÇÃO'!$P:$P,MATCH(MEDIÇÃO!K162,'PROJETO PERFURAÇÃO'!$B:$B,0))="Buffer","B",IF(INDEX('PROJETO PERFURAÇÃO'!$P:$P,MATCH(MEDIÇÃO!K162,'PROJETO PERFURAÇÃO'!$B:$B,0))="Pre-Splitting","S"))),"")</f>
        <v>S</v>
      </c>
      <c r="K162" s="14">
        <f t="shared" ref="K162:K182" si="16">K161+1</f>
        <v>371</v>
      </c>
      <c r="L162" s="4" t="str">
        <f>IFERROR(INDEX('LEV R&amp;D'!$D:$D,MATCH(MEDIÇÃO!K162,'LEV R&amp;D'!$A:$A,0))-INDEX('PROJETO PERFURAÇÃO'!$AH:$AH,MATCH(MEDIÇÃO!K162,'PROJETO PERFURAÇÃO'!$B:$B,0)),"")</f>
        <v/>
      </c>
      <c r="M162" s="17">
        <f>IFERROR(INDEX('PROJETO PERFURAÇÃO'!$AN:$AN,MATCH(MEDIÇÃO!K162,'PROJETO PERFURAÇÃO'!$B:$B,0)),"")</f>
        <v>8.9</v>
      </c>
      <c r="N162" s="3"/>
      <c r="O162" s="3"/>
      <c r="P162" s="3" t="str">
        <f>IFERROR(ROUND(INDEX('PROJETO PERFURAÇÃO'!$AB:$AB,MATCH(MEDIÇÃO!R162,'PROJETO PERFURAÇÃO'!$B:$B,0)),1)&amp;"''","")</f>
        <v>5''</v>
      </c>
      <c r="Q162" s="3" t="str">
        <f>IFERROR(IF(INDEX('PROJETO PERFURAÇÃO'!$P:$P,MATCH(MEDIÇÃO!R162,'PROJETO PERFURAÇÃO'!$B:$B,0))="Production","P",IF(INDEX('PROJETO PERFURAÇÃO'!$P:$P,MATCH(MEDIÇÃO!R162,'PROJETO PERFURAÇÃO'!$B:$B,0))="Buffer","B",IF(INDEX('PROJETO PERFURAÇÃO'!$P:$P,MATCH(MEDIÇÃO!R162,'PROJETO PERFURAÇÃO'!$B:$B,0))="Pre-Splitting","S"))),"")</f>
        <v>S</v>
      </c>
      <c r="R162" s="14">
        <f t="shared" ref="R162:R182" si="17">R161+1</f>
        <v>394</v>
      </c>
      <c r="S162" s="4" t="str">
        <f>IFERROR(INDEX('LEV R&amp;D'!$D:$D,MATCH(MEDIÇÃO!R162,'LEV R&amp;D'!$A:$A,0))-INDEX('PROJETO PERFURAÇÃO'!$AH:$AH,MATCH(MEDIÇÃO!R162,'PROJETO PERFURAÇÃO'!$B:$B,0)),"")</f>
        <v/>
      </c>
      <c r="T162" s="17">
        <f>IFERROR(INDEX('PROJETO PERFURAÇÃO'!$AN:$AN,MATCH(MEDIÇÃO!R162,'PROJETO PERFURAÇÃO'!$B:$B,0)),"")</f>
        <v>15.14</v>
      </c>
      <c r="U162" s="3"/>
      <c r="V162" s="3"/>
    </row>
    <row r="163" spans="2:22" ht="45" customHeight="1" x14ac:dyDescent="0.25">
      <c r="B163" s="3" t="str">
        <f>IFERROR(ROUND(INDEX('PROJETO PERFURAÇÃO'!$AB:$AB,MATCH(MEDIÇÃO!D163,'PROJETO PERFURAÇÃO'!$B:$B,0)),1)&amp;"''","")</f>
        <v>5''</v>
      </c>
      <c r="C163" s="3" t="str">
        <f>IFERROR(IF(INDEX('PROJETO PERFURAÇÃO'!$P:$P,MATCH(MEDIÇÃO!D163,'PROJETO PERFURAÇÃO'!$B:$B,0))="Production","P",IF(INDEX('PROJETO PERFURAÇÃO'!$P:$P,MATCH(MEDIÇÃO!D163,'PROJETO PERFURAÇÃO'!$B:$B,0))="Buffer","B",IF(INDEX('PROJETO PERFURAÇÃO'!$P:$P,MATCH(MEDIÇÃO!D163,'PROJETO PERFURAÇÃO'!$B:$B,0))="Pre-Splitting","S"))),"")</f>
        <v>S</v>
      </c>
      <c r="D163" s="14">
        <f t="shared" si="15"/>
        <v>349</v>
      </c>
      <c r="E163" s="4" t="str">
        <f>IFERROR(INDEX('LEV R&amp;D'!$D:$D,MATCH(MEDIÇÃO!D163,'LEV R&amp;D'!$A:$A,0))-INDEX('PROJETO PERFURAÇÃO'!$AH:$AH,MATCH(MEDIÇÃO!D163,'PROJETO PERFURAÇÃO'!$B:$B,0)),"")</f>
        <v/>
      </c>
      <c r="F163" s="17">
        <f>IFERROR(INDEX('PROJETO PERFURAÇÃO'!$AN:$AN,MATCH(MEDIÇÃO!D163,'PROJETO PERFURAÇÃO'!$B:$B,0)),"")</f>
        <v>15.26</v>
      </c>
      <c r="G163" s="3"/>
      <c r="H163" s="3"/>
      <c r="I163" s="3" t="str">
        <f>IFERROR(ROUND(INDEX('PROJETO PERFURAÇÃO'!$AB:$AB,MATCH(MEDIÇÃO!K163,'PROJETO PERFURAÇÃO'!$B:$B,0)),1)&amp;"''","")</f>
        <v>5''</v>
      </c>
      <c r="J163" s="3" t="str">
        <f>IFERROR(IF(INDEX('PROJETO PERFURAÇÃO'!$P:$P,MATCH(MEDIÇÃO!K163,'PROJETO PERFURAÇÃO'!$B:$B,0))="Production","P",IF(INDEX('PROJETO PERFURAÇÃO'!$P:$P,MATCH(MEDIÇÃO!K163,'PROJETO PERFURAÇÃO'!$B:$B,0))="Buffer","B",IF(INDEX('PROJETO PERFURAÇÃO'!$P:$P,MATCH(MEDIÇÃO!K163,'PROJETO PERFURAÇÃO'!$B:$B,0))="Pre-Splitting","S"))),"")</f>
        <v>S</v>
      </c>
      <c r="K163" s="14">
        <f t="shared" si="16"/>
        <v>372</v>
      </c>
      <c r="L163" s="4" t="str">
        <f>IFERROR(INDEX('LEV R&amp;D'!$D:$D,MATCH(MEDIÇÃO!K163,'LEV R&amp;D'!$A:$A,0))-INDEX('PROJETO PERFURAÇÃO'!$AH:$AH,MATCH(MEDIÇÃO!K163,'PROJETO PERFURAÇÃO'!$B:$B,0)),"")</f>
        <v/>
      </c>
      <c r="M163" s="17">
        <f>IFERROR(INDEX('PROJETO PERFURAÇÃO'!$AN:$AN,MATCH(MEDIÇÃO!K163,'PROJETO PERFURAÇÃO'!$B:$B,0)),"")</f>
        <v>8.98</v>
      </c>
      <c r="N163" s="3"/>
      <c r="O163" s="3"/>
      <c r="P163" s="3" t="str">
        <f>IFERROR(ROUND(INDEX('PROJETO PERFURAÇÃO'!$AB:$AB,MATCH(MEDIÇÃO!R163,'PROJETO PERFURAÇÃO'!$B:$B,0)),1)&amp;"''","")</f>
        <v>5''</v>
      </c>
      <c r="Q163" s="3" t="str">
        <f>IFERROR(IF(INDEX('PROJETO PERFURAÇÃO'!$P:$P,MATCH(MEDIÇÃO!R163,'PROJETO PERFURAÇÃO'!$B:$B,0))="Production","P",IF(INDEX('PROJETO PERFURAÇÃO'!$P:$P,MATCH(MEDIÇÃO!R163,'PROJETO PERFURAÇÃO'!$B:$B,0))="Buffer","B",IF(INDEX('PROJETO PERFURAÇÃO'!$P:$P,MATCH(MEDIÇÃO!R163,'PROJETO PERFURAÇÃO'!$B:$B,0))="Pre-Splitting","S"))),"")</f>
        <v>S</v>
      </c>
      <c r="R163" s="14">
        <f t="shared" si="17"/>
        <v>395</v>
      </c>
      <c r="S163" s="4" t="str">
        <f>IFERROR(INDEX('LEV R&amp;D'!$D:$D,MATCH(MEDIÇÃO!R163,'LEV R&amp;D'!$A:$A,0))-INDEX('PROJETO PERFURAÇÃO'!$AH:$AH,MATCH(MEDIÇÃO!R163,'PROJETO PERFURAÇÃO'!$B:$B,0)),"")</f>
        <v/>
      </c>
      <c r="T163" s="17">
        <f>IFERROR(INDEX('PROJETO PERFURAÇÃO'!$AN:$AN,MATCH(MEDIÇÃO!R163,'PROJETO PERFURAÇÃO'!$B:$B,0)),"")</f>
        <v>15.09</v>
      </c>
      <c r="U163" s="3"/>
      <c r="V163" s="3"/>
    </row>
    <row r="164" spans="2:22" ht="45" customHeight="1" x14ac:dyDescent="0.25">
      <c r="B164" s="3" t="str">
        <f>IFERROR(ROUND(INDEX('PROJETO PERFURAÇÃO'!$AB:$AB,MATCH(MEDIÇÃO!D164,'PROJETO PERFURAÇÃO'!$B:$B,0)),1)&amp;"''","")</f>
        <v>5''</v>
      </c>
      <c r="C164" s="3" t="str">
        <f>IFERROR(IF(INDEX('PROJETO PERFURAÇÃO'!$P:$P,MATCH(MEDIÇÃO!D164,'PROJETO PERFURAÇÃO'!$B:$B,0))="Production","P",IF(INDEX('PROJETO PERFURAÇÃO'!$P:$P,MATCH(MEDIÇÃO!D164,'PROJETO PERFURAÇÃO'!$B:$B,0))="Buffer","B",IF(INDEX('PROJETO PERFURAÇÃO'!$P:$P,MATCH(MEDIÇÃO!D164,'PROJETO PERFURAÇÃO'!$B:$B,0))="Pre-Splitting","S"))),"")</f>
        <v>S</v>
      </c>
      <c r="D164" s="14">
        <f t="shared" si="15"/>
        <v>350</v>
      </c>
      <c r="E164" s="4" t="str">
        <f>IFERROR(INDEX('LEV R&amp;D'!$D:$D,MATCH(MEDIÇÃO!D164,'LEV R&amp;D'!$A:$A,0))-INDEX('PROJETO PERFURAÇÃO'!$AH:$AH,MATCH(MEDIÇÃO!D164,'PROJETO PERFURAÇÃO'!$B:$B,0)),"")</f>
        <v/>
      </c>
      <c r="F164" s="17">
        <f>IFERROR(INDEX('PROJETO PERFURAÇÃO'!$AN:$AN,MATCH(MEDIÇÃO!D164,'PROJETO PERFURAÇÃO'!$B:$B,0)),"")</f>
        <v>15.25</v>
      </c>
      <c r="G164" s="3"/>
      <c r="H164" s="3"/>
      <c r="I164" s="3" t="str">
        <f>IFERROR(ROUND(INDEX('PROJETO PERFURAÇÃO'!$AB:$AB,MATCH(MEDIÇÃO!K164,'PROJETO PERFURAÇÃO'!$B:$B,0)),1)&amp;"''","")</f>
        <v>5''</v>
      </c>
      <c r="J164" s="3" t="str">
        <f>IFERROR(IF(INDEX('PROJETO PERFURAÇÃO'!$P:$P,MATCH(MEDIÇÃO!K164,'PROJETO PERFURAÇÃO'!$B:$B,0))="Production","P",IF(INDEX('PROJETO PERFURAÇÃO'!$P:$P,MATCH(MEDIÇÃO!K164,'PROJETO PERFURAÇÃO'!$B:$B,0))="Buffer","B",IF(INDEX('PROJETO PERFURAÇÃO'!$P:$P,MATCH(MEDIÇÃO!K164,'PROJETO PERFURAÇÃO'!$B:$B,0))="Pre-Splitting","S"))),"")</f>
        <v>S</v>
      </c>
      <c r="K164" s="14">
        <f t="shared" si="16"/>
        <v>373</v>
      </c>
      <c r="L164" s="4" t="str">
        <f>IFERROR(INDEX('LEV R&amp;D'!$D:$D,MATCH(MEDIÇÃO!K164,'LEV R&amp;D'!$A:$A,0))-INDEX('PROJETO PERFURAÇÃO'!$AH:$AH,MATCH(MEDIÇÃO!K164,'PROJETO PERFURAÇÃO'!$B:$B,0)),"")</f>
        <v/>
      </c>
      <c r="M164" s="17">
        <f>IFERROR(INDEX('PROJETO PERFURAÇÃO'!$AN:$AN,MATCH(MEDIÇÃO!K164,'PROJETO PERFURAÇÃO'!$B:$B,0)),"")</f>
        <v>9.2899999999999991</v>
      </c>
      <c r="N164" s="3"/>
      <c r="O164" s="3"/>
      <c r="P164" s="3" t="str">
        <f>IFERROR(ROUND(INDEX('PROJETO PERFURAÇÃO'!$AB:$AB,MATCH(MEDIÇÃO!R164,'PROJETO PERFURAÇÃO'!$B:$B,0)),1)&amp;"''","")</f>
        <v>5''</v>
      </c>
      <c r="Q164" s="3" t="str">
        <f>IFERROR(IF(INDEX('PROJETO PERFURAÇÃO'!$P:$P,MATCH(MEDIÇÃO!R164,'PROJETO PERFURAÇÃO'!$B:$B,0))="Production","P",IF(INDEX('PROJETO PERFURAÇÃO'!$P:$P,MATCH(MEDIÇÃO!R164,'PROJETO PERFURAÇÃO'!$B:$B,0))="Buffer","B",IF(INDEX('PROJETO PERFURAÇÃO'!$P:$P,MATCH(MEDIÇÃO!R164,'PROJETO PERFURAÇÃO'!$B:$B,0))="Pre-Splitting","S"))),"")</f>
        <v>S</v>
      </c>
      <c r="R164" s="14">
        <f t="shared" si="17"/>
        <v>396</v>
      </c>
      <c r="S164" s="4" t="str">
        <f>IFERROR(INDEX('LEV R&amp;D'!$D:$D,MATCH(MEDIÇÃO!R164,'LEV R&amp;D'!$A:$A,0))-INDEX('PROJETO PERFURAÇÃO'!$AH:$AH,MATCH(MEDIÇÃO!R164,'PROJETO PERFURAÇÃO'!$B:$B,0)),"")</f>
        <v/>
      </c>
      <c r="T164" s="17">
        <f>IFERROR(INDEX('PROJETO PERFURAÇÃO'!$AN:$AN,MATCH(MEDIÇÃO!R164,'PROJETO PERFURAÇÃO'!$B:$B,0)),"")</f>
        <v>15.09</v>
      </c>
      <c r="U164" s="3"/>
      <c r="V164" s="3"/>
    </row>
    <row r="165" spans="2:22" ht="45" customHeight="1" x14ac:dyDescent="0.25">
      <c r="B165" s="3" t="str">
        <f>IFERROR(ROUND(INDEX('PROJETO PERFURAÇÃO'!$AB:$AB,MATCH(MEDIÇÃO!D165,'PROJETO PERFURAÇÃO'!$B:$B,0)),1)&amp;"''","")</f>
        <v>5''</v>
      </c>
      <c r="C165" s="3" t="str">
        <f>IFERROR(IF(INDEX('PROJETO PERFURAÇÃO'!$P:$P,MATCH(MEDIÇÃO!D165,'PROJETO PERFURAÇÃO'!$B:$B,0))="Production","P",IF(INDEX('PROJETO PERFURAÇÃO'!$P:$P,MATCH(MEDIÇÃO!D165,'PROJETO PERFURAÇÃO'!$B:$B,0))="Buffer","B",IF(INDEX('PROJETO PERFURAÇÃO'!$P:$P,MATCH(MEDIÇÃO!D165,'PROJETO PERFURAÇÃO'!$B:$B,0))="Pre-Splitting","S"))),"")</f>
        <v>S</v>
      </c>
      <c r="D165" s="14">
        <f t="shared" si="15"/>
        <v>351</v>
      </c>
      <c r="E165" s="4" t="str">
        <f>IFERROR(INDEX('LEV R&amp;D'!$D:$D,MATCH(MEDIÇÃO!D165,'LEV R&amp;D'!$A:$A,0))-INDEX('PROJETO PERFURAÇÃO'!$AH:$AH,MATCH(MEDIÇÃO!D165,'PROJETO PERFURAÇÃO'!$B:$B,0)),"")</f>
        <v/>
      </c>
      <c r="F165" s="17">
        <f>IFERROR(INDEX('PROJETO PERFURAÇÃO'!$AN:$AN,MATCH(MEDIÇÃO!D165,'PROJETO PERFURAÇÃO'!$B:$B,0)),"")</f>
        <v>15.15</v>
      </c>
      <c r="G165" s="3"/>
      <c r="H165" s="3"/>
      <c r="I165" s="3" t="str">
        <f>IFERROR(ROUND(INDEX('PROJETO PERFURAÇÃO'!$AB:$AB,MATCH(MEDIÇÃO!K165,'PROJETO PERFURAÇÃO'!$B:$B,0)),1)&amp;"''","")</f>
        <v>5''</v>
      </c>
      <c r="J165" s="3" t="str">
        <f>IFERROR(IF(INDEX('PROJETO PERFURAÇÃO'!$P:$P,MATCH(MEDIÇÃO!K165,'PROJETO PERFURAÇÃO'!$B:$B,0))="Production","P",IF(INDEX('PROJETO PERFURAÇÃO'!$P:$P,MATCH(MEDIÇÃO!K165,'PROJETO PERFURAÇÃO'!$B:$B,0))="Buffer","B",IF(INDEX('PROJETO PERFURAÇÃO'!$P:$P,MATCH(MEDIÇÃO!K165,'PROJETO PERFURAÇÃO'!$B:$B,0))="Pre-Splitting","S"))),"")</f>
        <v>S</v>
      </c>
      <c r="K165" s="14">
        <f t="shared" si="16"/>
        <v>374</v>
      </c>
      <c r="L165" s="4" t="str">
        <f>IFERROR(INDEX('LEV R&amp;D'!$D:$D,MATCH(MEDIÇÃO!K165,'LEV R&amp;D'!$A:$A,0))-INDEX('PROJETO PERFURAÇÃO'!$AH:$AH,MATCH(MEDIÇÃO!K165,'PROJETO PERFURAÇÃO'!$B:$B,0)),"")</f>
        <v/>
      </c>
      <c r="M165" s="17">
        <f>IFERROR(INDEX('PROJETO PERFURAÇÃO'!$AN:$AN,MATCH(MEDIÇÃO!K165,'PROJETO PERFURAÇÃO'!$B:$B,0)),"")</f>
        <v>9.77</v>
      </c>
      <c r="N165" s="3"/>
      <c r="O165" s="3"/>
      <c r="P165" s="3" t="str">
        <f>IFERROR(ROUND(INDEX('PROJETO PERFURAÇÃO'!$AB:$AB,MATCH(MEDIÇÃO!R165,'PROJETO PERFURAÇÃO'!$B:$B,0)),1)&amp;"''","")</f>
        <v>5''</v>
      </c>
      <c r="Q165" s="3" t="str">
        <f>IFERROR(IF(INDEX('PROJETO PERFURAÇÃO'!$P:$P,MATCH(MEDIÇÃO!R165,'PROJETO PERFURAÇÃO'!$B:$B,0))="Production","P",IF(INDEX('PROJETO PERFURAÇÃO'!$P:$P,MATCH(MEDIÇÃO!R165,'PROJETO PERFURAÇÃO'!$B:$B,0))="Buffer","B",IF(INDEX('PROJETO PERFURAÇÃO'!$P:$P,MATCH(MEDIÇÃO!R165,'PROJETO PERFURAÇÃO'!$B:$B,0))="Pre-Splitting","S"))),"")</f>
        <v>S</v>
      </c>
      <c r="R165" s="14">
        <f t="shared" si="17"/>
        <v>397</v>
      </c>
      <c r="S165" s="4" t="str">
        <f>IFERROR(INDEX('LEV R&amp;D'!$D:$D,MATCH(MEDIÇÃO!R165,'LEV R&amp;D'!$A:$A,0))-INDEX('PROJETO PERFURAÇÃO'!$AH:$AH,MATCH(MEDIÇÃO!R165,'PROJETO PERFURAÇÃO'!$B:$B,0)),"")</f>
        <v/>
      </c>
      <c r="T165" s="17">
        <f>IFERROR(INDEX('PROJETO PERFURAÇÃO'!$AN:$AN,MATCH(MEDIÇÃO!R165,'PROJETO PERFURAÇÃO'!$B:$B,0)),"")</f>
        <v>15.12</v>
      </c>
      <c r="U165" s="3"/>
      <c r="V165" s="3"/>
    </row>
    <row r="166" spans="2:22" ht="45" customHeight="1" x14ac:dyDescent="0.25">
      <c r="B166" s="3" t="str">
        <f>IFERROR(ROUND(INDEX('PROJETO PERFURAÇÃO'!$AB:$AB,MATCH(MEDIÇÃO!D166,'PROJETO PERFURAÇÃO'!$B:$B,0)),1)&amp;"''","")</f>
        <v>5''</v>
      </c>
      <c r="C166" s="3" t="str">
        <f>IFERROR(IF(INDEX('PROJETO PERFURAÇÃO'!$P:$P,MATCH(MEDIÇÃO!D166,'PROJETO PERFURAÇÃO'!$B:$B,0))="Production","P",IF(INDEX('PROJETO PERFURAÇÃO'!$P:$P,MATCH(MEDIÇÃO!D166,'PROJETO PERFURAÇÃO'!$B:$B,0))="Buffer","B",IF(INDEX('PROJETO PERFURAÇÃO'!$P:$P,MATCH(MEDIÇÃO!D166,'PROJETO PERFURAÇÃO'!$B:$B,0))="Pre-Splitting","S"))),"")</f>
        <v>S</v>
      </c>
      <c r="D166" s="14">
        <f t="shared" si="15"/>
        <v>352</v>
      </c>
      <c r="E166" s="4" t="str">
        <f>IFERROR(INDEX('LEV R&amp;D'!$D:$D,MATCH(MEDIÇÃO!D166,'LEV R&amp;D'!$A:$A,0))-INDEX('PROJETO PERFURAÇÃO'!$AH:$AH,MATCH(MEDIÇÃO!D166,'PROJETO PERFURAÇÃO'!$B:$B,0)),"")</f>
        <v/>
      </c>
      <c r="F166" s="17">
        <f>IFERROR(INDEX('PROJETO PERFURAÇÃO'!$AN:$AN,MATCH(MEDIÇÃO!D166,'PROJETO PERFURAÇÃO'!$B:$B,0)),"")</f>
        <v>15.39</v>
      </c>
      <c r="G166" s="3"/>
      <c r="H166" s="3"/>
      <c r="I166" s="3" t="str">
        <f>IFERROR(ROUND(INDEX('PROJETO PERFURAÇÃO'!$AB:$AB,MATCH(MEDIÇÃO!K166,'PROJETO PERFURAÇÃO'!$B:$B,0)),1)&amp;"''","")</f>
        <v>5''</v>
      </c>
      <c r="J166" s="3" t="str">
        <f>IFERROR(IF(INDEX('PROJETO PERFURAÇÃO'!$P:$P,MATCH(MEDIÇÃO!K166,'PROJETO PERFURAÇÃO'!$B:$B,0))="Production","P",IF(INDEX('PROJETO PERFURAÇÃO'!$P:$P,MATCH(MEDIÇÃO!K166,'PROJETO PERFURAÇÃO'!$B:$B,0))="Buffer","B",IF(INDEX('PROJETO PERFURAÇÃO'!$P:$P,MATCH(MEDIÇÃO!K166,'PROJETO PERFURAÇÃO'!$B:$B,0))="Pre-Splitting","S"))),"")</f>
        <v>S</v>
      </c>
      <c r="K166" s="14">
        <f t="shared" si="16"/>
        <v>375</v>
      </c>
      <c r="L166" s="4" t="str">
        <f>IFERROR(INDEX('LEV R&amp;D'!$D:$D,MATCH(MEDIÇÃO!K166,'LEV R&amp;D'!$A:$A,0))-INDEX('PROJETO PERFURAÇÃO'!$AH:$AH,MATCH(MEDIÇÃO!K166,'PROJETO PERFURAÇÃO'!$B:$B,0)),"")</f>
        <v/>
      </c>
      <c r="M166" s="17">
        <f>IFERROR(INDEX('PROJETO PERFURAÇÃO'!$AN:$AN,MATCH(MEDIÇÃO!K166,'PROJETO PERFURAÇÃO'!$B:$B,0)),"")</f>
        <v>10.18</v>
      </c>
      <c r="N166" s="3"/>
      <c r="O166" s="3"/>
      <c r="P166" s="3" t="str">
        <f>IFERROR(ROUND(INDEX('PROJETO PERFURAÇÃO'!$AB:$AB,MATCH(MEDIÇÃO!R166,'PROJETO PERFURAÇÃO'!$B:$B,0)),1)&amp;"''","")</f>
        <v>5''</v>
      </c>
      <c r="Q166" s="3" t="str">
        <f>IFERROR(IF(INDEX('PROJETO PERFURAÇÃO'!$P:$P,MATCH(MEDIÇÃO!R166,'PROJETO PERFURAÇÃO'!$B:$B,0))="Production","P",IF(INDEX('PROJETO PERFURAÇÃO'!$P:$P,MATCH(MEDIÇÃO!R166,'PROJETO PERFURAÇÃO'!$B:$B,0))="Buffer","B",IF(INDEX('PROJETO PERFURAÇÃO'!$P:$P,MATCH(MEDIÇÃO!R166,'PROJETO PERFURAÇÃO'!$B:$B,0))="Pre-Splitting","S"))),"")</f>
        <v>S</v>
      </c>
      <c r="R166" s="14">
        <f t="shared" si="17"/>
        <v>398</v>
      </c>
      <c r="S166" s="4" t="str">
        <f>IFERROR(INDEX('LEV R&amp;D'!$D:$D,MATCH(MEDIÇÃO!R166,'LEV R&amp;D'!$A:$A,0))-INDEX('PROJETO PERFURAÇÃO'!$AH:$AH,MATCH(MEDIÇÃO!R166,'PROJETO PERFURAÇÃO'!$B:$B,0)),"")</f>
        <v/>
      </c>
      <c r="T166" s="17">
        <f>IFERROR(INDEX('PROJETO PERFURAÇÃO'!$AN:$AN,MATCH(MEDIÇÃO!R166,'PROJETO PERFURAÇÃO'!$B:$B,0)),"")</f>
        <v>15.11</v>
      </c>
      <c r="U166" s="3"/>
      <c r="V166" s="3"/>
    </row>
    <row r="167" spans="2:22" ht="45" customHeight="1" x14ac:dyDescent="0.25">
      <c r="B167" s="3" t="str">
        <f>IFERROR(ROUND(INDEX('PROJETO PERFURAÇÃO'!$AB:$AB,MATCH(MEDIÇÃO!D167,'PROJETO PERFURAÇÃO'!$B:$B,0)),1)&amp;"''","")</f>
        <v>5''</v>
      </c>
      <c r="C167" s="3" t="str">
        <f>IFERROR(IF(INDEX('PROJETO PERFURAÇÃO'!$P:$P,MATCH(MEDIÇÃO!D167,'PROJETO PERFURAÇÃO'!$B:$B,0))="Production","P",IF(INDEX('PROJETO PERFURAÇÃO'!$P:$P,MATCH(MEDIÇÃO!D167,'PROJETO PERFURAÇÃO'!$B:$B,0))="Buffer","B",IF(INDEX('PROJETO PERFURAÇÃO'!$P:$P,MATCH(MEDIÇÃO!D167,'PROJETO PERFURAÇÃO'!$B:$B,0))="Pre-Splitting","S"))),"")</f>
        <v>S</v>
      </c>
      <c r="D167" s="14">
        <f t="shared" si="15"/>
        <v>353</v>
      </c>
      <c r="E167" s="4" t="str">
        <f>IFERROR(INDEX('LEV R&amp;D'!$D:$D,MATCH(MEDIÇÃO!D167,'LEV R&amp;D'!$A:$A,0))-INDEX('PROJETO PERFURAÇÃO'!$AH:$AH,MATCH(MEDIÇÃO!D167,'PROJETO PERFURAÇÃO'!$B:$B,0)),"")</f>
        <v/>
      </c>
      <c r="F167" s="17">
        <f>IFERROR(INDEX('PROJETO PERFURAÇÃO'!$AN:$AN,MATCH(MEDIÇÃO!D167,'PROJETO PERFURAÇÃO'!$B:$B,0)),"")</f>
        <v>15.04</v>
      </c>
      <c r="G167" s="3"/>
      <c r="H167" s="3"/>
      <c r="I167" s="3" t="str">
        <f>IFERROR(ROUND(INDEX('PROJETO PERFURAÇÃO'!$AB:$AB,MATCH(MEDIÇÃO!K167,'PROJETO PERFURAÇÃO'!$B:$B,0)),1)&amp;"''","")</f>
        <v>5''</v>
      </c>
      <c r="J167" s="3" t="str">
        <f>IFERROR(IF(INDEX('PROJETO PERFURAÇÃO'!$P:$P,MATCH(MEDIÇÃO!K167,'PROJETO PERFURAÇÃO'!$B:$B,0))="Production","P",IF(INDEX('PROJETO PERFURAÇÃO'!$P:$P,MATCH(MEDIÇÃO!K167,'PROJETO PERFURAÇÃO'!$B:$B,0))="Buffer","B",IF(INDEX('PROJETO PERFURAÇÃO'!$P:$P,MATCH(MEDIÇÃO!K167,'PROJETO PERFURAÇÃO'!$B:$B,0))="Pre-Splitting","S"))),"")</f>
        <v>S</v>
      </c>
      <c r="K167" s="14">
        <f t="shared" si="16"/>
        <v>376</v>
      </c>
      <c r="L167" s="4" t="str">
        <f>IFERROR(INDEX('LEV R&amp;D'!$D:$D,MATCH(MEDIÇÃO!K167,'LEV R&amp;D'!$A:$A,0))-INDEX('PROJETO PERFURAÇÃO'!$AH:$AH,MATCH(MEDIÇÃO!K167,'PROJETO PERFURAÇÃO'!$B:$B,0)),"")</f>
        <v/>
      </c>
      <c r="M167" s="17">
        <f>IFERROR(INDEX('PROJETO PERFURAÇÃO'!$AN:$AN,MATCH(MEDIÇÃO!K167,'PROJETO PERFURAÇÃO'!$B:$B,0)),"")</f>
        <v>10.7</v>
      </c>
      <c r="N167" s="3"/>
      <c r="O167" s="3"/>
      <c r="P167" s="3" t="str">
        <f>IFERROR(ROUND(INDEX('PROJETO PERFURAÇÃO'!$AB:$AB,MATCH(MEDIÇÃO!R167,'PROJETO PERFURAÇÃO'!$B:$B,0)),1)&amp;"''","")</f>
        <v>5''</v>
      </c>
      <c r="Q167" s="3" t="str">
        <f>IFERROR(IF(INDEX('PROJETO PERFURAÇÃO'!$P:$P,MATCH(MEDIÇÃO!R167,'PROJETO PERFURAÇÃO'!$B:$B,0))="Production","P",IF(INDEX('PROJETO PERFURAÇÃO'!$P:$P,MATCH(MEDIÇÃO!R167,'PROJETO PERFURAÇÃO'!$B:$B,0))="Buffer","B",IF(INDEX('PROJETO PERFURAÇÃO'!$P:$P,MATCH(MEDIÇÃO!R167,'PROJETO PERFURAÇÃO'!$B:$B,0))="Pre-Splitting","S"))),"")</f>
        <v>S</v>
      </c>
      <c r="R167" s="14">
        <f t="shared" si="17"/>
        <v>399</v>
      </c>
      <c r="S167" s="4" t="str">
        <f>IFERROR(INDEX('LEV R&amp;D'!$D:$D,MATCH(MEDIÇÃO!R167,'LEV R&amp;D'!$A:$A,0))-INDEX('PROJETO PERFURAÇÃO'!$AH:$AH,MATCH(MEDIÇÃO!R167,'PROJETO PERFURAÇÃO'!$B:$B,0)),"")</f>
        <v/>
      </c>
      <c r="T167" s="17">
        <f>IFERROR(INDEX('PROJETO PERFURAÇÃO'!$AN:$AN,MATCH(MEDIÇÃO!R167,'PROJETO PERFURAÇÃO'!$B:$B,0)),"")</f>
        <v>15.1</v>
      </c>
      <c r="U167" s="3"/>
      <c r="V167" s="3"/>
    </row>
    <row r="168" spans="2:22" ht="45" customHeight="1" x14ac:dyDescent="0.25">
      <c r="B168" s="3" t="str">
        <f>IFERROR(ROUND(INDEX('PROJETO PERFURAÇÃO'!$AB:$AB,MATCH(MEDIÇÃO!D168,'PROJETO PERFURAÇÃO'!$B:$B,0)),1)&amp;"''","")</f>
        <v>5''</v>
      </c>
      <c r="C168" s="3" t="str">
        <f>IFERROR(IF(INDEX('PROJETO PERFURAÇÃO'!$P:$P,MATCH(MEDIÇÃO!D168,'PROJETO PERFURAÇÃO'!$B:$B,0))="Production","P",IF(INDEX('PROJETO PERFURAÇÃO'!$P:$P,MATCH(MEDIÇÃO!D168,'PROJETO PERFURAÇÃO'!$B:$B,0))="Buffer","B",IF(INDEX('PROJETO PERFURAÇÃO'!$P:$P,MATCH(MEDIÇÃO!D168,'PROJETO PERFURAÇÃO'!$B:$B,0))="Pre-Splitting","S"))),"")</f>
        <v>S</v>
      </c>
      <c r="D168" s="14">
        <f t="shared" si="15"/>
        <v>354</v>
      </c>
      <c r="E168" s="4" t="str">
        <f>IFERROR(INDEX('LEV R&amp;D'!$D:$D,MATCH(MEDIÇÃO!D168,'LEV R&amp;D'!$A:$A,0))-INDEX('PROJETO PERFURAÇÃO'!$AH:$AH,MATCH(MEDIÇÃO!D168,'PROJETO PERFURAÇÃO'!$B:$B,0)),"")</f>
        <v/>
      </c>
      <c r="F168" s="17">
        <f>IFERROR(INDEX('PROJETO PERFURAÇÃO'!$AN:$AN,MATCH(MEDIÇÃO!D168,'PROJETO PERFURAÇÃO'!$B:$B,0)),"")</f>
        <v>14.32</v>
      </c>
      <c r="G168" s="3"/>
      <c r="H168" s="3"/>
      <c r="I168" s="3" t="str">
        <f>IFERROR(ROUND(INDEX('PROJETO PERFURAÇÃO'!$AB:$AB,MATCH(MEDIÇÃO!K168,'PROJETO PERFURAÇÃO'!$B:$B,0)),1)&amp;"''","")</f>
        <v>5''</v>
      </c>
      <c r="J168" s="3" t="str">
        <f>IFERROR(IF(INDEX('PROJETO PERFURAÇÃO'!$P:$P,MATCH(MEDIÇÃO!K168,'PROJETO PERFURAÇÃO'!$B:$B,0))="Production","P",IF(INDEX('PROJETO PERFURAÇÃO'!$P:$P,MATCH(MEDIÇÃO!K168,'PROJETO PERFURAÇÃO'!$B:$B,0))="Buffer","B",IF(INDEX('PROJETO PERFURAÇÃO'!$P:$P,MATCH(MEDIÇÃO!K168,'PROJETO PERFURAÇÃO'!$B:$B,0))="Pre-Splitting","S"))),"")</f>
        <v>S</v>
      </c>
      <c r="K168" s="14">
        <f t="shared" si="16"/>
        <v>377</v>
      </c>
      <c r="L168" s="4" t="str">
        <f>IFERROR(INDEX('LEV R&amp;D'!$D:$D,MATCH(MEDIÇÃO!K168,'LEV R&amp;D'!$A:$A,0))-INDEX('PROJETO PERFURAÇÃO'!$AH:$AH,MATCH(MEDIÇÃO!K168,'PROJETO PERFURAÇÃO'!$B:$B,0)),"")</f>
        <v/>
      </c>
      <c r="M168" s="17">
        <f>IFERROR(INDEX('PROJETO PERFURAÇÃO'!$AN:$AN,MATCH(MEDIÇÃO!K168,'PROJETO PERFURAÇÃO'!$B:$B,0)),"")</f>
        <v>11.15</v>
      </c>
      <c r="N168" s="3"/>
      <c r="O168" s="3"/>
      <c r="P168" s="3" t="str">
        <f>IFERROR(ROUND(INDEX('PROJETO PERFURAÇÃO'!$AB:$AB,MATCH(MEDIÇÃO!R168,'PROJETO PERFURAÇÃO'!$B:$B,0)),1)&amp;"''","")</f>
        <v>5''</v>
      </c>
      <c r="Q168" s="3" t="str">
        <f>IFERROR(IF(INDEX('PROJETO PERFURAÇÃO'!$P:$P,MATCH(MEDIÇÃO!R168,'PROJETO PERFURAÇÃO'!$B:$B,0))="Production","P",IF(INDEX('PROJETO PERFURAÇÃO'!$P:$P,MATCH(MEDIÇÃO!R168,'PROJETO PERFURAÇÃO'!$B:$B,0))="Buffer","B",IF(INDEX('PROJETO PERFURAÇÃO'!$P:$P,MATCH(MEDIÇÃO!R168,'PROJETO PERFURAÇÃO'!$B:$B,0))="Pre-Splitting","S"))),"")</f>
        <v>S</v>
      </c>
      <c r="R168" s="14">
        <f t="shared" si="17"/>
        <v>400</v>
      </c>
      <c r="S168" s="4" t="str">
        <f>IFERROR(INDEX('LEV R&amp;D'!$D:$D,MATCH(MEDIÇÃO!R168,'LEV R&amp;D'!$A:$A,0))-INDEX('PROJETO PERFURAÇÃO'!$AH:$AH,MATCH(MEDIÇÃO!R168,'PROJETO PERFURAÇÃO'!$B:$B,0)),"")</f>
        <v/>
      </c>
      <c r="T168" s="17">
        <f>IFERROR(INDEX('PROJETO PERFURAÇÃO'!$AN:$AN,MATCH(MEDIÇÃO!R168,'PROJETO PERFURAÇÃO'!$B:$B,0)),"")</f>
        <v>15.25</v>
      </c>
      <c r="U168" s="3"/>
      <c r="V168" s="3"/>
    </row>
    <row r="169" spans="2:22" ht="45" customHeight="1" x14ac:dyDescent="0.25">
      <c r="B169" s="3" t="str">
        <f>IFERROR(ROUND(INDEX('PROJETO PERFURAÇÃO'!$AB:$AB,MATCH(MEDIÇÃO!D169,'PROJETO PERFURAÇÃO'!$B:$B,0)),1)&amp;"''","")</f>
        <v>5''</v>
      </c>
      <c r="C169" s="3" t="str">
        <f>IFERROR(IF(INDEX('PROJETO PERFURAÇÃO'!$P:$P,MATCH(MEDIÇÃO!D169,'PROJETO PERFURAÇÃO'!$B:$B,0))="Production","P",IF(INDEX('PROJETO PERFURAÇÃO'!$P:$P,MATCH(MEDIÇÃO!D169,'PROJETO PERFURAÇÃO'!$B:$B,0))="Buffer","B",IF(INDEX('PROJETO PERFURAÇÃO'!$P:$P,MATCH(MEDIÇÃO!D169,'PROJETO PERFURAÇÃO'!$B:$B,0))="Pre-Splitting","S"))),"")</f>
        <v>S</v>
      </c>
      <c r="D169" s="14">
        <f t="shared" si="15"/>
        <v>355</v>
      </c>
      <c r="E169" s="4" t="str">
        <f>IFERROR(INDEX('LEV R&amp;D'!$D:$D,MATCH(MEDIÇÃO!D169,'LEV R&amp;D'!$A:$A,0))-INDEX('PROJETO PERFURAÇÃO'!$AH:$AH,MATCH(MEDIÇÃO!D169,'PROJETO PERFURAÇÃO'!$B:$B,0)),"")</f>
        <v/>
      </c>
      <c r="F169" s="17">
        <f>IFERROR(INDEX('PROJETO PERFURAÇÃO'!$AN:$AN,MATCH(MEDIÇÃO!D169,'PROJETO PERFURAÇÃO'!$B:$B,0)),"")</f>
        <v>13.85</v>
      </c>
      <c r="G169" s="3"/>
      <c r="H169" s="3"/>
      <c r="I169" s="3" t="str">
        <f>IFERROR(ROUND(INDEX('PROJETO PERFURAÇÃO'!$AB:$AB,MATCH(MEDIÇÃO!K169,'PROJETO PERFURAÇÃO'!$B:$B,0)),1)&amp;"''","")</f>
        <v>5''</v>
      </c>
      <c r="J169" s="3" t="str">
        <f>IFERROR(IF(INDEX('PROJETO PERFURAÇÃO'!$P:$P,MATCH(MEDIÇÃO!K169,'PROJETO PERFURAÇÃO'!$B:$B,0))="Production","P",IF(INDEX('PROJETO PERFURAÇÃO'!$P:$P,MATCH(MEDIÇÃO!K169,'PROJETO PERFURAÇÃO'!$B:$B,0))="Buffer","B",IF(INDEX('PROJETO PERFURAÇÃO'!$P:$P,MATCH(MEDIÇÃO!K169,'PROJETO PERFURAÇÃO'!$B:$B,0))="Pre-Splitting","S"))),"")</f>
        <v>S</v>
      </c>
      <c r="K169" s="14">
        <f t="shared" si="16"/>
        <v>378</v>
      </c>
      <c r="L169" s="4" t="str">
        <f>IFERROR(INDEX('LEV R&amp;D'!$D:$D,MATCH(MEDIÇÃO!K169,'LEV R&amp;D'!$A:$A,0))-INDEX('PROJETO PERFURAÇÃO'!$AH:$AH,MATCH(MEDIÇÃO!K169,'PROJETO PERFURAÇÃO'!$B:$B,0)),"")</f>
        <v/>
      </c>
      <c r="M169" s="17">
        <f>IFERROR(INDEX('PROJETO PERFURAÇÃO'!$AN:$AN,MATCH(MEDIÇÃO!K169,'PROJETO PERFURAÇÃO'!$B:$B,0)),"")</f>
        <v>11.89</v>
      </c>
      <c r="N169" s="3"/>
      <c r="O169" s="3"/>
      <c r="P169" s="3" t="str">
        <f>IFERROR(ROUND(INDEX('PROJETO PERFURAÇÃO'!$AB:$AB,MATCH(MEDIÇÃO!R169,'PROJETO PERFURAÇÃO'!$B:$B,0)),1)&amp;"''","")</f>
        <v>5''</v>
      </c>
      <c r="Q169" s="3" t="str">
        <f>IFERROR(IF(INDEX('PROJETO PERFURAÇÃO'!$P:$P,MATCH(MEDIÇÃO!R169,'PROJETO PERFURAÇÃO'!$B:$B,0))="Production","P",IF(INDEX('PROJETO PERFURAÇÃO'!$P:$P,MATCH(MEDIÇÃO!R169,'PROJETO PERFURAÇÃO'!$B:$B,0))="Buffer","B",IF(INDEX('PROJETO PERFURAÇÃO'!$P:$P,MATCH(MEDIÇÃO!R169,'PROJETO PERFURAÇÃO'!$B:$B,0))="Pre-Splitting","S"))),"")</f>
        <v>S</v>
      </c>
      <c r="R169" s="14">
        <f t="shared" si="17"/>
        <v>401</v>
      </c>
      <c r="S169" s="4" t="str">
        <f>IFERROR(INDEX('LEV R&amp;D'!$D:$D,MATCH(MEDIÇÃO!R169,'LEV R&amp;D'!$A:$A,0))-INDEX('PROJETO PERFURAÇÃO'!$AH:$AH,MATCH(MEDIÇÃO!R169,'PROJETO PERFURAÇÃO'!$B:$B,0)),"")</f>
        <v/>
      </c>
      <c r="T169" s="17">
        <f>IFERROR(INDEX('PROJETO PERFURAÇÃO'!$AN:$AN,MATCH(MEDIÇÃO!R169,'PROJETO PERFURAÇÃO'!$B:$B,0)),"")</f>
        <v>15.14</v>
      </c>
      <c r="U169" s="3"/>
      <c r="V169" s="3"/>
    </row>
    <row r="170" spans="2:22" ht="45" customHeight="1" x14ac:dyDescent="0.25">
      <c r="B170" s="3" t="str">
        <f>IFERROR(ROUND(INDEX('PROJETO PERFURAÇÃO'!$AB:$AB,MATCH(MEDIÇÃO!D170,'PROJETO PERFURAÇÃO'!$B:$B,0)),1)&amp;"''","")</f>
        <v>5''</v>
      </c>
      <c r="C170" s="3" t="str">
        <f>IFERROR(IF(INDEX('PROJETO PERFURAÇÃO'!$P:$P,MATCH(MEDIÇÃO!D170,'PROJETO PERFURAÇÃO'!$B:$B,0))="Production","P",IF(INDEX('PROJETO PERFURAÇÃO'!$P:$P,MATCH(MEDIÇÃO!D170,'PROJETO PERFURAÇÃO'!$B:$B,0))="Buffer","B",IF(INDEX('PROJETO PERFURAÇÃO'!$P:$P,MATCH(MEDIÇÃO!D170,'PROJETO PERFURAÇÃO'!$B:$B,0))="Pre-Splitting","S"))),"")</f>
        <v>S</v>
      </c>
      <c r="D170" s="14">
        <f t="shared" si="15"/>
        <v>356</v>
      </c>
      <c r="E170" s="4" t="str">
        <f>IFERROR(INDEX('LEV R&amp;D'!$D:$D,MATCH(MEDIÇÃO!D170,'LEV R&amp;D'!$A:$A,0))-INDEX('PROJETO PERFURAÇÃO'!$AH:$AH,MATCH(MEDIÇÃO!D170,'PROJETO PERFURAÇÃO'!$B:$B,0)),"")</f>
        <v/>
      </c>
      <c r="F170" s="17">
        <f>IFERROR(INDEX('PROJETO PERFURAÇÃO'!$AN:$AN,MATCH(MEDIÇÃO!D170,'PROJETO PERFURAÇÃO'!$B:$B,0)),"")</f>
        <v>13.45</v>
      </c>
      <c r="G170" s="3"/>
      <c r="H170" s="3"/>
      <c r="I170" s="3" t="str">
        <f>IFERROR(ROUND(INDEX('PROJETO PERFURAÇÃO'!$AB:$AB,MATCH(MEDIÇÃO!K170,'PROJETO PERFURAÇÃO'!$B:$B,0)),1)&amp;"''","")</f>
        <v>5''</v>
      </c>
      <c r="J170" s="3" t="str">
        <f>IFERROR(IF(INDEX('PROJETO PERFURAÇÃO'!$P:$P,MATCH(MEDIÇÃO!K170,'PROJETO PERFURAÇÃO'!$B:$B,0))="Production","P",IF(INDEX('PROJETO PERFURAÇÃO'!$P:$P,MATCH(MEDIÇÃO!K170,'PROJETO PERFURAÇÃO'!$B:$B,0))="Buffer","B",IF(INDEX('PROJETO PERFURAÇÃO'!$P:$P,MATCH(MEDIÇÃO!K170,'PROJETO PERFURAÇÃO'!$B:$B,0))="Pre-Splitting","S"))),"")</f>
        <v>S</v>
      </c>
      <c r="K170" s="14">
        <f t="shared" si="16"/>
        <v>379</v>
      </c>
      <c r="L170" s="4" t="str">
        <f>IFERROR(INDEX('LEV R&amp;D'!$D:$D,MATCH(MEDIÇÃO!K170,'LEV R&amp;D'!$A:$A,0))-INDEX('PROJETO PERFURAÇÃO'!$AH:$AH,MATCH(MEDIÇÃO!K170,'PROJETO PERFURAÇÃO'!$B:$B,0)),"")</f>
        <v/>
      </c>
      <c r="M170" s="17">
        <f>IFERROR(INDEX('PROJETO PERFURAÇÃO'!$AN:$AN,MATCH(MEDIÇÃO!K170,'PROJETO PERFURAÇÃO'!$B:$B,0)),"")</f>
        <v>12.47</v>
      </c>
      <c r="N170" s="3"/>
      <c r="O170" s="3"/>
      <c r="P170" s="3" t="str">
        <f>IFERROR(ROUND(INDEX('PROJETO PERFURAÇÃO'!$AB:$AB,MATCH(MEDIÇÃO!R170,'PROJETO PERFURAÇÃO'!$B:$B,0)),1)&amp;"''","")</f>
        <v>5''</v>
      </c>
      <c r="Q170" s="3" t="str">
        <f>IFERROR(IF(INDEX('PROJETO PERFURAÇÃO'!$P:$P,MATCH(MEDIÇÃO!R170,'PROJETO PERFURAÇÃO'!$B:$B,0))="Production","P",IF(INDEX('PROJETO PERFURAÇÃO'!$P:$P,MATCH(MEDIÇÃO!R170,'PROJETO PERFURAÇÃO'!$B:$B,0))="Buffer","B",IF(INDEX('PROJETO PERFURAÇÃO'!$P:$P,MATCH(MEDIÇÃO!R170,'PROJETO PERFURAÇÃO'!$B:$B,0))="Pre-Splitting","S"))),"")</f>
        <v>S</v>
      </c>
      <c r="R170" s="14">
        <f t="shared" si="17"/>
        <v>402</v>
      </c>
      <c r="S170" s="4" t="str">
        <f>IFERROR(INDEX('LEV R&amp;D'!$D:$D,MATCH(MEDIÇÃO!R170,'LEV R&amp;D'!$A:$A,0))-INDEX('PROJETO PERFURAÇÃO'!$AH:$AH,MATCH(MEDIÇÃO!R170,'PROJETO PERFURAÇÃO'!$B:$B,0)),"")</f>
        <v/>
      </c>
      <c r="T170" s="17">
        <f>IFERROR(INDEX('PROJETO PERFURAÇÃO'!$AN:$AN,MATCH(MEDIÇÃO!R170,'PROJETO PERFURAÇÃO'!$B:$B,0)),"")</f>
        <v>15.14</v>
      </c>
      <c r="U170" s="3"/>
      <c r="V170" s="3"/>
    </row>
    <row r="171" spans="2:22" ht="45" customHeight="1" x14ac:dyDescent="0.25">
      <c r="B171" s="3" t="str">
        <f>IFERROR(ROUND(INDEX('PROJETO PERFURAÇÃO'!$AB:$AB,MATCH(MEDIÇÃO!D171,'PROJETO PERFURAÇÃO'!$B:$B,0)),1)&amp;"''","")</f>
        <v>5''</v>
      </c>
      <c r="C171" s="3" t="str">
        <f>IFERROR(IF(INDEX('PROJETO PERFURAÇÃO'!$P:$P,MATCH(MEDIÇÃO!D171,'PROJETO PERFURAÇÃO'!$B:$B,0))="Production","P",IF(INDEX('PROJETO PERFURAÇÃO'!$P:$P,MATCH(MEDIÇÃO!D171,'PROJETO PERFURAÇÃO'!$B:$B,0))="Buffer","B",IF(INDEX('PROJETO PERFURAÇÃO'!$P:$P,MATCH(MEDIÇÃO!D171,'PROJETO PERFURAÇÃO'!$B:$B,0))="Pre-Splitting","S"))),"")</f>
        <v>S</v>
      </c>
      <c r="D171" s="14">
        <f t="shared" si="15"/>
        <v>357</v>
      </c>
      <c r="E171" s="4" t="str">
        <f>IFERROR(INDEX('LEV R&amp;D'!$D:$D,MATCH(MEDIÇÃO!D171,'LEV R&amp;D'!$A:$A,0))-INDEX('PROJETO PERFURAÇÃO'!$AH:$AH,MATCH(MEDIÇÃO!D171,'PROJETO PERFURAÇÃO'!$B:$B,0)),"")</f>
        <v/>
      </c>
      <c r="F171" s="17">
        <f>IFERROR(INDEX('PROJETO PERFURAÇÃO'!$AN:$AN,MATCH(MEDIÇÃO!D171,'PROJETO PERFURAÇÃO'!$B:$B,0)),"")</f>
        <v>13.23</v>
      </c>
      <c r="G171" s="3"/>
      <c r="H171" s="3"/>
      <c r="I171" s="3" t="str">
        <f>IFERROR(ROUND(INDEX('PROJETO PERFURAÇÃO'!$AB:$AB,MATCH(MEDIÇÃO!K171,'PROJETO PERFURAÇÃO'!$B:$B,0)),1)&amp;"''","")</f>
        <v>5''</v>
      </c>
      <c r="J171" s="3" t="str">
        <f>IFERROR(IF(INDEX('PROJETO PERFURAÇÃO'!$P:$P,MATCH(MEDIÇÃO!K171,'PROJETO PERFURAÇÃO'!$B:$B,0))="Production","P",IF(INDEX('PROJETO PERFURAÇÃO'!$P:$P,MATCH(MEDIÇÃO!K171,'PROJETO PERFURAÇÃO'!$B:$B,0))="Buffer","B",IF(INDEX('PROJETO PERFURAÇÃO'!$P:$P,MATCH(MEDIÇÃO!K171,'PROJETO PERFURAÇÃO'!$B:$B,0))="Pre-Splitting","S"))),"")</f>
        <v>S</v>
      </c>
      <c r="K171" s="14">
        <f t="shared" si="16"/>
        <v>380</v>
      </c>
      <c r="L171" s="4" t="str">
        <f>IFERROR(INDEX('LEV R&amp;D'!$D:$D,MATCH(MEDIÇÃO!K171,'LEV R&amp;D'!$A:$A,0))-INDEX('PROJETO PERFURAÇÃO'!$AH:$AH,MATCH(MEDIÇÃO!K171,'PROJETO PERFURAÇÃO'!$B:$B,0)),"")</f>
        <v/>
      </c>
      <c r="M171" s="17">
        <f>IFERROR(INDEX('PROJETO PERFURAÇÃO'!$AN:$AN,MATCH(MEDIÇÃO!K171,'PROJETO PERFURAÇÃO'!$B:$B,0)),"")</f>
        <v>12.55</v>
      </c>
      <c r="N171" s="3"/>
      <c r="O171" s="3"/>
      <c r="P171" s="3" t="str">
        <f>IFERROR(ROUND(INDEX('PROJETO PERFURAÇÃO'!$AB:$AB,MATCH(MEDIÇÃO!R171,'PROJETO PERFURAÇÃO'!$B:$B,0)),1)&amp;"''","")</f>
        <v>5''</v>
      </c>
      <c r="Q171" s="3" t="str">
        <f>IFERROR(IF(INDEX('PROJETO PERFURAÇÃO'!$P:$P,MATCH(MEDIÇÃO!R171,'PROJETO PERFURAÇÃO'!$B:$B,0))="Production","P",IF(INDEX('PROJETO PERFURAÇÃO'!$P:$P,MATCH(MEDIÇÃO!R171,'PROJETO PERFURAÇÃO'!$B:$B,0))="Buffer","B",IF(INDEX('PROJETO PERFURAÇÃO'!$P:$P,MATCH(MEDIÇÃO!R171,'PROJETO PERFURAÇÃO'!$B:$B,0))="Pre-Splitting","S"))),"")</f>
        <v>P</v>
      </c>
      <c r="R171" s="14">
        <f t="shared" si="17"/>
        <v>403</v>
      </c>
      <c r="S171" s="4" t="str">
        <f>IFERROR(INDEX('LEV R&amp;D'!$D:$D,MATCH(MEDIÇÃO!R171,'LEV R&amp;D'!$A:$A,0))-INDEX('PROJETO PERFURAÇÃO'!$AH:$AH,MATCH(MEDIÇÃO!R171,'PROJETO PERFURAÇÃO'!$B:$B,0)),"")</f>
        <v/>
      </c>
      <c r="T171" s="17">
        <f>IFERROR(INDEX('PROJETO PERFURAÇÃO'!$AN:$AN,MATCH(MEDIÇÃO!R171,'PROJETO PERFURAÇÃO'!$B:$B,0)),"")</f>
        <v>0</v>
      </c>
      <c r="U171" s="3"/>
      <c r="V171" s="3"/>
    </row>
    <row r="172" spans="2:22" ht="45" customHeight="1" x14ac:dyDescent="0.25">
      <c r="B172" s="3" t="str">
        <f>IFERROR(ROUND(INDEX('PROJETO PERFURAÇÃO'!$AB:$AB,MATCH(MEDIÇÃO!D172,'PROJETO PERFURAÇÃO'!$B:$B,0)),1)&amp;"''","")</f>
        <v>5''</v>
      </c>
      <c r="C172" s="3" t="str">
        <f>IFERROR(IF(INDEX('PROJETO PERFURAÇÃO'!$P:$P,MATCH(MEDIÇÃO!D172,'PROJETO PERFURAÇÃO'!$B:$B,0))="Production","P",IF(INDEX('PROJETO PERFURAÇÃO'!$P:$P,MATCH(MEDIÇÃO!D172,'PROJETO PERFURAÇÃO'!$B:$B,0))="Buffer","B",IF(INDEX('PROJETO PERFURAÇÃO'!$P:$P,MATCH(MEDIÇÃO!D172,'PROJETO PERFURAÇÃO'!$B:$B,0))="Pre-Splitting","S"))),"")</f>
        <v>S</v>
      </c>
      <c r="D172" s="14">
        <f t="shared" si="15"/>
        <v>358</v>
      </c>
      <c r="E172" s="4" t="str">
        <f>IFERROR(INDEX('LEV R&amp;D'!$D:$D,MATCH(MEDIÇÃO!D172,'LEV R&amp;D'!$A:$A,0))-INDEX('PROJETO PERFURAÇÃO'!$AH:$AH,MATCH(MEDIÇÃO!D172,'PROJETO PERFURAÇÃO'!$B:$B,0)),"")</f>
        <v/>
      </c>
      <c r="F172" s="17">
        <f>IFERROR(INDEX('PROJETO PERFURAÇÃO'!$AN:$AN,MATCH(MEDIÇÃO!D172,'PROJETO PERFURAÇÃO'!$B:$B,0)),"")</f>
        <v>12.94</v>
      </c>
      <c r="G172" s="3"/>
      <c r="H172" s="3"/>
      <c r="I172" s="3" t="str">
        <f>IFERROR(ROUND(INDEX('PROJETO PERFURAÇÃO'!$AB:$AB,MATCH(MEDIÇÃO!K172,'PROJETO PERFURAÇÃO'!$B:$B,0)),1)&amp;"''","")</f>
        <v>5''</v>
      </c>
      <c r="J172" s="3" t="str">
        <f>IFERROR(IF(INDEX('PROJETO PERFURAÇÃO'!$P:$P,MATCH(MEDIÇÃO!K172,'PROJETO PERFURAÇÃO'!$B:$B,0))="Production","P",IF(INDEX('PROJETO PERFURAÇÃO'!$P:$P,MATCH(MEDIÇÃO!K172,'PROJETO PERFURAÇÃO'!$B:$B,0))="Buffer","B",IF(INDEX('PROJETO PERFURAÇÃO'!$P:$P,MATCH(MEDIÇÃO!K172,'PROJETO PERFURAÇÃO'!$B:$B,0))="Pre-Splitting","S"))),"")</f>
        <v>S</v>
      </c>
      <c r="K172" s="14">
        <f t="shared" si="16"/>
        <v>381</v>
      </c>
      <c r="L172" s="4" t="str">
        <f>IFERROR(INDEX('LEV R&amp;D'!$D:$D,MATCH(MEDIÇÃO!K172,'LEV R&amp;D'!$A:$A,0))-INDEX('PROJETO PERFURAÇÃO'!$AH:$AH,MATCH(MEDIÇÃO!K172,'PROJETO PERFURAÇÃO'!$B:$B,0)),"")</f>
        <v/>
      </c>
      <c r="M172" s="17">
        <f>IFERROR(INDEX('PROJETO PERFURAÇÃO'!$AN:$AN,MATCH(MEDIÇÃO!K172,'PROJETO PERFURAÇÃO'!$B:$B,0)),"")</f>
        <v>15.59</v>
      </c>
      <c r="N172" s="3"/>
      <c r="O172" s="3"/>
      <c r="P172" s="3" t="str">
        <f>IFERROR(ROUND(INDEX('PROJETO PERFURAÇÃO'!$AB:$AB,MATCH(MEDIÇÃO!R172,'PROJETO PERFURAÇÃO'!$B:$B,0)),1)&amp;"''","")</f>
        <v>5''</v>
      </c>
      <c r="Q172" s="3" t="str">
        <f>IFERROR(IF(INDEX('PROJETO PERFURAÇÃO'!$P:$P,MATCH(MEDIÇÃO!R172,'PROJETO PERFURAÇÃO'!$B:$B,0))="Production","P",IF(INDEX('PROJETO PERFURAÇÃO'!$P:$P,MATCH(MEDIÇÃO!R172,'PROJETO PERFURAÇÃO'!$B:$B,0))="Buffer","B",IF(INDEX('PROJETO PERFURAÇÃO'!$P:$P,MATCH(MEDIÇÃO!R172,'PROJETO PERFURAÇÃO'!$B:$B,0))="Pre-Splitting","S"))),"")</f>
        <v>P</v>
      </c>
      <c r="R172" s="14">
        <f t="shared" si="17"/>
        <v>404</v>
      </c>
      <c r="S172" s="4" t="str">
        <f>IFERROR(INDEX('LEV R&amp;D'!$D:$D,MATCH(MEDIÇÃO!R172,'LEV R&amp;D'!$A:$A,0))-INDEX('PROJETO PERFURAÇÃO'!$AH:$AH,MATCH(MEDIÇÃO!R172,'PROJETO PERFURAÇÃO'!$B:$B,0)),"")</f>
        <v/>
      </c>
      <c r="T172" s="17">
        <f>IFERROR(INDEX('PROJETO PERFURAÇÃO'!$AN:$AN,MATCH(MEDIÇÃO!R172,'PROJETO PERFURAÇÃO'!$B:$B,0)),"")</f>
        <v>0</v>
      </c>
      <c r="U172" s="3"/>
      <c r="V172" s="3"/>
    </row>
    <row r="173" spans="2:22" ht="45" customHeight="1" x14ac:dyDescent="0.25">
      <c r="B173" s="3" t="str">
        <f>IFERROR(ROUND(INDEX('PROJETO PERFURAÇÃO'!$AB:$AB,MATCH(MEDIÇÃO!D173,'PROJETO PERFURAÇÃO'!$B:$B,0)),1)&amp;"''","")</f>
        <v>5''</v>
      </c>
      <c r="C173" s="3" t="str">
        <f>IFERROR(IF(INDEX('PROJETO PERFURAÇÃO'!$P:$P,MATCH(MEDIÇÃO!D173,'PROJETO PERFURAÇÃO'!$B:$B,0))="Production","P",IF(INDEX('PROJETO PERFURAÇÃO'!$P:$P,MATCH(MEDIÇÃO!D173,'PROJETO PERFURAÇÃO'!$B:$B,0))="Buffer","B",IF(INDEX('PROJETO PERFURAÇÃO'!$P:$P,MATCH(MEDIÇÃO!D173,'PROJETO PERFURAÇÃO'!$B:$B,0))="Pre-Splitting","S"))),"")</f>
        <v>S</v>
      </c>
      <c r="D173" s="14">
        <f t="shared" si="15"/>
        <v>359</v>
      </c>
      <c r="E173" s="4" t="str">
        <f>IFERROR(INDEX('LEV R&amp;D'!$D:$D,MATCH(MEDIÇÃO!D173,'LEV R&amp;D'!$A:$A,0))-INDEX('PROJETO PERFURAÇÃO'!$AH:$AH,MATCH(MEDIÇÃO!D173,'PROJETO PERFURAÇÃO'!$B:$B,0)),"")</f>
        <v/>
      </c>
      <c r="F173" s="17">
        <f>IFERROR(INDEX('PROJETO PERFURAÇÃO'!$AN:$AN,MATCH(MEDIÇÃO!D173,'PROJETO PERFURAÇÃO'!$B:$B,0)),"")</f>
        <v>12.64</v>
      </c>
      <c r="G173" s="3"/>
      <c r="H173" s="3"/>
      <c r="I173" s="3" t="str">
        <f>IFERROR(ROUND(INDEX('PROJETO PERFURAÇÃO'!$AB:$AB,MATCH(MEDIÇÃO!K173,'PROJETO PERFURAÇÃO'!$B:$B,0)),1)&amp;"''","")</f>
        <v>5''</v>
      </c>
      <c r="J173" s="3" t="str">
        <f>IFERROR(IF(INDEX('PROJETO PERFURAÇÃO'!$P:$P,MATCH(MEDIÇÃO!K173,'PROJETO PERFURAÇÃO'!$B:$B,0))="Production","P",IF(INDEX('PROJETO PERFURAÇÃO'!$P:$P,MATCH(MEDIÇÃO!K173,'PROJETO PERFURAÇÃO'!$B:$B,0))="Buffer","B",IF(INDEX('PROJETO PERFURAÇÃO'!$P:$P,MATCH(MEDIÇÃO!K173,'PROJETO PERFURAÇÃO'!$B:$B,0))="Pre-Splitting","S"))),"")</f>
        <v>S</v>
      </c>
      <c r="K173" s="14">
        <f t="shared" si="16"/>
        <v>382</v>
      </c>
      <c r="L173" s="4" t="str">
        <f>IFERROR(INDEX('LEV R&amp;D'!$D:$D,MATCH(MEDIÇÃO!K173,'LEV R&amp;D'!$A:$A,0))-INDEX('PROJETO PERFURAÇÃO'!$AH:$AH,MATCH(MEDIÇÃO!K173,'PROJETO PERFURAÇÃO'!$B:$B,0)),"")</f>
        <v/>
      </c>
      <c r="M173" s="17">
        <f>IFERROR(INDEX('PROJETO PERFURAÇÃO'!$AN:$AN,MATCH(MEDIÇÃO!K173,'PROJETO PERFURAÇÃO'!$B:$B,0)),"")</f>
        <v>15.57</v>
      </c>
      <c r="N173" s="3"/>
      <c r="O173" s="3"/>
      <c r="P173" s="3" t="str">
        <f>IFERROR(ROUND(INDEX('PROJETO PERFURAÇÃO'!$AB:$AB,MATCH(MEDIÇÃO!R173,'PROJETO PERFURAÇÃO'!$B:$B,0)),1)&amp;"''","")</f>
        <v>5''</v>
      </c>
      <c r="Q173" s="3" t="str">
        <f>IFERROR(IF(INDEX('PROJETO PERFURAÇÃO'!$P:$P,MATCH(MEDIÇÃO!R173,'PROJETO PERFURAÇÃO'!$B:$B,0))="Production","P",IF(INDEX('PROJETO PERFURAÇÃO'!$P:$P,MATCH(MEDIÇÃO!R173,'PROJETO PERFURAÇÃO'!$B:$B,0))="Buffer","B",IF(INDEX('PROJETO PERFURAÇÃO'!$P:$P,MATCH(MEDIÇÃO!R173,'PROJETO PERFURAÇÃO'!$B:$B,0))="Pre-Splitting","S"))),"")</f>
        <v>P</v>
      </c>
      <c r="R173" s="14">
        <f t="shared" si="17"/>
        <v>405</v>
      </c>
      <c r="S173" s="4" t="str">
        <f>IFERROR(INDEX('LEV R&amp;D'!$D:$D,MATCH(MEDIÇÃO!R173,'LEV R&amp;D'!$A:$A,0))-INDEX('PROJETO PERFURAÇÃO'!$AH:$AH,MATCH(MEDIÇÃO!R173,'PROJETO PERFURAÇÃO'!$B:$B,0)),"")</f>
        <v/>
      </c>
      <c r="T173" s="17">
        <f>IFERROR(INDEX('PROJETO PERFURAÇÃO'!$AN:$AN,MATCH(MEDIÇÃO!R173,'PROJETO PERFURAÇÃO'!$B:$B,0)),"")</f>
        <v>0</v>
      </c>
      <c r="U173" s="3"/>
      <c r="V173" s="3"/>
    </row>
    <row r="174" spans="2:22" ht="45" customHeight="1" x14ac:dyDescent="0.25">
      <c r="B174" s="3" t="str">
        <f>IFERROR(ROUND(INDEX('PROJETO PERFURAÇÃO'!$AB:$AB,MATCH(MEDIÇÃO!D174,'PROJETO PERFURAÇÃO'!$B:$B,0)),1)&amp;"''","")</f>
        <v>5''</v>
      </c>
      <c r="C174" s="3" t="str">
        <f>IFERROR(IF(INDEX('PROJETO PERFURAÇÃO'!$P:$P,MATCH(MEDIÇÃO!D174,'PROJETO PERFURAÇÃO'!$B:$B,0))="Production","P",IF(INDEX('PROJETO PERFURAÇÃO'!$P:$P,MATCH(MEDIÇÃO!D174,'PROJETO PERFURAÇÃO'!$B:$B,0))="Buffer","B",IF(INDEX('PROJETO PERFURAÇÃO'!$P:$P,MATCH(MEDIÇÃO!D174,'PROJETO PERFURAÇÃO'!$B:$B,0))="Pre-Splitting","S"))),"")</f>
        <v>S</v>
      </c>
      <c r="D174" s="14">
        <f t="shared" si="15"/>
        <v>360</v>
      </c>
      <c r="E174" s="4" t="str">
        <f>IFERROR(INDEX('LEV R&amp;D'!$D:$D,MATCH(MEDIÇÃO!D174,'LEV R&amp;D'!$A:$A,0))-INDEX('PROJETO PERFURAÇÃO'!$AH:$AH,MATCH(MEDIÇÃO!D174,'PROJETO PERFURAÇÃO'!$B:$B,0)),"")</f>
        <v/>
      </c>
      <c r="F174" s="17">
        <f>IFERROR(INDEX('PROJETO PERFURAÇÃO'!$AN:$AN,MATCH(MEDIÇÃO!D174,'PROJETO PERFURAÇÃO'!$B:$B,0)),"")</f>
        <v>12.47</v>
      </c>
      <c r="G174" s="3"/>
      <c r="H174" s="3"/>
      <c r="I174" s="3" t="str">
        <f>IFERROR(ROUND(INDEX('PROJETO PERFURAÇÃO'!$AB:$AB,MATCH(MEDIÇÃO!K174,'PROJETO PERFURAÇÃO'!$B:$B,0)),1)&amp;"''","")</f>
        <v>5''</v>
      </c>
      <c r="J174" s="3" t="str">
        <f>IFERROR(IF(INDEX('PROJETO PERFURAÇÃO'!$P:$P,MATCH(MEDIÇÃO!K174,'PROJETO PERFURAÇÃO'!$B:$B,0))="Production","P",IF(INDEX('PROJETO PERFURAÇÃO'!$P:$P,MATCH(MEDIÇÃO!K174,'PROJETO PERFURAÇÃO'!$B:$B,0))="Buffer","B",IF(INDEX('PROJETO PERFURAÇÃO'!$P:$P,MATCH(MEDIÇÃO!K174,'PROJETO PERFURAÇÃO'!$B:$B,0))="Pre-Splitting","S"))),"")</f>
        <v>S</v>
      </c>
      <c r="K174" s="14">
        <f t="shared" si="16"/>
        <v>383</v>
      </c>
      <c r="L174" s="4" t="str">
        <f>IFERROR(INDEX('LEV R&amp;D'!$D:$D,MATCH(MEDIÇÃO!K174,'LEV R&amp;D'!$A:$A,0))-INDEX('PROJETO PERFURAÇÃO'!$AH:$AH,MATCH(MEDIÇÃO!K174,'PROJETO PERFURAÇÃO'!$B:$B,0)),"")</f>
        <v/>
      </c>
      <c r="M174" s="17">
        <f>IFERROR(INDEX('PROJETO PERFURAÇÃO'!$AN:$AN,MATCH(MEDIÇÃO!K174,'PROJETO PERFURAÇÃO'!$B:$B,0)),"")</f>
        <v>15.35</v>
      </c>
      <c r="N174" s="3"/>
      <c r="O174" s="3"/>
      <c r="P174" s="3" t="str">
        <f>IFERROR(ROUND(INDEX('PROJETO PERFURAÇÃO'!$AB:$AB,MATCH(MEDIÇÃO!R174,'PROJETO PERFURAÇÃO'!$B:$B,0)),1)&amp;"''","")</f>
        <v>5''</v>
      </c>
      <c r="Q174" s="3" t="str">
        <f>IFERROR(IF(INDEX('PROJETO PERFURAÇÃO'!$P:$P,MATCH(MEDIÇÃO!R174,'PROJETO PERFURAÇÃO'!$B:$B,0))="Production","P",IF(INDEX('PROJETO PERFURAÇÃO'!$P:$P,MATCH(MEDIÇÃO!R174,'PROJETO PERFURAÇÃO'!$B:$B,0))="Buffer","B",IF(INDEX('PROJETO PERFURAÇÃO'!$P:$P,MATCH(MEDIÇÃO!R174,'PROJETO PERFURAÇÃO'!$B:$B,0))="Pre-Splitting","S"))),"")</f>
        <v>P</v>
      </c>
      <c r="R174" s="14">
        <f t="shared" si="17"/>
        <v>406</v>
      </c>
      <c r="S174" s="4" t="str">
        <f>IFERROR(INDEX('LEV R&amp;D'!$D:$D,MATCH(MEDIÇÃO!R174,'LEV R&amp;D'!$A:$A,0))-INDEX('PROJETO PERFURAÇÃO'!$AH:$AH,MATCH(MEDIÇÃO!R174,'PROJETO PERFURAÇÃO'!$B:$B,0)),"")</f>
        <v/>
      </c>
      <c r="T174" s="17">
        <f>IFERROR(INDEX('PROJETO PERFURAÇÃO'!$AN:$AN,MATCH(MEDIÇÃO!R174,'PROJETO PERFURAÇÃO'!$B:$B,0)),"")</f>
        <v>0</v>
      </c>
      <c r="U174" s="3"/>
      <c r="V174" s="3"/>
    </row>
    <row r="175" spans="2:22" ht="45" customHeight="1" x14ac:dyDescent="0.25">
      <c r="B175" s="3" t="str">
        <f>IFERROR(ROUND(INDEX('PROJETO PERFURAÇÃO'!$AB:$AB,MATCH(MEDIÇÃO!D175,'PROJETO PERFURAÇÃO'!$B:$B,0)),1)&amp;"''","")</f>
        <v>5''</v>
      </c>
      <c r="C175" s="3" t="str">
        <f>IFERROR(IF(INDEX('PROJETO PERFURAÇÃO'!$P:$P,MATCH(MEDIÇÃO!D175,'PROJETO PERFURAÇÃO'!$B:$B,0))="Production","P",IF(INDEX('PROJETO PERFURAÇÃO'!$P:$P,MATCH(MEDIÇÃO!D175,'PROJETO PERFURAÇÃO'!$B:$B,0))="Buffer","B",IF(INDEX('PROJETO PERFURAÇÃO'!$P:$P,MATCH(MEDIÇÃO!D175,'PROJETO PERFURAÇÃO'!$B:$B,0))="Pre-Splitting","S"))),"")</f>
        <v>S</v>
      </c>
      <c r="D175" s="14">
        <f t="shared" si="15"/>
        <v>361</v>
      </c>
      <c r="E175" s="4" t="str">
        <f>IFERROR(INDEX('LEV R&amp;D'!$D:$D,MATCH(MEDIÇÃO!D175,'LEV R&amp;D'!$A:$A,0))-INDEX('PROJETO PERFURAÇÃO'!$AH:$AH,MATCH(MEDIÇÃO!D175,'PROJETO PERFURAÇÃO'!$B:$B,0)),"")</f>
        <v/>
      </c>
      <c r="F175" s="17">
        <f>IFERROR(INDEX('PROJETO PERFURAÇÃO'!$AN:$AN,MATCH(MEDIÇÃO!D175,'PROJETO PERFURAÇÃO'!$B:$B,0)),"")</f>
        <v>12.52</v>
      </c>
      <c r="G175" s="3"/>
      <c r="H175" s="3"/>
      <c r="I175" s="3" t="str">
        <f>IFERROR(ROUND(INDEX('PROJETO PERFURAÇÃO'!$AB:$AB,MATCH(MEDIÇÃO!K175,'PROJETO PERFURAÇÃO'!$B:$B,0)),1)&amp;"''","")</f>
        <v>5''</v>
      </c>
      <c r="J175" s="3" t="str">
        <f>IFERROR(IF(INDEX('PROJETO PERFURAÇÃO'!$P:$P,MATCH(MEDIÇÃO!K175,'PROJETO PERFURAÇÃO'!$B:$B,0))="Production","P",IF(INDEX('PROJETO PERFURAÇÃO'!$P:$P,MATCH(MEDIÇÃO!K175,'PROJETO PERFURAÇÃO'!$B:$B,0))="Buffer","B",IF(INDEX('PROJETO PERFURAÇÃO'!$P:$P,MATCH(MEDIÇÃO!K175,'PROJETO PERFURAÇÃO'!$B:$B,0))="Pre-Splitting","S"))),"")</f>
        <v>S</v>
      </c>
      <c r="K175" s="14">
        <f t="shared" si="16"/>
        <v>384</v>
      </c>
      <c r="L175" s="4" t="str">
        <f>IFERROR(INDEX('LEV R&amp;D'!$D:$D,MATCH(MEDIÇÃO!K175,'LEV R&amp;D'!$A:$A,0))-INDEX('PROJETO PERFURAÇÃO'!$AH:$AH,MATCH(MEDIÇÃO!K175,'PROJETO PERFURAÇÃO'!$B:$B,0)),"")</f>
        <v/>
      </c>
      <c r="M175" s="17">
        <f>IFERROR(INDEX('PROJETO PERFURAÇÃO'!$AN:$AN,MATCH(MEDIÇÃO!K175,'PROJETO PERFURAÇÃO'!$B:$B,0)),"")</f>
        <v>15.26</v>
      </c>
      <c r="N175" s="3"/>
      <c r="O175" s="3"/>
      <c r="P175" s="3" t="str">
        <f>IFERROR(ROUND(INDEX('PROJETO PERFURAÇÃO'!$AB:$AB,MATCH(MEDIÇÃO!R175,'PROJETO PERFURAÇÃO'!$B:$B,0)),1)&amp;"''","")</f>
        <v>5''</v>
      </c>
      <c r="Q175" s="3" t="str">
        <f>IFERROR(IF(INDEX('PROJETO PERFURAÇÃO'!$P:$P,MATCH(MEDIÇÃO!R175,'PROJETO PERFURAÇÃO'!$B:$B,0))="Production","P",IF(INDEX('PROJETO PERFURAÇÃO'!$P:$P,MATCH(MEDIÇÃO!R175,'PROJETO PERFURAÇÃO'!$B:$B,0))="Buffer","B",IF(INDEX('PROJETO PERFURAÇÃO'!$P:$P,MATCH(MEDIÇÃO!R175,'PROJETO PERFURAÇÃO'!$B:$B,0))="Pre-Splitting","S"))),"")</f>
        <v>P</v>
      </c>
      <c r="R175" s="14">
        <f t="shared" si="17"/>
        <v>407</v>
      </c>
      <c r="S175" s="4" t="str">
        <f>IFERROR(INDEX('LEV R&amp;D'!$D:$D,MATCH(MEDIÇÃO!R175,'LEV R&amp;D'!$A:$A,0))-INDEX('PROJETO PERFURAÇÃO'!$AH:$AH,MATCH(MEDIÇÃO!R175,'PROJETO PERFURAÇÃO'!$B:$B,0)),"")</f>
        <v/>
      </c>
      <c r="T175" s="17">
        <f>IFERROR(INDEX('PROJETO PERFURAÇÃO'!$AN:$AN,MATCH(MEDIÇÃO!R175,'PROJETO PERFURAÇÃO'!$B:$B,0)),"")</f>
        <v>0</v>
      </c>
      <c r="U175" s="3"/>
      <c r="V175" s="3"/>
    </row>
    <row r="176" spans="2:22" ht="45" customHeight="1" x14ac:dyDescent="0.25">
      <c r="B176" s="3" t="str">
        <f>IFERROR(ROUND(INDEX('PROJETO PERFURAÇÃO'!$AB:$AB,MATCH(MEDIÇÃO!D176,'PROJETO PERFURAÇÃO'!$B:$B,0)),1)&amp;"''","")</f>
        <v>5''</v>
      </c>
      <c r="C176" s="3" t="str">
        <f>IFERROR(IF(INDEX('PROJETO PERFURAÇÃO'!$P:$P,MATCH(MEDIÇÃO!D176,'PROJETO PERFURAÇÃO'!$B:$B,0))="Production","P",IF(INDEX('PROJETO PERFURAÇÃO'!$P:$P,MATCH(MEDIÇÃO!D176,'PROJETO PERFURAÇÃO'!$B:$B,0))="Buffer","B",IF(INDEX('PROJETO PERFURAÇÃO'!$P:$P,MATCH(MEDIÇÃO!D176,'PROJETO PERFURAÇÃO'!$B:$B,0))="Pre-Splitting","S"))),"")</f>
        <v>S</v>
      </c>
      <c r="D176" s="14">
        <f t="shared" si="15"/>
        <v>362</v>
      </c>
      <c r="E176" s="4" t="str">
        <f>IFERROR(INDEX('LEV R&amp;D'!$D:$D,MATCH(MEDIÇÃO!D176,'LEV R&amp;D'!$A:$A,0))-INDEX('PROJETO PERFURAÇÃO'!$AH:$AH,MATCH(MEDIÇÃO!D176,'PROJETO PERFURAÇÃO'!$B:$B,0)),"")</f>
        <v/>
      </c>
      <c r="F176" s="17">
        <f>IFERROR(INDEX('PROJETO PERFURAÇÃO'!$AN:$AN,MATCH(MEDIÇÃO!D176,'PROJETO PERFURAÇÃO'!$B:$B,0)),"")</f>
        <v>12.08</v>
      </c>
      <c r="G176" s="3"/>
      <c r="H176" s="3"/>
      <c r="I176" s="3" t="str">
        <f>IFERROR(ROUND(INDEX('PROJETO PERFURAÇÃO'!$AB:$AB,MATCH(MEDIÇÃO!K176,'PROJETO PERFURAÇÃO'!$B:$B,0)),1)&amp;"''","")</f>
        <v>5''</v>
      </c>
      <c r="J176" s="3" t="str">
        <f>IFERROR(IF(INDEX('PROJETO PERFURAÇÃO'!$P:$P,MATCH(MEDIÇÃO!K176,'PROJETO PERFURAÇÃO'!$B:$B,0))="Production","P",IF(INDEX('PROJETO PERFURAÇÃO'!$P:$P,MATCH(MEDIÇÃO!K176,'PROJETO PERFURAÇÃO'!$B:$B,0))="Buffer","B",IF(INDEX('PROJETO PERFURAÇÃO'!$P:$P,MATCH(MEDIÇÃO!K176,'PROJETO PERFURAÇÃO'!$B:$B,0))="Pre-Splitting","S"))),"")</f>
        <v>S</v>
      </c>
      <c r="K176" s="14">
        <f t="shared" si="16"/>
        <v>385</v>
      </c>
      <c r="L176" s="4" t="str">
        <f>IFERROR(INDEX('LEV R&amp;D'!$D:$D,MATCH(MEDIÇÃO!K176,'LEV R&amp;D'!$A:$A,0))-INDEX('PROJETO PERFURAÇÃO'!$AH:$AH,MATCH(MEDIÇÃO!K176,'PROJETO PERFURAÇÃO'!$B:$B,0)),"")</f>
        <v/>
      </c>
      <c r="M176" s="17">
        <f>IFERROR(INDEX('PROJETO PERFURAÇÃO'!$AN:$AN,MATCH(MEDIÇÃO!K176,'PROJETO PERFURAÇÃO'!$B:$B,0)),"")</f>
        <v>15.29</v>
      </c>
      <c r="N176" s="3"/>
      <c r="O176" s="3"/>
      <c r="P176" s="3" t="str">
        <f>IFERROR(ROUND(INDEX('PROJETO PERFURAÇÃO'!$AB:$AB,MATCH(MEDIÇÃO!R176,'PROJETO PERFURAÇÃO'!$B:$B,0)),1)&amp;"''","")</f>
        <v>5''</v>
      </c>
      <c r="Q176" s="3" t="str">
        <f>IFERROR(IF(INDEX('PROJETO PERFURAÇÃO'!$P:$P,MATCH(MEDIÇÃO!R176,'PROJETO PERFURAÇÃO'!$B:$B,0))="Production","P",IF(INDEX('PROJETO PERFURAÇÃO'!$P:$P,MATCH(MEDIÇÃO!R176,'PROJETO PERFURAÇÃO'!$B:$B,0))="Buffer","B",IF(INDEX('PROJETO PERFURAÇÃO'!$P:$P,MATCH(MEDIÇÃO!R176,'PROJETO PERFURAÇÃO'!$B:$B,0))="Pre-Splitting","S"))),"")</f>
        <v>P</v>
      </c>
      <c r="R176" s="14">
        <f t="shared" si="17"/>
        <v>408</v>
      </c>
      <c r="S176" s="4" t="str">
        <f>IFERROR(INDEX('LEV R&amp;D'!$D:$D,MATCH(MEDIÇÃO!R176,'LEV R&amp;D'!$A:$A,0))-INDEX('PROJETO PERFURAÇÃO'!$AH:$AH,MATCH(MEDIÇÃO!R176,'PROJETO PERFURAÇÃO'!$B:$B,0)),"")</f>
        <v/>
      </c>
      <c r="T176" s="17">
        <f>IFERROR(INDEX('PROJETO PERFURAÇÃO'!$AN:$AN,MATCH(MEDIÇÃO!R176,'PROJETO PERFURAÇÃO'!$B:$B,0)),"")</f>
        <v>0</v>
      </c>
      <c r="U176" s="3"/>
      <c r="V176" s="3"/>
    </row>
    <row r="177" spans="1:23" ht="45" customHeight="1" x14ac:dyDescent="0.25">
      <c r="B177" s="3" t="str">
        <f>IFERROR(ROUND(INDEX('PROJETO PERFURAÇÃO'!$AB:$AB,MATCH(MEDIÇÃO!D177,'PROJETO PERFURAÇÃO'!$B:$B,0)),1)&amp;"''","")</f>
        <v>5''</v>
      </c>
      <c r="C177" s="3" t="str">
        <f>IFERROR(IF(INDEX('PROJETO PERFURAÇÃO'!$P:$P,MATCH(MEDIÇÃO!D177,'PROJETO PERFURAÇÃO'!$B:$B,0))="Production","P",IF(INDEX('PROJETO PERFURAÇÃO'!$P:$P,MATCH(MEDIÇÃO!D177,'PROJETO PERFURAÇÃO'!$B:$B,0))="Buffer","B",IF(INDEX('PROJETO PERFURAÇÃO'!$P:$P,MATCH(MEDIÇÃO!D177,'PROJETO PERFURAÇÃO'!$B:$B,0))="Pre-Splitting","S"))),"")</f>
        <v>S</v>
      </c>
      <c r="D177" s="14">
        <f t="shared" si="15"/>
        <v>363</v>
      </c>
      <c r="E177" s="4" t="str">
        <f>IFERROR(INDEX('LEV R&amp;D'!$D:$D,MATCH(MEDIÇÃO!D177,'LEV R&amp;D'!$A:$A,0))-INDEX('PROJETO PERFURAÇÃO'!$AH:$AH,MATCH(MEDIÇÃO!D177,'PROJETO PERFURAÇÃO'!$B:$B,0)),"")</f>
        <v/>
      </c>
      <c r="F177" s="17">
        <f>IFERROR(INDEX('PROJETO PERFURAÇÃO'!$AN:$AN,MATCH(MEDIÇÃO!D177,'PROJETO PERFURAÇÃO'!$B:$B,0)),"")</f>
        <v>11.22</v>
      </c>
      <c r="G177" s="3"/>
      <c r="H177" s="3"/>
      <c r="I177" s="3" t="str">
        <f>IFERROR(ROUND(INDEX('PROJETO PERFURAÇÃO'!$AB:$AB,MATCH(MEDIÇÃO!K177,'PROJETO PERFURAÇÃO'!$B:$B,0)),1)&amp;"''","")</f>
        <v>5''</v>
      </c>
      <c r="J177" s="3" t="str">
        <f>IFERROR(IF(INDEX('PROJETO PERFURAÇÃO'!$P:$P,MATCH(MEDIÇÃO!K177,'PROJETO PERFURAÇÃO'!$B:$B,0))="Production","P",IF(INDEX('PROJETO PERFURAÇÃO'!$P:$P,MATCH(MEDIÇÃO!K177,'PROJETO PERFURAÇÃO'!$B:$B,0))="Buffer","B",IF(INDEX('PROJETO PERFURAÇÃO'!$P:$P,MATCH(MEDIÇÃO!K177,'PROJETO PERFURAÇÃO'!$B:$B,0))="Pre-Splitting","S"))),"")</f>
        <v>S</v>
      </c>
      <c r="K177" s="14">
        <f t="shared" si="16"/>
        <v>386</v>
      </c>
      <c r="L177" s="4" t="str">
        <f>IFERROR(INDEX('LEV R&amp;D'!$D:$D,MATCH(MEDIÇÃO!K177,'LEV R&amp;D'!$A:$A,0))-INDEX('PROJETO PERFURAÇÃO'!$AH:$AH,MATCH(MEDIÇÃO!K177,'PROJETO PERFURAÇÃO'!$B:$B,0)),"")</f>
        <v/>
      </c>
      <c r="M177" s="17">
        <f>IFERROR(INDEX('PROJETO PERFURAÇÃO'!$AN:$AN,MATCH(MEDIÇÃO!K177,'PROJETO PERFURAÇÃO'!$B:$B,0)),"")</f>
        <v>15.2</v>
      </c>
      <c r="N177" s="3"/>
      <c r="O177" s="3"/>
      <c r="P177" s="3" t="str">
        <f>IFERROR(ROUND(INDEX('PROJETO PERFURAÇÃO'!$AB:$AB,MATCH(MEDIÇÃO!R177,'PROJETO PERFURAÇÃO'!$B:$B,0)),1)&amp;"''","")</f>
        <v>5''</v>
      </c>
      <c r="Q177" s="3" t="str">
        <f>IFERROR(IF(INDEX('PROJETO PERFURAÇÃO'!$P:$P,MATCH(MEDIÇÃO!R177,'PROJETO PERFURAÇÃO'!$B:$B,0))="Production","P",IF(INDEX('PROJETO PERFURAÇÃO'!$P:$P,MATCH(MEDIÇÃO!R177,'PROJETO PERFURAÇÃO'!$B:$B,0))="Buffer","B",IF(INDEX('PROJETO PERFURAÇÃO'!$P:$P,MATCH(MEDIÇÃO!R177,'PROJETO PERFURAÇÃO'!$B:$B,0))="Pre-Splitting","S"))),"")</f>
        <v>P</v>
      </c>
      <c r="R177" s="14">
        <f t="shared" si="17"/>
        <v>409</v>
      </c>
      <c r="S177" s="4" t="str">
        <f>IFERROR(INDEX('LEV R&amp;D'!$D:$D,MATCH(MEDIÇÃO!R177,'LEV R&amp;D'!$A:$A,0))-INDEX('PROJETO PERFURAÇÃO'!$AH:$AH,MATCH(MEDIÇÃO!R177,'PROJETO PERFURAÇÃO'!$B:$B,0)),"")</f>
        <v/>
      </c>
      <c r="T177" s="17">
        <f>IFERROR(INDEX('PROJETO PERFURAÇÃO'!$AN:$AN,MATCH(MEDIÇÃO!R177,'PROJETO PERFURAÇÃO'!$B:$B,0)),"")</f>
        <v>0</v>
      </c>
      <c r="U177" s="3"/>
      <c r="V177" s="3"/>
    </row>
    <row r="178" spans="1:23" ht="45" customHeight="1" x14ac:dyDescent="0.25">
      <c r="B178" s="3" t="str">
        <f>IFERROR(ROUND(INDEX('PROJETO PERFURAÇÃO'!$AB:$AB,MATCH(MEDIÇÃO!D178,'PROJETO PERFURAÇÃO'!$B:$B,0)),1)&amp;"''","")</f>
        <v>5''</v>
      </c>
      <c r="C178" s="3" t="str">
        <f>IFERROR(IF(INDEX('PROJETO PERFURAÇÃO'!$P:$P,MATCH(MEDIÇÃO!D178,'PROJETO PERFURAÇÃO'!$B:$B,0))="Production","P",IF(INDEX('PROJETO PERFURAÇÃO'!$P:$P,MATCH(MEDIÇÃO!D178,'PROJETO PERFURAÇÃO'!$B:$B,0))="Buffer","B",IF(INDEX('PROJETO PERFURAÇÃO'!$P:$P,MATCH(MEDIÇÃO!D178,'PROJETO PERFURAÇÃO'!$B:$B,0))="Pre-Splitting","S"))),"")</f>
        <v>S</v>
      </c>
      <c r="D178" s="14">
        <f t="shared" si="15"/>
        <v>364</v>
      </c>
      <c r="E178" s="4" t="str">
        <f>IFERROR(INDEX('LEV R&amp;D'!$D:$D,MATCH(MEDIÇÃO!D178,'LEV R&amp;D'!$A:$A,0))-INDEX('PROJETO PERFURAÇÃO'!$AH:$AH,MATCH(MEDIÇÃO!D178,'PROJETO PERFURAÇÃO'!$B:$B,0)),"")</f>
        <v/>
      </c>
      <c r="F178" s="17">
        <f>IFERROR(INDEX('PROJETO PERFURAÇÃO'!$AN:$AN,MATCH(MEDIÇÃO!D178,'PROJETO PERFURAÇÃO'!$B:$B,0)),"")</f>
        <v>10.45</v>
      </c>
      <c r="G178" s="3"/>
      <c r="H178" s="3"/>
      <c r="I178" s="3" t="str">
        <f>IFERROR(ROUND(INDEX('PROJETO PERFURAÇÃO'!$AB:$AB,MATCH(MEDIÇÃO!K178,'PROJETO PERFURAÇÃO'!$B:$B,0)),1)&amp;"''","")</f>
        <v>5''</v>
      </c>
      <c r="J178" s="3" t="str">
        <f>IFERROR(IF(INDEX('PROJETO PERFURAÇÃO'!$P:$P,MATCH(MEDIÇÃO!K178,'PROJETO PERFURAÇÃO'!$B:$B,0))="Production","P",IF(INDEX('PROJETO PERFURAÇÃO'!$P:$P,MATCH(MEDIÇÃO!K178,'PROJETO PERFURAÇÃO'!$B:$B,0))="Buffer","B",IF(INDEX('PROJETO PERFURAÇÃO'!$P:$P,MATCH(MEDIÇÃO!K178,'PROJETO PERFURAÇÃO'!$B:$B,0))="Pre-Splitting","S"))),"")</f>
        <v>S</v>
      </c>
      <c r="K178" s="14">
        <f t="shared" si="16"/>
        <v>387</v>
      </c>
      <c r="L178" s="4" t="str">
        <f>IFERROR(INDEX('LEV R&amp;D'!$D:$D,MATCH(MEDIÇÃO!K178,'LEV R&amp;D'!$A:$A,0))-INDEX('PROJETO PERFURAÇÃO'!$AH:$AH,MATCH(MEDIÇÃO!K178,'PROJETO PERFURAÇÃO'!$B:$B,0)),"")</f>
        <v/>
      </c>
      <c r="M178" s="17">
        <f>IFERROR(INDEX('PROJETO PERFURAÇÃO'!$AN:$AN,MATCH(MEDIÇÃO!K178,'PROJETO PERFURAÇÃO'!$B:$B,0)),"")</f>
        <v>15.19</v>
      </c>
      <c r="N178" s="3"/>
      <c r="O178" s="3"/>
      <c r="P178" s="3" t="str">
        <f>IFERROR(ROUND(INDEX('PROJETO PERFURAÇÃO'!$AB:$AB,MATCH(MEDIÇÃO!R178,'PROJETO PERFURAÇÃO'!$B:$B,0)),1)&amp;"''","")</f>
        <v>5''</v>
      </c>
      <c r="Q178" s="3" t="str">
        <f>IFERROR(IF(INDEX('PROJETO PERFURAÇÃO'!$P:$P,MATCH(MEDIÇÃO!R178,'PROJETO PERFURAÇÃO'!$B:$B,0))="Production","P",IF(INDEX('PROJETO PERFURAÇÃO'!$P:$P,MATCH(MEDIÇÃO!R178,'PROJETO PERFURAÇÃO'!$B:$B,0))="Buffer","B",IF(INDEX('PROJETO PERFURAÇÃO'!$P:$P,MATCH(MEDIÇÃO!R178,'PROJETO PERFURAÇÃO'!$B:$B,0))="Pre-Splitting","S"))),"")</f>
        <v>P</v>
      </c>
      <c r="R178" s="14">
        <f t="shared" si="17"/>
        <v>410</v>
      </c>
      <c r="S178" s="4" t="str">
        <f>IFERROR(INDEX('LEV R&amp;D'!$D:$D,MATCH(MEDIÇÃO!R178,'LEV R&amp;D'!$A:$A,0))-INDEX('PROJETO PERFURAÇÃO'!$AH:$AH,MATCH(MEDIÇÃO!R178,'PROJETO PERFURAÇÃO'!$B:$B,0)),"")</f>
        <v/>
      </c>
      <c r="T178" s="17">
        <f>IFERROR(INDEX('PROJETO PERFURAÇÃO'!$AN:$AN,MATCH(MEDIÇÃO!R178,'PROJETO PERFURAÇÃO'!$B:$B,0)),"")</f>
        <v>0</v>
      </c>
      <c r="U178" s="3"/>
      <c r="V178" s="3"/>
    </row>
    <row r="179" spans="1:23" ht="45" customHeight="1" x14ac:dyDescent="0.25">
      <c r="B179" s="3" t="str">
        <f>IFERROR(ROUND(INDEX('PROJETO PERFURAÇÃO'!$AB:$AB,MATCH(MEDIÇÃO!D179,'PROJETO PERFURAÇÃO'!$B:$B,0)),1)&amp;"''","")</f>
        <v>5''</v>
      </c>
      <c r="C179" s="3" t="str">
        <f>IFERROR(IF(INDEX('PROJETO PERFURAÇÃO'!$P:$P,MATCH(MEDIÇÃO!D179,'PROJETO PERFURAÇÃO'!$B:$B,0))="Production","P",IF(INDEX('PROJETO PERFURAÇÃO'!$P:$P,MATCH(MEDIÇÃO!D179,'PROJETO PERFURAÇÃO'!$B:$B,0))="Buffer","B",IF(INDEX('PROJETO PERFURAÇÃO'!$P:$P,MATCH(MEDIÇÃO!D179,'PROJETO PERFURAÇÃO'!$B:$B,0))="Pre-Splitting","S"))),"")</f>
        <v>S</v>
      </c>
      <c r="D179" s="14">
        <f t="shared" si="15"/>
        <v>365</v>
      </c>
      <c r="E179" s="4" t="str">
        <f>IFERROR(INDEX('LEV R&amp;D'!$D:$D,MATCH(MEDIÇÃO!D179,'LEV R&amp;D'!$A:$A,0))-INDEX('PROJETO PERFURAÇÃO'!$AH:$AH,MATCH(MEDIÇÃO!D179,'PROJETO PERFURAÇÃO'!$B:$B,0)),"")</f>
        <v/>
      </c>
      <c r="F179" s="17">
        <f>IFERROR(INDEX('PROJETO PERFURAÇÃO'!$AN:$AN,MATCH(MEDIÇÃO!D179,'PROJETO PERFURAÇÃO'!$B:$B,0)),"")</f>
        <v>9.6199999999999992</v>
      </c>
      <c r="G179" s="3"/>
      <c r="H179" s="3"/>
      <c r="I179" s="3" t="str">
        <f>IFERROR(ROUND(INDEX('PROJETO PERFURAÇÃO'!$AB:$AB,MATCH(MEDIÇÃO!K179,'PROJETO PERFURAÇÃO'!$B:$B,0)),1)&amp;"''","")</f>
        <v>5''</v>
      </c>
      <c r="J179" s="3" t="str">
        <f>IFERROR(IF(INDEX('PROJETO PERFURAÇÃO'!$P:$P,MATCH(MEDIÇÃO!K179,'PROJETO PERFURAÇÃO'!$B:$B,0))="Production","P",IF(INDEX('PROJETO PERFURAÇÃO'!$P:$P,MATCH(MEDIÇÃO!K179,'PROJETO PERFURAÇÃO'!$B:$B,0))="Buffer","B",IF(INDEX('PROJETO PERFURAÇÃO'!$P:$P,MATCH(MEDIÇÃO!K179,'PROJETO PERFURAÇÃO'!$B:$B,0))="Pre-Splitting","S"))),"")</f>
        <v>S</v>
      </c>
      <c r="K179" s="14">
        <f t="shared" si="16"/>
        <v>388</v>
      </c>
      <c r="L179" s="4" t="str">
        <f>IFERROR(INDEX('LEV R&amp;D'!$D:$D,MATCH(MEDIÇÃO!K179,'LEV R&amp;D'!$A:$A,0))-INDEX('PROJETO PERFURAÇÃO'!$AH:$AH,MATCH(MEDIÇÃO!K179,'PROJETO PERFURAÇÃO'!$B:$B,0)),"")</f>
        <v/>
      </c>
      <c r="M179" s="17">
        <f>IFERROR(INDEX('PROJETO PERFURAÇÃO'!$AN:$AN,MATCH(MEDIÇÃO!K179,'PROJETO PERFURAÇÃO'!$B:$B,0)),"")</f>
        <v>15.15</v>
      </c>
      <c r="N179" s="3"/>
      <c r="O179" s="3"/>
      <c r="P179" s="3" t="str">
        <f>IFERROR(ROUND(INDEX('PROJETO PERFURAÇÃO'!$AB:$AB,MATCH(MEDIÇÃO!R179,'PROJETO PERFURAÇÃO'!$B:$B,0)),1)&amp;"''","")</f>
        <v>5''</v>
      </c>
      <c r="Q179" s="3" t="str">
        <f>IFERROR(IF(INDEX('PROJETO PERFURAÇÃO'!$P:$P,MATCH(MEDIÇÃO!R179,'PROJETO PERFURAÇÃO'!$B:$B,0))="Production","P",IF(INDEX('PROJETO PERFURAÇÃO'!$P:$P,MATCH(MEDIÇÃO!R179,'PROJETO PERFURAÇÃO'!$B:$B,0))="Buffer","B",IF(INDEX('PROJETO PERFURAÇÃO'!$P:$P,MATCH(MEDIÇÃO!R179,'PROJETO PERFURAÇÃO'!$B:$B,0))="Pre-Splitting","S"))),"")</f>
        <v>P</v>
      </c>
      <c r="R179" s="14">
        <f t="shared" si="17"/>
        <v>411</v>
      </c>
      <c r="S179" s="4" t="str">
        <f>IFERROR(INDEX('LEV R&amp;D'!$D:$D,MATCH(MEDIÇÃO!R179,'LEV R&amp;D'!$A:$A,0))-INDEX('PROJETO PERFURAÇÃO'!$AH:$AH,MATCH(MEDIÇÃO!R179,'PROJETO PERFURAÇÃO'!$B:$B,0)),"")</f>
        <v/>
      </c>
      <c r="T179" s="17">
        <f>IFERROR(INDEX('PROJETO PERFURAÇÃO'!$AN:$AN,MATCH(MEDIÇÃO!R179,'PROJETO PERFURAÇÃO'!$B:$B,0)),"")</f>
        <v>0</v>
      </c>
      <c r="U179" s="3"/>
      <c r="V179" s="3"/>
    </row>
    <row r="180" spans="1:23" ht="45" customHeight="1" x14ac:dyDescent="0.25">
      <c r="B180" s="3" t="str">
        <f>IFERROR(ROUND(INDEX('PROJETO PERFURAÇÃO'!$AB:$AB,MATCH(MEDIÇÃO!D180,'PROJETO PERFURAÇÃO'!$B:$B,0)),1)&amp;"''","")</f>
        <v>5''</v>
      </c>
      <c r="C180" s="3" t="str">
        <f>IFERROR(IF(INDEX('PROJETO PERFURAÇÃO'!$P:$P,MATCH(MEDIÇÃO!D180,'PROJETO PERFURAÇÃO'!$B:$B,0))="Production","P",IF(INDEX('PROJETO PERFURAÇÃO'!$P:$P,MATCH(MEDIÇÃO!D180,'PROJETO PERFURAÇÃO'!$B:$B,0))="Buffer","B",IF(INDEX('PROJETO PERFURAÇÃO'!$P:$P,MATCH(MEDIÇÃO!D180,'PROJETO PERFURAÇÃO'!$B:$B,0))="Pre-Splitting","S"))),"")</f>
        <v>S</v>
      </c>
      <c r="D180" s="14">
        <f t="shared" si="15"/>
        <v>366</v>
      </c>
      <c r="E180" s="4" t="str">
        <f>IFERROR(INDEX('LEV R&amp;D'!$D:$D,MATCH(MEDIÇÃO!D180,'LEV R&amp;D'!$A:$A,0))-INDEX('PROJETO PERFURAÇÃO'!$AH:$AH,MATCH(MEDIÇÃO!D180,'PROJETO PERFURAÇÃO'!$B:$B,0)),"")</f>
        <v/>
      </c>
      <c r="F180" s="17">
        <f>IFERROR(INDEX('PROJETO PERFURAÇÃO'!$AN:$AN,MATCH(MEDIÇÃO!D180,'PROJETO PERFURAÇÃO'!$B:$B,0)),"")</f>
        <v>8.56</v>
      </c>
      <c r="G180" s="3"/>
      <c r="H180" s="3"/>
      <c r="I180" s="3" t="str">
        <f>IFERROR(ROUND(INDEX('PROJETO PERFURAÇÃO'!$AB:$AB,MATCH(MEDIÇÃO!K180,'PROJETO PERFURAÇÃO'!$B:$B,0)),1)&amp;"''","")</f>
        <v>5''</v>
      </c>
      <c r="J180" s="3" t="str">
        <f>IFERROR(IF(INDEX('PROJETO PERFURAÇÃO'!$P:$P,MATCH(MEDIÇÃO!K180,'PROJETO PERFURAÇÃO'!$B:$B,0))="Production","P",IF(INDEX('PROJETO PERFURAÇÃO'!$P:$P,MATCH(MEDIÇÃO!K180,'PROJETO PERFURAÇÃO'!$B:$B,0))="Buffer","B",IF(INDEX('PROJETO PERFURAÇÃO'!$P:$P,MATCH(MEDIÇÃO!K180,'PROJETO PERFURAÇÃO'!$B:$B,0))="Pre-Splitting","S"))),"")</f>
        <v>S</v>
      </c>
      <c r="K180" s="14">
        <f t="shared" si="16"/>
        <v>389</v>
      </c>
      <c r="L180" s="4" t="str">
        <f>IFERROR(INDEX('LEV R&amp;D'!$D:$D,MATCH(MEDIÇÃO!K180,'LEV R&amp;D'!$A:$A,0))-INDEX('PROJETO PERFURAÇÃO'!$AH:$AH,MATCH(MEDIÇÃO!K180,'PROJETO PERFURAÇÃO'!$B:$B,0)),"")</f>
        <v/>
      </c>
      <c r="M180" s="17">
        <f>IFERROR(INDEX('PROJETO PERFURAÇÃO'!$AN:$AN,MATCH(MEDIÇÃO!K180,'PROJETO PERFURAÇÃO'!$B:$B,0)),"")</f>
        <v>15.14</v>
      </c>
      <c r="N180" s="3"/>
      <c r="O180" s="3"/>
      <c r="P180" s="3" t="str">
        <f>IFERROR(ROUND(INDEX('PROJETO PERFURAÇÃO'!$AB:$AB,MATCH(MEDIÇÃO!R180,'PROJETO PERFURAÇÃO'!$B:$B,0)),1)&amp;"''","")</f>
        <v>5''</v>
      </c>
      <c r="Q180" s="3" t="str">
        <f>IFERROR(IF(INDEX('PROJETO PERFURAÇÃO'!$P:$P,MATCH(MEDIÇÃO!R180,'PROJETO PERFURAÇÃO'!$B:$B,0))="Production","P",IF(INDEX('PROJETO PERFURAÇÃO'!$P:$P,MATCH(MEDIÇÃO!R180,'PROJETO PERFURAÇÃO'!$B:$B,0))="Buffer","B",IF(INDEX('PROJETO PERFURAÇÃO'!$P:$P,MATCH(MEDIÇÃO!R180,'PROJETO PERFURAÇÃO'!$B:$B,0))="Pre-Splitting","S"))),"")</f>
        <v>P</v>
      </c>
      <c r="R180" s="14">
        <f t="shared" si="17"/>
        <v>412</v>
      </c>
      <c r="S180" s="4" t="str">
        <f>IFERROR(INDEX('LEV R&amp;D'!$D:$D,MATCH(MEDIÇÃO!R180,'LEV R&amp;D'!$A:$A,0))-INDEX('PROJETO PERFURAÇÃO'!$AH:$AH,MATCH(MEDIÇÃO!R180,'PROJETO PERFURAÇÃO'!$B:$B,0)),"")</f>
        <v/>
      </c>
      <c r="T180" s="17">
        <f>IFERROR(INDEX('PROJETO PERFURAÇÃO'!$AN:$AN,MATCH(MEDIÇÃO!R180,'PROJETO PERFURAÇÃO'!$B:$B,0)),"")</f>
        <v>0</v>
      </c>
      <c r="U180" s="3"/>
      <c r="V180" s="3"/>
    </row>
    <row r="181" spans="1:23" ht="45" customHeight="1" x14ac:dyDescent="0.25">
      <c r="B181" s="3" t="str">
        <f>IFERROR(ROUND(INDEX('PROJETO PERFURAÇÃO'!$AB:$AB,MATCH(MEDIÇÃO!D181,'PROJETO PERFURAÇÃO'!$B:$B,0)),1)&amp;"''","")</f>
        <v>5''</v>
      </c>
      <c r="C181" s="3" t="str">
        <f>IFERROR(IF(INDEX('PROJETO PERFURAÇÃO'!$P:$P,MATCH(MEDIÇÃO!D181,'PROJETO PERFURAÇÃO'!$B:$B,0))="Production","P",IF(INDEX('PROJETO PERFURAÇÃO'!$P:$P,MATCH(MEDIÇÃO!D181,'PROJETO PERFURAÇÃO'!$B:$B,0))="Buffer","B",IF(INDEX('PROJETO PERFURAÇÃO'!$P:$P,MATCH(MEDIÇÃO!D181,'PROJETO PERFURAÇÃO'!$B:$B,0))="Pre-Splitting","S"))),"")</f>
        <v>S</v>
      </c>
      <c r="D181" s="14">
        <f t="shared" si="15"/>
        <v>367</v>
      </c>
      <c r="E181" s="4" t="str">
        <f>IFERROR(INDEX('LEV R&amp;D'!$D:$D,MATCH(MEDIÇÃO!D181,'LEV R&amp;D'!$A:$A,0))-INDEX('PROJETO PERFURAÇÃO'!$AH:$AH,MATCH(MEDIÇÃO!D181,'PROJETO PERFURAÇÃO'!$B:$B,0)),"")</f>
        <v/>
      </c>
      <c r="F181" s="17">
        <f>IFERROR(INDEX('PROJETO PERFURAÇÃO'!$AN:$AN,MATCH(MEDIÇÃO!D181,'PROJETO PERFURAÇÃO'!$B:$B,0)),"")</f>
        <v>8.43</v>
      </c>
      <c r="G181" s="3"/>
      <c r="H181" s="3"/>
      <c r="I181" s="3" t="str">
        <f>IFERROR(ROUND(INDEX('PROJETO PERFURAÇÃO'!$AB:$AB,MATCH(MEDIÇÃO!K181,'PROJETO PERFURAÇÃO'!$B:$B,0)),1)&amp;"''","")</f>
        <v>5''</v>
      </c>
      <c r="J181" s="3" t="str">
        <f>IFERROR(IF(INDEX('PROJETO PERFURAÇÃO'!$P:$P,MATCH(MEDIÇÃO!K181,'PROJETO PERFURAÇÃO'!$B:$B,0))="Production","P",IF(INDEX('PROJETO PERFURAÇÃO'!$P:$P,MATCH(MEDIÇÃO!K181,'PROJETO PERFURAÇÃO'!$B:$B,0))="Buffer","B",IF(INDEX('PROJETO PERFURAÇÃO'!$P:$P,MATCH(MEDIÇÃO!K181,'PROJETO PERFURAÇÃO'!$B:$B,0))="Pre-Splitting","S"))),"")</f>
        <v>S</v>
      </c>
      <c r="K181" s="14">
        <f t="shared" si="16"/>
        <v>390</v>
      </c>
      <c r="L181" s="4" t="str">
        <f>IFERROR(INDEX('LEV R&amp;D'!$D:$D,MATCH(MEDIÇÃO!K181,'LEV R&amp;D'!$A:$A,0))-INDEX('PROJETO PERFURAÇÃO'!$AH:$AH,MATCH(MEDIÇÃO!K181,'PROJETO PERFURAÇÃO'!$B:$B,0)),"")</f>
        <v/>
      </c>
      <c r="M181" s="17">
        <f>IFERROR(INDEX('PROJETO PERFURAÇÃO'!$AN:$AN,MATCH(MEDIÇÃO!K181,'PROJETO PERFURAÇÃO'!$B:$B,0)),"")</f>
        <v>15.17</v>
      </c>
      <c r="N181" s="3"/>
      <c r="O181" s="3"/>
      <c r="P181" s="3" t="str">
        <f>IFERROR(ROUND(INDEX('PROJETO PERFURAÇÃO'!$AB:$AB,MATCH(MEDIÇÃO!R181,'PROJETO PERFURAÇÃO'!$B:$B,0)),1)&amp;"''","")</f>
        <v>5''</v>
      </c>
      <c r="Q181" s="3" t="str">
        <f>IFERROR(IF(INDEX('PROJETO PERFURAÇÃO'!$P:$P,MATCH(MEDIÇÃO!R181,'PROJETO PERFURAÇÃO'!$B:$B,0))="Production","P",IF(INDEX('PROJETO PERFURAÇÃO'!$P:$P,MATCH(MEDIÇÃO!R181,'PROJETO PERFURAÇÃO'!$B:$B,0))="Buffer","B",IF(INDEX('PROJETO PERFURAÇÃO'!$P:$P,MATCH(MEDIÇÃO!R181,'PROJETO PERFURAÇÃO'!$B:$B,0))="Pre-Splitting","S"))),"")</f>
        <v>P</v>
      </c>
      <c r="R181" s="14">
        <f t="shared" si="17"/>
        <v>413</v>
      </c>
      <c r="S181" s="4" t="str">
        <f>IFERROR(INDEX('LEV R&amp;D'!$D:$D,MATCH(MEDIÇÃO!R181,'LEV R&amp;D'!$A:$A,0))-INDEX('PROJETO PERFURAÇÃO'!$AH:$AH,MATCH(MEDIÇÃO!R181,'PROJETO PERFURAÇÃO'!$B:$B,0)),"")</f>
        <v/>
      </c>
      <c r="T181" s="17">
        <f>IFERROR(INDEX('PROJETO PERFURAÇÃO'!$AN:$AN,MATCH(MEDIÇÃO!R181,'PROJETO PERFURAÇÃO'!$B:$B,0)),"")</f>
        <v>0</v>
      </c>
      <c r="U181" s="3"/>
      <c r="V181" s="3"/>
    </row>
    <row r="182" spans="1:23" ht="45" customHeight="1" x14ac:dyDescent="0.25">
      <c r="B182" s="3" t="str">
        <f>IFERROR(ROUND(INDEX('PROJETO PERFURAÇÃO'!$AB:$AB,MATCH(MEDIÇÃO!D182,'PROJETO PERFURAÇÃO'!$B:$B,0)),1)&amp;"''","")</f>
        <v>5''</v>
      </c>
      <c r="C182" s="3" t="str">
        <f>IFERROR(IF(INDEX('PROJETO PERFURAÇÃO'!$P:$P,MATCH(MEDIÇÃO!D182,'PROJETO PERFURAÇÃO'!$B:$B,0))="Production","P",IF(INDEX('PROJETO PERFURAÇÃO'!$P:$P,MATCH(MEDIÇÃO!D182,'PROJETO PERFURAÇÃO'!$B:$B,0))="Buffer","B",IF(INDEX('PROJETO PERFURAÇÃO'!$P:$P,MATCH(MEDIÇÃO!D182,'PROJETO PERFURAÇÃO'!$B:$B,0))="Pre-Splitting","S"))),"")</f>
        <v>S</v>
      </c>
      <c r="D182" s="14">
        <f t="shared" si="15"/>
        <v>368</v>
      </c>
      <c r="E182" s="4" t="str">
        <f>IFERROR(INDEX('LEV R&amp;D'!$D:$D,MATCH(MEDIÇÃO!D182,'LEV R&amp;D'!$A:$A,0))-INDEX('PROJETO PERFURAÇÃO'!$AH:$AH,MATCH(MEDIÇÃO!D182,'PROJETO PERFURAÇÃO'!$B:$B,0)),"")</f>
        <v/>
      </c>
      <c r="F182" s="17">
        <f>IFERROR(INDEX('PROJETO PERFURAÇÃO'!$AN:$AN,MATCH(MEDIÇÃO!D182,'PROJETO PERFURAÇÃO'!$B:$B,0)),"")</f>
        <v>8.8000000000000007</v>
      </c>
      <c r="G182" s="3"/>
      <c r="H182" s="3"/>
      <c r="I182" s="3" t="str">
        <f>IFERROR(ROUND(INDEX('PROJETO PERFURAÇÃO'!$AB:$AB,MATCH(MEDIÇÃO!K182,'PROJETO PERFURAÇÃO'!$B:$B,0)),1)&amp;"''","")</f>
        <v>5''</v>
      </c>
      <c r="J182" s="3" t="str">
        <f>IFERROR(IF(INDEX('PROJETO PERFURAÇÃO'!$P:$P,MATCH(MEDIÇÃO!K182,'PROJETO PERFURAÇÃO'!$B:$B,0))="Production","P",IF(INDEX('PROJETO PERFURAÇÃO'!$P:$P,MATCH(MEDIÇÃO!K182,'PROJETO PERFURAÇÃO'!$B:$B,0))="Buffer","B",IF(INDEX('PROJETO PERFURAÇÃO'!$P:$P,MATCH(MEDIÇÃO!K182,'PROJETO PERFURAÇÃO'!$B:$B,0))="Pre-Splitting","S"))),"")</f>
        <v>S</v>
      </c>
      <c r="K182" s="14">
        <f t="shared" si="16"/>
        <v>391</v>
      </c>
      <c r="L182" s="4" t="str">
        <f>IFERROR(INDEX('LEV R&amp;D'!$D:$D,MATCH(MEDIÇÃO!K182,'LEV R&amp;D'!$A:$A,0))-INDEX('PROJETO PERFURAÇÃO'!$AH:$AH,MATCH(MEDIÇÃO!K182,'PROJETO PERFURAÇÃO'!$B:$B,0)),"")</f>
        <v/>
      </c>
      <c r="M182" s="17">
        <f>IFERROR(INDEX('PROJETO PERFURAÇÃO'!$AN:$AN,MATCH(MEDIÇÃO!K182,'PROJETO PERFURAÇÃO'!$B:$B,0)),"")</f>
        <v>15.2</v>
      </c>
      <c r="N182" s="3"/>
      <c r="O182" s="3"/>
      <c r="P182" s="3" t="str">
        <f>IFERROR(ROUND(INDEX('PROJETO PERFURAÇÃO'!$AB:$AB,MATCH(MEDIÇÃO!R182,'PROJETO PERFURAÇÃO'!$B:$B,0)),1)&amp;"''","")</f>
        <v>5''</v>
      </c>
      <c r="Q182" s="3" t="str">
        <f>IFERROR(IF(INDEX('PROJETO PERFURAÇÃO'!$P:$P,MATCH(MEDIÇÃO!R182,'PROJETO PERFURAÇÃO'!$B:$B,0))="Production","P",IF(INDEX('PROJETO PERFURAÇÃO'!$P:$P,MATCH(MEDIÇÃO!R182,'PROJETO PERFURAÇÃO'!$B:$B,0))="Buffer","B",IF(INDEX('PROJETO PERFURAÇÃO'!$P:$P,MATCH(MEDIÇÃO!R182,'PROJETO PERFURAÇÃO'!$B:$B,0))="Pre-Splitting","S"))),"")</f>
        <v>P</v>
      </c>
      <c r="R182" s="14">
        <f t="shared" si="17"/>
        <v>414</v>
      </c>
      <c r="S182" s="4" t="str">
        <f>IFERROR(INDEX('LEV R&amp;D'!$D:$D,MATCH(MEDIÇÃO!R182,'LEV R&amp;D'!$A:$A,0))-INDEX('PROJETO PERFURAÇÃO'!$AH:$AH,MATCH(MEDIÇÃO!R182,'PROJETO PERFURAÇÃO'!$B:$B,0)),"")</f>
        <v/>
      </c>
      <c r="T182" s="17">
        <f>IFERROR(INDEX('PROJETO PERFURAÇÃO'!$AN:$AN,MATCH(MEDIÇÃO!R182,'PROJETO PERFURAÇÃO'!$B:$B,0)),"")</f>
        <v>0</v>
      </c>
      <c r="U182" s="3"/>
      <c r="V182" s="3"/>
    </row>
    <row r="183" spans="1:23" ht="30" customHeight="1" x14ac:dyDescent="0.25">
      <c r="B183" s="1"/>
      <c r="C183" s="1"/>
      <c r="D183" s="15"/>
      <c r="E183" s="2"/>
      <c r="F183" s="16"/>
      <c r="G183" s="1"/>
      <c r="H183" s="1"/>
      <c r="I183" s="1"/>
      <c r="J183" s="1"/>
      <c r="K183" s="15"/>
      <c r="L183" s="2"/>
      <c r="M183" s="16"/>
      <c r="N183" s="1"/>
      <c r="O183" s="1"/>
      <c r="P183" s="1"/>
      <c r="Q183" s="1"/>
      <c r="R183" s="15"/>
      <c r="S183" s="2"/>
      <c r="T183" s="16"/>
      <c r="U183" s="1"/>
      <c r="V183" s="1"/>
    </row>
    <row r="184" spans="1:23" ht="30" customHeight="1" x14ac:dyDescent="0.25">
      <c r="C184" s="20"/>
      <c r="D184" s="20"/>
      <c r="E184" s="20"/>
      <c r="F184" s="20"/>
      <c r="G184" s="20"/>
      <c r="H184" s="20"/>
      <c r="I184" s="20"/>
      <c r="J184" s="20"/>
      <c r="K184" s="20"/>
      <c r="M184" s="20"/>
      <c r="N184" s="20"/>
      <c r="O184" s="20"/>
      <c r="P184" s="20"/>
      <c r="Q184" s="20"/>
      <c r="R184" s="20"/>
      <c r="S184" s="20"/>
      <c r="T184" s="20"/>
      <c r="U184" s="20"/>
    </row>
    <row r="185" spans="1:23" ht="30" customHeight="1" x14ac:dyDescent="0.25">
      <c r="C185" s="21" t="s">
        <v>40</v>
      </c>
      <c r="D185" s="21"/>
      <c r="E185" s="21"/>
      <c r="F185" s="21"/>
      <c r="G185" s="21"/>
      <c r="H185" s="21"/>
      <c r="I185" s="21"/>
      <c r="J185" s="21"/>
      <c r="K185" s="21"/>
      <c r="L185" s="9"/>
      <c r="M185" s="21" t="s">
        <v>40</v>
      </c>
      <c r="N185" s="21"/>
      <c r="O185" s="21"/>
      <c r="P185" s="21"/>
      <c r="Q185" s="21"/>
      <c r="R185" s="21"/>
      <c r="S185" s="21"/>
      <c r="T185" s="21"/>
      <c r="U185" s="21"/>
      <c r="V185" s="9"/>
    </row>
    <row r="186" spans="1:23" ht="30" customHeight="1" x14ac:dyDescent="0.25">
      <c r="D186" s="9"/>
      <c r="E186" s="9"/>
      <c r="F186" s="9"/>
      <c r="G186" s="9"/>
      <c r="H186" s="9"/>
      <c r="I186" s="9"/>
      <c r="J186" s="9"/>
      <c r="K186" s="9"/>
      <c r="L186" s="9"/>
      <c r="M186" s="9"/>
      <c r="N186" s="9"/>
      <c r="Q186" s="9"/>
      <c r="R186" s="9"/>
      <c r="S186" s="9"/>
      <c r="T186" s="9"/>
      <c r="U186" s="9"/>
      <c r="V186" s="9"/>
    </row>
    <row r="187" spans="1:23" ht="30" customHeight="1" x14ac:dyDescent="0.25">
      <c r="B187" s="19" t="str">
        <f>'PROJETO PERFURAÇÃO'!$C$2&amp;" - "&amp;'PROJETO PERFURAÇÃO'!$H$2</f>
        <v>LIB065 - PP0651026</v>
      </c>
      <c r="C187" s="19"/>
      <c r="D187" s="19"/>
      <c r="E187" s="19"/>
      <c r="F187" s="19"/>
      <c r="G187" s="19"/>
      <c r="H187" s="19"/>
      <c r="I187" s="11" t="s">
        <v>34</v>
      </c>
      <c r="J187" s="10" t="s">
        <v>37</v>
      </c>
    </row>
    <row r="188" spans="1:23" ht="30" customHeight="1" x14ac:dyDescent="0.25">
      <c r="B188" s="19"/>
      <c r="C188" s="19"/>
      <c r="D188" s="19"/>
      <c r="E188" s="19"/>
      <c r="F188" s="19"/>
      <c r="G188" s="19"/>
      <c r="H188" s="19"/>
      <c r="I188" s="12" t="s">
        <v>35</v>
      </c>
      <c r="J188" s="10" t="s">
        <v>38</v>
      </c>
      <c r="K188" s="9"/>
      <c r="L188" s="9"/>
      <c r="M188" s="9"/>
      <c r="N188" s="9"/>
      <c r="O188" s="9"/>
      <c r="P188" s="9"/>
      <c r="Q188" s="9"/>
      <c r="R188" s="9"/>
      <c r="S188" s="9"/>
      <c r="T188" s="9"/>
      <c r="U188" s="9"/>
      <c r="V188" s="9"/>
    </row>
    <row r="189" spans="1:23" ht="30" customHeight="1" x14ac:dyDescent="0.25">
      <c r="B189" s="19"/>
      <c r="C189" s="19"/>
      <c r="D189" s="19"/>
      <c r="E189" s="19"/>
      <c r="F189" s="19"/>
      <c r="G189" s="19"/>
      <c r="H189" s="19"/>
      <c r="I189" s="13" t="s">
        <v>36</v>
      </c>
      <c r="J189" s="10" t="s">
        <v>39</v>
      </c>
    </row>
    <row r="190" spans="1:23" ht="30" customHeight="1" x14ac:dyDescent="0.25">
      <c r="A190" s="1"/>
      <c r="B190" s="6" t="s">
        <v>33</v>
      </c>
      <c r="C190" s="6" t="s">
        <v>13</v>
      </c>
      <c r="D190" s="7" t="s">
        <v>1</v>
      </c>
      <c r="E190" s="7" t="s">
        <v>29</v>
      </c>
      <c r="F190" s="7" t="s">
        <v>30</v>
      </c>
      <c r="G190" s="7" t="s">
        <v>31</v>
      </c>
      <c r="H190" s="7" t="s">
        <v>32</v>
      </c>
      <c r="I190" s="6" t="s">
        <v>33</v>
      </c>
      <c r="J190" s="6" t="s">
        <v>13</v>
      </c>
      <c r="K190" s="7" t="s">
        <v>1</v>
      </c>
      <c r="L190" s="7" t="s">
        <v>29</v>
      </c>
      <c r="M190" s="7" t="s">
        <v>30</v>
      </c>
      <c r="N190" s="7" t="s">
        <v>31</v>
      </c>
      <c r="O190" s="7" t="s">
        <v>32</v>
      </c>
      <c r="P190" s="6" t="s">
        <v>33</v>
      </c>
      <c r="Q190" s="6" t="s">
        <v>13</v>
      </c>
      <c r="R190" s="7" t="s">
        <v>1</v>
      </c>
      <c r="S190" s="7" t="s">
        <v>29</v>
      </c>
      <c r="T190" s="7" t="s">
        <v>30</v>
      </c>
      <c r="U190" s="7" t="s">
        <v>31</v>
      </c>
      <c r="V190" s="7" t="s">
        <v>32</v>
      </c>
      <c r="W190" s="1"/>
    </row>
    <row r="191" spans="1:23" ht="45" customHeight="1" x14ac:dyDescent="0.25">
      <c r="B191" s="3" t="str">
        <f>IFERROR(ROUND(INDEX('PROJETO PERFURAÇÃO'!$AB:$AB,MATCH(MEDIÇÃO!D191,'PROJETO PERFURAÇÃO'!$B:$B,0)),1)&amp;"''","")</f>
        <v>5''</v>
      </c>
      <c r="C191" s="3" t="str">
        <f>IFERROR(IF(INDEX('PROJETO PERFURAÇÃO'!$P:$P,MATCH(MEDIÇÃO!D191,'PROJETO PERFURAÇÃO'!$B:$B,0))="Production","P",IF(INDEX('PROJETO PERFURAÇÃO'!$P:$P,MATCH(MEDIÇÃO!D191,'PROJETO PERFURAÇÃO'!$B:$B,0))="Buffer","B",IF(INDEX('PROJETO PERFURAÇÃO'!$P:$P,MATCH(MEDIÇÃO!D191,'PROJETO PERFURAÇÃO'!$B:$B,0))="Pre-Splitting","S"))),"")</f>
        <v>P</v>
      </c>
      <c r="D191" s="14">
        <f>R182+1</f>
        <v>415</v>
      </c>
      <c r="E191" s="4" t="str">
        <f>IFERROR(INDEX('LEV R&amp;D'!$D:$D,MATCH(MEDIÇÃO!D191,'LEV R&amp;D'!$A:$A,0))-INDEX('PROJETO PERFURAÇÃO'!$AH:$AH,MATCH(MEDIÇÃO!D191,'PROJETO PERFURAÇÃO'!$B:$B,0)),"")</f>
        <v/>
      </c>
      <c r="F191" s="17">
        <f>IFERROR(INDEX('PROJETO PERFURAÇÃO'!$AN:$AN,MATCH(MEDIÇÃO!D191,'PROJETO PERFURAÇÃO'!$B:$B,0)),"")</f>
        <v>0</v>
      </c>
      <c r="G191" s="3"/>
      <c r="H191" s="3"/>
      <c r="I191" s="3" t="str">
        <f>IFERROR(ROUND(INDEX('PROJETO PERFURAÇÃO'!$AB:$AB,MATCH(MEDIÇÃO!K191,'PROJETO PERFURAÇÃO'!$B:$B,0)),1)&amp;"''","")</f>
        <v>5''</v>
      </c>
      <c r="J191" s="3" t="str">
        <f>IFERROR(IF(INDEX('PROJETO PERFURAÇÃO'!$P:$P,MATCH(MEDIÇÃO!K191,'PROJETO PERFURAÇÃO'!$B:$B,0))="Production","P",IF(INDEX('PROJETO PERFURAÇÃO'!$P:$P,MATCH(MEDIÇÃO!K191,'PROJETO PERFURAÇÃO'!$B:$B,0))="Buffer","B",IF(INDEX('PROJETO PERFURAÇÃO'!$P:$P,MATCH(MEDIÇÃO!K191,'PROJETO PERFURAÇÃO'!$B:$B,0))="Pre-Splitting","S"))),"")</f>
        <v>P</v>
      </c>
      <c r="K191" s="14">
        <f>D213+1</f>
        <v>438</v>
      </c>
      <c r="L191" s="4" t="str">
        <f>IFERROR(INDEX('LEV R&amp;D'!$D:$D,MATCH(MEDIÇÃO!K191,'LEV R&amp;D'!$A:$A,0))-INDEX('PROJETO PERFURAÇÃO'!$AH:$AH,MATCH(MEDIÇÃO!K191,'PROJETO PERFURAÇÃO'!$B:$B,0)),"")</f>
        <v/>
      </c>
      <c r="M191" s="17">
        <f>IFERROR(INDEX('PROJETO PERFURAÇÃO'!$AN:$AN,MATCH(MEDIÇÃO!K191,'PROJETO PERFURAÇÃO'!$B:$B,0)),"")</f>
        <v>0</v>
      </c>
      <c r="N191" s="3"/>
      <c r="O191" s="3"/>
      <c r="P191" s="3" t="str">
        <f>IFERROR(ROUND(INDEX('PROJETO PERFURAÇÃO'!$AB:$AB,MATCH(MEDIÇÃO!R191,'PROJETO PERFURAÇÃO'!$B:$B,0)),1)&amp;"''","")</f>
        <v>5''</v>
      </c>
      <c r="Q191" s="3" t="str">
        <f>IFERROR(IF(INDEX('PROJETO PERFURAÇÃO'!$P:$P,MATCH(MEDIÇÃO!R191,'PROJETO PERFURAÇÃO'!$B:$B,0))="Production","P",IF(INDEX('PROJETO PERFURAÇÃO'!$P:$P,MATCH(MEDIÇÃO!R191,'PROJETO PERFURAÇÃO'!$B:$B,0))="Buffer","B",IF(INDEX('PROJETO PERFURAÇÃO'!$P:$P,MATCH(MEDIÇÃO!R191,'PROJETO PERFURAÇÃO'!$B:$B,0))="Pre-Splitting","S"))),"")</f>
        <v>P</v>
      </c>
      <c r="R191" s="14">
        <f>K213+1</f>
        <v>461</v>
      </c>
      <c r="S191" s="4" t="str">
        <f>IFERROR(INDEX('LEV R&amp;D'!$D:$D,MATCH(MEDIÇÃO!R191,'LEV R&amp;D'!$A:$A,0))-INDEX('PROJETO PERFURAÇÃO'!$AH:$AH,MATCH(MEDIÇÃO!R191,'PROJETO PERFURAÇÃO'!$B:$B,0)),"")</f>
        <v/>
      </c>
      <c r="T191" s="17">
        <f>IFERROR(INDEX('PROJETO PERFURAÇÃO'!$AN:$AN,MATCH(MEDIÇÃO!R191,'PROJETO PERFURAÇÃO'!$B:$B,0)),"")</f>
        <v>0</v>
      </c>
      <c r="U191" s="3"/>
      <c r="V191" s="3"/>
    </row>
    <row r="192" spans="1:23" ht="45" customHeight="1" x14ac:dyDescent="0.25">
      <c r="B192" s="3" t="str">
        <f>IFERROR(ROUND(INDEX('PROJETO PERFURAÇÃO'!$AB:$AB,MATCH(MEDIÇÃO!D192,'PROJETO PERFURAÇÃO'!$B:$B,0)),1)&amp;"''","")</f>
        <v>5''</v>
      </c>
      <c r="C192" s="3" t="str">
        <f>IFERROR(IF(INDEX('PROJETO PERFURAÇÃO'!$P:$P,MATCH(MEDIÇÃO!D192,'PROJETO PERFURAÇÃO'!$B:$B,0))="Production","P",IF(INDEX('PROJETO PERFURAÇÃO'!$P:$P,MATCH(MEDIÇÃO!D192,'PROJETO PERFURAÇÃO'!$B:$B,0))="Buffer","B",IF(INDEX('PROJETO PERFURAÇÃO'!$P:$P,MATCH(MEDIÇÃO!D192,'PROJETO PERFURAÇÃO'!$B:$B,0))="Pre-Splitting","S"))),"")</f>
        <v>P</v>
      </c>
      <c r="D192" s="14">
        <f>D191+1</f>
        <v>416</v>
      </c>
      <c r="E192" s="4" t="str">
        <f>IFERROR(INDEX('LEV R&amp;D'!$D:$D,MATCH(MEDIÇÃO!D192,'LEV R&amp;D'!$A:$A,0))-INDEX('PROJETO PERFURAÇÃO'!$AH:$AH,MATCH(MEDIÇÃO!D192,'PROJETO PERFURAÇÃO'!$B:$B,0)),"")</f>
        <v/>
      </c>
      <c r="F192" s="17">
        <f>IFERROR(INDEX('PROJETO PERFURAÇÃO'!$AN:$AN,MATCH(MEDIÇÃO!D192,'PROJETO PERFURAÇÃO'!$B:$B,0)),"")</f>
        <v>0</v>
      </c>
      <c r="G192" s="3"/>
      <c r="H192" s="3"/>
      <c r="I192" s="3" t="str">
        <f>IFERROR(ROUND(INDEX('PROJETO PERFURAÇÃO'!$AB:$AB,MATCH(MEDIÇÃO!K192,'PROJETO PERFURAÇÃO'!$B:$B,0)),1)&amp;"''","")</f>
        <v>5''</v>
      </c>
      <c r="J192" s="3" t="str">
        <f>IFERROR(IF(INDEX('PROJETO PERFURAÇÃO'!$P:$P,MATCH(MEDIÇÃO!K192,'PROJETO PERFURAÇÃO'!$B:$B,0))="Production","P",IF(INDEX('PROJETO PERFURAÇÃO'!$P:$P,MATCH(MEDIÇÃO!K192,'PROJETO PERFURAÇÃO'!$B:$B,0))="Buffer","B",IF(INDEX('PROJETO PERFURAÇÃO'!$P:$P,MATCH(MEDIÇÃO!K192,'PROJETO PERFURAÇÃO'!$B:$B,0))="Pre-Splitting","S"))),"")</f>
        <v>P</v>
      </c>
      <c r="K192" s="14">
        <f>K191+1</f>
        <v>439</v>
      </c>
      <c r="L192" s="4" t="str">
        <f>IFERROR(INDEX('LEV R&amp;D'!$D:$D,MATCH(MEDIÇÃO!K192,'LEV R&amp;D'!$A:$A,0))-INDEX('PROJETO PERFURAÇÃO'!$AH:$AH,MATCH(MEDIÇÃO!K192,'PROJETO PERFURAÇÃO'!$B:$B,0)),"")</f>
        <v/>
      </c>
      <c r="M192" s="17">
        <f>IFERROR(INDEX('PROJETO PERFURAÇÃO'!$AN:$AN,MATCH(MEDIÇÃO!K192,'PROJETO PERFURAÇÃO'!$B:$B,0)),"")</f>
        <v>0</v>
      </c>
      <c r="N192" s="3"/>
      <c r="O192" s="3"/>
      <c r="P192" s="3" t="str">
        <f>IFERROR(ROUND(INDEX('PROJETO PERFURAÇÃO'!$AB:$AB,MATCH(MEDIÇÃO!R192,'PROJETO PERFURAÇÃO'!$B:$B,0)),1)&amp;"''","")</f>
        <v>5''</v>
      </c>
      <c r="Q192" s="3" t="str">
        <f>IFERROR(IF(INDEX('PROJETO PERFURAÇÃO'!$P:$P,MATCH(MEDIÇÃO!R192,'PROJETO PERFURAÇÃO'!$B:$B,0))="Production","P",IF(INDEX('PROJETO PERFURAÇÃO'!$P:$P,MATCH(MEDIÇÃO!R192,'PROJETO PERFURAÇÃO'!$B:$B,0))="Buffer","B",IF(INDEX('PROJETO PERFURAÇÃO'!$P:$P,MATCH(MEDIÇÃO!R192,'PROJETO PERFURAÇÃO'!$B:$B,0))="Pre-Splitting","S"))),"")</f>
        <v>P</v>
      </c>
      <c r="R192" s="14">
        <f>R191+1</f>
        <v>462</v>
      </c>
      <c r="S192" s="4" t="str">
        <f>IFERROR(INDEX('LEV R&amp;D'!$D:$D,MATCH(MEDIÇÃO!R192,'LEV R&amp;D'!$A:$A,0))-INDEX('PROJETO PERFURAÇÃO'!$AH:$AH,MATCH(MEDIÇÃO!R192,'PROJETO PERFURAÇÃO'!$B:$B,0)),"")</f>
        <v/>
      </c>
      <c r="T192" s="17">
        <f>IFERROR(INDEX('PROJETO PERFURAÇÃO'!$AN:$AN,MATCH(MEDIÇÃO!R192,'PROJETO PERFURAÇÃO'!$B:$B,0)),"")</f>
        <v>0</v>
      </c>
      <c r="U192" s="3"/>
      <c r="V192" s="3"/>
    </row>
    <row r="193" spans="2:22" ht="45" customHeight="1" x14ac:dyDescent="0.25">
      <c r="B193" s="3" t="str">
        <f>IFERROR(ROUND(INDEX('PROJETO PERFURAÇÃO'!$AB:$AB,MATCH(MEDIÇÃO!D193,'PROJETO PERFURAÇÃO'!$B:$B,0)),1)&amp;"''","")</f>
        <v>5''</v>
      </c>
      <c r="C193" s="3" t="str">
        <f>IFERROR(IF(INDEX('PROJETO PERFURAÇÃO'!$P:$P,MATCH(MEDIÇÃO!D193,'PROJETO PERFURAÇÃO'!$B:$B,0))="Production","P",IF(INDEX('PROJETO PERFURAÇÃO'!$P:$P,MATCH(MEDIÇÃO!D193,'PROJETO PERFURAÇÃO'!$B:$B,0))="Buffer","B",IF(INDEX('PROJETO PERFURAÇÃO'!$P:$P,MATCH(MEDIÇÃO!D193,'PROJETO PERFURAÇÃO'!$B:$B,0))="Pre-Splitting","S"))),"")</f>
        <v>P</v>
      </c>
      <c r="D193" s="14">
        <f t="shared" ref="D193:D213" si="18">D192+1</f>
        <v>417</v>
      </c>
      <c r="E193" s="4" t="str">
        <f>IFERROR(INDEX('LEV R&amp;D'!$D:$D,MATCH(MEDIÇÃO!D193,'LEV R&amp;D'!$A:$A,0))-INDEX('PROJETO PERFURAÇÃO'!$AH:$AH,MATCH(MEDIÇÃO!D193,'PROJETO PERFURAÇÃO'!$B:$B,0)),"")</f>
        <v/>
      </c>
      <c r="F193" s="17">
        <f>IFERROR(INDEX('PROJETO PERFURAÇÃO'!$AN:$AN,MATCH(MEDIÇÃO!D193,'PROJETO PERFURAÇÃO'!$B:$B,0)),"")</f>
        <v>0</v>
      </c>
      <c r="G193" s="3"/>
      <c r="H193" s="3"/>
      <c r="I193" s="3" t="str">
        <f>IFERROR(ROUND(INDEX('PROJETO PERFURAÇÃO'!$AB:$AB,MATCH(MEDIÇÃO!K193,'PROJETO PERFURAÇÃO'!$B:$B,0)),1)&amp;"''","")</f>
        <v>5''</v>
      </c>
      <c r="J193" s="3" t="str">
        <f>IFERROR(IF(INDEX('PROJETO PERFURAÇÃO'!$P:$P,MATCH(MEDIÇÃO!K193,'PROJETO PERFURAÇÃO'!$B:$B,0))="Production","P",IF(INDEX('PROJETO PERFURAÇÃO'!$P:$P,MATCH(MEDIÇÃO!K193,'PROJETO PERFURAÇÃO'!$B:$B,0))="Buffer","B",IF(INDEX('PROJETO PERFURAÇÃO'!$P:$P,MATCH(MEDIÇÃO!K193,'PROJETO PERFURAÇÃO'!$B:$B,0))="Pre-Splitting","S"))),"")</f>
        <v>P</v>
      </c>
      <c r="K193" s="14">
        <f t="shared" ref="K193:K213" si="19">K192+1</f>
        <v>440</v>
      </c>
      <c r="L193" s="4" t="str">
        <f>IFERROR(INDEX('LEV R&amp;D'!$D:$D,MATCH(MEDIÇÃO!K193,'LEV R&amp;D'!$A:$A,0))-INDEX('PROJETO PERFURAÇÃO'!$AH:$AH,MATCH(MEDIÇÃO!K193,'PROJETO PERFURAÇÃO'!$B:$B,0)),"")</f>
        <v/>
      </c>
      <c r="M193" s="17">
        <f>IFERROR(INDEX('PROJETO PERFURAÇÃO'!$AN:$AN,MATCH(MEDIÇÃO!K193,'PROJETO PERFURAÇÃO'!$B:$B,0)),"")</f>
        <v>0</v>
      </c>
      <c r="N193" s="3"/>
      <c r="O193" s="3"/>
      <c r="P193" s="3" t="str">
        <f>IFERROR(ROUND(INDEX('PROJETO PERFURAÇÃO'!$AB:$AB,MATCH(MEDIÇÃO!R193,'PROJETO PERFURAÇÃO'!$B:$B,0)),1)&amp;"''","")</f>
        <v>5''</v>
      </c>
      <c r="Q193" s="3" t="str">
        <f>IFERROR(IF(INDEX('PROJETO PERFURAÇÃO'!$P:$P,MATCH(MEDIÇÃO!R193,'PROJETO PERFURAÇÃO'!$B:$B,0))="Production","P",IF(INDEX('PROJETO PERFURAÇÃO'!$P:$P,MATCH(MEDIÇÃO!R193,'PROJETO PERFURAÇÃO'!$B:$B,0))="Buffer","B",IF(INDEX('PROJETO PERFURAÇÃO'!$P:$P,MATCH(MEDIÇÃO!R193,'PROJETO PERFURAÇÃO'!$B:$B,0))="Pre-Splitting","S"))),"")</f>
        <v>P</v>
      </c>
      <c r="R193" s="14">
        <f t="shared" ref="R193:R213" si="20">R192+1</f>
        <v>463</v>
      </c>
      <c r="S193" s="4" t="str">
        <f>IFERROR(INDEX('LEV R&amp;D'!$D:$D,MATCH(MEDIÇÃO!R193,'LEV R&amp;D'!$A:$A,0))-INDEX('PROJETO PERFURAÇÃO'!$AH:$AH,MATCH(MEDIÇÃO!R193,'PROJETO PERFURAÇÃO'!$B:$B,0)),"")</f>
        <v/>
      </c>
      <c r="T193" s="17">
        <f>IFERROR(INDEX('PROJETO PERFURAÇÃO'!$AN:$AN,MATCH(MEDIÇÃO!R193,'PROJETO PERFURAÇÃO'!$B:$B,0)),"")</f>
        <v>0</v>
      </c>
      <c r="U193" s="3"/>
      <c r="V193" s="3"/>
    </row>
    <row r="194" spans="2:22" ht="45" customHeight="1" x14ac:dyDescent="0.25">
      <c r="B194" s="3" t="str">
        <f>IFERROR(ROUND(INDEX('PROJETO PERFURAÇÃO'!$AB:$AB,MATCH(MEDIÇÃO!D194,'PROJETO PERFURAÇÃO'!$B:$B,0)),1)&amp;"''","")</f>
        <v>5''</v>
      </c>
      <c r="C194" s="3" t="str">
        <f>IFERROR(IF(INDEX('PROJETO PERFURAÇÃO'!$P:$P,MATCH(MEDIÇÃO!D194,'PROJETO PERFURAÇÃO'!$B:$B,0))="Production","P",IF(INDEX('PROJETO PERFURAÇÃO'!$P:$P,MATCH(MEDIÇÃO!D194,'PROJETO PERFURAÇÃO'!$B:$B,0))="Buffer","B",IF(INDEX('PROJETO PERFURAÇÃO'!$P:$P,MATCH(MEDIÇÃO!D194,'PROJETO PERFURAÇÃO'!$B:$B,0))="Pre-Splitting","S"))),"")</f>
        <v>P</v>
      </c>
      <c r="D194" s="14">
        <f t="shared" si="18"/>
        <v>418</v>
      </c>
      <c r="E194" s="4" t="str">
        <f>IFERROR(INDEX('LEV R&amp;D'!$D:$D,MATCH(MEDIÇÃO!D194,'LEV R&amp;D'!$A:$A,0))-INDEX('PROJETO PERFURAÇÃO'!$AH:$AH,MATCH(MEDIÇÃO!D194,'PROJETO PERFURAÇÃO'!$B:$B,0)),"")</f>
        <v/>
      </c>
      <c r="F194" s="17">
        <f>IFERROR(INDEX('PROJETO PERFURAÇÃO'!$AN:$AN,MATCH(MEDIÇÃO!D194,'PROJETO PERFURAÇÃO'!$B:$B,0)),"")</f>
        <v>0</v>
      </c>
      <c r="G194" s="3"/>
      <c r="H194" s="3"/>
      <c r="I194" s="3" t="str">
        <f>IFERROR(ROUND(INDEX('PROJETO PERFURAÇÃO'!$AB:$AB,MATCH(MEDIÇÃO!K194,'PROJETO PERFURAÇÃO'!$B:$B,0)),1)&amp;"''","")</f>
        <v>5''</v>
      </c>
      <c r="J194" s="3" t="str">
        <f>IFERROR(IF(INDEX('PROJETO PERFURAÇÃO'!$P:$P,MATCH(MEDIÇÃO!K194,'PROJETO PERFURAÇÃO'!$B:$B,0))="Production","P",IF(INDEX('PROJETO PERFURAÇÃO'!$P:$P,MATCH(MEDIÇÃO!K194,'PROJETO PERFURAÇÃO'!$B:$B,0))="Buffer","B",IF(INDEX('PROJETO PERFURAÇÃO'!$P:$P,MATCH(MEDIÇÃO!K194,'PROJETO PERFURAÇÃO'!$B:$B,0))="Pre-Splitting","S"))),"")</f>
        <v>P</v>
      </c>
      <c r="K194" s="14">
        <f t="shared" si="19"/>
        <v>441</v>
      </c>
      <c r="L194" s="4" t="str">
        <f>IFERROR(INDEX('LEV R&amp;D'!$D:$D,MATCH(MEDIÇÃO!K194,'LEV R&amp;D'!$A:$A,0))-INDEX('PROJETO PERFURAÇÃO'!$AH:$AH,MATCH(MEDIÇÃO!K194,'PROJETO PERFURAÇÃO'!$B:$B,0)),"")</f>
        <v/>
      </c>
      <c r="M194" s="17">
        <f>IFERROR(INDEX('PROJETO PERFURAÇÃO'!$AN:$AN,MATCH(MEDIÇÃO!K194,'PROJETO PERFURAÇÃO'!$B:$B,0)),"")</f>
        <v>0</v>
      </c>
      <c r="N194" s="3"/>
      <c r="O194" s="3"/>
      <c r="P194" s="3" t="str">
        <f>IFERROR(ROUND(INDEX('PROJETO PERFURAÇÃO'!$AB:$AB,MATCH(MEDIÇÃO!R194,'PROJETO PERFURAÇÃO'!$B:$B,0)),1)&amp;"''","")</f>
        <v>5''</v>
      </c>
      <c r="Q194" s="3" t="str">
        <f>IFERROR(IF(INDEX('PROJETO PERFURAÇÃO'!$P:$P,MATCH(MEDIÇÃO!R194,'PROJETO PERFURAÇÃO'!$B:$B,0))="Production","P",IF(INDEX('PROJETO PERFURAÇÃO'!$P:$P,MATCH(MEDIÇÃO!R194,'PROJETO PERFURAÇÃO'!$B:$B,0))="Buffer","B",IF(INDEX('PROJETO PERFURAÇÃO'!$P:$P,MATCH(MEDIÇÃO!R194,'PROJETO PERFURAÇÃO'!$B:$B,0))="Pre-Splitting","S"))),"")</f>
        <v>P</v>
      </c>
      <c r="R194" s="14">
        <f t="shared" si="20"/>
        <v>464</v>
      </c>
      <c r="S194" s="4" t="str">
        <f>IFERROR(INDEX('LEV R&amp;D'!$D:$D,MATCH(MEDIÇÃO!R194,'LEV R&amp;D'!$A:$A,0))-INDEX('PROJETO PERFURAÇÃO'!$AH:$AH,MATCH(MEDIÇÃO!R194,'PROJETO PERFURAÇÃO'!$B:$B,0)),"")</f>
        <v/>
      </c>
      <c r="T194" s="17">
        <f>IFERROR(INDEX('PROJETO PERFURAÇÃO'!$AN:$AN,MATCH(MEDIÇÃO!R194,'PROJETO PERFURAÇÃO'!$B:$B,0)),"")</f>
        <v>0</v>
      </c>
      <c r="U194" s="3"/>
      <c r="V194" s="3"/>
    </row>
    <row r="195" spans="2:22" ht="45" customHeight="1" x14ac:dyDescent="0.25">
      <c r="B195" s="3" t="str">
        <f>IFERROR(ROUND(INDEX('PROJETO PERFURAÇÃO'!$AB:$AB,MATCH(MEDIÇÃO!D195,'PROJETO PERFURAÇÃO'!$B:$B,0)),1)&amp;"''","")</f>
        <v>5''</v>
      </c>
      <c r="C195" s="3" t="str">
        <f>IFERROR(IF(INDEX('PROJETO PERFURAÇÃO'!$P:$P,MATCH(MEDIÇÃO!D195,'PROJETO PERFURAÇÃO'!$B:$B,0))="Production","P",IF(INDEX('PROJETO PERFURAÇÃO'!$P:$P,MATCH(MEDIÇÃO!D195,'PROJETO PERFURAÇÃO'!$B:$B,0))="Buffer","B",IF(INDEX('PROJETO PERFURAÇÃO'!$P:$P,MATCH(MEDIÇÃO!D195,'PROJETO PERFURAÇÃO'!$B:$B,0))="Pre-Splitting","S"))),"")</f>
        <v>P</v>
      </c>
      <c r="D195" s="14">
        <f t="shared" si="18"/>
        <v>419</v>
      </c>
      <c r="E195" s="4" t="str">
        <f>IFERROR(INDEX('LEV R&amp;D'!$D:$D,MATCH(MEDIÇÃO!D195,'LEV R&amp;D'!$A:$A,0))-INDEX('PROJETO PERFURAÇÃO'!$AH:$AH,MATCH(MEDIÇÃO!D195,'PROJETO PERFURAÇÃO'!$B:$B,0)),"")</f>
        <v/>
      </c>
      <c r="F195" s="17">
        <f>IFERROR(INDEX('PROJETO PERFURAÇÃO'!$AN:$AN,MATCH(MEDIÇÃO!D195,'PROJETO PERFURAÇÃO'!$B:$B,0)),"")</f>
        <v>0</v>
      </c>
      <c r="G195" s="3"/>
      <c r="H195" s="3"/>
      <c r="I195" s="3" t="str">
        <f>IFERROR(ROUND(INDEX('PROJETO PERFURAÇÃO'!$AB:$AB,MATCH(MEDIÇÃO!K195,'PROJETO PERFURAÇÃO'!$B:$B,0)),1)&amp;"''","")</f>
        <v>5''</v>
      </c>
      <c r="J195" s="3" t="str">
        <f>IFERROR(IF(INDEX('PROJETO PERFURAÇÃO'!$P:$P,MATCH(MEDIÇÃO!K195,'PROJETO PERFURAÇÃO'!$B:$B,0))="Production","P",IF(INDEX('PROJETO PERFURAÇÃO'!$P:$P,MATCH(MEDIÇÃO!K195,'PROJETO PERFURAÇÃO'!$B:$B,0))="Buffer","B",IF(INDEX('PROJETO PERFURAÇÃO'!$P:$P,MATCH(MEDIÇÃO!K195,'PROJETO PERFURAÇÃO'!$B:$B,0))="Pre-Splitting","S"))),"")</f>
        <v>P</v>
      </c>
      <c r="K195" s="14">
        <f t="shared" si="19"/>
        <v>442</v>
      </c>
      <c r="L195" s="4" t="str">
        <f>IFERROR(INDEX('LEV R&amp;D'!$D:$D,MATCH(MEDIÇÃO!K195,'LEV R&amp;D'!$A:$A,0))-INDEX('PROJETO PERFURAÇÃO'!$AH:$AH,MATCH(MEDIÇÃO!K195,'PROJETO PERFURAÇÃO'!$B:$B,0)),"")</f>
        <v/>
      </c>
      <c r="M195" s="17">
        <f>IFERROR(INDEX('PROJETO PERFURAÇÃO'!$AN:$AN,MATCH(MEDIÇÃO!K195,'PROJETO PERFURAÇÃO'!$B:$B,0)),"")</f>
        <v>0</v>
      </c>
      <c r="N195" s="3"/>
      <c r="O195" s="3"/>
      <c r="P195" s="3" t="str">
        <f>IFERROR(ROUND(INDEX('PROJETO PERFURAÇÃO'!$AB:$AB,MATCH(MEDIÇÃO!R195,'PROJETO PERFURAÇÃO'!$B:$B,0)),1)&amp;"''","")</f>
        <v>5''</v>
      </c>
      <c r="Q195" s="3" t="str">
        <f>IFERROR(IF(INDEX('PROJETO PERFURAÇÃO'!$P:$P,MATCH(MEDIÇÃO!R195,'PROJETO PERFURAÇÃO'!$B:$B,0))="Production","P",IF(INDEX('PROJETO PERFURAÇÃO'!$P:$P,MATCH(MEDIÇÃO!R195,'PROJETO PERFURAÇÃO'!$B:$B,0))="Buffer","B",IF(INDEX('PROJETO PERFURAÇÃO'!$P:$P,MATCH(MEDIÇÃO!R195,'PROJETO PERFURAÇÃO'!$B:$B,0))="Pre-Splitting","S"))),"")</f>
        <v>P</v>
      </c>
      <c r="R195" s="14">
        <f t="shared" si="20"/>
        <v>465</v>
      </c>
      <c r="S195" s="4" t="str">
        <f>IFERROR(INDEX('LEV R&amp;D'!$D:$D,MATCH(MEDIÇÃO!R195,'LEV R&amp;D'!$A:$A,0))-INDEX('PROJETO PERFURAÇÃO'!$AH:$AH,MATCH(MEDIÇÃO!R195,'PROJETO PERFURAÇÃO'!$B:$B,0)),"")</f>
        <v/>
      </c>
      <c r="T195" s="17">
        <f>IFERROR(INDEX('PROJETO PERFURAÇÃO'!$AN:$AN,MATCH(MEDIÇÃO!R195,'PROJETO PERFURAÇÃO'!$B:$B,0)),"")</f>
        <v>0</v>
      </c>
      <c r="U195" s="3"/>
      <c r="V195" s="3"/>
    </row>
    <row r="196" spans="2:22" ht="45" customHeight="1" x14ac:dyDescent="0.25">
      <c r="B196" s="3" t="str">
        <f>IFERROR(ROUND(INDEX('PROJETO PERFURAÇÃO'!$AB:$AB,MATCH(MEDIÇÃO!D196,'PROJETO PERFURAÇÃO'!$B:$B,0)),1)&amp;"''","")</f>
        <v>5''</v>
      </c>
      <c r="C196" s="3" t="str">
        <f>IFERROR(IF(INDEX('PROJETO PERFURAÇÃO'!$P:$P,MATCH(MEDIÇÃO!D196,'PROJETO PERFURAÇÃO'!$B:$B,0))="Production","P",IF(INDEX('PROJETO PERFURAÇÃO'!$P:$P,MATCH(MEDIÇÃO!D196,'PROJETO PERFURAÇÃO'!$B:$B,0))="Buffer","B",IF(INDEX('PROJETO PERFURAÇÃO'!$P:$P,MATCH(MEDIÇÃO!D196,'PROJETO PERFURAÇÃO'!$B:$B,0))="Pre-Splitting","S"))),"")</f>
        <v>P</v>
      </c>
      <c r="D196" s="14">
        <f t="shared" si="18"/>
        <v>420</v>
      </c>
      <c r="E196" s="4" t="str">
        <f>IFERROR(INDEX('LEV R&amp;D'!$D:$D,MATCH(MEDIÇÃO!D196,'LEV R&amp;D'!$A:$A,0))-INDEX('PROJETO PERFURAÇÃO'!$AH:$AH,MATCH(MEDIÇÃO!D196,'PROJETO PERFURAÇÃO'!$B:$B,0)),"")</f>
        <v/>
      </c>
      <c r="F196" s="17">
        <f>IFERROR(INDEX('PROJETO PERFURAÇÃO'!$AN:$AN,MATCH(MEDIÇÃO!D196,'PROJETO PERFURAÇÃO'!$B:$B,0)),"")</f>
        <v>0</v>
      </c>
      <c r="G196" s="3"/>
      <c r="H196" s="3"/>
      <c r="I196" s="3" t="str">
        <f>IFERROR(ROUND(INDEX('PROJETO PERFURAÇÃO'!$AB:$AB,MATCH(MEDIÇÃO!K196,'PROJETO PERFURAÇÃO'!$B:$B,0)),1)&amp;"''","")</f>
        <v>5''</v>
      </c>
      <c r="J196" s="3" t="str">
        <f>IFERROR(IF(INDEX('PROJETO PERFURAÇÃO'!$P:$P,MATCH(MEDIÇÃO!K196,'PROJETO PERFURAÇÃO'!$B:$B,0))="Production","P",IF(INDEX('PROJETO PERFURAÇÃO'!$P:$P,MATCH(MEDIÇÃO!K196,'PROJETO PERFURAÇÃO'!$B:$B,0))="Buffer","B",IF(INDEX('PROJETO PERFURAÇÃO'!$P:$P,MATCH(MEDIÇÃO!K196,'PROJETO PERFURAÇÃO'!$B:$B,0))="Pre-Splitting","S"))),"")</f>
        <v>P</v>
      </c>
      <c r="K196" s="14">
        <f t="shared" si="19"/>
        <v>443</v>
      </c>
      <c r="L196" s="4" t="str">
        <f>IFERROR(INDEX('LEV R&amp;D'!$D:$D,MATCH(MEDIÇÃO!K196,'LEV R&amp;D'!$A:$A,0))-INDEX('PROJETO PERFURAÇÃO'!$AH:$AH,MATCH(MEDIÇÃO!K196,'PROJETO PERFURAÇÃO'!$B:$B,0)),"")</f>
        <v/>
      </c>
      <c r="M196" s="17">
        <f>IFERROR(INDEX('PROJETO PERFURAÇÃO'!$AN:$AN,MATCH(MEDIÇÃO!K196,'PROJETO PERFURAÇÃO'!$B:$B,0)),"")</f>
        <v>0</v>
      </c>
      <c r="N196" s="3"/>
      <c r="O196" s="3"/>
      <c r="P196" s="3" t="str">
        <f>IFERROR(ROUND(INDEX('PROJETO PERFURAÇÃO'!$AB:$AB,MATCH(MEDIÇÃO!R196,'PROJETO PERFURAÇÃO'!$B:$B,0)),1)&amp;"''","")</f>
        <v>5''</v>
      </c>
      <c r="Q196" s="3" t="str">
        <f>IFERROR(IF(INDEX('PROJETO PERFURAÇÃO'!$P:$P,MATCH(MEDIÇÃO!R196,'PROJETO PERFURAÇÃO'!$B:$B,0))="Production","P",IF(INDEX('PROJETO PERFURAÇÃO'!$P:$P,MATCH(MEDIÇÃO!R196,'PROJETO PERFURAÇÃO'!$B:$B,0))="Buffer","B",IF(INDEX('PROJETO PERFURAÇÃO'!$P:$P,MATCH(MEDIÇÃO!R196,'PROJETO PERFURAÇÃO'!$B:$B,0))="Pre-Splitting","S"))),"")</f>
        <v>P</v>
      </c>
      <c r="R196" s="14">
        <f t="shared" si="20"/>
        <v>466</v>
      </c>
      <c r="S196" s="4" t="str">
        <f>IFERROR(INDEX('LEV R&amp;D'!$D:$D,MATCH(MEDIÇÃO!R196,'LEV R&amp;D'!$A:$A,0))-INDEX('PROJETO PERFURAÇÃO'!$AH:$AH,MATCH(MEDIÇÃO!R196,'PROJETO PERFURAÇÃO'!$B:$B,0)),"")</f>
        <v/>
      </c>
      <c r="T196" s="17">
        <f>IFERROR(INDEX('PROJETO PERFURAÇÃO'!$AN:$AN,MATCH(MEDIÇÃO!R196,'PROJETO PERFURAÇÃO'!$B:$B,0)),"")</f>
        <v>0</v>
      </c>
      <c r="U196" s="3"/>
      <c r="V196" s="3"/>
    </row>
    <row r="197" spans="2:22" ht="45" customHeight="1" x14ac:dyDescent="0.25">
      <c r="B197" s="3" t="str">
        <f>IFERROR(ROUND(INDEX('PROJETO PERFURAÇÃO'!$AB:$AB,MATCH(MEDIÇÃO!D197,'PROJETO PERFURAÇÃO'!$B:$B,0)),1)&amp;"''","")</f>
        <v>5''</v>
      </c>
      <c r="C197" s="3" t="str">
        <f>IFERROR(IF(INDEX('PROJETO PERFURAÇÃO'!$P:$P,MATCH(MEDIÇÃO!D197,'PROJETO PERFURAÇÃO'!$B:$B,0))="Production","P",IF(INDEX('PROJETO PERFURAÇÃO'!$P:$P,MATCH(MEDIÇÃO!D197,'PROJETO PERFURAÇÃO'!$B:$B,0))="Buffer","B",IF(INDEX('PROJETO PERFURAÇÃO'!$P:$P,MATCH(MEDIÇÃO!D197,'PROJETO PERFURAÇÃO'!$B:$B,0))="Pre-Splitting","S"))),"")</f>
        <v>P</v>
      </c>
      <c r="D197" s="14">
        <f t="shared" si="18"/>
        <v>421</v>
      </c>
      <c r="E197" s="4" t="str">
        <f>IFERROR(INDEX('LEV R&amp;D'!$D:$D,MATCH(MEDIÇÃO!D197,'LEV R&amp;D'!$A:$A,0))-INDEX('PROJETO PERFURAÇÃO'!$AH:$AH,MATCH(MEDIÇÃO!D197,'PROJETO PERFURAÇÃO'!$B:$B,0)),"")</f>
        <v/>
      </c>
      <c r="F197" s="17">
        <f>IFERROR(INDEX('PROJETO PERFURAÇÃO'!$AN:$AN,MATCH(MEDIÇÃO!D197,'PROJETO PERFURAÇÃO'!$B:$B,0)),"")</f>
        <v>0</v>
      </c>
      <c r="G197" s="3"/>
      <c r="H197" s="3"/>
      <c r="I197" s="3" t="str">
        <f>IFERROR(ROUND(INDEX('PROJETO PERFURAÇÃO'!$AB:$AB,MATCH(MEDIÇÃO!K197,'PROJETO PERFURAÇÃO'!$B:$B,0)),1)&amp;"''","")</f>
        <v>5''</v>
      </c>
      <c r="J197" s="3" t="str">
        <f>IFERROR(IF(INDEX('PROJETO PERFURAÇÃO'!$P:$P,MATCH(MEDIÇÃO!K197,'PROJETO PERFURAÇÃO'!$B:$B,0))="Production","P",IF(INDEX('PROJETO PERFURAÇÃO'!$P:$P,MATCH(MEDIÇÃO!K197,'PROJETO PERFURAÇÃO'!$B:$B,0))="Buffer","B",IF(INDEX('PROJETO PERFURAÇÃO'!$P:$P,MATCH(MEDIÇÃO!K197,'PROJETO PERFURAÇÃO'!$B:$B,0))="Pre-Splitting","S"))),"")</f>
        <v>P</v>
      </c>
      <c r="K197" s="14">
        <f t="shared" si="19"/>
        <v>444</v>
      </c>
      <c r="L197" s="4" t="str">
        <f>IFERROR(INDEX('LEV R&amp;D'!$D:$D,MATCH(MEDIÇÃO!K197,'LEV R&amp;D'!$A:$A,0))-INDEX('PROJETO PERFURAÇÃO'!$AH:$AH,MATCH(MEDIÇÃO!K197,'PROJETO PERFURAÇÃO'!$B:$B,0)),"")</f>
        <v/>
      </c>
      <c r="M197" s="17">
        <f>IFERROR(INDEX('PROJETO PERFURAÇÃO'!$AN:$AN,MATCH(MEDIÇÃO!K197,'PROJETO PERFURAÇÃO'!$B:$B,0)),"")</f>
        <v>0</v>
      </c>
      <c r="N197" s="3"/>
      <c r="O197" s="3"/>
      <c r="P197" s="3" t="str">
        <f>IFERROR(ROUND(INDEX('PROJETO PERFURAÇÃO'!$AB:$AB,MATCH(MEDIÇÃO!R197,'PROJETO PERFURAÇÃO'!$B:$B,0)),1)&amp;"''","")</f>
        <v>5''</v>
      </c>
      <c r="Q197" s="3" t="str">
        <f>IFERROR(IF(INDEX('PROJETO PERFURAÇÃO'!$P:$P,MATCH(MEDIÇÃO!R197,'PROJETO PERFURAÇÃO'!$B:$B,0))="Production","P",IF(INDEX('PROJETO PERFURAÇÃO'!$P:$P,MATCH(MEDIÇÃO!R197,'PROJETO PERFURAÇÃO'!$B:$B,0))="Buffer","B",IF(INDEX('PROJETO PERFURAÇÃO'!$P:$P,MATCH(MEDIÇÃO!R197,'PROJETO PERFURAÇÃO'!$B:$B,0))="Pre-Splitting","S"))),"")</f>
        <v>P</v>
      </c>
      <c r="R197" s="14">
        <f t="shared" si="20"/>
        <v>467</v>
      </c>
      <c r="S197" s="4" t="str">
        <f>IFERROR(INDEX('LEV R&amp;D'!$D:$D,MATCH(MEDIÇÃO!R197,'LEV R&amp;D'!$A:$A,0))-INDEX('PROJETO PERFURAÇÃO'!$AH:$AH,MATCH(MEDIÇÃO!R197,'PROJETO PERFURAÇÃO'!$B:$B,0)),"")</f>
        <v/>
      </c>
      <c r="T197" s="17">
        <f>IFERROR(INDEX('PROJETO PERFURAÇÃO'!$AN:$AN,MATCH(MEDIÇÃO!R197,'PROJETO PERFURAÇÃO'!$B:$B,0)),"")</f>
        <v>0</v>
      </c>
      <c r="U197" s="3"/>
      <c r="V197" s="3"/>
    </row>
    <row r="198" spans="2:22" ht="45" customHeight="1" x14ac:dyDescent="0.25">
      <c r="B198" s="3" t="str">
        <f>IFERROR(ROUND(INDEX('PROJETO PERFURAÇÃO'!$AB:$AB,MATCH(MEDIÇÃO!D198,'PROJETO PERFURAÇÃO'!$B:$B,0)),1)&amp;"''","")</f>
        <v>5''</v>
      </c>
      <c r="C198" s="3" t="str">
        <f>IFERROR(IF(INDEX('PROJETO PERFURAÇÃO'!$P:$P,MATCH(MEDIÇÃO!D198,'PROJETO PERFURAÇÃO'!$B:$B,0))="Production","P",IF(INDEX('PROJETO PERFURAÇÃO'!$P:$P,MATCH(MEDIÇÃO!D198,'PROJETO PERFURAÇÃO'!$B:$B,0))="Buffer","B",IF(INDEX('PROJETO PERFURAÇÃO'!$P:$P,MATCH(MEDIÇÃO!D198,'PROJETO PERFURAÇÃO'!$B:$B,0))="Pre-Splitting","S"))),"")</f>
        <v>P</v>
      </c>
      <c r="D198" s="14">
        <f t="shared" si="18"/>
        <v>422</v>
      </c>
      <c r="E198" s="4" t="str">
        <f>IFERROR(INDEX('LEV R&amp;D'!$D:$D,MATCH(MEDIÇÃO!D198,'LEV R&amp;D'!$A:$A,0))-INDEX('PROJETO PERFURAÇÃO'!$AH:$AH,MATCH(MEDIÇÃO!D198,'PROJETO PERFURAÇÃO'!$B:$B,0)),"")</f>
        <v/>
      </c>
      <c r="F198" s="17">
        <f>IFERROR(INDEX('PROJETO PERFURAÇÃO'!$AN:$AN,MATCH(MEDIÇÃO!D198,'PROJETO PERFURAÇÃO'!$B:$B,0)),"")</f>
        <v>0</v>
      </c>
      <c r="G198" s="3"/>
      <c r="H198" s="3"/>
      <c r="I198" s="3" t="str">
        <f>IFERROR(ROUND(INDEX('PROJETO PERFURAÇÃO'!$AB:$AB,MATCH(MEDIÇÃO!K198,'PROJETO PERFURAÇÃO'!$B:$B,0)),1)&amp;"''","")</f>
        <v>5''</v>
      </c>
      <c r="J198" s="3" t="str">
        <f>IFERROR(IF(INDEX('PROJETO PERFURAÇÃO'!$P:$P,MATCH(MEDIÇÃO!K198,'PROJETO PERFURAÇÃO'!$B:$B,0))="Production","P",IF(INDEX('PROJETO PERFURAÇÃO'!$P:$P,MATCH(MEDIÇÃO!K198,'PROJETO PERFURAÇÃO'!$B:$B,0))="Buffer","B",IF(INDEX('PROJETO PERFURAÇÃO'!$P:$P,MATCH(MEDIÇÃO!K198,'PROJETO PERFURAÇÃO'!$B:$B,0))="Pre-Splitting","S"))),"")</f>
        <v>P</v>
      </c>
      <c r="K198" s="14">
        <f t="shared" si="19"/>
        <v>445</v>
      </c>
      <c r="L198" s="4" t="str">
        <f>IFERROR(INDEX('LEV R&amp;D'!$D:$D,MATCH(MEDIÇÃO!K198,'LEV R&amp;D'!$A:$A,0))-INDEX('PROJETO PERFURAÇÃO'!$AH:$AH,MATCH(MEDIÇÃO!K198,'PROJETO PERFURAÇÃO'!$B:$B,0)),"")</f>
        <v/>
      </c>
      <c r="M198" s="17">
        <f>IFERROR(INDEX('PROJETO PERFURAÇÃO'!$AN:$AN,MATCH(MEDIÇÃO!K198,'PROJETO PERFURAÇÃO'!$B:$B,0)),"")</f>
        <v>0</v>
      </c>
      <c r="N198" s="3"/>
      <c r="O198" s="3"/>
      <c r="P198" s="3" t="str">
        <f>IFERROR(ROUND(INDEX('PROJETO PERFURAÇÃO'!$AB:$AB,MATCH(MEDIÇÃO!R198,'PROJETO PERFURAÇÃO'!$B:$B,0)),1)&amp;"''","")</f>
        <v>5''</v>
      </c>
      <c r="Q198" s="3" t="str">
        <f>IFERROR(IF(INDEX('PROJETO PERFURAÇÃO'!$P:$P,MATCH(MEDIÇÃO!R198,'PROJETO PERFURAÇÃO'!$B:$B,0))="Production","P",IF(INDEX('PROJETO PERFURAÇÃO'!$P:$P,MATCH(MEDIÇÃO!R198,'PROJETO PERFURAÇÃO'!$B:$B,0))="Buffer","B",IF(INDEX('PROJETO PERFURAÇÃO'!$P:$P,MATCH(MEDIÇÃO!R198,'PROJETO PERFURAÇÃO'!$B:$B,0))="Pre-Splitting","S"))),"")</f>
        <v>P</v>
      </c>
      <c r="R198" s="14">
        <f t="shared" si="20"/>
        <v>468</v>
      </c>
      <c r="S198" s="4" t="str">
        <f>IFERROR(INDEX('LEV R&amp;D'!$D:$D,MATCH(MEDIÇÃO!R198,'LEV R&amp;D'!$A:$A,0))-INDEX('PROJETO PERFURAÇÃO'!$AH:$AH,MATCH(MEDIÇÃO!R198,'PROJETO PERFURAÇÃO'!$B:$B,0)),"")</f>
        <v/>
      </c>
      <c r="T198" s="17">
        <f>IFERROR(INDEX('PROJETO PERFURAÇÃO'!$AN:$AN,MATCH(MEDIÇÃO!R198,'PROJETO PERFURAÇÃO'!$B:$B,0)),"")</f>
        <v>0</v>
      </c>
      <c r="U198" s="3"/>
      <c r="V198" s="3"/>
    </row>
    <row r="199" spans="2:22" ht="45" customHeight="1" x14ac:dyDescent="0.25">
      <c r="B199" s="3" t="str">
        <f>IFERROR(ROUND(INDEX('PROJETO PERFURAÇÃO'!$AB:$AB,MATCH(MEDIÇÃO!D199,'PROJETO PERFURAÇÃO'!$B:$B,0)),1)&amp;"''","")</f>
        <v>5''</v>
      </c>
      <c r="C199" s="3" t="str">
        <f>IFERROR(IF(INDEX('PROJETO PERFURAÇÃO'!$P:$P,MATCH(MEDIÇÃO!D199,'PROJETO PERFURAÇÃO'!$B:$B,0))="Production","P",IF(INDEX('PROJETO PERFURAÇÃO'!$P:$P,MATCH(MEDIÇÃO!D199,'PROJETO PERFURAÇÃO'!$B:$B,0))="Buffer","B",IF(INDEX('PROJETO PERFURAÇÃO'!$P:$P,MATCH(MEDIÇÃO!D199,'PROJETO PERFURAÇÃO'!$B:$B,0))="Pre-Splitting","S"))),"")</f>
        <v>P</v>
      </c>
      <c r="D199" s="14">
        <f t="shared" si="18"/>
        <v>423</v>
      </c>
      <c r="E199" s="4" t="str">
        <f>IFERROR(INDEX('LEV R&amp;D'!$D:$D,MATCH(MEDIÇÃO!D199,'LEV R&amp;D'!$A:$A,0))-INDEX('PROJETO PERFURAÇÃO'!$AH:$AH,MATCH(MEDIÇÃO!D199,'PROJETO PERFURAÇÃO'!$B:$B,0)),"")</f>
        <v/>
      </c>
      <c r="F199" s="17">
        <f>IFERROR(INDEX('PROJETO PERFURAÇÃO'!$AN:$AN,MATCH(MEDIÇÃO!D199,'PROJETO PERFURAÇÃO'!$B:$B,0)),"")</f>
        <v>0</v>
      </c>
      <c r="G199" s="3"/>
      <c r="H199" s="3"/>
      <c r="I199" s="3" t="str">
        <f>IFERROR(ROUND(INDEX('PROJETO PERFURAÇÃO'!$AB:$AB,MATCH(MEDIÇÃO!K199,'PROJETO PERFURAÇÃO'!$B:$B,0)),1)&amp;"''","")</f>
        <v>5''</v>
      </c>
      <c r="J199" s="3" t="str">
        <f>IFERROR(IF(INDEX('PROJETO PERFURAÇÃO'!$P:$P,MATCH(MEDIÇÃO!K199,'PROJETO PERFURAÇÃO'!$B:$B,0))="Production","P",IF(INDEX('PROJETO PERFURAÇÃO'!$P:$P,MATCH(MEDIÇÃO!K199,'PROJETO PERFURAÇÃO'!$B:$B,0))="Buffer","B",IF(INDEX('PROJETO PERFURAÇÃO'!$P:$P,MATCH(MEDIÇÃO!K199,'PROJETO PERFURAÇÃO'!$B:$B,0))="Pre-Splitting","S"))),"")</f>
        <v>P</v>
      </c>
      <c r="K199" s="14">
        <f t="shared" si="19"/>
        <v>446</v>
      </c>
      <c r="L199" s="4" t="str">
        <f>IFERROR(INDEX('LEV R&amp;D'!$D:$D,MATCH(MEDIÇÃO!K199,'LEV R&amp;D'!$A:$A,0))-INDEX('PROJETO PERFURAÇÃO'!$AH:$AH,MATCH(MEDIÇÃO!K199,'PROJETO PERFURAÇÃO'!$B:$B,0)),"")</f>
        <v/>
      </c>
      <c r="M199" s="17">
        <f>IFERROR(INDEX('PROJETO PERFURAÇÃO'!$AN:$AN,MATCH(MEDIÇÃO!K199,'PROJETO PERFURAÇÃO'!$B:$B,0)),"")</f>
        <v>0</v>
      </c>
      <c r="N199" s="3"/>
      <c r="O199" s="3"/>
      <c r="P199" s="3" t="str">
        <f>IFERROR(ROUND(INDEX('PROJETO PERFURAÇÃO'!$AB:$AB,MATCH(MEDIÇÃO!R199,'PROJETO PERFURAÇÃO'!$B:$B,0)),1)&amp;"''","")</f>
        <v>5''</v>
      </c>
      <c r="Q199" s="3" t="str">
        <f>IFERROR(IF(INDEX('PROJETO PERFURAÇÃO'!$P:$P,MATCH(MEDIÇÃO!R199,'PROJETO PERFURAÇÃO'!$B:$B,0))="Production","P",IF(INDEX('PROJETO PERFURAÇÃO'!$P:$P,MATCH(MEDIÇÃO!R199,'PROJETO PERFURAÇÃO'!$B:$B,0))="Buffer","B",IF(INDEX('PROJETO PERFURAÇÃO'!$P:$P,MATCH(MEDIÇÃO!R199,'PROJETO PERFURAÇÃO'!$B:$B,0))="Pre-Splitting","S"))),"")</f>
        <v>P</v>
      </c>
      <c r="R199" s="14">
        <f t="shared" si="20"/>
        <v>469</v>
      </c>
      <c r="S199" s="4" t="str">
        <f>IFERROR(INDEX('LEV R&amp;D'!$D:$D,MATCH(MEDIÇÃO!R199,'LEV R&amp;D'!$A:$A,0))-INDEX('PROJETO PERFURAÇÃO'!$AH:$AH,MATCH(MEDIÇÃO!R199,'PROJETO PERFURAÇÃO'!$B:$B,0)),"")</f>
        <v/>
      </c>
      <c r="T199" s="17">
        <f>IFERROR(INDEX('PROJETO PERFURAÇÃO'!$AN:$AN,MATCH(MEDIÇÃO!R199,'PROJETO PERFURAÇÃO'!$B:$B,0)),"")</f>
        <v>0</v>
      </c>
      <c r="U199" s="3"/>
      <c r="V199" s="3"/>
    </row>
    <row r="200" spans="2:22" ht="45" customHeight="1" x14ac:dyDescent="0.25">
      <c r="B200" s="3" t="str">
        <f>IFERROR(ROUND(INDEX('PROJETO PERFURAÇÃO'!$AB:$AB,MATCH(MEDIÇÃO!D200,'PROJETO PERFURAÇÃO'!$B:$B,0)),1)&amp;"''","")</f>
        <v>5''</v>
      </c>
      <c r="C200" s="3" t="str">
        <f>IFERROR(IF(INDEX('PROJETO PERFURAÇÃO'!$P:$P,MATCH(MEDIÇÃO!D200,'PROJETO PERFURAÇÃO'!$B:$B,0))="Production","P",IF(INDEX('PROJETO PERFURAÇÃO'!$P:$P,MATCH(MEDIÇÃO!D200,'PROJETO PERFURAÇÃO'!$B:$B,0))="Buffer","B",IF(INDEX('PROJETO PERFURAÇÃO'!$P:$P,MATCH(MEDIÇÃO!D200,'PROJETO PERFURAÇÃO'!$B:$B,0))="Pre-Splitting","S"))),"")</f>
        <v>P</v>
      </c>
      <c r="D200" s="14">
        <f t="shared" si="18"/>
        <v>424</v>
      </c>
      <c r="E200" s="4" t="str">
        <f>IFERROR(INDEX('LEV R&amp;D'!$D:$D,MATCH(MEDIÇÃO!D200,'LEV R&amp;D'!$A:$A,0))-INDEX('PROJETO PERFURAÇÃO'!$AH:$AH,MATCH(MEDIÇÃO!D200,'PROJETO PERFURAÇÃO'!$B:$B,0)),"")</f>
        <v/>
      </c>
      <c r="F200" s="17">
        <f>IFERROR(INDEX('PROJETO PERFURAÇÃO'!$AN:$AN,MATCH(MEDIÇÃO!D200,'PROJETO PERFURAÇÃO'!$B:$B,0)),"")</f>
        <v>0</v>
      </c>
      <c r="G200" s="3"/>
      <c r="H200" s="3"/>
      <c r="I200" s="3" t="str">
        <f>IFERROR(ROUND(INDEX('PROJETO PERFURAÇÃO'!$AB:$AB,MATCH(MEDIÇÃO!K200,'PROJETO PERFURAÇÃO'!$B:$B,0)),1)&amp;"''","")</f>
        <v>5''</v>
      </c>
      <c r="J200" s="3" t="str">
        <f>IFERROR(IF(INDEX('PROJETO PERFURAÇÃO'!$P:$P,MATCH(MEDIÇÃO!K200,'PROJETO PERFURAÇÃO'!$B:$B,0))="Production","P",IF(INDEX('PROJETO PERFURAÇÃO'!$P:$P,MATCH(MEDIÇÃO!K200,'PROJETO PERFURAÇÃO'!$B:$B,0))="Buffer","B",IF(INDEX('PROJETO PERFURAÇÃO'!$P:$P,MATCH(MEDIÇÃO!K200,'PROJETO PERFURAÇÃO'!$B:$B,0))="Pre-Splitting","S"))),"")</f>
        <v>P</v>
      </c>
      <c r="K200" s="14">
        <f t="shared" si="19"/>
        <v>447</v>
      </c>
      <c r="L200" s="4" t="str">
        <f>IFERROR(INDEX('LEV R&amp;D'!$D:$D,MATCH(MEDIÇÃO!K200,'LEV R&amp;D'!$A:$A,0))-INDEX('PROJETO PERFURAÇÃO'!$AH:$AH,MATCH(MEDIÇÃO!K200,'PROJETO PERFURAÇÃO'!$B:$B,0)),"")</f>
        <v/>
      </c>
      <c r="M200" s="17">
        <f>IFERROR(INDEX('PROJETO PERFURAÇÃO'!$AN:$AN,MATCH(MEDIÇÃO!K200,'PROJETO PERFURAÇÃO'!$B:$B,0)),"")</f>
        <v>0</v>
      </c>
      <c r="N200" s="3"/>
      <c r="O200" s="3"/>
      <c r="P200" s="3" t="str">
        <f>IFERROR(ROUND(INDEX('PROJETO PERFURAÇÃO'!$AB:$AB,MATCH(MEDIÇÃO!R200,'PROJETO PERFURAÇÃO'!$B:$B,0)),1)&amp;"''","")</f>
        <v>5''</v>
      </c>
      <c r="Q200" s="3" t="str">
        <f>IFERROR(IF(INDEX('PROJETO PERFURAÇÃO'!$P:$P,MATCH(MEDIÇÃO!R200,'PROJETO PERFURAÇÃO'!$B:$B,0))="Production","P",IF(INDEX('PROJETO PERFURAÇÃO'!$P:$P,MATCH(MEDIÇÃO!R200,'PROJETO PERFURAÇÃO'!$B:$B,0))="Buffer","B",IF(INDEX('PROJETO PERFURAÇÃO'!$P:$P,MATCH(MEDIÇÃO!R200,'PROJETO PERFURAÇÃO'!$B:$B,0))="Pre-Splitting","S"))),"")</f>
        <v>P</v>
      </c>
      <c r="R200" s="14">
        <f t="shared" si="20"/>
        <v>470</v>
      </c>
      <c r="S200" s="4" t="str">
        <f>IFERROR(INDEX('LEV R&amp;D'!$D:$D,MATCH(MEDIÇÃO!R200,'LEV R&amp;D'!$A:$A,0))-INDEX('PROJETO PERFURAÇÃO'!$AH:$AH,MATCH(MEDIÇÃO!R200,'PROJETO PERFURAÇÃO'!$B:$B,0)),"")</f>
        <v/>
      </c>
      <c r="T200" s="17">
        <f>IFERROR(INDEX('PROJETO PERFURAÇÃO'!$AN:$AN,MATCH(MEDIÇÃO!R200,'PROJETO PERFURAÇÃO'!$B:$B,0)),"")</f>
        <v>0</v>
      </c>
      <c r="U200" s="3"/>
      <c r="V200" s="3"/>
    </row>
    <row r="201" spans="2:22" ht="45" customHeight="1" x14ac:dyDescent="0.25">
      <c r="B201" s="3" t="str">
        <f>IFERROR(ROUND(INDEX('PROJETO PERFURAÇÃO'!$AB:$AB,MATCH(MEDIÇÃO!D201,'PROJETO PERFURAÇÃO'!$B:$B,0)),1)&amp;"''","")</f>
        <v>5''</v>
      </c>
      <c r="C201" s="3" t="str">
        <f>IFERROR(IF(INDEX('PROJETO PERFURAÇÃO'!$P:$P,MATCH(MEDIÇÃO!D201,'PROJETO PERFURAÇÃO'!$B:$B,0))="Production","P",IF(INDEX('PROJETO PERFURAÇÃO'!$P:$P,MATCH(MEDIÇÃO!D201,'PROJETO PERFURAÇÃO'!$B:$B,0))="Buffer","B",IF(INDEX('PROJETO PERFURAÇÃO'!$P:$P,MATCH(MEDIÇÃO!D201,'PROJETO PERFURAÇÃO'!$B:$B,0))="Pre-Splitting","S"))),"")</f>
        <v>P</v>
      </c>
      <c r="D201" s="14">
        <f t="shared" si="18"/>
        <v>425</v>
      </c>
      <c r="E201" s="4" t="str">
        <f>IFERROR(INDEX('LEV R&amp;D'!$D:$D,MATCH(MEDIÇÃO!D201,'LEV R&amp;D'!$A:$A,0))-INDEX('PROJETO PERFURAÇÃO'!$AH:$AH,MATCH(MEDIÇÃO!D201,'PROJETO PERFURAÇÃO'!$B:$B,0)),"")</f>
        <v/>
      </c>
      <c r="F201" s="17">
        <f>IFERROR(INDEX('PROJETO PERFURAÇÃO'!$AN:$AN,MATCH(MEDIÇÃO!D201,'PROJETO PERFURAÇÃO'!$B:$B,0)),"")</f>
        <v>0</v>
      </c>
      <c r="G201" s="3"/>
      <c r="H201" s="3"/>
      <c r="I201" s="3" t="str">
        <f>IFERROR(ROUND(INDEX('PROJETO PERFURAÇÃO'!$AB:$AB,MATCH(MEDIÇÃO!K201,'PROJETO PERFURAÇÃO'!$B:$B,0)),1)&amp;"''","")</f>
        <v>5''</v>
      </c>
      <c r="J201" s="3" t="str">
        <f>IFERROR(IF(INDEX('PROJETO PERFURAÇÃO'!$P:$P,MATCH(MEDIÇÃO!K201,'PROJETO PERFURAÇÃO'!$B:$B,0))="Production","P",IF(INDEX('PROJETO PERFURAÇÃO'!$P:$P,MATCH(MEDIÇÃO!K201,'PROJETO PERFURAÇÃO'!$B:$B,0))="Buffer","B",IF(INDEX('PROJETO PERFURAÇÃO'!$P:$P,MATCH(MEDIÇÃO!K201,'PROJETO PERFURAÇÃO'!$B:$B,0))="Pre-Splitting","S"))),"")</f>
        <v>P</v>
      </c>
      <c r="K201" s="14">
        <f t="shared" si="19"/>
        <v>448</v>
      </c>
      <c r="L201" s="4" t="str">
        <f>IFERROR(INDEX('LEV R&amp;D'!$D:$D,MATCH(MEDIÇÃO!K201,'LEV R&amp;D'!$A:$A,0))-INDEX('PROJETO PERFURAÇÃO'!$AH:$AH,MATCH(MEDIÇÃO!K201,'PROJETO PERFURAÇÃO'!$B:$B,0)),"")</f>
        <v/>
      </c>
      <c r="M201" s="17">
        <f>IFERROR(INDEX('PROJETO PERFURAÇÃO'!$AN:$AN,MATCH(MEDIÇÃO!K201,'PROJETO PERFURAÇÃO'!$B:$B,0)),"")</f>
        <v>0</v>
      </c>
      <c r="N201" s="3"/>
      <c r="O201" s="3"/>
      <c r="P201" s="3" t="str">
        <f>IFERROR(ROUND(INDEX('PROJETO PERFURAÇÃO'!$AB:$AB,MATCH(MEDIÇÃO!R201,'PROJETO PERFURAÇÃO'!$B:$B,0)),1)&amp;"''","")</f>
        <v>5''</v>
      </c>
      <c r="Q201" s="3" t="str">
        <f>IFERROR(IF(INDEX('PROJETO PERFURAÇÃO'!$P:$P,MATCH(MEDIÇÃO!R201,'PROJETO PERFURAÇÃO'!$B:$B,0))="Production","P",IF(INDEX('PROJETO PERFURAÇÃO'!$P:$P,MATCH(MEDIÇÃO!R201,'PROJETO PERFURAÇÃO'!$B:$B,0))="Buffer","B",IF(INDEX('PROJETO PERFURAÇÃO'!$P:$P,MATCH(MEDIÇÃO!R201,'PROJETO PERFURAÇÃO'!$B:$B,0))="Pre-Splitting","S"))),"")</f>
        <v>P</v>
      </c>
      <c r="R201" s="14">
        <f t="shared" si="20"/>
        <v>471</v>
      </c>
      <c r="S201" s="4" t="str">
        <f>IFERROR(INDEX('LEV R&amp;D'!$D:$D,MATCH(MEDIÇÃO!R201,'LEV R&amp;D'!$A:$A,0))-INDEX('PROJETO PERFURAÇÃO'!$AH:$AH,MATCH(MEDIÇÃO!R201,'PROJETO PERFURAÇÃO'!$B:$B,0)),"")</f>
        <v/>
      </c>
      <c r="T201" s="17">
        <f>IFERROR(INDEX('PROJETO PERFURAÇÃO'!$AN:$AN,MATCH(MEDIÇÃO!R201,'PROJETO PERFURAÇÃO'!$B:$B,0)),"")</f>
        <v>0</v>
      </c>
      <c r="U201" s="3"/>
      <c r="V201" s="3"/>
    </row>
    <row r="202" spans="2:22" ht="45" customHeight="1" x14ac:dyDescent="0.25">
      <c r="B202" s="3" t="str">
        <f>IFERROR(ROUND(INDEX('PROJETO PERFURAÇÃO'!$AB:$AB,MATCH(MEDIÇÃO!D202,'PROJETO PERFURAÇÃO'!$B:$B,0)),1)&amp;"''","")</f>
        <v>5''</v>
      </c>
      <c r="C202" s="3" t="str">
        <f>IFERROR(IF(INDEX('PROJETO PERFURAÇÃO'!$P:$P,MATCH(MEDIÇÃO!D202,'PROJETO PERFURAÇÃO'!$B:$B,0))="Production","P",IF(INDEX('PROJETO PERFURAÇÃO'!$P:$P,MATCH(MEDIÇÃO!D202,'PROJETO PERFURAÇÃO'!$B:$B,0))="Buffer","B",IF(INDEX('PROJETO PERFURAÇÃO'!$P:$P,MATCH(MEDIÇÃO!D202,'PROJETO PERFURAÇÃO'!$B:$B,0))="Pre-Splitting","S"))),"")</f>
        <v>P</v>
      </c>
      <c r="D202" s="14">
        <f t="shared" si="18"/>
        <v>426</v>
      </c>
      <c r="E202" s="4" t="str">
        <f>IFERROR(INDEX('LEV R&amp;D'!$D:$D,MATCH(MEDIÇÃO!D202,'LEV R&amp;D'!$A:$A,0))-INDEX('PROJETO PERFURAÇÃO'!$AH:$AH,MATCH(MEDIÇÃO!D202,'PROJETO PERFURAÇÃO'!$B:$B,0)),"")</f>
        <v/>
      </c>
      <c r="F202" s="17">
        <f>IFERROR(INDEX('PROJETO PERFURAÇÃO'!$AN:$AN,MATCH(MEDIÇÃO!D202,'PROJETO PERFURAÇÃO'!$B:$B,0)),"")</f>
        <v>0</v>
      </c>
      <c r="G202" s="3"/>
      <c r="H202" s="3"/>
      <c r="I202" s="3" t="str">
        <f>IFERROR(ROUND(INDEX('PROJETO PERFURAÇÃO'!$AB:$AB,MATCH(MEDIÇÃO!K202,'PROJETO PERFURAÇÃO'!$B:$B,0)),1)&amp;"''","")</f>
        <v>5''</v>
      </c>
      <c r="J202" s="3" t="str">
        <f>IFERROR(IF(INDEX('PROJETO PERFURAÇÃO'!$P:$P,MATCH(MEDIÇÃO!K202,'PROJETO PERFURAÇÃO'!$B:$B,0))="Production","P",IF(INDEX('PROJETO PERFURAÇÃO'!$P:$P,MATCH(MEDIÇÃO!K202,'PROJETO PERFURAÇÃO'!$B:$B,0))="Buffer","B",IF(INDEX('PROJETO PERFURAÇÃO'!$P:$P,MATCH(MEDIÇÃO!K202,'PROJETO PERFURAÇÃO'!$B:$B,0))="Pre-Splitting","S"))),"")</f>
        <v>P</v>
      </c>
      <c r="K202" s="14">
        <f t="shared" si="19"/>
        <v>449</v>
      </c>
      <c r="L202" s="4" t="str">
        <f>IFERROR(INDEX('LEV R&amp;D'!$D:$D,MATCH(MEDIÇÃO!K202,'LEV R&amp;D'!$A:$A,0))-INDEX('PROJETO PERFURAÇÃO'!$AH:$AH,MATCH(MEDIÇÃO!K202,'PROJETO PERFURAÇÃO'!$B:$B,0)),"")</f>
        <v/>
      </c>
      <c r="M202" s="17">
        <f>IFERROR(INDEX('PROJETO PERFURAÇÃO'!$AN:$AN,MATCH(MEDIÇÃO!K202,'PROJETO PERFURAÇÃO'!$B:$B,0)),"")</f>
        <v>0</v>
      </c>
      <c r="N202" s="3"/>
      <c r="O202" s="3"/>
      <c r="P202" s="3" t="str">
        <f>IFERROR(ROUND(INDEX('PROJETO PERFURAÇÃO'!$AB:$AB,MATCH(MEDIÇÃO!R202,'PROJETO PERFURAÇÃO'!$B:$B,0)),1)&amp;"''","")</f>
        <v>5''</v>
      </c>
      <c r="Q202" s="3" t="str">
        <f>IFERROR(IF(INDEX('PROJETO PERFURAÇÃO'!$P:$P,MATCH(MEDIÇÃO!R202,'PROJETO PERFURAÇÃO'!$B:$B,0))="Production","P",IF(INDEX('PROJETO PERFURAÇÃO'!$P:$P,MATCH(MEDIÇÃO!R202,'PROJETO PERFURAÇÃO'!$B:$B,0))="Buffer","B",IF(INDEX('PROJETO PERFURAÇÃO'!$P:$P,MATCH(MEDIÇÃO!R202,'PROJETO PERFURAÇÃO'!$B:$B,0))="Pre-Splitting","S"))),"")</f>
        <v>P</v>
      </c>
      <c r="R202" s="14">
        <f t="shared" si="20"/>
        <v>472</v>
      </c>
      <c r="S202" s="4" t="str">
        <f>IFERROR(INDEX('LEV R&amp;D'!$D:$D,MATCH(MEDIÇÃO!R202,'LEV R&amp;D'!$A:$A,0))-INDEX('PROJETO PERFURAÇÃO'!$AH:$AH,MATCH(MEDIÇÃO!R202,'PROJETO PERFURAÇÃO'!$B:$B,0)),"")</f>
        <v/>
      </c>
      <c r="T202" s="17">
        <f>IFERROR(INDEX('PROJETO PERFURAÇÃO'!$AN:$AN,MATCH(MEDIÇÃO!R202,'PROJETO PERFURAÇÃO'!$B:$B,0)),"")</f>
        <v>0</v>
      </c>
      <c r="U202" s="3"/>
      <c r="V202" s="3"/>
    </row>
    <row r="203" spans="2:22" ht="45" customHeight="1" x14ac:dyDescent="0.25">
      <c r="B203" s="3" t="str">
        <f>IFERROR(ROUND(INDEX('PROJETO PERFURAÇÃO'!$AB:$AB,MATCH(MEDIÇÃO!D203,'PROJETO PERFURAÇÃO'!$B:$B,0)),1)&amp;"''","")</f>
        <v>5''</v>
      </c>
      <c r="C203" s="3" t="str">
        <f>IFERROR(IF(INDEX('PROJETO PERFURAÇÃO'!$P:$P,MATCH(MEDIÇÃO!D203,'PROJETO PERFURAÇÃO'!$B:$B,0))="Production","P",IF(INDEX('PROJETO PERFURAÇÃO'!$P:$P,MATCH(MEDIÇÃO!D203,'PROJETO PERFURAÇÃO'!$B:$B,0))="Buffer","B",IF(INDEX('PROJETO PERFURAÇÃO'!$P:$P,MATCH(MEDIÇÃO!D203,'PROJETO PERFURAÇÃO'!$B:$B,0))="Pre-Splitting","S"))),"")</f>
        <v>P</v>
      </c>
      <c r="D203" s="14">
        <f t="shared" si="18"/>
        <v>427</v>
      </c>
      <c r="E203" s="4" t="str">
        <f>IFERROR(INDEX('LEV R&amp;D'!$D:$D,MATCH(MEDIÇÃO!D203,'LEV R&amp;D'!$A:$A,0))-INDEX('PROJETO PERFURAÇÃO'!$AH:$AH,MATCH(MEDIÇÃO!D203,'PROJETO PERFURAÇÃO'!$B:$B,0)),"")</f>
        <v/>
      </c>
      <c r="F203" s="17">
        <f>IFERROR(INDEX('PROJETO PERFURAÇÃO'!$AN:$AN,MATCH(MEDIÇÃO!D203,'PROJETO PERFURAÇÃO'!$B:$B,0)),"")</f>
        <v>0</v>
      </c>
      <c r="G203" s="3"/>
      <c r="H203" s="3"/>
      <c r="I203" s="3" t="str">
        <f>IFERROR(ROUND(INDEX('PROJETO PERFURAÇÃO'!$AB:$AB,MATCH(MEDIÇÃO!K203,'PROJETO PERFURAÇÃO'!$B:$B,0)),1)&amp;"''","")</f>
        <v>5''</v>
      </c>
      <c r="J203" s="3" t="str">
        <f>IFERROR(IF(INDEX('PROJETO PERFURAÇÃO'!$P:$P,MATCH(MEDIÇÃO!K203,'PROJETO PERFURAÇÃO'!$B:$B,0))="Production","P",IF(INDEX('PROJETO PERFURAÇÃO'!$P:$P,MATCH(MEDIÇÃO!K203,'PROJETO PERFURAÇÃO'!$B:$B,0))="Buffer","B",IF(INDEX('PROJETO PERFURAÇÃO'!$P:$P,MATCH(MEDIÇÃO!K203,'PROJETO PERFURAÇÃO'!$B:$B,0))="Pre-Splitting","S"))),"")</f>
        <v>P</v>
      </c>
      <c r="K203" s="14">
        <f t="shared" si="19"/>
        <v>450</v>
      </c>
      <c r="L203" s="4" t="str">
        <f>IFERROR(INDEX('LEV R&amp;D'!$D:$D,MATCH(MEDIÇÃO!K203,'LEV R&amp;D'!$A:$A,0))-INDEX('PROJETO PERFURAÇÃO'!$AH:$AH,MATCH(MEDIÇÃO!K203,'PROJETO PERFURAÇÃO'!$B:$B,0)),"")</f>
        <v/>
      </c>
      <c r="M203" s="17">
        <f>IFERROR(INDEX('PROJETO PERFURAÇÃO'!$AN:$AN,MATCH(MEDIÇÃO!K203,'PROJETO PERFURAÇÃO'!$B:$B,0)),"")</f>
        <v>0</v>
      </c>
      <c r="N203" s="3"/>
      <c r="O203" s="3"/>
      <c r="P203" s="3" t="str">
        <f>IFERROR(ROUND(INDEX('PROJETO PERFURAÇÃO'!$AB:$AB,MATCH(MEDIÇÃO!R203,'PROJETO PERFURAÇÃO'!$B:$B,0)),1)&amp;"''","")</f>
        <v>5''</v>
      </c>
      <c r="Q203" s="3" t="str">
        <f>IFERROR(IF(INDEX('PROJETO PERFURAÇÃO'!$P:$P,MATCH(MEDIÇÃO!R203,'PROJETO PERFURAÇÃO'!$B:$B,0))="Production","P",IF(INDEX('PROJETO PERFURAÇÃO'!$P:$P,MATCH(MEDIÇÃO!R203,'PROJETO PERFURAÇÃO'!$B:$B,0))="Buffer","B",IF(INDEX('PROJETO PERFURAÇÃO'!$P:$P,MATCH(MEDIÇÃO!R203,'PROJETO PERFURAÇÃO'!$B:$B,0))="Pre-Splitting","S"))),"")</f>
        <v>P</v>
      </c>
      <c r="R203" s="14">
        <f t="shared" si="20"/>
        <v>473</v>
      </c>
      <c r="S203" s="4" t="str">
        <f>IFERROR(INDEX('LEV R&amp;D'!$D:$D,MATCH(MEDIÇÃO!R203,'LEV R&amp;D'!$A:$A,0))-INDEX('PROJETO PERFURAÇÃO'!$AH:$AH,MATCH(MEDIÇÃO!R203,'PROJETO PERFURAÇÃO'!$B:$B,0)),"")</f>
        <v/>
      </c>
      <c r="T203" s="17">
        <f>IFERROR(INDEX('PROJETO PERFURAÇÃO'!$AN:$AN,MATCH(MEDIÇÃO!R203,'PROJETO PERFURAÇÃO'!$B:$B,0)),"")</f>
        <v>0</v>
      </c>
      <c r="U203" s="3"/>
      <c r="V203" s="3"/>
    </row>
    <row r="204" spans="2:22" ht="45" customHeight="1" x14ac:dyDescent="0.25">
      <c r="B204" s="3" t="str">
        <f>IFERROR(ROUND(INDEX('PROJETO PERFURAÇÃO'!$AB:$AB,MATCH(MEDIÇÃO!D204,'PROJETO PERFURAÇÃO'!$B:$B,0)),1)&amp;"''","")</f>
        <v>5''</v>
      </c>
      <c r="C204" s="3" t="str">
        <f>IFERROR(IF(INDEX('PROJETO PERFURAÇÃO'!$P:$P,MATCH(MEDIÇÃO!D204,'PROJETO PERFURAÇÃO'!$B:$B,0))="Production","P",IF(INDEX('PROJETO PERFURAÇÃO'!$P:$P,MATCH(MEDIÇÃO!D204,'PROJETO PERFURAÇÃO'!$B:$B,0))="Buffer","B",IF(INDEX('PROJETO PERFURAÇÃO'!$P:$P,MATCH(MEDIÇÃO!D204,'PROJETO PERFURAÇÃO'!$B:$B,0))="Pre-Splitting","S"))),"")</f>
        <v>P</v>
      </c>
      <c r="D204" s="14">
        <f t="shared" si="18"/>
        <v>428</v>
      </c>
      <c r="E204" s="4" t="str">
        <f>IFERROR(INDEX('LEV R&amp;D'!$D:$D,MATCH(MEDIÇÃO!D204,'LEV R&amp;D'!$A:$A,0))-INDEX('PROJETO PERFURAÇÃO'!$AH:$AH,MATCH(MEDIÇÃO!D204,'PROJETO PERFURAÇÃO'!$B:$B,0)),"")</f>
        <v/>
      </c>
      <c r="F204" s="17">
        <f>IFERROR(INDEX('PROJETO PERFURAÇÃO'!$AN:$AN,MATCH(MEDIÇÃO!D204,'PROJETO PERFURAÇÃO'!$B:$B,0)),"")</f>
        <v>0</v>
      </c>
      <c r="G204" s="3"/>
      <c r="H204" s="3"/>
      <c r="I204" s="3" t="str">
        <f>IFERROR(ROUND(INDEX('PROJETO PERFURAÇÃO'!$AB:$AB,MATCH(MEDIÇÃO!K204,'PROJETO PERFURAÇÃO'!$B:$B,0)),1)&amp;"''","")</f>
        <v>5''</v>
      </c>
      <c r="J204" s="3" t="str">
        <f>IFERROR(IF(INDEX('PROJETO PERFURAÇÃO'!$P:$P,MATCH(MEDIÇÃO!K204,'PROJETO PERFURAÇÃO'!$B:$B,0))="Production","P",IF(INDEX('PROJETO PERFURAÇÃO'!$P:$P,MATCH(MEDIÇÃO!K204,'PROJETO PERFURAÇÃO'!$B:$B,0))="Buffer","B",IF(INDEX('PROJETO PERFURAÇÃO'!$P:$P,MATCH(MEDIÇÃO!K204,'PROJETO PERFURAÇÃO'!$B:$B,0))="Pre-Splitting","S"))),"")</f>
        <v>P</v>
      </c>
      <c r="K204" s="14">
        <f t="shared" si="19"/>
        <v>451</v>
      </c>
      <c r="L204" s="4" t="str">
        <f>IFERROR(INDEX('LEV R&amp;D'!$D:$D,MATCH(MEDIÇÃO!K204,'LEV R&amp;D'!$A:$A,0))-INDEX('PROJETO PERFURAÇÃO'!$AH:$AH,MATCH(MEDIÇÃO!K204,'PROJETO PERFURAÇÃO'!$B:$B,0)),"")</f>
        <v/>
      </c>
      <c r="M204" s="17">
        <f>IFERROR(INDEX('PROJETO PERFURAÇÃO'!$AN:$AN,MATCH(MEDIÇÃO!K204,'PROJETO PERFURAÇÃO'!$B:$B,0)),"")</f>
        <v>0</v>
      </c>
      <c r="N204" s="3"/>
      <c r="O204" s="3"/>
      <c r="P204" s="3" t="str">
        <f>IFERROR(ROUND(INDEX('PROJETO PERFURAÇÃO'!$AB:$AB,MATCH(MEDIÇÃO!R204,'PROJETO PERFURAÇÃO'!$B:$B,0)),1)&amp;"''","")</f>
        <v>5''</v>
      </c>
      <c r="Q204" s="3" t="str">
        <f>IFERROR(IF(INDEX('PROJETO PERFURAÇÃO'!$P:$P,MATCH(MEDIÇÃO!R204,'PROJETO PERFURAÇÃO'!$B:$B,0))="Production","P",IF(INDEX('PROJETO PERFURAÇÃO'!$P:$P,MATCH(MEDIÇÃO!R204,'PROJETO PERFURAÇÃO'!$B:$B,0))="Buffer","B",IF(INDEX('PROJETO PERFURAÇÃO'!$P:$P,MATCH(MEDIÇÃO!R204,'PROJETO PERFURAÇÃO'!$B:$B,0))="Pre-Splitting","S"))),"")</f>
        <v>P</v>
      </c>
      <c r="R204" s="14">
        <f t="shared" si="20"/>
        <v>474</v>
      </c>
      <c r="S204" s="4" t="str">
        <f>IFERROR(INDEX('LEV R&amp;D'!$D:$D,MATCH(MEDIÇÃO!R204,'LEV R&amp;D'!$A:$A,0))-INDEX('PROJETO PERFURAÇÃO'!$AH:$AH,MATCH(MEDIÇÃO!R204,'PROJETO PERFURAÇÃO'!$B:$B,0)),"")</f>
        <v/>
      </c>
      <c r="T204" s="17">
        <f>IFERROR(INDEX('PROJETO PERFURAÇÃO'!$AN:$AN,MATCH(MEDIÇÃO!R204,'PROJETO PERFURAÇÃO'!$B:$B,0)),"")</f>
        <v>0</v>
      </c>
      <c r="U204" s="3"/>
      <c r="V204" s="3"/>
    </row>
    <row r="205" spans="2:22" ht="45" customHeight="1" x14ac:dyDescent="0.25">
      <c r="B205" s="3" t="str">
        <f>IFERROR(ROUND(INDEX('PROJETO PERFURAÇÃO'!$AB:$AB,MATCH(MEDIÇÃO!D205,'PROJETO PERFURAÇÃO'!$B:$B,0)),1)&amp;"''","")</f>
        <v>5''</v>
      </c>
      <c r="C205" s="3" t="str">
        <f>IFERROR(IF(INDEX('PROJETO PERFURAÇÃO'!$P:$P,MATCH(MEDIÇÃO!D205,'PROJETO PERFURAÇÃO'!$B:$B,0))="Production","P",IF(INDEX('PROJETO PERFURAÇÃO'!$P:$P,MATCH(MEDIÇÃO!D205,'PROJETO PERFURAÇÃO'!$B:$B,0))="Buffer","B",IF(INDEX('PROJETO PERFURAÇÃO'!$P:$P,MATCH(MEDIÇÃO!D205,'PROJETO PERFURAÇÃO'!$B:$B,0))="Pre-Splitting","S"))),"")</f>
        <v>P</v>
      </c>
      <c r="D205" s="14">
        <f t="shared" si="18"/>
        <v>429</v>
      </c>
      <c r="E205" s="4" t="str">
        <f>IFERROR(INDEX('LEV R&amp;D'!$D:$D,MATCH(MEDIÇÃO!D205,'LEV R&amp;D'!$A:$A,0))-INDEX('PROJETO PERFURAÇÃO'!$AH:$AH,MATCH(MEDIÇÃO!D205,'PROJETO PERFURAÇÃO'!$B:$B,0)),"")</f>
        <v/>
      </c>
      <c r="F205" s="17">
        <f>IFERROR(INDEX('PROJETO PERFURAÇÃO'!$AN:$AN,MATCH(MEDIÇÃO!D205,'PROJETO PERFURAÇÃO'!$B:$B,0)),"")</f>
        <v>0</v>
      </c>
      <c r="G205" s="3"/>
      <c r="H205" s="3"/>
      <c r="I205" s="3" t="str">
        <f>IFERROR(ROUND(INDEX('PROJETO PERFURAÇÃO'!$AB:$AB,MATCH(MEDIÇÃO!K205,'PROJETO PERFURAÇÃO'!$B:$B,0)),1)&amp;"''","")</f>
        <v>5''</v>
      </c>
      <c r="J205" s="3" t="str">
        <f>IFERROR(IF(INDEX('PROJETO PERFURAÇÃO'!$P:$P,MATCH(MEDIÇÃO!K205,'PROJETO PERFURAÇÃO'!$B:$B,0))="Production","P",IF(INDEX('PROJETO PERFURAÇÃO'!$P:$P,MATCH(MEDIÇÃO!K205,'PROJETO PERFURAÇÃO'!$B:$B,0))="Buffer","B",IF(INDEX('PROJETO PERFURAÇÃO'!$P:$P,MATCH(MEDIÇÃO!K205,'PROJETO PERFURAÇÃO'!$B:$B,0))="Pre-Splitting","S"))),"")</f>
        <v>P</v>
      </c>
      <c r="K205" s="14">
        <f t="shared" si="19"/>
        <v>452</v>
      </c>
      <c r="L205" s="4" t="str">
        <f>IFERROR(INDEX('LEV R&amp;D'!$D:$D,MATCH(MEDIÇÃO!K205,'LEV R&amp;D'!$A:$A,0))-INDEX('PROJETO PERFURAÇÃO'!$AH:$AH,MATCH(MEDIÇÃO!K205,'PROJETO PERFURAÇÃO'!$B:$B,0)),"")</f>
        <v/>
      </c>
      <c r="M205" s="17">
        <f>IFERROR(INDEX('PROJETO PERFURAÇÃO'!$AN:$AN,MATCH(MEDIÇÃO!K205,'PROJETO PERFURAÇÃO'!$B:$B,0)),"")</f>
        <v>0</v>
      </c>
      <c r="N205" s="3"/>
      <c r="O205" s="3"/>
      <c r="P205" s="3" t="str">
        <f>IFERROR(ROUND(INDEX('PROJETO PERFURAÇÃO'!$AB:$AB,MATCH(MEDIÇÃO!R205,'PROJETO PERFURAÇÃO'!$B:$B,0)),1)&amp;"''","")</f>
        <v>5''</v>
      </c>
      <c r="Q205" s="3" t="str">
        <f>IFERROR(IF(INDEX('PROJETO PERFURAÇÃO'!$P:$P,MATCH(MEDIÇÃO!R205,'PROJETO PERFURAÇÃO'!$B:$B,0))="Production","P",IF(INDEX('PROJETO PERFURAÇÃO'!$P:$P,MATCH(MEDIÇÃO!R205,'PROJETO PERFURAÇÃO'!$B:$B,0))="Buffer","B",IF(INDEX('PROJETO PERFURAÇÃO'!$P:$P,MATCH(MEDIÇÃO!R205,'PROJETO PERFURAÇÃO'!$B:$B,0))="Pre-Splitting","S"))),"")</f>
        <v>P</v>
      </c>
      <c r="R205" s="14">
        <f t="shared" si="20"/>
        <v>475</v>
      </c>
      <c r="S205" s="4" t="str">
        <f>IFERROR(INDEX('LEV R&amp;D'!$D:$D,MATCH(MEDIÇÃO!R205,'LEV R&amp;D'!$A:$A,0))-INDEX('PROJETO PERFURAÇÃO'!$AH:$AH,MATCH(MEDIÇÃO!R205,'PROJETO PERFURAÇÃO'!$B:$B,0)),"")</f>
        <v/>
      </c>
      <c r="T205" s="17">
        <f>IFERROR(INDEX('PROJETO PERFURAÇÃO'!$AN:$AN,MATCH(MEDIÇÃO!R205,'PROJETO PERFURAÇÃO'!$B:$B,0)),"")</f>
        <v>0</v>
      </c>
      <c r="U205" s="3"/>
      <c r="V205" s="3"/>
    </row>
    <row r="206" spans="2:22" ht="45" customHeight="1" x14ac:dyDescent="0.25">
      <c r="B206" s="3" t="str">
        <f>IFERROR(ROUND(INDEX('PROJETO PERFURAÇÃO'!$AB:$AB,MATCH(MEDIÇÃO!D206,'PROJETO PERFURAÇÃO'!$B:$B,0)),1)&amp;"''","")</f>
        <v>5''</v>
      </c>
      <c r="C206" s="3" t="str">
        <f>IFERROR(IF(INDEX('PROJETO PERFURAÇÃO'!$P:$P,MATCH(MEDIÇÃO!D206,'PROJETO PERFURAÇÃO'!$B:$B,0))="Production","P",IF(INDEX('PROJETO PERFURAÇÃO'!$P:$P,MATCH(MEDIÇÃO!D206,'PROJETO PERFURAÇÃO'!$B:$B,0))="Buffer","B",IF(INDEX('PROJETO PERFURAÇÃO'!$P:$P,MATCH(MEDIÇÃO!D206,'PROJETO PERFURAÇÃO'!$B:$B,0))="Pre-Splitting","S"))),"")</f>
        <v>P</v>
      </c>
      <c r="D206" s="14">
        <f t="shared" si="18"/>
        <v>430</v>
      </c>
      <c r="E206" s="4" t="str">
        <f>IFERROR(INDEX('LEV R&amp;D'!$D:$D,MATCH(MEDIÇÃO!D206,'LEV R&amp;D'!$A:$A,0))-INDEX('PROJETO PERFURAÇÃO'!$AH:$AH,MATCH(MEDIÇÃO!D206,'PROJETO PERFURAÇÃO'!$B:$B,0)),"")</f>
        <v/>
      </c>
      <c r="F206" s="17">
        <f>IFERROR(INDEX('PROJETO PERFURAÇÃO'!$AN:$AN,MATCH(MEDIÇÃO!D206,'PROJETO PERFURAÇÃO'!$B:$B,0)),"")</f>
        <v>0</v>
      </c>
      <c r="G206" s="3"/>
      <c r="H206" s="3"/>
      <c r="I206" s="3" t="str">
        <f>IFERROR(ROUND(INDEX('PROJETO PERFURAÇÃO'!$AB:$AB,MATCH(MEDIÇÃO!K206,'PROJETO PERFURAÇÃO'!$B:$B,0)),1)&amp;"''","")</f>
        <v>5''</v>
      </c>
      <c r="J206" s="3" t="str">
        <f>IFERROR(IF(INDEX('PROJETO PERFURAÇÃO'!$P:$P,MATCH(MEDIÇÃO!K206,'PROJETO PERFURAÇÃO'!$B:$B,0))="Production","P",IF(INDEX('PROJETO PERFURAÇÃO'!$P:$P,MATCH(MEDIÇÃO!K206,'PROJETO PERFURAÇÃO'!$B:$B,0))="Buffer","B",IF(INDEX('PROJETO PERFURAÇÃO'!$P:$P,MATCH(MEDIÇÃO!K206,'PROJETO PERFURAÇÃO'!$B:$B,0))="Pre-Splitting","S"))),"")</f>
        <v>P</v>
      </c>
      <c r="K206" s="14">
        <f t="shared" si="19"/>
        <v>453</v>
      </c>
      <c r="L206" s="4" t="str">
        <f>IFERROR(INDEX('LEV R&amp;D'!$D:$D,MATCH(MEDIÇÃO!K206,'LEV R&amp;D'!$A:$A,0))-INDEX('PROJETO PERFURAÇÃO'!$AH:$AH,MATCH(MEDIÇÃO!K206,'PROJETO PERFURAÇÃO'!$B:$B,0)),"")</f>
        <v/>
      </c>
      <c r="M206" s="17">
        <f>IFERROR(INDEX('PROJETO PERFURAÇÃO'!$AN:$AN,MATCH(MEDIÇÃO!K206,'PROJETO PERFURAÇÃO'!$B:$B,0)),"")</f>
        <v>0</v>
      </c>
      <c r="N206" s="3"/>
      <c r="O206" s="3"/>
      <c r="P206" s="3" t="str">
        <f>IFERROR(ROUND(INDEX('PROJETO PERFURAÇÃO'!$AB:$AB,MATCH(MEDIÇÃO!R206,'PROJETO PERFURAÇÃO'!$B:$B,0)),1)&amp;"''","")</f>
        <v>5''</v>
      </c>
      <c r="Q206" s="3" t="str">
        <f>IFERROR(IF(INDEX('PROJETO PERFURAÇÃO'!$P:$P,MATCH(MEDIÇÃO!R206,'PROJETO PERFURAÇÃO'!$B:$B,0))="Production","P",IF(INDEX('PROJETO PERFURAÇÃO'!$P:$P,MATCH(MEDIÇÃO!R206,'PROJETO PERFURAÇÃO'!$B:$B,0))="Buffer","B",IF(INDEX('PROJETO PERFURAÇÃO'!$P:$P,MATCH(MEDIÇÃO!R206,'PROJETO PERFURAÇÃO'!$B:$B,0))="Pre-Splitting","S"))),"")</f>
        <v>P</v>
      </c>
      <c r="R206" s="14">
        <f t="shared" si="20"/>
        <v>476</v>
      </c>
      <c r="S206" s="4" t="str">
        <f>IFERROR(INDEX('LEV R&amp;D'!$D:$D,MATCH(MEDIÇÃO!R206,'LEV R&amp;D'!$A:$A,0))-INDEX('PROJETO PERFURAÇÃO'!$AH:$AH,MATCH(MEDIÇÃO!R206,'PROJETO PERFURAÇÃO'!$B:$B,0)),"")</f>
        <v/>
      </c>
      <c r="T206" s="17">
        <f>IFERROR(INDEX('PROJETO PERFURAÇÃO'!$AN:$AN,MATCH(MEDIÇÃO!R206,'PROJETO PERFURAÇÃO'!$B:$B,0)),"")</f>
        <v>0</v>
      </c>
      <c r="U206" s="3"/>
      <c r="V206" s="3"/>
    </row>
    <row r="207" spans="2:22" ht="45" customHeight="1" x14ac:dyDescent="0.25">
      <c r="B207" s="3" t="str">
        <f>IFERROR(ROUND(INDEX('PROJETO PERFURAÇÃO'!$AB:$AB,MATCH(MEDIÇÃO!D207,'PROJETO PERFURAÇÃO'!$B:$B,0)),1)&amp;"''","")</f>
        <v>5''</v>
      </c>
      <c r="C207" s="3" t="str">
        <f>IFERROR(IF(INDEX('PROJETO PERFURAÇÃO'!$P:$P,MATCH(MEDIÇÃO!D207,'PROJETO PERFURAÇÃO'!$B:$B,0))="Production","P",IF(INDEX('PROJETO PERFURAÇÃO'!$P:$P,MATCH(MEDIÇÃO!D207,'PROJETO PERFURAÇÃO'!$B:$B,0))="Buffer","B",IF(INDEX('PROJETO PERFURAÇÃO'!$P:$P,MATCH(MEDIÇÃO!D207,'PROJETO PERFURAÇÃO'!$B:$B,0))="Pre-Splitting","S"))),"")</f>
        <v>P</v>
      </c>
      <c r="D207" s="14">
        <f t="shared" si="18"/>
        <v>431</v>
      </c>
      <c r="E207" s="4" t="str">
        <f>IFERROR(INDEX('LEV R&amp;D'!$D:$D,MATCH(MEDIÇÃO!D207,'LEV R&amp;D'!$A:$A,0))-INDEX('PROJETO PERFURAÇÃO'!$AH:$AH,MATCH(MEDIÇÃO!D207,'PROJETO PERFURAÇÃO'!$B:$B,0)),"")</f>
        <v/>
      </c>
      <c r="F207" s="17">
        <f>IFERROR(INDEX('PROJETO PERFURAÇÃO'!$AN:$AN,MATCH(MEDIÇÃO!D207,'PROJETO PERFURAÇÃO'!$B:$B,0)),"")</f>
        <v>0</v>
      </c>
      <c r="G207" s="3"/>
      <c r="H207" s="3"/>
      <c r="I207" s="3" t="str">
        <f>IFERROR(ROUND(INDEX('PROJETO PERFURAÇÃO'!$AB:$AB,MATCH(MEDIÇÃO!K207,'PROJETO PERFURAÇÃO'!$B:$B,0)),1)&amp;"''","")</f>
        <v>5''</v>
      </c>
      <c r="J207" s="3" t="str">
        <f>IFERROR(IF(INDEX('PROJETO PERFURAÇÃO'!$P:$P,MATCH(MEDIÇÃO!K207,'PROJETO PERFURAÇÃO'!$B:$B,0))="Production","P",IF(INDEX('PROJETO PERFURAÇÃO'!$P:$P,MATCH(MEDIÇÃO!K207,'PROJETO PERFURAÇÃO'!$B:$B,0))="Buffer","B",IF(INDEX('PROJETO PERFURAÇÃO'!$P:$P,MATCH(MEDIÇÃO!K207,'PROJETO PERFURAÇÃO'!$B:$B,0))="Pre-Splitting","S"))),"")</f>
        <v>P</v>
      </c>
      <c r="K207" s="14">
        <f t="shared" si="19"/>
        <v>454</v>
      </c>
      <c r="L207" s="4" t="str">
        <f>IFERROR(INDEX('LEV R&amp;D'!$D:$D,MATCH(MEDIÇÃO!K207,'LEV R&amp;D'!$A:$A,0))-INDEX('PROJETO PERFURAÇÃO'!$AH:$AH,MATCH(MEDIÇÃO!K207,'PROJETO PERFURAÇÃO'!$B:$B,0)),"")</f>
        <v/>
      </c>
      <c r="M207" s="17">
        <f>IFERROR(INDEX('PROJETO PERFURAÇÃO'!$AN:$AN,MATCH(MEDIÇÃO!K207,'PROJETO PERFURAÇÃO'!$B:$B,0)),"")</f>
        <v>0</v>
      </c>
      <c r="N207" s="3"/>
      <c r="O207" s="3"/>
      <c r="P207" s="3" t="str">
        <f>IFERROR(ROUND(INDEX('PROJETO PERFURAÇÃO'!$AB:$AB,MATCH(MEDIÇÃO!R207,'PROJETO PERFURAÇÃO'!$B:$B,0)),1)&amp;"''","")</f>
        <v>5''</v>
      </c>
      <c r="Q207" s="3" t="str">
        <f>IFERROR(IF(INDEX('PROJETO PERFURAÇÃO'!$P:$P,MATCH(MEDIÇÃO!R207,'PROJETO PERFURAÇÃO'!$B:$B,0))="Production","P",IF(INDEX('PROJETO PERFURAÇÃO'!$P:$P,MATCH(MEDIÇÃO!R207,'PROJETO PERFURAÇÃO'!$B:$B,0))="Buffer","B",IF(INDEX('PROJETO PERFURAÇÃO'!$P:$P,MATCH(MEDIÇÃO!R207,'PROJETO PERFURAÇÃO'!$B:$B,0))="Pre-Splitting","S"))),"")</f>
        <v>P</v>
      </c>
      <c r="R207" s="14">
        <f t="shared" si="20"/>
        <v>477</v>
      </c>
      <c r="S207" s="4" t="str">
        <f>IFERROR(INDEX('LEV R&amp;D'!$D:$D,MATCH(MEDIÇÃO!R207,'LEV R&amp;D'!$A:$A,0))-INDEX('PROJETO PERFURAÇÃO'!$AH:$AH,MATCH(MEDIÇÃO!R207,'PROJETO PERFURAÇÃO'!$B:$B,0)),"")</f>
        <v/>
      </c>
      <c r="T207" s="17">
        <f>IFERROR(INDEX('PROJETO PERFURAÇÃO'!$AN:$AN,MATCH(MEDIÇÃO!R207,'PROJETO PERFURAÇÃO'!$B:$B,0)),"")</f>
        <v>0</v>
      </c>
      <c r="U207" s="3"/>
      <c r="V207" s="3"/>
    </row>
    <row r="208" spans="2:22" ht="45" customHeight="1" x14ac:dyDescent="0.25">
      <c r="B208" s="3" t="str">
        <f>IFERROR(ROUND(INDEX('PROJETO PERFURAÇÃO'!$AB:$AB,MATCH(MEDIÇÃO!D208,'PROJETO PERFURAÇÃO'!$B:$B,0)),1)&amp;"''","")</f>
        <v>5''</v>
      </c>
      <c r="C208" s="3" t="str">
        <f>IFERROR(IF(INDEX('PROJETO PERFURAÇÃO'!$P:$P,MATCH(MEDIÇÃO!D208,'PROJETO PERFURAÇÃO'!$B:$B,0))="Production","P",IF(INDEX('PROJETO PERFURAÇÃO'!$P:$P,MATCH(MEDIÇÃO!D208,'PROJETO PERFURAÇÃO'!$B:$B,0))="Buffer","B",IF(INDEX('PROJETO PERFURAÇÃO'!$P:$P,MATCH(MEDIÇÃO!D208,'PROJETO PERFURAÇÃO'!$B:$B,0))="Pre-Splitting","S"))),"")</f>
        <v>P</v>
      </c>
      <c r="D208" s="14">
        <f t="shared" si="18"/>
        <v>432</v>
      </c>
      <c r="E208" s="4" t="str">
        <f>IFERROR(INDEX('LEV R&amp;D'!$D:$D,MATCH(MEDIÇÃO!D208,'LEV R&amp;D'!$A:$A,0))-INDEX('PROJETO PERFURAÇÃO'!$AH:$AH,MATCH(MEDIÇÃO!D208,'PROJETO PERFURAÇÃO'!$B:$B,0)),"")</f>
        <v/>
      </c>
      <c r="F208" s="17">
        <f>IFERROR(INDEX('PROJETO PERFURAÇÃO'!$AN:$AN,MATCH(MEDIÇÃO!D208,'PROJETO PERFURAÇÃO'!$B:$B,0)),"")</f>
        <v>0</v>
      </c>
      <c r="G208" s="3"/>
      <c r="H208" s="3"/>
      <c r="I208" s="3" t="str">
        <f>IFERROR(ROUND(INDEX('PROJETO PERFURAÇÃO'!$AB:$AB,MATCH(MEDIÇÃO!K208,'PROJETO PERFURAÇÃO'!$B:$B,0)),1)&amp;"''","")</f>
        <v>5''</v>
      </c>
      <c r="J208" s="3" t="str">
        <f>IFERROR(IF(INDEX('PROJETO PERFURAÇÃO'!$P:$P,MATCH(MEDIÇÃO!K208,'PROJETO PERFURAÇÃO'!$B:$B,0))="Production","P",IF(INDEX('PROJETO PERFURAÇÃO'!$P:$P,MATCH(MEDIÇÃO!K208,'PROJETO PERFURAÇÃO'!$B:$B,0))="Buffer","B",IF(INDEX('PROJETO PERFURAÇÃO'!$P:$P,MATCH(MEDIÇÃO!K208,'PROJETO PERFURAÇÃO'!$B:$B,0))="Pre-Splitting","S"))),"")</f>
        <v>P</v>
      </c>
      <c r="K208" s="14">
        <f t="shared" si="19"/>
        <v>455</v>
      </c>
      <c r="L208" s="4" t="str">
        <f>IFERROR(INDEX('LEV R&amp;D'!$D:$D,MATCH(MEDIÇÃO!K208,'LEV R&amp;D'!$A:$A,0))-INDEX('PROJETO PERFURAÇÃO'!$AH:$AH,MATCH(MEDIÇÃO!K208,'PROJETO PERFURAÇÃO'!$B:$B,0)),"")</f>
        <v/>
      </c>
      <c r="M208" s="17">
        <f>IFERROR(INDEX('PROJETO PERFURAÇÃO'!$AN:$AN,MATCH(MEDIÇÃO!K208,'PROJETO PERFURAÇÃO'!$B:$B,0)),"")</f>
        <v>0</v>
      </c>
      <c r="N208" s="3"/>
      <c r="O208" s="3"/>
      <c r="P208" s="3" t="str">
        <f>IFERROR(ROUND(INDEX('PROJETO PERFURAÇÃO'!$AB:$AB,MATCH(MEDIÇÃO!R208,'PROJETO PERFURAÇÃO'!$B:$B,0)),1)&amp;"''","")</f>
        <v>5''</v>
      </c>
      <c r="Q208" s="3" t="str">
        <f>IFERROR(IF(INDEX('PROJETO PERFURAÇÃO'!$P:$P,MATCH(MEDIÇÃO!R208,'PROJETO PERFURAÇÃO'!$B:$B,0))="Production","P",IF(INDEX('PROJETO PERFURAÇÃO'!$P:$P,MATCH(MEDIÇÃO!R208,'PROJETO PERFURAÇÃO'!$B:$B,0))="Buffer","B",IF(INDEX('PROJETO PERFURAÇÃO'!$P:$P,MATCH(MEDIÇÃO!R208,'PROJETO PERFURAÇÃO'!$B:$B,0))="Pre-Splitting","S"))),"")</f>
        <v>P</v>
      </c>
      <c r="R208" s="14">
        <f t="shared" si="20"/>
        <v>478</v>
      </c>
      <c r="S208" s="4" t="str">
        <f>IFERROR(INDEX('LEV R&amp;D'!$D:$D,MATCH(MEDIÇÃO!R208,'LEV R&amp;D'!$A:$A,0))-INDEX('PROJETO PERFURAÇÃO'!$AH:$AH,MATCH(MEDIÇÃO!R208,'PROJETO PERFURAÇÃO'!$B:$B,0)),"")</f>
        <v/>
      </c>
      <c r="T208" s="17">
        <f>IFERROR(INDEX('PROJETO PERFURAÇÃO'!$AN:$AN,MATCH(MEDIÇÃO!R208,'PROJETO PERFURAÇÃO'!$B:$B,0)),"")</f>
        <v>0</v>
      </c>
      <c r="U208" s="3"/>
      <c r="V208" s="3"/>
    </row>
    <row r="209" spans="1:23" ht="45" customHeight="1" x14ac:dyDescent="0.25">
      <c r="B209" s="3" t="str">
        <f>IFERROR(ROUND(INDEX('PROJETO PERFURAÇÃO'!$AB:$AB,MATCH(MEDIÇÃO!D209,'PROJETO PERFURAÇÃO'!$B:$B,0)),1)&amp;"''","")</f>
        <v>5''</v>
      </c>
      <c r="C209" s="3" t="str">
        <f>IFERROR(IF(INDEX('PROJETO PERFURAÇÃO'!$P:$P,MATCH(MEDIÇÃO!D209,'PROJETO PERFURAÇÃO'!$B:$B,0))="Production","P",IF(INDEX('PROJETO PERFURAÇÃO'!$P:$P,MATCH(MEDIÇÃO!D209,'PROJETO PERFURAÇÃO'!$B:$B,0))="Buffer","B",IF(INDEX('PROJETO PERFURAÇÃO'!$P:$P,MATCH(MEDIÇÃO!D209,'PROJETO PERFURAÇÃO'!$B:$B,0))="Pre-Splitting","S"))),"")</f>
        <v>P</v>
      </c>
      <c r="D209" s="14">
        <f t="shared" si="18"/>
        <v>433</v>
      </c>
      <c r="E209" s="4" t="str">
        <f>IFERROR(INDEX('LEV R&amp;D'!$D:$D,MATCH(MEDIÇÃO!D209,'LEV R&amp;D'!$A:$A,0))-INDEX('PROJETO PERFURAÇÃO'!$AH:$AH,MATCH(MEDIÇÃO!D209,'PROJETO PERFURAÇÃO'!$B:$B,0)),"")</f>
        <v/>
      </c>
      <c r="F209" s="17">
        <f>IFERROR(INDEX('PROJETO PERFURAÇÃO'!$AN:$AN,MATCH(MEDIÇÃO!D209,'PROJETO PERFURAÇÃO'!$B:$B,0)),"")</f>
        <v>0</v>
      </c>
      <c r="G209" s="3"/>
      <c r="H209" s="3"/>
      <c r="I209" s="3" t="str">
        <f>IFERROR(ROUND(INDEX('PROJETO PERFURAÇÃO'!$AB:$AB,MATCH(MEDIÇÃO!K209,'PROJETO PERFURAÇÃO'!$B:$B,0)),1)&amp;"''","")</f>
        <v>5''</v>
      </c>
      <c r="J209" s="3" t="str">
        <f>IFERROR(IF(INDEX('PROJETO PERFURAÇÃO'!$P:$P,MATCH(MEDIÇÃO!K209,'PROJETO PERFURAÇÃO'!$B:$B,0))="Production","P",IF(INDEX('PROJETO PERFURAÇÃO'!$P:$P,MATCH(MEDIÇÃO!K209,'PROJETO PERFURAÇÃO'!$B:$B,0))="Buffer","B",IF(INDEX('PROJETO PERFURAÇÃO'!$P:$P,MATCH(MEDIÇÃO!K209,'PROJETO PERFURAÇÃO'!$B:$B,0))="Pre-Splitting","S"))),"")</f>
        <v>P</v>
      </c>
      <c r="K209" s="14">
        <f t="shared" si="19"/>
        <v>456</v>
      </c>
      <c r="L209" s="4" t="str">
        <f>IFERROR(INDEX('LEV R&amp;D'!$D:$D,MATCH(MEDIÇÃO!K209,'LEV R&amp;D'!$A:$A,0))-INDEX('PROJETO PERFURAÇÃO'!$AH:$AH,MATCH(MEDIÇÃO!K209,'PROJETO PERFURAÇÃO'!$B:$B,0)),"")</f>
        <v/>
      </c>
      <c r="M209" s="17">
        <f>IFERROR(INDEX('PROJETO PERFURAÇÃO'!$AN:$AN,MATCH(MEDIÇÃO!K209,'PROJETO PERFURAÇÃO'!$B:$B,0)),"")</f>
        <v>0</v>
      </c>
      <c r="N209" s="3"/>
      <c r="O209" s="3"/>
      <c r="P209" s="3" t="str">
        <f>IFERROR(ROUND(INDEX('PROJETO PERFURAÇÃO'!$AB:$AB,MATCH(MEDIÇÃO!R209,'PROJETO PERFURAÇÃO'!$B:$B,0)),1)&amp;"''","")</f>
        <v>5''</v>
      </c>
      <c r="Q209" s="3" t="str">
        <f>IFERROR(IF(INDEX('PROJETO PERFURAÇÃO'!$P:$P,MATCH(MEDIÇÃO!R209,'PROJETO PERFURAÇÃO'!$B:$B,0))="Production","P",IF(INDEX('PROJETO PERFURAÇÃO'!$P:$P,MATCH(MEDIÇÃO!R209,'PROJETO PERFURAÇÃO'!$B:$B,0))="Buffer","B",IF(INDEX('PROJETO PERFURAÇÃO'!$P:$P,MATCH(MEDIÇÃO!R209,'PROJETO PERFURAÇÃO'!$B:$B,0))="Pre-Splitting","S"))),"")</f>
        <v>P</v>
      </c>
      <c r="R209" s="14">
        <f t="shared" si="20"/>
        <v>479</v>
      </c>
      <c r="S209" s="4" t="str">
        <f>IFERROR(INDEX('LEV R&amp;D'!$D:$D,MATCH(MEDIÇÃO!R209,'LEV R&amp;D'!$A:$A,0))-INDEX('PROJETO PERFURAÇÃO'!$AH:$AH,MATCH(MEDIÇÃO!R209,'PROJETO PERFURAÇÃO'!$B:$B,0)),"")</f>
        <v/>
      </c>
      <c r="T209" s="17">
        <f>IFERROR(INDEX('PROJETO PERFURAÇÃO'!$AN:$AN,MATCH(MEDIÇÃO!R209,'PROJETO PERFURAÇÃO'!$B:$B,0)),"")</f>
        <v>0</v>
      </c>
      <c r="U209" s="3"/>
      <c r="V209" s="3"/>
    </row>
    <row r="210" spans="1:23" ht="45" customHeight="1" x14ac:dyDescent="0.25">
      <c r="B210" s="3" t="str">
        <f>IFERROR(ROUND(INDEX('PROJETO PERFURAÇÃO'!$AB:$AB,MATCH(MEDIÇÃO!D210,'PROJETO PERFURAÇÃO'!$B:$B,0)),1)&amp;"''","")</f>
        <v>5''</v>
      </c>
      <c r="C210" s="3" t="str">
        <f>IFERROR(IF(INDEX('PROJETO PERFURAÇÃO'!$P:$P,MATCH(MEDIÇÃO!D210,'PROJETO PERFURAÇÃO'!$B:$B,0))="Production","P",IF(INDEX('PROJETO PERFURAÇÃO'!$P:$P,MATCH(MEDIÇÃO!D210,'PROJETO PERFURAÇÃO'!$B:$B,0))="Buffer","B",IF(INDEX('PROJETO PERFURAÇÃO'!$P:$P,MATCH(MEDIÇÃO!D210,'PROJETO PERFURAÇÃO'!$B:$B,0))="Pre-Splitting","S"))),"")</f>
        <v>P</v>
      </c>
      <c r="D210" s="14">
        <f t="shared" si="18"/>
        <v>434</v>
      </c>
      <c r="E210" s="4" t="str">
        <f>IFERROR(INDEX('LEV R&amp;D'!$D:$D,MATCH(MEDIÇÃO!D210,'LEV R&amp;D'!$A:$A,0))-INDEX('PROJETO PERFURAÇÃO'!$AH:$AH,MATCH(MEDIÇÃO!D210,'PROJETO PERFURAÇÃO'!$B:$B,0)),"")</f>
        <v/>
      </c>
      <c r="F210" s="17">
        <f>IFERROR(INDEX('PROJETO PERFURAÇÃO'!$AN:$AN,MATCH(MEDIÇÃO!D210,'PROJETO PERFURAÇÃO'!$B:$B,0)),"")</f>
        <v>0</v>
      </c>
      <c r="G210" s="3"/>
      <c r="H210" s="3"/>
      <c r="I210" s="3" t="str">
        <f>IFERROR(ROUND(INDEX('PROJETO PERFURAÇÃO'!$AB:$AB,MATCH(MEDIÇÃO!K210,'PROJETO PERFURAÇÃO'!$B:$B,0)),1)&amp;"''","")</f>
        <v>5''</v>
      </c>
      <c r="J210" s="3" t="str">
        <f>IFERROR(IF(INDEX('PROJETO PERFURAÇÃO'!$P:$P,MATCH(MEDIÇÃO!K210,'PROJETO PERFURAÇÃO'!$B:$B,0))="Production","P",IF(INDEX('PROJETO PERFURAÇÃO'!$P:$P,MATCH(MEDIÇÃO!K210,'PROJETO PERFURAÇÃO'!$B:$B,0))="Buffer","B",IF(INDEX('PROJETO PERFURAÇÃO'!$P:$P,MATCH(MEDIÇÃO!K210,'PROJETO PERFURAÇÃO'!$B:$B,0))="Pre-Splitting","S"))),"")</f>
        <v>P</v>
      </c>
      <c r="K210" s="14">
        <f t="shared" si="19"/>
        <v>457</v>
      </c>
      <c r="L210" s="4" t="str">
        <f>IFERROR(INDEX('LEV R&amp;D'!$D:$D,MATCH(MEDIÇÃO!K210,'LEV R&amp;D'!$A:$A,0))-INDEX('PROJETO PERFURAÇÃO'!$AH:$AH,MATCH(MEDIÇÃO!K210,'PROJETO PERFURAÇÃO'!$B:$B,0)),"")</f>
        <v/>
      </c>
      <c r="M210" s="17">
        <f>IFERROR(INDEX('PROJETO PERFURAÇÃO'!$AN:$AN,MATCH(MEDIÇÃO!K210,'PROJETO PERFURAÇÃO'!$B:$B,0)),"")</f>
        <v>0</v>
      </c>
      <c r="N210" s="3"/>
      <c r="O210" s="3"/>
      <c r="P210" s="3" t="str">
        <f>IFERROR(ROUND(INDEX('PROJETO PERFURAÇÃO'!$AB:$AB,MATCH(MEDIÇÃO!R210,'PROJETO PERFURAÇÃO'!$B:$B,0)),1)&amp;"''","")</f>
        <v>5''</v>
      </c>
      <c r="Q210" s="3" t="str">
        <f>IFERROR(IF(INDEX('PROJETO PERFURAÇÃO'!$P:$P,MATCH(MEDIÇÃO!R210,'PROJETO PERFURAÇÃO'!$B:$B,0))="Production","P",IF(INDEX('PROJETO PERFURAÇÃO'!$P:$P,MATCH(MEDIÇÃO!R210,'PROJETO PERFURAÇÃO'!$B:$B,0))="Buffer","B",IF(INDEX('PROJETO PERFURAÇÃO'!$P:$P,MATCH(MEDIÇÃO!R210,'PROJETO PERFURAÇÃO'!$B:$B,0))="Pre-Splitting","S"))),"")</f>
        <v>P</v>
      </c>
      <c r="R210" s="14">
        <f t="shared" si="20"/>
        <v>480</v>
      </c>
      <c r="S210" s="4" t="str">
        <f>IFERROR(INDEX('LEV R&amp;D'!$D:$D,MATCH(MEDIÇÃO!R210,'LEV R&amp;D'!$A:$A,0))-INDEX('PROJETO PERFURAÇÃO'!$AH:$AH,MATCH(MEDIÇÃO!R210,'PROJETO PERFURAÇÃO'!$B:$B,0)),"")</f>
        <v/>
      </c>
      <c r="T210" s="17">
        <f>IFERROR(INDEX('PROJETO PERFURAÇÃO'!$AN:$AN,MATCH(MEDIÇÃO!R210,'PROJETO PERFURAÇÃO'!$B:$B,0)),"")</f>
        <v>0</v>
      </c>
      <c r="U210" s="3"/>
      <c r="V210" s="3"/>
    </row>
    <row r="211" spans="1:23" ht="45" customHeight="1" x14ac:dyDescent="0.25">
      <c r="B211" s="3" t="str">
        <f>IFERROR(ROUND(INDEX('PROJETO PERFURAÇÃO'!$AB:$AB,MATCH(MEDIÇÃO!D211,'PROJETO PERFURAÇÃO'!$B:$B,0)),1)&amp;"''","")</f>
        <v>5''</v>
      </c>
      <c r="C211" s="3" t="str">
        <f>IFERROR(IF(INDEX('PROJETO PERFURAÇÃO'!$P:$P,MATCH(MEDIÇÃO!D211,'PROJETO PERFURAÇÃO'!$B:$B,0))="Production","P",IF(INDEX('PROJETO PERFURAÇÃO'!$P:$P,MATCH(MEDIÇÃO!D211,'PROJETO PERFURAÇÃO'!$B:$B,0))="Buffer","B",IF(INDEX('PROJETO PERFURAÇÃO'!$P:$P,MATCH(MEDIÇÃO!D211,'PROJETO PERFURAÇÃO'!$B:$B,0))="Pre-Splitting","S"))),"")</f>
        <v>P</v>
      </c>
      <c r="D211" s="14">
        <f t="shared" si="18"/>
        <v>435</v>
      </c>
      <c r="E211" s="4" t="str">
        <f>IFERROR(INDEX('LEV R&amp;D'!$D:$D,MATCH(MEDIÇÃO!D211,'LEV R&amp;D'!$A:$A,0))-INDEX('PROJETO PERFURAÇÃO'!$AH:$AH,MATCH(MEDIÇÃO!D211,'PROJETO PERFURAÇÃO'!$B:$B,0)),"")</f>
        <v/>
      </c>
      <c r="F211" s="17">
        <f>IFERROR(INDEX('PROJETO PERFURAÇÃO'!$AN:$AN,MATCH(MEDIÇÃO!D211,'PROJETO PERFURAÇÃO'!$B:$B,0)),"")</f>
        <v>0</v>
      </c>
      <c r="G211" s="3"/>
      <c r="H211" s="3"/>
      <c r="I211" s="3" t="str">
        <f>IFERROR(ROUND(INDEX('PROJETO PERFURAÇÃO'!$AB:$AB,MATCH(MEDIÇÃO!K211,'PROJETO PERFURAÇÃO'!$B:$B,0)),1)&amp;"''","")</f>
        <v>5''</v>
      </c>
      <c r="J211" s="3" t="str">
        <f>IFERROR(IF(INDEX('PROJETO PERFURAÇÃO'!$P:$P,MATCH(MEDIÇÃO!K211,'PROJETO PERFURAÇÃO'!$B:$B,0))="Production","P",IF(INDEX('PROJETO PERFURAÇÃO'!$P:$P,MATCH(MEDIÇÃO!K211,'PROJETO PERFURAÇÃO'!$B:$B,0))="Buffer","B",IF(INDEX('PROJETO PERFURAÇÃO'!$P:$P,MATCH(MEDIÇÃO!K211,'PROJETO PERFURAÇÃO'!$B:$B,0))="Pre-Splitting","S"))),"")</f>
        <v>P</v>
      </c>
      <c r="K211" s="14">
        <f t="shared" si="19"/>
        <v>458</v>
      </c>
      <c r="L211" s="4" t="str">
        <f>IFERROR(INDEX('LEV R&amp;D'!$D:$D,MATCH(MEDIÇÃO!K211,'LEV R&amp;D'!$A:$A,0))-INDEX('PROJETO PERFURAÇÃO'!$AH:$AH,MATCH(MEDIÇÃO!K211,'PROJETO PERFURAÇÃO'!$B:$B,0)),"")</f>
        <v/>
      </c>
      <c r="M211" s="17">
        <f>IFERROR(INDEX('PROJETO PERFURAÇÃO'!$AN:$AN,MATCH(MEDIÇÃO!K211,'PROJETO PERFURAÇÃO'!$B:$B,0)),"")</f>
        <v>0</v>
      </c>
      <c r="N211" s="3"/>
      <c r="O211" s="3"/>
      <c r="P211" s="3" t="str">
        <f>IFERROR(ROUND(INDEX('PROJETO PERFURAÇÃO'!$AB:$AB,MATCH(MEDIÇÃO!R211,'PROJETO PERFURAÇÃO'!$B:$B,0)),1)&amp;"''","")</f>
        <v>5''</v>
      </c>
      <c r="Q211" s="3" t="str">
        <f>IFERROR(IF(INDEX('PROJETO PERFURAÇÃO'!$P:$P,MATCH(MEDIÇÃO!R211,'PROJETO PERFURAÇÃO'!$B:$B,0))="Production","P",IF(INDEX('PROJETO PERFURAÇÃO'!$P:$P,MATCH(MEDIÇÃO!R211,'PROJETO PERFURAÇÃO'!$B:$B,0))="Buffer","B",IF(INDEX('PROJETO PERFURAÇÃO'!$P:$P,MATCH(MEDIÇÃO!R211,'PROJETO PERFURAÇÃO'!$B:$B,0))="Pre-Splitting","S"))),"")</f>
        <v>P</v>
      </c>
      <c r="R211" s="14">
        <f t="shared" si="20"/>
        <v>481</v>
      </c>
      <c r="S211" s="4" t="str">
        <f>IFERROR(INDEX('LEV R&amp;D'!$D:$D,MATCH(MEDIÇÃO!R211,'LEV R&amp;D'!$A:$A,0))-INDEX('PROJETO PERFURAÇÃO'!$AH:$AH,MATCH(MEDIÇÃO!R211,'PROJETO PERFURAÇÃO'!$B:$B,0)),"")</f>
        <v/>
      </c>
      <c r="T211" s="17">
        <f>IFERROR(INDEX('PROJETO PERFURAÇÃO'!$AN:$AN,MATCH(MEDIÇÃO!R211,'PROJETO PERFURAÇÃO'!$B:$B,0)),"")</f>
        <v>0</v>
      </c>
      <c r="U211" s="3"/>
      <c r="V211" s="3"/>
    </row>
    <row r="212" spans="1:23" ht="45" customHeight="1" x14ac:dyDescent="0.25">
      <c r="B212" s="3" t="str">
        <f>IFERROR(ROUND(INDEX('PROJETO PERFURAÇÃO'!$AB:$AB,MATCH(MEDIÇÃO!D212,'PROJETO PERFURAÇÃO'!$B:$B,0)),1)&amp;"''","")</f>
        <v>5''</v>
      </c>
      <c r="C212" s="3" t="str">
        <f>IFERROR(IF(INDEX('PROJETO PERFURAÇÃO'!$P:$P,MATCH(MEDIÇÃO!D212,'PROJETO PERFURAÇÃO'!$B:$B,0))="Production","P",IF(INDEX('PROJETO PERFURAÇÃO'!$P:$P,MATCH(MEDIÇÃO!D212,'PROJETO PERFURAÇÃO'!$B:$B,0))="Buffer","B",IF(INDEX('PROJETO PERFURAÇÃO'!$P:$P,MATCH(MEDIÇÃO!D212,'PROJETO PERFURAÇÃO'!$B:$B,0))="Pre-Splitting","S"))),"")</f>
        <v>P</v>
      </c>
      <c r="D212" s="14">
        <f t="shared" si="18"/>
        <v>436</v>
      </c>
      <c r="E212" s="4" t="str">
        <f>IFERROR(INDEX('LEV R&amp;D'!$D:$D,MATCH(MEDIÇÃO!D212,'LEV R&amp;D'!$A:$A,0))-INDEX('PROJETO PERFURAÇÃO'!$AH:$AH,MATCH(MEDIÇÃO!D212,'PROJETO PERFURAÇÃO'!$B:$B,0)),"")</f>
        <v/>
      </c>
      <c r="F212" s="17">
        <f>IFERROR(INDEX('PROJETO PERFURAÇÃO'!$AN:$AN,MATCH(MEDIÇÃO!D212,'PROJETO PERFURAÇÃO'!$B:$B,0)),"")</f>
        <v>0</v>
      </c>
      <c r="G212" s="3"/>
      <c r="H212" s="3"/>
      <c r="I212" s="3" t="str">
        <f>IFERROR(ROUND(INDEX('PROJETO PERFURAÇÃO'!$AB:$AB,MATCH(MEDIÇÃO!K212,'PROJETO PERFURAÇÃO'!$B:$B,0)),1)&amp;"''","")</f>
        <v>5''</v>
      </c>
      <c r="J212" s="3" t="str">
        <f>IFERROR(IF(INDEX('PROJETO PERFURAÇÃO'!$P:$P,MATCH(MEDIÇÃO!K212,'PROJETO PERFURAÇÃO'!$B:$B,0))="Production","P",IF(INDEX('PROJETO PERFURAÇÃO'!$P:$P,MATCH(MEDIÇÃO!K212,'PROJETO PERFURAÇÃO'!$B:$B,0))="Buffer","B",IF(INDEX('PROJETO PERFURAÇÃO'!$P:$P,MATCH(MEDIÇÃO!K212,'PROJETO PERFURAÇÃO'!$B:$B,0))="Pre-Splitting","S"))),"")</f>
        <v>P</v>
      </c>
      <c r="K212" s="14">
        <f t="shared" si="19"/>
        <v>459</v>
      </c>
      <c r="L212" s="4" t="str">
        <f>IFERROR(INDEX('LEV R&amp;D'!$D:$D,MATCH(MEDIÇÃO!K212,'LEV R&amp;D'!$A:$A,0))-INDEX('PROJETO PERFURAÇÃO'!$AH:$AH,MATCH(MEDIÇÃO!K212,'PROJETO PERFURAÇÃO'!$B:$B,0)),"")</f>
        <v/>
      </c>
      <c r="M212" s="17">
        <f>IFERROR(INDEX('PROJETO PERFURAÇÃO'!$AN:$AN,MATCH(MEDIÇÃO!K212,'PROJETO PERFURAÇÃO'!$B:$B,0)),"")</f>
        <v>0</v>
      </c>
      <c r="N212" s="3"/>
      <c r="O212" s="3"/>
      <c r="P212" s="3" t="str">
        <f>IFERROR(ROUND(INDEX('PROJETO PERFURAÇÃO'!$AB:$AB,MATCH(MEDIÇÃO!R212,'PROJETO PERFURAÇÃO'!$B:$B,0)),1)&amp;"''","")</f>
        <v>5''</v>
      </c>
      <c r="Q212" s="3" t="str">
        <f>IFERROR(IF(INDEX('PROJETO PERFURAÇÃO'!$P:$P,MATCH(MEDIÇÃO!R212,'PROJETO PERFURAÇÃO'!$B:$B,0))="Production","P",IF(INDEX('PROJETO PERFURAÇÃO'!$P:$P,MATCH(MEDIÇÃO!R212,'PROJETO PERFURAÇÃO'!$B:$B,0))="Buffer","B",IF(INDEX('PROJETO PERFURAÇÃO'!$P:$P,MATCH(MEDIÇÃO!R212,'PROJETO PERFURAÇÃO'!$B:$B,0))="Pre-Splitting","S"))),"")</f>
        <v>P</v>
      </c>
      <c r="R212" s="14">
        <f t="shared" si="20"/>
        <v>482</v>
      </c>
      <c r="S212" s="4" t="str">
        <f>IFERROR(INDEX('LEV R&amp;D'!$D:$D,MATCH(MEDIÇÃO!R212,'LEV R&amp;D'!$A:$A,0))-INDEX('PROJETO PERFURAÇÃO'!$AH:$AH,MATCH(MEDIÇÃO!R212,'PROJETO PERFURAÇÃO'!$B:$B,0)),"")</f>
        <v/>
      </c>
      <c r="T212" s="17">
        <f>IFERROR(INDEX('PROJETO PERFURAÇÃO'!$AN:$AN,MATCH(MEDIÇÃO!R212,'PROJETO PERFURAÇÃO'!$B:$B,0)),"")</f>
        <v>0</v>
      </c>
      <c r="U212" s="3"/>
      <c r="V212" s="3"/>
    </row>
    <row r="213" spans="1:23" ht="45" customHeight="1" x14ac:dyDescent="0.25">
      <c r="B213" s="3" t="str">
        <f>IFERROR(ROUND(INDEX('PROJETO PERFURAÇÃO'!$AB:$AB,MATCH(MEDIÇÃO!D213,'PROJETO PERFURAÇÃO'!$B:$B,0)),1)&amp;"''","")</f>
        <v>5''</v>
      </c>
      <c r="C213" s="3" t="str">
        <f>IFERROR(IF(INDEX('PROJETO PERFURAÇÃO'!$P:$P,MATCH(MEDIÇÃO!D213,'PROJETO PERFURAÇÃO'!$B:$B,0))="Production","P",IF(INDEX('PROJETO PERFURAÇÃO'!$P:$P,MATCH(MEDIÇÃO!D213,'PROJETO PERFURAÇÃO'!$B:$B,0))="Buffer","B",IF(INDEX('PROJETO PERFURAÇÃO'!$P:$P,MATCH(MEDIÇÃO!D213,'PROJETO PERFURAÇÃO'!$B:$B,0))="Pre-Splitting","S"))),"")</f>
        <v>P</v>
      </c>
      <c r="D213" s="14">
        <f t="shared" si="18"/>
        <v>437</v>
      </c>
      <c r="E213" s="4" t="str">
        <f>IFERROR(INDEX('LEV R&amp;D'!$D:$D,MATCH(MEDIÇÃO!D213,'LEV R&amp;D'!$A:$A,0))-INDEX('PROJETO PERFURAÇÃO'!$AH:$AH,MATCH(MEDIÇÃO!D213,'PROJETO PERFURAÇÃO'!$B:$B,0)),"")</f>
        <v/>
      </c>
      <c r="F213" s="17">
        <f>IFERROR(INDEX('PROJETO PERFURAÇÃO'!$AN:$AN,MATCH(MEDIÇÃO!D213,'PROJETO PERFURAÇÃO'!$B:$B,0)),"")</f>
        <v>0</v>
      </c>
      <c r="G213" s="3"/>
      <c r="H213" s="3"/>
      <c r="I213" s="3" t="str">
        <f>IFERROR(ROUND(INDEX('PROJETO PERFURAÇÃO'!$AB:$AB,MATCH(MEDIÇÃO!K213,'PROJETO PERFURAÇÃO'!$B:$B,0)),1)&amp;"''","")</f>
        <v>5''</v>
      </c>
      <c r="J213" s="3" t="str">
        <f>IFERROR(IF(INDEX('PROJETO PERFURAÇÃO'!$P:$P,MATCH(MEDIÇÃO!K213,'PROJETO PERFURAÇÃO'!$B:$B,0))="Production","P",IF(INDEX('PROJETO PERFURAÇÃO'!$P:$P,MATCH(MEDIÇÃO!K213,'PROJETO PERFURAÇÃO'!$B:$B,0))="Buffer","B",IF(INDEX('PROJETO PERFURAÇÃO'!$P:$P,MATCH(MEDIÇÃO!K213,'PROJETO PERFURAÇÃO'!$B:$B,0))="Pre-Splitting","S"))),"")</f>
        <v>P</v>
      </c>
      <c r="K213" s="14">
        <f t="shared" si="19"/>
        <v>460</v>
      </c>
      <c r="L213" s="4" t="str">
        <f>IFERROR(INDEX('LEV R&amp;D'!$D:$D,MATCH(MEDIÇÃO!K213,'LEV R&amp;D'!$A:$A,0))-INDEX('PROJETO PERFURAÇÃO'!$AH:$AH,MATCH(MEDIÇÃO!K213,'PROJETO PERFURAÇÃO'!$B:$B,0)),"")</f>
        <v/>
      </c>
      <c r="M213" s="17">
        <f>IFERROR(INDEX('PROJETO PERFURAÇÃO'!$AN:$AN,MATCH(MEDIÇÃO!K213,'PROJETO PERFURAÇÃO'!$B:$B,0)),"")</f>
        <v>0</v>
      </c>
      <c r="N213" s="3"/>
      <c r="O213" s="3"/>
      <c r="P213" s="3" t="str">
        <f>IFERROR(ROUND(INDEX('PROJETO PERFURAÇÃO'!$AB:$AB,MATCH(MEDIÇÃO!R213,'PROJETO PERFURAÇÃO'!$B:$B,0)),1)&amp;"''","")</f>
        <v>5''</v>
      </c>
      <c r="Q213" s="3" t="str">
        <f>IFERROR(IF(INDEX('PROJETO PERFURAÇÃO'!$P:$P,MATCH(MEDIÇÃO!R213,'PROJETO PERFURAÇÃO'!$B:$B,0))="Production","P",IF(INDEX('PROJETO PERFURAÇÃO'!$P:$P,MATCH(MEDIÇÃO!R213,'PROJETO PERFURAÇÃO'!$B:$B,0))="Buffer","B",IF(INDEX('PROJETO PERFURAÇÃO'!$P:$P,MATCH(MEDIÇÃO!R213,'PROJETO PERFURAÇÃO'!$B:$B,0))="Pre-Splitting","S"))),"")</f>
        <v>P</v>
      </c>
      <c r="R213" s="14">
        <f t="shared" si="20"/>
        <v>483</v>
      </c>
      <c r="S213" s="4" t="str">
        <f>IFERROR(INDEX('LEV R&amp;D'!$D:$D,MATCH(MEDIÇÃO!R213,'LEV R&amp;D'!$A:$A,0))-INDEX('PROJETO PERFURAÇÃO'!$AH:$AH,MATCH(MEDIÇÃO!R213,'PROJETO PERFURAÇÃO'!$B:$B,0)),"")</f>
        <v/>
      </c>
      <c r="T213" s="17">
        <f>IFERROR(INDEX('PROJETO PERFURAÇÃO'!$AN:$AN,MATCH(MEDIÇÃO!R213,'PROJETO PERFURAÇÃO'!$B:$B,0)),"")</f>
        <v>0</v>
      </c>
      <c r="U213" s="3"/>
      <c r="V213" s="3"/>
    </row>
    <row r="214" spans="1:23" ht="30" customHeight="1" x14ac:dyDescent="0.25">
      <c r="B214" s="1"/>
      <c r="C214" s="1"/>
      <c r="D214" s="15"/>
      <c r="E214" s="2"/>
      <c r="F214" s="16"/>
      <c r="G214" s="1"/>
      <c r="H214" s="1"/>
      <c r="I214" s="1"/>
      <c r="J214" s="1"/>
      <c r="K214" s="15"/>
      <c r="L214" s="2"/>
      <c r="M214" s="16"/>
      <c r="N214" s="1"/>
      <c r="O214" s="1"/>
      <c r="P214" s="1"/>
      <c r="Q214" s="1"/>
      <c r="R214" s="15"/>
      <c r="S214" s="2"/>
      <c r="T214" s="16"/>
      <c r="U214" s="1"/>
      <c r="V214" s="1"/>
    </row>
    <row r="215" spans="1:23" ht="30" customHeight="1" x14ac:dyDescent="0.25">
      <c r="C215" s="20"/>
      <c r="D215" s="20"/>
      <c r="E215" s="20"/>
      <c r="F215" s="20"/>
      <c r="G215" s="20"/>
      <c r="H215" s="20"/>
      <c r="I215" s="20"/>
      <c r="J215" s="20"/>
      <c r="K215" s="20"/>
      <c r="M215" s="20"/>
      <c r="N215" s="20"/>
      <c r="O215" s="20"/>
      <c r="P215" s="20"/>
      <c r="Q215" s="20"/>
      <c r="R215" s="20"/>
      <c r="S215" s="20"/>
      <c r="T215" s="20"/>
      <c r="U215" s="20"/>
    </row>
    <row r="216" spans="1:23" ht="30" customHeight="1" x14ac:dyDescent="0.25">
      <c r="C216" s="21" t="s">
        <v>40</v>
      </c>
      <c r="D216" s="21"/>
      <c r="E216" s="21"/>
      <c r="F216" s="21"/>
      <c r="G216" s="21"/>
      <c r="H216" s="21"/>
      <c r="I216" s="21"/>
      <c r="J216" s="21"/>
      <c r="K216" s="21"/>
      <c r="L216" s="9"/>
      <c r="M216" s="21" t="s">
        <v>40</v>
      </c>
      <c r="N216" s="21"/>
      <c r="O216" s="21"/>
      <c r="P216" s="21"/>
      <c r="Q216" s="21"/>
      <c r="R216" s="21"/>
      <c r="S216" s="21"/>
      <c r="T216" s="21"/>
      <c r="U216" s="21"/>
      <c r="V216" s="9"/>
    </row>
    <row r="217" spans="1:23" ht="30" customHeight="1" x14ac:dyDescent="0.25">
      <c r="D217" s="9"/>
      <c r="E217" s="9"/>
      <c r="F217" s="9"/>
      <c r="G217" s="9"/>
      <c r="H217" s="9"/>
      <c r="I217" s="9"/>
      <c r="J217" s="9"/>
      <c r="K217" s="9"/>
      <c r="L217" s="9"/>
      <c r="M217" s="9"/>
      <c r="N217" s="9"/>
      <c r="Q217" s="9"/>
      <c r="R217" s="9"/>
      <c r="S217" s="9"/>
      <c r="T217" s="9"/>
      <c r="U217" s="9"/>
      <c r="V217" s="9"/>
    </row>
    <row r="218" spans="1:23" ht="30" customHeight="1" x14ac:dyDescent="0.25">
      <c r="B218" s="19" t="str">
        <f>'PROJETO PERFURAÇÃO'!$C$2&amp;" - "&amp;'PROJETO PERFURAÇÃO'!$H$2</f>
        <v>LIB065 - PP0651026</v>
      </c>
      <c r="C218" s="19"/>
      <c r="D218" s="19"/>
      <c r="E218" s="19"/>
      <c r="F218" s="19"/>
      <c r="G218" s="19"/>
      <c r="H218" s="19"/>
      <c r="I218" s="11" t="s">
        <v>34</v>
      </c>
      <c r="J218" s="10" t="s">
        <v>37</v>
      </c>
    </row>
    <row r="219" spans="1:23" ht="30" customHeight="1" x14ac:dyDescent="0.25">
      <c r="B219" s="19"/>
      <c r="C219" s="19"/>
      <c r="D219" s="19"/>
      <c r="E219" s="19"/>
      <c r="F219" s="19"/>
      <c r="G219" s="19"/>
      <c r="H219" s="19"/>
      <c r="I219" s="12" t="s">
        <v>35</v>
      </c>
      <c r="J219" s="10" t="s">
        <v>38</v>
      </c>
      <c r="K219" s="9"/>
      <c r="L219" s="9"/>
      <c r="M219" s="9"/>
      <c r="N219" s="9"/>
      <c r="O219" s="9"/>
      <c r="P219" s="9"/>
      <c r="Q219" s="9"/>
      <c r="R219" s="9"/>
      <c r="S219" s="9"/>
      <c r="T219" s="9"/>
      <c r="U219" s="9"/>
      <c r="V219" s="9"/>
    </row>
    <row r="220" spans="1:23" ht="30" customHeight="1" x14ac:dyDescent="0.25">
      <c r="B220" s="19"/>
      <c r="C220" s="19"/>
      <c r="D220" s="19"/>
      <c r="E220" s="19"/>
      <c r="F220" s="19"/>
      <c r="G220" s="19"/>
      <c r="H220" s="19"/>
      <c r="I220" s="13" t="s">
        <v>36</v>
      </c>
      <c r="J220" s="10" t="s">
        <v>39</v>
      </c>
    </row>
    <row r="221" spans="1:23" ht="30" customHeight="1" x14ac:dyDescent="0.25">
      <c r="A221" s="1"/>
      <c r="B221" s="6" t="s">
        <v>33</v>
      </c>
      <c r="C221" s="6" t="s">
        <v>13</v>
      </c>
      <c r="D221" s="7" t="s">
        <v>1</v>
      </c>
      <c r="E221" s="7" t="s">
        <v>29</v>
      </c>
      <c r="F221" s="7" t="s">
        <v>30</v>
      </c>
      <c r="G221" s="7" t="s">
        <v>31</v>
      </c>
      <c r="H221" s="7" t="s">
        <v>32</v>
      </c>
      <c r="I221" s="6" t="s">
        <v>33</v>
      </c>
      <c r="J221" s="6" t="s">
        <v>13</v>
      </c>
      <c r="K221" s="7" t="s">
        <v>1</v>
      </c>
      <c r="L221" s="7" t="s">
        <v>29</v>
      </c>
      <c r="M221" s="7" t="s">
        <v>30</v>
      </c>
      <c r="N221" s="7" t="s">
        <v>31</v>
      </c>
      <c r="O221" s="7" t="s">
        <v>32</v>
      </c>
      <c r="P221" s="6" t="s">
        <v>33</v>
      </c>
      <c r="Q221" s="6" t="s">
        <v>13</v>
      </c>
      <c r="R221" s="7" t="s">
        <v>1</v>
      </c>
      <c r="S221" s="7" t="s">
        <v>29</v>
      </c>
      <c r="T221" s="7" t="s">
        <v>30</v>
      </c>
      <c r="U221" s="7" t="s">
        <v>31</v>
      </c>
      <c r="V221" s="7" t="s">
        <v>32</v>
      </c>
      <c r="W221" s="1"/>
    </row>
    <row r="222" spans="1:23" ht="45" customHeight="1" x14ac:dyDescent="0.25">
      <c r="B222" s="3" t="str">
        <f>IFERROR(ROUND(INDEX('PROJETO PERFURAÇÃO'!$AB:$AB,MATCH(MEDIÇÃO!D222,'PROJETO PERFURAÇÃO'!$B:$B,0)),1)&amp;"''","")</f>
        <v>5''</v>
      </c>
      <c r="C222" s="3" t="str">
        <f>IFERROR(IF(INDEX('PROJETO PERFURAÇÃO'!$P:$P,MATCH(MEDIÇÃO!D222,'PROJETO PERFURAÇÃO'!$B:$B,0))="Production","P",IF(INDEX('PROJETO PERFURAÇÃO'!$P:$P,MATCH(MEDIÇÃO!D222,'PROJETO PERFURAÇÃO'!$B:$B,0))="Buffer","B",IF(INDEX('PROJETO PERFURAÇÃO'!$P:$P,MATCH(MEDIÇÃO!D222,'PROJETO PERFURAÇÃO'!$B:$B,0))="Pre-Splitting","S"))),"")</f>
        <v>P</v>
      </c>
      <c r="D222" s="14">
        <f>R213+1</f>
        <v>484</v>
      </c>
      <c r="E222" s="4" t="str">
        <f>IFERROR(INDEX('LEV R&amp;D'!$D:$D,MATCH(MEDIÇÃO!D222,'LEV R&amp;D'!$A:$A,0))-INDEX('PROJETO PERFURAÇÃO'!$AH:$AH,MATCH(MEDIÇÃO!D222,'PROJETO PERFURAÇÃO'!$B:$B,0)),"")</f>
        <v/>
      </c>
      <c r="F222" s="17">
        <f>IFERROR(INDEX('PROJETO PERFURAÇÃO'!$AN:$AN,MATCH(MEDIÇÃO!D222,'PROJETO PERFURAÇÃO'!$B:$B,0)),"")</f>
        <v>0</v>
      </c>
      <c r="G222" s="3"/>
      <c r="H222" s="3"/>
      <c r="I222" s="3" t="str">
        <f>IFERROR(ROUND(INDEX('PROJETO PERFURAÇÃO'!$AB:$AB,MATCH(MEDIÇÃO!K222,'PROJETO PERFURAÇÃO'!$B:$B,0)),1)&amp;"''","")</f>
        <v>5''</v>
      </c>
      <c r="J222" s="3" t="str">
        <f>IFERROR(IF(INDEX('PROJETO PERFURAÇÃO'!$P:$P,MATCH(MEDIÇÃO!K222,'PROJETO PERFURAÇÃO'!$B:$B,0))="Production","P",IF(INDEX('PROJETO PERFURAÇÃO'!$P:$P,MATCH(MEDIÇÃO!K222,'PROJETO PERFURAÇÃO'!$B:$B,0))="Buffer","B",IF(INDEX('PROJETO PERFURAÇÃO'!$P:$P,MATCH(MEDIÇÃO!K222,'PROJETO PERFURAÇÃO'!$B:$B,0))="Pre-Splitting","S"))),"")</f>
        <v>P</v>
      </c>
      <c r="K222" s="14">
        <f>D244+1</f>
        <v>507</v>
      </c>
      <c r="L222" s="4" t="str">
        <f>IFERROR(INDEX('LEV R&amp;D'!$D:$D,MATCH(MEDIÇÃO!K222,'LEV R&amp;D'!$A:$A,0))-INDEX('PROJETO PERFURAÇÃO'!$AH:$AH,MATCH(MEDIÇÃO!K222,'PROJETO PERFURAÇÃO'!$B:$B,0)),"")</f>
        <v/>
      </c>
      <c r="M222" s="17">
        <f>IFERROR(INDEX('PROJETO PERFURAÇÃO'!$AN:$AN,MATCH(MEDIÇÃO!K222,'PROJETO PERFURAÇÃO'!$B:$B,0)),"")</f>
        <v>0</v>
      </c>
      <c r="N222" s="3"/>
      <c r="O222" s="3"/>
      <c r="P222" s="3" t="str">
        <f>IFERROR(ROUND(INDEX('PROJETO PERFURAÇÃO'!$AB:$AB,MATCH(MEDIÇÃO!R222,'PROJETO PERFURAÇÃO'!$B:$B,0)),1)&amp;"''","")</f>
        <v>5''</v>
      </c>
      <c r="Q222" s="3" t="str">
        <f>IFERROR(IF(INDEX('PROJETO PERFURAÇÃO'!$P:$P,MATCH(MEDIÇÃO!R222,'PROJETO PERFURAÇÃO'!$B:$B,0))="Production","P",IF(INDEX('PROJETO PERFURAÇÃO'!$P:$P,MATCH(MEDIÇÃO!R222,'PROJETO PERFURAÇÃO'!$B:$B,0))="Buffer","B",IF(INDEX('PROJETO PERFURAÇÃO'!$P:$P,MATCH(MEDIÇÃO!R222,'PROJETO PERFURAÇÃO'!$B:$B,0))="Pre-Splitting","S"))),"")</f>
        <v>P</v>
      </c>
      <c r="R222" s="14">
        <f>K244+1</f>
        <v>530</v>
      </c>
      <c r="S222" s="4" t="str">
        <f>IFERROR(INDEX('LEV R&amp;D'!$D:$D,MATCH(MEDIÇÃO!R222,'LEV R&amp;D'!$A:$A,0))-INDEX('PROJETO PERFURAÇÃO'!$AH:$AH,MATCH(MEDIÇÃO!R222,'PROJETO PERFURAÇÃO'!$B:$B,0)),"")</f>
        <v/>
      </c>
      <c r="T222" s="17">
        <f>IFERROR(INDEX('PROJETO PERFURAÇÃO'!$AN:$AN,MATCH(MEDIÇÃO!R222,'PROJETO PERFURAÇÃO'!$B:$B,0)),"")</f>
        <v>0</v>
      </c>
      <c r="U222" s="3"/>
      <c r="V222" s="3"/>
    </row>
    <row r="223" spans="1:23" ht="45" customHeight="1" x14ac:dyDescent="0.25">
      <c r="B223" s="3" t="str">
        <f>IFERROR(ROUND(INDEX('PROJETO PERFURAÇÃO'!$AB:$AB,MATCH(MEDIÇÃO!D223,'PROJETO PERFURAÇÃO'!$B:$B,0)),1)&amp;"''","")</f>
        <v>5''</v>
      </c>
      <c r="C223" s="3" t="str">
        <f>IFERROR(IF(INDEX('PROJETO PERFURAÇÃO'!$P:$P,MATCH(MEDIÇÃO!D223,'PROJETO PERFURAÇÃO'!$B:$B,0))="Production","P",IF(INDEX('PROJETO PERFURAÇÃO'!$P:$P,MATCH(MEDIÇÃO!D223,'PROJETO PERFURAÇÃO'!$B:$B,0))="Buffer","B",IF(INDEX('PROJETO PERFURAÇÃO'!$P:$P,MATCH(MEDIÇÃO!D223,'PROJETO PERFURAÇÃO'!$B:$B,0))="Pre-Splitting","S"))),"")</f>
        <v>P</v>
      </c>
      <c r="D223" s="14">
        <f>D222+1</f>
        <v>485</v>
      </c>
      <c r="E223" s="4" t="str">
        <f>IFERROR(INDEX('LEV R&amp;D'!$D:$D,MATCH(MEDIÇÃO!D223,'LEV R&amp;D'!$A:$A,0))-INDEX('PROJETO PERFURAÇÃO'!$AH:$AH,MATCH(MEDIÇÃO!D223,'PROJETO PERFURAÇÃO'!$B:$B,0)),"")</f>
        <v/>
      </c>
      <c r="F223" s="17">
        <f>IFERROR(INDEX('PROJETO PERFURAÇÃO'!$AN:$AN,MATCH(MEDIÇÃO!D223,'PROJETO PERFURAÇÃO'!$B:$B,0)),"")</f>
        <v>0</v>
      </c>
      <c r="G223" s="3"/>
      <c r="H223" s="3"/>
      <c r="I223" s="3" t="str">
        <f>IFERROR(ROUND(INDEX('PROJETO PERFURAÇÃO'!$AB:$AB,MATCH(MEDIÇÃO!K223,'PROJETO PERFURAÇÃO'!$B:$B,0)),1)&amp;"''","")</f>
        <v>5''</v>
      </c>
      <c r="J223" s="3" t="str">
        <f>IFERROR(IF(INDEX('PROJETO PERFURAÇÃO'!$P:$P,MATCH(MEDIÇÃO!K223,'PROJETO PERFURAÇÃO'!$B:$B,0))="Production","P",IF(INDEX('PROJETO PERFURAÇÃO'!$P:$P,MATCH(MEDIÇÃO!K223,'PROJETO PERFURAÇÃO'!$B:$B,0))="Buffer","B",IF(INDEX('PROJETO PERFURAÇÃO'!$P:$P,MATCH(MEDIÇÃO!K223,'PROJETO PERFURAÇÃO'!$B:$B,0))="Pre-Splitting","S"))),"")</f>
        <v>P</v>
      </c>
      <c r="K223" s="14">
        <f>K222+1</f>
        <v>508</v>
      </c>
      <c r="L223" s="4" t="str">
        <f>IFERROR(INDEX('LEV R&amp;D'!$D:$D,MATCH(MEDIÇÃO!K223,'LEV R&amp;D'!$A:$A,0))-INDEX('PROJETO PERFURAÇÃO'!$AH:$AH,MATCH(MEDIÇÃO!K223,'PROJETO PERFURAÇÃO'!$B:$B,0)),"")</f>
        <v/>
      </c>
      <c r="M223" s="17">
        <f>IFERROR(INDEX('PROJETO PERFURAÇÃO'!$AN:$AN,MATCH(MEDIÇÃO!K223,'PROJETO PERFURAÇÃO'!$B:$B,0)),"")</f>
        <v>0</v>
      </c>
      <c r="N223" s="3"/>
      <c r="O223" s="3"/>
      <c r="P223" s="3" t="str">
        <f>IFERROR(ROUND(INDEX('PROJETO PERFURAÇÃO'!$AB:$AB,MATCH(MEDIÇÃO!R223,'PROJETO PERFURAÇÃO'!$B:$B,0)),1)&amp;"''","")</f>
        <v>5''</v>
      </c>
      <c r="Q223" s="3" t="str">
        <f>IFERROR(IF(INDEX('PROJETO PERFURAÇÃO'!$P:$P,MATCH(MEDIÇÃO!R223,'PROJETO PERFURAÇÃO'!$B:$B,0))="Production","P",IF(INDEX('PROJETO PERFURAÇÃO'!$P:$P,MATCH(MEDIÇÃO!R223,'PROJETO PERFURAÇÃO'!$B:$B,0))="Buffer","B",IF(INDEX('PROJETO PERFURAÇÃO'!$P:$P,MATCH(MEDIÇÃO!R223,'PROJETO PERFURAÇÃO'!$B:$B,0))="Pre-Splitting","S"))),"")</f>
        <v>P</v>
      </c>
      <c r="R223" s="14">
        <f>R222+1</f>
        <v>531</v>
      </c>
      <c r="S223" s="4" t="str">
        <f>IFERROR(INDEX('LEV R&amp;D'!$D:$D,MATCH(MEDIÇÃO!R223,'LEV R&amp;D'!$A:$A,0))-INDEX('PROJETO PERFURAÇÃO'!$AH:$AH,MATCH(MEDIÇÃO!R223,'PROJETO PERFURAÇÃO'!$B:$B,0)),"")</f>
        <v/>
      </c>
      <c r="T223" s="17">
        <f>IFERROR(INDEX('PROJETO PERFURAÇÃO'!$AN:$AN,MATCH(MEDIÇÃO!R223,'PROJETO PERFURAÇÃO'!$B:$B,0)),"")</f>
        <v>0</v>
      </c>
      <c r="U223" s="3"/>
      <c r="V223" s="3"/>
    </row>
    <row r="224" spans="1:23" ht="45" customHeight="1" x14ac:dyDescent="0.25">
      <c r="B224" s="3" t="str">
        <f>IFERROR(ROUND(INDEX('PROJETO PERFURAÇÃO'!$AB:$AB,MATCH(MEDIÇÃO!D224,'PROJETO PERFURAÇÃO'!$B:$B,0)),1)&amp;"''","")</f>
        <v>5''</v>
      </c>
      <c r="C224" s="3" t="str">
        <f>IFERROR(IF(INDEX('PROJETO PERFURAÇÃO'!$P:$P,MATCH(MEDIÇÃO!D224,'PROJETO PERFURAÇÃO'!$B:$B,0))="Production","P",IF(INDEX('PROJETO PERFURAÇÃO'!$P:$P,MATCH(MEDIÇÃO!D224,'PROJETO PERFURAÇÃO'!$B:$B,0))="Buffer","B",IF(INDEX('PROJETO PERFURAÇÃO'!$P:$P,MATCH(MEDIÇÃO!D224,'PROJETO PERFURAÇÃO'!$B:$B,0))="Pre-Splitting","S"))),"")</f>
        <v>P</v>
      </c>
      <c r="D224" s="14">
        <f t="shared" ref="D224:D244" si="21">D223+1</f>
        <v>486</v>
      </c>
      <c r="E224" s="4" t="str">
        <f>IFERROR(INDEX('LEV R&amp;D'!$D:$D,MATCH(MEDIÇÃO!D224,'LEV R&amp;D'!$A:$A,0))-INDEX('PROJETO PERFURAÇÃO'!$AH:$AH,MATCH(MEDIÇÃO!D224,'PROJETO PERFURAÇÃO'!$B:$B,0)),"")</f>
        <v/>
      </c>
      <c r="F224" s="17">
        <f>IFERROR(INDEX('PROJETO PERFURAÇÃO'!$AN:$AN,MATCH(MEDIÇÃO!D224,'PROJETO PERFURAÇÃO'!$B:$B,0)),"")</f>
        <v>0</v>
      </c>
      <c r="G224" s="3"/>
      <c r="H224" s="3"/>
      <c r="I224" s="3" t="str">
        <f>IFERROR(ROUND(INDEX('PROJETO PERFURAÇÃO'!$AB:$AB,MATCH(MEDIÇÃO!K224,'PROJETO PERFURAÇÃO'!$B:$B,0)),1)&amp;"''","")</f>
        <v>5''</v>
      </c>
      <c r="J224" s="3" t="str">
        <f>IFERROR(IF(INDEX('PROJETO PERFURAÇÃO'!$P:$P,MATCH(MEDIÇÃO!K224,'PROJETO PERFURAÇÃO'!$B:$B,0))="Production","P",IF(INDEX('PROJETO PERFURAÇÃO'!$P:$P,MATCH(MEDIÇÃO!K224,'PROJETO PERFURAÇÃO'!$B:$B,0))="Buffer","B",IF(INDEX('PROJETO PERFURAÇÃO'!$P:$P,MATCH(MEDIÇÃO!K224,'PROJETO PERFURAÇÃO'!$B:$B,0))="Pre-Splitting","S"))),"")</f>
        <v>P</v>
      </c>
      <c r="K224" s="14">
        <f t="shared" ref="K224:K244" si="22">K223+1</f>
        <v>509</v>
      </c>
      <c r="L224" s="4" t="str">
        <f>IFERROR(INDEX('LEV R&amp;D'!$D:$D,MATCH(MEDIÇÃO!K224,'LEV R&amp;D'!$A:$A,0))-INDEX('PROJETO PERFURAÇÃO'!$AH:$AH,MATCH(MEDIÇÃO!K224,'PROJETO PERFURAÇÃO'!$B:$B,0)),"")</f>
        <v/>
      </c>
      <c r="M224" s="17">
        <f>IFERROR(INDEX('PROJETO PERFURAÇÃO'!$AN:$AN,MATCH(MEDIÇÃO!K224,'PROJETO PERFURAÇÃO'!$B:$B,0)),"")</f>
        <v>0</v>
      </c>
      <c r="N224" s="3"/>
      <c r="O224" s="3"/>
      <c r="P224" s="3" t="str">
        <f>IFERROR(ROUND(INDEX('PROJETO PERFURAÇÃO'!$AB:$AB,MATCH(MEDIÇÃO!R224,'PROJETO PERFURAÇÃO'!$B:$B,0)),1)&amp;"''","")</f>
        <v>5''</v>
      </c>
      <c r="Q224" s="3" t="str">
        <f>IFERROR(IF(INDEX('PROJETO PERFURAÇÃO'!$P:$P,MATCH(MEDIÇÃO!R224,'PROJETO PERFURAÇÃO'!$B:$B,0))="Production","P",IF(INDEX('PROJETO PERFURAÇÃO'!$P:$P,MATCH(MEDIÇÃO!R224,'PROJETO PERFURAÇÃO'!$B:$B,0))="Buffer","B",IF(INDEX('PROJETO PERFURAÇÃO'!$P:$P,MATCH(MEDIÇÃO!R224,'PROJETO PERFURAÇÃO'!$B:$B,0))="Pre-Splitting","S"))),"")</f>
        <v>P</v>
      </c>
      <c r="R224" s="14">
        <f t="shared" ref="R224:R244" si="23">R223+1</f>
        <v>532</v>
      </c>
      <c r="S224" s="4" t="str">
        <f>IFERROR(INDEX('LEV R&amp;D'!$D:$D,MATCH(MEDIÇÃO!R224,'LEV R&amp;D'!$A:$A,0))-INDEX('PROJETO PERFURAÇÃO'!$AH:$AH,MATCH(MEDIÇÃO!R224,'PROJETO PERFURAÇÃO'!$B:$B,0)),"")</f>
        <v/>
      </c>
      <c r="T224" s="17">
        <f>IFERROR(INDEX('PROJETO PERFURAÇÃO'!$AN:$AN,MATCH(MEDIÇÃO!R224,'PROJETO PERFURAÇÃO'!$B:$B,0)),"")</f>
        <v>0</v>
      </c>
      <c r="U224" s="3"/>
      <c r="V224" s="3"/>
    </row>
    <row r="225" spans="2:22" ht="45" customHeight="1" x14ac:dyDescent="0.25">
      <c r="B225" s="3" t="str">
        <f>IFERROR(ROUND(INDEX('PROJETO PERFURAÇÃO'!$AB:$AB,MATCH(MEDIÇÃO!D225,'PROJETO PERFURAÇÃO'!$B:$B,0)),1)&amp;"''","")</f>
        <v>5''</v>
      </c>
      <c r="C225" s="3" t="str">
        <f>IFERROR(IF(INDEX('PROJETO PERFURAÇÃO'!$P:$P,MATCH(MEDIÇÃO!D225,'PROJETO PERFURAÇÃO'!$B:$B,0))="Production","P",IF(INDEX('PROJETO PERFURAÇÃO'!$P:$P,MATCH(MEDIÇÃO!D225,'PROJETO PERFURAÇÃO'!$B:$B,0))="Buffer","B",IF(INDEX('PROJETO PERFURAÇÃO'!$P:$P,MATCH(MEDIÇÃO!D225,'PROJETO PERFURAÇÃO'!$B:$B,0))="Pre-Splitting","S"))),"")</f>
        <v>P</v>
      </c>
      <c r="D225" s="14">
        <f t="shared" si="21"/>
        <v>487</v>
      </c>
      <c r="E225" s="4" t="str">
        <f>IFERROR(INDEX('LEV R&amp;D'!$D:$D,MATCH(MEDIÇÃO!D225,'LEV R&amp;D'!$A:$A,0))-INDEX('PROJETO PERFURAÇÃO'!$AH:$AH,MATCH(MEDIÇÃO!D225,'PROJETO PERFURAÇÃO'!$B:$B,0)),"")</f>
        <v/>
      </c>
      <c r="F225" s="17">
        <f>IFERROR(INDEX('PROJETO PERFURAÇÃO'!$AN:$AN,MATCH(MEDIÇÃO!D225,'PROJETO PERFURAÇÃO'!$B:$B,0)),"")</f>
        <v>0</v>
      </c>
      <c r="G225" s="3"/>
      <c r="H225" s="3"/>
      <c r="I225" s="3" t="str">
        <f>IFERROR(ROUND(INDEX('PROJETO PERFURAÇÃO'!$AB:$AB,MATCH(MEDIÇÃO!K225,'PROJETO PERFURAÇÃO'!$B:$B,0)),1)&amp;"''","")</f>
        <v>5''</v>
      </c>
      <c r="J225" s="3" t="str">
        <f>IFERROR(IF(INDEX('PROJETO PERFURAÇÃO'!$P:$P,MATCH(MEDIÇÃO!K225,'PROJETO PERFURAÇÃO'!$B:$B,0))="Production","P",IF(INDEX('PROJETO PERFURAÇÃO'!$P:$P,MATCH(MEDIÇÃO!K225,'PROJETO PERFURAÇÃO'!$B:$B,0))="Buffer","B",IF(INDEX('PROJETO PERFURAÇÃO'!$P:$P,MATCH(MEDIÇÃO!K225,'PROJETO PERFURAÇÃO'!$B:$B,0))="Pre-Splitting","S"))),"")</f>
        <v>P</v>
      </c>
      <c r="K225" s="14">
        <f t="shared" si="22"/>
        <v>510</v>
      </c>
      <c r="L225" s="4" t="str">
        <f>IFERROR(INDEX('LEV R&amp;D'!$D:$D,MATCH(MEDIÇÃO!K225,'LEV R&amp;D'!$A:$A,0))-INDEX('PROJETO PERFURAÇÃO'!$AH:$AH,MATCH(MEDIÇÃO!K225,'PROJETO PERFURAÇÃO'!$B:$B,0)),"")</f>
        <v/>
      </c>
      <c r="M225" s="17">
        <f>IFERROR(INDEX('PROJETO PERFURAÇÃO'!$AN:$AN,MATCH(MEDIÇÃO!K225,'PROJETO PERFURAÇÃO'!$B:$B,0)),"")</f>
        <v>0</v>
      </c>
      <c r="N225" s="3"/>
      <c r="O225" s="3"/>
      <c r="P225" s="3" t="str">
        <f>IFERROR(ROUND(INDEX('PROJETO PERFURAÇÃO'!$AB:$AB,MATCH(MEDIÇÃO!R225,'PROJETO PERFURAÇÃO'!$B:$B,0)),1)&amp;"''","")</f>
        <v>5''</v>
      </c>
      <c r="Q225" s="3" t="str">
        <f>IFERROR(IF(INDEX('PROJETO PERFURAÇÃO'!$P:$P,MATCH(MEDIÇÃO!R225,'PROJETO PERFURAÇÃO'!$B:$B,0))="Production","P",IF(INDEX('PROJETO PERFURAÇÃO'!$P:$P,MATCH(MEDIÇÃO!R225,'PROJETO PERFURAÇÃO'!$B:$B,0))="Buffer","B",IF(INDEX('PROJETO PERFURAÇÃO'!$P:$P,MATCH(MEDIÇÃO!R225,'PROJETO PERFURAÇÃO'!$B:$B,0))="Pre-Splitting","S"))),"")</f>
        <v>P</v>
      </c>
      <c r="R225" s="14">
        <f t="shared" si="23"/>
        <v>533</v>
      </c>
      <c r="S225" s="4" t="str">
        <f>IFERROR(INDEX('LEV R&amp;D'!$D:$D,MATCH(MEDIÇÃO!R225,'LEV R&amp;D'!$A:$A,0))-INDEX('PROJETO PERFURAÇÃO'!$AH:$AH,MATCH(MEDIÇÃO!R225,'PROJETO PERFURAÇÃO'!$B:$B,0)),"")</f>
        <v/>
      </c>
      <c r="T225" s="17">
        <f>IFERROR(INDEX('PROJETO PERFURAÇÃO'!$AN:$AN,MATCH(MEDIÇÃO!R225,'PROJETO PERFURAÇÃO'!$B:$B,0)),"")</f>
        <v>0</v>
      </c>
      <c r="U225" s="3"/>
      <c r="V225" s="3"/>
    </row>
    <row r="226" spans="2:22" ht="45" customHeight="1" x14ac:dyDescent="0.25">
      <c r="B226" s="3" t="str">
        <f>IFERROR(ROUND(INDEX('PROJETO PERFURAÇÃO'!$AB:$AB,MATCH(MEDIÇÃO!D226,'PROJETO PERFURAÇÃO'!$B:$B,0)),1)&amp;"''","")</f>
        <v>5''</v>
      </c>
      <c r="C226" s="3" t="str">
        <f>IFERROR(IF(INDEX('PROJETO PERFURAÇÃO'!$P:$P,MATCH(MEDIÇÃO!D226,'PROJETO PERFURAÇÃO'!$B:$B,0))="Production","P",IF(INDEX('PROJETO PERFURAÇÃO'!$P:$P,MATCH(MEDIÇÃO!D226,'PROJETO PERFURAÇÃO'!$B:$B,0))="Buffer","B",IF(INDEX('PROJETO PERFURAÇÃO'!$P:$P,MATCH(MEDIÇÃO!D226,'PROJETO PERFURAÇÃO'!$B:$B,0))="Pre-Splitting","S"))),"")</f>
        <v>P</v>
      </c>
      <c r="D226" s="14">
        <f t="shared" si="21"/>
        <v>488</v>
      </c>
      <c r="E226" s="4" t="str">
        <f>IFERROR(INDEX('LEV R&amp;D'!$D:$D,MATCH(MEDIÇÃO!D226,'LEV R&amp;D'!$A:$A,0))-INDEX('PROJETO PERFURAÇÃO'!$AH:$AH,MATCH(MEDIÇÃO!D226,'PROJETO PERFURAÇÃO'!$B:$B,0)),"")</f>
        <v/>
      </c>
      <c r="F226" s="17">
        <f>IFERROR(INDEX('PROJETO PERFURAÇÃO'!$AN:$AN,MATCH(MEDIÇÃO!D226,'PROJETO PERFURAÇÃO'!$B:$B,0)),"")</f>
        <v>0</v>
      </c>
      <c r="G226" s="3"/>
      <c r="H226" s="3"/>
      <c r="I226" s="3" t="str">
        <f>IFERROR(ROUND(INDEX('PROJETO PERFURAÇÃO'!$AB:$AB,MATCH(MEDIÇÃO!K226,'PROJETO PERFURAÇÃO'!$B:$B,0)),1)&amp;"''","")</f>
        <v>5''</v>
      </c>
      <c r="J226" s="3" t="str">
        <f>IFERROR(IF(INDEX('PROJETO PERFURAÇÃO'!$P:$P,MATCH(MEDIÇÃO!K226,'PROJETO PERFURAÇÃO'!$B:$B,0))="Production","P",IF(INDEX('PROJETO PERFURAÇÃO'!$P:$P,MATCH(MEDIÇÃO!K226,'PROJETO PERFURAÇÃO'!$B:$B,0))="Buffer","B",IF(INDEX('PROJETO PERFURAÇÃO'!$P:$P,MATCH(MEDIÇÃO!K226,'PROJETO PERFURAÇÃO'!$B:$B,0))="Pre-Splitting","S"))),"")</f>
        <v>P</v>
      </c>
      <c r="K226" s="14">
        <f t="shared" si="22"/>
        <v>511</v>
      </c>
      <c r="L226" s="4" t="str">
        <f>IFERROR(INDEX('LEV R&amp;D'!$D:$D,MATCH(MEDIÇÃO!K226,'LEV R&amp;D'!$A:$A,0))-INDEX('PROJETO PERFURAÇÃO'!$AH:$AH,MATCH(MEDIÇÃO!K226,'PROJETO PERFURAÇÃO'!$B:$B,0)),"")</f>
        <v/>
      </c>
      <c r="M226" s="17">
        <f>IFERROR(INDEX('PROJETO PERFURAÇÃO'!$AN:$AN,MATCH(MEDIÇÃO!K226,'PROJETO PERFURAÇÃO'!$B:$B,0)),"")</f>
        <v>0</v>
      </c>
      <c r="N226" s="3"/>
      <c r="O226" s="3"/>
      <c r="P226" s="3" t="str">
        <f>IFERROR(ROUND(INDEX('PROJETO PERFURAÇÃO'!$AB:$AB,MATCH(MEDIÇÃO!R226,'PROJETO PERFURAÇÃO'!$B:$B,0)),1)&amp;"''","")</f>
        <v>5''</v>
      </c>
      <c r="Q226" s="3" t="str">
        <f>IFERROR(IF(INDEX('PROJETO PERFURAÇÃO'!$P:$P,MATCH(MEDIÇÃO!R226,'PROJETO PERFURAÇÃO'!$B:$B,0))="Production","P",IF(INDEX('PROJETO PERFURAÇÃO'!$P:$P,MATCH(MEDIÇÃO!R226,'PROJETO PERFURAÇÃO'!$B:$B,0))="Buffer","B",IF(INDEX('PROJETO PERFURAÇÃO'!$P:$P,MATCH(MEDIÇÃO!R226,'PROJETO PERFURAÇÃO'!$B:$B,0))="Pre-Splitting","S"))),"")</f>
        <v>P</v>
      </c>
      <c r="R226" s="14">
        <f t="shared" si="23"/>
        <v>534</v>
      </c>
      <c r="S226" s="4" t="str">
        <f>IFERROR(INDEX('LEV R&amp;D'!$D:$D,MATCH(MEDIÇÃO!R226,'LEV R&amp;D'!$A:$A,0))-INDEX('PROJETO PERFURAÇÃO'!$AH:$AH,MATCH(MEDIÇÃO!R226,'PROJETO PERFURAÇÃO'!$B:$B,0)),"")</f>
        <v/>
      </c>
      <c r="T226" s="17">
        <f>IFERROR(INDEX('PROJETO PERFURAÇÃO'!$AN:$AN,MATCH(MEDIÇÃO!R226,'PROJETO PERFURAÇÃO'!$B:$B,0)),"")</f>
        <v>0</v>
      </c>
      <c r="U226" s="3"/>
      <c r="V226" s="3"/>
    </row>
    <row r="227" spans="2:22" ht="45" customHeight="1" x14ac:dyDescent="0.25">
      <c r="B227" s="3" t="str">
        <f>IFERROR(ROUND(INDEX('PROJETO PERFURAÇÃO'!$AB:$AB,MATCH(MEDIÇÃO!D227,'PROJETO PERFURAÇÃO'!$B:$B,0)),1)&amp;"''","")</f>
        <v>5''</v>
      </c>
      <c r="C227" s="3" t="str">
        <f>IFERROR(IF(INDEX('PROJETO PERFURAÇÃO'!$P:$P,MATCH(MEDIÇÃO!D227,'PROJETO PERFURAÇÃO'!$B:$B,0))="Production","P",IF(INDEX('PROJETO PERFURAÇÃO'!$P:$P,MATCH(MEDIÇÃO!D227,'PROJETO PERFURAÇÃO'!$B:$B,0))="Buffer","B",IF(INDEX('PROJETO PERFURAÇÃO'!$P:$P,MATCH(MEDIÇÃO!D227,'PROJETO PERFURAÇÃO'!$B:$B,0))="Pre-Splitting","S"))),"")</f>
        <v>P</v>
      </c>
      <c r="D227" s="14">
        <f t="shared" si="21"/>
        <v>489</v>
      </c>
      <c r="E227" s="4" t="str">
        <f>IFERROR(INDEX('LEV R&amp;D'!$D:$D,MATCH(MEDIÇÃO!D227,'LEV R&amp;D'!$A:$A,0))-INDEX('PROJETO PERFURAÇÃO'!$AH:$AH,MATCH(MEDIÇÃO!D227,'PROJETO PERFURAÇÃO'!$B:$B,0)),"")</f>
        <v/>
      </c>
      <c r="F227" s="17">
        <f>IFERROR(INDEX('PROJETO PERFURAÇÃO'!$AN:$AN,MATCH(MEDIÇÃO!D227,'PROJETO PERFURAÇÃO'!$B:$B,0)),"")</f>
        <v>0</v>
      </c>
      <c r="G227" s="3"/>
      <c r="H227" s="3"/>
      <c r="I227" s="3" t="str">
        <f>IFERROR(ROUND(INDEX('PROJETO PERFURAÇÃO'!$AB:$AB,MATCH(MEDIÇÃO!K227,'PROJETO PERFURAÇÃO'!$B:$B,0)),1)&amp;"''","")</f>
        <v>5''</v>
      </c>
      <c r="J227" s="3" t="str">
        <f>IFERROR(IF(INDEX('PROJETO PERFURAÇÃO'!$P:$P,MATCH(MEDIÇÃO!K227,'PROJETO PERFURAÇÃO'!$B:$B,0))="Production","P",IF(INDEX('PROJETO PERFURAÇÃO'!$P:$P,MATCH(MEDIÇÃO!K227,'PROJETO PERFURAÇÃO'!$B:$B,0))="Buffer","B",IF(INDEX('PROJETO PERFURAÇÃO'!$P:$P,MATCH(MEDIÇÃO!K227,'PROJETO PERFURAÇÃO'!$B:$B,0))="Pre-Splitting","S"))),"")</f>
        <v>P</v>
      </c>
      <c r="K227" s="14">
        <f t="shared" si="22"/>
        <v>512</v>
      </c>
      <c r="L227" s="4" t="str">
        <f>IFERROR(INDEX('LEV R&amp;D'!$D:$D,MATCH(MEDIÇÃO!K227,'LEV R&amp;D'!$A:$A,0))-INDEX('PROJETO PERFURAÇÃO'!$AH:$AH,MATCH(MEDIÇÃO!K227,'PROJETO PERFURAÇÃO'!$B:$B,0)),"")</f>
        <v/>
      </c>
      <c r="M227" s="17">
        <f>IFERROR(INDEX('PROJETO PERFURAÇÃO'!$AN:$AN,MATCH(MEDIÇÃO!K227,'PROJETO PERFURAÇÃO'!$B:$B,0)),"")</f>
        <v>0</v>
      </c>
      <c r="N227" s="3"/>
      <c r="O227" s="3"/>
      <c r="P227" s="3" t="str">
        <f>IFERROR(ROUND(INDEX('PROJETO PERFURAÇÃO'!$AB:$AB,MATCH(MEDIÇÃO!R227,'PROJETO PERFURAÇÃO'!$B:$B,0)),1)&amp;"''","")</f>
        <v>5''</v>
      </c>
      <c r="Q227" s="3" t="str">
        <f>IFERROR(IF(INDEX('PROJETO PERFURAÇÃO'!$P:$P,MATCH(MEDIÇÃO!R227,'PROJETO PERFURAÇÃO'!$B:$B,0))="Production","P",IF(INDEX('PROJETO PERFURAÇÃO'!$P:$P,MATCH(MEDIÇÃO!R227,'PROJETO PERFURAÇÃO'!$B:$B,0))="Buffer","B",IF(INDEX('PROJETO PERFURAÇÃO'!$P:$P,MATCH(MEDIÇÃO!R227,'PROJETO PERFURAÇÃO'!$B:$B,0))="Pre-Splitting","S"))),"")</f>
        <v>P</v>
      </c>
      <c r="R227" s="14">
        <f t="shared" si="23"/>
        <v>535</v>
      </c>
      <c r="S227" s="4" t="str">
        <f>IFERROR(INDEX('LEV R&amp;D'!$D:$D,MATCH(MEDIÇÃO!R227,'LEV R&amp;D'!$A:$A,0))-INDEX('PROJETO PERFURAÇÃO'!$AH:$AH,MATCH(MEDIÇÃO!R227,'PROJETO PERFURAÇÃO'!$B:$B,0)),"")</f>
        <v/>
      </c>
      <c r="T227" s="17">
        <f>IFERROR(INDEX('PROJETO PERFURAÇÃO'!$AN:$AN,MATCH(MEDIÇÃO!R227,'PROJETO PERFURAÇÃO'!$B:$B,0)),"")</f>
        <v>0</v>
      </c>
      <c r="U227" s="3"/>
      <c r="V227" s="3"/>
    </row>
    <row r="228" spans="2:22" ht="45" customHeight="1" x14ac:dyDescent="0.25">
      <c r="B228" s="3" t="str">
        <f>IFERROR(ROUND(INDEX('PROJETO PERFURAÇÃO'!$AB:$AB,MATCH(MEDIÇÃO!D228,'PROJETO PERFURAÇÃO'!$B:$B,0)),1)&amp;"''","")</f>
        <v>5''</v>
      </c>
      <c r="C228" s="3" t="str">
        <f>IFERROR(IF(INDEX('PROJETO PERFURAÇÃO'!$P:$P,MATCH(MEDIÇÃO!D228,'PROJETO PERFURAÇÃO'!$B:$B,0))="Production","P",IF(INDEX('PROJETO PERFURAÇÃO'!$P:$P,MATCH(MEDIÇÃO!D228,'PROJETO PERFURAÇÃO'!$B:$B,0))="Buffer","B",IF(INDEX('PROJETO PERFURAÇÃO'!$P:$P,MATCH(MEDIÇÃO!D228,'PROJETO PERFURAÇÃO'!$B:$B,0))="Pre-Splitting","S"))),"")</f>
        <v>P</v>
      </c>
      <c r="D228" s="14">
        <f t="shared" si="21"/>
        <v>490</v>
      </c>
      <c r="E228" s="4" t="str">
        <f>IFERROR(INDEX('LEV R&amp;D'!$D:$D,MATCH(MEDIÇÃO!D228,'LEV R&amp;D'!$A:$A,0))-INDEX('PROJETO PERFURAÇÃO'!$AH:$AH,MATCH(MEDIÇÃO!D228,'PROJETO PERFURAÇÃO'!$B:$B,0)),"")</f>
        <v/>
      </c>
      <c r="F228" s="17">
        <f>IFERROR(INDEX('PROJETO PERFURAÇÃO'!$AN:$AN,MATCH(MEDIÇÃO!D228,'PROJETO PERFURAÇÃO'!$B:$B,0)),"")</f>
        <v>0</v>
      </c>
      <c r="G228" s="3"/>
      <c r="H228" s="3"/>
      <c r="I228" s="3" t="str">
        <f>IFERROR(ROUND(INDEX('PROJETO PERFURAÇÃO'!$AB:$AB,MATCH(MEDIÇÃO!K228,'PROJETO PERFURAÇÃO'!$B:$B,0)),1)&amp;"''","")</f>
        <v>5''</v>
      </c>
      <c r="J228" s="3" t="str">
        <f>IFERROR(IF(INDEX('PROJETO PERFURAÇÃO'!$P:$P,MATCH(MEDIÇÃO!K228,'PROJETO PERFURAÇÃO'!$B:$B,0))="Production","P",IF(INDEX('PROJETO PERFURAÇÃO'!$P:$P,MATCH(MEDIÇÃO!K228,'PROJETO PERFURAÇÃO'!$B:$B,0))="Buffer","B",IF(INDEX('PROJETO PERFURAÇÃO'!$P:$P,MATCH(MEDIÇÃO!K228,'PROJETO PERFURAÇÃO'!$B:$B,0))="Pre-Splitting","S"))),"")</f>
        <v>P</v>
      </c>
      <c r="K228" s="14">
        <f t="shared" si="22"/>
        <v>513</v>
      </c>
      <c r="L228" s="4" t="str">
        <f>IFERROR(INDEX('LEV R&amp;D'!$D:$D,MATCH(MEDIÇÃO!K228,'LEV R&amp;D'!$A:$A,0))-INDEX('PROJETO PERFURAÇÃO'!$AH:$AH,MATCH(MEDIÇÃO!K228,'PROJETO PERFURAÇÃO'!$B:$B,0)),"")</f>
        <v/>
      </c>
      <c r="M228" s="17">
        <f>IFERROR(INDEX('PROJETO PERFURAÇÃO'!$AN:$AN,MATCH(MEDIÇÃO!K228,'PROJETO PERFURAÇÃO'!$B:$B,0)),"")</f>
        <v>0</v>
      </c>
      <c r="N228" s="3"/>
      <c r="O228" s="3"/>
      <c r="P228" s="3" t="str">
        <f>IFERROR(ROUND(INDEX('PROJETO PERFURAÇÃO'!$AB:$AB,MATCH(MEDIÇÃO!R228,'PROJETO PERFURAÇÃO'!$B:$B,0)),1)&amp;"''","")</f>
        <v>5''</v>
      </c>
      <c r="Q228" s="3" t="str">
        <f>IFERROR(IF(INDEX('PROJETO PERFURAÇÃO'!$P:$P,MATCH(MEDIÇÃO!R228,'PROJETO PERFURAÇÃO'!$B:$B,0))="Production","P",IF(INDEX('PROJETO PERFURAÇÃO'!$P:$P,MATCH(MEDIÇÃO!R228,'PROJETO PERFURAÇÃO'!$B:$B,0))="Buffer","B",IF(INDEX('PROJETO PERFURAÇÃO'!$P:$P,MATCH(MEDIÇÃO!R228,'PROJETO PERFURAÇÃO'!$B:$B,0))="Pre-Splitting","S"))),"")</f>
        <v>P</v>
      </c>
      <c r="R228" s="14">
        <f t="shared" si="23"/>
        <v>536</v>
      </c>
      <c r="S228" s="4" t="str">
        <f>IFERROR(INDEX('LEV R&amp;D'!$D:$D,MATCH(MEDIÇÃO!R228,'LEV R&amp;D'!$A:$A,0))-INDEX('PROJETO PERFURAÇÃO'!$AH:$AH,MATCH(MEDIÇÃO!R228,'PROJETO PERFURAÇÃO'!$B:$B,0)),"")</f>
        <v/>
      </c>
      <c r="T228" s="17">
        <f>IFERROR(INDEX('PROJETO PERFURAÇÃO'!$AN:$AN,MATCH(MEDIÇÃO!R228,'PROJETO PERFURAÇÃO'!$B:$B,0)),"")</f>
        <v>0</v>
      </c>
      <c r="U228" s="3"/>
      <c r="V228" s="3"/>
    </row>
    <row r="229" spans="2:22" ht="45" customHeight="1" x14ac:dyDescent="0.25">
      <c r="B229" s="3" t="str">
        <f>IFERROR(ROUND(INDEX('PROJETO PERFURAÇÃO'!$AB:$AB,MATCH(MEDIÇÃO!D229,'PROJETO PERFURAÇÃO'!$B:$B,0)),1)&amp;"''","")</f>
        <v>5''</v>
      </c>
      <c r="C229" s="3" t="str">
        <f>IFERROR(IF(INDEX('PROJETO PERFURAÇÃO'!$P:$P,MATCH(MEDIÇÃO!D229,'PROJETO PERFURAÇÃO'!$B:$B,0))="Production","P",IF(INDEX('PROJETO PERFURAÇÃO'!$P:$P,MATCH(MEDIÇÃO!D229,'PROJETO PERFURAÇÃO'!$B:$B,0))="Buffer","B",IF(INDEX('PROJETO PERFURAÇÃO'!$P:$P,MATCH(MEDIÇÃO!D229,'PROJETO PERFURAÇÃO'!$B:$B,0))="Pre-Splitting","S"))),"")</f>
        <v>P</v>
      </c>
      <c r="D229" s="14">
        <f t="shared" si="21"/>
        <v>491</v>
      </c>
      <c r="E229" s="4" t="str">
        <f>IFERROR(INDEX('LEV R&amp;D'!$D:$D,MATCH(MEDIÇÃO!D229,'LEV R&amp;D'!$A:$A,0))-INDEX('PROJETO PERFURAÇÃO'!$AH:$AH,MATCH(MEDIÇÃO!D229,'PROJETO PERFURAÇÃO'!$B:$B,0)),"")</f>
        <v/>
      </c>
      <c r="F229" s="17">
        <f>IFERROR(INDEX('PROJETO PERFURAÇÃO'!$AN:$AN,MATCH(MEDIÇÃO!D229,'PROJETO PERFURAÇÃO'!$B:$B,0)),"")</f>
        <v>0</v>
      </c>
      <c r="G229" s="3"/>
      <c r="H229" s="3"/>
      <c r="I229" s="3" t="str">
        <f>IFERROR(ROUND(INDEX('PROJETO PERFURAÇÃO'!$AB:$AB,MATCH(MEDIÇÃO!K229,'PROJETO PERFURAÇÃO'!$B:$B,0)),1)&amp;"''","")</f>
        <v>5''</v>
      </c>
      <c r="J229" s="3" t="str">
        <f>IFERROR(IF(INDEX('PROJETO PERFURAÇÃO'!$P:$P,MATCH(MEDIÇÃO!K229,'PROJETO PERFURAÇÃO'!$B:$B,0))="Production","P",IF(INDEX('PROJETO PERFURAÇÃO'!$P:$P,MATCH(MEDIÇÃO!K229,'PROJETO PERFURAÇÃO'!$B:$B,0))="Buffer","B",IF(INDEX('PROJETO PERFURAÇÃO'!$P:$P,MATCH(MEDIÇÃO!K229,'PROJETO PERFURAÇÃO'!$B:$B,0))="Pre-Splitting","S"))),"")</f>
        <v>P</v>
      </c>
      <c r="K229" s="14">
        <f t="shared" si="22"/>
        <v>514</v>
      </c>
      <c r="L229" s="4" t="str">
        <f>IFERROR(INDEX('LEV R&amp;D'!$D:$D,MATCH(MEDIÇÃO!K229,'LEV R&amp;D'!$A:$A,0))-INDEX('PROJETO PERFURAÇÃO'!$AH:$AH,MATCH(MEDIÇÃO!K229,'PROJETO PERFURAÇÃO'!$B:$B,0)),"")</f>
        <v/>
      </c>
      <c r="M229" s="17">
        <f>IFERROR(INDEX('PROJETO PERFURAÇÃO'!$AN:$AN,MATCH(MEDIÇÃO!K229,'PROJETO PERFURAÇÃO'!$B:$B,0)),"")</f>
        <v>0</v>
      </c>
      <c r="N229" s="3"/>
      <c r="O229" s="3"/>
      <c r="P229" s="3" t="str">
        <f>IFERROR(ROUND(INDEX('PROJETO PERFURAÇÃO'!$AB:$AB,MATCH(MEDIÇÃO!R229,'PROJETO PERFURAÇÃO'!$B:$B,0)),1)&amp;"''","")</f>
        <v>5''</v>
      </c>
      <c r="Q229" s="3" t="str">
        <f>IFERROR(IF(INDEX('PROJETO PERFURAÇÃO'!$P:$P,MATCH(MEDIÇÃO!R229,'PROJETO PERFURAÇÃO'!$B:$B,0))="Production","P",IF(INDEX('PROJETO PERFURAÇÃO'!$P:$P,MATCH(MEDIÇÃO!R229,'PROJETO PERFURAÇÃO'!$B:$B,0))="Buffer","B",IF(INDEX('PROJETO PERFURAÇÃO'!$P:$P,MATCH(MEDIÇÃO!R229,'PROJETO PERFURAÇÃO'!$B:$B,0))="Pre-Splitting","S"))),"")</f>
        <v>P</v>
      </c>
      <c r="R229" s="14">
        <f t="shared" si="23"/>
        <v>537</v>
      </c>
      <c r="S229" s="4" t="str">
        <f>IFERROR(INDEX('LEV R&amp;D'!$D:$D,MATCH(MEDIÇÃO!R229,'LEV R&amp;D'!$A:$A,0))-INDEX('PROJETO PERFURAÇÃO'!$AH:$AH,MATCH(MEDIÇÃO!R229,'PROJETO PERFURAÇÃO'!$B:$B,0)),"")</f>
        <v/>
      </c>
      <c r="T229" s="17">
        <f>IFERROR(INDEX('PROJETO PERFURAÇÃO'!$AN:$AN,MATCH(MEDIÇÃO!R229,'PROJETO PERFURAÇÃO'!$B:$B,0)),"")</f>
        <v>0</v>
      </c>
      <c r="U229" s="3"/>
      <c r="V229" s="3"/>
    </row>
    <row r="230" spans="2:22" ht="45" customHeight="1" x14ac:dyDescent="0.25">
      <c r="B230" s="3" t="str">
        <f>IFERROR(ROUND(INDEX('PROJETO PERFURAÇÃO'!$AB:$AB,MATCH(MEDIÇÃO!D230,'PROJETO PERFURAÇÃO'!$B:$B,0)),1)&amp;"''","")</f>
        <v>5''</v>
      </c>
      <c r="C230" s="3" t="str">
        <f>IFERROR(IF(INDEX('PROJETO PERFURAÇÃO'!$P:$P,MATCH(MEDIÇÃO!D230,'PROJETO PERFURAÇÃO'!$B:$B,0))="Production","P",IF(INDEX('PROJETO PERFURAÇÃO'!$P:$P,MATCH(MEDIÇÃO!D230,'PROJETO PERFURAÇÃO'!$B:$B,0))="Buffer","B",IF(INDEX('PROJETO PERFURAÇÃO'!$P:$P,MATCH(MEDIÇÃO!D230,'PROJETO PERFURAÇÃO'!$B:$B,0))="Pre-Splitting","S"))),"")</f>
        <v>P</v>
      </c>
      <c r="D230" s="14">
        <f t="shared" si="21"/>
        <v>492</v>
      </c>
      <c r="E230" s="4" t="str">
        <f>IFERROR(INDEX('LEV R&amp;D'!$D:$D,MATCH(MEDIÇÃO!D230,'LEV R&amp;D'!$A:$A,0))-INDEX('PROJETO PERFURAÇÃO'!$AH:$AH,MATCH(MEDIÇÃO!D230,'PROJETO PERFURAÇÃO'!$B:$B,0)),"")</f>
        <v/>
      </c>
      <c r="F230" s="17">
        <f>IFERROR(INDEX('PROJETO PERFURAÇÃO'!$AN:$AN,MATCH(MEDIÇÃO!D230,'PROJETO PERFURAÇÃO'!$B:$B,0)),"")</f>
        <v>0</v>
      </c>
      <c r="G230" s="3"/>
      <c r="H230" s="3"/>
      <c r="I230" s="3" t="str">
        <f>IFERROR(ROUND(INDEX('PROJETO PERFURAÇÃO'!$AB:$AB,MATCH(MEDIÇÃO!K230,'PROJETO PERFURAÇÃO'!$B:$B,0)),1)&amp;"''","")</f>
        <v>5''</v>
      </c>
      <c r="J230" s="3" t="str">
        <f>IFERROR(IF(INDEX('PROJETO PERFURAÇÃO'!$P:$P,MATCH(MEDIÇÃO!K230,'PROJETO PERFURAÇÃO'!$B:$B,0))="Production","P",IF(INDEX('PROJETO PERFURAÇÃO'!$P:$P,MATCH(MEDIÇÃO!K230,'PROJETO PERFURAÇÃO'!$B:$B,0))="Buffer","B",IF(INDEX('PROJETO PERFURAÇÃO'!$P:$P,MATCH(MEDIÇÃO!K230,'PROJETO PERFURAÇÃO'!$B:$B,0))="Pre-Splitting","S"))),"")</f>
        <v>P</v>
      </c>
      <c r="K230" s="14">
        <f t="shared" si="22"/>
        <v>515</v>
      </c>
      <c r="L230" s="4" t="str">
        <f>IFERROR(INDEX('LEV R&amp;D'!$D:$D,MATCH(MEDIÇÃO!K230,'LEV R&amp;D'!$A:$A,0))-INDEX('PROJETO PERFURAÇÃO'!$AH:$AH,MATCH(MEDIÇÃO!K230,'PROJETO PERFURAÇÃO'!$B:$B,0)),"")</f>
        <v/>
      </c>
      <c r="M230" s="17">
        <f>IFERROR(INDEX('PROJETO PERFURAÇÃO'!$AN:$AN,MATCH(MEDIÇÃO!K230,'PROJETO PERFURAÇÃO'!$B:$B,0)),"")</f>
        <v>0</v>
      </c>
      <c r="N230" s="3"/>
      <c r="O230" s="3"/>
      <c r="P230" s="3" t="str">
        <f>IFERROR(ROUND(INDEX('PROJETO PERFURAÇÃO'!$AB:$AB,MATCH(MEDIÇÃO!R230,'PROJETO PERFURAÇÃO'!$B:$B,0)),1)&amp;"''","")</f>
        <v>5''</v>
      </c>
      <c r="Q230" s="3" t="str">
        <f>IFERROR(IF(INDEX('PROJETO PERFURAÇÃO'!$P:$P,MATCH(MEDIÇÃO!R230,'PROJETO PERFURAÇÃO'!$B:$B,0))="Production","P",IF(INDEX('PROJETO PERFURAÇÃO'!$P:$P,MATCH(MEDIÇÃO!R230,'PROJETO PERFURAÇÃO'!$B:$B,0))="Buffer","B",IF(INDEX('PROJETO PERFURAÇÃO'!$P:$P,MATCH(MEDIÇÃO!R230,'PROJETO PERFURAÇÃO'!$B:$B,0))="Pre-Splitting","S"))),"")</f>
        <v>P</v>
      </c>
      <c r="R230" s="14">
        <f t="shared" si="23"/>
        <v>538</v>
      </c>
      <c r="S230" s="4" t="str">
        <f>IFERROR(INDEX('LEV R&amp;D'!$D:$D,MATCH(MEDIÇÃO!R230,'LEV R&amp;D'!$A:$A,0))-INDEX('PROJETO PERFURAÇÃO'!$AH:$AH,MATCH(MEDIÇÃO!R230,'PROJETO PERFURAÇÃO'!$B:$B,0)),"")</f>
        <v/>
      </c>
      <c r="T230" s="17">
        <f>IFERROR(INDEX('PROJETO PERFURAÇÃO'!$AN:$AN,MATCH(MEDIÇÃO!R230,'PROJETO PERFURAÇÃO'!$B:$B,0)),"")</f>
        <v>0</v>
      </c>
      <c r="U230" s="3"/>
      <c r="V230" s="3"/>
    </row>
    <row r="231" spans="2:22" ht="45" customHeight="1" x14ac:dyDescent="0.25">
      <c r="B231" s="3" t="str">
        <f>IFERROR(ROUND(INDEX('PROJETO PERFURAÇÃO'!$AB:$AB,MATCH(MEDIÇÃO!D231,'PROJETO PERFURAÇÃO'!$B:$B,0)),1)&amp;"''","")</f>
        <v>5''</v>
      </c>
      <c r="C231" s="3" t="str">
        <f>IFERROR(IF(INDEX('PROJETO PERFURAÇÃO'!$P:$P,MATCH(MEDIÇÃO!D231,'PROJETO PERFURAÇÃO'!$B:$B,0))="Production","P",IF(INDEX('PROJETO PERFURAÇÃO'!$P:$P,MATCH(MEDIÇÃO!D231,'PROJETO PERFURAÇÃO'!$B:$B,0))="Buffer","B",IF(INDEX('PROJETO PERFURAÇÃO'!$P:$P,MATCH(MEDIÇÃO!D231,'PROJETO PERFURAÇÃO'!$B:$B,0))="Pre-Splitting","S"))),"")</f>
        <v>P</v>
      </c>
      <c r="D231" s="14">
        <f t="shared" si="21"/>
        <v>493</v>
      </c>
      <c r="E231" s="4" t="str">
        <f>IFERROR(INDEX('LEV R&amp;D'!$D:$D,MATCH(MEDIÇÃO!D231,'LEV R&amp;D'!$A:$A,0))-INDEX('PROJETO PERFURAÇÃO'!$AH:$AH,MATCH(MEDIÇÃO!D231,'PROJETO PERFURAÇÃO'!$B:$B,0)),"")</f>
        <v/>
      </c>
      <c r="F231" s="17">
        <f>IFERROR(INDEX('PROJETO PERFURAÇÃO'!$AN:$AN,MATCH(MEDIÇÃO!D231,'PROJETO PERFURAÇÃO'!$B:$B,0)),"")</f>
        <v>0</v>
      </c>
      <c r="G231" s="3"/>
      <c r="H231" s="3"/>
      <c r="I231" s="3" t="str">
        <f>IFERROR(ROUND(INDEX('PROJETO PERFURAÇÃO'!$AB:$AB,MATCH(MEDIÇÃO!K231,'PROJETO PERFURAÇÃO'!$B:$B,0)),1)&amp;"''","")</f>
        <v>5''</v>
      </c>
      <c r="J231" s="3" t="str">
        <f>IFERROR(IF(INDEX('PROJETO PERFURAÇÃO'!$P:$P,MATCH(MEDIÇÃO!K231,'PROJETO PERFURAÇÃO'!$B:$B,0))="Production","P",IF(INDEX('PROJETO PERFURAÇÃO'!$P:$P,MATCH(MEDIÇÃO!K231,'PROJETO PERFURAÇÃO'!$B:$B,0))="Buffer","B",IF(INDEX('PROJETO PERFURAÇÃO'!$P:$P,MATCH(MEDIÇÃO!K231,'PROJETO PERFURAÇÃO'!$B:$B,0))="Pre-Splitting","S"))),"")</f>
        <v>P</v>
      </c>
      <c r="K231" s="14">
        <f t="shared" si="22"/>
        <v>516</v>
      </c>
      <c r="L231" s="4" t="str">
        <f>IFERROR(INDEX('LEV R&amp;D'!$D:$D,MATCH(MEDIÇÃO!K231,'LEV R&amp;D'!$A:$A,0))-INDEX('PROJETO PERFURAÇÃO'!$AH:$AH,MATCH(MEDIÇÃO!K231,'PROJETO PERFURAÇÃO'!$B:$B,0)),"")</f>
        <v/>
      </c>
      <c r="M231" s="17">
        <f>IFERROR(INDEX('PROJETO PERFURAÇÃO'!$AN:$AN,MATCH(MEDIÇÃO!K231,'PROJETO PERFURAÇÃO'!$B:$B,0)),"")</f>
        <v>0</v>
      </c>
      <c r="N231" s="3"/>
      <c r="O231" s="3"/>
      <c r="P231" s="3" t="str">
        <f>IFERROR(ROUND(INDEX('PROJETO PERFURAÇÃO'!$AB:$AB,MATCH(MEDIÇÃO!R231,'PROJETO PERFURAÇÃO'!$B:$B,0)),1)&amp;"''","")</f>
        <v>5''</v>
      </c>
      <c r="Q231" s="3" t="str">
        <f>IFERROR(IF(INDEX('PROJETO PERFURAÇÃO'!$P:$P,MATCH(MEDIÇÃO!R231,'PROJETO PERFURAÇÃO'!$B:$B,0))="Production","P",IF(INDEX('PROJETO PERFURAÇÃO'!$P:$P,MATCH(MEDIÇÃO!R231,'PROJETO PERFURAÇÃO'!$B:$B,0))="Buffer","B",IF(INDEX('PROJETO PERFURAÇÃO'!$P:$P,MATCH(MEDIÇÃO!R231,'PROJETO PERFURAÇÃO'!$B:$B,0))="Pre-Splitting","S"))),"")</f>
        <v>P</v>
      </c>
      <c r="R231" s="14">
        <f t="shared" si="23"/>
        <v>539</v>
      </c>
      <c r="S231" s="4" t="str">
        <f>IFERROR(INDEX('LEV R&amp;D'!$D:$D,MATCH(MEDIÇÃO!R231,'LEV R&amp;D'!$A:$A,0))-INDEX('PROJETO PERFURAÇÃO'!$AH:$AH,MATCH(MEDIÇÃO!R231,'PROJETO PERFURAÇÃO'!$B:$B,0)),"")</f>
        <v/>
      </c>
      <c r="T231" s="17">
        <f>IFERROR(INDEX('PROJETO PERFURAÇÃO'!$AN:$AN,MATCH(MEDIÇÃO!R231,'PROJETO PERFURAÇÃO'!$B:$B,0)),"")</f>
        <v>0</v>
      </c>
      <c r="U231" s="3"/>
      <c r="V231" s="3"/>
    </row>
    <row r="232" spans="2:22" ht="45" customHeight="1" x14ac:dyDescent="0.25">
      <c r="B232" s="3" t="str">
        <f>IFERROR(ROUND(INDEX('PROJETO PERFURAÇÃO'!$AB:$AB,MATCH(MEDIÇÃO!D232,'PROJETO PERFURAÇÃO'!$B:$B,0)),1)&amp;"''","")</f>
        <v>5''</v>
      </c>
      <c r="C232" s="3" t="str">
        <f>IFERROR(IF(INDEX('PROJETO PERFURAÇÃO'!$P:$P,MATCH(MEDIÇÃO!D232,'PROJETO PERFURAÇÃO'!$B:$B,0))="Production","P",IF(INDEX('PROJETO PERFURAÇÃO'!$P:$P,MATCH(MEDIÇÃO!D232,'PROJETO PERFURAÇÃO'!$B:$B,0))="Buffer","B",IF(INDEX('PROJETO PERFURAÇÃO'!$P:$P,MATCH(MEDIÇÃO!D232,'PROJETO PERFURAÇÃO'!$B:$B,0))="Pre-Splitting","S"))),"")</f>
        <v>P</v>
      </c>
      <c r="D232" s="14">
        <f t="shared" si="21"/>
        <v>494</v>
      </c>
      <c r="E232" s="4" t="str">
        <f>IFERROR(INDEX('LEV R&amp;D'!$D:$D,MATCH(MEDIÇÃO!D232,'LEV R&amp;D'!$A:$A,0))-INDEX('PROJETO PERFURAÇÃO'!$AH:$AH,MATCH(MEDIÇÃO!D232,'PROJETO PERFURAÇÃO'!$B:$B,0)),"")</f>
        <v/>
      </c>
      <c r="F232" s="17">
        <f>IFERROR(INDEX('PROJETO PERFURAÇÃO'!$AN:$AN,MATCH(MEDIÇÃO!D232,'PROJETO PERFURAÇÃO'!$B:$B,0)),"")</f>
        <v>0</v>
      </c>
      <c r="G232" s="3"/>
      <c r="H232" s="3"/>
      <c r="I232" s="3" t="str">
        <f>IFERROR(ROUND(INDEX('PROJETO PERFURAÇÃO'!$AB:$AB,MATCH(MEDIÇÃO!K232,'PROJETO PERFURAÇÃO'!$B:$B,0)),1)&amp;"''","")</f>
        <v>5''</v>
      </c>
      <c r="J232" s="3" t="str">
        <f>IFERROR(IF(INDEX('PROJETO PERFURAÇÃO'!$P:$P,MATCH(MEDIÇÃO!K232,'PROJETO PERFURAÇÃO'!$B:$B,0))="Production","P",IF(INDEX('PROJETO PERFURAÇÃO'!$P:$P,MATCH(MEDIÇÃO!K232,'PROJETO PERFURAÇÃO'!$B:$B,0))="Buffer","B",IF(INDEX('PROJETO PERFURAÇÃO'!$P:$P,MATCH(MEDIÇÃO!K232,'PROJETO PERFURAÇÃO'!$B:$B,0))="Pre-Splitting","S"))),"")</f>
        <v>P</v>
      </c>
      <c r="K232" s="14">
        <f t="shared" si="22"/>
        <v>517</v>
      </c>
      <c r="L232" s="4" t="str">
        <f>IFERROR(INDEX('LEV R&amp;D'!$D:$D,MATCH(MEDIÇÃO!K232,'LEV R&amp;D'!$A:$A,0))-INDEX('PROJETO PERFURAÇÃO'!$AH:$AH,MATCH(MEDIÇÃO!K232,'PROJETO PERFURAÇÃO'!$B:$B,0)),"")</f>
        <v/>
      </c>
      <c r="M232" s="17">
        <f>IFERROR(INDEX('PROJETO PERFURAÇÃO'!$AN:$AN,MATCH(MEDIÇÃO!K232,'PROJETO PERFURAÇÃO'!$B:$B,0)),"")</f>
        <v>0</v>
      </c>
      <c r="N232" s="3"/>
      <c r="O232" s="3"/>
      <c r="P232" s="3" t="str">
        <f>IFERROR(ROUND(INDEX('PROJETO PERFURAÇÃO'!$AB:$AB,MATCH(MEDIÇÃO!R232,'PROJETO PERFURAÇÃO'!$B:$B,0)),1)&amp;"''","")</f>
        <v>5''</v>
      </c>
      <c r="Q232" s="3" t="str">
        <f>IFERROR(IF(INDEX('PROJETO PERFURAÇÃO'!$P:$P,MATCH(MEDIÇÃO!R232,'PROJETO PERFURAÇÃO'!$B:$B,0))="Production","P",IF(INDEX('PROJETO PERFURAÇÃO'!$P:$P,MATCH(MEDIÇÃO!R232,'PROJETO PERFURAÇÃO'!$B:$B,0))="Buffer","B",IF(INDEX('PROJETO PERFURAÇÃO'!$P:$P,MATCH(MEDIÇÃO!R232,'PROJETO PERFURAÇÃO'!$B:$B,0))="Pre-Splitting","S"))),"")</f>
        <v>P</v>
      </c>
      <c r="R232" s="14">
        <f t="shared" si="23"/>
        <v>540</v>
      </c>
      <c r="S232" s="4" t="str">
        <f>IFERROR(INDEX('LEV R&amp;D'!$D:$D,MATCH(MEDIÇÃO!R232,'LEV R&amp;D'!$A:$A,0))-INDEX('PROJETO PERFURAÇÃO'!$AH:$AH,MATCH(MEDIÇÃO!R232,'PROJETO PERFURAÇÃO'!$B:$B,0)),"")</f>
        <v/>
      </c>
      <c r="T232" s="17">
        <f>IFERROR(INDEX('PROJETO PERFURAÇÃO'!$AN:$AN,MATCH(MEDIÇÃO!R232,'PROJETO PERFURAÇÃO'!$B:$B,0)),"")</f>
        <v>0</v>
      </c>
      <c r="U232" s="3"/>
      <c r="V232" s="3"/>
    </row>
    <row r="233" spans="2:22" ht="45" customHeight="1" x14ac:dyDescent="0.25">
      <c r="B233" s="3" t="str">
        <f>IFERROR(ROUND(INDEX('PROJETO PERFURAÇÃO'!$AB:$AB,MATCH(MEDIÇÃO!D233,'PROJETO PERFURAÇÃO'!$B:$B,0)),1)&amp;"''","")</f>
        <v>5''</v>
      </c>
      <c r="C233" s="3" t="str">
        <f>IFERROR(IF(INDEX('PROJETO PERFURAÇÃO'!$P:$P,MATCH(MEDIÇÃO!D233,'PROJETO PERFURAÇÃO'!$B:$B,0))="Production","P",IF(INDEX('PROJETO PERFURAÇÃO'!$P:$P,MATCH(MEDIÇÃO!D233,'PROJETO PERFURAÇÃO'!$B:$B,0))="Buffer","B",IF(INDEX('PROJETO PERFURAÇÃO'!$P:$P,MATCH(MEDIÇÃO!D233,'PROJETO PERFURAÇÃO'!$B:$B,0))="Pre-Splitting","S"))),"")</f>
        <v>P</v>
      </c>
      <c r="D233" s="14">
        <f t="shared" si="21"/>
        <v>495</v>
      </c>
      <c r="E233" s="4" t="str">
        <f>IFERROR(INDEX('LEV R&amp;D'!$D:$D,MATCH(MEDIÇÃO!D233,'LEV R&amp;D'!$A:$A,0))-INDEX('PROJETO PERFURAÇÃO'!$AH:$AH,MATCH(MEDIÇÃO!D233,'PROJETO PERFURAÇÃO'!$B:$B,0)),"")</f>
        <v/>
      </c>
      <c r="F233" s="17">
        <f>IFERROR(INDEX('PROJETO PERFURAÇÃO'!$AN:$AN,MATCH(MEDIÇÃO!D233,'PROJETO PERFURAÇÃO'!$B:$B,0)),"")</f>
        <v>0</v>
      </c>
      <c r="G233" s="3"/>
      <c r="H233" s="3"/>
      <c r="I233" s="3" t="str">
        <f>IFERROR(ROUND(INDEX('PROJETO PERFURAÇÃO'!$AB:$AB,MATCH(MEDIÇÃO!K233,'PROJETO PERFURAÇÃO'!$B:$B,0)),1)&amp;"''","")</f>
        <v>5''</v>
      </c>
      <c r="J233" s="3" t="str">
        <f>IFERROR(IF(INDEX('PROJETO PERFURAÇÃO'!$P:$P,MATCH(MEDIÇÃO!K233,'PROJETO PERFURAÇÃO'!$B:$B,0))="Production","P",IF(INDEX('PROJETO PERFURAÇÃO'!$P:$P,MATCH(MEDIÇÃO!K233,'PROJETO PERFURAÇÃO'!$B:$B,0))="Buffer","B",IF(INDEX('PROJETO PERFURAÇÃO'!$P:$P,MATCH(MEDIÇÃO!K233,'PROJETO PERFURAÇÃO'!$B:$B,0))="Pre-Splitting","S"))),"")</f>
        <v>P</v>
      </c>
      <c r="K233" s="14">
        <f t="shared" si="22"/>
        <v>518</v>
      </c>
      <c r="L233" s="4" t="str">
        <f>IFERROR(INDEX('LEV R&amp;D'!$D:$D,MATCH(MEDIÇÃO!K233,'LEV R&amp;D'!$A:$A,0))-INDEX('PROJETO PERFURAÇÃO'!$AH:$AH,MATCH(MEDIÇÃO!K233,'PROJETO PERFURAÇÃO'!$B:$B,0)),"")</f>
        <v/>
      </c>
      <c r="M233" s="17">
        <f>IFERROR(INDEX('PROJETO PERFURAÇÃO'!$AN:$AN,MATCH(MEDIÇÃO!K233,'PROJETO PERFURAÇÃO'!$B:$B,0)),"")</f>
        <v>0</v>
      </c>
      <c r="N233" s="3"/>
      <c r="O233" s="3"/>
      <c r="P233" s="3" t="str">
        <f>IFERROR(ROUND(INDEX('PROJETO PERFURAÇÃO'!$AB:$AB,MATCH(MEDIÇÃO!R233,'PROJETO PERFURAÇÃO'!$B:$B,0)),1)&amp;"''","")</f>
        <v>5''</v>
      </c>
      <c r="Q233" s="3" t="str">
        <f>IFERROR(IF(INDEX('PROJETO PERFURAÇÃO'!$P:$P,MATCH(MEDIÇÃO!R233,'PROJETO PERFURAÇÃO'!$B:$B,0))="Production","P",IF(INDEX('PROJETO PERFURAÇÃO'!$P:$P,MATCH(MEDIÇÃO!R233,'PROJETO PERFURAÇÃO'!$B:$B,0))="Buffer","B",IF(INDEX('PROJETO PERFURAÇÃO'!$P:$P,MATCH(MEDIÇÃO!R233,'PROJETO PERFURAÇÃO'!$B:$B,0))="Pre-Splitting","S"))),"")</f>
        <v>P</v>
      </c>
      <c r="R233" s="14">
        <f t="shared" si="23"/>
        <v>541</v>
      </c>
      <c r="S233" s="4" t="str">
        <f>IFERROR(INDEX('LEV R&amp;D'!$D:$D,MATCH(MEDIÇÃO!R233,'LEV R&amp;D'!$A:$A,0))-INDEX('PROJETO PERFURAÇÃO'!$AH:$AH,MATCH(MEDIÇÃO!R233,'PROJETO PERFURAÇÃO'!$B:$B,0)),"")</f>
        <v/>
      </c>
      <c r="T233" s="17">
        <f>IFERROR(INDEX('PROJETO PERFURAÇÃO'!$AN:$AN,MATCH(MEDIÇÃO!R233,'PROJETO PERFURAÇÃO'!$B:$B,0)),"")</f>
        <v>0</v>
      </c>
      <c r="U233" s="3"/>
      <c r="V233" s="3"/>
    </row>
    <row r="234" spans="2:22" ht="45" customHeight="1" x14ac:dyDescent="0.25">
      <c r="B234" s="3" t="str">
        <f>IFERROR(ROUND(INDEX('PROJETO PERFURAÇÃO'!$AB:$AB,MATCH(MEDIÇÃO!D234,'PROJETO PERFURAÇÃO'!$B:$B,0)),1)&amp;"''","")</f>
        <v>5''</v>
      </c>
      <c r="C234" s="3" t="str">
        <f>IFERROR(IF(INDEX('PROJETO PERFURAÇÃO'!$P:$P,MATCH(MEDIÇÃO!D234,'PROJETO PERFURAÇÃO'!$B:$B,0))="Production","P",IF(INDEX('PROJETO PERFURAÇÃO'!$P:$P,MATCH(MEDIÇÃO!D234,'PROJETO PERFURAÇÃO'!$B:$B,0))="Buffer","B",IF(INDEX('PROJETO PERFURAÇÃO'!$P:$P,MATCH(MEDIÇÃO!D234,'PROJETO PERFURAÇÃO'!$B:$B,0))="Pre-Splitting","S"))),"")</f>
        <v>P</v>
      </c>
      <c r="D234" s="14">
        <f t="shared" si="21"/>
        <v>496</v>
      </c>
      <c r="E234" s="4" t="str">
        <f>IFERROR(INDEX('LEV R&amp;D'!$D:$D,MATCH(MEDIÇÃO!D234,'LEV R&amp;D'!$A:$A,0))-INDEX('PROJETO PERFURAÇÃO'!$AH:$AH,MATCH(MEDIÇÃO!D234,'PROJETO PERFURAÇÃO'!$B:$B,0)),"")</f>
        <v/>
      </c>
      <c r="F234" s="17">
        <f>IFERROR(INDEX('PROJETO PERFURAÇÃO'!$AN:$AN,MATCH(MEDIÇÃO!D234,'PROJETO PERFURAÇÃO'!$B:$B,0)),"")</f>
        <v>0</v>
      </c>
      <c r="G234" s="3"/>
      <c r="H234" s="3"/>
      <c r="I234" s="3" t="str">
        <f>IFERROR(ROUND(INDEX('PROJETO PERFURAÇÃO'!$AB:$AB,MATCH(MEDIÇÃO!K234,'PROJETO PERFURAÇÃO'!$B:$B,0)),1)&amp;"''","")</f>
        <v>5''</v>
      </c>
      <c r="J234" s="3" t="str">
        <f>IFERROR(IF(INDEX('PROJETO PERFURAÇÃO'!$P:$P,MATCH(MEDIÇÃO!K234,'PROJETO PERFURAÇÃO'!$B:$B,0))="Production","P",IF(INDEX('PROJETO PERFURAÇÃO'!$P:$P,MATCH(MEDIÇÃO!K234,'PROJETO PERFURAÇÃO'!$B:$B,0))="Buffer","B",IF(INDEX('PROJETO PERFURAÇÃO'!$P:$P,MATCH(MEDIÇÃO!K234,'PROJETO PERFURAÇÃO'!$B:$B,0))="Pre-Splitting","S"))),"")</f>
        <v>P</v>
      </c>
      <c r="K234" s="14">
        <f t="shared" si="22"/>
        <v>519</v>
      </c>
      <c r="L234" s="4" t="str">
        <f>IFERROR(INDEX('LEV R&amp;D'!$D:$D,MATCH(MEDIÇÃO!K234,'LEV R&amp;D'!$A:$A,0))-INDEX('PROJETO PERFURAÇÃO'!$AH:$AH,MATCH(MEDIÇÃO!K234,'PROJETO PERFURAÇÃO'!$B:$B,0)),"")</f>
        <v/>
      </c>
      <c r="M234" s="17">
        <f>IFERROR(INDEX('PROJETO PERFURAÇÃO'!$AN:$AN,MATCH(MEDIÇÃO!K234,'PROJETO PERFURAÇÃO'!$B:$B,0)),"")</f>
        <v>0</v>
      </c>
      <c r="N234" s="3"/>
      <c r="O234" s="3"/>
      <c r="P234" s="3" t="str">
        <f>IFERROR(ROUND(INDEX('PROJETO PERFURAÇÃO'!$AB:$AB,MATCH(MEDIÇÃO!R234,'PROJETO PERFURAÇÃO'!$B:$B,0)),1)&amp;"''","")</f>
        <v>5''</v>
      </c>
      <c r="Q234" s="3" t="str">
        <f>IFERROR(IF(INDEX('PROJETO PERFURAÇÃO'!$P:$P,MATCH(MEDIÇÃO!R234,'PROJETO PERFURAÇÃO'!$B:$B,0))="Production","P",IF(INDEX('PROJETO PERFURAÇÃO'!$P:$P,MATCH(MEDIÇÃO!R234,'PROJETO PERFURAÇÃO'!$B:$B,0))="Buffer","B",IF(INDEX('PROJETO PERFURAÇÃO'!$P:$P,MATCH(MEDIÇÃO!R234,'PROJETO PERFURAÇÃO'!$B:$B,0))="Pre-Splitting","S"))),"")</f>
        <v>P</v>
      </c>
      <c r="R234" s="14">
        <f t="shared" si="23"/>
        <v>542</v>
      </c>
      <c r="S234" s="4" t="str">
        <f>IFERROR(INDEX('LEV R&amp;D'!$D:$D,MATCH(MEDIÇÃO!R234,'LEV R&amp;D'!$A:$A,0))-INDEX('PROJETO PERFURAÇÃO'!$AH:$AH,MATCH(MEDIÇÃO!R234,'PROJETO PERFURAÇÃO'!$B:$B,0)),"")</f>
        <v/>
      </c>
      <c r="T234" s="17">
        <f>IFERROR(INDEX('PROJETO PERFURAÇÃO'!$AN:$AN,MATCH(MEDIÇÃO!R234,'PROJETO PERFURAÇÃO'!$B:$B,0)),"")</f>
        <v>0</v>
      </c>
      <c r="U234" s="3"/>
      <c r="V234" s="3"/>
    </row>
    <row r="235" spans="2:22" ht="45" customHeight="1" x14ac:dyDescent="0.25">
      <c r="B235" s="3" t="str">
        <f>IFERROR(ROUND(INDEX('PROJETO PERFURAÇÃO'!$AB:$AB,MATCH(MEDIÇÃO!D235,'PROJETO PERFURAÇÃO'!$B:$B,0)),1)&amp;"''","")</f>
        <v>5''</v>
      </c>
      <c r="C235" s="3" t="str">
        <f>IFERROR(IF(INDEX('PROJETO PERFURAÇÃO'!$P:$P,MATCH(MEDIÇÃO!D235,'PROJETO PERFURAÇÃO'!$B:$B,0))="Production","P",IF(INDEX('PROJETO PERFURAÇÃO'!$P:$P,MATCH(MEDIÇÃO!D235,'PROJETO PERFURAÇÃO'!$B:$B,0))="Buffer","B",IF(INDEX('PROJETO PERFURAÇÃO'!$P:$P,MATCH(MEDIÇÃO!D235,'PROJETO PERFURAÇÃO'!$B:$B,0))="Pre-Splitting","S"))),"")</f>
        <v>P</v>
      </c>
      <c r="D235" s="14">
        <f t="shared" si="21"/>
        <v>497</v>
      </c>
      <c r="E235" s="4" t="str">
        <f>IFERROR(INDEX('LEV R&amp;D'!$D:$D,MATCH(MEDIÇÃO!D235,'LEV R&amp;D'!$A:$A,0))-INDEX('PROJETO PERFURAÇÃO'!$AH:$AH,MATCH(MEDIÇÃO!D235,'PROJETO PERFURAÇÃO'!$B:$B,0)),"")</f>
        <v/>
      </c>
      <c r="F235" s="17">
        <f>IFERROR(INDEX('PROJETO PERFURAÇÃO'!$AN:$AN,MATCH(MEDIÇÃO!D235,'PROJETO PERFURAÇÃO'!$B:$B,0)),"")</f>
        <v>0</v>
      </c>
      <c r="G235" s="3"/>
      <c r="H235" s="3"/>
      <c r="I235" s="3" t="str">
        <f>IFERROR(ROUND(INDEX('PROJETO PERFURAÇÃO'!$AB:$AB,MATCH(MEDIÇÃO!K235,'PROJETO PERFURAÇÃO'!$B:$B,0)),1)&amp;"''","")</f>
        <v>5''</v>
      </c>
      <c r="J235" s="3" t="str">
        <f>IFERROR(IF(INDEX('PROJETO PERFURAÇÃO'!$P:$P,MATCH(MEDIÇÃO!K235,'PROJETO PERFURAÇÃO'!$B:$B,0))="Production","P",IF(INDEX('PROJETO PERFURAÇÃO'!$P:$P,MATCH(MEDIÇÃO!K235,'PROJETO PERFURAÇÃO'!$B:$B,0))="Buffer","B",IF(INDEX('PROJETO PERFURAÇÃO'!$P:$P,MATCH(MEDIÇÃO!K235,'PROJETO PERFURAÇÃO'!$B:$B,0))="Pre-Splitting","S"))),"")</f>
        <v>P</v>
      </c>
      <c r="K235" s="14">
        <f t="shared" si="22"/>
        <v>520</v>
      </c>
      <c r="L235" s="4" t="str">
        <f>IFERROR(INDEX('LEV R&amp;D'!$D:$D,MATCH(MEDIÇÃO!K235,'LEV R&amp;D'!$A:$A,0))-INDEX('PROJETO PERFURAÇÃO'!$AH:$AH,MATCH(MEDIÇÃO!K235,'PROJETO PERFURAÇÃO'!$B:$B,0)),"")</f>
        <v/>
      </c>
      <c r="M235" s="17">
        <f>IFERROR(INDEX('PROJETO PERFURAÇÃO'!$AN:$AN,MATCH(MEDIÇÃO!K235,'PROJETO PERFURAÇÃO'!$B:$B,0)),"")</f>
        <v>0</v>
      </c>
      <c r="N235" s="3"/>
      <c r="O235" s="3"/>
      <c r="P235" s="3" t="str">
        <f>IFERROR(ROUND(INDEX('PROJETO PERFURAÇÃO'!$AB:$AB,MATCH(MEDIÇÃO!R235,'PROJETO PERFURAÇÃO'!$B:$B,0)),1)&amp;"''","")</f>
        <v>5''</v>
      </c>
      <c r="Q235" s="3" t="str">
        <f>IFERROR(IF(INDEX('PROJETO PERFURAÇÃO'!$P:$P,MATCH(MEDIÇÃO!R235,'PROJETO PERFURAÇÃO'!$B:$B,0))="Production","P",IF(INDEX('PROJETO PERFURAÇÃO'!$P:$P,MATCH(MEDIÇÃO!R235,'PROJETO PERFURAÇÃO'!$B:$B,0))="Buffer","B",IF(INDEX('PROJETO PERFURAÇÃO'!$P:$P,MATCH(MEDIÇÃO!R235,'PROJETO PERFURAÇÃO'!$B:$B,0))="Pre-Splitting","S"))),"")</f>
        <v>P</v>
      </c>
      <c r="R235" s="14">
        <f t="shared" si="23"/>
        <v>543</v>
      </c>
      <c r="S235" s="4" t="str">
        <f>IFERROR(INDEX('LEV R&amp;D'!$D:$D,MATCH(MEDIÇÃO!R235,'LEV R&amp;D'!$A:$A,0))-INDEX('PROJETO PERFURAÇÃO'!$AH:$AH,MATCH(MEDIÇÃO!R235,'PROJETO PERFURAÇÃO'!$B:$B,0)),"")</f>
        <v/>
      </c>
      <c r="T235" s="17">
        <f>IFERROR(INDEX('PROJETO PERFURAÇÃO'!$AN:$AN,MATCH(MEDIÇÃO!R235,'PROJETO PERFURAÇÃO'!$B:$B,0)),"")</f>
        <v>0</v>
      </c>
      <c r="U235" s="3"/>
      <c r="V235" s="3"/>
    </row>
    <row r="236" spans="2:22" ht="45" customHeight="1" x14ac:dyDescent="0.25">
      <c r="B236" s="3" t="str">
        <f>IFERROR(ROUND(INDEX('PROJETO PERFURAÇÃO'!$AB:$AB,MATCH(MEDIÇÃO!D236,'PROJETO PERFURAÇÃO'!$B:$B,0)),1)&amp;"''","")</f>
        <v>5''</v>
      </c>
      <c r="C236" s="3" t="str">
        <f>IFERROR(IF(INDEX('PROJETO PERFURAÇÃO'!$P:$P,MATCH(MEDIÇÃO!D236,'PROJETO PERFURAÇÃO'!$B:$B,0))="Production","P",IF(INDEX('PROJETO PERFURAÇÃO'!$P:$P,MATCH(MEDIÇÃO!D236,'PROJETO PERFURAÇÃO'!$B:$B,0))="Buffer","B",IF(INDEX('PROJETO PERFURAÇÃO'!$P:$P,MATCH(MEDIÇÃO!D236,'PROJETO PERFURAÇÃO'!$B:$B,0))="Pre-Splitting","S"))),"")</f>
        <v>P</v>
      </c>
      <c r="D236" s="14">
        <f t="shared" si="21"/>
        <v>498</v>
      </c>
      <c r="E236" s="4" t="str">
        <f>IFERROR(INDEX('LEV R&amp;D'!$D:$D,MATCH(MEDIÇÃO!D236,'LEV R&amp;D'!$A:$A,0))-INDEX('PROJETO PERFURAÇÃO'!$AH:$AH,MATCH(MEDIÇÃO!D236,'PROJETO PERFURAÇÃO'!$B:$B,0)),"")</f>
        <v/>
      </c>
      <c r="F236" s="17">
        <f>IFERROR(INDEX('PROJETO PERFURAÇÃO'!$AN:$AN,MATCH(MEDIÇÃO!D236,'PROJETO PERFURAÇÃO'!$B:$B,0)),"")</f>
        <v>0</v>
      </c>
      <c r="G236" s="3"/>
      <c r="H236" s="3"/>
      <c r="I236" s="3" t="str">
        <f>IFERROR(ROUND(INDEX('PROJETO PERFURAÇÃO'!$AB:$AB,MATCH(MEDIÇÃO!K236,'PROJETO PERFURAÇÃO'!$B:$B,0)),1)&amp;"''","")</f>
        <v>5''</v>
      </c>
      <c r="J236" s="3" t="str">
        <f>IFERROR(IF(INDEX('PROJETO PERFURAÇÃO'!$P:$P,MATCH(MEDIÇÃO!K236,'PROJETO PERFURAÇÃO'!$B:$B,0))="Production","P",IF(INDEX('PROJETO PERFURAÇÃO'!$P:$P,MATCH(MEDIÇÃO!K236,'PROJETO PERFURAÇÃO'!$B:$B,0))="Buffer","B",IF(INDEX('PROJETO PERFURAÇÃO'!$P:$P,MATCH(MEDIÇÃO!K236,'PROJETO PERFURAÇÃO'!$B:$B,0))="Pre-Splitting","S"))),"")</f>
        <v>P</v>
      </c>
      <c r="K236" s="14">
        <f t="shared" si="22"/>
        <v>521</v>
      </c>
      <c r="L236" s="4" t="str">
        <f>IFERROR(INDEX('LEV R&amp;D'!$D:$D,MATCH(MEDIÇÃO!K236,'LEV R&amp;D'!$A:$A,0))-INDEX('PROJETO PERFURAÇÃO'!$AH:$AH,MATCH(MEDIÇÃO!K236,'PROJETO PERFURAÇÃO'!$B:$B,0)),"")</f>
        <v/>
      </c>
      <c r="M236" s="17">
        <f>IFERROR(INDEX('PROJETO PERFURAÇÃO'!$AN:$AN,MATCH(MEDIÇÃO!K236,'PROJETO PERFURAÇÃO'!$B:$B,0)),"")</f>
        <v>0</v>
      </c>
      <c r="N236" s="3"/>
      <c r="O236" s="3"/>
      <c r="P236" s="3" t="str">
        <f>IFERROR(ROUND(INDEX('PROJETO PERFURAÇÃO'!$AB:$AB,MATCH(MEDIÇÃO!R236,'PROJETO PERFURAÇÃO'!$B:$B,0)),1)&amp;"''","")</f>
        <v>5''</v>
      </c>
      <c r="Q236" s="3" t="str">
        <f>IFERROR(IF(INDEX('PROJETO PERFURAÇÃO'!$P:$P,MATCH(MEDIÇÃO!R236,'PROJETO PERFURAÇÃO'!$B:$B,0))="Production","P",IF(INDEX('PROJETO PERFURAÇÃO'!$P:$P,MATCH(MEDIÇÃO!R236,'PROJETO PERFURAÇÃO'!$B:$B,0))="Buffer","B",IF(INDEX('PROJETO PERFURAÇÃO'!$P:$P,MATCH(MEDIÇÃO!R236,'PROJETO PERFURAÇÃO'!$B:$B,0))="Pre-Splitting","S"))),"")</f>
        <v>P</v>
      </c>
      <c r="R236" s="14">
        <f t="shared" si="23"/>
        <v>544</v>
      </c>
      <c r="S236" s="4" t="str">
        <f>IFERROR(INDEX('LEV R&amp;D'!$D:$D,MATCH(MEDIÇÃO!R236,'LEV R&amp;D'!$A:$A,0))-INDEX('PROJETO PERFURAÇÃO'!$AH:$AH,MATCH(MEDIÇÃO!R236,'PROJETO PERFURAÇÃO'!$B:$B,0)),"")</f>
        <v/>
      </c>
      <c r="T236" s="17">
        <f>IFERROR(INDEX('PROJETO PERFURAÇÃO'!$AN:$AN,MATCH(MEDIÇÃO!R236,'PROJETO PERFURAÇÃO'!$B:$B,0)),"")</f>
        <v>0</v>
      </c>
      <c r="U236" s="3"/>
      <c r="V236" s="3"/>
    </row>
    <row r="237" spans="2:22" ht="45" customHeight="1" x14ac:dyDescent="0.25">
      <c r="B237" s="3" t="str">
        <f>IFERROR(ROUND(INDEX('PROJETO PERFURAÇÃO'!$AB:$AB,MATCH(MEDIÇÃO!D237,'PROJETO PERFURAÇÃO'!$B:$B,0)),1)&amp;"''","")</f>
        <v>5''</v>
      </c>
      <c r="C237" s="3" t="str">
        <f>IFERROR(IF(INDEX('PROJETO PERFURAÇÃO'!$P:$P,MATCH(MEDIÇÃO!D237,'PROJETO PERFURAÇÃO'!$B:$B,0))="Production","P",IF(INDEX('PROJETO PERFURAÇÃO'!$P:$P,MATCH(MEDIÇÃO!D237,'PROJETO PERFURAÇÃO'!$B:$B,0))="Buffer","B",IF(INDEX('PROJETO PERFURAÇÃO'!$P:$P,MATCH(MEDIÇÃO!D237,'PROJETO PERFURAÇÃO'!$B:$B,0))="Pre-Splitting","S"))),"")</f>
        <v>P</v>
      </c>
      <c r="D237" s="14">
        <f t="shared" si="21"/>
        <v>499</v>
      </c>
      <c r="E237" s="4" t="str">
        <f>IFERROR(INDEX('LEV R&amp;D'!$D:$D,MATCH(MEDIÇÃO!D237,'LEV R&amp;D'!$A:$A,0))-INDEX('PROJETO PERFURAÇÃO'!$AH:$AH,MATCH(MEDIÇÃO!D237,'PROJETO PERFURAÇÃO'!$B:$B,0)),"")</f>
        <v/>
      </c>
      <c r="F237" s="17">
        <f>IFERROR(INDEX('PROJETO PERFURAÇÃO'!$AN:$AN,MATCH(MEDIÇÃO!D237,'PROJETO PERFURAÇÃO'!$B:$B,0)),"")</f>
        <v>5</v>
      </c>
      <c r="G237" s="3"/>
      <c r="H237" s="3"/>
      <c r="I237" s="3" t="str">
        <f>IFERROR(ROUND(INDEX('PROJETO PERFURAÇÃO'!$AB:$AB,MATCH(MEDIÇÃO!K237,'PROJETO PERFURAÇÃO'!$B:$B,0)),1)&amp;"''","")</f>
        <v>5''</v>
      </c>
      <c r="J237" s="3" t="str">
        <f>IFERROR(IF(INDEX('PROJETO PERFURAÇÃO'!$P:$P,MATCH(MEDIÇÃO!K237,'PROJETO PERFURAÇÃO'!$B:$B,0))="Production","P",IF(INDEX('PROJETO PERFURAÇÃO'!$P:$P,MATCH(MEDIÇÃO!K237,'PROJETO PERFURAÇÃO'!$B:$B,0))="Buffer","B",IF(INDEX('PROJETO PERFURAÇÃO'!$P:$P,MATCH(MEDIÇÃO!K237,'PROJETO PERFURAÇÃO'!$B:$B,0))="Pre-Splitting","S"))),"")</f>
        <v>P</v>
      </c>
      <c r="K237" s="14">
        <f t="shared" si="22"/>
        <v>522</v>
      </c>
      <c r="L237" s="4" t="str">
        <f>IFERROR(INDEX('LEV R&amp;D'!$D:$D,MATCH(MEDIÇÃO!K237,'LEV R&amp;D'!$A:$A,0))-INDEX('PROJETO PERFURAÇÃO'!$AH:$AH,MATCH(MEDIÇÃO!K237,'PROJETO PERFURAÇÃO'!$B:$B,0)),"")</f>
        <v/>
      </c>
      <c r="M237" s="17">
        <f>IFERROR(INDEX('PROJETO PERFURAÇÃO'!$AN:$AN,MATCH(MEDIÇÃO!K237,'PROJETO PERFURAÇÃO'!$B:$B,0)),"")</f>
        <v>0</v>
      </c>
      <c r="N237" s="3"/>
      <c r="O237" s="3"/>
      <c r="P237" s="3" t="str">
        <f>IFERROR(ROUND(INDEX('PROJETO PERFURAÇÃO'!$AB:$AB,MATCH(MEDIÇÃO!R237,'PROJETO PERFURAÇÃO'!$B:$B,0)),1)&amp;"''","")</f>
        <v>5''</v>
      </c>
      <c r="Q237" s="3" t="str">
        <f>IFERROR(IF(INDEX('PROJETO PERFURAÇÃO'!$P:$P,MATCH(MEDIÇÃO!R237,'PROJETO PERFURAÇÃO'!$B:$B,0))="Production","P",IF(INDEX('PROJETO PERFURAÇÃO'!$P:$P,MATCH(MEDIÇÃO!R237,'PROJETO PERFURAÇÃO'!$B:$B,0))="Buffer","B",IF(INDEX('PROJETO PERFURAÇÃO'!$P:$P,MATCH(MEDIÇÃO!R237,'PROJETO PERFURAÇÃO'!$B:$B,0))="Pre-Splitting","S"))),"")</f>
        <v>P</v>
      </c>
      <c r="R237" s="14">
        <f t="shared" si="23"/>
        <v>545</v>
      </c>
      <c r="S237" s="4" t="str">
        <f>IFERROR(INDEX('LEV R&amp;D'!$D:$D,MATCH(MEDIÇÃO!R237,'LEV R&amp;D'!$A:$A,0))-INDEX('PROJETO PERFURAÇÃO'!$AH:$AH,MATCH(MEDIÇÃO!R237,'PROJETO PERFURAÇÃO'!$B:$B,0)),"")</f>
        <v/>
      </c>
      <c r="T237" s="17">
        <f>IFERROR(INDEX('PROJETO PERFURAÇÃO'!$AN:$AN,MATCH(MEDIÇÃO!R237,'PROJETO PERFURAÇÃO'!$B:$B,0)),"")</f>
        <v>0</v>
      </c>
      <c r="U237" s="3"/>
      <c r="V237" s="3"/>
    </row>
    <row r="238" spans="2:22" ht="45" customHeight="1" x14ac:dyDescent="0.25">
      <c r="B238" s="3" t="str">
        <f>IFERROR(ROUND(INDEX('PROJETO PERFURAÇÃO'!$AB:$AB,MATCH(MEDIÇÃO!D238,'PROJETO PERFURAÇÃO'!$B:$B,0)),1)&amp;"''","")</f>
        <v>5''</v>
      </c>
      <c r="C238" s="3" t="str">
        <f>IFERROR(IF(INDEX('PROJETO PERFURAÇÃO'!$P:$P,MATCH(MEDIÇÃO!D238,'PROJETO PERFURAÇÃO'!$B:$B,0))="Production","P",IF(INDEX('PROJETO PERFURAÇÃO'!$P:$P,MATCH(MEDIÇÃO!D238,'PROJETO PERFURAÇÃO'!$B:$B,0))="Buffer","B",IF(INDEX('PROJETO PERFURAÇÃO'!$P:$P,MATCH(MEDIÇÃO!D238,'PROJETO PERFURAÇÃO'!$B:$B,0))="Pre-Splitting","S"))),"")</f>
        <v>P</v>
      </c>
      <c r="D238" s="14">
        <f t="shared" si="21"/>
        <v>500</v>
      </c>
      <c r="E238" s="4" t="str">
        <f>IFERROR(INDEX('LEV R&amp;D'!$D:$D,MATCH(MEDIÇÃO!D238,'LEV R&amp;D'!$A:$A,0))-INDEX('PROJETO PERFURAÇÃO'!$AH:$AH,MATCH(MEDIÇÃO!D238,'PROJETO PERFURAÇÃO'!$B:$B,0)),"")</f>
        <v/>
      </c>
      <c r="F238" s="17">
        <f>IFERROR(INDEX('PROJETO PERFURAÇÃO'!$AN:$AN,MATCH(MEDIÇÃO!D238,'PROJETO PERFURAÇÃO'!$B:$B,0)),"")</f>
        <v>0</v>
      </c>
      <c r="G238" s="3"/>
      <c r="H238" s="3"/>
      <c r="I238" s="3" t="str">
        <f>IFERROR(ROUND(INDEX('PROJETO PERFURAÇÃO'!$AB:$AB,MATCH(MEDIÇÃO!K238,'PROJETO PERFURAÇÃO'!$B:$B,0)),1)&amp;"''","")</f>
        <v>5''</v>
      </c>
      <c r="J238" s="3" t="str">
        <f>IFERROR(IF(INDEX('PROJETO PERFURAÇÃO'!$P:$P,MATCH(MEDIÇÃO!K238,'PROJETO PERFURAÇÃO'!$B:$B,0))="Production","P",IF(INDEX('PROJETO PERFURAÇÃO'!$P:$P,MATCH(MEDIÇÃO!K238,'PROJETO PERFURAÇÃO'!$B:$B,0))="Buffer","B",IF(INDEX('PROJETO PERFURAÇÃO'!$P:$P,MATCH(MEDIÇÃO!K238,'PROJETO PERFURAÇÃO'!$B:$B,0))="Pre-Splitting","S"))),"")</f>
        <v>P</v>
      </c>
      <c r="K238" s="14">
        <f t="shared" si="22"/>
        <v>523</v>
      </c>
      <c r="L238" s="4" t="str">
        <f>IFERROR(INDEX('LEV R&amp;D'!$D:$D,MATCH(MEDIÇÃO!K238,'LEV R&amp;D'!$A:$A,0))-INDEX('PROJETO PERFURAÇÃO'!$AH:$AH,MATCH(MEDIÇÃO!K238,'PROJETO PERFURAÇÃO'!$B:$B,0)),"")</f>
        <v/>
      </c>
      <c r="M238" s="17">
        <f>IFERROR(INDEX('PROJETO PERFURAÇÃO'!$AN:$AN,MATCH(MEDIÇÃO!K238,'PROJETO PERFURAÇÃO'!$B:$B,0)),"")</f>
        <v>0</v>
      </c>
      <c r="N238" s="3"/>
      <c r="O238" s="3"/>
      <c r="P238" s="3" t="str">
        <f>IFERROR(ROUND(INDEX('PROJETO PERFURAÇÃO'!$AB:$AB,MATCH(MEDIÇÃO!R238,'PROJETO PERFURAÇÃO'!$B:$B,0)),1)&amp;"''","")</f>
        <v>5''</v>
      </c>
      <c r="Q238" s="3" t="str">
        <f>IFERROR(IF(INDEX('PROJETO PERFURAÇÃO'!$P:$P,MATCH(MEDIÇÃO!R238,'PROJETO PERFURAÇÃO'!$B:$B,0))="Production","P",IF(INDEX('PROJETO PERFURAÇÃO'!$P:$P,MATCH(MEDIÇÃO!R238,'PROJETO PERFURAÇÃO'!$B:$B,0))="Buffer","B",IF(INDEX('PROJETO PERFURAÇÃO'!$P:$P,MATCH(MEDIÇÃO!R238,'PROJETO PERFURAÇÃO'!$B:$B,0))="Pre-Splitting","S"))),"")</f>
        <v>P</v>
      </c>
      <c r="R238" s="14">
        <f t="shared" si="23"/>
        <v>546</v>
      </c>
      <c r="S238" s="4" t="str">
        <f>IFERROR(INDEX('LEV R&amp;D'!$D:$D,MATCH(MEDIÇÃO!R238,'LEV R&amp;D'!$A:$A,0))-INDEX('PROJETO PERFURAÇÃO'!$AH:$AH,MATCH(MEDIÇÃO!R238,'PROJETO PERFURAÇÃO'!$B:$B,0)),"")</f>
        <v/>
      </c>
      <c r="T238" s="17">
        <f>IFERROR(INDEX('PROJETO PERFURAÇÃO'!$AN:$AN,MATCH(MEDIÇÃO!R238,'PROJETO PERFURAÇÃO'!$B:$B,0)),"")</f>
        <v>0</v>
      </c>
      <c r="U238" s="3"/>
      <c r="V238" s="3"/>
    </row>
    <row r="239" spans="2:22" ht="45" customHeight="1" x14ac:dyDescent="0.25">
      <c r="B239" s="3" t="str">
        <f>IFERROR(ROUND(INDEX('PROJETO PERFURAÇÃO'!$AB:$AB,MATCH(MEDIÇÃO!D239,'PROJETO PERFURAÇÃO'!$B:$B,0)),1)&amp;"''","")</f>
        <v>5''</v>
      </c>
      <c r="C239" s="3" t="str">
        <f>IFERROR(IF(INDEX('PROJETO PERFURAÇÃO'!$P:$P,MATCH(MEDIÇÃO!D239,'PROJETO PERFURAÇÃO'!$B:$B,0))="Production","P",IF(INDEX('PROJETO PERFURAÇÃO'!$P:$P,MATCH(MEDIÇÃO!D239,'PROJETO PERFURAÇÃO'!$B:$B,0))="Buffer","B",IF(INDEX('PROJETO PERFURAÇÃO'!$P:$P,MATCH(MEDIÇÃO!D239,'PROJETO PERFURAÇÃO'!$B:$B,0))="Pre-Splitting","S"))),"")</f>
        <v>P</v>
      </c>
      <c r="D239" s="14">
        <f t="shared" si="21"/>
        <v>501</v>
      </c>
      <c r="E239" s="4" t="str">
        <f>IFERROR(INDEX('LEV R&amp;D'!$D:$D,MATCH(MEDIÇÃO!D239,'LEV R&amp;D'!$A:$A,0))-INDEX('PROJETO PERFURAÇÃO'!$AH:$AH,MATCH(MEDIÇÃO!D239,'PROJETO PERFURAÇÃO'!$B:$B,0)),"")</f>
        <v/>
      </c>
      <c r="F239" s="17">
        <f>IFERROR(INDEX('PROJETO PERFURAÇÃO'!$AN:$AN,MATCH(MEDIÇÃO!D239,'PROJETO PERFURAÇÃO'!$B:$B,0)),"")</f>
        <v>0</v>
      </c>
      <c r="G239" s="3"/>
      <c r="H239" s="3"/>
      <c r="I239" s="3" t="str">
        <f>IFERROR(ROUND(INDEX('PROJETO PERFURAÇÃO'!$AB:$AB,MATCH(MEDIÇÃO!K239,'PROJETO PERFURAÇÃO'!$B:$B,0)),1)&amp;"''","")</f>
        <v>5''</v>
      </c>
      <c r="J239" s="3" t="str">
        <f>IFERROR(IF(INDEX('PROJETO PERFURAÇÃO'!$P:$P,MATCH(MEDIÇÃO!K239,'PROJETO PERFURAÇÃO'!$B:$B,0))="Production","P",IF(INDEX('PROJETO PERFURAÇÃO'!$P:$P,MATCH(MEDIÇÃO!K239,'PROJETO PERFURAÇÃO'!$B:$B,0))="Buffer","B",IF(INDEX('PROJETO PERFURAÇÃO'!$P:$P,MATCH(MEDIÇÃO!K239,'PROJETO PERFURAÇÃO'!$B:$B,0))="Pre-Splitting","S"))),"")</f>
        <v>P</v>
      </c>
      <c r="K239" s="14">
        <f t="shared" si="22"/>
        <v>524</v>
      </c>
      <c r="L239" s="4" t="str">
        <f>IFERROR(INDEX('LEV R&amp;D'!$D:$D,MATCH(MEDIÇÃO!K239,'LEV R&amp;D'!$A:$A,0))-INDEX('PROJETO PERFURAÇÃO'!$AH:$AH,MATCH(MEDIÇÃO!K239,'PROJETO PERFURAÇÃO'!$B:$B,0)),"")</f>
        <v/>
      </c>
      <c r="M239" s="17">
        <f>IFERROR(INDEX('PROJETO PERFURAÇÃO'!$AN:$AN,MATCH(MEDIÇÃO!K239,'PROJETO PERFURAÇÃO'!$B:$B,0)),"")</f>
        <v>0</v>
      </c>
      <c r="N239" s="3"/>
      <c r="O239" s="3"/>
      <c r="P239" s="3" t="str">
        <f>IFERROR(ROUND(INDEX('PROJETO PERFURAÇÃO'!$AB:$AB,MATCH(MEDIÇÃO!R239,'PROJETO PERFURAÇÃO'!$B:$B,0)),1)&amp;"''","")</f>
        <v>5''</v>
      </c>
      <c r="Q239" s="3" t="str">
        <f>IFERROR(IF(INDEX('PROJETO PERFURAÇÃO'!$P:$P,MATCH(MEDIÇÃO!R239,'PROJETO PERFURAÇÃO'!$B:$B,0))="Production","P",IF(INDEX('PROJETO PERFURAÇÃO'!$P:$P,MATCH(MEDIÇÃO!R239,'PROJETO PERFURAÇÃO'!$B:$B,0))="Buffer","B",IF(INDEX('PROJETO PERFURAÇÃO'!$P:$P,MATCH(MEDIÇÃO!R239,'PROJETO PERFURAÇÃO'!$B:$B,0))="Pre-Splitting","S"))),"")</f>
        <v>P</v>
      </c>
      <c r="R239" s="14">
        <f t="shared" si="23"/>
        <v>547</v>
      </c>
      <c r="S239" s="4" t="str">
        <f>IFERROR(INDEX('LEV R&amp;D'!$D:$D,MATCH(MEDIÇÃO!R239,'LEV R&amp;D'!$A:$A,0))-INDEX('PROJETO PERFURAÇÃO'!$AH:$AH,MATCH(MEDIÇÃO!R239,'PROJETO PERFURAÇÃO'!$B:$B,0)),"")</f>
        <v/>
      </c>
      <c r="T239" s="17">
        <f>IFERROR(INDEX('PROJETO PERFURAÇÃO'!$AN:$AN,MATCH(MEDIÇÃO!R239,'PROJETO PERFURAÇÃO'!$B:$B,0)),"")</f>
        <v>0</v>
      </c>
      <c r="U239" s="3"/>
      <c r="V239" s="3"/>
    </row>
    <row r="240" spans="2:22" ht="45" customHeight="1" x14ac:dyDescent="0.25">
      <c r="B240" s="3" t="str">
        <f>IFERROR(ROUND(INDEX('PROJETO PERFURAÇÃO'!$AB:$AB,MATCH(MEDIÇÃO!D240,'PROJETO PERFURAÇÃO'!$B:$B,0)),1)&amp;"''","")</f>
        <v>5''</v>
      </c>
      <c r="C240" s="3" t="str">
        <f>IFERROR(IF(INDEX('PROJETO PERFURAÇÃO'!$P:$P,MATCH(MEDIÇÃO!D240,'PROJETO PERFURAÇÃO'!$B:$B,0))="Production","P",IF(INDEX('PROJETO PERFURAÇÃO'!$P:$P,MATCH(MEDIÇÃO!D240,'PROJETO PERFURAÇÃO'!$B:$B,0))="Buffer","B",IF(INDEX('PROJETO PERFURAÇÃO'!$P:$P,MATCH(MEDIÇÃO!D240,'PROJETO PERFURAÇÃO'!$B:$B,0))="Pre-Splitting","S"))),"")</f>
        <v>P</v>
      </c>
      <c r="D240" s="14">
        <f t="shared" si="21"/>
        <v>502</v>
      </c>
      <c r="E240" s="4" t="str">
        <f>IFERROR(INDEX('LEV R&amp;D'!$D:$D,MATCH(MEDIÇÃO!D240,'LEV R&amp;D'!$A:$A,0))-INDEX('PROJETO PERFURAÇÃO'!$AH:$AH,MATCH(MEDIÇÃO!D240,'PROJETO PERFURAÇÃO'!$B:$B,0)),"")</f>
        <v/>
      </c>
      <c r="F240" s="17">
        <f>IFERROR(INDEX('PROJETO PERFURAÇÃO'!$AN:$AN,MATCH(MEDIÇÃO!D240,'PROJETO PERFURAÇÃO'!$B:$B,0)),"")</f>
        <v>0</v>
      </c>
      <c r="G240" s="3"/>
      <c r="H240" s="3"/>
      <c r="I240" s="3" t="str">
        <f>IFERROR(ROUND(INDEX('PROJETO PERFURAÇÃO'!$AB:$AB,MATCH(MEDIÇÃO!K240,'PROJETO PERFURAÇÃO'!$B:$B,0)),1)&amp;"''","")</f>
        <v>5''</v>
      </c>
      <c r="J240" s="3" t="str">
        <f>IFERROR(IF(INDEX('PROJETO PERFURAÇÃO'!$P:$P,MATCH(MEDIÇÃO!K240,'PROJETO PERFURAÇÃO'!$B:$B,0))="Production","P",IF(INDEX('PROJETO PERFURAÇÃO'!$P:$P,MATCH(MEDIÇÃO!K240,'PROJETO PERFURAÇÃO'!$B:$B,0))="Buffer","B",IF(INDEX('PROJETO PERFURAÇÃO'!$P:$P,MATCH(MEDIÇÃO!K240,'PROJETO PERFURAÇÃO'!$B:$B,0))="Pre-Splitting","S"))),"")</f>
        <v>P</v>
      </c>
      <c r="K240" s="14">
        <f t="shared" si="22"/>
        <v>525</v>
      </c>
      <c r="L240" s="4" t="str">
        <f>IFERROR(INDEX('LEV R&amp;D'!$D:$D,MATCH(MEDIÇÃO!K240,'LEV R&amp;D'!$A:$A,0))-INDEX('PROJETO PERFURAÇÃO'!$AH:$AH,MATCH(MEDIÇÃO!K240,'PROJETO PERFURAÇÃO'!$B:$B,0)),"")</f>
        <v/>
      </c>
      <c r="M240" s="17">
        <f>IFERROR(INDEX('PROJETO PERFURAÇÃO'!$AN:$AN,MATCH(MEDIÇÃO!K240,'PROJETO PERFURAÇÃO'!$B:$B,0)),"")</f>
        <v>0</v>
      </c>
      <c r="N240" s="3"/>
      <c r="O240" s="3"/>
      <c r="P240" s="3" t="str">
        <f>IFERROR(ROUND(INDEX('PROJETO PERFURAÇÃO'!$AB:$AB,MATCH(MEDIÇÃO!R240,'PROJETO PERFURAÇÃO'!$B:$B,0)),1)&amp;"''","")</f>
        <v>5''</v>
      </c>
      <c r="Q240" s="3" t="str">
        <f>IFERROR(IF(INDEX('PROJETO PERFURAÇÃO'!$P:$P,MATCH(MEDIÇÃO!R240,'PROJETO PERFURAÇÃO'!$B:$B,0))="Production","P",IF(INDEX('PROJETO PERFURAÇÃO'!$P:$P,MATCH(MEDIÇÃO!R240,'PROJETO PERFURAÇÃO'!$B:$B,0))="Buffer","B",IF(INDEX('PROJETO PERFURAÇÃO'!$P:$P,MATCH(MEDIÇÃO!R240,'PROJETO PERFURAÇÃO'!$B:$B,0))="Pre-Splitting","S"))),"")</f>
        <v>P</v>
      </c>
      <c r="R240" s="14">
        <f t="shared" si="23"/>
        <v>548</v>
      </c>
      <c r="S240" s="4" t="str">
        <f>IFERROR(INDEX('LEV R&amp;D'!$D:$D,MATCH(MEDIÇÃO!R240,'LEV R&amp;D'!$A:$A,0))-INDEX('PROJETO PERFURAÇÃO'!$AH:$AH,MATCH(MEDIÇÃO!R240,'PROJETO PERFURAÇÃO'!$B:$B,0)),"")</f>
        <v/>
      </c>
      <c r="T240" s="17">
        <f>IFERROR(INDEX('PROJETO PERFURAÇÃO'!$AN:$AN,MATCH(MEDIÇÃO!R240,'PROJETO PERFURAÇÃO'!$B:$B,0)),"")</f>
        <v>0</v>
      </c>
      <c r="U240" s="3"/>
      <c r="V240" s="3"/>
    </row>
    <row r="241" spans="1:23" ht="45" customHeight="1" x14ac:dyDescent="0.25">
      <c r="B241" s="3" t="str">
        <f>IFERROR(ROUND(INDEX('PROJETO PERFURAÇÃO'!$AB:$AB,MATCH(MEDIÇÃO!D241,'PROJETO PERFURAÇÃO'!$B:$B,0)),1)&amp;"''","")</f>
        <v>5''</v>
      </c>
      <c r="C241" s="3" t="str">
        <f>IFERROR(IF(INDEX('PROJETO PERFURAÇÃO'!$P:$P,MATCH(MEDIÇÃO!D241,'PROJETO PERFURAÇÃO'!$B:$B,0))="Production","P",IF(INDEX('PROJETO PERFURAÇÃO'!$P:$P,MATCH(MEDIÇÃO!D241,'PROJETO PERFURAÇÃO'!$B:$B,0))="Buffer","B",IF(INDEX('PROJETO PERFURAÇÃO'!$P:$P,MATCH(MEDIÇÃO!D241,'PROJETO PERFURAÇÃO'!$B:$B,0))="Pre-Splitting","S"))),"")</f>
        <v>P</v>
      </c>
      <c r="D241" s="14">
        <f t="shared" si="21"/>
        <v>503</v>
      </c>
      <c r="E241" s="4" t="str">
        <f>IFERROR(INDEX('LEV R&amp;D'!$D:$D,MATCH(MEDIÇÃO!D241,'LEV R&amp;D'!$A:$A,0))-INDEX('PROJETO PERFURAÇÃO'!$AH:$AH,MATCH(MEDIÇÃO!D241,'PROJETO PERFURAÇÃO'!$B:$B,0)),"")</f>
        <v/>
      </c>
      <c r="F241" s="17">
        <f>IFERROR(INDEX('PROJETO PERFURAÇÃO'!$AN:$AN,MATCH(MEDIÇÃO!D241,'PROJETO PERFURAÇÃO'!$B:$B,0)),"")</f>
        <v>0</v>
      </c>
      <c r="G241" s="3"/>
      <c r="H241" s="3"/>
      <c r="I241" s="3" t="str">
        <f>IFERROR(ROUND(INDEX('PROJETO PERFURAÇÃO'!$AB:$AB,MATCH(MEDIÇÃO!K241,'PROJETO PERFURAÇÃO'!$B:$B,0)),1)&amp;"''","")</f>
        <v>5''</v>
      </c>
      <c r="J241" s="3" t="str">
        <f>IFERROR(IF(INDEX('PROJETO PERFURAÇÃO'!$P:$P,MATCH(MEDIÇÃO!K241,'PROJETO PERFURAÇÃO'!$B:$B,0))="Production","P",IF(INDEX('PROJETO PERFURAÇÃO'!$P:$P,MATCH(MEDIÇÃO!K241,'PROJETO PERFURAÇÃO'!$B:$B,0))="Buffer","B",IF(INDEX('PROJETO PERFURAÇÃO'!$P:$P,MATCH(MEDIÇÃO!K241,'PROJETO PERFURAÇÃO'!$B:$B,0))="Pre-Splitting","S"))),"")</f>
        <v>P</v>
      </c>
      <c r="K241" s="14">
        <f t="shared" si="22"/>
        <v>526</v>
      </c>
      <c r="L241" s="4" t="str">
        <f>IFERROR(INDEX('LEV R&amp;D'!$D:$D,MATCH(MEDIÇÃO!K241,'LEV R&amp;D'!$A:$A,0))-INDEX('PROJETO PERFURAÇÃO'!$AH:$AH,MATCH(MEDIÇÃO!K241,'PROJETO PERFURAÇÃO'!$B:$B,0)),"")</f>
        <v/>
      </c>
      <c r="M241" s="17">
        <f>IFERROR(INDEX('PROJETO PERFURAÇÃO'!$AN:$AN,MATCH(MEDIÇÃO!K241,'PROJETO PERFURAÇÃO'!$B:$B,0)),"")</f>
        <v>0</v>
      </c>
      <c r="N241" s="3"/>
      <c r="O241" s="3"/>
      <c r="P241" s="3" t="str">
        <f>IFERROR(ROUND(INDEX('PROJETO PERFURAÇÃO'!$AB:$AB,MATCH(MEDIÇÃO!R241,'PROJETO PERFURAÇÃO'!$B:$B,0)),1)&amp;"''","")</f>
        <v>5''</v>
      </c>
      <c r="Q241" s="3" t="str">
        <f>IFERROR(IF(INDEX('PROJETO PERFURAÇÃO'!$P:$P,MATCH(MEDIÇÃO!R241,'PROJETO PERFURAÇÃO'!$B:$B,0))="Production","P",IF(INDEX('PROJETO PERFURAÇÃO'!$P:$P,MATCH(MEDIÇÃO!R241,'PROJETO PERFURAÇÃO'!$B:$B,0))="Buffer","B",IF(INDEX('PROJETO PERFURAÇÃO'!$P:$P,MATCH(MEDIÇÃO!R241,'PROJETO PERFURAÇÃO'!$B:$B,0))="Pre-Splitting","S"))),"")</f>
        <v>P</v>
      </c>
      <c r="R241" s="14">
        <f t="shared" si="23"/>
        <v>549</v>
      </c>
      <c r="S241" s="4" t="str">
        <f>IFERROR(INDEX('LEV R&amp;D'!$D:$D,MATCH(MEDIÇÃO!R241,'LEV R&amp;D'!$A:$A,0))-INDEX('PROJETO PERFURAÇÃO'!$AH:$AH,MATCH(MEDIÇÃO!R241,'PROJETO PERFURAÇÃO'!$B:$B,0)),"")</f>
        <v/>
      </c>
      <c r="T241" s="17">
        <f>IFERROR(INDEX('PROJETO PERFURAÇÃO'!$AN:$AN,MATCH(MEDIÇÃO!R241,'PROJETO PERFURAÇÃO'!$B:$B,0)),"")</f>
        <v>0</v>
      </c>
      <c r="U241" s="3"/>
      <c r="V241" s="3"/>
    </row>
    <row r="242" spans="1:23" ht="45" customHeight="1" x14ac:dyDescent="0.25">
      <c r="B242" s="3" t="str">
        <f>IFERROR(ROUND(INDEX('PROJETO PERFURAÇÃO'!$AB:$AB,MATCH(MEDIÇÃO!D242,'PROJETO PERFURAÇÃO'!$B:$B,0)),1)&amp;"''","")</f>
        <v>5''</v>
      </c>
      <c r="C242" s="3" t="str">
        <f>IFERROR(IF(INDEX('PROJETO PERFURAÇÃO'!$P:$P,MATCH(MEDIÇÃO!D242,'PROJETO PERFURAÇÃO'!$B:$B,0))="Production","P",IF(INDEX('PROJETO PERFURAÇÃO'!$P:$P,MATCH(MEDIÇÃO!D242,'PROJETO PERFURAÇÃO'!$B:$B,0))="Buffer","B",IF(INDEX('PROJETO PERFURAÇÃO'!$P:$P,MATCH(MEDIÇÃO!D242,'PROJETO PERFURAÇÃO'!$B:$B,0))="Pre-Splitting","S"))),"")</f>
        <v>P</v>
      </c>
      <c r="D242" s="14">
        <f t="shared" si="21"/>
        <v>504</v>
      </c>
      <c r="E242" s="4" t="str">
        <f>IFERROR(INDEX('LEV R&amp;D'!$D:$D,MATCH(MEDIÇÃO!D242,'LEV R&amp;D'!$A:$A,0))-INDEX('PROJETO PERFURAÇÃO'!$AH:$AH,MATCH(MEDIÇÃO!D242,'PROJETO PERFURAÇÃO'!$B:$B,0)),"")</f>
        <v/>
      </c>
      <c r="F242" s="17">
        <f>IFERROR(INDEX('PROJETO PERFURAÇÃO'!$AN:$AN,MATCH(MEDIÇÃO!D242,'PROJETO PERFURAÇÃO'!$B:$B,0)),"")</f>
        <v>0</v>
      </c>
      <c r="G242" s="3"/>
      <c r="H242" s="3"/>
      <c r="I242" s="3" t="str">
        <f>IFERROR(ROUND(INDEX('PROJETO PERFURAÇÃO'!$AB:$AB,MATCH(MEDIÇÃO!K242,'PROJETO PERFURAÇÃO'!$B:$B,0)),1)&amp;"''","")</f>
        <v>5''</v>
      </c>
      <c r="J242" s="3" t="str">
        <f>IFERROR(IF(INDEX('PROJETO PERFURAÇÃO'!$P:$P,MATCH(MEDIÇÃO!K242,'PROJETO PERFURAÇÃO'!$B:$B,0))="Production","P",IF(INDEX('PROJETO PERFURAÇÃO'!$P:$P,MATCH(MEDIÇÃO!K242,'PROJETO PERFURAÇÃO'!$B:$B,0))="Buffer","B",IF(INDEX('PROJETO PERFURAÇÃO'!$P:$P,MATCH(MEDIÇÃO!K242,'PROJETO PERFURAÇÃO'!$B:$B,0))="Pre-Splitting","S"))),"")</f>
        <v>P</v>
      </c>
      <c r="K242" s="14">
        <f t="shared" si="22"/>
        <v>527</v>
      </c>
      <c r="L242" s="4" t="str">
        <f>IFERROR(INDEX('LEV R&amp;D'!$D:$D,MATCH(MEDIÇÃO!K242,'LEV R&amp;D'!$A:$A,0))-INDEX('PROJETO PERFURAÇÃO'!$AH:$AH,MATCH(MEDIÇÃO!K242,'PROJETO PERFURAÇÃO'!$B:$B,0)),"")</f>
        <v/>
      </c>
      <c r="M242" s="17">
        <f>IFERROR(INDEX('PROJETO PERFURAÇÃO'!$AN:$AN,MATCH(MEDIÇÃO!K242,'PROJETO PERFURAÇÃO'!$B:$B,0)),"")</f>
        <v>0</v>
      </c>
      <c r="N242" s="3"/>
      <c r="O242" s="3"/>
      <c r="P242" s="3" t="str">
        <f>IFERROR(ROUND(INDEX('PROJETO PERFURAÇÃO'!$AB:$AB,MATCH(MEDIÇÃO!R242,'PROJETO PERFURAÇÃO'!$B:$B,0)),1)&amp;"''","")</f>
        <v>5''</v>
      </c>
      <c r="Q242" s="3" t="str">
        <f>IFERROR(IF(INDEX('PROJETO PERFURAÇÃO'!$P:$P,MATCH(MEDIÇÃO!R242,'PROJETO PERFURAÇÃO'!$B:$B,0))="Production","P",IF(INDEX('PROJETO PERFURAÇÃO'!$P:$P,MATCH(MEDIÇÃO!R242,'PROJETO PERFURAÇÃO'!$B:$B,0))="Buffer","B",IF(INDEX('PROJETO PERFURAÇÃO'!$P:$P,MATCH(MEDIÇÃO!R242,'PROJETO PERFURAÇÃO'!$B:$B,0))="Pre-Splitting","S"))),"")</f>
        <v>P</v>
      </c>
      <c r="R242" s="14">
        <f t="shared" si="23"/>
        <v>550</v>
      </c>
      <c r="S242" s="4" t="str">
        <f>IFERROR(INDEX('LEV R&amp;D'!$D:$D,MATCH(MEDIÇÃO!R242,'LEV R&amp;D'!$A:$A,0))-INDEX('PROJETO PERFURAÇÃO'!$AH:$AH,MATCH(MEDIÇÃO!R242,'PROJETO PERFURAÇÃO'!$B:$B,0)),"")</f>
        <v/>
      </c>
      <c r="T242" s="17">
        <f>IFERROR(INDEX('PROJETO PERFURAÇÃO'!$AN:$AN,MATCH(MEDIÇÃO!R242,'PROJETO PERFURAÇÃO'!$B:$B,0)),"")</f>
        <v>0</v>
      </c>
      <c r="U242" s="3"/>
      <c r="V242" s="3"/>
    </row>
    <row r="243" spans="1:23" ht="45" customHeight="1" x14ac:dyDescent="0.25">
      <c r="B243" s="3" t="str">
        <f>IFERROR(ROUND(INDEX('PROJETO PERFURAÇÃO'!$AB:$AB,MATCH(MEDIÇÃO!D243,'PROJETO PERFURAÇÃO'!$B:$B,0)),1)&amp;"''","")</f>
        <v>5''</v>
      </c>
      <c r="C243" s="3" t="str">
        <f>IFERROR(IF(INDEX('PROJETO PERFURAÇÃO'!$P:$P,MATCH(MEDIÇÃO!D243,'PROJETO PERFURAÇÃO'!$B:$B,0))="Production","P",IF(INDEX('PROJETO PERFURAÇÃO'!$P:$P,MATCH(MEDIÇÃO!D243,'PROJETO PERFURAÇÃO'!$B:$B,0))="Buffer","B",IF(INDEX('PROJETO PERFURAÇÃO'!$P:$P,MATCH(MEDIÇÃO!D243,'PROJETO PERFURAÇÃO'!$B:$B,0))="Pre-Splitting","S"))),"")</f>
        <v>P</v>
      </c>
      <c r="D243" s="14">
        <f t="shared" si="21"/>
        <v>505</v>
      </c>
      <c r="E243" s="4" t="str">
        <f>IFERROR(INDEX('LEV R&amp;D'!$D:$D,MATCH(MEDIÇÃO!D243,'LEV R&amp;D'!$A:$A,0))-INDEX('PROJETO PERFURAÇÃO'!$AH:$AH,MATCH(MEDIÇÃO!D243,'PROJETO PERFURAÇÃO'!$B:$B,0)),"")</f>
        <v/>
      </c>
      <c r="F243" s="17">
        <f>IFERROR(INDEX('PROJETO PERFURAÇÃO'!$AN:$AN,MATCH(MEDIÇÃO!D243,'PROJETO PERFURAÇÃO'!$B:$B,0)),"")</f>
        <v>0</v>
      </c>
      <c r="G243" s="3"/>
      <c r="H243" s="3"/>
      <c r="I243" s="3" t="str">
        <f>IFERROR(ROUND(INDEX('PROJETO PERFURAÇÃO'!$AB:$AB,MATCH(MEDIÇÃO!K243,'PROJETO PERFURAÇÃO'!$B:$B,0)),1)&amp;"''","")</f>
        <v>5''</v>
      </c>
      <c r="J243" s="3" t="str">
        <f>IFERROR(IF(INDEX('PROJETO PERFURAÇÃO'!$P:$P,MATCH(MEDIÇÃO!K243,'PROJETO PERFURAÇÃO'!$B:$B,0))="Production","P",IF(INDEX('PROJETO PERFURAÇÃO'!$P:$P,MATCH(MEDIÇÃO!K243,'PROJETO PERFURAÇÃO'!$B:$B,0))="Buffer","B",IF(INDEX('PROJETO PERFURAÇÃO'!$P:$P,MATCH(MEDIÇÃO!K243,'PROJETO PERFURAÇÃO'!$B:$B,0))="Pre-Splitting","S"))),"")</f>
        <v>P</v>
      </c>
      <c r="K243" s="14">
        <f t="shared" si="22"/>
        <v>528</v>
      </c>
      <c r="L243" s="4" t="str">
        <f>IFERROR(INDEX('LEV R&amp;D'!$D:$D,MATCH(MEDIÇÃO!K243,'LEV R&amp;D'!$A:$A,0))-INDEX('PROJETO PERFURAÇÃO'!$AH:$AH,MATCH(MEDIÇÃO!K243,'PROJETO PERFURAÇÃO'!$B:$B,0)),"")</f>
        <v/>
      </c>
      <c r="M243" s="17">
        <f>IFERROR(INDEX('PROJETO PERFURAÇÃO'!$AN:$AN,MATCH(MEDIÇÃO!K243,'PROJETO PERFURAÇÃO'!$B:$B,0)),"")</f>
        <v>0</v>
      </c>
      <c r="N243" s="3"/>
      <c r="O243" s="3"/>
      <c r="P243" s="3" t="str">
        <f>IFERROR(ROUND(INDEX('PROJETO PERFURAÇÃO'!$AB:$AB,MATCH(MEDIÇÃO!R243,'PROJETO PERFURAÇÃO'!$B:$B,0)),1)&amp;"''","")</f>
        <v>5''</v>
      </c>
      <c r="Q243" s="3" t="str">
        <f>IFERROR(IF(INDEX('PROJETO PERFURAÇÃO'!$P:$P,MATCH(MEDIÇÃO!R243,'PROJETO PERFURAÇÃO'!$B:$B,0))="Production","P",IF(INDEX('PROJETO PERFURAÇÃO'!$P:$P,MATCH(MEDIÇÃO!R243,'PROJETO PERFURAÇÃO'!$B:$B,0))="Buffer","B",IF(INDEX('PROJETO PERFURAÇÃO'!$P:$P,MATCH(MEDIÇÃO!R243,'PROJETO PERFURAÇÃO'!$B:$B,0))="Pre-Splitting","S"))),"")</f>
        <v>P</v>
      </c>
      <c r="R243" s="14">
        <f t="shared" si="23"/>
        <v>551</v>
      </c>
      <c r="S243" s="4" t="str">
        <f>IFERROR(INDEX('LEV R&amp;D'!$D:$D,MATCH(MEDIÇÃO!R243,'LEV R&amp;D'!$A:$A,0))-INDEX('PROJETO PERFURAÇÃO'!$AH:$AH,MATCH(MEDIÇÃO!R243,'PROJETO PERFURAÇÃO'!$B:$B,0)),"")</f>
        <v/>
      </c>
      <c r="T243" s="17">
        <f>IFERROR(INDEX('PROJETO PERFURAÇÃO'!$AN:$AN,MATCH(MEDIÇÃO!R243,'PROJETO PERFURAÇÃO'!$B:$B,0)),"")</f>
        <v>0</v>
      </c>
      <c r="U243" s="3"/>
      <c r="V243" s="3"/>
    </row>
    <row r="244" spans="1:23" ht="45" customHeight="1" x14ac:dyDescent="0.25">
      <c r="B244" s="3" t="str">
        <f>IFERROR(ROUND(INDEX('PROJETO PERFURAÇÃO'!$AB:$AB,MATCH(MEDIÇÃO!D244,'PROJETO PERFURAÇÃO'!$B:$B,0)),1)&amp;"''","")</f>
        <v>5''</v>
      </c>
      <c r="C244" s="3" t="str">
        <f>IFERROR(IF(INDEX('PROJETO PERFURAÇÃO'!$P:$P,MATCH(MEDIÇÃO!D244,'PROJETO PERFURAÇÃO'!$B:$B,0))="Production","P",IF(INDEX('PROJETO PERFURAÇÃO'!$P:$P,MATCH(MEDIÇÃO!D244,'PROJETO PERFURAÇÃO'!$B:$B,0))="Buffer","B",IF(INDEX('PROJETO PERFURAÇÃO'!$P:$P,MATCH(MEDIÇÃO!D244,'PROJETO PERFURAÇÃO'!$B:$B,0))="Pre-Splitting","S"))),"")</f>
        <v>P</v>
      </c>
      <c r="D244" s="14">
        <f t="shared" si="21"/>
        <v>506</v>
      </c>
      <c r="E244" s="4" t="str">
        <f>IFERROR(INDEX('LEV R&amp;D'!$D:$D,MATCH(MEDIÇÃO!D244,'LEV R&amp;D'!$A:$A,0))-INDEX('PROJETO PERFURAÇÃO'!$AH:$AH,MATCH(MEDIÇÃO!D244,'PROJETO PERFURAÇÃO'!$B:$B,0)),"")</f>
        <v/>
      </c>
      <c r="F244" s="17">
        <f>IFERROR(INDEX('PROJETO PERFURAÇÃO'!$AN:$AN,MATCH(MEDIÇÃO!D244,'PROJETO PERFURAÇÃO'!$B:$B,0)),"")</f>
        <v>0</v>
      </c>
      <c r="G244" s="3"/>
      <c r="H244" s="3"/>
      <c r="I244" s="3" t="str">
        <f>IFERROR(ROUND(INDEX('PROJETO PERFURAÇÃO'!$AB:$AB,MATCH(MEDIÇÃO!K244,'PROJETO PERFURAÇÃO'!$B:$B,0)),1)&amp;"''","")</f>
        <v>5''</v>
      </c>
      <c r="J244" s="3" t="str">
        <f>IFERROR(IF(INDEX('PROJETO PERFURAÇÃO'!$P:$P,MATCH(MEDIÇÃO!K244,'PROJETO PERFURAÇÃO'!$B:$B,0))="Production","P",IF(INDEX('PROJETO PERFURAÇÃO'!$P:$P,MATCH(MEDIÇÃO!K244,'PROJETO PERFURAÇÃO'!$B:$B,0))="Buffer","B",IF(INDEX('PROJETO PERFURAÇÃO'!$P:$P,MATCH(MEDIÇÃO!K244,'PROJETO PERFURAÇÃO'!$B:$B,0))="Pre-Splitting","S"))),"")</f>
        <v>P</v>
      </c>
      <c r="K244" s="14">
        <f t="shared" si="22"/>
        <v>529</v>
      </c>
      <c r="L244" s="4" t="str">
        <f>IFERROR(INDEX('LEV R&amp;D'!$D:$D,MATCH(MEDIÇÃO!K244,'LEV R&amp;D'!$A:$A,0))-INDEX('PROJETO PERFURAÇÃO'!$AH:$AH,MATCH(MEDIÇÃO!K244,'PROJETO PERFURAÇÃO'!$B:$B,0)),"")</f>
        <v/>
      </c>
      <c r="M244" s="17">
        <f>IFERROR(INDEX('PROJETO PERFURAÇÃO'!$AN:$AN,MATCH(MEDIÇÃO!K244,'PROJETO PERFURAÇÃO'!$B:$B,0)),"")</f>
        <v>0</v>
      </c>
      <c r="N244" s="3"/>
      <c r="O244" s="3"/>
      <c r="P244" s="3" t="str">
        <f>IFERROR(ROUND(INDEX('PROJETO PERFURAÇÃO'!$AB:$AB,MATCH(MEDIÇÃO!R244,'PROJETO PERFURAÇÃO'!$B:$B,0)),1)&amp;"''","")</f>
        <v>5''</v>
      </c>
      <c r="Q244" s="3" t="str">
        <f>IFERROR(IF(INDEX('PROJETO PERFURAÇÃO'!$P:$P,MATCH(MEDIÇÃO!R244,'PROJETO PERFURAÇÃO'!$B:$B,0))="Production","P",IF(INDEX('PROJETO PERFURAÇÃO'!$P:$P,MATCH(MEDIÇÃO!R244,'PROJETO PERFURAÇÃO'!$B:$B,0))="Buffer","B",IF(INDEX('PROJETO PERFURAÇÃO'!$P:$P,MATCH(MEDIÇÃO!R244,'PROJETO PERFURAÇÃO'!$B:$B,0))="Pre-Splitting","S"))),"")</f>
        <v>P</v>
      </c>
      <c r="R244" s="14">
        <f t="shared" si="23"/>
        <v>552</v>
      </c>
      <c r="S244" s="4" t="str">
        <f>IFERROR(INDEX('LEV R&amp;D'!$D:$D,MATCH(MEDIÇÃO!R244,'LEV R&amp;D'!$A:$A,0))-INDEX('PROJETO PERFURAÇÃO'!$AH:$AH,MATCH(MEDIÇÃO!R244,'PROJETO PERFURAÇÃO'!$B:$B,0)),"")</f>
        <v/>
      </c>
      <c r="T244" s="17">
        <f>IFERROR(INDEX('PROJETO PERFURAÇÃO'!$AN:$AN,MATCH(MEDIÇÃO!R244,'PROJETO PERFURAÇÃO'!$B:$B,0)),"")</f>
        <v>0</v>
      </c>
      <c r="U244" s="3"/>
      <c r="V244" s="3"/>
    </row>
    <row r="245" spans="1:23" ht="30" customHeight="1" x14ac:dyDescent="0.25">
      <c r="B245" s="1"/>
      <c r="C245" s="1"/>
      <c r="D245" s="15"/>
      <c r="E245" s="2"/>
      <c r="F245" s="16"/>
      <c r="G245" s="1"/>
      <c r="H245" s="1"/>
      <c r="I245" s="1"/>
      <c r="J245" s="1"/>
      <c r="K245" s="15"/>
      <c r="L245" s="2"/>
      <c r="M245" s="16"/>
      <c r="N245" s="1"/>
      <c r="O245" s="1"/>
      <c r="P245" s="1"/>
      <c r="Q245" s="1"/>
      <c r="R245" s="15"/>
      <c r="S245" s="2"/>
      <c r="T245" s="16"/>
      <c r="U245" s="1"/>
      <c r="V245" s="1"/>
    </row>
    <row r="246" spans="1:23" ht="30" customHeight="1" x14ac:dyDescent="0.25">
      <c r="C246" s="20"/>
      <c r="D246" s="20"/>
      <c r="E246" s="20"/>
      <c r="F246" s="20"/>
      <c r="G246" s="20"/>
      <c r="H246" s="20"/>
      <c r="I246" s="20"/>
      <c r="J246" s="20"/>
      <c r="K246" s="20"/>
      <c r="M246" s="20"/>
      <c r="N246" s="20"/>
      <c r="O246" s="20"/>
      <c r="P246" s="20"/>
      <c r="Q246" s="20"/>
      <c r="R246" s="20"/>
      <c r="S246" s="20"/>
      <c r="T246" s="20"/>
      <c r="U246" s="20"/>
    </row>
    <row r="247" spans="1:23" ht="30" customHeight="1" x14ac:dyDescent="0.25">
      <c r="C247" s="21" t="s">
        <v>40</v>
      </c>
      <c r="D247" s="21"/>
      <c r="E247" s="21"/>
      <c r="F247" s="21"/>
      <c r="G247" s="21"/>
      <c r="H247" s="21"/>
      <c r="I247" s="21"/>
      <c r="J247" s="21"/>
      <c r="K247" s="21"/>
      <c r="L247" s="9"/>
      <c r="M247" s="21" t="s">
        <v>40</v>
      </c>
      <c r="N247" s="21"/>
      <c r="O247" s="21"/>
      <c r="P247" s="21"/>
      <c r="Q247" s="21"/>
      <c r="R247" s="21"/>
      <c r="S247" s="21"/>
      <c r="T247" s="21"/>
      <c r="U247" s="21"/>
      <c r="V247" s="9"/>
    </row>
    <row r="248" spans="1:23" ht="30" customHeight="1" x14ac:dyDescent="0.25">
      <c r="D248" s="9"/>
      <c r="E248" s="9"/>
      <c r="F248" s="9"/>
      <c r="G248" s="9"/>
      <c r="H248" s="9"/>
      <c r="I248" s="9"/>
      <c r="J248" s="9"/>
      <c r="K248" s="9"/>
      <c r="L248" s="9"/>
      <c r="M248" s="9"/>
      <c r="N248" s="9"/>
      <c r="Q248" s="9"/>
      <c r="R248" s="9"/>
      <c r="S248" s="9"/>
      <c r="T248" s="9"/>
      <c r="U248" s="9"/>
      <c r="V248" s="9"/>
    </row>
    <row r="249" spans="1:23" ht="30" customHeight="1" x14ac:dyDescent="0.25">
      <c r="B249" s="19" t="str">
        <f>'PROJETO PERFURAÇÃO'!$C$2&amp;" - "&amp;'PROJETO PERFURAÇÃO'!$H$2</f>
        <v>LIB065 - PP0651026</v>
      </c>
      <c r="C249" s="19"/>
      <c r="D249" s="19"/>
      <c r="E249" s="19"/>
      <c r="F249" s="19"/>
      <c r="G249" s="19"/>
      <c r="H249" s="19"/>
      <c r="I249" s="11" t="s">
        <v>34</v>
      </c>
      <c r="J249" s="10" t="s">
        <v>37</v>
      </c>
    </row>
    <row r="250" spans="1:23" ht="30" customHeight="1" x14ac:dyDescent="0.25">
      <c r="B250" s="19"/>
      <c r="C250" s="19"/>
      <c r="D250" s="19"/>
      <c r="E250" s="19"/>
      <c r="F250" s="19"/>
      <c r="G250" s="19"/>
      <c r="H250" s="19"/>
      <c r="I250" s="12" t="s">
        <v>35</v>
      </c>
      <c r="J250" s="10" t="s">
        <v>38</v>
      </c>
      <c r="K250" s="9"/>
      <c r="L250" s="9"/>
      <c r="M250" s="9"/>
      <c r="N250" s="9"/>
      <c r="O250" s="9"/>
      <c r="P250" s="9"/>
      <c r="Q250" s="9"/>
      <c r="R250" s="9"/>
      <c r="S250" s="9"/>
      <c r="T250" s="9"/>
      <c r="U250" s="9"/>
      <c r="V250" s="9"/>
    </row>
    <row r="251" spans="1:23" ht="30" customHeight="1" x14ac:dyDescent="0.25">
      <c r="B251" s="19"/>
      <c r="C251" s="19"/>
      <c r="D251" s="19"/>
      <c r="E251" s="19"/>
      <c r="F251" s="19"/>
      <c r="G251" s="19"/>
      <c r="H251" s="19"/>
      <c r="I251" s="13" t="s">
        <v>36</v>
      </c>
      <c r="J251" s="10" t="s">
        <v>39</v>
      </c>
    </row>
    <row r="252" spans="1:23" ht="30" customHeight="1" x14ac:dyDescent="0.25">
      <c r="A252" s="1"/>
      <c r="B252" s="6" t="s">
        <v>33</v>
      </c>
      <c r="C252" s="6" t="s">
        <v>13</v>
      </c>
      <c r="D252" s="7" t="s">
        <v>1</v>
      </c>
      <c r="E252" s="7" t="s">
        <v>29</v>
      </c>
      <c r="F252" s="7" t="s">
        <v>30</v>
      </c>
      <c r="G252" s="7" t="s">
        <v>31</v>
      </c>
      <c r="H252" s="7" t="s">
        <v>32</v>
      </c>
      <c r="I252" s="6" t="s">
        <v>33</v>
      </c>
      <c r="J252" s="6" t="s">
        <v>13</v>
      </c>
      <c r="K252" s="7" t="s">
        <v>1</v>
      </c>
      <c r="L252" s="7" t="s">
        <v>29</v>
      </c>
      <c r="M252" s="7" t="s">
        <v>30</v>
      </c>
      <c r="N252" s="7" t="s">
        <v>31</v>
      </c>
      <c r="O252" s="7" t="s">
        <v>32</v>
      </c>
      <c r="P252" s="6" t="s">
        <v>33</v>
      </c>
      <c r="Q252" s="6" t="s">
        <v>13</v>
      </c>
      <c r="R252" s="7" t="s">
        <v>1</v>
      </c>
      <c r="S252" s="7" t="s">
        <v>29</v>
      </c>
      <c r="T252" s="7" t="s">
        <v>30</v>
      </c>
      <c r="U252" s="7" t="s">
        <v>31</v>
      </c>
      <c r="V252" s="7" t="s">
        <v>32</v>
      </c>
      <c r="W252" s="1"/>
    </row>
    <row r="253" spans="1:23" ht="45" customHeight="1" x14ac:dyDescent="0.25">
      <c r="B253" s="3" t="str">
        <f>IFERROR(ROUND(INDEX('PROJETO PERFURAÇÃO'!$AB:$AB,MATCH(MEDIÇÃO!D253,'PROJETO PERFURAÇÃO'!$B:$B,0)),1)&amp;"''","")</f>
        <v>5''</v>
      </c>
      <c r="C253" s="3" t="str">
        <f>IFERROR(IF(INDEX('PROJETO PERFURAÇÃO'!$P:$P,MATCH(MEDIÇÃO!D253,'PROJETO PERFURAÇÃO'!$B:$B,0))="Production","P",IF(INDEX('PROJETO PERFURAÇÃO'!$P:$P,MATCH(MEDIÇÃO!D253,'PROJETO PERFURAÇÃO'!$B:$B,0))="Buffer","B",IF(INDEX('PROJETO PERFURAÇÃO'!$P:$P,MATCH(MEDIÇÃO!D253,'PROJETO PERFURAÇÃO'!$B:$B,0))="Pre-Splitting","S"))),"")</f>
        <v>P</v>
      </c>
      <c r="D253" s="14">
        <f>R244+1</f>
        <v>553</v>
      </c>
      <c r="E253" s="4" t="str">
        <f>IFERROR(INDEX('LEV R&amp;D'!$D:$D,MATCH(MEDIÇÃO!D253,'LEV R&amp;D'!$A:$A,0))-INDEX('PROJETO PERFURAÇÃO'!$AH:$AH,MATCH(MEDIÇÃO!D253,'PROJETO PERFURAÇÃO'!$B:$B,0)),"")</f>
        <v/>
      </c>
      <c r="F253" s="17">
        <f>IFERROR(INDEX('PROJETO PERFURAÇÃO'!$AN:$AN,MATCH(MEDIÇÃO!D253,'PROJETO PERFURAÇÃO'!$B:$B,0)),"")</f>
        <v>0</v>
      </c>
      <c r="G253" s="3"/>
      <c r="H253" s="3"/>
      <c r="I253" s="3" t="str">
        <f>IFERROR(ROUND(INDEX('PROJETO PERFURAÇÃO'!$AB:$AB,MATCH(MEDIÇÃO!K253,'PROJETO PERFURAÇÃO'!$B:$B,0)),1)&amp;"''","")</f>
        <v>5''</v>
      </c>
      <c r="J253" s="3" t="str">
        <f>IFERROR(IF(INDEX('PROJETO PERFURAÇÃO'!$P:$P,MATCH(MEDIÇÃO!K253,'PROJETO PERFURAÇÃO'!$B:$B,0))="Production","P",IF(INDEX('PROJETO PERFURAÇÃO'!$P:$P,MATCH(MEDIÇÃO!K253,'PROJETO PERFURAÇÃO'!$B:$B,0))="Buffer","B",IF(INDEX('PROJETO PERFURAÇÃO'!$P:$P,MATCH(MEDIÇÃO!K253,'PROJETO PERFURAÇÃO'!$B:$B,0))="Pre-Splitting","S"))),"")</f>
        <v>P</v>
      </c>
      <c r="K253" s="14">
        <f>D275+1</f>
        <v>576</v>
      </c>
      <c r="L253" s="4" t="str">
        <f>IFERROR(INDEX('LEV R&amp;D'!$D:$D,MATCH(MEDIÇÃO!K253,'LEV R&amp;D'!$A:$A,0))-INDEX('PROJETO PERFURAÇÃO'!$AH:$AH,MATCH(MEDIÇÃO!K253,'PROJETO PERFURAÇÃO'!$B:$B,0)),"")</f>
        <v/>
      </c>
      <c r="M253" s="17">
        <f>IFERROR(INDEX('PROJETO PERFURAÇÃO'!$AN:$AN,MATCH(MEDIÇÃO!K253,'PROJETO PERFURAÇÃO'!$B:$B,0)),"")</f>
        <v>0</v>
      </c>
      <c r="N253" s="3"/>
      <c r="O253" s="3"/>
      <c r="P253" s="3" t="str">
        <f>IFERROR(ROUND(INDEX('PROJETO PERFURAÇÃO'!$AB:$AB,MATCH(MEDIÇÃO!R253,'PROJETO PERFURAÇÃO'!$B:$B,0)),1)&amp;"''","")</f>
        <v>5''</v>
      </c>
      <c r="Q253" s="3" t="str">
        <f>IFERROR(IF(INDEX('PROJETO PERFURAÇÃO'!$P:$P,MATCH(MEDIÇÃO!R253,'PROJETO PERFURAÇÃO'!$B:$B,0))="Production","P",IF(INDEX('PROJETO PERFURAÇÃO'!$P:$P,MATCH(MEDIÇÃO!R253,'PROJETO PERFURAÇÃO'!$B:$B,0))="Buffer","B",IF(INDEX('PROJETO PERFURAÇÃO'!$P:$P,MATCH(MEDIÇÃO!R253,'PROJETO PERFURAÇÃO'!$B:$B,0))="Pre-Splitting","S"))),"")</f>
        <v>P</v>
      </c>
      <c r="R253" s="14">
        <f>K275+1</f>
        <v>599</v>
      </c>
      <c r="S253" s="4" t="str">
        <f>IFERROR(INDEX('LEV R&amp;D'!$D:$D,MATCH(MEDIÇÃO!R253,'LEV R&amp;D'!$A:$A,0))-INDEX('PROJETO PERFURAÇÃO'!$AH:$AH,MATCH(MEDIÇÃO!R253,'PROJETO PERFURAÇÃO'!$B:$B,0)),"")</f>
        <v/>
      </c>
      <c r="T253" s="17">
        <f>IFERROR(INDEX('PROJETO PERFURAÇÃO'!$AN:$AN,MATCH(MEDIÇÃO!R253,'PROJETO PERFURAÇÃO'!$B:$B,0)),"")</f>
        <v>0</v>
      </c>
      <c r="U253" s="3"/>
      <c r="V253" s="3"/>
    </row>
    <row r="254" spans="1:23" ht="45" customHeight="1" x14ac:dyDescent="0.25">
      <c r="B254" s="3" t="str">
        <f>IFERROR(ROUND(INDEX('PROJETO PERFURAÇÃO'!$AB:$AB,MATCH(MEDIÇÃO!D254,'PROJETO PERFURAÇÃO'!$B:$B,0)),1)&amp;"''","")</f>
        <v>5''</v>
      </c>
      <c r="C254" s="3" t="str">
        <f>IFERROR(IF(INDEX('PROJETO PERFURAÇÃO'!$P:$P,MATCH(MEDIÇÃO!D254,'PROJETO PERFURAÇÃO'!$B:$B,0))="Production","P",IF(INDEX('PROJETO PERFURAÇÃO'!$P:$P,MATCH(MEDIÇÃO!D254,'PROJETO PERFURAÇÃO'!$B:$B,0))="Buffer","B",IF(INDEX('PROJETO PERFURAÇÃO'!$P:$P,MATCH(MEDIÇÃO!D254,'PROJETO PERFURAÇÃO'!$B:$B,0))="Pre-Splitting","S"))),"")</f>
        <v>P</v>
      </c>
      <c r="D254" s="14">
        <f>D253+1</f>
        <v>554</v>
      </c>
      <c r="E254" s="4" t="str">
        <f>IFERROR(INDEX('LEV R&amp;D'!$D:$D,MATCH(MEDIÇÃO!D254,'LEV R&amp;D'!$A:$A,0))-INDEX('PROJETO PERFURAÇÃO'!$AH:$AH,MATCH(MEDIÇÃO!D254,'PROJETO PERFURAÇÃO'!$B:$B,0)),"")</f>
        <v/>
      </c>
      <c r="F254" s="17">
        <f>IFERROR(INDEX('PROJETO PERFURAÇÃO'!$AN:$AN,MATCH(MEDIÇÃO!D254,'PROJETO PERFURAÇÃO'!$B:$B,0)),"")</f>
        <v>0</v>
      </c>
      <c r="G254" s="3"/>
      <c r="H254" s="3"/>
      <c r="I254" s="3" t="str">
        <f>IFERROR(ROUND(INDEX('PROJETO PERFURAÇÃO'!$AB:$AB,MATCH(MEDIÇÃO!K254,'PROJETO PERFURAÇÃO'!$B:$B,0)),1)&amp;"''","")</f>
        <v>5''</v>
      </c>
      <c r="J254" s="3" t="str">
        <f>IFERROR(IF(INDEX('PROJETO PERFURAÇÃO'!$P:$P,MATCH(MEDIÇÃO!K254,'PROJETO PERFURAÇÃO'!$B:$B,0))="Production","P",IF(INDEX('PROJETO PERFURAÇÃO'!$P:$P,MATCH(MEDIÇÃO!K254,'PROJETO PERFURAÇÃO'!$B:$B,0))="Buffer","B",IF(INDEX('PROJETO PERFURAÇÃO'!$P:$P,MATCH(MEDIÇÃO!K254,'PROJETO PERFURAÇÃO'!$B:$B,0))="Pre-Splitting","S"))),"")</f>
        <v>P</v>
      </c>
      <c r="K254" s="14">
        <f>K253+1</f>
        <v>577</v>
      </c>
      <c r="L254" s="4" t="str">
        <f>IFERROR(INDEX('LEV R&amp;D'!$D:$D,MATCH(MEDIÇÃO!K254,'LEV R&amp;D'!$A:$A,0))-INDEX('PROJETO PERFURAÇÃO'!$AH:$AH,MATCH(MEDIÇÃO!K254,'PROJETO PERFURAÇÃO'!$B:$B,0)),"")</f>
        <v/>
      </c>
      <c r="M254" s="17">
        <f>IFERROR(INDEX('PROJETO PERFURAÇÃO'!$AN:$AN,MATCH(MEDIÇÃO!K254,'PROJETO PERFURAÇÃO'!$B:$B,0)),"")</f>
        <v>0</v>
      </c>
      <c r="N254" s="3"/>
      <c r="O254" s="3"/>
      <c r="P254" s="3" t="str">
        <f>IFERROR(ROUND(INDEX('PROJETO PERFURAÇÃO'!$AB:$AB,MATCH(MEDIÇÃO!R254,'PROJETO PERFURAÇÃO'!$B:$B,0)),1)&amp;"''","")</f>
        <v>5''</v>
      </c>
      <c r="Q254" s="3" t="str">
        <f>IFERROR(IF(INDEX('PROJETO PERFURAÇÃO'!$P:$P,MATCH(MEDIÇÃO!R254,'PROJETO PERFURAÇÃO'!$B:$B,0))="Production","P",IF(INDEX('PROJETO PERFURAÇÃO'!$P:$P,MATCH(MEDIÇÃO!R254,'PROJETO PERFURAÇÃO'!$B:$B,0))="Buffer","B",IF(INDEX('PROJETO PERFURAÇÃO'!$P:$P,MATCH(MEDIÇÃO!R254,'PROJETO PERFURAÇÃO'!$B:$B,0))="Pre-Splitting","S"))),"")</f>
        <v>P</v>
      </c>
      <c r="R254" s="14">
        <f>R253+1</f>
        <v>600</v>
      </c>
      <c r="S254" s="4" t="str">
        <f>IFERROR(INDEX('LEV R&amp;D'!$D:$D,MATCH(MEDIÇÃO!R254,'LEV R&amp;D'!$A:$A,0))-INDEX('PROJETO PERFURAÇÃO'!$AH:$AH,MATCH(MEDIÇÃO!R254,'PROJETO PERFURAÇÃO'!$B:$B,0)),"")</f>
        <v/>
      </c>
      <c r="T254" s="17">
        <f>IFERROR(INDEX('PROJETO PERFURAÇÃO'!$AN:$AN,MATCH(MEDIÇÃO!R254,'PROJETO PERFURAÇÃO'!$B:$B,0)),"")</f>
        <v>0</v>
      </c>
      <c r="U254" s="3"/>
      <c r="V254" s="3"/>
    </row>
    <row r="255" spans="1:23" ht="45" customHeight="1" x14ac:dyDescent="0.25">
      <c r="B255" s="3" t="str">
        <f>IFERROR(ROUND(INDEX('PROJETO PERFURAÇÃO'!$AB:$AB,MATCH(MEDIÇÃO!D255,'PROJETO PERFURAÇÃO'!$B:$B,0)),1)&amp;"''","")</f>
        <v>5''</v>
      </c>
      <c r="C255" s="3" t="str">
        <f>IFERROR(IF(INDEX('PROJETO PERFURAÇÃO'!$P:$P,MATCH(MEDIÇÃO!D255,'PROJETO PERFURAÇÃO'!$B:$B,0))="Production","P",IF(INDEX('PROJETO PERFURAÇÃO'!$P:$P,MATCH(MEDIÇÃO!D255,'PROJETO PERFURAÇÃO'!$B:$B,0))="Buffer","B",IF(INDEX('PROJETO PERFURAÇÃO'!$P:$P,MATCH(MEDIÇÃO!D255,'PROJETO PERFURAÇÃO'!$B:$B,0))="Pre-Splitting","S"))),"")</f>
        <v>P</v>
      </c>
      <c r="D255" s="14">
        <f t="shared" ref="D255:D275" si="24">D254+1</f>
        <v>555</v>
      </c>
      <c r="E255" s="4" t="str">
        <f>IFERROR(INDEX('LEV R&amp;D'!$D:$D,MATCH(MEDIÇÃO!D255,'LEV R&amp;D'!$A:$A,0))-INDEX('PROJETO PERFURAÇÃO'!$AH:$AH,MATCH(MEDIÇÃO!D255,'PROJETO PERFURAÇÃO'!$B:$B,0)),"")</f>
        <v/>
      </c>
      <c r="F255" s="17">
        <f>IFERROR(INDEX('PROJETO PERFURAÇÃO'!$AN:$AN,MATCH(MEDIÇÃO!D255,'PROJETO PERFURAÇÃO'!$B:$B,0)),"")</f>
        <v>0</v>
      </c>
      <c r="G255" s="3"/>
      <c r="H255" s="3"/>
      <c r="I255" s="3" t="str">
        <f>IFERROR(ROUND(INDEX('PROJETO PERFURAÇÃO'!$AB:$AB,MATCH(MEDIÇÃO!K255,'PROJETO PERFURAÇÃO'!$B:$B,0)),1)&amp;"''","")</f>
        <v>5''</v>
      </c>
      <c r="J255" s="3" t="str">
        <f>IFERROR(IF(INDEX('PROJETO PERFURAÇÃO'!$P:$P,MATCH(MEDIÇÃO!K255,'PROJETO PERFURAÇÃO'!$B:$B,0))="Production","P",IF(INDEX('PROJETO PERFURAÇÃO'!$P:$P,MATCH(MEDIÇÃO!K255,'PROJETO PERFURAÇÃO'!$B:$B,0))="Buffer","B",IF(INDEX('PROJETO PERFURAÇÃO'!$P:$P,MATCH(MEDIÇÃO!K255,'PROJETO PERFURAÇÃO'!$B:$B,0))="Pre-Splitting","S"))),"")</f>
        <v>P</v>
      </c>
      <c r="K255" s="14">
        <f t="shared" ref="K255:K275" si="25">K254+1</f>
        <v>578</v>
      </c>
      <c r="L255" s="4" t="str">
        <f>IFERROR(INDEX('LEV R&amp;D'!$D:$D,MATCH(MEDIÇÃO!K255,'LEV R&amp;D'!$A:$A,0))-INDEX('PROJETO PERFURAÇÃO'!$AH:$AH,MATCH(MEDIÇÃO!K255,'PROJETO PERFURAÇÃO'!$B:$B,0)),"")</f>
        <v/>
      </c>
      <c r="M255" s="17">
        <f>IFERROR(INDEX('PROJETO PERFURAÇÃO'!$AN:$AN,MATCH(MEDIÇÃO!K255,'PROJETO PERFURAÇÃO'!$B:$B,0)),"")</f>
        <v>0</v>
      </c>
      <c r="N255" s="3"/>
      <c r="O255" s="3"/>
      <c r="P255" s="3" t="str">
        <f>IFERROR(ROUND(INDEX('PROJETO PERFURAÇÃO'!$AB:$AB,MATCH(MEDIÇÃO!R255,'PROJETO PERFURAÇÃO'!$B:$B,0)),1)&amp;"''","")</f>
        <v>5''</v>
      </c>
      <c r="Q255" s="3" t="str">
        <f>IFERROR(IF(INDEX('PROJETO PERFURAÇÃO'!$P:$P,MATCH(MEDIÇÃO!R255,'PROJETO PERFURAÇÃO'!$B:$B,0))="Production","P",IF(INDEX('PROJETO PERFURAÇÃO'!$P:$P,MATCH(MEDIÇÃO!R255,'PROJETO PERFURAÇÃO'!$B:$B,0))="Buffer","B",IF(INDEX('PROJETO PERFURAÇÃO'!$P:$P,MATCH(MEDIÇÃO!R255,'PROJETO PERFURAÇÃO'!$B:$B,0))="Pre-Splitting","S"))),"")</f>
        <v>P</v>
      </c>
      <c r="R255" s="14">
        <f t="shared" ref="R255:R275" si="26">R254+1</f>
        <v>601</v>
      </c>
      <c r="S255" s="4" t="str">
        <f>IFERROR(INDEX('LEV R&amp;D'!$D:$D,MATCH(MEDIÇÃO!R255,'LEV R&amp;D'!$A:$A,0))-INDEX('PROJETO PERFURAÇÃO'!$AH:$AH,MATCH(MEDIÇÃO!R255,'PROJETO PERFURAÇÃO'!$B:$B,0)),"")</f>
        <v/>
      </c>
      <c r="T255" s="17">
        <f>IFERROR(INDEX('PROJETO PERFURAÇÃO'!$AN:$AN,MATCH(MEDIÇÃO!R255,'PROJETO PERFURAÇÃO'!$B:$B,0)),"")</f>
        <v>0</v>
      </c>
      <c r="U255" s="3"/>
      <c r="V255" s="3"/>
    </row>
    <row r="256" spans="1:23" ht="45" customHeight="1" x14ac:dyDescent="0.25">
      <c r="B256" s="3" t="str">
        <f>IFERROR(ROUND(INDEX('PROJETO PERFURAÇÃO'!$AB:$AB,MATCH(MEDIÇÃO!D256,'PROJETO PERFURAÇÃO'!$B:$B,0)),1)&amp;"''","")</f>
        <v>5''</v>
      </c>
      <c r="C256" s="3" t="str">
        <f>IFERROR(IF(INDEX('PROJETO PERFURAÇÃO'!$P:$P,MATCH(MEDIÇÃO!D256,'PROJETO PERFURAÇÃO'!$B:$B,0))="Production","P",IF(INDEX('PROJETO PERFURAÇÃO'!$P:$P,MATCH(MEDIÇÃO!D256,'PROJETO PERFURAÇÃO'!$B:$B,0))="Buffer","B",IF(INDEX('PROJETO PERFURAÇÃO'!$P:$P,MATCH(MEDIÇÃO!D256,'PROJETO PERFURAÇÃO'!$B:$B,0))="Pre-Splitting","S"))),"")</f>
        <v>P</v>
      </c>
      <c r="D256" s="14">
        <f t="shared" si="24"/>
        <v>556</v>
      </c>
      <c r="E256" s="4" t="str">
        <f>IFERROR(INDEX('LEV R&amp;D'!$D:$D,MATCH(MEDIÇÃO!D256,'LEV R&amp;D'!$A:$A,0))-INDEX('PROJETO PERFURAÇÃO'!$AH:$AH,MATCH(MEDIÇÃO!D256,'PROJETO PERFURAÇÃO'!$B:$B,0)),"")</f>
        <v/>
      </c>
      <c r="F256" s="17">
        <f>IFERROR(INDEX('PROJETO PERFURAÇÃO'!$AN:$AN,MATCH(MEDIÇÃO!D256,'PROJETO PERFURAÇÃO'!$B:$B,0)),"")</f>
        <v>0</v>
      </c>
      <c r="G256" s="3"/>
      <c r="H256" s="3"/>
      <c r="I256" s="3" t="str">
        <f>IFERROR(ROUND(INDEX('PROJETO PERFURAÇÃO'!$AB:$AB,MATCH(MEDIÇÃO!K256,'PROJETO PERFURAÇÃO'!$B:$B,0)),1)&amp;"''","")</f>
        <v>5''</v>
      </c>
      <c r="J256" s="3" t="str">
        <f>IFERROR(IF(INDEX('PROJETO PERFURAÇÃO'!$P:$P,MATCH(MEDIÇÃO!K256,'PROJETO PERFURAÇÃO'!$B:$B,0))="Production","P",IF(INDEX('PROJETO PERFURAÇÃO'!$P:$P,MATCH(MEDIÇÃO!K256,'PROJETO PERFURAÇÃO'!$B:$B,0))="Buffer","B",IF(INDEX('PROJETO PERFURAÇÃO'!$P:$P,MATCH(MEDIÇÃO!K256,'PROJETO PERFURAÇÃO'!$B:$B,0))="Pre-Splitting","S"))),"")</f>
        <v>P</v>
      </c>
      <c r="K256" s="14">
        <f t="shared" si="25"/>
        <v>579</v>
      </c>
      <c r="L256" s="4" t="str">
        <f>IFERROR(INDEX('LEV R&amp;D'!$D:$D,MATCH(MEDIÇÃO!K256,'LEV R&amp;D'!$A:$A,0))-INDEX('PROJETO PERFURAÇÃO'!$AH:$AH,MATCH(MEDIÇÃO!K256,'PROJETO PERFURAÇÃO'!$B:$B,0)),"")</f>
        <v/>
      </c>
      <c r="M256" s="17">
        <f>IFERROR(INDEX('PROJETO PERFURAÇÃO'!$AN:$AN,MATCH(MEDIÇÃO!K256,'PROJETO PERFURAÇÃO'!$B:$B,0)),"")</f>
        <v>0</v>
      </c>
      <c r="N256" s="3"/>
      <c r="O256" s="3"/>
      <c r="P256" s="3" t="str">
        <f>IFERROR(ROUND(INDEX('PROJETO PERFURAÇÃO'!$AB:$AB,MATCH(MEDIÇÃO!R256,'PROJETO PERFURAÇÃO'!$B:$B,0)),1)&amp;"''","")</f>
        <v>5''</v>
      </c>
      <c r="Q256" s="3" t="str">
        <f>IFERROR(IF(INDEX('PROJETO PERFURAÇÃO'!$P:$P,MATCH(MEDIÇÃO!R256,'PROJETO PERFURAÇÃO'!$B:$B,0))="Production","P",IF(INDEX('PROJETO PERFURAÇÃO'!$P:$P,MATCH(MEDIÇÃO!R256,'PROJETO PERFURAÇÃO'!$B:$B,0))="Buffer","B",IF(INDEX('PROJETO PERFURAÇÃO'!$P:$P,MATCH(MEDIÇÃO!R256,'PROJETO PERFURAÇÃO'!$B:$B,0))="Pre-Splitting","S"))),"")</f>
        <v>P</v>
      </c>
      <c r="R256" s="14">
        <f t="shared" si="26"/>
        <v>602</v>
      </c>
      <c r="S256" s="4" t="str">
        <f>IFERROR(INDEX('LEV R&amp;D'!$D:$D,MATCH(MEDIÇÃO!R256,'LEV R&amp;D'!$A:$A,0))-INDEX('PROJETO PERFURAÇÃO'!$AH:$AH,MATCH(MEDIÇÃO!R256,'PROJETO PERFURAÇÃO'!$B:$B,0)),"")</f>
        <v/>
      </c>
      <c r="T256" s="17">
        <f>IFERROR(INDEX('PROJETO PERFURAÇÃO'!$AN:$AN,MATCH(MEDIÇÃO!R256,'PROJETO PERFURAÇÃO'!$B:$B,0)),"")</f>
        <v>0</v>
      </c>
      <c r="U256" s="3"/>
      <c r="V256" s="3"/>
    </row>
    <row r="257" spans="2:22" ht="45" customHeight="1" x14ac:dyDescent="0.25">
      <c r="B257" s="3" t="str">
        <f>IFERROR(ROUND(INDEX('PROJETO PERFURAÇÃO'!$AB:$AB,MATCH(MEDIÇÃO!D257,'PROJETO PERFURAÇÃO'!$B:$B,0)),1)&amp;"''","")</f>
        <v>5''</v>
      </c>
      <c r="C257" s="3" t="str">
        <f>IFERROR(IF(INDEX('PROJETO PERFURAÇÃO'!$P:$P,MATCH(MEDIÇÃO!D257,'PROJETO PERFURAÇÃO'!$B:$B,0))="Production","P",IF(INDEX('PROJETO PERFURAÇÃO'!$P:$P,MATCH(MEDIÇÃO!D257,'PROJETO PERFURAÇÃO'!$B:$B,0))="Buffer","B",IF(INDEX('PROJETO PERFURAÇÃO'!$P:$P,MATCH(MEDIÇÃO!D257,'PROJETO PERFURAÇÃO'!$B:$B,0))="Pre-Splitting","S"))),"")</f>
        <v>P</v>
      </c>
      <c r="D257" s="14">
        <f t="shared" si="24"/>
        <v>557</v>
      </c>
      <c r="E257" s="4" t="str">
        <f>IFERROR(INDEX('LEV R&amp;D'!$D:$D,MATCH(MEDIÇÃO!D257,'LEV R&amp;D'!$A:$A,0))-INDEX('PROJETO PERFURAÇÃO'!$AH:$AH,MATCH(MEDIÇÃO!D257,'PROJETO PERFURAÇÃO'!$B:$B,0)),"")</f>
        <v/>
      </c>
      <c r="F257" s="17">
        <f>IFERROR(INDEX('PROJETO PERFURAÇÃO'!$AN:$AN,MATCH(MEDIÇÃO!D257,'PROJETO PERFURAÇÃO'!$B:$B,0)),"")</f>
        <v>0</v>
      </c>
      <c r="G257" s="3"/>
      <c r="H257" s="3"/>
      <c r="I257" s="3" t="str">
        <f>IFERROR(ROUND(INDEX('PROJETO PERFURAÇÃO'!$AB:$AB,MATCH(MEDIÇÃO!K257,'PROJETO PERFURAÇÃO'!$B:$B,0)),1)&amp;"''","")</f>
        <v>5''</v>
      </c>
      <c r="J257" s="3" t="str">
        <f>IFERROR(IF(INDEX('PROJETO PERFURAÇÃO'!$P:$P,MATCH(MEDIÇÃO!K257,'PROJETO PERFURAÇÃO'!$B:$B,0))="Production","P",IF(INDEX('PROJETO PERFURAÇÃO'!$P:$P,MATCH(MEDIÇÃO!K257,'PROJETO PERFURAÇÃO'!$B:$B,0))="Buffer","B",IF(INDEX('PROJETO PERFURAÇÃO'!$P:$P,MATCH(MEDIÇÃO!K257,'PROJETO PERFURAÇÃO'!$B:$B,0))="Pre-Splitting","S"))),"")</f>
        <v>P</v>
      </c>
      <c r="K257" s="14">
        <f t="shared" si="25"/>
        <v>580</v>
      </c>
      <c r="L257" s="4" t="str">
        <f>IFERROR(INDEX('LEV R&amp;D'!$D:$D,MATCH(MEDIÇÃO!K257,'LEV R&amp;D'!$A:$A,0))-INDEX('PROJETO PERFURAÇÃO'!$AH:$AH,MATCH(MEDIÇÃO!K257,'PROJETO PERFURAÇÃO'!$B:$B,0)),"")</f>
        <v/>
      </c>
      <c r="M257" s="17">
        <f>IFERROR(INDEX('PROJETO PERFURAÇÃO'!$AN:$AN,MATCH(MEDIÇÃO!K257,'PROJETO PERFURAÇÃO'!$B:$B,0)),"")</f>
        <v>0</v>
      </c>
      <c r="N257" s="3"/>
      <c r="O257" s="3"/>
      <c r="P257" s="3" t="str">
        <f>IFERROR(ROUND(INDEX('PROJETO PERFURAÇÃO'!$AB:$AB,MATCH(MEDIÇÃO!R257,'PROJETO PERFURAÇÃO'!$B:$B,0)),1)&amp;"''","")</f>
        <v>5''</v>
      </c>
      <c r="Q257" s="3" t="str">
        <f>IFERROR(IF(INDEX('PROJETO PERFURAÇÃO'!$P:$P,MATCH(MEDIÇÃO!R257,'PROJETO PERFURAÇÃO'!$B:$B,0))="Production","P",IF(INDEX('PROJETO PERFURAÇÃO'!$P:$P,MATCH(MEDIÇÃO!R257,'PROJETO PERFURAÇÃO'!$B:$B,0))="Buffer","B",IF(INDEX('PROJETO PERFURAÇÃO'!$P:$P,MATCH(MEDIÇÃO!R257,'PROJETO PERFURAÇÃO'!$B:$B,0))="Pre-Splitting","S"))),"")</f>
        <v>P</v>
      </c>
      <c r="R257" s="14">
        <f t="shared" si="26"/>
        <v>603</v>
      </c>
      <c r="S257" s="4" t="str">
        <f>IFERROR(INDEX('LEV R&amp;D'!$D:$D,MATCH(MEDIÇÃO!R257,'LEV R&amp;D'!$A:$A,0))-INDEX('PROJETO PERFURAÇÃO'!$AH:$AH,MATCH(MEDIÇÃO!R257,'PROJETO PERFURAÇÃO'!$B:$B,0)),"")</f>
        <v/>
      </c>
      <c r="T257" s="17">
        <f>IFERROR(INDEX('PROJETO PERFURAÇÃO'!$AN:$AN,MATCH(MEDIÇÃO!R257,'PROJETO PERFURAÇÃO'!$B:$B,0)),"")</f>
        <v>0</v>
      </c>
      <c r="U257" s="3"/>
      <c r="V257" s="3"/>
    </row>
    <row r="258" spans="2:22" ht="45" customHeight="1" x14ac:dyDescent="0.25">
      <c r="B258" s="3" t="str">
        <f>IFERROR(ROUND(INDEX('PROJETO PERFURAÇÃO'!$AB:$AB,MATCH(MEDIÇÃO!D258,'PROJETO PERFURAÇÃO'!$B:$B,0)),1)&amp;"''","")</f>
        <v>5''</v>
      </c>
      <c r="C258" s="3" t="str">
        <f>IFERROR(IF(INDEX('PROJETO PERFURAÇÃO'!$P:$P,MATCH(MEDIÇÃO!D258,'PROJETO PERFURAÇÃO'!$B:$B,0))="Production","P",IF(INDEX('PROJETO PERFURAÇÃO'!$P:$P,MATCH(MEDIÇÃO!D258,'PROJETO PERFURAÇÃO'!$B:$B,0))="Buffer","B",IF(INDEX('PROJETO PERFURAÇÃO'!$P:$P,MATCH(MEDIÇÃO!D258,'PROJETO PERFURAÇÃO'!$B:$B,0))="Pre-Splitting","S"))),"")</f>
        <v>P</v>
      </c>
      <c r="D258" s="14">
        <f t="shared" si="24"/>
        <v>558</v>
      </c>
      <c r="E258" s="4" t="str">
        <f>IFERROR(INDEX('LEV R&amp;D'!$D:$D,MATCH(MEDIÇÃO!D258,'LEV R&amp;D'!$A:$A,0))-INDEX('PROJETO PERFURAÇÃO'!$AH:$AH,MATCH(MEDIÇÃO!D258,'PROJETO PERFURAÇÃO'!$B:$B,0)),"")</f>
        <v/>
      </c>
      <c r="F258" s="17">
        <f>IFERROR(INDEX('PROJETO PERFURAÇÃO'!$AN:$AN,MATCH(MEDIÇÃO!D258,'PROJETO PERFURAÇÃO'!$B:$B,0)),"")</f>
        <v>0</v>
      </c>
      <c r="G258" s="3"/>
      <c r="H258" s="3"/>
      <c r="I258" s="3" t="str">
        <f>IFERROR(ROUND(INDEX('PROJETO PERFURAÇÃO'!$AB:$AB,MATCH(MEDIÇÃO!K258,'PROJETO PERFURAÇÃO'!$B:$B,0)),1)&amp;"''","")</f>
        <v>5''</v>
      </c>
      <c r="J258" s="3" t="str">
        <f>IFERROR(IF(INDEX('PROJETO PERFURAÇÃO'!$P:$P,MATCH(MEDIÇÃO!K258,'PROJETO PERFURAÇÃO'!$B:$B,0))="Production","P",IF(INDEX('PROJETO PERFURAÇÃO'!$P:$P,MATCH(MEDIÇÃO!K258,'PROJETO PERFURAÇÃO'!$B:$B,0))="Buffer","B",IF(INDEX('PROJETO PERFURAÇÃO'!$P:$P,MATCH(MEDIÇÃO!K258,'PROJETO PERFURAÇÃO'!$B:$B,0))="Pre-Splitting","S"))),"")</f>
        <v>P</v>
      </c>
      <c r="K258" s="14">
        <f t="shared" si="25"/>
        <v>581</v>
      </c>
      <c r="L258" s="4" t="str">
        <f>IFERROR(INDEX('LEV R&amp;D'!$D:$D,MATCH(MEDIÇÃO!K258,'LEV R&amp;D'!$A:$A,0))-INDEX('PROJETO PERFURAÇÃO'!$AH:$AH,MATCH(MEDIÇÃO!K258,'PROJETO PERFURAÇÃO'!$B:$B,0)),"")</f>
        <v/>
      </c>
      <c r="M258" s="17">
        <f>IFERROR(INDEX('PROJETO PERFURAÇÃO'!$AN:$AN,MATCH(MEDIÇÃO!K258,'PROJETO PERFURAÇÃO'!$B:$B,0)),"")</f>
        <v>0</v>
      </c>
      <c r="N258" s="3"/>
      <c r="O258" s="3"/>
      <c r="P258" s="3" t="str">
        <f>IFERROR(ROUND(INDEX('PROJETO PERFURAÇÃO'!$AB:$AB,MATCH(MEDIÇÃO!R258,'PROJETO PERFURAÇÃO'!$B:$B,0)),1)&amp;"''","")</f>
        <v>5''</v>
      </c>
      <c r="Q258" s="3" t="str">
        <f>IFERROR(IF(INDEX('PROJETO PERFURAÇÃO'!$P:$P,MATCH(MEDIÇÃO!R258,'PROJETO PERFURAÇÃO'!$B:$B,0))="Production","P",IF(INDEX('PROJETO PERFURAÇÃO'!$P:$P,MATCH(MEDIÇÃO!R258,'PROJETO PERFURAÇÃO'!$B:$B,0))="Buffer","B",IF(INDEX('PROJETO PERFURAÇÃO'!$P:$P,MATCH(MEDIÇÃO!R258,'PROJETO PERFURAÇÃO'!$B:$B,0))="Pre-Splitting","S"))),"")</f>
        <v>P</v>
      </c>
      <c r="R258" s="14">
        <f t="shared" si="26"/>
        <v>604</v>
      </c>
      <c r="S258" s="4" t="str">
        <f>IFERROR(INDEX('LEV R&amp;D'!$D:$D,MATCH(MEDIÇÃO!R258,'LEV R&amp;D'!$A:$A,0))-INDEX('PROJETO PERFURAÇÃO'!$AH:$AH,MATCH(MEDIÇÃO!R258,'PROJETO PERFURAÇÃO'!$B:$B,0)),"")</f>
        <v/>
      </c>
      <c r="T258" s="17">
        <f>IFERROR(INDEX('PROJETO PERFURAÇÃO'!$AN:$AN,MATCH(MEDIÇÃO!R258,'PROJETO PERFURAÇÃO'!$B:$B,0)),"")</f>
        <v>0</v>
      </c>
      <c r="U258" s="3"/>
      <c r="V258" s="3"/>
    </row>
    <row r="259" spans="2:22" ht="45" customHeight="1" x14ac:dyDescent="0.25">
      <c r="B259" s="3" t="str">
        <f>IFERROR(ROUND(INDEX('PROJETO PERFURAÇÃO'!$AB:$AB,MATCH(MEDIÇÃO!D259,'PROJETO PERFURAÇÃO'!$B:$B,0)),1)&amp;"''","")</f>
        <v>5''</v>
      </c>
      <c r="C259" s="3" t="str">
        <f>IFERROR(IF(INDEX('PROJETO PERFURAÇÃO'!$P:$P,MATCH(MEDIÇÃO!D259,'PROJETO PERFURAÇÃO'!$B:$B,0))="Production","P",IF(INDEX('PROJETO PERFURAÇÃO'!$P:$P,MATCH(MEDIÇÃO!D259,'PROJETO PERFURAÇÃO'!$B:$B,0))="Buffer","B",IF(INDEX('PROJETO PERFURAÇÃO'!$P:$P,MATCH(MEDIÇÃO!D259,'PROJETO PERFURAÇÃO'!$B:$B,0))="Pre-Splitting","S"))),"")</f>
        <v>P</v>
      </c>
      <c r="D259" s="14">
        <f t="shared" si="24"/>
        <v>559</v>
      </c>
      <c r="E259" s="4" t="str">
        <f>IFERROR(INDEX('LEV R&amp;D'!$D:$D,MATCH(MEDIÇÃO!D259,'LEV R&amp;D'!$A:$A,0))-INDEX('PROJETO PERFURAÇÃO'!$AH:$AH,MATCH(MEDIÇÃO!D259,'PROJETO PERFURAÇÃO'!$B:$B,0)),"")</f>
        <v/>
      </c>
      <c r="F259" s="17">
        <f>IFERROR(INDEX('PROJETO PERFURAÇÃO'!$AN:$AN,MATCH(MEDIÇÃO!D259,'PROJETO PERFURAÇÃO'!$B:$B,0)),"")</f>
        <v>0</v>
      </c>
      <c r="G259" s="3"/>
      <c r="H259" s="3"/>
      <c r="I259" s="3" t="str">
        <f>IFERROR(ROUND(INDEX('PROJETO PERFURAÇÃO'!$AB:$AB,MATCH(MEDIÇÃO!K259,'PROJETO PERFURAÇÃO'!$B:$B,0)),1)&amp;"''","")</f>
        <v>5''</v>
      </c>
      <c r="J259" s="3" t="str">
        <f>IFERROR(IF(INDEX('PROJETO PERFURAÇÃO'!$P:$P,MATCH(MEDIÇÃO!K259,'PROJETO PERFURAÇÃO'!$B:$B,0))="Production","P",IF(INDEX('PROJETO PERFURAÇÃO'!$P:$P,MATCH(MEDIÇÃO!K259,'PROJETO PERFURAÇÃO'!$B:$B,0))="Buffer","B",IF(INDEX('PROJETO PERFURAÇÃO'!$P:$P,MATCH(MEDIÇÃO!K259,'PROJETO PERFURAÇÃO'!$B:$B,0))="Pre-Splitting","S"))),"")</f>
        <v>P</v>
      </c>
      <c r="K259" s="14">
        <f t="shared" si="25"/>
        <v>582</v>
      </c>
      <c r="L259" s="4" t="str">
        <f>IFERROR(INDEX('LEV R&amp;D'!$D:$D,MATCH(MEDIÇÃO!K259,'LEV R&amp;D'!$A:$A,0))-INDEX('PROJETO PERFURAÇÃO'!$AH:$AH,MATCH(MEDIÇÃO!K259,'PROJETO PERFURAÇÃO'!$B:$B,0)),"")</f>
        <v/>
      </c>
      <c r="M259" s="17">
        <f>IFERROR(INDEX('PROJETO PERFURAÇÃO'!$AN:$AN,MATCH(MEDIÇÃO!K259,'PROJETO PERFURAÇÃO'!$B:$B,0)),"")</f>
        <v>0</v>
      </c>
      <c r="N259" s="3"/>
      <c r="O259" s="3"/>
      <c r="P259" s="3" t="str">
        <f>IFERROR(ROUND(INDEX('PROJETO PERFURAÇÃO'!$AB:$AB,MATCH(MEDIÇÃO!R259,'PROJETO PERFURAÇÃO'!$B:$B,0)),1)&amp;"''","")</f>
        <v>5''</v>
      </c>
      <c r="Q259" s="3" t="str">
        <f>IFERROR(IF(INDEX('PROJETO PERFURAÇÃO'!$P:$P,MATCH(MEDIÇÃO!R259,'PROJETO PERFURAÇÃO'!$B:$B,0))="Production","P",IF(INDEX('PROJETO PERFURAÇÃO'!$P:$P,MATCH(MEDIÇÃO!R259,'PROJETO PERFURAÇÃO'!$B:$B,0))="Buffer","B",IF(INDEX('PROJETO PERFURAÇÃO'!$P:$P,MATCH(MEDIÇÃO!R259,'PROJETO PERFURAÇÃO'!$B:$B,0))="Pre-Splitting","S"))),"")</f>
        <v>P</v>
      </c>
      <c r="R259" s="14">
        <f t="shared" si="26"/>
        <v>605</v>
      </c>
      <c r="S259" s="4" t="str">
        <f>IFERROR(INDEX('LEV R&amp;D'!$D:$D,MATCH(MEDIÇÃO!R259,'LEV R&amp;D'!$A:$A,0))-INDEX('PROJETO PERFURAÇÃO'!$AH:$AH,MATCH(MEDIÇÃO!R259,'PROJETO PERFURAÇÃO'!$B:$B,0)),"")</f>
        <v/>
      </c>
      <c r="T259" s="17">
        <f>IFERROR(INDEX('PROJETO PERFURAÇÃO'!$AN:$AN,MATCH(MEDIÇÃO!R259,'PROJETO PERFURAÇÃO'!$B:$B,0)),"")</f>
        <v>0</v>
      </c>
      <c r="U259" s="3"/>
      <c r="V259" s="3"/>
    </row>
    <row r="260" spans="2:22" ht="45" customHeight="1" x14ac:dyDescent="0.25">
      <c r="B260" s="3" t="str">
        <f>IFERROR(ROUND(INDEX('PROJETO PERFURAÇÃO'!$AB:$AB,MATCH(MEDIÇÃO!D260,'PROJETO PERFURAÇÃO'!$B:$B,0)),1)&amp;"''","")</f>
        <v>5''</v>
      </c>
      <c r="C260" s="3" t="str">
        <f>IFERROR(IF(INDEX('PROJETO PERFURAÇÃO'!$P:$P,MATCH(MEDIÇÃO!D260,'PROJETO PERFURAÇÃO'!$B:$B,0))="Production","P",IF(INDEX('PROJETO PERFURAÇÃO'!$P:$P,MATCH(MEDIÇÃO!D260,'PROJETO PERFURAÇÃO'!$B:$B,0))="Buffer","B",IF(INDEX('PROJETO PERFURAÇÃO'!$P:$P,MATCH(MEDIÇÃO!D260,'PROJETO PERFURAÇÃO'!$B:$B,0))="Pre-Splitting","S"))),"")</f>
        <v>P</v>
      </c>
      <c r="D260" s="14">
        <f t="shared" si="24"/>
        <v>560</v>
      </c>
      <c r="E260" s="4" t="str">
        <f>IFERROR(INDEX('LEV R&amp;D'!$D:$D,MATCH(MEDIÇÃO!D260,'LEV R&amp;D'!$A:$A,0))-INDEX('PROJETO PERFURAÇÃO'!$AH:$AH,MATCH(MEDIÇÃO!D260,'PROJETO PERFURAÇÃO'!$B:$B,0)),"")</f>
        <v/>
      </c>
      <c r="F260" s="17">
        <f>IFERROR(INDEX('PROJETO PERFURAÇÃO'!$AN:$AN,MATCH(MEDIÇÃO!D260,'PROJETO PERFURAÇÃO'!$B:$B,0)),"")</f>
        <v>0</v>
      </c>
      <c r="G260" s="3"/>
      <c r="H260" s="3"/>
      <c r="I260" s="3" t="str">
        <f>IFERROR(ROUND(INDEX('PROJETO PERFURAÇÃO'!$AB:$AB,MATCH(MEDIÇÃO!K260,'PROJETO PERFURAÇÃO'!$B:$B,0)),1)&amp;"''","")</f>
        <v>5''</v>
      </c>
      <c r="J260" s="3" t="str">
        <f>IFERROR(IF(INDEX('PROJETO PERFURAÇÃO'!$P:$P,MATCH(MEDIÇÃO!K260,'PROJETO PERFURAÇÃO'!$B:$B,0))="Production","P",IF(INDEX('PROJETO PERFURAÇÃO'!$P:$P,MATCH(MEDIÇÃO!K260,'PROJETO PERFURAÇÃO'!$B:$B,0))="Buffer","B",IF(INDEX('PROJETO PERFURAÇÃO'!$P:$P,MATCH(MEDIÇÃO!K260,'PROJETO PERFURAÇÃO'!$B:$B,0))="Pre-Splitting","S"))),"")</f>
        <v>P</v>
      </c>
      <c r="K260" s="14">
        <f t="shared" si="25"/>
        <v>583</v>
      </c>
      <c r="L260" s="4" t="str">
        <f>IFERROR(INDEX('LEV R&amp;D'!$D:$D,MATCH(MEDIÇÃO!K260,'LEV R&amp;D'!$A:$A,0))-INDEX('PROJETO PERFURAÇÃO'!$AH:$AH,MATCH(MEDIÇÃO!K260,'PROJETO PERFURAÇÃO'!$B:$B,0)),"")</f>
        <v/>
      </c>
      <c r="M260" s="17">
        <f>IFERROR(INDEX('PROJETO PERFURAÇÃO'!$AN:$AN,MATCH(MEDIÇÃO!K260,'PROJETO PERFURAÇÃO'!$B:$B,0)),"")</f>
        <v>0</v>
      </c>
      <c r="N260" s="3"/>
      <c r="O260" s="3"/>
      <c r="P260" s="3" t="str">
        <f>IFERROR(ROUND(INDEX('PROJETO PERFURAÇÃO'!$AB:$AB,MATCH(MEDIÇÃO!R260,'PROJETO PERFURAÇÃO'!$B:$B,0)),1)&amp;"''","")</f>
        <v>5''</v>
      </c>
      <c r="Q260" s="3" t="str">
        <f>IFERROR(IF(INDEX('PROJETO PERFURAÇÃO'!$P:$P,MATCH(MEDIÇÃO!R260,'PROJETO PERFURAÇÃO'!$B:$B,0))="Production","P",IF(INDEX('PROJETO PERFURAÇÃO'!$P:$P,MATCH(MEDIÇÃO!R260,'PROJETO PERFURAÇÃO'!$B:$B,0))="Buffer","B",IF(INDEX('PROJETO PERFURAÇÃO'!$P:$P,MATCH(MEDIÇÃO!R260,'PROJETO PERFURAÇÃO'!$B:$B,0))="Pre-Splitting","S"))),"")</f>
        <v>P</v>
      </c>
      <c r="R260" s="14">
        <f t="shared" si="26"/>
        <v>606</v>
      </c>
      <c r="S260" s="4" t="str">
        <f>IFERROR(INDEX('LEV R&amp;D'!$D:$D,MATCH(MEDIÇÃO!R260,'LEV R&amp;D'!$A:$A,0))-INDEX('PROJETO PERFURAÇÃO'!$AH:$AH,MATCH(MEDIÇÃO!R260,'PROJETO PERFURAÇÃO'!$B:$B,0)),"")</f>
        <v/>
      </c>
      <c r="T260" s="17">
        <f>IFERROR(INDEX('PROJETO PERFURAÇÃO'!$AN:$AN,MATCH(MEDIÇÃO!R260,'PROJETO PERFURAÇÃO'!$B:$B,0)),"")</f>
        <v>0</v>
      </c>
      <c r="U260" s="3"/>
      <c r="V260" s="3"/>
    </row>
    <row r="261" spans="2:22" ht="45" customHeight="1" x14ac:dyDescent="0.25">
      <c r="B261" s="3" t="str">
        <f>IFERROR(ROUND(INDEX('PROJETO PERFURAÇÃO'!$AB:$AB,MATCH(MEDIÇÃO!D261,'PROJETO PERFURAÇÃO'!$B:$B,0)),1)&amp;"''","")</f>
        <v>5''</v>
      </c>
      <c r="C261" s="3" t="str">
        <f>IFERROR(IF(INDEX('PROJETO PERFURAÇÃO'!$P:$P,MATCH(MEDIÇÃO!D261,'PROJETO PERFURAÇÃO'!$B:$B,0))="Production","P",IF(INDEX('PROJETO PERFURAÇÃO'!$P:$P,MATCH(MEDIÇÃO!D261,'PROJETO PERFURAÇÃO'!$B:$B,0))="Buffer","B",IF(INDEX('PROJETO PERFURAÇÃO'!$P:$P,MATCH(MEDIÇÃO!D261,'PROJETO PERFURAÇÃO'!$B:$B,0))="Pre-Splitting","S"))),"")</f>
        <v>P</v>
      </c>
      <c r="D261" s="14">
        <f t="shared" si="24"/>
        <v>561</v>
      </c>
      <c r="E261" s="4" t="str">
        <f>IFERROR(INDEX('LEV R&amp;D'!$D:$D,MATCH(MEDIÇÃO!D261,'LEV R&amp;D'!$A:$A,0))-INDEX('PROJETO PERFURAÇÃO'!$AH:$AH,MATCH(MEDIÇÃO!D261,'PROJETO PERFURAÇÃO'!$B:$B,0)),"")</f>
        <v/>
      </c>
      <c r="F261" s="17">
        <f>IFERROR(INDEX('PROJETO PERFURAÇÃO'!$AN:$AN,MATCH(MEDIÇÃO!D261,'PROJETO PERFURAÇÃO'!$B:$B,0)),"")</f>
        <v>0</v>
      </c>
      <c r="G261" s="3"/>
      <c r="H261" s="3"/>
      <c r="I261" s="3" t="str">
        <f>IFERROR(ROUND(INDEX('PROJETO PERFURAÇÃO'!$AB:$AB,MATCH(MEDIÇÃO!K261,'PROJETO PERFURAÇÃO'!$B:$B,0)),1)&amp;"''","")</f>
        <v>5''</v>
      </c>
      <c r="J261" s="3" t="str">
        <f>IFERROR(IF(INDEX('PROJETO PERFURAÇÃO'!$P:$P,MATCH(MEDIÇÃO!K261,'PROJETO PERFURAÇÃO'!$B:$B,0))="Production","P",IF(INDEX('PROJETO PERFURAÇÃO'!$P:$P,MATCH(MEDIÇÃO!K261,'PROJETO PERFURAÇÃO'!$B:$B,0))="Buffer","B",IF(INDEX('PROJETO PERFURAÇÃO'!$P:$P,MATCH(MEDIÇÃO!K261,'PROJETO PERFURAÇÃO'!$B:$B,0))="Pre-Splitting","S"))),"")</f>
        <v>P</v>
      </c>
      <c r="K261" s="14">
        <f t="shared" si="25"/>
        <v>584</v>
      </c>
      <c r="L261" s="4" t="str">
        <f>IFERROR(INDEX('LEV R&amp;D'!$D:$D,MATCH(MEDIÇÃO!K261,'LEV R&amp;D'!$A:$A,0))-INDEX('PROJETO PERFURAÇÃO'!$AH:$AH,MATCH(MEDIÇÃO!K261,'PROJETO PERFURAÇÃO'!$B:$B,0)),"")</f>
        <v/>
      </c>
      <c r="M261" s="17">
        <f>IFERROR(INDEX('PROJETO PERFURAÇÃO'!$AN:$AN,MATCH(MEDIÇÃO!K261,'PROJETO PERFURAÇÃO'!$B:$B,0)),"")</f>
        <v>0</v>
      </c>
      <c r="N261" s="3"/>
      <c r="O261" s="3"/>
      <c r="P261" s="3" t="str">
        <f>IFERROR(ROUND(INDEX('PROJETO PERFURAÇÃO'!$AB:$AB,MATCH(MEDIÇÃO!R261,'PROJETO PERFURAÇÃO'!$B:$B,0)),1)&amp;"''","")</f>
        <v>5''</v>
      </c>
      <c r="Q261" s="3" t="str">
        <f>IFERROR(IF(INDEX('PROJETO PERFURAÇÃO'!$P:$P,MATCH(MEDIÇÃO!R261,'PROJETO PERFURAÇÃO'!$B:$B,0))="Production","P",IF(INDEX('PROJETO PERFURAÇÃO'!$P:$P,MATCH(MEDIÇÃO!R261,'PROJETO PERFURAÇÃO'!$B:$B,0))="Buffer","B",IF(INDEX('PROJETO PERFURAÇÃO'!$P:$P,MATCH(MEDIÇÃO!R261,'PROJETO PERFURAÇÃO'!$B:$B,0))="Pre-Splitting","S"))),"")</f>
        <v>P</v>
      </c>
      <c r="R261" s="14">
        <f t="shared" si="26"/>
        <v>607</v>
      </c>
      <c r="S261" s="4" t="str">
        <f>IFERROR(INDEX('LEV R&amp;D'!$D:$D,MATCH(MEDIÇÃO!R261,'LEV R&amp;D'!$A:$A,0))-INDEX('PROJETO PERFURAÇÃO'!$AH:$AH,MATCH(MEDIÇÃO!R261,'PROJETO PERFURAÇÃO'!$B:$B,0)),"")</f>
        <v/>
      </c>
      <c r="T261" s="17">
        <f>IFERROR(INDEX('PROJETO PERFURAÇÃO'!$AN:$AN,MATCH(MEDIÇÃO!R261,'PROJETO PERFURAÇÃO'!$B:$B,0)),"")</f>
        <v>0</v>
      </c>
      <c r="U261" s="3"/>
      <c r="V261" s="3"/>
    </row>
    <row r="262" spans="2:22" ht="45" customHeight="1" x14ac:dyDescent="0.25">
      <c r="B262" s="3" t="str">
        <f>IFERROR(ROUND(INDEX('PROJETO PERFURAÇÃO'!$AB:$AB,MATCH(MEDIÇÃO!D262,'PROJETO PERFURAÇÃO'!$B:$B,0)),1)&amp;"''","")</f>
        <v>5''</v>
      </c>
      <c r="C262" s="3" t="str">
        <f>IFERROR(IF(INDEX('PROJETO PERFURAÇÃO'!$P:$P,MATCH(MEDIÇÃO!D262,'PROJETO PERFURAÇÃO'!$B:$B,0))="Production","P",IF(INDEX('PROJETO PERFURAÇÃO'!$P:$P,MATCH(MEDIÇÃO!D262,'PROJETO PERFURAÇÃO'!$B:$B,0))="Buffer","B",IF(INDEX('PROJETO PERFURAÇÃO'!$P:$P,MATCH(MEDIÇÃO!D262,'PROJETO PERFURAÇÃO'!$B:$B,0))="Pre-Splitting","S"))),"")</f>
        <v>P</v>
      </c>
      <c r="D262" s="14">
        <f t="shared" si="24"/>
        <v>562</v>
      </c>
      <c r="E262" s="4" t="str">
        <f>IFERROR(INDEX('LEV R&amp;D'!$D:$D,MATCH(MEDIÇÃO!D262,'LEV R&amp;D'!$A:$A,0))-INDEX('PROJETO PERFURAÇÃO'!$AH:$AH,MATCH(MEDIÇÃO!D262,'PROJETO PERFURAÇÃO'!$B:$B,0)),"")</f>
        <v/>
      </c>
      <c r="F262" s="17">
        <f>IFERROR(INDEX('PROJETO PERFURAÇÃO'!$AN:$AN,MATCH(MEDIÇÃO!D262,'PROJETO PERFURAÇÃO'!$B:$B,0)),"")</f>
        <v>0</v>
      </c>
      <c r="G262" s="3"/>
      <c r="H262" s="3"/>
      <c r="I262" s="3" t="str">
        <f>IFERROR(ROUND(INDEX('PROJETO PERFURAÇÃO'!$AB:$AB,MATCH(MEDIÇÃO!K262,'PROJETO PERFURAÇÃO'!$B:$B,0)),1)&amp;"''","")</f>
        <v>5''</v>
      </c>
      <c r="J262" s="3" t="str">
        <f>IFERROR(IF(INDEX('PROJETO PERFURAÇÃO'!$P:$P,MATCH(MEDIÇÃO!K262,'PROJETO PERFURAÇÃO'!$B:$B,0))="Production","P",IF(INDEX('PROJETO PERFURAÇÃO'!$P:$P,MATCH(MEDIÇÃO!K262,'PROJETO PERFURAÇÃO'!$B:$B,0))="Buffer","B",IF(INDEX('PROJETO PERFURAÇÃO'!$P:$P,MATCH(MEDIÇÃO!K262,'PROJETO PERFURAÇÃO'!$B:$B,0))="Pre-Splitting","S"))),"")</f>
        <v>P</v>
      </c>
      <c r="K262" s="14">
        <f t="shared" si="25"/>
        <v>585</v>
      </c>
      <c r="L262" s="4" t="str">
        <f>IFERROR(INDEX('LEV R&amp;D'!$D:$D,MATCH(MEDIÇÃO!K262,'LEV R&amp;D'!$A:$A,0))-INDEX('PROJETO PERFURAÇÃO'!$AH:$AH,MATCH(MEDIÇÃO!K262,'PROJETO PERFURAÇÃO'!$B:$B,0)),"")</f>
        <v/>
      </c>
      <c r="M262" s="17">
        <f>IFERROR(INDEX('PROJETO PERFURAÇÃO'!$AN:$AN,MATCH(MEDIÇÃO!K262,'PROJETO PERFURAÇÃO'!$B:$B,0)),"")</f>
        <v>0</v>
      </c>
      <c r="N262" s="3"/>
      <c r="O262" s="3"/>
      <c r="P262" s="3" t="str">
        <f>IFERROR(ROUND(INDEX('PROJETO PERFURAÇÃO'!$AB:$AB,MATCH(MEDIÇÃO!R262,'PROJETO PERFURAÇÃO'!$B:$B,0)),1)&amp;"''","")</f>
        <v>5''</v>
      </c>
      <c r="Q262" s="3" t="str">
        <f>IFERROR(IF(INDEX('PROJETO PERFURAÇÃO'!$P:$P,MATCH(MEDIÇÃO!R262,'PROJETO PERFURAÇÃO'!$B:$B,0))="Production","P",IF(INDEX('PROJETO PERFURAÇÃO'!$P:$P,MATCH(MEDIÇÃO!R262,'PROJETO PERFURAÇÃO'!$B:$B,0))="Buffer","B",IF(INDEX('PROJETO PERFURAÇÃO'!$P:$P,MATCH(MEDIÇÃO!R262,'PROJETO PERFURAÇÃO'!$B:$B,0))="Pre-Splitting","S"))),"")</f>
        <v>P</v>
      </c>
      <c r="R262" s="14">
        <f t="shared" si="26"/>
        <v>608</v>
      </c>
      <c r="S262" s="4" t="str">
        <f>IFERROR(INDEX('LEV R&amp;D'!$D:$D,MATCH(MEDIÇÃO!R262,'LEV R&amp;D'!$A:$A,0))-INDEX('PROJETO PERFURAÇÃO'!$AH:$AH,MATCH(MEDIÇÃO!R262,'PROJETO PERFURAÇÃO'!$B:$B,0)),"")</f>
        <v/>
      </c>
      <c r="T262" s="17">
        <f>IFERROR(INDEX('PROJETO PERFURAÇÃO'!$AN:$AN,MATCH(MEDIÇÃO!R262,'PROJETO PERFURAÇÃO'!$B:$B,0)),"")</f>
        <v>0</v>
      </c>
      <c r="U262" s="3"/>
      <c r="V262" s="3"/>
    </row>
    <row r="263" spans="2:22" ht="45" customHeight="1" x14ac:dyDescent="0.25">
      <c r="B263" s="3" t="str">
        <f>IFERROR(ROUND(INDEX('PROJETO PERFURAÇÃO'!$AB:$AB,MATCH(MEDIÇÃO!D263,'PROJETO PERFURAÇÃO'!$B:$B,0)),1)&amp;"''","")</f>
        <v>5''</v>
      </c>
      <c r="C263" s="3" t="str">
        <f>IFERROR(IF(INDEX('PROJETO PERFURAÇÃO'!$P:$P,MATCH(MEDIÇÃO!D263,'PROJETO PERFURAÇÃO'!$B:$B,0))="Production","P",IF(INDEX('PROJETO PERFURAÇÃO'!$P:$P,MATCH(MEDIÇÃO!D263,'PROJETO PERFURAÇÃO'!$B:$B,0))="Buffer","B",IF(INDEX('PROJETO PERFURAÇÃO'!$P:$P,MATCH(MEDIÇÃO!D263,'PROJETO PERFURAÇÃO'!$B:$B,0))="Pre-Splitting","S"))),"")</f>
        <v>P</v>
      </c>
      <c r="D263" s="14">
        <f t="shared" si="24"/>
        <v>563</v>
      </c>
      <c r="E263" s="4" t="str">
        <f>IFERROR(INDEX('LEV R&amp;D'!$D:$D,MATCH(MEDIÇÃO!D263,'LEV R&amp;D'!$A:$A,0))-INDEX('PROJETO PERFURAÇÃO'!$AH:$AH,MATCH(MEDIÇÃO!D263,'PROJETO PERFURAÇÃO'!$B:$B,0)),"")</f>
        <v/>
      </c>
      <c r="F263" s="17">
        <f>IFERROR(INDEX('PROJETO PERFURAÇÃO'!$AN:$AN,MATCH(MEDIÇÃO!D263,'PROJETO PERFURAÇÃO'!$B:$B,0)),"")</f>
        <v>0</v>
      </c>
      <c r="G263" s="3"/>
      <c r="H263" s="3"/>
      <c r="I263" s="3" t="str">
        <f>IFERROR(ROUND(INDEX('PROJETO PERFURAÇÃO'!$AB:$AB,MATCH(MEDIÇÃO!K263,'PROJETO PERFURAÇÃO'!$B:$B,0)),1)&amp;"''","")</f>
        <v>5''</v>
      </c>
      <c r="J263" s="3" t="str">
        <f>IFERROR(IF(INDEX('PROJETO PERFURAÇÃO'!$P:$P,MATCH(MEDIÇÃO!K263,'PROJETO PERFURAÇÃO'!$B:$B,0))="Production","P",IF(INDEX('PROJETO PERFURAÇÃO'!$P:$P,MATCH(MEDIÇÃO!K263,'PROJETO PERFURAÇÃO'!$B:$B,0))="Buffer","B",IF(INDEX('PROJETO PERFURAÇÃO'!$P:$P,MATCH(MEDIÇÃO!K263,'PROJETO PERFURAÇÃO'!$B:$B,0))="Pre-Splitting","S"))),"")</f>
        <v>P</v>
      </c>
      <c r="K263" s="14">
        <f t="shared" si="25"/>
        <v>586</v>
      </c>
      <c r="L263" s="4" t="str">
        <f>IFERROR(INDEX('LEV R&amp;D'!$D:$D,MATCH(MEDIÇÃO!K263,'LEV R&amp;D'!$A:$A,0))-INDEX('PROJETO PERFURAÇÃO'!$AH:$AH,MATCH(MEDIÇÃO!K263,'PROJETO PERFURAÇÃO'!$B:$B,0)),"")</f>
        <v/>
      </c>
      <c r="M263" s="17">
        <f>IFERROR(INDEX('PROJETO PERFURAÇÃO'!$AN:$AN,MATCH(MEDIÇÃO!K263,'PROJETO PERFURAÇÃO'!$B:$B,0)),"")</f>
        <v>0</v>
      </c>
      <c r="N263" s="3"/>
      <c r="O263" s="3"/>
      <c r="P263" s="3" t="str">
        <f>IFERROR(ROUND(INDEX('PROJETO PERFURAÇÃO'!$AB:$AB,MATCH(MEDIÇÃO!R263,'PROJETO PERFURAÇÃO'!$B:$B,0)),1)&amp;"''","")</f>
        <v>5''</v>
      </c>
      <c r="Q263" s="3" t="str">
        <f>IFERROR(IF(INDEX('PROJETO PERFURAÇÃO'!$P:$P,MATCH(MEDIÇÃO!R263,'PROJETO PERFURAÇÃO'!$B:$B,0))="Production","P",IF(INDEX('PROJETO PERFURAÇÃO'!$P:$P,MATCH(MEDIÇÃO!R263,'PROJETO PERFURAÇÃO'!$B:$B,0))="Buffer","B",IF(INDEX('PROJETO PERFURAÇÃO'!$P:$P,MATCH(MEDIÇÃO!R263,'PROJETO PERFURAÇÃO'!$B:$B,0))="Pre-Splitting","S"))),"")</f>
        <v>P</v>
      </c>
      <c r="R263" s="14">
        <f t="shared" si="26"/>
        <v>609</v>
      </c>
      <c r="S263" s="4" t="str">
        <f>IFERROR(INDEX('LEV R&amp;D'!$D:$D,MATCH(MEDIÇÃO!R263,'LEV R&amp;D'!$A:$A,0))-INDEX('PROJETO PERFURAÇÃO'!$AH:$AH,MATCH(MEDIÇÃO!R263,'PROJETO PERFURAÇÃO'!$B:$B,0)),"")</f>
        <v/>
      </c>
      <c r="T263" s="17">
        <f>IFERROR(INDEX('PROJETO PERFURAÇÃO'!$AN:$AN,MATCH(MEDIÇÃO!R263,'PROJETO PERFURAÇÃO'!$B:$B,0)),"")</f>
        <v>0</v>
      </c>
      <c r="U263" s="3"/>
      <c r="V263" s="3"/>
    </row>
    <row r="264" spans="2:22" ht="45" customHeight="1" x14ac:dyDescent="0.25">
      <c r="B264" s="3" t="str">
        <f>IFERROR(ROUND(INDEX('PROJETO PERFURAÇÃO'!$AB:$AB,MATCH(MEDIÇÃO!D264,'PROJETO PERFURAÇÃO'!$B:$B,0)),1)&amp;"''","")</f>
        <v>5''</v>
      </c>
      <c r="C264" s="3" t="str">
        <f>IFERROR(IF(INDEX('PROJETO PERFURAÇÃO'!$P:$P,MATCH(MEDIÇÃO!D264,'PROJETO PERFURAÇÃO'!$B:$B,0))="Production","P",IF(INDEX('PROJETO PERFURAÇÃO'!$P:$P,MATCH(MEDIÇÃO!D264,'PROJETO PERFURAÇÃO'!$B:$B,0))="Buffer","B",IF(INDEX('PROJETO PERFURAÇÃO'!$P:$P,MATCH(MEDIÇÃO!D264,'PROJETO PERFURAÇÃO'!$B:$B,0))="Pre-Splitting","S"))),"")</f>
        <v>P</v>
      </c>
      <c r="D264" s="14">
        <f t="shared" si="24"/>
        <v>564</v>
      </c>
      <c r="E264" s="4" t="str">
        <f>IFERROR(INDEX('LEV R&amp;D'!$D:$D,MATCH(MEDIÇÃO!D264,'LEV R&amp;D'!$A:$A,0))-INDEX('PROJETO PERFURAÇÃO'!$AH:$AH,MATCH(MEDIÇÃO!D264,'PROJETO PERFURAÇÃO'!$B:$B,0)),"")</f>
        <v/>
      </c>
      <c r="F264" s="17">
        <f>IFERROR(INDEX('PROJETO PERFURAÇÃO'!$AN:$AN,MATCH(MEDIÇÃO!D264,'PROJETO PERFURAÇÃO'!$B:$B,0)),"")</f>
        <v>0</v>
      </c>
      <c r="G264" s="3"/>
      <c r="H264" s="3"/>
      <c r="I264" s="3" t="str">
        <f>IFERROR(ROUND(INDEX('PROJETO PERFURAÇÃO'!$AB:$AB,MATCH(MEDIÇÃO!K264,'PROJETO PERFURAÇÃO'!$B:$B,0)),1)&amp;"''","")</f>
        <v>5''</v>
      </c>
      <c r="J264" s="3" t="str">
        <f>IFERROR(IF(INDEX('PROJETO PERFURAÇÃO'!$P:$P,MATCH(MEDIÇÃO!K264,'PROJETO PERFURAÇÃO'!$B:$B,0))="Production","P",IF(INDEX('PROJETO PERFURAÇÃO'!$P:$P,MATCH(MEDIÇÃO!K264,'PROJETO PERFURAÇÃO'!$B:$B,0))="Buffer","B",IF(INDEX('PROJETO PERFURAÇÃO'!$P:$P,MATCH(MEDIÇÃO!K264,'PROJETO PERFURAÇÃO'!$B:$B,0))="Pre-Splitting","S"))),"")</f>
        <v>P</v>
      </c>
      <c r="K264" s="14">
        <f t="shared" si="25"/>
        <v>587</v>
      </c>
      <c r="L264" s="4" t="str">
        <f>IFERROR(INDEX('LEV R&amp;D'!$D:$D,MATCH(MEDIÇÃO!K264,'LEV R&amp;D'!$A:$A,0))-INDEX('PROJETO PERFURAÇÃO'!$AH:$AH,MATCH(MEDIÇÃO!K264,'PROJETO PERFURAÇÃO'!$B:$B,0)),"")</f>
        <v/>
      </c>
      <c r="M264" s="17">
        <f>IFERROR(INDEX('PROJETO PERFURAÇÃO'!$AN:$AN,MATCH(MEDIÇÃO!K264,'PROJETO PERFURAÇÃO'!$B:$B,0)),"")</f>
        <v>0</v>
      </c>
      <c r="N264" s="3"/>
      <c r="O264" s="3"/>
      <c r="P264" s="3" t="str">
        <f>IFERROR(ROUND(INDEX('PROJETO PERFURAÇÃO'!$AB:$AB,MATCH(MEDIÇÃO!R264,'PROJETO PERFURAÇÃO'!$B:$B,0)),1)&amp;"''","")</f>
        <v>5''</v>
      </c>
      <c r="Q264" s="3" t="str">
        <f>IFERROR(IF(INDEX('PROJETO PERFURAÇÃO'!$P:$P,MATCH(MEDIÇÃO!R264,'PROJETO PERFURAÇÃO'!$B:$B,0))="Production","P",IF(INDEX('PROJETO PERFURAÇÃO'!$P:$P,MATCH(MEDIÇÃO!R264,'PROJETO PERFURAÇÃO'!$B:$B,0))="Buffer","B",IF(INDEX('PROJETO PERFURAÇÃO'!$P:$P,MATCH(MEDIÇÃO!R264,'PROJETO PERFURAÇÃO'!$B:$B,0))="Pre-Splitting","S"))),"")</f>
        <v>P</v>
      </c>
      <c r="R264" s="14">
        <f t="shared" si="26"/>
        <v>610</v>
      </c>
      <c r="S264" s="4" t="str">
        <f>IFERROR(INDEX('LEV R&amp;D'!$D:$D,MATCH(MEDIÇÃO!R264,'LEV R&amp;D'!$A:$A,0))-INDEX('PROJETO PERFURAÇÃO'!$AH:$AH,MATCH(MEDIÇÃO!R264,'PROJETO PERFURAÇÃO'!$B:$B,0)),"")</f>
        <v/>
      </c>
      <c r="T264" s="17">
        <f>IFERROR(INDEX('PROJETO PERFURAÇÃO'!$AN:$AN,MATCH(MEDIÇÃO!R264,'PROJETO PERFURAÇÃO'!$B:$B,0)),"")</f>
        <v>0</v>
      </c>
      <c r="U264" s="3"/>
      <c r="V264" s="3"/>
    </row>
    <row r="265" spans="2:22" ht="45" customHeight="1" x14ac:dyDescent="0.25">
      <c r="B265" s="3" t="str">
        <f>IFERROR(ROUND(INDEX('PROJETO PERFURAÇÃO'!$AB:$AB,MATCH(MEDIÇÃO!D265,'PROJETO PERFURAÇÃO'!$B:$B,0)),1)&amp;"''","")</f>
        <v>5''</v>
      </c>
      <c r="C265" s="3" t="str">
        <f>IFERROR(IF(INDEX('PROJETO PERFURAÇÃO'!$P:$P,MATCH(MEDIÇÃO!D265,'PROJETO PERFURAÇÃO'!$B:$B,0))="Production","P",IF(INDEX('PROJETO PERFURAÇÃO'!$P:$P,MATCH(MEDIÇÃO!D265,'PROJETO PERFURAÇÃO'!$B:$B,0))="Buffer","B",IF(INDEX('PROJETO PERFURAÇÃO'!$P:$P,MATCH(MEDIÇÃO!D265,'PROJETO PERFURAÇÃO'!$B:$B,0))="Pre-Splitting","S"))),"")</f>
        <v>P</v>
      </c>
      <c r="D265" s="14">
        <f t="shared" si="24"/>
        <v>565</v>
      </c>
      <c r="E265" s="4" t="str">
        <f>IFERROR(INDEX('LEV R&amp;D'!$D:$D,MATCH(MEDIÇÃO!D265,'LEV R&amp;D'!$A:$A,0))-INDEX('PROJETO PERFURAÇÃO'!$AH:$AH,MATCH(MEDIÇÃO!D265,'PROJETO PERFURAÇÃO'!$B:$B,0)),"")</f>
        <v/>
      </c>
      <c r="F265" s="17">
        <f>IFERROR(INDEX('PROJETO PERFURAÇÃO'!$AN:$AN,MATCH(MEDIÇÃO!D265,'PROJETO PERFURAÇÃO'!$B:$B,0)),"")</f>
        <v>0</v>
      </c>
      <c r="G265" s="3"/>
      <c r="H265" s="3"/>
      <c r="I265" s="3" t="str">
        <f>IFERROR(ROUND(INDEX('PROJETO PERFURAÇÃO'!$AB:$AB,MATCH(MEDIÇÃO!K265,'PROJETO PERFURAÇÃO'!$B:$B,0)),1)&amp;"''","")</f>
        <v>5''</v>
      </c>
      <c r="J265" s="3" t="str">
        <f>IFERROR(IF(INDEX('PROJETO PERFURAÇÃO'!$P:$P,MATCH(MEDIÇÃO!K265,'PROJETO PERFURAÇÃO'!$B:$B,0))="Production","P",IF(INDEX('PROJETO PERFURAÇÃO'!$P:$P,MATCH(MEDIÇÃO!K265,'PROJETO PERFURAÇÃO'!$B:$B,0))="Buffer","B",IF(INDEX('PROJETO PERFURAÇÃO'!$P:$P,MATCH(MEDIÇÃO!K265,'PROJETO PERFURAÇÃO'!$B:$B,0))="Pre-Splitting","S"))),"")</f>
        <v>P</v>
      </c>
      <c r="K265" s="14">
        <f t="shared" si="25"/>
        <v>588</v>
      </c>
      <c r="L265" s="4" t="str">
        <f>IFERROR(INDEX('LEV R&amp;D'!$D:$D,MATCH(MEDIÇÃO!K265,'LEV R&amp;D'!$A:$A,0))-INDEX('PROJETO PERFURAÇÃO'!$AH:$AH,MATCH(MEDIÇÃO!K265,'PROJETO PERFURAÇÃO'!$B:$B,0)),"")</f>
        <v/>
      </c>
      <c r="M265" s="17">
        <f>IFERROR(INDEX('PROJETO PERFURAÇÃO'!$AN:$AN,MATCH(MEDIÇÃO!K265,'PROJETO PERFURAÇÃO'!$B:$B,0)),"")</f>
        <v>0</v>
      </c>
      <c r="N265" s="3"/>
      <c r="O265" s="3"/>
      <c r="P265" s="3" t="str">
        <f>IFERROR(ROUND(INDEX('PROJETO PERFURAÇÃO'!$AB:$AB,MATCH(MEDIÇÃO!R265,'PROJETO PERFURAÇÃO'!$B:$B,0)),1)&amp;"''","")</f>
        <v>5''</v>
      </c>
      <c r="Q265" s="3" t="str">
        <f>IFERROR(IF(INDEX('PROJETO PERFURAÇÃO'!$P:$P,MATCH(MEDIÇÃO!R265,'PROJETO PERFURAÇÃO'!$B:$B,0))="Production","P",IF(INDEX('PROJETO PERFURAÇÃO'!$P:$P,MATCH(MEDIÇÃO!R265,'PROJETO PERFURAÇÃO'!$B:$B,0))="Buffer","B",IF(INDEX('PROJETO PERFURAÇÃO'!$P:$P,MATCH(MEDIÇÃO!R265,'PROJETO PERFURAÇÃO'!$B:$B,0))="Pre-Splitting","S"))),"")</f>
        <v>P</v>
      </c>
      <c r="R265" s="14">
        <f t="shared" si="26"/>
        <v>611</v>
      </c>
      <c r="S265" s="4" t="str">
        <f>IFERROR(INDEX('LEV R&amp;D'!$D:$D,MATCH(MEDIÇÃO!R265,'LEV R&amp;D'!$A:$A,0))-INDEX('PROJETO PERFURAÇÃO'!$AH:$AH,MATCH(MEDIÇÃO!R265,'PROJETO PERFURAÇÃO'!$B:$B,0)),"")</f>
        <v/>
      </c>
      <c r="T265" s="17">
        <f>IFERROR(INDEX('PROJETO PERFURAÇÃO'!$AN:$AN,MATCH(MEDIÇÃO!R265,'PROJETO PERFURAÇÃO'!$B:$B,0)),"")</f>
        <v>0</v>
      </c>
      <c r="U265" s="3"/>
      <c r="V265" s="3"/>
    </row>
    <row r="266" spans="2:22" ht="45" customHeight="1" x14ac:dyDescent="0.25">
      <c r="B266" s="3" t="str">
        <f>IFERROR(ROUND(INDEX('PROJETO PERFURAÇÃO'!$AB:$AB,MATCH(MEDIÇÃO!D266,'PROJETO PERFURAÇÃO'!$B:$B,0)),1)&amp;"''","")</f>
        <v>5''</v>
      </c>
      <c r="C266" s="3" t="str">
        <f>IFERROR(IF(INDEX('PROJETO PERFURAÇÃO'!$P:$P,MATCH(MEDIÇÃO!D266,'PROJETO PERFURAÇÃO'!$B:$B,0))="Production","P",IF(INDEX('PROJETO PERFURAÇÃO'!$P:$P,MATCH(MEDIÇÃO!D266,'PROJETO PERFURAÇÃO'!$B:$B,0))="Buffer","B",IF(INDEX('PROJETO PERFURAÇÃO'!$P:$P,MATCH(MEDIÇÃO!D266,'PROJETO PERFURAÇÃO'!$B:$B,0))="Pre-Splitting","S"))),"")</f>
        <v>P</v>
      </c>
      <c r="D266" s="14">
        <f t="shared" si="24"/>
        <v>566</v>
      </c>
      <c r="E266" s="4" t="str">
        <f>IFERROR(INDEX('LEV R&amp;D'!$D:$D,MATCH(MEDIÇÃO!D266,'LEV R&amp;D'!$A:$A,0))-INDEX('PROJETO PERFURAÇÃO'!$AH:$AH,MATCH(MEDIÇÃO!D266,'PROJETO PERFURAÇÃO'!$B:$B,0)),"")</f>
        <v/>
      </c>
      <c r="F266" s="17">
        <f>IFERROR(INDEX('PROJETO PERFURAÇÃO'!$AN:$AN,MATCH(MEDIÇÃO!D266,'PROJETO PERFURAÇÃO'!$B:$B,0)),"")</f>
        <v>0</v>
      </c>
      <c r="G266" s="3"/>
      <c r="H266" s="3"/>
      <c r="I266" s="3" t="str">
        <f>IFERROR(ROUND(INDEX('PROJETO PERFURAÇÃO'!$AB:$AB,MATCH(MEDIÇÃO!K266,'PROJETO PERFURAÇÃO'!$B:$B,0)),1)&amp;"''","")</f>
        <v>5''</v>
      </c>
      <c r="J266" s="3" t="str">
        <f>IFERROR(IF(INDEX('PROJETO PERFURAÇÃO'!$P:$P,MATCH(MEDIÇÃO!K266,'PROJETO PERFURAÇÃO'!$B:$B,0))="Production","P",IF(INDEX('PROJETO PERFURAÇÃO'!$P:$P,MATCH(MEDIÇÃO!K266,'PROJETO PERFURAÇÃO'!$B:$B,0))="Buffer","B",IF(INDEX('PROJETO PERFURAÇÃO'!$P:$P,MATCH(MEDIÇÃO!K266,'PROJETO PERFURAÇÃO'!$B:$B,0))="Pre-Splitting","S"))),"")</f>
        <v>P</v>
      </c>
      <c r="K266" s="14">
        <f t="shared" si="25"/>
        <v>589</v>
      </c>
      <c r="L266" s="4" t="str">
        <f>IFERROR(INDEX('LEV R&amp;D'!$D:$D,MATCH(MEDIÇÃO!K266,'LEV R&amp;D'!$A:$A,0))-INDEX('PROJETO PERFURAÇÃO'!$AH:$AH,MATCH(MEDIÇÃO!K266,'PROJETO PERFURAÇÃO'!$B:$B,0)),"")</f>
        <v/>
      </c>
      <c r="M266" s="17">
        <f>IFERROR(INDEX('PROJETO PERFURAÇÃO'!$AN:$AN,MATCH(MEDIÇÃO!K266,'PROJETO PERFURAÇÃO'!$B:$B,0)),"")</f>
        <v>0</v>
      </c>
      <c r="N266" s="3"/>
      <c r="O266" s="3"/>
      <c r="P266" s="3" t="str">
        <f>IFERROR(ROUND(INDEX('PROJETO PERFURAÇÃO'!$AB:$AB,MATCH(MEDIÇÃO!R266,'PROJETO PERFURAÇÃO'!$B:$B,0)),1)&amp;"''","")</f>
        <v>5''</v>
      </c>
      <c r="Q266" s="3" t="str">
        <f>IFERROR(IF(INDEX('PROJETO PERFURAÇÃO'!$P:$P,MATCH(MEDIÇÃO!R266,'PROJETO PERFURAÇÃO'!$B:$B,0))="Production","P",IF(INDEX('PROJETO PERFURAÇÃO'!$P:$P,MATCH(MEDIÇÃO!R266,'PROJETO PERFURAÇÃO'!$B:$B,0))="Buffer","B",IF(INDEX('PROJETO PERFURAÇÃO'!$P:$P,MATCH(MEDIÇÃO!R266,'PROJETO PERFURAÇÃO'!$B:$B,0))="Pre-Splitting","S"))),"")</f>
        <v>P</v>
      </c>
      <c r="R266" s="14">
        <f t="shared" si="26"/>
        <v>612</v>
      </c>
      <c r="S266" s="4" t="str">
        <f>IFERROR(INDEX('LEV R&amp;D'!$D:$D,MATCH(MEDIÇÃO!R266,'LEV R&amp;D'!$A:$A,0))-INDEX('PROJETO PERFURAÇÃO'!$AH:$AH,MATCH(MEDIÇÃO!R266,'PROJETO PERFURAÇÃO'!$B:$B,0)),"")</f>
        <v/>
      </c>
      <c r="T266" s="17">
        <f>IFERROR(INDEX('PROJETO PERFURAÇÃO'!$AN:$AN,MATCH(MEDIÇÃO!R266,'PROJETO PERFURAÇÃO'!$B:$B,0)),"")</f>
        <v>0</v>
      </c>
      <c r="U266" s="3"/>
      <c r="V266" s="3"/>
    </row>
    <row r="267" spans="2:22" ht="45" customHeight="1" x14ac:dyDescent="0.25">
      <c r="B267" s="3" t="str">
        <f>IFERROR(ROUND(INDEX('PROJETO PERFURAÇÃO'!$AB:$AB,MATCH(MEDIÇÃO!D267,'PROJETO PERFURAÇÃO'!$B:$B,0)),1)&amp;"''","")</f>
        <v>5''</v>
      </c>
      <c r="C267" s="3" t="str">
        <f>IFERROR(IF(INDEX('PROJETO PERFURAÇÃO'!$P:$P,MATCH(MEDIÇÃO!D267,'PROJETO PERFURAÇÃO'!$B:$B,0))="Production","P",IF(INDEX('PROJETO PERFURAÇÃO'!$P:$P,MATCH(MEDIÇÃO!D267,'PROJETO PERFURAÇÃO'!$B:$B,0))="Buffer","B",IF(INDEX('PROJETO PERFURAÇÃO'!$P:$P,MATCH(MEDIÇÃO!D267,'PROJETO PERFURAÇÃO'!$B:$B,0))="Pre-Splitting","S"))),"")</f>
        <v>P</v>
      </c>
      <c r="D267" s="14">
        <f t="shared" si="24"/>
        <v>567</v>
      </c>
      <c r="E267" s="4" t="str">
        <f>IFERROR(INDEX('LEV R&amp;D'!$D:$D,MATCH(MEDIÇÃO!D267,'LEV R&amp;D'!$A:$A,0))-INDEX('PROJETO PERFURAÇÃO'!$AH:$AH,MATCH(MEDIÇÃO!D267,'PROJETO PERFURAÇÃO'!$B:$B,0)),"")</f>
        <v/>
      </c>
      <c r="F267" s="17">
        <f>IFERROR(INDEX('PROJETO PERFURAÇÃO'!$AN:$AN,MATCH(MEDIÇÃO!D267,'PROJETO PERFURAÇÃO'!$B:$B,0)),"")</f>
        <v>0</v>
      </c>
      <c r="G267" s="3"/>
      <c r="H267" s="3"/>
      <c r="I267" s="3" t="str">
        <f>IFERROR(ROUND(INDEX('PROJETO PERFURAÇÃO'!$AB:$AB,MATCH(MEDIÇÃO!K267,'PROJETO PERFURAÇÃO'!$B:$B,0)),1)&amp;"''","")</f>
        <v>5''</v>
      </c>
      <c r="J267" s="3" t="str">
        <f>IFERROR(IF(INDEX('PROJETO PERFURAÇÃO'!$P:$P,MATCH(MEDIÇÃO!K267,'PROJETO PERFURAÇÃO'!$B:$B,0))="Production","P",IF(INDEX('PROJETO PERFURAÇÃO'!$P:$P,MATCH(MEDIÇÃO!K267,'PROJETO PERFURAÇÃO'!$B:$B,0))="Buffer","B",IF(INDEX('PROJETO PERFURAÇÃO'!$P:$P,MATCH(MEDIÇÃO!K267,'PROJETO PERFURAÇÃO'!$B:$B,0))="Pre-Splitting","S"))),"")</f>
        <v>P</v>
      </c>
      <c r="K267" s="14">
        <f t="shared" si="25"/>
        <v>590</v>
      </c>
      <c r="L267" s="4" t="str">
        <f>IFERROR(INDEX('LEV R&amp;D'!$D:$D,MATCH(MEDIÇÃO!K267,'LEV R&amp;D'!$A:$A,0))-INDEX('PROJETO PERFURAÇÃO'!$AH:$AH,MATCH(MEDIÇÃO!K267,'PROJETO PERFURAÇÃO'!$B:$B,0)),"")</f>
        <v/>
      </c>
      <c r="M267" s="17">
        <f>IFERROR(INDEX('PROJETO PERFURAÇÃO'!$AN:$AN,MATCH(MEDIÇÃO!K267,'PROJETO PERFURAÇÃO'!$B:$B,0)),"")</f>
        <v>0</v>
      </c>
      <c r="N267" s="3"/>
      <c r="O267" s="3"/>
      <c r="P267" s="3" t="str">
        <f>IFERROR(ROUND(INDEX('PROJETO PERFURAÇÃO'!$AB:$AB,MATCH(MEDIÇÃO!R267,'PROJETO PERFURAÇÃO'!$B:$B,0)),1)&amp;"''","")</f>
        <v>5''</v>
      </c>
      <c r="Q267" s="3" t="str">
        <f>IFERROR(IF(INDEX('PROJETO PERFURAÇÃO'!$P:$P,MATCH(MEDIÇÃO!R267,'PROJETO PERFURAÇÃO'!$B:$B,0))="Production","P",IF(INDEX('PROJETO PERFURAÇÃO'!$P:$P,MATCH(MEDIÇÃO!R267,'PROJETO PERFURAÇÃO'!$B:$B,0))="Buffer","B",IF(INDEX('PROJETO PERFURAÇÃO'!$P:$P,MATCH(MEDIÇÃO!R267,'PROJETO PERFURAÇÃO'!$B:$B,0))="Pre-Splitting","S"))),"")</f>
        <v>P</v>
      </c>
      <c r="R267" s="14">
        <f t="shared" si="26"/>
        <v>613</v>
      </c>
      <c r="S267" s="4" t="str">
        <f>IFERROR(INDEX('LEV R&amp;D'!$D:$D,MATCH(MEDIÇÃO!R267,'LEV R&amp;D'!$A:$A,0))-INDEX('PROJETO PERFURAÇÃO'!$AH:$AH,MATCH(MEDIÇÃO!R267,'PROJETO PERFURAÇÃO'!$B:$B,0)),"")</f>
        <v/>
      </c>
      <c r="T267" s="17">
        <f>IFERROR(INDEX('PROJETO PERFURAÇÃO'!$AN:$AN,MATCH(MEDIÇÃO!R267,'PROJETO PERFURAÇÃO'!$B:$B,0)),"")</f>
        <v>0</v>
      </c>
      <c r="U267" s="3"/>
      <c r="V267" s="3"/>
    </row>
    <row r="268" spans="2:22" ht="45" customHeight="1" x14ac:dyDescent="0.25">
      <c r="B268" s="3" t="str">
        <f>IFERROR(ROUND(INDEX('PROJETO PERFURAÇÃO'!$AB:$AB,MATCH(MEDIÇÃO!D268,'PROJETO PERFURAÇÃO'!$B:$B,0)),1)&amp;"''","")</f>
        <v>5''</v>
      </c>
      <c r="C268" s="3" t="str">
        <f>IFERROR(IF(INDEX('PROJETO PERFURAÇÃO'!$P:$P,MATCH(MEDIÇÃO!D268,'PROJETO PERFURAÇÃO'!$B:$B,0))="Production","P",IF(INDEX('PROJETO PERFURAÇÃO'!$P:$P,MATCH(MEDIÇÃO!D268,'PROJETO PERFURAÇÃO'!$B:$B,0))="Buffer","B",IF(INDEX('PROJETO PERFURAÇÃO'!$P:$P,MATCH(MEDIÇÃO!D268,'PROJETO PERFURAÇÃO'!$B:$B,0))="Pre-Splitting","S"))),"")</f>
        <v>P</v>
      </c>
      <c r="D268" s="14">
        <f t="shared" si="24"/>
        <v>568</v>
      </c>
      <c r="E268" s="4" t="str">
        <f>IFERROR(INDEX('LEV R&amp;D'!$D:$D,MATCH(MEDIÇÃO!D268,'LEV R&amp;D'!$A:$A,0))-INDEX('PROJETO PERFURAÇÃO'!$AH:$AH,MATCH(MEDIÇÃO!D268,'PROJETO PERFURAÇÃO'!$B:$B,0)),"")</f>
        <v/>
      </c>
      <c r="F268" s="17">
        <f>IFERROR(INDEX('PROJETO PERFURAÇÃO'!$AN:$AN,MATCH(MEDIÇÃO!D268,'PROJETO PERFURAÇÃO'!$B:$B,0)),"")</f>
        <v>0</v>
      </c>
      <c r="G268" s="3"/>
      <c r="H268" s="3"/>
      <c r="I268" s="3" t="str">
        <f>IFERROR(ROUND(INDEX('PROJETO PERFURAÇÃO'!$AB:$AB,MATCH(MEDIÇÃO!K268,'PROJETO PERFURAÇÃO'!$B:$B,0)),1)&amp;"''","")</f>
        <v>5''</v>
      </c>
      <c r="J268" s="3" t="str">
        <f>IFERROR(IF(INDEX('PROJETO PERFURAÇÃO'!$P:$P,MATCH(MEDIÇÃO!K268,'PROJETO PERFURAÇÃO'!$B:$B,0))="Production","P",IF(INDEX('PROJETO PERFURAÇÃO'!$P:$P,MATCH(MEDIÇÃO!K268,'PROJETO PERFURAÇÃO'!$B:$B,0))="Buffer","B",IF(INDEX('PROJETO PERFURAÇÃO'!$P:$P,MATCH(MEDIÇÃO!K268,'PROJETO PERFURAÇÃO'!$B:$B,0))="Pre-Splitting","S"))),"")</f>
        <v>P</v>
      </c>
      <c r="K268" s="14">
        <f t="shared" si="25"/>
        <v>591</v>
      </c>
      <c r="L268" s="4" t="str">
        <f>IFERROR(INDEX('LEV R&amp;D'!$D:$D,MATCH(MEDIÇÃO!K268,'LEV R&amp;D'!$A:$A,0))-INDEX('PROJETO PERFURAÇÃO'!$AH:$AH,MATCH(MEDIÇÃO!K268,'PROJETO PERFURAÇÃO'!$B:$B,0)),"")</f>
        <v/>
      </c>
      <c r="M268" s="17">
        <f>IFERROR(INDEX('PROJETO PERFURAÇÃO'!$AN:$AN,MATCH(MEDIÇÃO!K268,'PROJETO PERFURAÇÃO'!$B:$B,0)),"")</f>
        <v>0</v>
      </c>
      <c r="N268" s="3"/>
      <c r="O268" s="3"/>
      <c r="P268" s="3" t="str">
        <f>IFERROR(ROUND(INDEX('PROJETO PERFURAÇÃO'!$AB:$AB,MATCH(MEDIÇÃO!R268,'PROJETO PERFURAÇÃO'!$B:$B,0)),1)&amp;"''","")</f>
        <v>5''</v>
      </c>
      <c r="Q268" s="3" t="str">
        <f>IFERROR(IF(INDEX('PROJETO PERFURAÇÃO'!$P:$P,MATCH(MEDIÇÃO!R268,'PROJETO PERFURAÇÃO'!$B:$B,0))="Production","P",IF(INDEX('PROJETO PERFURAÇÃO'!$P:$P,MATCH(MEDIÇÃO!R268,'PROJETO PERFURAÇÃO'!$B:$B,0))="Buffer","B",IF(INDEX('PROJETO PERFURAÇÃO'!$P:$P,MATCH(MEDIÇÃO!R268,'PROJETO PERFURAÇÃO'!$B:$B,0))="Pre-Splitting","S"))),"")</f>
        <v>P</v>
      </c>
      <c r="R268" s="14">
        <f t="shared" si="26"/>
        <v>614</v>
      </c>
      <c r="S268" s="4" t="str">
        <f>IFERROR(INDEX('LEV R&amp;D'!$D:$D,MATCH(MEDIÇÃO!R268,'LEV R&amp;D'!$A:$A,0))-INDEX('PROJETO PERFURAÇÃO'!$AH:$AH,MATCH(MEDIÇÃO!R268,'PROJETO PERFURAÇÃO'!$B:$B,0)),"")</f>
        <v/>
      </c>
      <c r="T268" s="17">
        <f>IFERROR(INDEX('PROJETO PERFURAÇÃO'!$AN:$AN,MATCH(MEDIÇÃO!R268,'PROJETO PERFURAÇÃO'!$B:$B,0)),"")</f>
        <v>0</v>
      </c>
      <c r="U268" s="3"/>
      <c r="V268" s="3"/>
    </row>
    <row r="269" spans="2:22" ht="45" customHeight="1" x14ac:dyDescent="0.25">
      <c r="B269" s="3" t="str">
        <f>IFERROR(ROUND(INDEX('PROJETO PERFURAÇÃO'!$AB:$AB,MATCH(MEDIÇÃO!D269,'PROJETO PERFURAÇÃO'!$B:$B,0)),1)&amp;"''","")</f>
        <v>5''</v>
      </c>
      <c r="C269" s="3" t="str">
        <f>IFERROR(IF(INDEX('PROJETO PERFURAÇÃO'!$P:$P,MATCH(MEDIÇÃO!D269,'PROJETO PERFURAÇÃO'!$B:$B,0))="Production","P",IF(INDEX('PROJETO PERFURAÇÃO'!$P:$P,MATCH(MEDIÇÃO!D269,'PROJETO PERFURAÇÃO'!$B:$B,0))="Buffer","B",IF(INDEX('PROJETO PERFURAÇÃO'!$P:$P,MATCH(MEDIÇÃO!D269,'PROJETO PERFURAÇÃO'!$B:$B,0))="Pre-Splitting","S"))),"")</f>
        <v>P</v>
      </c>
      <c r="D269" s="14">
        <f t="shared" si="24"/>
        <v>569</v>
      </c>
      <c r="E269" s="4" t="str">
        <f>IFERROR(INDEX('LEV R&amp;D'!$D:$D,MATCH(MEDIÇÃO!D269,'LEV R&amp;D'!$A:$A,0))-INDEX('PROJETO PERFURAÇÃO'!$AH:$AH,MATCH(MEDIÇÃO!D269,'PROJETO PERFURAÇÃO'!$B:$B,0)),"")</f>
        <v/>
      </c>
      <c r="F269" s="17">
        <f>IFERROR(INDEX('PROJETO PERFURAÇÃO'!$AN:$AN,MATCH(MEDIÇÃO!D269,'PROJETO PERFURAÇÃO'!$B:$B,0)),"")</f>
        <v>0</v>
      </c>
      <c r="G269" s="3"/>
      <c r="H269" s="3"/>
      <c r="I269" s="3" t="str">
        <f>IFERROR(ROUND(INDEX('PROJETO PERFURAÇÃO'!$AB:$AB,MATCH(MEDIÇÃO!K269,'PROJETO PERFURAÇÃO'!$B:$B,0)),1)&amp;"''","")</f>
        <v>5''</v>
      </c>
      <c r="J269" s="3" t="str">
        <f>IFERROR(IF(INDEX('PROJETO PERFURAÇÃO'!$P:$P,MATCH(MEDIÇÃO!K269,'PROJETO PERFURAÇÃO'!$B:$B,0))="Production","P",IF(INDEX('PROJETO PERFURAÇÃO'!$P:$P,MATCH(MEDIÇÃO!K269,'PROJETO PERFURAÇÃO'!$B:$B,0))="Buffer","B",IF(INDEX('PROJETO PERFURAÇÃO'!$P:$P,MATCH(MEDIÇÃO!K269,'PROJETO PERFURAÇÃO'!$B:$B,0))="Pre-Splitting","S"))),"")</f>
        <v>P</v>
      </c>
      <c r="K269" s="14">
        <f t="shared" si="25"/>
        <v>592</v>
      </c>
      <c r="L269" s="4" t="str">
        <f>IFERROR(INDEX('LEV R&amp;D'!$D:$D,MATCH(MEDIÇÃO!K269,'LEV R&amp;D'!$A:$A,0))-INDEX('PROJETO PERFURAÇÃO'!$AH:$AH,MATCH(MEDIÇÃO!K269,'PROJETO PERFURAÇÃO'!$B:$B,0)),"")</f>
        <v/>
      </c>
      <c r="M269" s="17">
        <f>IFERROR(INDEX('PROJETO PERFURAÇÃO'!$AN:$AN,MATCH(MEDIÇÃO!K269,'PROJETO PERFURAÇÃO'!$B:$B,0)),"")</f>
        <v>0</v>
      </c>
      <c r="N269" s="3"/>
      <c r="O269" s="3"/>
      <c r="P269" s="3" t="str">
        <f>IFERROR(ROUND(INDEX('PROJETO PERFURAÇÃO'!$AB:$AB,MATCH(MEDIÇÃO!R269,'PROJETO PERFURAÇÃO'!$B:$B,0)),1)&amp;"''","")</f>
        <v>5''</v>
      </c>
      <c r="Q269" s="3" t="str">
        <f>IFERROR(IF(INDEX('PROJETO PERFURAÇÃO'!$P:$P,MATCH(MEDIÇÃO!R269,'PROJETO PERFURAÇÃO'!$B:$B,0))="Production","P",IF(INDEX('PROJETO PERFURAÇÃO'!$P:$P,MATCH(MEDIÇÃO!R269,'PROJETO PERFURAÇÃO'!$B:$B,0))="Buffer","B",IF(INDEX('PROJETO PERFURAÇÃO'!$P:$P,MATCH(MEDIÇÃO!R269,'PROJETO PERFURAÇÃO'!$B:$B,0))="Pre-Splitting","S"))),"")</f>
        <v>P</v>
      </c>
      <c r="R269" s="14">
        <f t="shared" si="26"/>
        <v>615</v>
      </c>
      <c r="S269" s="4" t="str">
        <f>IFERROR(INDEX('LEV R&amp;D'!$D:$D,MATCH(MEDIÇÃO!R269,'LEV R&amp;D'!$A:$A,0))-INDEX('PROJETO PERFURAÇÃO'!$AH:$AH,MATCH(MEDIÇÃO!R269,'PROJETO PERFURAÇÃO'!$B:$B,0)),"")</f>
        <v/>
      </c>
      <c r="T269" s="17">
        <f>IFERROR(INDEX('PROJETO PERFURAÇÃO'!$AN:$AN,MATCH(MEDIÇÃO!R269,'PROJETO PERFURAÇÃO'!$B:$B,0)),"")</f>
        <v>0</v>
      </c>
      <c r="U269" s="3"/>
      <c r="V269" s="3"/>
    </row>
    <row r="270" spans="2:22" ht="45" customHeight="1" x14ac:dyDescent="0.25">
      <c r="B270" s="3" t="str">
        <f>IFERROR(ROUND(INDEX('PROJETO PERFURAÇÃO'!$AB:$AB,MATCH(MEDIÇÃO!D270,'PROJETO PERFURAÇÃO'!$B:$B,0)),1)&amp;"''","")</f>
        <v>5''</v>
      </c>
      <c r="C270" s="3" t="str">
        <f>IFERROR(IF(INDEX('PROJETO PERFURAÇÃO'!$P:$P,MATCH(MEDIÇÃO!D270,'PROJETO PERFURAÇÃO'!$B:$B,0))="Production","P",IF(INDEX('PROJETO PERFURAÇÃO'!$P:$P,MATCH(MEDIÇÃO!D270,'PROJETO PERFURAÇÃO'!$B:$B,0))="Buffer","B",IF(INDEX('PROJETO PERFURAÇÃO'!$P:$P,MATCH(MEDIÇÃO!D270,'PROJETO PERFURAÇÃO'!$B:$B,0))="Pre-Splitting","S"))),"")</f>
        <v>P</v>
      </c>
      <c r="D270" s="14">
        <f t="shared" si="24"/>
        <v>570</v>
      </c>
      <c r="E270" s="4" t="str">
        <f>IFERROR(INDEX('LEV R&amp;D'!$D:$D,MATCH(MEDIÇÃO!D270,'LEV R&amp;D'!$A:$A,0))-INDEX('PROJETO PERFURAÇÃO'!$AH:$AH,MATCH(MEDIÇÃO!D270,'PROJETO PERFURAÇÃO'!$B:$B,0)),"")</f>
        <v/>
      </c>
      <c r="F270" s="17">
        <f>IFERROR(INDEX('PROJETO PERFURAÇÃO'!$AN:$AN,MATCH(MEDIÇÃO!D270,'PROJETO PERFURAÇÃO'!$B:$B,0)),"")</f>
        <v>0</v>
      </c>
      <c r="G270" s="3"/>
      <c r="H270" s="3"/>
      <c r="I270" s="3" t="str">
        <f>IFERROR(ROUND(INDEX('PROJETO PERFURAÇÃO'!$AB:$AB,MATCH(MEDIÇÃO!K270,'PROJETO PERFURAÇÃO'!$B:$B,0)),1)&amp;"''","")</f>
        <v>5''</v>
      </c>
      <c r="J270" s="3" t="str">
        <f>IFERROR(IF(INDEX('PROJETO PERFURAÇÃO'!$P:$P,MATCH(MEDIÇÃO!K270,'PROJETO PERFURAÇÃO'!$B:$B,0))="Production","P",IF(INDEX('PROJETO PERFURAÇÃO'!$P:$P,MATCH(MEDIÇÃO!K270,'PROJETO PERFURAÇÃO'!$B:$B,0))="Buffer","B",IF(INDEX('PROJETO PERFURAÇÃO'!$P:$P,MATCH(MEDIÇÃO!K270,'PROJETO PERFURAÇÃO'!$B:$B,0))="Pre-Splitting","S"))),"")</f>
        <v>P</v>
      </c>
      <c r="K270" s="14">
        <f t="shared" si="25"/>
        <v>593</v>
      </c>
      <c r="L270" s="4" t="str">
        <f>IFERROR(INDEX('LEV R&amp;D'!$D:$D,MATCH(MEDIÇÃO!K270,'LEV R&amp;D'!$A:$A,0))-INDEX('PROJETO PERFURAÇÃO'!$AH:$AH,MATCH(MEDIÇÃO!K270,'PROJETO PERFURAÇÃO'!$B:$B,0)),"")</f>
        <v/>
      </c>
      <c r="M270" s="17">
        <f>IFERROR(INDEX('PROJETO PERFURAÇÃO'!$AN:$AN,MATCH(MEDIÇÃO!K270,'PROJETO PERFURAÇÃO'!$B:$B,0)),"")</f>
        <v>0</v>
      </c>
      <c r="N270" s="3"/>
      <c r="O270" s="3"/>
      <c r="P270" s="3" t="str">
        <f>IFERROR(ROUND(INDEX('PROJETO PERFURAÇÃO'!$AB:$AB,MATCH(MEDIÇÃO!R270,'PROJETO PERFURAÇÃO'!$B:$B,0)),1)&amp;"''","")</f>
        <v>5''</v>
      </c>
      <c r="Q270" s="3" t="str">
        <f>IFERROR(IF(INDEX('PROJETO PERFURAÇÃO'!$P:$P,MATCH(MEDIÇÃO!R270,'PROJETO PERFURAÇÃO'!$B:$B,0))="Production","P",IF(INDEX('PROJETO PERFURAÇÃO'!$P:$P,MATCH(MEDIÇÃO!R270,'PROJETO PERFURAÇÃO'!$B:$B,0))="Buffer","B",IF(INDEX('PROJETO PERFURAÇÃO'!$P:$P,MATCH(MEDIÇÃO!R270,'PROJETO PERFURAÇÃO'!$B:$B,0))="Pre-Splitting","S"))),"")</f>
        <v>P</v>
      </c>
      <c r="R270" s="14">
        <f t="shared" si="26"/>
        <v>616</v>
      </c>
      <c r="S270" s="4" t="str">
        <f>IFERROR(INDEX('LEV R&amp;D'!$D:$D,MATCH(MEDIÇÃO!R270,'LEV R&amp;D'!$A:$A,0))-INDEX('PROJETO PERFURAÇÃO'!$AH:$AH,MATCH(MEDIÇÃO!R270,'PROJETO PERFURAÇÃO'!$B:$B,0)),"")</f>
        <v/>
      </c>
      <c r="T270" s="17">
        <f>IFERROR(INDEX('PROJETO PERFURAÇÃO'!$AN:$AN,MATCH(MEDIÇÃO!R270,'PROJETO PERFURAÇÃO'!$B:$B,0)),"")</f>
        <v>0</v>
      </c>
      <c r="U270" s="3"/>
      <c r="V270" s="3"/>
    </row>
    <row r="271" spans="2:22" ht="45" customHeight="1" x14ac:dyDescent="0.25">
      <c r="B271" s="3" t="str">
        <f>IFERROR(ROUND(INDEX('PROJETO PERFURAÇÃO'!$AB:$AB,MATCH(MEDIÇÃO!D271,'PROJETO PERFURAÇÃO'!$B:$B,0)),1)&amp;"''","")</f>
        <v>5''</v>
      </c>
      <c r="C271" s="3" t="str">
        <f>IFERROR(IF(INDEX('PROJETO PERFURAÇÃO'!$P:$P,MATCH(MEDIÇÃO!D271,'PROJETO PERFURAÇÃO'!$B:$B,0))="Production","P",IF(INDEX('PROJETO PERFURAÇÃO'!$P:$P,MATCH(MEDIÇÃO!D271,'PROJETO PERFURAÇÃO'!$B:$B,0))="Buffer","B",IF(INDEX('PROJETO PERFURAÇÃO'!$P:$P,MATCH(MEDIÇÃO!D271,'PROJETO PERFURAÇÃO'!$B:$B,0))="Pre-Splitting","S"))),"")</f>
        <v>P</v>
      </c>
      <c r="D271" s="14">
        <f t="shared" si="24"/>
        <v>571</v>
      </c>
      <c r="E271" s="4" t="str">
        <f>IFERROR(INDEX('LEV R&amp;D'!$D:$D,MATCH(MEDIÇÃO!D271,'LEV R&amp;D'!$A:$A,0))-INDEX('PROJETO PERFURAÇÃO'!$AH:$AH,MATCH(MEDIÇÃO!D271,'PROJETO PERFURAÇÃO'!$B:$B,0)),"")</f>
        <v/>
      </c>
      <c r="F271" s="17">
        <f>IFERROR(INDEX('PROJETO PERFURAÇÃO'!$AN:$AN,MATCH(MEDIÇÃO!D271,'PROJETO PERFURAÇÃO'!$B:$B,0)),"")</f>
        <v>0</v>
      </c>
      <c r="G271" s="3"/>
      <c r="H271" s="3"/>
      <c r="I271" s="3" t="str">
        <f>IFERROR(ROUND(INDEX('PROJETO PERFURAÇÃO'!$AB:$AB,MATCH(MEDIÇÃO!K271,'PROJETO PERFURAÇÃO'!$B:$B,0)),1)&amp;"''","")</f>
        <v>5''</v>
      </c>
      <c r="J271" s="3" t="str">
        <f>IFERROR(IF(INDEX('PROJETO PERFURAÇÃO'!$P:$P,MATCH(MEDIÇÃO!K271,'PROJETO PERFURAÇÃO'!$B:$B,0))="Production","P",IF(INDEX('PROJETO PERFURAÇÃO'!$P:$P,MATCH(MEDIÇÃO!K271,'PROJETO PERFURAÇÃO'!$B:$B,0))="Buffer","B",IF(INDEX('PROJETO PERFURAÇÃO'!$P:$P,MATCH(MEDIÇÃO!K271,'PROJETO PERFURAÇÃO'!$B:$B,0))="Pre-Splitting","S"))),"")</f>
        <v>P</v>
      </c>
      <c r="K271" s="14">
        <f t="shared" si="25"/>
        <v>594</v>
      </c>
      <c r="L271" s="4" t="str">
        <f>IFERROR(INDEX('LEV R&amp;D'!$D:$D,MATCH(MEDIÇÃO!K271,'LEV R&amp;D'!$A:$A,0))-INDEX('PROJETO PERFURAÇÃO'!$AH:$AH,MATCH(MEDIÇÃO!K271,'PROJETO PERFURAÇÃO'!$B:$B,0)),"")</f>
        <v/>
      </c>
      <c r="M271" s="17">
        <f>IFERROR(INDEX('PROJETO PERFURAÇÃO'!$AN:$AN,MATCH(MEDIÇÃO!K271,'PROJETO PERFURAÇÃO'!$B:$B,0)),"")</f>
        <v>5</v>
      </c>
      <c r="N271" s="3"/>
      <c r="O271" s="3"/>
      <c r="P271" s="3" t="str">
        <f>IFERROR(ROUND(INDEX('PROJETO PERFURAÇÃO'!$AB:$AB,MATCH(MEDIÇÃO!R271,'PROJETO PERFURAÇÃO'!$B:$B,0)),1)&amp;"''","")</f>
        <v>5''</v>
      </c>
      <c r="Q271" s="3" t="str">
        <f>IFERROR(IF(INDEX('PROJETO PERFURAÇÃO'!$P:$P,MATCH(MEDIÇÃO!R271,'PROJETO PERFURAÇÃO'!$B:$B,0))="Production","P",IF(INDEX('PROJETO PERFURAÇÃO'!$P:$P,MATCH(MEDIÇÃO!R271,'PROJETO PERFURAÇÃO'!$B:$B,0))="Buffer","B",IF(INDEX('PROJETO PERFURAÇÃO'!$P:$P,MATCH(MEDIÇÃO!R271,'PROJETO PERFURAÇÃO'!$B:$B,0))="Pre-Splitting","S"))),"")</f>
        <v>P</v>
      </c>
      <c r="R271" s="14">
        <f t="shared" si="26"/>
        <v>617</v>
      </c>
      <c r="S271" s="4" t="str">
        <f>IFERROR(INDEX('LEV R&amp;D'!$D:$D,MATCH(MEDIÇÃO!R271,'LEV R&amp;D'!$A:$A,0))-INDEX('PROJETO PERFURAÇÃO'!$AH:$AH,MATCH(MEDIÇÃO!R271,'PROJETO PERFURAÇÃO'!$B:$B,0)),"")</f>
        <v/>
      </c>
      <c r="T271" s="17">
        <f>IFERROR(INDEX('PROJETO PERFURAÇÃO'!$AN:$AN,MATCH(MEDIÇÃO!R271,'PROJETO PERFURAÇÃO'!$B:$B,0)),"")</f>
        <v>0</v>
      </c>
      <c r="U271" s="3"/>
      <c r="V271" s="3"/>
    </row>
    <row r="272" spans="2:22" ht="45" customHeight="1" x14ac:dyDescent="0.25">
      <c r="B272" s="3" t="str">
        <f>IFERROR(ROUND(INDEX('PROJETO PERFURAÇÃO'!$AB:$AB,MATCH(MEDIÇÃO!D272,'PROJETO PERFURAÇÃO'!$B:$B,0)),1)&amp;"''","")</f>
        <v>5''</v>
      </c>
      <c r="C272" s="3" t="str">
        <f>IFERROR(IF(INDEX('PROJETO PERFURAÇÃO'!$P:$P,MATCH(MEDIÇÃO!D272,'PROJETO PERFURAÇÃO'!$B:$B,0))="Production","P",IF(INDEX('PROJETO PERFURAÇÃO'!$P:$P,MATCH(MEDIÇÃO!D272,'PROJETO PERFURAÇÃO'!$B:$B,0))="Buffer","B",IF(INDEX('PROJETO PERFURAÇÃO'!$P:$P,MATCH(MEDIÇÃO!D272,'PROJETO PERFURAÇÃO'!$B:$B,0))="Pre-Splitting","S"))),"")</f>
        <v>P</v>
      </c>
      <c r="D272" s="14">
        <f t="shared" si="24"/>
        <v>572</v>
      </c>
      <c r="E272" s="4" t="str">
        <f>IFERROR(INDEX('LEV R&amp;D'!$D:$D,MATCH(MEDIÇÃO!D272,'LEV R&amp;D'!$A:$A,0))-INDEX('PROJETO PERFURAÇÃO'!$AH:$AH,MATCH(MEDIÇÃO!D272,'PROJETO PERFURAÇÃO'!$B:$B,0)),"")</f>
        <v/>
      </c>
      <c r="F272" s="17">
        <f>IFERROR(INDEX('PROJETO PERFURAÇÃO'!$AN:$AN,MATCH(MEDIÇÃO!D272,'PROJETO PERFURAÇÃO'!$B:$B,0)),"")</f>
        <v>0</v>
      </c>
      <c r="G272" s="3"/>
      <c r="H272" s="3"/>
      <c r="I272" s="3" t="str">
        <f>IFERROR(ROUND(INDEX('PROJETO PERFURAÇÃO'!$AB:$AB,MATCH(MEDIÇÃO!K272,'PROJETO PERFURAÇÃO'!$B:$B,0)),1)&amp;"''","")</f>
        <v>5''</v>
      </c>
      <c r="J272" s="3" t="str">
        <f>IFERROR(IF(INDEX('PROJETO PERFURAÇÃO'!$P:$P,MATCH(MEDIÇÃO!K272,'PROJETO PERFURAÇÃO'!$B:$B,0))="Production","P",IF(INDEX('PROJETO PERFURAÇÃO'!$P:$P,MATCH(MEDIÇÃO!K272,'PROJETO PERFURAÇÃO'!$B:$B,0))="Buffer","B",IF(INDEX('PROJETO PERFURAÇÃO'!$P:$P,MATCH(MEDIÇÃO!K272,'PROJETO PERFURAÇÃO'!$B:$B,0))="Pre-Splitting","S"))),"")</f>
        <v>P</v>
      </c>
      <c r="K272" s="14">
        <f t="shared" si="25"/>
        <v>595</v>
      </c>
      <c r="L272" s="4" t="str">
        <f>IFERROR(INDEX('LEV R&amp;D'!$D:$D,MATCH(MEDIÇÃO!K272,'LEV R&amp;D'!$A:$A,0))-INDEX('PROJETO PERFURAÇÃO'!$AH:$AH,MATCH(MEDIÇÃO!K272,'PROJETO PERFURAÇÃO'!$B:$B,0)),"")</f>
        <v/>
      </c>
      <c r="M272" s="17">
        <f>IFERROR(INDEX('PROJETO PERFURAÇÃO'!$AN:$AN,MATCH(MEDIÇÃO!K272,'PROJETO PERFURAÇÃO'!$B:$B,0)),"")</f>
        <v>0</v>
      </c>
      <c r="N272" s="3"/>
      <c r="O272" s="3"/>
      <c r="P272" s="3" t="str">
        <f>IFERROR(ROUND(INDEX('PROJETO PERFURAÇÃO'!$AB:$AB,MATCH(MEDIÇÃO!R272,'PROJETO PERFURAÇÃO'!$B:$B,0)),1)&amp;"''","")</f>
        <v>5''</v>
      </c>
      <c r="Q272" s="3" t="str">
        <f>IFERROR(IF(INDEX('PROJETO PERFURAÇÃO'!$P:$P,MATCH(MEDIÇÃO!R272,'PROJETO PERFURAÇÃO'!$B:$B,0))="Production","P",IF(INDEX('PROJETO PERFURAÇÃO'!$P:$P,MATCH(MEDIÇÃO!R272,'PROJETO PERFURAÇÃO'!$B:$B,0))="Buffer","B",IF(INDEX('PROJETO PERFURAÇÃO'!$P:$P,MATCH(MEDIÇÃO!R272,'PROJETO PERFURAÇÃO'!$B:$B,0))="Pre-Splitting","S"))),"")</f>
        <v>P</v>
      </c>
      <c r="R272" s="14">
        <f t="shared" si="26"/>
        <v>618</v>
      </c>
      <c r="S272" s="4" t="str">
        <f>IFERROR(INDEX('LEV R&amp;D'!$D:$D,MATCH(MEDIÇÃO!R272,'LEV R&amp;D'!$A:$A,0))-INDEX('PROJETO PERFURAÇÃO'!$AH:$AH,MATCH(MEDIÇÃO!R272,'PROJETO PERFURAÇÃO'!$B:$B,0)),"")</f>
        <v/>
      </c>
      <c r="T272" s="17">
        <f>IFERROR(INDEX('PROJETO PERFURAÇÃO'!$AN:$AN,MATCH(MEDIÇÃO!R272,'PROJETO PERFURAÇÃO'!$B:$B,0)),"")</f>
        <v>0</v>
      </c>
      <c r="U272" s="3"/>
      <c r="V272" s="3"/>
    </row>
    <row r="273" spans="1:23" ht="45" customHeight="1" x14ac:dyDescent="0.25">
      <c r="B273" s="3" t="str">
        <f>IFERROR(ROUND(INDEX('PROJETO PERFURAÇÃO'!$AB:$AB,MATCH(MEDIÇÃO!D273,'PROJETO PERFURAÇÃO'!$B:$B,0)),1)&amp;"''","")</f>
        <v>5''</v>
      </c>
      <c r="C273" s="3" t="str">
        <f>IFERROR(IF(INDEX('PROJETO PERFURAÇÃO'!$P:$P,MATCH(MEDIÇÃO!D273,'PROJETO PERFURAÇÃO'!$B:$B,0))="Production","P",IF(INDEX('PROJETO PERFURAÇÃO'!$P:$P,MATCH(MEDIÇÃO!D273,'PROJETO PERFURAÇÃO'!$B:$B,0))="Buffer","B",IF(INDEX('PROJETO PERFURAÇÃO'!$P:$P,MATCH(MEDIÇÃO!D273,'PROJETO PERFURAÇÃO'!$B:$B,0))="Pre-Splitting","S"))),"")</f>
        <v>P</v>
      </c>
      <c r="D273" s="14">
        <f t="shared" si="24"/>
        <v>573</v>
      </c>
      <c r="E273" s="4" t="str">
        <f>IFERROR(INDEX('LEV R&amp;D'!$D:$D,MATCH(MEDIÇÃO!D273,'LEV R&amp;D'!$A:$A,0))-INDEX('PROJETO PERFURAÇÃO'!$AH:$AH,MATCH(MEDIÇÃO!D273,'PROJETO PERFURAÇÃO'!$B:$B,0)),"")</f>
        <v/>
      </c>
      <c r="F273" s="17">
        <f>IFERROR(INDEX('PROJETO PERFURAÇÃO'!$AN:$AN,MATCH(MEDIÇÃO!D273,'PROJETO PERFURAÇÃO'!$B:$B,0)),"")</f>
        <v>0</v>
      </c>
      <c r="G273" s="3"/>
      <c r="H273" s="3"/>
      <c r="I273" s="3" t="str">
        <f>IFERROR(ROUND(INDEX('PROJETO PERFURAÇÃO'!$AB:$AB,MATCH(MEDIÇÃO!K273,'PROJETO PERFURAÇÃO'!$B:$B,0)),1)&amp;"''","")</f>
        <v>5''</v>
      </c>
      <c r="J273" s="3" t="str">
        <f>IFERROR(IF(INDEX('PROJETO PERFURAÇÃO'!$P:$P,MATCH(MEDIÇÃO!K273,'PROJETO PERFURAÇÃO'!$B:$B,0))="Production","P",IF(INDEX('PROJETO PERFURAÇÃO'!$P:$P,MATCH(MEDIÇÃO!K273,'PROJETO PERFURAÇÃO'!$B:$B,0))="Buffer","B",IF(INDEX('PROJETO PERFURAÇÃO'!$P:$P,MATCH(MEDIÇÃO!K273,'PROJETO PERFURAÇÃO'!$B:$B,0))="Pre-Splitting","S"))),"")</f>
        <v>P</v>
      </c>
      <c r="K273" s="14">
        <f t="shared" si="25"/>
        <v>596</v>
      </c>
      <c r="L273" s="4" t="str">
        <f>IFERROR(INDEX('LEV R&amp;D'!$D:$D,MATCH(MEDIÇÃO!K273,'LEV R&amp;D'!$A:$A,0))-INDEX('PROJETO PERFURAÇÃO'!$AH:$AH,MATCH(MEDIÇÃO!K273,'PROJETO PERFURAÇÃO'!$B:$B,0)),"")</f>
        <v/>
      </c>
      <c r="M273" s="17">
        <f>IFERROR(INDEX('PROJETO PERFURAÇÃO'!$AN:$AN,MATCH(MEDIÇÃO!K273,'PROJETO PERFURAÇÃO'!$B:$B,0)),"")</f>
        <v>0</v>
      </c>
      <c r="N273" s="3"/>
      <c r="O273" s="3"/>
      <c r="P273" s="3" t="str">
        <f>IFERROR(ROUND(INDEX('PROJETO PERFURAÇÃO'!$AB:$AB,MATCH(MEDIÇÃO!R273,'PROJETO PERFURAÇÃO'!$B:$B,0)),1)&amp;"''","")</f>
        <v>5''</v>
      </c>
      <c r="Q273" s="3" t="str">
        <f>IFERROR(IF(INDEX('PROJETO PERFURAÇÃO'!$P:$P,MATCH(MEDIÇÃO!R273,'PROJETO PERFURAÇÃO'!$B:$B,0))="Production","P",IF(INDEX('PROJETO PERFURAÇÃO'!$P:$P,MATCH(MEDIÇÃO!R273,'PROJETO PERFURAÇÃO'!$B:$B,0))="Buffer","B",IF(INDEX('PROJETO PERFURAÇÃO'!$P:$P,MATCH(MEDIÇÃO!R273,'PROJETO PERFURAÇÃO'!$B:$B,0))="Pre-Splitting","S"))),"")</f>
        <v>P</v>
      </c>
      <c r="R273" s="14">
        <f t="shared" si="26"/>
        <v>619</v>
      </c>
      <c r="S273" s="4" t="str">
        <f>IFERROR(INDEX('LEV R&amp;D'!$D:$D,MATCH(MEDIÇÃO!R273,'LEV R&amp;D'!$A:$A,0))-INDEX('PROJETO PERFURAÇÃO'!$AH:$AH,MATCH(MEDIÇÃO!R273,'PROJETO PERFURAÇÃO'!$B:$B,0)),"")</f>
        <v/>
      </c>
      <c r="T273" s="17">
        <f>IFERROR(INDEX('PROJETO PERFURAÇÃO'!$AN:$AN,MATCH(MEDIÇÃO!R273,'PROJETO PERFURAÇÃO'!$B:$B,0)),"")</f>
        <v>0</v>
      </c>
      <c r="U273" s="3"/>
      <c r="V273" s="3"/>
    </row>
    <row r="274" spans="1:23" ht="45" customHeight="1" x14ac:dyDescent="0.25">
      <c r="B274" s="3" t="str">
        <f>IFERROR(ROUND(INDEX('PROJETO PERFURAÇÃO'!$AB:$AB,MATCH(MEDIÇÃO!D274,'PROJETO PERFURAÇÃO'!$B:$B,0)),1)&amp;"''","")</f>
        <v>5''</v>
      </c>
      <c r="C274" s="3" t="str">
        <f>IFERROR(IF(INDEX('PROJETO PERFURAÇÃO'!$P:$P,MATCH(MEDIÇÃO!D274,'PROJETO PERFURAÇÃO'!$B:$B,0))="Production","P",IF(INDEX('PROJETO PERFURAÇÃO'!$P:$P,MATCH(MEDIÇÃO!D274,'PROJETO PERFURAÇÃO'!$B:$B,0))="Buffer","B",IF(INDEX('PROJETO PERFURAÇÃO'!$P:$P,MATCH(MEDIÇÃO!D274,'PROJETO PERFURAÇÃO'!$B:$B,0))="Pre-Splitting","S"))),"")</f>
        <v>P</v>
      </c>
      <c r="D274" s="14">
        <f t="shared" si="24"/>
        <v>574</v>
      </c>
      <c r="E274" s="4" t="str">
        <f>IFERROR(INDEX('LEV R&amp;D'!$D:$D,MATCH(MEDIÇÃO!D274,'LEV R&amp;D'!$A:$A,0))-INDEX('PROJETO PERFURAÇÃO'!$AH:$AH,MATCH(MEDIÇÃO!D274,'PROJETO PERFURAÇÃO'!$B:$B,0)),"")</f>
        <v/>
      </c>
      <c r="F274" s="17">
        <f>IFERROR(INDEX('PROJETO PERFURAÇÃO'!$AN:$AN,MATCH(MEDIÇÃO!D274,'PROJETO PERFURAÇÃO'!$B:$B,0)),"")</f>
        <v>0</v>
      </c>
      <c r="G274" s="3"/>
      <c r="H274" s="3"/>
      <c r="I274" s="3" t="str">
        <f>IFERROR(ROUND(INDEX('PROJETO PERFURAÇÃO'!$AB:$AB,MATCH(MEDIÇÃO!K274,'PROJETO PERFURAÇÃO'!$B:$B,0)),1)&amp;"''","")</f>
        <v>5''</v>
      </c>
      <c r="J274" s="3" t="str">
        <f>IFERROR(IF(INDEX('PROJETO PERFURAÇÃO'!$P:$P,MATCH(MEDIÇÃO!K274,'PROJETO PERFURAÇÃO'!$B:$B,0))="Production","P",IF(INDEX('PROJETO PERFURAÇÃO'!$P:$P,MATCH(MEDIÇÃO!K274,'PROJETO PERFURAÇÃO'!$B:$B,0))="Buffer","B",IF(INDEX('PROJETO PERFURAÇÃO'!$P:$P,MATCH(MEDIÇÃO!K274,'PROJETO PERFURAÇÃO'!$B:$B,0))="Pre-Splitting","S"))),"")</f>
        <v>P</v>
      </c>
      <c r="K274" s="14">
        <f t="shared" si="25"/>
        <v>597</v>
      </c>
      <c r="L274" s="4" t="str">
        <f>IFERROR(INDEX('LEV R&amp;D'!$D:$D,MATCH(MEDIÇÃO!K274,'LEV R&amp;D'!$A:$A,0))-INDEX('PROJETO PERFURAÇÃO'!$AH:$AH,MATCH(MEDIÇÃO!K274,'PROJETO PERFURAÇÃO'!$B:$B,0)),"")</f>
        <v/>
      </c>
      <c r="M274" s="17">
        <f>IFERROR(INDEX('PROJETO PERFURAÇÃO'!$AN:$AN,MATCH(MEDIÇÃO!K274,'PROJETO PERFURAÇÃO'!$B:$B,0)),"")</f>
        <v>0</v>
      </c>
      <c r="N274" s="3"/>
      <c r="O274" s="3"/>
      <c r="P274" s="3" t="str">
        <f>IFERROR(ROUND(INDEX('PROJETO PERFURAÇÃO'!$AB:$AB,MATCH(MEDIÇÃO!R274,'PROJETO PERFURAÇÃO'!$B:$B,0)),1)&amp;"''","")</f>
        <v>5''</v>
      </c>
      <c r="Q274" s="3" t="str">
        <f>IFERROR(IF(INDEX('PROJETO PERFURAÇÃO'!$P:$P,MATCH(MEDIÇÃO!R274,'PROJETO PERFURAÇÃO'!$B:$B,0))="Production","P",IF(INDEX('PROJETO PERFURAÇÃO'!$P:$P,MATCH(MEDIÇÃO!R274,'PROJETO PERFURAÇÃO'!$B:$B,0))="Buffer","B",IF(INDEX('PROJETO PERFURAÇÃO'!$P:$P,MATCH(MEDIÇÃO!R274,'PROJETO PERFURAÇÃO'!$B:$B,0))="Pre-Splitting","S"))),"")</f>
        <v>P</v>
      </c>
      <c r="R274" s="14">
        <f t="shared" si="26"/>
        <v>620</v>
      </c>
      <c r="S274" s="4" t="str">
        <f>IFERROR(INDEX('LEV R&amp;D'!$D:$D,MATCH(MEDIÇÃO!R274,'LEV R&amp;D'!$A:$A,0))-INDEX('PROJETO PERFURAÇÃO'!$AH:$AH,MATCH(MEDIÇÃO!R274,'PROJETO PERFURAÇÃO'!$B:$B,0)),"")</f>
        <v/>
      </c>
      <c r="T274" s="17">
        <f>IFERROR(INDEX('PROJETO PERFURAÇÃO'!$AN:$AN,MATCH(MEDIÇÃO!R274,'PROJETO PERFURAÇÃO'!$B:$B,0)),"")</f>
        <v>0</v>
      </c>
      <c r="U274" s="3"/>
      <c r="V274" s="3"/>
    </row>
    <row r="275" spans="1:23" ht="45" customHeight="1" x14ac:dyDescent="0.25">
      <c r="B275" s="3" t="str">
        <f>IFERROR(ROUND(INDEX('PROJETO PERFURAÇÃO'!$AB:$AB,MATCH(MEDIÇÃO!D275,'PROJETO PERFURAÇÃO'!$B:$B,0)),1)&amp;"''","")</f>
        <v>5''</v>
      </c>
      <c r="C275" s="3" t="str">
        <f>IFERROR(IF(INDEX('PROJETO PERFURAÇÃO'!$P:$P,MATCH(MEDIÇÃO!D275,'PROJETO PERFURAÇÃO'!$B:$B,0))="Production","P",IF(INDEX('PROJETO PERFURAÇÃO'!$P:$P,MATCH(MEDIÇÃO!D275,'PROJETO PERFURAÇÃO'!$B:$B,0))="Buffer","B",IF(INDEX('PROJETO PERFURAÇÃO'!$P:$P,MATCH(MEDIÇÃO!D275,'PROJETO PERFURAÇÃO'!$B:$B,0))="Pre-Splitting","S"))),"")</f>
        <v>P</v>
      </c>
      <c r="D275" s="14">
        <f t="shared" si="24"/>
        <v>575</v>
      </c>
      <c r="E275" s="4" t="str">
        <f>IFERROR(INDEX('LEV R&amp;D'!$D:$D,MATCH(MEDIÇÃO!D275,'LEV R&amp;D'!$A:$A,0))-INDEX('PROJETO PERFURAÇÃO'!$AH:$AH,MATCH(MEDIÇÃO!D275,'PROJETO PERFURAÇÃO'!$B:$B,0)),"")</f>
        <v/>
      </c>
      <c r="F275" s="17">
        <f>IFERROR(INDEX('PROJETO PERFURAÇÃO'!$AN:$AN,MATCH(MEDIÇÃO!D275,'PROJETO PERFURAÇÃO'!$B:$B,0)),"")</f>
        <v>0</v>
      </c>
      <c r="G275" s="3"/>
      <c r="H275" s="3"/>
      <c r="I275" s="3" t="str">
        <f>IFERROR(ROUND(INDEX('PROJETO PERFURAÇÃO'!$AB:$AB,MATCH(MEDIÇÃO!K275,'PROJETO PERFURAÇÃO'!$B:$B,0)),1)&amp;"''","")</f>
        <v>5''</v>
      </c>
      <c r="J275" s="3" t="str">
        <f>IFERROR(IF(INDEX('PROJETO PERFURAÇÃO'!$P:$P,MATCH(MEDIÇÃO!K275,'PROJETO PERFURAÇÃO'!$B:$B,0))="Production","P",IF(INDEX('PROJETO PERFURAÇÃO'!$P:$P,MATCH(MEDIÇÃO!K275,'PROJETO PERFURAÇÃO'!$B:$B,0))="Buffer","B",IF(INDEX('PROJETO PERFURAÇÃO'!$P:$P,MATCH(MEDIÇÃO!K275,'PROJETO PERFURAÇÃO'!$B:$B,0))="Pre-Splitting","S"))),"")</f>
        <v>P</v>
      </c>
      <c r="K275" s="14">
        <f t="shared" si="25"/>
        <v>598</v>
      </c>
      <c r="L275" s="4" t="str">
        <f>IFERROR(INDEX('LEV R&amp;D'!$D:$D,MATCH(MEDIÇÃO!K275,'LEV R&amp;D'!$A:$A,0))-INDEX('PROJETO PERFURAÇÃO'!$AH:$AH,MATCH(MEDIÇÃO!K275,'PROJETO PERFURAÇÃO'!$B:$B,0)),"")</f>
        <v/>
      </c>
      <c r="M275" s="17">
        <f>IFERROR(INDEX('PROJETO PERFURAÇÃO'!$AN:$AN,MATCH(MEDIÇÃO!K275,'PROJETO PERFURAÇÃO'!$B:$B,0)),"")</f>
        <v>0</v>
      </c>
      <c r="N275" s="3"/>
      <c r="O275" s="3"/>
      <c r="P275" s="3" t="str">
        <f>IFERROR(ROUND(INDEX('PROJETO PERFURAÇÃO'!$AB:$AB,MATCH(MEDIÇÃO!R275,'PROJETO PERFURAÇÃO'!$B:$B,0)),1)&amp;"''","")</f>
        <v>5''</v>
      </c>
      <c r="Q275" s="3" t="str">
        <f>IFERROR(IF(INDEX('PROJETO PERFURAÇÃO'!$P:$P,MATCH(MEDIÇÃO!R275,'PROJETO PERFURAÇÃO'!$B:$B,0))="Production","P",IF(INDEX('PROJETO PERFURAÇÃO'!$P:$P,MATCH(MEDIÇÃO!R275,'PROJETO PERFURAÇÃO'!$B:$B,0))="Buffer","B",IF(INDEX('PROJETO PERFURAÇÃO'!$P:$P,MATCH(MEDIÇÃO!R275,'PROJETO PERFURAÇÃO'!$B:$B,0))="Pre-Splitting","S"))),"")</f>
        <v>P</v>
      </c>
      <c r="R275" s="14">
        <f t="shared" si="26"/>
        <v>621</v>
      </c>
      <c r="S275" s="4" t="str">
        <f>IFERROR(INDEX('LEV R&amp;D'!$D:$D,MATCH(MEDIÇÃO!R275,'LEV R&amp;D'!$A:$A,0))-INDEX('PROJETO PERFURAÇÃO'!$AH:$AH,MATCH(MEDIÇÃO!R275,'PROJETO PERFURAÇÃO'!$B:$B,0)),"")</f>
        <v/>
      </c>
      <c r="T275" s="17">
        <f>IFERROR(INDEX('PROJETO PERFURAÇÃO'!$AN:$AN,MATCH(MEDIÇÃO!R275,'PROJETO PERFURAÇÃO'!$B:$B,0)),"")</f>
        <v>0</v>
      </c>
      <c r="U275" s="3"/>
      <c r="V275" s="3"/>
    </row>
    <row r="276" spans="1:23" ht="30" customHeight="1" x14ac:dyDescent="0.25">
      <c r="B276" s="1"/>
      <c r="C276" s="1"/>
      <c r="D276" s="15"/>
      <c r="E276" s="2"/>
      <c r="F276" s="16"/>
      <c r="G276" s="1"/>
      <c r="H276" s="1"/>
      <c r="I276" s="1"/>
      <c r="J276" s="1"/>
      <c r="K276" s="15"/>
      <c r="L276" s="2"/>
      <c r="M276" s="16"/>
      <c r="N276" s="1"/>
      <c r="O276" s="1"/>
      <c r="P276" s="1"/>
      <c r="Q276" s="1"/>
      <c r="R276" s="15"/>
      <c r="S276" s="2"/>
      <c r="T276" s="16"/>
      <c r="U276" s="1"/>
      <c r="V276" s="1"/>
    </row>
    <row r="277" spans="1:23" ht="30" customHeight="1" x14ac:dyDescent="0.25">
      <c r="C277" s="20"/>
      <c r="D277" s="20"/>
      <c r="E277" s="20"/>
      <c r="F277" s="20"/>
      <c r="G277" s="20"/>
      <c r="H277" s="20"/>
      <c r="I277" s="20"/>
      <c r="J277" s="20"/>
      <c r="K277" s="20"/>
      <c r="M277" s="20"/>
      <c r="N277" s="20"/>
      <c r="O277" s="20"/>
      <c r="P277" s="20"/>
      <c r="Q277" s="20"/>
      <c r="R277" s="20"/>
      <c r="S277" s="20"/>
      <c r="T277" s="20"/>
      <c r="U277" s="20"/>
    </row>
    <row r="278" spans="1:23" ht="30" customHeight="1" x14ac:dyDescent="0.25">
      <c r="C278" s="21" t="s">
        <v>40</v>
      </c>
      <c r="D278" s="21"/>
      <c r="E278" s="21"/>
      <c r="F278" s="21"/>
      <c r="G278" s="21"/>
      <c r="H278" s="21"/>
      <c r="I278" s="21"/>
      <c r="J278" s="21"/>
      <c r="K278" s="21"/>
      <c r="L278" s="9"/>
      <c r="M278" s="21" t="s">
        <v>40</v>
      </c>
      <c r="N278" s="21"/>
      <c r="O278" s="21"/>
      <c r="P278" s="21"/>
      <c r="Q278" s="21"/>
      <c r="R278" s="21"/>
      <c r="S278" s="21"/>
      <c r="T278" s="21"/>
      <c r="U278" s="21"/>
      <c r="V278" s="9"/>
    </row>
    <row r="279" spans="1:23" ht="30" customHeight="1" x14ac:dyDescent="0.25">
      <c r="D279" s="9"/>
      <c r="E279" s="9"/>
      <c r="F279" s="9"/>
      <c r="G279" s="9"/>
      <c r="H279" s="9"/>
      <c r="I279" s="9"/>
      <c r="J279" s="9"/>
      <c r="K279" s="9"/>
      <c r="L279" s="9"/>
      <c r="M279" s="9"/>
      <c r="N279" s="9"/>
      <c r="Q279" s="9"/>
      <c r="R279" s="9"/>
      <c r="S279" s="9"/>
      <c r="T279" s="9"/>
      <c r="U279" s="9"/>
      <c r="V279" s="9"/>
    </row>
    <row r="280" spans="1:23" ht="30" customHeight="1" x14ac:dyDescent="0.25">
      <c r="B280" s="19" t="str">
        <f>'PROJETO PERFURAÇÃO'!$C$2&amp;" - "&amp;'PROJETO PERFURAÇÃO'!$H$2</f>
        <v>LIB065 - PP0651026</v>
      </c>
      <c r="C280" s="19"/>
      <c r="D280" s="19"/>
      <c r="E280" s="19"/>
      <c r="F280" s="19"/>
      <c r="G280" s="19"/>
      <c r="H280" s="19"/>
      <c r="I280" s="11" t="s">
        <v>34</v>
      </c>
      <c r="J280" s="10" t="s">
        <v>37</v>
      </c>
    </row>
    <row r="281" spans="1:23" ht="30" customHeight="1" x14ac:dyDescent="0.25">
      <c r="B281" s="19"/>
      <c r="C281" s="19"/>
      <c r="D281" s="19"/>
      <c r="E281" s="19"/>
      <c r="F281" s="19"/>
      <c r="G281" s="19"/>
      <c r="H281" s="19"/>
      <c r="I281" s="12" t="s">
        <v>35</v>
      </c>
      <c r="J281" s="10" t="s">
        <v>38</v>
      </c>
      <c r="K281" s="9"/>
      <c r="L281" s="9"/>
      <c r="M281" s="9"/>
      <c r="N281" s="9"/>
      <c r="O281" s="9"/>
      <c r="P281" s="9"/>
      <c r="Q281" s="9"/>
      <c r="R281" s="9"/>
      <c r="S281" s="9"/>
      <c r="T281" s="9"/>
      <c r="U281" s="9"/>
      <c r="V281" s="9"/>
    </row>
    <row r="282" spans="1:23" ht="30" customHeight="1" x14ac:dyDescent="0.25">
      <c r="B282" s="19"/>
      <c r="C282" s="19"/>
      <c r="D282" s="19"/>
      <c r="E282" s="19"/>
      <c r="F282" s="19"/>
      <c r="G282" s="19"/>
      <c r="H282" s="19"/>
      <c r="I282" s="13" t="s">
        <v>36</v>
      </c>
      <c r="J282" s="10" t="s">
        <v>39</v>
      </c>
    </row>
    <row r="283" spans="1:23" ht="30" customHeight="1" x14ac:dyDescent="0.25">
      <c r="A283" s="1"/>
      <c r="B283" s="6" t="s">
        <v>33</v>
      </c>
      <c r="C283" s="6" t="s">
        <v>13</v>
      </c>
      <c r="D283" s="7" t="s">
        <v>1</v>
      </c>
      <c r="E283" s="7" t="s">
        <v>29</v>
      </c>
      <c r="F283" s="7" t="s">
        <v>30</v>
      </c>
      <c r="G283" s="7" t="s">
        <v>31</v>
      </c>
      <c r="H283" s="7" t="s">
        <v>32</v>
      </c>
      <c r="I283" s="6" t="s">
        <v>33</v>
      </c>
      <c r="J283" s="6" t="s">
        <v>13</v>
      </c>
      <c r="K283" s="7" t="s">
        <v>1</v>
      </c>
      <c r="L283" s="7" t="s">
        <v>29</v>
      </c>
      <c r="M283" s="7" t="s">
        <v>30</v>
      </c>
      <c r="N283" s="7" t="s">
        <v>31</v>
      </c>
      <c r="O283" s="7" t="s">
        <v>32</v>
      </c>
      <c r="P283" s="6" t="s">
        <v>33</v>
      </c>
      <c r="Q283" s="6" t="s">
        <v>13</v>
      </c>
      <c r="R283" s="7" t="s">
        <v>1</v>
      </c>
      <c r="S283" s="7" t="s">
        <v>29</v>
      </c>
      <c r="T283" s="7" t="s">
        <v>30</v>
      </c>
      <c r="U283" s="7" t="s">
        <v>31</v>
      </c>
      <c r="V283" s="7" t="s">
        <v>32</v>
      </c>
      <c r="W283" s="1"/>
    </row>
    <row r="284" spans="1:23" ht="45" customHeight="1" x14ac:dyDescent="0.25">
      <c r="B284" s="3" t="str">
        <f>IFERROR(ROUND(INDEX('PROJETO PERFURAÇÃO'!$AB:$AB,MATCH(MEDIÇÃO!D284,'PROJETO PERFURAÇÃO'!$B:$B,0)),1)&amp;"''","")</f>
        <v>5''</v>
      </c>
      <c r="C284" s="3" t="str">
        <f>IFERROR(IF(INDEX('PROJETO PERFURAÇÃO'!$P:$P,MATCH(MEDIÇÃO!D284,'PROJETO PERFURAÇÃO'!$B:$B,0))="Production","P",IF(INDEX('PROJETO PERFURAÇÃO'!$P:$P,MATCH(MEDIÇÃO!D284,'PROJETO PERFURAÇÃO'!$B:$B,0))="Buffer","B",IF(INDEX('PROJETO PERFURAÇÃO'!$P:$P,MATCH(MEDIÇÃO!D284,'PROJETO PERFURAÇÃO'!$B:$B,0))="Pre-Splitting","S"))),"")</f>
        <v>P</v>
      </c>
      <c r="D284" s="14">
        <f>R275+1</f>
        <v>622</v>
      </c>
      <c r="E284" s="4" t="str">
        <f>IFERROR(INDEX('LEV R&amp;D'!$D:$D,MATCH(MEDIÇÃO!D284,'LEV R&amp;D'!$A:$A,0))-INDEX('PROJETO PERFURAÇÃO'!$AH:$AH,MATCH(MEDIÇÃO!D284,'PROJETO PERFURAÇÃO'!$B:$B,0)),"")</f>
        <v/>
      </c>
      <c r="F284" s="17">
        <f>IFERROR(INDEX('PROJETO PERFURAÇÃO'!$AN:$AN,MATCH(MEDIÇÃO!D284,'PROJETO PERFURAÇÃO'!$B:$B,0)),"")</f>
        <v>0</v>
      </c>
      <c r="G284" s="3"/>
      <c r="H284" s="3"/>
      <c r="I284" s="3" t="str">
        <f>IFERROR(ROUND(INDEX('PROJETO PERFURAÇÃO'!$AB:$AB,MATCH(MEDIÇÃO!K284,'PROJETO PERFURAÇÃO'!$B:$B,0)),1)&amp;"''","")</f>
        <v>5''</v>
      </c>
      <c r="J284" s="3" t="str">
        <f>IFERROR(IF(INDEX('PROJETO PERFURAÇÃO'!$P:$P,MATCH(MEDIÇÃO!K284,'PROJETO PERFURAÇÃO'!$B:$B,0))="Production","P",IF(INDEX('PROJETO PERFURAÇÃO'!$P:$P,MATCH(MEDIÇÃO!K284,'PROJETO PERFURAÇÃO'!$B:$B,0))="Buffer","B",IF(INDEX('PROJETO PERFURAÇÃO'!$P:$P,MATCH(MEDIÇÃO!K284,'PROJETO PERFURAÇÃO'!$B:$B,0))="Pre-Splitting","S"))),"")</f>
        <v>P</v>
      </c>
      <c r="K284" s="14">
        <f>D306+1</f>
        <v>645</v>
      </c>
      <c r="L284" s="4" t="str">
        <f>IFERROR(INDEX('LEV R&amp;D'!$D:$D,MATCH(MEDIÇÃO!K284,'LEV R&amp;D'!$A:$A,0))-INDEX('PROJETO PERFURAÇÃO'!$AH:$AH,MATCH(MEDIÇÃO!K284,'PROJETO PERFURAÇÃO'!$B:$B,0)),"")</f>
        <v/>
      </c>
      <c r="M284" s="17">
        <f>IFERROR(INDEX('PROJETO PERFURAÇÃO'!$AN:$AN,MATCH(MEDIÇÃO!K284,'PROJETO PERFURAÇÃO'!$B:$B,0)),"")</f>
        <v>0</v>
      </c>
      <c r="N284" s="3"/>
      <c r="O284" s="3"/>
      <c r="P284" s="3" t="str">
        <f>IFERROR(ROUND(INDEX('PROJETO PERFURAÇÃO'!$AB:$AB,MATCH(MEDIÇÃO!R284,'PROJETO PERFURAÇÃO'!$B:$B,0)),1)&amp;"''","")</f>
        <v>5''</v>
      </c>
      <c r="Q284" s="3" t="str">
        <f>IFERROR(IF(INDEX('PROJETO PERFURAÇÃO'!$P:$P,MATCH(MEDIÇÃO!R284,'PROJETO PERFURAÇÃO'!$B:$B,0))="Production","P",IF(INDEX('PROJETO PERFURAÇÃO'!$P:$P,MATCH(MEDIÇÃO!R284,'PROJETO PERFURAÇÃO'!$B:$B,0))="Buffer","B",IF(INDEX('PROJETO PERFURAÇÃO'!$P:$P,MATCH(MEDIÇÃO!R284,'PROJETO PERFURAÇÃO'!$B:$B,0))="Pre-Splitting","S"))),"")</f>
        <v>P</v>
      </c>
      <c r="R284" s="14">
        <f>K306+1</f>
        <v>668</v>
      </c>
      <c r="S284" s="4" t="str">
        <f>IFERROR(INDEX('LEV R&amp;D'!$D:$D,MATCH(MEDIÇÃO!R284,'LEV R&amp;D'!$A:$A,0))-INDEX('PROJETO PERFURAÇÃO'!$AH:$AH,MATCH(MEDIÇÃO!R284,'PROJETO PERFURAÇÃO'!$B:$B,0)),"")</f>
        <v/>
      </c>
      <c r="T284" s="17">
        <f>IFERROR(INDEX('PROJETO PERFURAÇÃO'!$AN:$AN,MATCH(MEDIÇÃO!R284,'PROJETO PERFURAÇÃO'!$B:$B,0)),"")</f>
        <v>0</v>
      </c>
      <c r="U284" s="3"/>
      <c r="V284" s="3"/>
    </row>
    <row r="285" spans="1:23" ht="45" customHeight="1" x14ac:dyDescent="0.25">
      <c r="B285" s="3" t="str">
        <f>IFERROR(ROUND(INDEX('PROJETO PERFURAÇÃO'!$AB:$AB,MATCH(MEDIÇÃO!D285,'PROJETO PERFURAÇÃO'!$B:$B,0)),1)&amp;"''","")</f>
        <v>5''</v>
      </c>
      <c r="C285" s="3" t="str">
        <f>IFERROR(IF(INDEX('PROJETO PERFURAÇÃO'!$P:$P,MATCH(MEDIÇÃO!D285,'PROJETO PERFURAÇÃO'!$B:$B,0))="Production","P",IF(INDEX('PROJETO PERFURAÇÃO'!$P:$P,MATCH(MEDIÇÃO!D285,'PROJETO PERFURAÇÃO'!$B:$B,0))="Buffer","B",IF(INDEX('PROJETO PERFURAÇÃO'!$P:$P,MATCH(MEDIÇÃO!D285,'PROJETO PERFURAÇÃO'!$B:$B,0))="Pre-Splitting","S"))),"")</f>
        <v>P</v>
      </c>
      <c r="D285" s="14">
        <f>D284+1</f>
        <v>623</v>
      </c>
      <c r="E285" s="4" t="str">
        <f>IFERROR(INDEX('LEV R&amp;D'!$D:$D,MATCH(MEDIÇÃO!D285,'LEV R&amp;D'!$A:$A,0))-INDEX('PROJETO PERFURAÇÃO'!$AH:$AH,MATCH(MEDIÇÃO!D285,'PROJETO PERFURAÇÃO'!$B:$B,0)),"")</f>
        <v/>
      </c>
      <c r="F285" s="17">
        <f>IFERROR(INDEX('PROJETO PERFURAÇÃO'!$AN:$AN,MATCH(MEDIÇÃO!D285,'PROJETO PERFURAÇÃO'!$B:$B,0)),"")</f>
        <v>0</v>
      </c>
      <c r="G285" s="3"/>
      <c r="H285" s="3"/>
      <c r="I285" s="3" t="str">
        <f>IFERROR(ROUND(INDEX('PROJETO PERFURAÇÃO'!$AB:$AB,MATCH(MEDIÇÃO!K285,'PROJETO PERFURAÇÃO'!$B:$B,0)),1)&amp;"''","")</f>
        <v>5''</v>
      </c>
      <c r="J285" s="3" t="str">
        <f>IFERROR(IF(INDEX('PROJETO PERFURAÇÃO'!$P:$P,MATCH(MEDIÇÃO!K285,'PROJETO PERFURAÇÃO'!$B:$B,0))="Production","P",IF(INDEX('PROJETO PERFURAÇÃO'!$P:$P,MATCH(MEDIÇÃO!K285,'PROJETO PERFURAÇÃO'!$B:$B,0))="Buffer","B",IF(INDEX('PROJETO PERFURAÇÃO'!$P:$P,MATCH(MEDIÇÃO!K285,'PROJETO PERFURAÇÃO'!$B:$B,0))="Pre-Splitting","S"))),"")</f>
        <v>P</v>
      </c>
      <c r="K285" s="14">
        <f>K284+1</f>
        <v>646</v>
      </c>
      <c r="L285" s="4" t="str">
        <f>IFERROR(INDEX('LEV R&amp;D'!$D:$D,MATCH(MEDIÇÃO!K285,'LEV R&amp;D'!$A:$A,0))-INDEX('PROJETO PERFURAÇÃO'!$AH:$AH,MATCH(MEDIÇÃO!K285,'PROJETO PERFURAÇÃO'!$B:$B,0)),"")</f>
        <v/>
      </c>
      <c r="M285" s="17">
        <f>IFERROR(INDEX('PROJETO PERFURAÇÃO'!$AN:$AN,MATCH(MEDIÇÃO!K285,'PROJETO PERFURAÇÃO'!$B:$B,0)),"")</f>
        <v>0</v>
      </c>
      <c r="N285" s="3"/>
      <c r="O285" s="3"/>
      <c r="P285" s="3" t="str">
        <f>IFERROR(ROUND(INDEX('PROJETO PERFURAÇÃO'!$AB:$AB,MATCH(MEDIÇÃO!R285,'PROJETO PERFURAÇÃO'!$B:$B,0)),1)&amp;"''","")</f>
        <v>5''</v>
      </c>
      <c r="Q285" s="3" t="str">
        <f>IFERROR(IF(INDEX('PROJETO PERFURAÇÃO'!$P:$P,MATCH(MEDIÇÃO!R285,'PROJETO PERFURAÇÃO'!$B:$B,0))="Production","P",IF(INDEX('PROJETO PERFURAÇÃO'!$P:$P,MATCH(MEDIÇÃO!R285,'PROJETO PERFURAÇÃO'!$B:$B,0))="Buffer","B",IF(INDEX('PROJETO PERFURAÇÃO'!$P:$P,MATCH(MEDIÇÃO!R285,'PROJETO PERFURAÇÃO'!$B:$B,0))="Pre-Splitting","S"))),"")</f>
        <v>P</v>
      </c>
      <c r="R285" s="14">
        <f>R284+1</f>
        <v>669</v>
      </c>
      <c r="S285" s="4" t="str">
        <f>IFERROR(INDEX('LEV R&amp;D'!$D:$D,MATCH(MEDIÇÃO!R285,'LEV R&amp;D'!$A:$A,0))-INDEX('PROJETO PERFURAÇÃO'!$AH:$AH,MATCH(MEDIÇÃO!R285,'PROJETO PERFURAÇÃO'!$B:$B,0)),"")</f>
        <v/>
      </c>
      <c r="T285" s="17">
        <f>IFERROR(INDEX('PROJETO PERFURAÇÃO'!$AN:$AN,MATCH(MEDIÇÃO!R285,'PROJETO PERFURAÇÃO'!$B:$B,0)),"")</f>
        <v>0</v>
      </c>
      <c r="U285" s="3"/>
      <c r="V285" s="3"/>
    </row>
    <row r="286" spans="1:23" ht="45" customHeight="1" x14ac:dyDescent="0.25">
      <c r="B286" s="3" t="str">
        <f>IFERROR(ROUND(INDEX('PROJETO PERFURAÇÃO'!$AB:$AB,MATCH(MEDIÇÃO!D286,'PROJETO PERFURAÇÃO'!$B:$B,0)),1)&amp;"''","")</f>
        <v>5''</v>
      </c>
      <c r="C286" s="3" t="str">
        <f>IFERROR(IF(INDEX('PROJETO PERFURAÇÃO'!$P:$P,MATCH(MEDIÇÃO!D286,'PROJETO PERFURAÇÃO'!$B:$B,0))="Production","P",IF(INDEX('PROJETO PERFURAÇÃO'!$P:$P,MATCH(MEDIÇÃO!D286,'PROJETO PERFURAÇÃO'!$B:$B,0))="Buffer","B",IF(INDEX('PROJETO PERFURAÇÃO'!$P:$P,MATCH(MEDIÇÃO!D286,'PROJETO PERFURAÇÃO'!$B:$B,0))="Pre-Splitting","S"))),"")</f>
        <v>P</v>
      </c>
      <c r="D286" s="14">
        <f t="shared" ref="D286:D306" si="27">D285+1</f>
        <v>624</v>
      </c>
      <c r="E286" s="4" t="str">
        <f>IFERROR(INDEX('LEV R&amp;D'!$D:$D,MATCH(MEDIÇÃO!D286,'LEV R&amp;D'!$A:$A,0))-INDEX('PROJETO PERFURAÇÃO'!$AH:$AH,MATCH(MEDIÇÃO!D286,'PROJETO PERFURAÇÃO'!$B:$B,0)),"")</f>
        <v/>
      </c>
      <c r="F286" s="17">
        <f>IFERROR(INDEX('PROJETO PERFURAÇÃO'!$AN:$AN,MATCH(MEDIÇÃO!D286,'PROJETO PERFURAÇÃO'!$B:$B,0)),"")</f>
        <v>0</v>
      </c>
      <c r="G286" s="3"/>
      <c r="H286" s="3"/>
      <c r="I286" s="3" t="str">
        <f>IFERROR(ROUND(INDEX('PROJETO PERFURAÇÃO'!$AB:$AB,MATCH(MEDIÇÃO!K286,'PROJETO PERFURAÇÃO'!$B:$B,0)),1)&amp;"''","")</f>
        <v>5''</v>
      </c>
      <c r="J286" s="3" t="str">
        <f>IFERROR(IF(INDEX('PROJETO PERFURAÇÃO'!$P:$P,MATCH(MEDIÇÃO!K286,'PROJETO PERFURAÇÃO'!$B:$B,0))="Production","P",IF(INDEX('PROJETO PERFURAÇÃO'!$P:$P,MATCH(MEDIÇÃO!K286,'PROJETO PERFURAÇÃO'!$B:$B,0))="Buffer","B",IF(INDEX('PROJETO PERFURAÇÃO'!$P:$P,MATCH(MEDIÇÃO!K286,'PROJETO PERFURAÇÃO'!$B:$B,0))="Pre-Splitting","S"))),"")</f>
        <v>P</v>
      </c>
      <c r="K286" s="14">
        <f t="shared" ref="K286:K306" si="28">K285+1</f>
        <v>647</v>
      </c>
      <c r="L286" s="4" t="str">
        <f>IFERROR(INDEX('LEV R&amp;D'!$D:$D,MATCH(MEDIÇÃO!K286,'LEV R&amp;D'!$A:$A,0))-INDEX('PROJETO PERFURAÇÃO'!$AH:$AH,MATCH(MEDIÇÃO!K286,'PROJETO PERFURAÇÃO'!$B:$B,0)),"")</f>
        <v/>
      </c>
      <c r="M286" s="17">
        <f>IFERROR(INDEX('PROJETO PERFURAÇÃO'!$AN:$AN,MATCH(MEDIÇÃO!K286,'PROJETO PERFURAÇÃO'!$B:$B,0)),"")</f>
        <v>0</v>
      </c>
      <c r="N286" s="3"/>
      <c r="O286" s="3"/>
      <c r="P286" s="3" t="str">
        <f>IFERROR(ROUND(INDEX('PROJETO PERFURAÇÃO'!$AB:$AB,MATCH(MEDIÇÃO!R286,'PROJETO PERFURAÇÃO'!$B:$B,0)),1)&amp;"''","")</f>
        <v>5''</v>
      </c>
      <c r="Q286" s="3" t="str">
        <f>IFERROR(IF(INDEX('PROJETO PERFURAÇÃO'!$P:$P,MATCH(MEDIÇÃO!R286,'PROJETO PERFURAÇÃO'!$B:$B,0))="Production","P",IF(INDEX('PROJETO PERFURAÇÃO'!$P:$P,MATCH(MEDIÇÃO!R286,'PROJETO PERFURAÇÃO'!$B:$B,0))="Buffer","B",IF(INDEX('PROJETO PERFURAÇÃO'!$P:$P,MATCH(MEDIÇÃO!R286,'PROJETO PERFURAÇÃO'!$B:$B,0))="Pre-Splitting","S"))),"")</f>
        <v>P</v>
      </c>
      <c r="R286" s="14">
        <f t="shared" ref="R286:R306" si="29">R285+1</f>
        <v>670</v>
      </c>
      <c r="S286" s="4" t="str">
        <f>IFERROR(INDEX('LEV R&amp;D'!$D:$D,MATCH(MEDIÇÃO!R286,'LEV R&amp;D'!$A:$A,0))-INDEX('PROJETO PERFURAÇÃO'!$AH:$AH,MATCH(MEDIÇÃO!R286,'PROJETO PERFURAÇÃO'!$B:$B,0)),"")</f>
        <v/>
      </c>
      <c r="T286" s="17">
        <f>IFERROR(INDEX('PROJETO PERFURAÇÃO'!$AN:$AN,MATCH(MEDIÇÃO!R286,'PROJETO PERFURAÇÃO'!$B:$B,0)),"")</f>
        <v>0</v>
      </c>
      <c r="U286" s="3"/>
      <c r="V286" s="3"/>
    </row>
    <row r="287" spans="1:23" ht="45" customHeight="1" x14ac:dyDescent="0.25">
      <c r="B287" s="3" t="str">
        <f>IFERROR(ROUND(INDEX('PROJETO PERFURAÇÃO'!$AB:$AB,MATCH(MEDIÇÃO!D287,'PROJETO PERFURAÇÃO'!$B:$B,0)),1)&amp;"''","")</f>
        <v>5''</v>
      </c>
      <c r="C287" s="3" t="str">
        <f>IFERROR(IF(INDEX('PROJETO PERFURAÇÃO'!$P:$P,MATCH(MEDIÇÃO!D287,'PROJETO PERFURAÇÃO'!$B:$B,0))="Production","P",IF(INDEX('PROJETO PERFURAÇÃO'!$P:$P,MATCH(MEDIÇÃO!D287,'PROJETO PERFURAÇÃO'!$B:$B,0))="Buffer","B",IF(INDEX('PROJETO PERFURAÇÃO'!$P:$P,MATCH(MEDIÇÃO!D287,'PROJETO PERFURAÇÃO'!$B:$B,0))="Pre-Splitting","S"))),"")</f>
        <v>P</v>
      </c>
      <c r="D287" s="14">
        <f t="shared" si="27"/>
        <v>625</v>
      </c>
      <c r="E287" s="4" t="str">
        <f>IFERROR(INDEX('LEV R&amp;D'!$D:$D,MATCH(MEDIÇÃO!D287,'LEV R&amp;D'!$A:$A,0))-INDEX('PROJETO PERFURAÇÃO'!$AH:$AH,MATCH(MEDIÇÃO!D287,'PROJETO PERFURAÇÃO'!$B:$B,0)),"")</f>
        <v/>
      </c>
      <c r="F287" s="17">
        <f>IFERROR(INDEX('PROJETO PERFURAÇÃO'!$AN:$AN,MATCH(MEDIÇÃO!D287,'PROJETO PERFURAÇÃO'!$B:$B,0)),"")</f>
        <v>0</v>
      </c>
      <c r="G287" s="3"/>
      <c r="H287" s="3"/>
      <c r="I287" s="3" t="str">
        <f>IFERROR(ROUND(INDEX('PROJETO PERFURAÇÃO'!$AB:$AB,MATCH(MEDIÇÃO!K287,'PROJETO PERFURAÇÃO'!$B:$B,0)),1)&amp;"''","")</f>
        <v>5''</v>
      </c>
      <c r="J287" s="3" t="str">
        <f>IFERROR(IF(INDEX('PROJETO PERFURAÇÃO'!$P:$P,MATCH(MEDIÇÃO!K287,'PROJETO PERFURAÇÃO'!$B:$B,0))="Production","P",IF(INDEX('PROJETO PERFURAÇÃO'!$P:$P,MATCH(MEDIÇÃO!K287,'PROJETO PERFURAÇÃO'!$B:$B,0))="Buffer","B",IF(INDEX('PROJETO PERFURAÇÃO'!$P:$P,MATCH(MEDIÇÃO!K287,'PROJETO PERFURAÇÃO'!$B:$B,0))="Pre-Splitting","S"))),"")</f>
        <v>P</v>
      </c>
      <c r="K287" s="14">
        <f t="shared" si="28"/>
        <v>648</v>
      </c>
      <c r="L287" s="4" t="str">
        <f>IFERROR(INDEX('LEV R&amp;D'!$D:$D,MATCH(MEDIÇÃO!K287,'LEV R&amp;D'!$A:$A,0))-INDEX('PROJETO PERFURAÇÃO'!$AH:$AH,MATCH(MEDIÇÃO!K287,'PROJETO PERFURAÇÃO'!$B:$B,0)),"")</f>
        <v/>
      </c>
      <c r="M287" s="17">
        <f>IFERROR(INDEX('PROJETO PERFURAÇÃO'!$AN:$AN,MATCH(MEDIÇÃO!K287,'PROJETO PERFURAÇÃO'!$B:$B,0)),"")</f>
        <v>0</v>
      </c>
      <c r="N287" s="3"/>
      <c r="O287" s="3"/>
      <c r="P287" s="3" t="str">
        <f>IFERROR(ROUND(INDEX('PROJETO PERFURAÇÃO'!$AB:$AB,MATCH(MEDIÇÃO!R287,'PROJETO PERFURAÇÃO'!$B:$B,0)),1)&amp;"''","")</f>
        <v>5''</v>
      </c>
      <c r="Q287" s="3" t="str">
        <f>IFERROR(IF(INDEX('PROJETO PERFURAÇÃO'!$P:$P,MATCH(MEDIÇÃO!R287,'PROJETO PERFURAÇÃO'!$B:$B,0))="Production","P",IF(INDEX('PROJETO PERFURAÇÃO'!$P:$P,MATCH(MEDIÇÃO!R287,'PROJETO PERFURAÇÃO'!$B:$B,0))="Buffer","B",IF(INDEX('PROJETO PERFURAÇÃO'!$P:$P,MATCH(MEDIÇÃO!R287,'PROJETO PERFURAÇÃO'!$B:$B,0))="Pre-Splitting","S"))),"")</f>
        <v>P</v>
      </c>
      <c r="R287" s="14">
        <f t="shared" si="29"/>
        <v>671</v>
      </c>
      <c r="S287" s="4" t="str">
        <f>IFERROR(INDEX('LEV R&amp;D'!$D:$D,MATCH(MEDIÇÃO!R287,'LEV R&amp;D'!$A:$A,0))-INDEX('PROJETO PERFURAÇÃO'!$AH:$AH,MATCH(MEDIÇÃO!R287,'PROJETO PERFURAÇÃO'!$B:$B,0)),"")</f>
        <v/>
      </c>
      <c r="T287" s="17">
        <f>IFERROR(INDEX('PROJETO PERFURAÇÃO'!$AN:$AN,MATCH(MEDIÇÃO!R287,'PROJETO PERFURAÇÃO'!$B:$B,0)),"")</f>
        <v>0</v>
      </c>
      <c r="U287" s="3"/>
      <c r="V287" s="3"/>
    </row>
    <row r="288" spans="1:23" ht="45" customHeight="1" x14ac:dyDescent="0.25">
      <c r="B288" s="3" t="str">
        <f>IFERROR(ROUND(INDEX('PROJETO PERFURAÇÃO'!$AB:$AB,MATCH(MEDIÇÃO!D288,'PROJETO PERFURAÇÃO'!$B:$B,0)),1)&amp;"''","")</f>
        <v>5''</v>
      </c>
      <c r="C288" s="3" t="str">
        <f>IFERROR(IF(INDEX('PROJETO PERFURAÇÃO'!$P:$P,MATCH(MEDIÇÃO!D288,'PROJETO PERFURAÇÃO'!$B:$B,0))="Production","P",IF(INDEX('PROJETO PERFURAÇÃO'!$P:$P,MATCH(MEDIÇÃO!D288,'PROJETO PERFURAÇÃO'!$B:$B,0))="Buffer","B",IF(INDEX('PROJETO PERFURAÇÃO'!$P:$P,MATCH(MEDIÇÃO!D288,'PROJETO PERFURAÇÃO'!$B:$B,0))="Pre-Splitting","S"))),"")</f>
        <v>P</v>
      </c>
      <c r="D288" s="14">
        <f t="shared" si="27"/>
        <v>626</v>
      </c>
      <c r="E288" s="4" t="str">
        <f>IFERROR(INDEX('LEV R&amp;D'!$D:$D,MATCH(MEDIÇÃO!D288,'LEV R&amp;D'!$A:$A,0))-INDEX('PROJETO PERFURAÇÃO'!$AH:$AH,MATCH(MEDIÇÃO!D288,'PROJETO PERFURAÇÃO'!$B:$B,0)),"")</f>
        <v/>
      </c>
      <c r="F288" s="17">
        <f>IFERROR(INDEX('PROJETO PERFURAÇÃO'!$AN:$AN,MATCH(MEDIÇÃO!D288,'PROJETO PERFURAÇÃO'!$B:$B,0)),"")</f>
        <v>0</v>
      </c>
      <c r="G288" s="3"/>
      <c r="H288" s="3"/>
      <c r="I288" s="3" t="str">
        <f>IFERROR(ROUND(INDEX('PROJETO PERFURAÇÃO'!$AB:$AB,MATCH(MEDIÇÃO!K288,'PROJETO PERFURAÇÃO'!$B:$B,0)),1)&amp;"''","")</f>
        <v>5''</v>
      </c>
      <c r="J288" s="3" t="str">
        <f>IFERROR(IF(INDEX('PROJETO PERFURAÇÃO'!$P:$P,MATCH(MEDIÇÃO!K288,'PROJETO PERFURAÇÃO'!$B:$B,0))="Production","P",IF(INDEX('PROJETO PERFURAÇÃO'!$P:$P,MATCH(MEDIÇÃO!K288,'PROJETO PERFURAÇÃO'!$B:$B,0))="Buffer","B",IF(INDEX('PROJETO PERFURAÇÃO'!$P:$P,MATCH(MEDIÇÃO!K288,'PROJETO PERFURAÇÃO'!$B:$B,0))="Pre-Splitting","S"))),"")</f>
        <v>P</v>
      </c>
      <c r="K288" s="14">
        <f t="shared" si="28"/>
        <v>649</v>
      </c>
      <c r="L288" s="4" t="str">
        <f>IFERROR(INDEX('LEV R&amp;D'!$D:$D,MATCH(MEDIÇÃO!K288,'LEV R&amp;D'!$A:$A,0))-INDEX('PROJETO PERFURAÇÃO'!$AH:$AH,MATCH(MEDIÇÃO!K288,'PROJETO PERFURAÇÃO'!$B:$B,0)),"")</f>
        <v/>
      </c>
      <c r="M288" s="17">
        <f>IFERROR(INDEX('PROJETO PERFURAÇÃO'!$AN:$AN,MATCH(MEDIÇÃO!K288,'PROJETO PERFURAÇÃO'!$B:$B,0)),"")</f>
        <v>0</v>
      </c>
      <c r="N288" s="3"/>
      <c r="O288" s="3"/>
      <c r="P288" s="3" t="str">
        <f>IFERROR(ROUND(INDEX('PROJETO PERFURAÇÃO'!$AB:$AB,MATCH(MEDIÇÃO!R288,'PROJETO PERFURAÇÃO'!$B:$B,0)),1)&amp;"''","")</f>
        <v>5''</v>
      </c>
      <c r="Q288" s="3" t="str">
        <f>IFERROR(IF(INDEX('PROJETO PERFURAÇÃO'!$P:$P,MATCH(MEDIÇÃO!R288,'PROJETO PERFURAÇÃO'!$B:$B,0))="Production","P",IF(INDEX('PROJETO PERFURAÇÃO'!$P:$P,MATCH(MEDIÇÃO!R288,'PROJETO PERFURAÇÃO'!$B:$B,0))="Buffer","B",IF(INDEX('PROJETO PERFURAÇÃO'!$P:$P,MATCH(MEDIÇÃO!R288,'PROJETO PERFURAÇÃO'!$B:$B,0))="Pre-Splitting","S"))),"")</f>
        <v>P</v>
      </c>
      <c r="R288" s="14">
        <f t="shared" si="29"/>
        <v>672</v>
      </c>
      <c r="S288" s="4" t="str">
        <f>IFERROR(INDEX('LEV R&amp;D'!$D:$D,MATCH(MEDIÇÃO!R288,'LEV R&amp;D'!$A:$A,0))-INDEX('PROJETO PERFURAÇÃO'!$AH:$AH,MATCH(MEDIÇÃO!R288,'PROJETO PERFURAÇÃO'!$B:$B,0)),"")</f>
        <v/>
      </c>
      <c r="T288" s="17">
        <f>IFERROR(INDEX('PROJETO PERFURAÇÃO'!$AN:$AN,MATCH(MEDIÇÃO!R288,'PROJETO PERFURAÇÃO'!$B:$B,0)),"")</f>
        <v>0</v>
      </c>
      <c r="U288" s="3"/>
      <c r="V288" s="3"/>
    </row>
    <row r="289" spans="2:22" ht="45" customHeight="1" x14ac:dyDescent="0.25">
      <c r="B289" s="3" t="str">
        <f>IFERROR(ROUND(INDEX('PROJETO PERFURAÇÃO'!$AB:$AB,MATCH(MEDIÇÃO!D289,'PROJETO PERFURAÇÃO'!$B:$B,0)),1)&amp;"''","")</f>
        <v>5''</v>
      </c>
      <c r="C289" s="3" t="str">
        <f>IFERROR(IF(INDEX('PROJETO PERFURAÇÃO'!$P:$P,MATCH(MEDIÇÃO!D289,'PROJETO PERFURAÇÃO'!$B:$B,0))="Production","P",IF(INDEX('PROJETO PERFURAÇÃO'!$P:$P,MATCH(MEDIÇÃO!D289,'PROJETO PERFURAÇÃO'!$B:$B,0))="Buffer","B",IF(INDEX('PROJETO PERFURAÇÃO'!$P:$P,MATCH(MEDIÇÃO!D289,'PROJETO PERFURAÇÃO'!$B:$B,0))="Pre-Splitting","S"))),"")</f>
        <v>P</v>
      </c>
      <c r="D289" s="14">
        <f t="shared" si="27"/>
        <v>627</v>
      </c>
      <c r="E289" s="4" t="str">
        <f>IFERROR(INDEX('LEV R&amp;D'!$D:$D,MATCH(MEDIÇÃO!D289,'LEV R&amp;D'!$A:$A,0))-INDEX('PROJETO PERFURAÇÃO'!$AH:$AH,MATCH(MEDIÇÃO!D289,'PROJETO PERFURAÇÃO'!$B:$B,0)),"")</f>
        <v/>
      </c>
      <c r="F289" s="17">
        <f>IFERROR(INDEX('PROJETO PERFURAÇÃO'!$AN:$AN,MATCH(MEDIÇÃO!D289,'PROJETO PERFURAÇÃO'!$B:$B,0)),"")</f>
        <v>0</v>
      </c>
      <c r="G289" s="3"/>
      <c r="H289" s="3"/>
      <c r="I289" s="3" t="str">
        <f>IFERROR(ROUND(INDEX('PROJETO PERFURAÇÃO'!$AB:$AB,MATCH(MEDIÇÃO!K289,'PROJETO PERFURAÇÃO'!$B:$B,0)),1)&amp;"''","")</f>
        <v>5''</v>
      </c>
      <c r="J289" s="3" t="str">
        <f>IFERROR(IF(INDEX('PROJETO PERFURAÇÃO'!$P:$P,MATCH(MEDIÇÃO!K289,'PROJETO PERFURAÇÃO'!$B:$B,0))="Production","P",IF(INDEX('PROJETO PERFURAÇÃO'!$P:$P,MATCH(MEDIÇÃO!K289,'PROJETO PERFURAÇÃO'!$B:$B,0))="Buffer","B",IF(INDEX('PROJETO PERFURAÇÃO'!$P:$P,MATCH(MEDIÇÃO!K289,'PROJETO PERFURAÇÃO'!$B:$B,0))="Pre-Splitting","S"))),"")</f>
        <v>P</v>
      </c>
      <c r="K289" s="14">
        <f t="shared" si="28"/>
        <v>650</v>
      </c>
      <c r="L289" s="4" t="str">
        <f>IFERROR(INDEX('LEV R&amp;D'!$D:$D,MATCH(MEDIÇÃO!K289,'LEV R&amp;D'!$A:$A,0))-INDEX('PROJETO PERFURAÇÃO'!$AH:$AH,MATCH(MEDIÇÃO!K289,'PROJETO PERFURAÇÃO'!$B:$B,0)),"")</f>
        <v/>
      </c>
      <c r="M289" s="17">
        <f>IFERROR(INDEX('PROJETO PERFURAÇÃO'!$AN:$AN,MATCH(MEDIÇÃO!K289,'PROJETO PERFURAÇÃO'!$B:$B,0)),"")</f>
        <v>0</v>
      </c>
      <c r="N289" s="3"/>
      <c r="O289" s="3"/>
      <c r="P289" s="3" t="str">
        <f>IFERROR(ROUND(INDEX('PROJETO PERFURAÇÃO'!$AB:$AB,MATCH(MEDIÇÃO!R289,'PROJETO PERFURAÇÃO'!$B:$B,0)),1)&amp;"''","")</f>
        <v>5''</v>
      </c>
      <c r="Q289" s="3" t="str">
        <f>IFERROR(IF(INDEX('PROJETO PERFURAÇÃO'!$P:$P,MATCH(MEDIÇÃO!R289,'PROJETO PERFURAÇÃO'!$B:$B,0))="Production","P",IF(INDEX('PROJETO PERFURAÇÃO'!$P:$P,MATCH(MEDIÇÃO!R289,'PROJETO PERFURAÇÃO'!$B:$B,0))="Buffer","B",IF(INDEX('PROJETO PERFURAÇÃO'!$P:$P,MATCH(MEDIÇÃO!R289,'PROJETO PERFURAÇÃO'!$B:$B,0))="Pre-Splitting","S"))),"")</f>
        <v>P</v>
      </c>
      <c r="R289" s="14">
        <f t="shared" si="29"/>
        <v>673</v>
      </c>
      <c r="S289" s="4" t="str">
        <f>IFERROR(INDEX('LEV R&amp;D'!$D:$D,MATCH(MEDIÇÃO!R289,'LEV R&amp;D'!$A:$A,0))-INDEX('PROJETO PERFURAÇÃO'!$AH:$AH,MATCH(MEDIÇÃO!R289,'PROJETO PERFURAÇÃO'!$B:$B,0)),"")</f>
        <v/>
      </c>
      <c r="T289" s="17">
        <f>IFERROR(INDEX('PROJETO PERFURAÇÃO'!$AN:$AN,MATCH(MEDIÇÃO!R289,'PROJETO PERFURAÇÃO'!$B:$B,0)),"")</f>
        <v>0</v>
      </c>
      <c r="U289" s="3"/>
      <c r="V289" s="3"/>
    </row>
    <row r="290" spans="2:22" ht="45" customHeight="1" x14ac:dyDescent="0.25">
      <c r="B290" s="3" t="str">
        <f>IFERROR(ROUND(INDEX('PROJETO PERFURAÇÃO'!$AB:$AB,MATCH(MEDIÇÃO!D290,'PROJETO PERFURAÇÃO'!$B:$B,0)),1)&amp;"''","")</f>
        <v>5''</v>
      </c>
      <c r="C290" s="3" t="str">
        <f>IFERROR(IF(INDEX('PROJETO PERFURAÇÃO'!$P:$P,MATCH(MEDIÇÃO!D290,'PROJETO PERFURAÇÃO'!$B:$B,0))="Production","P",IF(INDEX('PROJETO PERFURAÇÃO'!$P:$P,MATCH(MEDIÇÃO!D290,'PROJETO PERFURAÇÃO'!$B:$B,0))="Buffer","B",IF(INDEX('PROJETO PERFURAÇÃO'!$P:$P,MATCH(MEDIÇÃO!D290,'PROJETO PERFURAÇÃO'!$B:$B,0))="Pre-Splitting","S"))),"")</f>
        <v>P</v>
      </c>
      <c r="D290" s="14">
        <f t="shared" si="27"/>
        <v>628</v>
      </c>
      <c r="E290" s="4" t="str">
        <f>IFERROR(INDEX('LEV R&amp;D'!$D:$D,MATCH(MEDIÇÃO!D290,'LEV R&amp;D'!$A:$A,0))-INDEX('PROJETO PERFURAÇÃO'!$AH:$AH,MATCH(MEDIÇÃO!D290,'PROJETO PERFURAÇÃO'!$B:$B,0)),"")</f>
        <v/>
      </c>
      <c r="F290" s="17">
        <f>IFERROR(INDEX('PROJETO PERFURAÇÃO'!$AN:$AN,MATCH(MEDIÇÃO!D290,'PROJETO PERFURAÇÃO'!$B:$B,0)),"")</f>
        <v>0</v>
      </c>
      <c r="G290" s="3"/>
      <c r="H290" s="3"/>
      <c r="I290" s="3" t="str">
        <f>IFERROR(ROUND(INDEX('PROJETO PERFURAÇÃO'!$AB:$AB,MATCH(MEDIÇÃO!K290,'PROJETO PERFURAÇÃO'!$B:$B,0)),1)&amp;"''","")</f>
        <v>5''</v>
      </c>
      <c r="J290" s="3" t="str">
        <f>IFERROR(IF(INDEX('PROJETO PERFURAÇÃO'!$P:$P,MATCH(MEDIÇÃO!K290,'PROJETO PERFURAÇÃO'!$B:$B,0))="Production","P",IF(INDEX('PROJETO PERFURAÇÃO'!$P:$P,MATCH(MEDIÇÃO!K290,'PROJETO PERFURAÇÃO'!$B:$B,0))="Buffer","B",IF(INDEX('PROJETO PERFURAÇÃO'!$P:$P,MATCH(MEDIÇÃO!K290,'PROJETO PERFURAÇÃO'!$B:$B,0))="Pre-Splitting","S"))),"")</f>
        <v>P</v>
      </c>
      <c r="K290" s="14">
        <f t="shared" si="28"/>
        <v>651</v>
      </c>
      <c r="L290" s="4" t="str">
        <f>IFERROR(INDEX('LEV R&amp;D'!$D:$D,MATCH(MEDIÇÃO!K290,'LEV R&amp;D'!$A:$A,0))-INDEX('PROJETO PERFURAÇÃO'!$AH:$AH,MATCH(MEDIÇÃO!K290,'PROJETO PERFURAÇÃO'!$B:$B,0)),"")</f>
        <v/>
      </c>
      <c r="M290" s="17">
        <f>IFERROR(INDEX('PROJETO PERFURAÇÃO'!$AN:$AN,MATCH(MEDIÇÃO!K290,'PROJETO PERFURAÇÃO'!$B:$B,0)),"")</f>
        <v>0</v>
      </c>
      <c r="N290" s="3"/>
      <c r="O290" s="3"/>
      <c r="P290" s="3" t="str">
        <f>IFERROR(ROUND(INDEX('PROJETO PERFURAÇÃO'!$AB:$AB,MATCH(MEDIÇÃO!R290,'PROJETO PERFURAÇÃO'!$B:$B,0)),1)&amp;"''","")</f>
        <v>5''</v>
      </c>
      <c r="Q290" s="3" t="str">
        <f>IFERROR(IF(INDEX('PROJETO PERFURAÇÃO'!$P:$P,MATCH(MEDIÇÃO!R290,'PROJETO PERFURAÇÃO'!$B:$B,0))="Production","P",IF(INDEX('PROJETO PERFURAÇÃO'!$P:$P,MATCH(MEDIÇÃO!R290,'PROJETO PERFURAÇÃO'!$B:$B,0))="Buffer","B",IF(INDEX('PROJETO PERFURAÇÃO'!$P:$P,MATCH(MEDIÇÃO!R290,'PROJETO PERFURAÇÃO'!$B:$B,0))="Pre-Splitting","S"))),"")</f>
        <v>P</v>
      </c>
      <c r="R290" s="14">
        <f t="shared" si="29"/>
        <v>674</v>
      </c>
      <c r="S290" s="4" t="str">
        <f>IFERROR(INDEX('LEV R&amp;D'!$D:$D,MATCH(MEDIÇÃO!R290,'LEV R&amp;D'!$A:$A,0))-INDEX('PROJETO PERFURAÇÃO'!$AH:$AH,MATCH(MEDIÇÃO!R290,'PROJETO PERFURAÇÃO'!$B:$B,0)),"")</f>
        <v/>
      </c>
      <c r="T290" s="17">
        <f>IFERROR(INDEX('PROJETO PERFURAÇÃO'!$AN:$AN,MATCH(MEDIÇÃO!R290,'PROJETO PERFURAÇÃO'!$B:$B,0)),"")</f>
        <v>0</v>
      </c>
      <c r="U290" s="3"/>
      <c r="V290" s="3"/>
    </row>
    <row r="291" spans="2:22" ht="45" customHeight="1" x14ac:dyDescent="0.25">
      <c r="B291" s="3" t="str">
        <f>IFERROR(ROUND(INDEX('PROJETO PERFURAÇÃO'!$AB:$AB,MATCH(MEDIÇÃO!D291,'PROJETO PERFURAÇÃO'!$B:$B,0)),1)&amp;"''","")</f>
        <v>5''</v>
      </c>
      <c r="C291" s="3" t="str">
        <f>IFERROR(IF(INDEX('PROJETO PERFURAÇÃO'!$P:$P,MATCH(MEDIÇÃO!D291,'PROJETO PERFURAÇÃO'!$B:$B,0))="Production","P",IF(INDEX('PROJETO PERFURAÇÃO'!$P:$P,MATCH(MEDIÇÃO!D291,'PROJETO PERFURAÇÃO'!$B:$B,0))="Buffer","B",IF(INDEX('PROJETO PERFURAÇÃO'!$P:$P,MATCH(MEDIÇÃO!D291,'PROJETO PERFURAÇÃO'!$B:$B,0))="Pre-Splitting","S"))),"")</f>
        <v>P</v>
      </c>
      <c r="D291" s="14">
        <f t="shared" si="27"/>
        <v>629</v>
      </c>
      <c r="E291" s="4" t="str">
        <f>IFERROR(INDEX('LEV R&amp;D'!$D:$D,MATCH(MEDIÇÃO!D291,'LEV R&amp;D'!$A:$A,0))-INDEX('PROJETO PERFURAÇÃO'!$AH:$AH,MATCH(MEDIÇÃO!D291,'PROJETO PERFURAÇÃO'!$B:$B,0)),"")</f>
        <v/>
      </c>
      <c r="F291" s="17">
        <f>IFERROR(INDEX('PROJETO PERFURAÇÃO'!$AN:$AN,MATCH(MEDIÇÃO!D291,'PROJETO PERFURAÇÃO'!$B:$B,0)),"")</f>
        <v>0</v>
      </c>
      <c r="G291" s="3"/>
      <c r="H291" s="3"/>
      <c r="I291" s="3" t="str">
        <f>IFERROR(ROUND(INDEX('PROJETO PERFURAÇÃO'!$AB:$AB,MATCH(MEDIÇÃO!K291,'PROJETO PERFURAÇÃO'!$B:$B,0)),1)&amp;"''","")</f>
        <v>5''</v>
      </c>
      <c r="J291" s="3" t="str">
        <f>IFERROR(IF(INDEX('PROJETO PERFURAÇÃO'!$P:$P,MATCH(MEDIÇÃO!K291,'PROJETO PERFURAÇÃO'!$B:$B,0))="Production","P",IF(INDEX('PROJETO PERFURAÇÃO'!$P:$P,MATCH(MEDIÇÃO!K291,'PROJETO PERFURAÇÃO'!$B:$B,0))="Buffer","B",IF(INDEX('PROJETO PERFURAÇÃO'!$P:$P,MATCH(MEDIÇÃO!K291,'PROJETO PERFURAÇÃO'!$B:$B,0))="Pre-Splitting","S"))),"")</f>
        <v>P</v>
      </c>
      <c r="K291" s="14">
        <f t="shared" si="28"/>
        <v>652</v>
      </c>
      <c r="L291" s="4" t="str">
        <f>IFERROR(INDEX('LEV R&amp;D'!$D:$D,MATCH(MEDIÇÃO!K291,'LEV R&amp;D'!$A:$A,0))-INDEX('PROJETO PERFURAÇÃO'!$AH:$AH,MATCH(MEDIÇÃO!K291,'PROJETO PERFURAÇÃO'!$B:$B,0)),"")</f>
        <v/>
      </c>
      <c r="M291" s="17">
        <f>IFERROR(INDEX('PROJETO PERFURAÇÃO'!$AN:$AN,MATCH(MEDIÇÃO!K291,'PROJETO PERFURAÇÃO'!$B:$B,0)),"")</f>
        <v>0</v>
      </c>
      <c r="N291" s="3"/>
      <c r="O291" s="3"/>
      <c r="P291" s="3" t="str">
        <f>IFERROR(ROUND(INDEX('PROJETO PERFURAÇÃO'!$AB:$AB,MATCH(MEDIÇÃO!R291,'PROJETO PERFURAÇÃO'!$B:$B,0)),1)&amp;"''","")</f>
        <v>5''</v>
      </c>
      <c r="Q291" s="3" t="str">
        <f>IFERROR(IF(INDEX('PROJETO PERFURAÇÃO'!$P:$P,MATCH(MEDIÇÃO!R291,'PROJETO PERFURAÇÃO'!$B:$B,0))="Production","P",IF(INDEX('PROJETO PERFURAÇÃO'!$P:$P,MATCH(MEDIÇÃO!R291,'PROJETO PERFURAÇÃO'!$B:$B,0))="Buffer","B",IF(INDEX('PROJETO PERFURAÇÃO'!$P:$P,MATCH(MEDIÇÃO!R291,'PROJETO PERFURAÇÃO'!$B:$B,0))="Pre-Splitting","S"))),"")</f>
        <v>P</v>
      </c>
      <c r="R291" s="14">
        <f t="shared" si="29"/>
        <v>675</v>
      </c>
      <c r="S291" s="4" t="str">
        <f>IFERROR(INDEX('LEV R&amp;D'!$D:$D,MATCH(MEDIÇÃO!R291,'LEV R&amp;D'!$A:$A,0))-INDEX('PROJETO PERFURAÇÃO'!$AH:$AH,MATCH(MEDIÇÃO!R291,'PROJETO PERFURAÇÃO'!$B:$B,0)),"")</f>
        <v/>
      </c>
      <c r="T291" s="17">
        <f>IFERROR(INDEX('PROJETO PERFURAÇÃO'!$AN:$AN,MATCH(MEDIÇÃO!R291,'PROJETO PERFURAÇÃO'!$B:$B,0)),"")</f>
        <v>0</v>
      </c>
      <c r="U291" s="3"/>
      <c r="V291" s="3"/>
    </row>
    <row r="292" spans="2:22" ht="45" customHeight="1" x14ac:dyDescent="0.25">
      <c r="B292" s="3" t="str">
        <f>IFERROR(ROUND(INDEX('PROJETO PERFURAÇÃO'!$AB:$AB,MATCH(MEDIÇÃO!D292,'PROJETO PERFURAÇÃO'!$B:$B,0)),1)&amp;"''","")</f>
        <v>5''</v>
      </c>
      <c r="C292" s="3" t="str">
        <f>IFERROR(IF(INDEX('PROJETO PERFURAÇÃO'!$P:$P,MATCH(MEDIÇÃO!D292,'PROJETO PERFURAÇÃO'!$B:$B,0))="Production","P",IF(INDEX('PROJETO PERFURAÇÃO'!$P:$P,MATCH(MEDIÇÃO!D292,'PROJETO PERFURAÇÃO'!$B:$B,0))="Buffer","B",IF(INDEX('PROJETO PERFURAÇÃO'!$P:$P,MATCH(MEDIÇÃO!D292,'PROJETO PERFURAÇÃO'!$B:$B,0))="Pre-Splitting","S"))),"")</f>
        <v>P</v>
      </c>
      <c r="D292" s="14">
        <f t="shared" si="27"/>
        <v>630</v>
      </c>
      <c r="E292" s="4" t="str">
        <f>IFERROR(INDEX('LEV R&amp;D'!$D:$D,MATCH(MEDIÇÃO!D292,'LEV R&amp;D'!$A:$A,0))-INDEX('PROJETO PERFURAÇÃO'!$AH:$AH,MATCH(MEDIÇÃO!D292,'PROJETO PERFURAÇÃO'!$B:$B,0)),"")</f>
        <v/>
      </c>
      <c r="F292" s="17">
        <f>IFERROR(INDEX('PROJETO PERFURAÇÃO'!$AN:$AN,MATCH(MEDIÇÃO!D292,'PROJETO PERFURAÇÃO'!$B:$B,0)),"")</f>
        <v>0</v>
      </c>
      <c r="G292" s="3"/>
      <c r="H292" s="3"/>
      <c r="I292" s="3" t="str">
        <f>IFERROR(ROUND(INDEX('PROJETO PERFURAÇÃO'!$AB:$AB,MATCH(MEDIÇÃO!K292,'PROJETO PERFURAÇÃO'!$B:$B,0)),1)&amp;"''","")</f>
        <v>5''</v>
      </c>
      <c r="J292" s="3" t="str">
        <f>IFERROR(IF(INDEX('PROJETO PERFURAÇÃO'!$P:$P,MATCH(MEDIÇÃO!K292,'PROJETO PERFURAÇÃO'!$B:$B,0))="Production","P",IF(INDEX('PROJETO PERFURAÇÃO'!$P:$P,MATCH(MEDIÇÃO!K292,'PROJETO PERFURAÇÃO'!$B:$B,0))="Buffer","B",IF(INDEX('PROJETO PERFURAÇÃO'!$P:$P,MATCH(MEDIÇÃO!K292,'PROJETO PERFURAÇÃO'!$B:$B,0))="Pre-Splitting","S"))),"")</f>
        <v>P</v>
      </c>
      <c r="K292" s="14">
        <f t="shared" si="28"/>
        <v>653</v>
      </c>
      <c r="L292" s="4" t="str">
        <f>IFERROR(INDEX('LEV R&amp;D'!$D:$D,MATCH(MEDIÇÃO!K292,'LEV R&amp;D'!$A:$A,0))-INDEX('PROJETO PERFURAÇÃO'!$AH:$AH,MATCH(MEDIÇÃO!K292,'PROJETO PERFURAÇÃO'!$B:$B,0)),"")</f>
        <v/>
      </c>
      <c r="M292" s="17">
        <f>IFERROR(INDEX('PROJETO PERFURAÇÃO'!$AN:$AN,MATCH(MEDIÇÃO!K292,'PROJETO PERFURAÇÃO'!$B:$B,0)),"")</f>
        <v>0</v>
      </c>
      <c r="N292" s="3"/>
      <c r="O292" s="3"/>
      <c r="P292" s="3" t="str">
        <f>IFERROR(ROUND(INDEX('PROJETO PERFURAÇÃO'!$AB:$AB,MATCH(MEDIÇÃO!R292,'PROJETO PERFURAÇÃO'!$B:$B,0)),1)&amp;"''","")</f>
        <v>5''</v>
      </c>
      <c r="Q292" s="3" t="str">
        <f>IFERROR(IF(INDEX('PROJETO PERFURAÇÃO'!$P:$P,MATCH(MEDIÇÃO!R292,'PROJETO PERFURAÇÃO'!$B:$B,0))="Production","P",IF(INDEX('PROJETO PERFURAÇÃO'!$P:$P,MATCH(MEDIÇÃO!R292,'PROJETO PERFURAÇÃO'!$B:$B,0))="Buffer","B",IF(INDEX('PROJETO PERFURAÇÃO'!$P:$P,MATCH(MEDIÇÃO!R292,'PROJETO PERFURAÇÃO'!$B:$B,0))="Pre-Splitting","S"))),"")</f>
        <v>P</v>
      </c>
      <c r="R292" s="14">
        <f t="shared" si="29"/>
        <v>676</v>
      </c>
      <c r="S292" s="4" t="str">
        <f>IFERROR(INDEX('LEV R&amp;D'!$D:$D,MATCH(MEDIÇÃO!R292,'LEV R&amp;D'!$A:$A,0))-INDEX('PROJETO PERFURAÇÃO'!$AH:$AH,MATCH(MEDIÇÃO!R292,'PROJETO PERFURAÇÃO'!$B:$B,0)),"")</f>
        <v/>
      </c>
      <c r="T292" s="17">
        <f>IFERROR(INDEX('PROJETO PERFURAÇÃO'!$AN:$AN,MATCH(MEDIÇÃO!R292,'PROJETO PERFURAÇÃO'!$B:$B,0)),"")</f>
        <v>0</v>
      </c>
      <c r="U292" s="3"/>
      <c r="V292" s="3"/>
    </row>
    <row r="293" spans="2:22" ht="45" customHeight="1" x14ac:dyDescent="0.25">
      <c r="B293" s="3" t="str">
        <f>IFERROR(ROUND(INDEX('PROJETO PERFURAÇÃO'!$AB:$AB,MATCH(MEDIÇÃO!D293,'PROJETO PERFURAÇÃO'!$B:$B,0)),1)&amp;"''","")</f>
        <v>5''</v>
      </c>
      <c r="C293" s="3" t="str">
        <f>IFERROR(IF(INDEX('PROJETO PERFURAÇÃO'!$P:$P,MATCH(MEDIÇÃO!D293,'PROJETO PERFURAÇÃO'!$B:$B,0))="Production","P",IF(INDEX('PROJETO PERFURAÇÃO'!$P:$P,MATCH(MEDIÇÃO!D293,'PROJETO PERFURAÇÃO'!$B:$B,0))="Buffer","B",IF(INDEX('PROJETO PERFURAÇÃO'!$P:$P,MATCH(MEDIÇÃO!D293,'PROJETO PERFURAÇÃO'!$B:$B,0))="Pre-Splitting","S"))),"")</f>
        <v>P</v>
      </c>
      <c r="D293" s="14">
        <f t="shared" si="27"/>
        <v>631</v>
      </c>
      <c r="E293" s="4" t="str">
        <f>IFERROR(INDEX('LEV R&amp;D'!$D:$D,MATCH(MEDIÇÃO!D293,'LEV R&amp;D'!$A:$A,0))-INDEX('PROJETO PERFURAÇÃO'!$AH:$AH,MATCH(MEDIÇÃO!D293,'PROJETO PERFURAÇÃO'!$B:$B,0)),"")</f>
        <v/>
      </c>
      <c r="F293" s="17">
        <f>IFERROR(INDEX('PROJETO PERFURAÇÃO'!$AN:$AN,MATCH(MEDIÇÃO!D293,'PROJETO PERFURAÇÃO'!$B:$B,0)),"")</f>
        <v>0</v>
      </c>
      <c r="G293" s="3"/>
      <c r="H293" s="3"/>
      <c r="I293" s="3" t="str">
        <f>IFERROR(ROUND(INDEX('PROJETO PERFURAÇÃO'!$AB:$AB,MATCH(MEDIÇÃO!K293,'PROJETO PERFURAÇÃO'!$B:$B,0)),1)&amp;"''","")</f>
        <v>5''</v>
      </c>
      <c r="J293" s="3" t="str">
        <f>IFERROR(IF(INDEX('PROJETO PERFURAÇÃO'!$P:$P,MATCH(MEDIÇÃO!K293,'PROJETO PERFURAÇÃO'!$B:$B,0))="Production","P",IF(INDEX('PROJETO PERFURAÇÃO'!$P:$P,MATCH(MEDIÇÃO!K293,'PROJETO PERFURAÇÃO'!$B:$B,0))="Buffer","B",IF(INDEX('PROJETO PERFURAÇÃO'!$P:$P,MATCH(MEDIÇÃO!K293,'PROJETO PERFURAÇÃO'!$B:$B,0))="Pre-Splitting","S"))),"")</f>
        <v>P</v>
      </c>
      <c r="K293" s="14">
        <f t="shared" si="28"/>
        <v>654</v>
      </c>
      <c r="L293" s="4" t="str">
        <f>IFERROR(INDEX('LEV R&amp;D'!$D:$D,MATCH(MEDIÇÃO!K293,'LEV R&amp;D'!$A:$A,0))-INDEX('PROJETO PERFURAÇÃO'!$AH:$AH,MATCH(MEDIÇÃO!K293,'PROJETO PERFURAÇÃO'!$B:$B,0)),"")</f>
        <v/>
      </c>
      <c r="M293" s="17">
        <f>IFERROR(INDEX('PROJETO PERFURAÇÃO'!$AN:$AN,MATCH(MEDIÇÃO!K293,'PROJETO PERFURAÇÃO'!$B:$B,0)),"")</f>
        <v>0</v>
      </c>
      <c r="N293" s="3"/>
      <c r="O293" s="3"/>
      <c r="P293" s="3" t="str">
        <f>IFERROR(ROUND(INDEX('PROJETO PERFURAÇÃO'!$AB:$AB,MATCH(MEDIÇÃO!R293,'PROJETO PERFURAÇÃO'!$B:$B,0)),1)&amp;"''","")</f>
        <v>5''</v>
      </c>
      <c r="Q293" s="3" t="str">
        <f>IFERROR(IF(INDEX('PROJETO PERFURAÇÃO'!$P:$P,MATCH(MEDIÇÃO!R293,'PROJETO PERFURAÇÃO'!$B:$B,0))="Production","P",IF(INDEX('PROJETO PERFURAÇÃO'!$P:$P,MATCH(MEDIÇÃO!R293,'PROJETO PERFURAÇÃO'!$B:$B,0))="Buffer","B",IF(INDEX('PROJETO PERFURAÇÃO'!$P:$P,MATCH(MEDIÇÃO!R293,'PROJETO PERFURAÇÃO'!$B:$B,0))="Pre-Splitting","S"))),"")</f>
        <v>P</v>
      </c>
      <c r="R293" s="14">
        <f t="shared" si="29"/>
        <v>677</v>
      </c>
      <c r="S293" s="4" t="str">
        <f>IFERROR(INDEX('LEV R&amp;D'!$D:$D,MATCH(MEDIÇÃO!R293,'LEV R&amp;D'!$A:$A,0))-INDEX('PROJETO PERFURAÇÃO'!$AH:$AH,MATCH(MEDIÇÃO!R293,'PROJETO PERFURAÇÃO'!$B:$B,0)),"")</f>
        <v/>
      </c>
      <c r="T293" s="17">
        <f>IFERROR(INDEX('PROJETO PERFURAÇÃO'!$AN:$AN,MATCH(MEDIÇÃO!R293,'PROJETO PERFURAÇÃO'!$B:$B,0)),"")</f>
        <v>0</v>
      </c>
      <c r="U293" s="3"/>
      <c r="V293" s="3"/>
    </row>
    <row r="294" spans="2:22" ht="45" customHeight="1" x14ac:dyDescent="0.25">
      <c r="B294" s="3" t="str">
        <f>IFERROR(ROUND(INDEX('PROJETO PERFURAÇÃO'!$AB:$AB,MATCH(MEDIÇÃO!D294,'PROJETO PERFURAÇÃO'!$B:$B,0)),1)&amp;"''","")</f>
        <v>5''</v>
      </c>
      <c r="C294" s="3" t="str">
        <f>IFERROR(IF(INDEX('PROJETO PERFURAÇÃO'!$P:$P,MATCH(MEDIÇÃO!D294,'PROJETO PERFURAÇÃO'!$B:$B,0))="Production","P",IF(INDEX('PROJETO PERFURAÇÃO'!$P:$P,MATCH(MEDIÇÃO!D294,'PROJETO PERFURAÇÃO'!$B:$B,0))="Buffer","B",IF(INDEX('PROJETO PERFURAÇÃO'!$P:$P,MATCH(MEDIÇÃO!D294,'PROJETO PERFURAÇÃO'!$B:$B,0))="Pre-Splitting","S"))),"")</f>
        <v>P</v>
      </c>
      <c r="D294" s="14">
        <f t="shared" si="27"/>
        <v>632</v>
      </c>
      <c r="E294" s="4" t="str">
        <f>IFERROR(INDEX('LEV R&amp;D'!$D:$D,MATCH(MEDIÇÃO!D294,'LEV R&amp;D'!$A:$A,0))-INDEX('PROJETO PERFURAÇÃO'!$AH:$AH,MATCH(MEDIÇÃO!D294,'PROJETO PERFURAÇÃO'!$B:$B,0)),"")</f>
        <v/>
      </c>
      <c r="F294" s="17">
        <f>IFERROR(INDEX('PROJETO PERFURAÇÃO'!$AN:$AN,MATCH(MEDIÇÃO!D294,'PROJETO PERFURAÇÃO'!$B:$B,0)),"")</f>
        <v>0</v>
      </c>
      <c r="G294" s="3"/>
      <c r="H294" s="3"/>
      <c r="I294" s="3" t="str">
        <f>IFERROR(ROUND(INDEX('PROJETO PERFURAÇÃO'!$AB:$AB,MATCH(MEDIÇÃO!K294,'PROJETO PERFURAÇÃO'!$B:$B,0)),1)&amp;"''","")</f>
        <v>5''</v>
      </c>
      <c r="J294" s="3" t="str">
        <f>IFERROR(IF(INDEX('PROJETO PERFURAÇÃO'!$P:$P,MATCH(MEDIÇÃO!K294,'PROJETO PERFURAÇÃO'!$B:$B,0))="Production","P",IF(INDEX('PROJETO PERFURAÇÃO'!$P:$P,MATCH(MEDIÇÃO!K294,'PROJETO PERFURAÇÃO'!$B:$B,0))="Buffer","B",IF(INDEX('PROJETO PERFURAÇÃO'!$P:$P,MATCH(MEDIÇÃO!K294,'PROJETO PERFURAÇÃO'!$B:$B,0))="Pre-Splitting","S"))),"")</f>
        <v>P</v>
      </c>
      <c r="K294" s="14">
        <f t="shared" si="28"/>
        <v>655</v>
      </c>
      <c r="L294" s="4" t="str">
        <f>IFERROR(INDEX('LEV R&amp;D'!$D:$D,MATCH(MEDIÇÃO!K294,'LEV R&amp;D'!$A:$A,0))-INDEX('PROJETO PERFURAÇÃO'!$AH:$AH,MATCH(MEDIÇÃO!K294,'PROJETO PERFURAÇÃO'!$B:$B,0)),"")</f>
        <v/>
      </c>
      <c r="M294" s="17">
        <f>IFERROR(INDEX('PROJETO PERFURAÇÃO'!$AN:$AN,MATCH(MEDIÇÃO!K294,'PROJETO PERFURAÇÃO'!$B:$B,0)),"")</f>
        <v>0</v>
      </c>
      <c r="N294" s="3"/>
      <c r="O294" s="3"/>
      <c r="P294" s="3" t="str">
        <f>IFERROR(ROUND(INDEX('PROJETO PERFURAÇÃO'!$AB:$AB,MATCH(MEDIÇÃO!R294,'PROJETO PERFURAÇÃO'!$B:$B,0)),1)&amp;"''","")</f>
        <v>5''</v>
      </c>
      <c r="Q294" s="3" t="str">
        <f>IFERROR(IF(INDEX('PROJETO PERFURAÇÃO'!$P:$P,MATCH(MEDIÇÃO!R294,'PROJETO PERFURAÇÃO'!$B:$B,0))="Production","P",IF(INDEX('PROJETO PERFURAÇÃO'!$P:$P,MATCH(MEDIÇÃO!R294,'PROJETO PERFURAÇÃO'!$B:$B,0))="Buffer","B",IF(INDEX('PROJETO PERFURAÇÃO'!$P:$P,MATCH(MEDIÇÃO!R294,'PROJETO PERFURAÇÃO'!$B:$B,0))="Pre-Splitting","S"))),"")</f>
        <v>P</v>
      </c>
      <c r="R294" s="14">
        <f t="shared" si="29"/>
        <v>678</v>
      </c>
      <c r="S294" s="4" t="str">
        <f>IFERROR(INDEX('LEV R&amp;D'!$D:$D,MATCH(MEDIÇÃO!R294,'LEV R&amp;D'!$A:$A,0))-INDEX('PROJETO PERFURAÇÃO'!$AH:$AH,MATCH(MEDIÇÃO!R294,'PROJETO PERFURAÇÃO'!$B:$B,0)),"")</f>
        <v/>
      </c>
      <c r="T294" s="17">
        <f>IFERROR(INDEX('PROJETO PERFURAÇÃO'!$AN:$AN,MATCH(MEDIÇÃO!R294,'PROJETO PERFURAÇÃO'!$B:$B,0)),"")</f>
        <v>0</v>
      </c>
      <c r="U294" s="3"/>
      <c r="V294" s="3"/>
    </row>
    <row r="295" spans="2:22" ht="45" customHeight="1" x14ac:dyDescent="0.25">
      <c r="B295" s="3" t="str">
        <f>IFERROR(ROUND(INDEX('PROJETO PERFURAÇÃO'!$AB:$AB,MATCH(MEDIÇÃO!D295,'PROJETO PERFURAÇÃO'!$B:$B,0)),1)&amp;"''","")</f>
        <v>5''</v>
      </c>
      <c r="C295" s="3" t="str">
        <f>IFERROR(IF(INDEX('PROJETO PERFURAÇÃO'!$P:$P,MATCH(MEDIÇÃO!D295,'PROJETO PERFURAÇÃO'!$B:$B,0))="Production","P",IF(INDEX('PROJETO PERFURAÇÃO'!$P:$P,MATCH(MEDIÇÃO!D295,'PROJETO PERFURAÇÃO'!$B:$B,0))="Buffer","B",IF(INDEX('PROJETO PERFURAÇÃO'!$P:$P,MATCH(MEDIÇÃO!D295,'PROJETO PERFURAÇÃO'!$B:$B,0))="Pre-Splitting","S"))),"")</f>
        <v>P</v>
      </c>
      <c r="D295" s="14">
        <f t="shared" si="27"/>
        <v>633</v>
      </c>
      <c r="E295" s="4" t="str">
        <f>IFERROR(INDEX('LEV R&amp;D'!$D:$D,MATCH(MEDIÇÃO!D295,'LEV R&amp;D'!$A:$A,0))-INDEX('PROJETO PERFURAÇÃO'!$AH:$AH,MATCH(MEDIÇÃO!D295,'PROJETO PERFURAÇÃO'!$B:$B,0)),"")</f>
        <v/>
      </c>
      <c r="F295" s="17">
        <f>IFERROR(INDEX('PROJETO PERFURAÇÃO'!$AN:$AN,MATCH(MEDIÇÃO!D295,'PROJETO PERFURAÇÃO'!$B:$B,0)),"")</f>
        <v>0</v>
      </c>
      <c r="G295" s="3"/>
      <c r="H295" s="3"/>
      <c r="I295" s="3" t="str">
        <f>IFERROR(ROUND(INDEX('PROJETO PERFURAÇÃO'!$AB:$AB,MATCH(MEDIÇÃO!K295,'PROJETO PERFURAÇÃO'!$B:$B,0)),1)&amp;"''","")</f>
        <v>5''</v>
      </c>
      <c r="J295" s="3" t="str">
        <f>IFERROR(IF(INDEX('PROJETO PERFURAÇÃO'!$P:$P,MATCH(MEDIÇÃO!K295,'PROJETO PERFURAÇÃO'!$B:$B,0))="Production","P",IF(INDEX('PROJETO PERFURAÇÃO'!$P:$P,MATCH(MEDIÇÃO!K295,'PROJETO PERFURAÇÃO'!$B:$B,0))="Buffer","B",IF(INDEX('PROJETO PERFURAÇÃO'!$P:$P,MATCH(MEDIÇÃO!K295,'PROJETO PERFURAÇÃO'!$B:$B,0))="Pre-Splitting","S"))),"")</f>
        <v>P</v>
      </c>
      <c r="K295" s="14">
        <f t="shared" si="28"/>
        <v>656</v>
      </c>
      <c r="L295" s="4" t="str">
        <f>IFERROR(INDEX('LEV R&amp;D'!$D:$D,MATCH(MEDIÇÃO!K295,'LEV R&amp;D'!$A:$A,0))-INDEX('PROJETO PERFURAÇÃO'!$AH:$AH,MATCH(MEDIÇÃO!K295,'PROJETO PERFURAÇÃO'!$B:$B,0)),"")</f>
        <v/>
      </c>
      <c r="M295" s="17">
        <f>IFERROR(INDEX('PROJETO PERFURAÇÃO'!$AN:$AN,MATCH(MEDIÇÃO!K295,'PROJETO PERFURAÇÃO'!$B:$B,0)),"")</f>
        <v>0</v>
      </c>
      <c r="N295" s="3"/>
      <c r="O295" s="3"/>
      <c r="P295" s="3" t="str">
        <f>IFERROR(ROUND(INDEX('PROJETO PERFURAÇÃO'!$AB:$AB,MATCH(MEDIÇÃO!R295,'PROJETO PERFURAÇÃO'!$B:$B,0)),1)&amp;"''","")</f>
        <v>5''</v>
      </c>
      <c r="Q295" s="3" t="str">
        <f>IFERROR(IF(INDEX('PROJETO PERFURAÇÃO'!$P:$P,MATCH(MEDIÇÃO!R295,'PROJETO PERFURAÇÃO'!$B:$B,0))="Production","P",IF(INDEX('PROJETO PERFURAÇÃO'!$P:$P,MATCH(MEDIÇÃO!R295,'PROJETO PERFURAÇÃO'!$B:$B,0))="Buffer","B",IF(INDEX('PROJETO PERFURAÇÃO'!$P:$P,MATCH(MEDIÇÃO!R295,'PROJETO PERFURAÇÃO'!$B:$B,0))="Pre-Splitting","S"))),"")</f>
        <v>P</v>
      </c>
      <c r="R295" s="14">
        <f t="shared" si="29"/>
        <v>679</v>
      </c>
      <c r="S295" s="4" t="str">
        <f>IFERROR(INDEX('LEV R&amp;D'!$D:$D,MATCH(MEDIÇÃO!R295,'LEV R&amp;D'!$A:$A,0))-INDEX('PROJETO PERFURAÇÃO'!$AH:$AH,MATCH(MEDIÇÃO!R295,'PROJETO PERFURAÇÃO'!$B:$B,0)),"")</f>
        <v/>
      </c>
      <c r="T295" s="17">
        <f>IFERROR(INDEX('PROJETO PERFURAÇÃO'!$AN:$AN,MATCH(MEDIÇÃO!R295,'PROJETO PERFURAÇÃO'!$B:$B,0)),"")</f>
        <v>0</v>
      </c>
      <c r="U295" s="3"/>
      <c r="V295" s="3"/>
    </row>
    <row r="296" spans="2:22" ht="45" customHeight="1" x14ac:dyDescent="0.25">
      <c r="B296" s="3" t="str">
        <f>IFERROR(ROUND(INDEX('PROJETO PERFURAÇÃO'!$AB:$AB,MATCH(MEDIÇÃO!D296,'PROJETO PERFURAÇÃO'!$B:$B,0)),1)&amp;"''","")</f>
        <v>5''</v>
      </c>
      <c r="C296" s="3" t="str">
        <f>IFERROR(IF(INDEX('PROJETO PERFURAÇÃO'!$P:$P,MATCH(MEDIÇÃO!D296,'PROJETO PERFURAÇÃO'!$B:$B,0))="Production","P",IF(INDEX('PROJETO PERFURAÇÃO'!$P:$P,MATCH(MEDIÇÃO!D296,'PROJETO PERFURAÇÃO'!$B:$B,0))="Buffer","B",IF(INDEX('PROJETO PERFURAÇÃO'!$P:$P,MATCH(MEDIÇÃO!D296,'PROJETO PERFURAÇÃO'!$B:$B,0))="Pre-Splitting","S"))),"")</f>
        <v>P</v>
      </c>
      <c r="D296" s="14">
        <f t="shared" si="27"/>
        <v>634</v>
      </c>
      <c r="E296" s="4" t="str">
        <f>IFERROR(INDEX('LEV R&amp;D'!$D:$D,MATCH(MEDIÇÃO!D296,'LEV R&amp;D'!$A:$A,0))-INDEX('PROJETO PERFURAÇÃO'!$AH:$AH,MATCH(MEDIÇÃO!D296,'PROJETO PERFURAÇÃO'!$B:$B,0)),"")</f>
        <v/>
      </c>
      <c r="F296" s="17">
        <f>IFERROR(INDEX('PROJETO PERFURAÇÃO'!$AN:$AN,MATCH(MEDIÇÃO!D296,'PROJETO PERFURAÇÃO'!$B:$B,0)),"")</f>
        <v>0</v>
      </c>
      <c r="G296" s="3"/>
      <c r="H296" s="3"/>
      <c r="I296" s="3" t="str">
        <f>IFERROR(ROUND(INDEX('PROJETO PERFURAÇÃO'!$AB:$AB,MATCH(MEDIÇÃO!K296,'PROJETO PERFURAÇÃO'!$B:$B,0)),1)&amp;"''","")</f>
        <v>5''</v>
      </c>
      <c r="J296" s="3" t="str">
        <f>IFERROR(IF(INDEX('PROJETO PERFURAÇÃO'!$P:$P,MATCH(MEDIÇÃO!K296,'PROJETO PERFURAÇÃO'!$B:$B,0))="Production","P",IF(INDEX('PROJETO PERFURAÇÃO'!$P:$P,MATCH(MEDIÇÃO!K296,'PROJETO PERFURAÇÃO'!$B:$B,0))="Buffer","B",IF(INDEX('PROJETO PERFURAÇÃO'!$P:$P,MATCH(MEDIÇÃO!K296,'PROJETO PERFURAÇÃO'!$B:$B,0))="Pre-Splitting","S"))),"")</f>
        <v>P</v>
      </c>
      <c r="K296" s="14">
        <f t="shared" si="28"/>
        <v>657</v>
      </c>
      <c r="L296" s="4" t="str">
        <f>IFERROR(INDEX('LEV R&amp;D'!$D:$D,MATCH(MEDIÇÃO!K296,'LEV R&amp;D'!$A:$A,0))-INDEX('PROJETO PERFURAÇÃO'!$AH:$AH,MATCH(MEDIÇÃO!K296,'PROJETO PERFURAÇÃO'!$B:$B,0)),"")</f>
        <v/>
      </c>
      <c r="M296" s="17">
        <f>IFERROR(INDEX('PROJETO PERFURAÇÃO'!$AN:$AN,MATCH(MEDIÇÃO!K296,'PROJETO PERFURAÇÃO'!$B:$B,0)),"")</f>
        <v>0</v>
      </c>
      <c r="N296" s="3"/>
      <c r="O296" s="3"/>
      <c r="P296" s="3" t="str">
        <f>IFERROR(ROUND(INDEX('PROJETO PERFURAÇÃO'!$AB:$AB,MATCH(MEDIÇÃO!R296,'PROJETO PERFURAÇÃO'!$B:$B,0)),1)&amp;"''","")</f>
        <v>5''</v>
      </c>
      <c r="Q296" s="3" t="str">
        <f>IFERROR(IF(INDEX('PROJETO PERFURAÇÃO'!$P:$P,MATCH(MEDIÇÃO!R296,'PROJETO PERFURAÇÃO'!$B:$B,0))="Production","P",IF(INDEX('PROJETO PERFURAÇÃO'!$P:$P,MATCH(MEDIÇÃO!R296,'PROJETO PERFURAÇÃO'!$B:$B,0))="Buffer","B",IF(INDEX('PROJETO PERFURAÇÃO'!$P:$P,MATCH(MEDIÇÃO!R296,'PROJETO PERFURAÇÃO'!$B:$B,0))="Pre-Splitting","S"))),"")</f>
        <v>P</v>
      </c>
      <c r="R296" s="14">
        <f t="shared" si="29"/>
        <v>680</v>
      </c>
      <c r="S296" s="4" t="str">
        <f>IFERROR(INDEX('LEV R&amp;D'!$D:$D,MATCH(MEDIÇÃO!R296,'LEV R&amp;D'!$A:$A,0))-INDEX('PROJETO PERFURAÇÃO'!$AH:$AH,MATCH(MEDIÇÃO!R296,'PROJETO PERFURAÇÃO'!$B:$B,0)),"")</f>
        <v/>
      </c>
      <c r="T296" s="17">
        <f>IFERROR(INDEX('PROJETO PERFURAÇÃO'!$AN:$AN,MATCH(MEDIÇÃO!R296,'PROJETO PERFURAÇÃO'!$B:$B,0)),"")</f>
        <v>0</v>
      </c>
      <c r="U296" s="3"/>
      <c r="V296" s="3"/>
    </row>
    <row r="297" spans="2:22" ht="45" customHeight="1" x14ac:dyDescent="0.25">
      <c r="B297" s="3" t="str">
        <f>IFERROR(ROUND(INDEX('PROJETO PERFURAÇÃO'!$AB:$AB,MATCH(MEDIÇÃO!D297,'PROJETO PERFURAÇÃO'!$B:$B,0)),1)&amp;"''","")</f>
        <v>5''</v>
      </c>
      <c r="C297" s="3" t="str">
        <f>IFERROR(IF(INDEX('PROJETO PERFURAÇÃO'!$P:$P,MATCH(MEDIÇÃO!D297,'PROJETO PERFURAÇÃO'!$B:$B,0))="Production","P",IF(INDEX('PROJETO PERFURAÇÃO'!$P:$P,MATCH(MEDIÇÃO!D297,'PROJETO PERFURAÇÃO'!$B:$B,0))="Buffer","B",IF(INDEX('PROJETO PERFURAÇÃO'!$P:$P,MATCH(MEDIÇÃO!D297,'PROJETO PERFURAÇÃO'!$B:$B,0))="Pre-Splitting","S"))),"")</f>
        <v>P</v>
      </c>
      <c r="D297" s="14">
        <f t="shared" si="27"/>
        <v>635</v>
      </c>
      <c r="E297" s="4" t="str">
        <f>IFERROR(INDEX('LEV R&amp;D'!$D:$D,MATCH(MEDIÇÃO!D297,'LEV R&amp;D'!$A:$A,0))-INDEX('PROJETO PERFURAÇÃO'!$AH:$AH,MATCH(MEDIÇÃO!D297,'PROJETO PERFURAÇÃO'!$B:$B,0)),"")</f>
        <v/>
      </c>
      <c r="F297" s="17">
        <f>IFERROR(INDEX('PROJETO PERFURAÇÃO'!$AN:$AN,MATCH(MEDIÇÃO!D297,'PROJETO PERFURAÇÃO'!$B:$B,0)),"")</f>
        <v>0</v>
      </c>
      <c r="G297" s="3"/>
      <c r="H297" s="3"/>
      <c r="I297" s="3" t="str">
        <f>IFERROR(ROUND(INDEX('PROJETO PERFURAÇÃO'!$AB:$AB,MATCH(MEDIÇÃO!K297,'PROJETO PERFURAÇÃO'!$B:$B,0)),1)&amp;"''","")</f>
        <v>5''</v>
      </c>
      <c r="J297" s="3" t="str">
        <f>IFERROR(IF(INDEX('PROJETO PERFURAÇÃO'!$P:$P,MATCH(MEDIÇÃO!K297,'PROJETO PERFURAÇÃO'!$B:$B,0))="Production","P",IF(INDEX('PROJETO PERFURAÇÃO'!$P:$P,MATCH(MEDIÇÃO!K297,'PROJETO PERFURAÇÃO'!$B:$B,0))="Buffer","B",IF(INDEX('PROJETO PERFURAÇÃO'!$P:$P,MATCH(MEDIÇÃO!K297,'PROJETO PERFURAÇÃO'!$B:$B,0))="Pre-Splitting","S"))),"")</f>
        <v>P</v>
      </c>
      <c r="K297" s="14">
        <f t="shared" si="28"/>
        <v>658</v>
      </c>
      <c r="L297" s="4" t="str">
        <f>IFERROR(INDEX('LEV R&amp;D'!$D:$D,MATCH(MEDIÇÃO!K297,'LEV R&amp;D'!$A:$A,0))-INDEX('PROJETO PERFURAÇÃO'!$AH:$AH,MATCH(MEDIÇÃO!K297,'PROJETO PERFURAÇÃO'!$B:$B,0)),"")</f>
        <v/>
      </c>
      <c r="M297" s="17">
        <f>IFERROR(INDEX('PROJETO PERFURAÇÃO'!$AN:$AN,MATCH(MEDIÇÃO!K297,'PROJETO PERFURAÇÃO'!$B:$B,0)),"")</f>
        <v>0</v>
      </c>
      <c r="N297" s="3"/>
      <c r="O297" s="3"/>
      <c r="P297" s="3" t="str">
        <f>IFERROR(ROUND(INDEX('PROJETO PERFURAÇÃO'!$AB:$AB,MATCH(MEDIÇÃO!R297,'PROJETO PERFURAÇÃO'!$B:$B,0)),1)&amp;"''","")</f>
        <v>5''</v>
      </c>
      <c r="Q297" s="3" t="str">
        <f>IFERROR(IF(INDEX('PROJETO PERFURAÇÃO'!$P:$P,MATCH(MEDIÇÃO!R297,'PROJETO PERFURAÇÃO'!$B:$B,0))="Production","P",IF(INDEX('PROJETO PERFURAÇÃO'!$P:$P,MATCH(MEDIÇÃO!R297,'PROJETO PERFURAÇÃO'!$B:$B,0))="Buffer","B",IF(INDEX('PROJETO PERFURAÇÃO'!$P:$P,MATCH(MEDIÇÃO!R297,'PROJETO PERFURAÇÃO'!$B:$B,0))="Pre-Splitting","S"))),"")</f>
        <v>P</v>
      </c>
      <c r="R297" s="14">
        <f t="shared" si="29"/>
        <v>681</v>
      </c>
      <c r="S297" s="4" t="str">
        <f>IFERROR(INDEX('LEV R&amp;D'!$D:$D,MATCH(MEDIÇÃO!R297,'LEV R&amp;D'!$A:$A,0))-INDEX('PROJETO PERFURAÇÃO'!$AH:$AH,MATCH(MEDIÇÃO!R297,'PROJETO PERFURAÇÃO'!$B:$B,0)),"")</f>
        <v/>
      </c>
      <c r="T297" s="17">
        <f>IFERROR(INDEX('PROJETO PERFURAÇÃO'!$AN:$AN,MATCH(MEDIÇÃO!R297,'PROJETO PERFURAÇÃO'!$B:$B,0)),"")</f>
        <v>0</v>
      </c>
      <c r="U297" s="3"/>
      <c r="V297" s="3"/>
    </row>
    <row r="298" spans="2:22" ht="45" customHeight="1" x14ac:dyDescent="0.25">
      <c r="B298" s="3" t="str">
        <f>IFERROR(ROUND(INDEX('PROJETO PERFURAÇÃO'!$AB:$AB,MATCH(MEDIÇÃO!D298,'PROJETO PERFURAÇÃO'!$B:$B,0)),1)&amp;"''","")</f>
        <v>5''</v>
      </c>
      <c r="C298" s="3" t="str">
        <f>IFERROR(IF(INDEX('PROJETO PERFURAÇÃO'!$P:$P,MATCH(MEDIÇÃO!D298,'PROJETO PERFURAÇÃO'!$B:$B,0))="Production","P",IF(INDEX('PROJETO PERFURAÇÃO'!$P:$P,MATCH(MEDIÇÃO!D298,'PROJETO PERFURAÇÃO'!$B:$B,0))="Buffer","B",IF(INDEX('PROJETO PERFURAÇÃO'!$P:$P,MATCH(MEDIÇÃO!D298,'PROJETO PERFURAÇÃO'!$B:$B,0))="Pre-Splitting","S"))),"")</f>
        <v>P</v>
      </c>
      <c r="D298" s="14">
        <f t="shared" si="27"/>
        <v>636</v>
      </c>
      <c r="E298" s="4" t="str">
        <f>IFERROR(INDEX('LEV R&amp;D'!$D:$D,MATCH(MEDIÇÃO!D298,'LEV R&amp;D'!$A:$A,0))-INDEX('PROJETO PERFURAÇÃO'!$AH:$AH,MATCH(MEDIÇÃO!D298,'PROJETO PERFURAÇÃO'!$B:$B,0)),"")</f>
        <v/>
      </c>
      <c r="F298" s="17">
        <f>IFERROR(INDEX('PROJETO PERFURAÇÃO'!$AN:$AN,MATCH(MEDIÇÃO!D298,'PROJETO PERFURAÇÃO'!$B:$B,0)),"")</f>
        <v>0</v>
      </c>
      <c r="G298" s="3"/>
      <c r="H298" s="3"/>
      <c r="I298" s="3" t="str">
        <f>IFERROR(ROUND(INDEX('PROJETO PERFURAÇÃO'!$AB:$AB,MATCH(MEDIÇÃO!K298,'PROJETO PERFURAÇÃO'!$B:$B,0)),1)&amp;"''","")</f>
        <v>5''</v>
      </c>
      <c r="J298" s="3" t="str">
        <f>IFERROR(IF(INDEX('PROJETO PERFURAÇÃO'!$P:$P,MATCH(MEDIÇÃO!K298,'PROJETO PERFURAÇÃO'!$B:$B,0))="Production","P",IF(INDEX('PROJETO PERFURAÇÃO'!$P:$P,MATCH(MEDIÇÃO!K298,'PROJETO PERFURAÇÃO'!$B:$B,0))="Buffer","B",IF(INDEX('PROJETO PERFURAÇÃO'!$P:$P,MATCH(MEDIÇÃO!K298,'PROJETO PERFURAÇÃO'!$B:$B,0))="Pre-Splitting","S"))),"")</f>
        <v>P</v>
      </c>
      <c r="K298" s="14">
        <f t="shared" si="28"/>
        <v>659</v>
      </c>
      <c r="L298" s="4" t="str">
        <f>IFERROR(INDEX('LEV R&amp;D'!$D:$D,MATCH(MEDIÇÃO!K298,'LEV R&amp;D'!$A:$A,0))-INDEX('PROJETO PERFURAÇÃO'!$AH:$AH,MATCH(MEDIÇÃO!K298,'PROJETO PERFURAÇÃO'!$B:$B,0)),"")</f>
        <v/>
      </c>
      <c r="M298" s="17">
        <f>IFERROR(INDEX('PROJETO PERFURAÇÃO'!$AN:$AN,MATCH(MEDIÇÃO!K298,'PROJETO PERFURAÇÃO'!$B:$B,0)),"")</f>
        <v>0</v>
      </c>
      <c r="N298" s="3"/>
      <c r="O298" s="3"/>
      <c r="P298" s="3" t="str">
        <f>IFERROR(ROUND(INDEX('PROJETO PERFURAÇÃO'!$AB:$AB,MATCH(MEDIÇÃO!R298,'PROJETO PERFURAÇÃO'!$B:$B,0)),1)&amp;"''","")</f>
        <v>5''</v>
      </c>
      <c r="Q298" s="3" t="str">
        <f>IFERROR(IF(INDEX('PROJETO PERFURAÇÃO'!$P:$P,MATCH(MEDIÇÃO!R298,'PROJETO PERFURAÇÃO'!$B:$B,0))="Production","P",IF(INDEX('PROJETO PERFURAÇÃO'!$P:$P,MATCH(MEDIÇÃO!R298,'PROJETO PERFURAÇÃO'!$B:$B,0))="Buffer","B",IF(INDEX('PROJETO PERFURAÇÃO'!$P:$P,MATCH(MEDIÇÃO!R298,'PROJETO PERFURAÇÃO'!$B:$B,0))="Pre-Splitting","S"))),"")</f>
        <v>P</v>
      </c>
      <c r="R298" s="14">
        <f t="shared" si="29"/>
        <v>682</v>
      </c>
      <c r="S298" s="4" t="str">
        <f>IFERROR(INDEX('LEV R&amp;D'!$D:$D,MATCH(MEDIÇÃO!R298,'LEV R&amp;D'!$A:$A,0))-INDEX('PROJETO PERFURAÇÃO'!$AH:$AH,MATCH(MEDIÇÃO!R298,'PROJETO PERFURAÇÃO'!$B:$B,0)),"")</f>
        <v/>
      </c>
      <c r="T298" s="17">
        <f>IFERROR(INDEX('PROJETO PERFURAÇÃO'!$AN:$AN,MATCH(MEDIÇÃO!R298,'PROJETO PERFURAÇÃO'!$B:$B,0)),"")</f>
        <v>0</v>
      </c>
      <c r="U298" s="3"/>
      <c r="V298" s="3"/>
    </row>
    <row r="299" spans="2:22" ht="45" customHeight="1" x14ac:dyDescent="0.25">
      <c r="B299" s="3" t="str">
        <f>IFERROR(ROUND(INDEX('PROJETO PERFURAÇÃO'!$AB:$AB,MATCH(MEDIÇÃO!D299,'PROJETO PERFURAÇÃO'!$B:$B,0)),1)&amp;"''","")</f>
        <v>5''</v>
      </c>
      <c r="C299" s="3" t="str">
        <f>IFERROR(IF(INDEX('PROJETO PERFURAÇÃO'!$P:$P,MATCH(MEDIÇÃO!D299,'PROJETO PERFURAÇÃO'!$B:$B,0))="Production","P",IF(INDEX('PROJETO PERFURAÇÃO'!$P:$P,MATCH(MEDIÇÃO!D299,'PROJETO PERFURAÇÃO'!$B:$B,0))="Buffer","B",IF(INDEX('PROJETO PERFURAÇÃO'!$P:$P,MATCH(MEDIÇÃO!D299,'PROJETO PERFURAÇÃO'!$B:$B,0))="Pre-Splitting","S"))),"")</f>
        <v>P</v>
      </c>
      <c r="D299" s="14">
        <f t="shared" si="27"/>
        <v>637</v>
      </c>
      <c r="E299" s="4" t="str">
        <f>IFERROR(INDEX('LEV R&amp;D'!$D:$D,MATCH(MEDIÇÃO!D299,'LEV R&amp;D'!$A:$A,0))-INDEX('PROJETO PERFURAÇÃO'!$AH:$AH,MATCH(MEDIÇÃO!D299,'PROJETO PERFURAÇÃO'!$B:$B,0)),"")</f>
        <v/>
      </c>
      <c r="F299" s="17">
        <f>IFERROR(INDEX('PROJETO PERFURAÇÃO'!$AN:$AN,MATCH(MEDIÇÃO!D299,'PROJETO PERFURAÇÃO'!$B:$B,0)),"")</f>
        <v>0</v>
      </c>
      <c r="G299" s="3"/>
      <c r="H299" s="3"/>
      <c r="I299" s="3" t="str">
        <f>IFERROR(ROUND(INDEX('PROJETO PERFURAÇÃO'!$AB:$AB,MATCH(MEDIÇÃO!K299,'PROJETO PERFURAÇÃO'!$B:$B,0)),1)&amp;"''","")</f>
        <v>5''</v>
      </c>
      <c r="J299" s="3" t="str">
        <f>IFERROR(IF(INDEX('PROJETO PERFURAÇÃO'!$P:$P,MATCH(MEDIÇÃO!K299,'PROJETO PERFURAÇÃO'!$B:$B,0))="Production","P",IF(INDEX('PROJETO PERFURAÇÃO'!$P:$P,MATCH(MEDIÇÃO!K299,'PROJETO PERFURAÇÃO'!$B:$B,0))="Buffer","B",IF(INDEX('PROJETO PERFURAÇÃO'!$P:$P,MATCH(MEDIÇÃO!K299,'PROJETO PERFURAÇÃO'!$B:$B,0))="Pre-Splitting","S"))),"")</f>
        <v>P</v>
      </c>
      <c r="K299" s="14">
        <f t="shared" si="28"/>
        <v>660</v>
      </c>
      <c r="L299" s="4" t="str">
        <f>IFERROR(INDEX('LEV R&amp;D'!$D:$D,MATCH(MEDIÇÃO!K299,'LEV R&amp;D'!$A:$A,0))-INDEX('PROJETO PERFURAÇÃO'!$AH:$AH,MATCH(MEDIÇÃO!K299,'PROJETO PERFURAÇÃO'!$B:$B,0)),"")</f>
        <v/>
      </c>
      <c r="M299" s="17">
        <f>IFERROR(INDEX('PROJETO PERFURAÇÃO'!$AN:$AN,MATCH(MEDIÇÃO!K299,'PROJETO PERFURAÇÃO'!$B:$B,0)),"")</f>
        <v>0</v>
      </c>
      <c r="N299" s="3"/>
      <c r="O299" s="3"/>
      <c r="P299" s="3" t="str">
        <f>IFERROR(ROUND(INDEX('PROJETO PERFURAÇÃO'!$AB:$AB,MATCH(MEDIÇÃO!R299,'PROJETO PERFURAÇÃO'!$B:$B,0)),1)&amp;"''","")</f>
        <v>5''</v>
      </c>
      <c r="Q299" s="3" t="str">
        <f>IFERROR(IF(INDEX('PROJETO PERFURAÇÃO'!$P:$P,MATCH(MEDIÇÃO!R299,'PROJETO PERFURAÇÃO'!$B:$B,0))="Production","P",IF(INDEX('PROJETO PERFURAÇÃO'!$P:$P,MATCH(MEDIÇÃO!R299,'PROJETO PERFURAÇÃO'!$B:$B,0))="Buffer","B",IF(INDEX('PROJETO PERFURAÇÃO'!$P:$P,MATCH(MEDIÇÃO!R299,'PROJETO PERFURAÇÃO'!$B:$B,0))="Pre-Splitting","S"))),"")</f>
        <v>P</v>
      </c>
      <c r="R299" s="14">
        <f t="shared" si="29"/>
        <v>683</v>
      </c>
      <c r="S299" s="4" t="str">
        <f>IFERROR(INDEX('LEV R&amp;D'!$D:$D,MATCH(MEDIÇÃO!R299,'LEV R&amp;D'!$A:$A,0))-INDEX('PROJETO PERFURAÇÃO'!$AH:$AH,MATCH(MEDIÇÃO!R299,'PROJETO PERFURAÇÃO'!$B:$B,0)),"")</f>
        <v/>
      </c>
      <c r="T299" s="17">
        <f>IFERROR(INDEX('PROJETO PERFURAÇÃO'!$AN:$AN,MATCH(MEDIÇÃO!R299,'PROJETO PERFURAÇÃO'!$B:$B,0)),"")</f>
        <v>0</v>
      </c>
      <c r="U299" s="3"/>
      <c r="V299" s="3"/>
    </row>
    <row r="300" spans="2:22" ht="45" customHeight="1" x14ac:dyDescent="0.25">
      <c r="B300" s="3" t="str">
        <f>IFERROR(ROUND(INDEX('PROJETO PERFURAÇÃO'!$AB:$AB,MATCH(MEDIÇÃO!D300,'PROJETO PERFURAÇÃO'!$B:$B,0)),1)&amp;"''","")</f>
        <v>5''</v>
      </c>
      <c r="C300" s="3" t="str">
        <f>IFERROR(IF(INDEX('PROJETO PERFURAÇÃO'!$P:$P,MATCH(MEDIÇÃO!D300,'PROJETO PERFURAÇÃO'!$B:$B,0))="Production","P",IF(INDEX('PROJETO PERFURAÇÃO'!$P:$P,MATCH(MEDIÇÃO!D300,'PROJETO PERFURAÇÃO'!$B:$B,0))="Buffer","B",IF(INDEX('PROJETO PERFURAÇÃO'!$P:$P,MATCH(MEDIÇÃO!D300,'PROJETO PERFURAÇÃO'!$B:$B,0))="Pre-Splitting","S"))),"")</f>
        <v>P</v>
      </c>
      <c r="D300" s="14">
        <f t="shared" si="27"/>
        <v>638</v>
      </c>
      <c r="E300" s="4" t="str">
        <f>IFERROR(INDEX('LEV R&amp;D'!$D:$D,MATCH(MEDIÇÃO!D300,'LEV R&amp;D'!$A:$A,0))-INDEX('PROJETO PERFURAÇÃO'!$AH:$AH,MATCH(MEDIÇÃO!D300,'PROJETO PERFURAÇÃO'!$B:$B,0)),"")</f>
        <v/>
      </c>
      <c r="F300" s="17">
        <f>IFERROR(INDEX('PROJETO PERFURAÇÃO'!$AN:$AN,MATCH(MEDIÇÃO!D300,'PROJETO PERFURAÇÃO'!$B:$B,0)),"")</f>
        <v>0</v>
      </c>
      <c r="G300" s="3"/>
      <c r="H300" s="3"/>
      <c r="I300" s="3" t="str">
        <f>IFERROR(ROUND(INDEX('PROJETO PERFURAÇÃO'!$AB:$AB,MATCH(MEDIÇÃO!K300,'PROJETO PERFURAÇÃO'!$B:$B,0)),1)&amp;"''","")</f>
        <v>5''</v>
      </c>
      <c r="J300" s="3" t="str">
        <f>IFERROR(IF(INDEX('PROJETO PERFURAÇÃO'!$P:$P,MATCH(MEDIÇÃO!K300,'PROJETO PERFURAÇÃO'!$B:$B,0))="Production","P",IF(INDEX('PROJETO PERFURAÇÃO'!$P:$P,MATCH(MEDIÇÃO!K300,'PROJETO PERFURAÇÃO'!$B:$B,0))="Buffer","B",IF(INDEX('PROJETO PERFURAÇÃO'!$P:$P,MATCH(MEDIÇÃO!K300,'PROJETO PERFURAÇÃO'!$B:$B,0))="Pre-Splitting","S"))),"")</f>
        <v>P</v>
      </c>
      <c r="K300" s="14">
        <f t="shared" si="28"/>
        <v>661</v>
      </c>
      <c r="L300" s="4" t="str">
        <f>IFERROR(INDEX('LEV R&amp;D'!$D:$D,MATCH(MEDIÇÃO!K300,'LEV R&amp;D'!$A:$A,0))-INDEX('PROJETO PERFURAÇÃO'!$AH:$AH,MATCH(MEDIÇÃO!K300,'PROJETO PERFURAÇÃO'!$B:$B,0)),"")</f>
        <v/>
      </c>
      <c r="M300" s="17">
        <f>IFERROR(INDEX('PROJETO PERFURAÇÃO'!$AN:$AN,MATCH(MEDIÇÃO!K300,'PROJETO PERFURAÇÃO'!$B:$B,0)),"")</f>
        <v>0</v>
      </c>
      <c r="N300" s="3"/>
      <c r="O300" s="3"/>
      <c r="P300" s="3" t="str">
        <f>IFERROR(ROUND(INDEX('PROJETO PERFURAÇÃO'!$AB:$AB,MATCH(MEDIÇÃO!R300,'PROJETO PERFURAÇÃO'!$B:$B,0)),1)&amp;"''","")</f>
        <v>5''</v>
      </c>
      <c r="Q300" s="3" t="str">
        <f>IFERROR(IF(INDEX('PROJETO PERFURAÇÃO'!$P:$P,MATCH(MEDIÇÃO!R300,'PROJETO PERFURAÇÃO'!$B:$B,0))="Production","P",IF(INDEX('PROJETO PERFURAÇÃO'!$P:$P,MATCH(MEDIÇÃO!R300,'PROJETO PERFURAÇÃO'!$B:$B,0))="Buffer","B",IF(INDEX('PROJETO PERFURAÇÃO'!$P:$P,MATCH(MEDIÇÃO!R300,'PROJETO PERFURAÇÃO'!$B:$B,0))="Pre-Splitting","S"))),"")</f>
        <v>P</v>
      </c>
      <c r="R300" s="14">
        <f t="shared" si="29"/>
        <v>684</v>
      </c>
      <c r="S300" s="4" t="str">
        <f>IFERROR(INDEX('LEV R&amp;D'!$D:$D,MATCH(MEDIÇÃO!R300,'LEV R&amp;D'!$A:$A,0))-INDEX('PROJETO PERFURAÇÃO'!$AH:$AH,MATCH(MEDIÇÃO!R300,'PROJETO PERFURAÇÃO'!$B:$B,0)),"")</f>
        <v/>
      </c>
      <c r="T300" s="17">
        <f>IFERROR(INDEX('PROJETO PERFURAÇÃO'!$AN:$AN,MATCH(MEDIÇÃO!R300,'PROJETO PERFURAÇÃO'!$B:$B,0)),"")</f>
        <v>0</v>
      </c>
      <c r="U300" s="3"/>
      <c r="V300" s="3"/>
    </row>
    <row r="301" spans="2:22" ht="45" customHeight="1" x14ac:dyDescent="0.25">
      <c r="B301" s="3" t="str">
        <f>IFERROR(ROUND(INDEX('PROJETO PERFURAÇÃO'!$AB:$AB,MATCH(MEDIÇÃO!D301,'PROJETO PERFURAÇÃO'!$B:$B,0)),1)&amp;"''","")</f>
        <v>5''</v>
      </c>
      <c r="C301" s="3" t="str">
        <f>IFERROR(IF(INDEX('PROJETO PERFURAÇÃO'!$P:$P,MATCH(MEDIÇÃO!D301,'PROJETO PERFURAÇÃO'!$B:$B,0))="Production","P",IF(INDEX('PROJETO PERFURAÇÃO'!$P:$P,MATCH(MEDIÇÃO!D301,'PROJETO PERFURAÇÃO'!$B:$B,0))="Buffer","B",IF(INDEX('PROJETO PERFURAÇÃO'!$P:$P,MATCH(MEDIÇÃO!D301,'PROJETO PERFURAÇÃO'!$B:$B,0))="Pre-Splitting","S"))),"")</f>
        <v>P</v>
      </c>
      <c r="D301" s="14">
        <f t="shared" si="27"/>
        <v>639</v>
      </c>
      <c r="E301" s="4" t="str">
        <f>IFERROR(INDEX('LEV R&amp;D'!$D:$D,MATCH(MEDIÇÃO!D301,'LEV R&amp;D'!$A:$A,0))-INDEX('PROJETO PERFURAÇÃO'!$AH:$AH,MATCH(MEDIÇÃO!D301,'PROJETO PERFURAÇÃO'!$B:$B,0)),"")</f>
        <v/>
      </c>
      <c r="F301" s="17">
        <f>IFERROR(INDEX('PROJETO PERFURAÇÃO'!$AN:$AN,MATCH(MEDIÇÃO!D301,'PROJETO PERFURAÇÃO'!$B:$B,0)),"")</f>
        <v>0</v>
      </c>
      <c r="G301" s="3"/>
      <c r="H301" s="3"/>
      <c r="I301" s="3" t="str">
        <f>IFERROR(ROUND(INDEX('PROJETO PERFURAÇÃO'!$AB:$AB,MATCH(MEDIÇÃO!K301,'PROJETO PERFURAÇÃO'!$B:$B,0)),1)&amp;"''","")</f>
        <v>5''</v>
      </c>
      <c r="J301" s="3" t="str">
        <f>IFERROR(IF(INDEX('PROJETO PERFURAÇÃO'!$P:$P,MATCH(MEDIÇÃO!K301,'PROJETO PERFURAÇÃO'!$B:$B,0))="Production","P",IF(INDEX('PROJETO PERFURAÇÃO'!$P:$P,MATCH(MEDIÇÃO!K301,'PROJETO PERFURAÇÃO'!$B:$B,0))="Buffer","B",IF(INDEX('PROJETO PERFURAÇÃO'!$P:$P,MATCH(MEDIÇÃO!K301,'PROJETO PERFURAÇÃO'!$B:$B,0))="Pre-Splitting","S"))),"")</f>
        <v>P</v>
      </c>
      <c r="K301" s="14">
        <f t="shared" si="28"/>
        <v>662</v>
      </c>
      <c r="L301" s="4" t="str">
        <f>IFERROR(INDEX('LEV R&amp;D'!$D:$D,MATCH(MEDIÇÃO!K301,'LEV R&amp;D'!$A:$A,0))-INDEX('PROJETO PERFURAÇÃO'!$AH:$AH,MATCH(MEDIÇÃO!K301,'PROJETO PERFURAÇÃO'!$B:$B,0)),"")</f>
        <v/>
      </c>
      <c r="M301" s="17">
        <f>IFERROR(INDEX('PROJETO PERFURAÇÃO'!$AN:$AN,MATCH(MEDIÇÃO!K301,'PROJETO PERFURAÇÃO'!$B:$B,0)),"")</f>
        <v>0</v>
      </c>
      <c r="N301" s="3"/>
      <c r="O301" s="3"/>
      <c r="P301" s="3" t="str">
        <f>IFERROR(ROUND(INDEX('PROJETO PERFURAÇÃO'!$AB:$AB,MATCH(MEDIÇÃO!R301,'PROJETO PERFURAÇÃO'!$B:$B,0)),1)&amp;"''","")</f>
        <v>5''</v>
      </c>
      <c r="Q301" s="3" t="str">
        <f>IFERROR(IF(INDEX('PROJETO PERFURAÇÃO'!$P:$P,MATCH(MEDIÇÃO!R301,'PROJETO PERFURAÇÃO'!$B:$B,0))="Production","P",IF(INDEX('PROJETO PERFURAÇÃO'!$P:$P,MATCH(MEDIÇÃO!R301,'PROJETO PERFURAÇÃO'!$B:$B,0))="Buffer","B",IF(INDEX('PROJETO PERFURAÇÃO'!$P:$P,MATCH(MEDIÇÃO!R301,'PROJETO PERFURAÇÃO'!$B:$B,0))="Pre-Splitting","S"))),"")</f>
        <v>P</v>
      </c>
      <c r="R301" s="14">
        <f t="shared" si="29"/>
        <v>685</v>
      </c>
      <c r="S301" s="4" t="str">
        <f>IFERROR(INDEX('LEV R&amp;D'!$D:$D,MATCH(MEDIÇÃO!R301,'LEV R&amp;D'!$A:$A,0))-INDEX('PROJETO PERFURAÇÃO'!$AH:$AH,MATCH(MEDIÇÃO!R301,'PROJETO PERFURAÇÃO'!$B:$B,0)),"")</f>
        <v/>
      </c>
      <c r="T301" s="17">
        <f>IFERROR(INDEX('PROJETO PERFURAÇÃO'!$AN:$AN,MATCH(MEDIÇÃO!R301,'PROJETO PERFURAÇÃO'!$B:$B,0)),"")</f>
        <v>0</v>
      </c>
      <c r="U301" s="3"/>
      <c r="V301" s="3"/>
    </row>
    <row r="302" spans="2:22" ht="45" customHeight="1" x14ac:dyDescent="0.25">
      <c r="B302" s="3" t="str">
        <f>IFERROR(ROUND(INDEX('PROJETO PERFURAÇÃO'!$AB:$AB,MATCH(MEDIÇÃO!D302,'PROJETO PERFURAÇÃO'!$B:$B,0)),1)&amp;"''","")</f>
        <v>5''</v>
      </c>
      <c r="C302" s="3" t="str">
        <f>IFERROR(IF(INDEX('PROJETO PERFURAÇÃO'!$P:$P,MATCH(MEDIÇÃO!D302,'PROJETO PERFURAÇÃO'!$B:$B,0))="Production","P",IF(INDEX('PROJETO PERFURAÇÃO'!$P:$P,MATCH(MEDIÇÃO!D302,'PROJETO PERFURAÇÃO'!$B:$B,0))="Buffer","B",IF(INDEX('PROJETO PERFURAÇÃO'!$P:$P,MATCH(MEDIÇÃO!D302,'PROJETO PERFURAÇÃO'!$B:$B,0))="Pre-Splitting","S"))),"")</f>
        <v>P</v>
      </c>
      <c r="D302" s="14">
        <f t="shared" si="27"/>
        <v>640</v>
      </c>
      <c r="E302" s="4" t="str">
        <f>IFERROR(INDEX('LEV R&amp;D'!$D:$D,MATCH(MEDIÇÃO!D302,'LEV R&amp;D'!$A:$A,0))-INDEX('PROJETO PERFURAÇÃO'!$AH:$AH,MATCH(MEDIÇÃO!D302,'PROJETO PERFURAÇÃO'!$B:$B,0)),"")</f>
        <v/>
      </c>
      <c r="F302" s="17">
        <f>IFERROR(INDEX('PROJETO PERFURAÇÃO'!$AN:$AN,MATCH(MEDIÇÃO!D302,'PROJETO PERFURAÇÃO'!$B:$B,0)),"")</f>
        <v>0</v>
      </c>
      <c r="G302" s="3"/>
      <c r="H302" s="3"/>
      <c r="I302" s="3" t="str">
        <f>IFERROR(ROUND(INDEX('PROJETO PERFURAÇÃO'!$AB:$AB,MATCH(MEDIÇÃO!K302,'PROJETO PERFURAÇÃO'!$B:$B,0)),1)&amp;"''","")</f>
        <v>5''</v>
      </c>
      <c r="J302" s="3" t="str">
        <f>IFERROR(IF(INDEX('PROJETO PERFURAÇÃO'!$P:$P,MATCH(MEDIÇÃO!K302,'PROJETO PERFURAÇÃO'!$B:$B,0))="Production","P",IF(INDEX('PROJETO PERFURAÇÃO'!$P:$P,MATCH(MEDIÇÃO!K302,'PROJETO PERFURAÇÃO'!$B:$B,0))="Buffer","B",IF(INDEX('PROJETO PERFURAÇÃO'!$P:$P,MATCH(MEDIÇÃO!K302,'PROJETO PERFURAÇÃO'!$B:$B,0))="Pre-Splitting","S"))),"")</f>
        <v>P</v>
      </c>
      <c r="K302" s="14">
        <f t="shared" si="28"/>
        <v>663</v>
      </c>
      <c r="L302" s="4" t="str">
        <f>IFERROR(INDEX('LEV R&amp;D'!$D:$D,MATCH(MEDIÇÃO!K302,'LEV R&amp;D'!$A:$A,0))-INDEX('PROJETO PERFURAÇÃO'!$AH:$AH,MATCH(MEDIÇÃO!K302,'PROJETO PERFURAÇÃO'!$B:$B,0)),"")</f>
        <v/>
      </c>
      <c r="M302" s="17">
        <f>IFERROR(INDEX('PROJETO PERFURAÇÃO'!$AN:$AN,MATCH(MEDIÇÃO!K302,'PROJETO PERFURAÇÃO'!$B:$B,0)),"")</f>
        <v>0</v>
      </c>
      <c r="N302" s="3"/>
      <c r="O302" s="3"/>
      <c r="P302" s="3" t="str">
        <f>IFERROR(ROUND(INDEX('PROJETO PERFURAÇÃO'!$AB:$AB,MATCH(MEDIÇÃO!R302,'PROJETO PERFURAÇÃO'!$B:$B,0)),1)&amp;"''","")</f>
        <v>5''</v>
      </c>
      <c r="Q302" s="3" t="str">
        <f>IFERROR(IF(INDEX('PROJETO PERFURAÇÃO'!$P:$P,MATCH(MEDIÇÃO!R302,'PROJETO PERFURAÇÃO'!$B:$B,0))="Production","P",IF(INDEX('PROJETO PERFURAÇÃO'!$P:$P,MATCH(MEDIÇÃO!R302,'PROJETO PERFURAÇÃO'!$B:$B,0))="Buffer","B",IF(INDEX('PROJETO PERFURAÇÃO'!$P:$P,MATCH(MEDIÇÃO!R302,'PROJETO PERFURAÇÃO'!$B:$B,0))="Pre-Splitting","S"))),"")</f>
        <v>P</v>
      </c>
      <c r="R302" s="14">
        <f t="shared" si="29"/>
        <v>686</v>
      </c>
      <c r="S302" s="4" t="str">
        <f>IFERROR(INDEX('LEV R&amp;D'!$D:$D,MATCH(MEDIÇÃO!R302,'LEV R&amp;D'!$A:$A,0))-INDEX('PROJETO PERFURAÇÃO'!$AH:$AH,MATCH(MEDIÇÃO!R302,'PROJETO PERFURAÇÃO'!$B:$B,0)),"")</f>
        <v/>
      </c>
      <c r="T302" s="17">
        <f>IFERROR(INDEX('PROJETO PERFURAÇÃO'!$AN:$AN,MATCH(MEDIÇÃO!R302,'PROJETO PERFURAÇÃO'!$B:$B,0)),"")</f>
        <v>0</v>
      </c>
      <c r="U302" s="3"/>
      <c r="V302" s="3"/>
    </row>
    <row r="303" spans="2:22" ht="45" customHeight="1" x14ac:dyDescent="0.25">
      <c r="B303" s="3" t="str">
        <f>IFERROR(ROUND(INDEX('PROJETO PERFURAÇÃO'!$AB:$AB,MATCH(MEDIÇÃO!D303,'PROJETO PERFURAÇÃO'!$B:$B,0)),1)&amp;"''","")</f>
        <v>5''</v>
      </c>
      <c r="C303" s="3" t="str">
        <f>IFERROR(IF(INDEX('PROJETO PERFURAÇÃO'!$P:$P,MATCH(MEDIÇÃO!D303,'PROJETO PERFURAÇÃO'!$B:$B,0))="Production","P",IF(INDEX('PROJETO PERFURAÇÃO'!$P:$P,MATCH(MEDIÇÃO!D303,'PROJETO PERFURAÇÃO'!$B:$B,0))="Buffer","B",IF(INDEX('PROJETO PERFURAÇÃO'!$P:$P,MATCH(MEDIÇÃO!D303,'PROJETO PERFURAÇÃO'!$B:$B,0))="Pre-Splitting","S"))),"")</f>
        <v>P</v>
      </c>
      <c r="D303" s="14">
        <f t="shared" si="27"/>
        <v>641</v>
      </c>
      <c r="E303" s="4" t="str">
        <f>IFERROR(INDEX('LEV R&amp;D'!$D:$D,MATCH(MEDIÇÃO!D303,'LEV R&amp;D'!$A:$A,0))-INDEX('PROJETO PERFURAÇÃO'!$AH:$AH,MATCH(MEDIÇÃO!D303,'PROJETO PERFURAÇÃO'!$B:$B,0)),"")</f>
        <v/>
      </c>
      <c r="F303" s="17">
        <f>IFERROR(INDEX('PROJETO PERFURAÇÃO'!$AN:$AN,MATCH(MEDIÇÃO!D303,'PROJETO PERFURAÇÃO'!$B:$B,0)),"")</f>
        <v>0</v>
      </c>
      <c r="G303" s="3"/>
      <c r="H303" s="3"/>
      <c r="I303" s="3" t="str">
        <f>IFERROR(ROUND(INDEX('PROJETO PERFURAÇÃO'!$AB:$AB,MATCH(MEDIÇÃO!K303,'PROJETO PERFURAÇÃO'!$B:$B,0)),1)&amp;"''","")</f>
        <v>5''</v>
      </c>
      <c r="J303" s="3" t="str">
        <f>IFERROR(IF(INDEX('PROJETO PERFURAÇÃO'!$P:$P,MATCH(MEDIÇÃO!K303,'PROJETO PERFURAÇÃO'!$B:$B,0))="Production","P",IF(INDEX('PROJETO PERFURAÇÃO'!$P:$P,MATCH(MEDIÇÃO!K303,'PROJETO PERFURAÇÃO'!$B:$B,0))="Buffer","B",IF(INDEX('PROJETO PERFURAÇÃO'!$P:$P,MATCH(MEDIÇÃO!K303,'PROJETO PERFURAÇÃO'!$B:$B,0))="Pre-Splitting","S"))),"")</f>
        <v>P</v>
      </c>
      <c r="K303" s="14">
        <f t="shared" si="28"/>
        <v>664</v>
      </c>
      <c r="L303" s="4" t="str">
        <f>IFERROR(INDEX('LEV R&amp;D'!$D:$D,MATCH(MEDIÇÃO!K303,'LEV R&amp;D'!$A:$A,0))-INDEX('PROJETO PERFURAÇÃO'!$AH:$AH,MATCH(MEDIÇÃO!K303,'PROJETO PERFURAÇÃO'!$B:$B,0)),"")</f>
        <v/>
      </c>
      <c r="M303" s="17">
        <f>IFERROR(INDEX('PROJETO PERFURAÇÃO'!$AN:$AN,MATCH(MEDIÇÃO!K303,'PROJETO PERFURAÇÃO'!$B:$B,0)),"")</f>
        <v>0</v>
      </c>
      <c r="N303" s="3"/>
      <c r="O303" s="3"/>
      <c r="P303" s="3" t="str">
        <f>IFERROR(ROUND(INDEX('PROJETO PERFURAÇÃO'!$AB:$AB,MATCH(MEDIÇÃO!R303,'PROJETO PERFURAÇÃO'!$B:$B,0)),1)&amp;"''","")</f>
        <v>5''</v>
      </c>
      <c r="Q303" s="3" t="str">
        <f>IFERROR(IF(INDEX('PROJETO PERFURAÇÃO'!$P:$P,MATCH(MEDIÇÃO!R303,'PROJETO PERFURAÇÃO'!$B:$B,0))="Production","P",IF(INDEX('PROJETO PERFURAÇÃO'!$P:$P,MATCH(MEDIÇÃO!R303,'PROJETO PERFURAÇÃO'!$B:$B,0))="Buffer","B",IF(INDEX('PROJETO PERFURAÇÃO'!$P:$P,MATCH(MEDIÇÃO!R303,'PROJETO PERFURAÇÃO'!$B:$B,0))="Pre-Splitting","S"))),"")</f>
        <v>P</v>
      </c>
      <c r="R303" s="14">
        <f t="shared" si="29"/>
        <v>687</v>
      </c>
      <c r="S303" s="4" t="str">
        <f>IFERROR(INDEX('LEV R&amp;D'!$D:$D,MATCH(MEDIÇÃO!R303,'LEV R&amp;D'!$A:$A,0))-INDEX('PROJETO PERFURAÇÃO'!$AH:$AH,MATCH(MEDIÇÃO!R303,'PROJETO PERFURAÇÃO'!$B:$B,0)),"")</f>
        <v/>
      </c>
      <c r="T303" s="17">
        <f>IFERROR(INDEX('PROJETO PERFURAÇÃO'!$AN:$AN,MATCH(MEDIÇÃO!R303,'PROJETO PERFURAÇÃO'!$B:$B,0)),"")</f>
        <v>0</v>
      </c>
      <c r="U303" s="3"/>
      <c r="V303" s="3"/>
    </row>
    <row r="304" spans="2:22" ht="45" customHeight="1" x14ac:dyDescent="0.25">
      <c r="B304" s="3" t="str">
        <f>IFERROR(ROUND(INDEX('PROJETO PERFURAÇÃO'!$AB:$AB,MATCH(MEDIÇÃO!D304,'PROJETO PERFURAÇÃO'!$B:$B,0)),1)&amp;"''","")</f>
        <v>5''</v>
      </c>
      <c r="C304" s="3" t="str">
        <f>IFERROR(IF(INDEX('PROJETO PERFURAÇÃO'!$P:$P,MATCH(MEDIÇÃO!D304,'PROJETO PERFURAÇÃO'!$B:$B,0))="Production","P",IF(INDEX('PROJETO PERFURAÇÃO'!$P:$P,MATCH(MEDIÇÃO!D304,'PROJETO PERFURAÇÃO'!$B:$B,0))="Buffer","B",IF(INDEX('PROJETO PERFURAÇÃO'!$P:$P,MATCH(MEDIÇÃO!D304,'PROJETO PERFURAÇÃO'!$B:$B,0))="Pre-Splitting","S"))),"")</f>
        <v>P</v>
      </c>
      <c r="D304" s="14">
        <f t="shared" si="27"/>
        <v>642</v>
      </c>
      <c r="E304" s="4" t="str">
        <f>IFERROR(INDEX('LEV R&amp;D'!$D:$D,MATCH(MEDIÇÃO!D304,'LEV R&amp;D'!$A:$A,0))-INDEX('PROJETO PERFURAÇÃO'!$AH:$AH,MATCH(MEDIÇÃO!D304,'PROJETO PERFURAÇÃO'!$B:$B,0)),"")</f>
        <v/>
      </c>
      <c r="F304" s="17">
        <f>IFERROR(INDEX('PROJETO PERFURAÇÃO'!$AN:$AN,MATCH(MEDIÇÃO!D304,'PROJETO PERFURAÇÃO'!$B:$B,0)),"")</f>
        <v>0</v>
      </c>
      <c r="G304" s="3"/>
      <c r="H304" s="3"/>
      <c r="I304" s="3" t="str">
        <f>IFERROR(ROUND(INDEX('PROJETO PERFURAÇÃO'!$AB:$AB,MATCH(MEDIÇÃO!K304,'PROJETO PERFURAÇÃO'!$B:$B,0)),1)&amp;"''","")</f>
        <v>5''</v>
      </c>
      <c r="J304" s="3" t="str">
        <f>IFERROR(IF(INDEX('PROJETO PERFURAÇÃO'!$P:$P,MATCH(MEDIÇÃO!K304,'PROJETO PERFURAÇÃO'!$B:$B,0))="Production","P",IF(INDEX('PROJETO PERFURAÇÃO'!$P:$P,MATCH(MEDIÇÃO!K304,'PROJETO PERFURAÇÃO'!$B:$B,0))="Buffer","B",IF(INDEX('PROJETO PERFURAÇÃO'!$P:$P,MATCH(MEDIÇÃO!K304,'PROJETO PERFURAÇÃO'!$B:$B,0))="Pre-Splitting","S"))),"")</f>
        <v>P</v>
      </c>
      <c r="K304" s="14">
        <f t="shared" si="28"/>
        <v>665</v>
      </c>
      <c r="L304" s="4" t="str">
        <f>IFERROR(INDEX('LEV R&amp;D'!$D:$D,MATCH(MEDIÇÃO!K304,'LEV R&amp;D'!$A:$A,0))-INDEX('PROJETO PERFURAÇÃO'!$AH:$AH,MATCH(MEDIÇÃO!K304,'PROJETO PERFURAÇÃO'!$B:$B,0)),"")</f>
        <v/>
      </c>
      <c r="M304" s="17">
        <f>IFERROR(INDEX('PROJETO PERFURAÇÃO'!$AN:$AN,MATCH(MEDIÇÃO!K304,'PROJETO PERFURAÇÃO'!$B:$B,0)),"")</f>
        <v>0</v>
      </c>
      <c r="N304" s="3"/>
      <c r="O304" s="3"/>
      <c r="P304" s="3" t="str">
        <f>IFERROR(ROUND(INDEX('PROJETO PERFURAÇÃO'!$AB:$AB,MATCH(MEDIÇÃO!R304,'PROJETO PERFURAÇÃO'!$B:$B,0)),1)&amp;"''","")</f>
        <v>5''</v>
      </c>
      <c r="Q304" s="3" t="str">
        <f>IFERROR(IF(INDEX('PROJETO PERFURAÇÃO'!$P:$P,MATCH(MEDIÇÃO!R304,'PROJETO PERFURAÇÃO'!$B:$B,0))="Production","P",IF(INDEX('PROJETO PERFURAÇÃO'!$P:$P,MATCH(MEDIÇÃO!R304,'PROJETO PERFURAÇÃO'!$B:$B,0))="Buffer","B",IF(INDEX('PROJETO PERFURAÇÃO'!$P:$P,MATCH(MEDIÇÃO!R304,'PROJETO PERFURAÇÃO'!$B:$B,0))="Pre-Splitting","S"))),"")</f>
        <v>P</v>
      </c>
      <c r="R304" s="14">
        <f t="shared" si="29"/>
        <v>688</v>
      </c>
      <c r="S304" s="4" t="str">
        <f>IFERROR(INDEX('LEV R&amp;D'!$D:$D,MATCH(MEDIÇÃO!R304,'LEV R&amp;D'!$A:$A,0))-INDEX('PROJETO PERFURAÇÃO'!$AH:$AH,MATCH(MEDIÇÃO!R304,'PROJETO PERFURAÇÃO'!$B:$B,0)),"")</f>
        <v/>
      </c>
      <c r="T304" s="17">
        <f>IFERROR(INDEX('PROJETO PERFURAÇÃO'!$AN:$AN,MATCH(MEDIÇÃO!R304,'PROJETO PERFURAÇÃO'!$B:$B,0)),"")</f>
        <v>5</v>
      </c>
      <c r="U304" s="3"/>
      <c r="V304" s="3"/>
    </row>
    <row r="305" spans="1:23" ht="45" customHeight="1" x14ac:dyDescent="0.25">
      <c r="B305" s="3" t="str">
        <f>IFERROR(ROUND(INDEX('PROJETO PERFURAÇÃO'!$AB:$AB,MATCH(MEDIÇÃO!D305,'PROJETO PERFURAÇÃO'!$B:$B,0)),1)&amp;"''","")</f>
        <v>5''</v>
      </c>
      <c r="C305" s="3" t="str">
        <f>IFERROR(IF(INDEX('PROJETO PERFURAÇÃO'!$P:$P,MATCH(MEDIÇÃO!D305,'PROJETO PERFURAÇÃO'!$B:$B,0))="Production","P",IF(INDEX('PROJETO PERFURAÇÃO'!$P:$P,MATCH(MEDIÇÃO!D305,'PROJETO PERFURAÇÃO'!$B:$B,0))="Buffer","B",IF(INDEX('PROJETO PERFURAÇÃO'!$P:$P,MATCH(MEDIÇÃO!D305,'PROJETO PERFURAÇÃO'!$B:$B,0))="Pre-Splitting","S"))),"")</f>
        <v>P</v>
      </c>
      <c r="D305" s="14">
        <f t="shared" si="27"/>
        <v>643</v>
      </c>
      <c r="E305" s="4" t="str">
        <f>IFERROR(INDEX('LEV R&amp;D'!$D:$D,MATCH(MEDIÇÃO!D305,'LEV R&amp;D'!$A:$A,0))-INDEX('PROJETO PERFURAÇÃO'!$AH:$AH,MATCH(MEDIÇÃO!D305,'PROJETO PERFURAÇÃO'!$B:$B,0)),"")</f>
        <v/>
      </c>
      <c r="F305" s="17">
        <f>IFERROR(INDEX('PROJETO PERFURAÇÃO'!$AN:$AN,MATCH(MEDIÇÃO!D305,'PROJETO PERFURAÇÃO'!$B:$B,0)),"")</f>
        <v>0</v>
      </c>
      <c r="G305" s="3"/>
      <c r="H305" s="3"/>
      <c r="I305" s="3" t="str">
        <f>IFERROR(ROUND(INDEX('PROJETO PERFURAÇÃO'!$AB:$AB,MATCH(MEDIÇÃO!K305,'PROJETO PERFURAÇÃO'!$B:$B,0)),1)&amp;"''","")</f>
        <v>5''</v>
      </c>
      <c r="J305" s="3" t="str">
        <f>IFERROR(IF(INDEX('PROJETO PERFURAÇÃO'!$P:$P,MATCH(MEDIÇÃO!K305,'PROJETO PERFURAÇÃO'!$B:$B,0))="Production","P",IF(INDEX('PROJETO PERFURAÇÃO'!$P:$P,MATCH(MEDIÇÃO!K305,'PROJETO PERFURAÇÃO'!$B:$B,0))="Buffer","B",IF(INDEX('PROJETO PERFURAÇÃO'!$P:$P,MATCH(MEDIÇÃO!K305,'PROJETO PERFURAÇÃO'!$B:$B,0))="Pre-Splitting","S"))),"")</f>
        <v>P</v>
      </c>
      <c r="K305" s="14">
        <f t="shared" si="28"/>
        <v>666</v>
      </c>
      <c r="L305" s="4" t="str">
        <f>IFERROR(INDEX('LEV R&amp;D'!$D:$D,MATCH(MEDIÇÃO!K305,'LEV R&amp;D'!$A:$A,0))-INDEX('PROJETO PERFURAÇÃO'!$AH:$AH,MATCH(MEDIÇÃO!K305,'PROJETO PERFURAÇÃO'!$B:$B,0)),"")</f>
        <v/>
      </c>
      <c r="M305" s="17">
        <f>IFERROR(INDEX('PROJETO PERFURAÇÃO'!$AN:$AN,MATCH(MEDIÇÃO!K305,'PROJETO PERFURAÇÃO'!$B:$B,0)),"")</f>
        <v>0</v>
      </c>
      <c r="N305" s="3"/>
      <c r="O305" s="3"/>
      <c r="P305" s="3" t="str">
        <f>IFERROR(ROUND(INDEX('PROJETO PERFURAÇÃO'!$AB:$AB,MATCH(MEDIÇÃO!R305,'PROJETO PERFURAÇÃO'!$B:$B,0)),1)&amp;"''","")</f>
        <v>5''</v>
      </c>
      <c r="Q305" s="3" t="str">
        <f>IFERROR(IF(INDEX('PROJETO PERFURAÇÃO'!$P:$P,MATCH(MEDIÇÃO!R305,'PROJETO PERFURAÇÃO'!$B:$B,0))="Production","P",IF(INDEX('PROJETO PERFURAÇÃO'!$P:$P,MATCH(MEDIÇÃO!R305,'PROJETO PERFURAÇÃO'!$B:$B,0))="Buffer","B",IF(INDEX('PROJETO PERFURAÇÃO'!$P:$P,MATCH(MEDIÇÃO!R305,'PROJETO PERFURAÇÃO'!$B:$B,0))="Pre-Splitting","S"))),"")</f>
        <v>P</v>
      </c>
      <c r="R305" s="14">
        <f t="shared" si="29"/>
        <v>689</v>
      </c>
      <c r="S305" s="4" t="str">
        <f>IFERROR(INDEX('LEV R&amp;D'!$D:$D,MATCH(MEDIÇÃO!R305,'LEV R&amp;D'!$A:$A,0))-INDEX('PROJETO PERFURAÇÃO'!$AH:$AH,MATCH(MEDIÇÃO!R305,'PROJETO PERFURAÇÃO'!$B:$B,0)),"")</f>
        <v/>
      </c>
      <c r="T305" s="17">
        <f>IFERROR(INDEX('PROJETO PERFURAÇÃO'!$AN:$AN,MATCH(MEDIÇÃO!R305,'PROJETO PERFURAÇÃO'!$B:$B,0)),"")</f>
        <v>0</v>
      </c>
      <c r="U305" s="3"/>
      <c r="V305" s="3"/>
    </row>
    <row r="306" spans="1:23" ht="45" customHeight="1" x14ac:dyDescent="0.25">
      <c r="B306" s="3" t="str">
        <f>IFERROR(ROUND(INDEX('PROJETO PERFURAÇÃO'!$AB:$AB,MATCH(MEDIÇÃO!D306,'PROJETO PERFURAÇÃO'!$B:$B,0)),1)&amp;"''","")</f>
        <v>5''</v>
      </c>
      <c r="C306" s="3" t="str">
        <f>IFERROR(IF(INDEX('PROJETO PERFURAÇÃO'!$P:$P,MATCH(MEDIÇÃO!D306,'PROJETO PERFURAÇÃO'!$B:$B,0))="Production","P",IF(INDEX('PROJETO PERFURAÇÃO'!$P:$P,MATCH(MEDIÇÃO!D306,'PROJETO PERFURAÇÃO'!$B:$B,0))="Buffer","B",IF(INDEX('PROJETO PERFURAÇÃO'!$P:$P,MATCH(MEDIÇÃO!D306,'PROJETO PERFURAÇÃO'!$B:$B,0))="Pre-Splitting","S"))),"")</f>
        <v>P</v>
      </c>
      <c r="D306" s="14">
        <f t="shared" si="27"/>
        <v>644</v>
      </c>
      <c r="E306" s="4" t="str">
        <f>IFERROR(INDEX('LEV R&amp;D'!$D:$D,MATCH(MEDIÇÃO!D306,'LEV R&amp;D'!$A:$A,0))-INDEX('PROJETO PERFURAÇÃO'!$AH:$AH,MATCH(MEDIÇÃO!D306,'PROJETO PERFURAÇÃO'!$B:$B,0)),"")</f>
        <v/>
      </c>
      <c r="F306" s="17">
        <f>IFERROR(INDEX('PROJETO PERFURAÇÃO'!$AN:$AN,MATCH(MEDIÇÃO!D306,'PROJETO PERFURAÇÃO'!$B:$B,0)),"")</f>
        <v>0</v>
      </c>
      <c r="G306" s="3"/>
      <c r="H306" s="3"/>
      <c r="I306" s="3" t="str">
        <f>IFERROR(ROUND(INDEX('PROJETO PERFURAÇÃO'!$AB:$AB,MATCH(MEDIÇÃO!K306,'PROJETO PERFURAÇÃO'!$B:$B,0)),1)&amp;"''","")</f>
        <v>5''</v>
      </c>
      <c r="J306" s="3" t="str">
        <f>IFERROR(IF(INDEX('PROJETO PERFURAÇÃO'!$P:$P,MATCH(MEDIÇÃO!K306,'PROJETO PERFURAÇÃO'!$B:$B,0))="Production","P",IF(INDEX('PROJETO PERFURAÇÃO'!$P:$P,MATCH(MEDIÇÃO!K306,'PROJETO PERFURAÇÃO'!$B:$B,0))="Buffer","B",IF(INDEX('PROJETO PERFURAÇÃO'!$P:$P,MATCH(MEDIÇÃO!K306,'PROJETO PERFURAÇÃO'!$B:$B,0))="Pre-Splitting","S"))),"")</f>
        <v>P</v>
      </c>
      <c r="K306" s="14">
        <f t="shared" si="28"/>
        <v>667</v>
      </c>
      <c r="L306" s="4" t="str">
        <f>IFERROR(INDEX('LEV R&amp;D'!$D:$D,MATCH(MEDIÇÃO!K306,'LEV R&amp;D'!$A:$A,0))-INDEX('PROJETO PERFURAÇÃO'!$AH:$AH,MATCH(MEDIÇÃO!K306,'PROJETO PERFURAÇÃO'!$B:$B,0)),"")</f>
        <v/>
      </c>
      <c r="M306" s="17">
        <f>IFERROR(INDEX('PROJETO PERFURAÇÃO'!$AN:$AN,MATCH(MEDIÇÃO!K306,'PROJETO PERFURAÇÃO'!$B:$B,0)),"")</f>
        <v>0</v>
      </c>
      <c r="N306" s="3"/>
      <c r="O306" s="3"/>
      <c r="P306" s="3" t="str">
        <f>IFERROR(ROUND(INDEX('PROJETO PERFURAÇÃO'!$AB:$AB,MATCH(MEDIÇÃO!R306,'PROJETO PERFURAÇÃO'!$B:$B,0)),1)&amp;"''","")</f>
        <v>5''</v>
      </c>
      <c r="Q306" s="3" t="str">
        <f>IFERROR(IF(INDEX('PROJETO PERFURAÇÃO'!$P:$P,MATCH(MEDIÇÃO!R306,'PROJETO PERFURAÇÃO'!$B:$B,0))="Production","P",IF(INDEX('PROJETO PERFURAÇÃO'!$P:$P,MATCH(MEDIÇÃO!R306,'PROJETO PERFURAÇÃO'!$B:$B,0))="Buffer","B",IF(INDEX('PROJETO PERFURAÇÃO'!$P:$P,MATCH(MEDIÇÃO!R306,'PROJETO PERFURAÇÃO'!$B:$B,0))="Pre-Splitting","S"))),"")</f>
        <v>P</v>
      </c>
      <c r="R306" s="14">
        <f t="shared" si="29"/>
        <v>690</v>
      </c>
      <c r="S306" s="4" t="str">
        <f>IFERROR(INDEX('LEV R&amp;D'!$D:$D,MATCH(MEDIÇÃO!R306,'LEV R&amp;D'!$A:$A,0))-INDEX('PROJETO PERFURAÇÃO'!$AH:$AH,MATCH(MEDIÇÃO!R306,'PROJETO PERFURAÇÃO'!$B:$B,0)),"")</f>
        <v/>
      </c>
      <c r="T306" s="17">
        <f>IFERROR(INDEX('PROJETO PERFURAÇÃO'!$AN:$AN,MATCH(MEDIÇÃO!R306,'PROJETO PERFURAÇÃO'!$B:$B,0)),"")</f>
        <v>0</v>
      </c>
      <c r="U306" s="3"/>
      <c r="V306" s="3"/>
    </row>
    <row r="307" spans="1:23" ht="30" customHeight="1" x14ac:dyDescent="0.25">
      <c r="B307" s="1"/>
      <c r="C307" s="1"/>
      <c r="D307" s="15"/>
      <c r="E307" s="2"/>
      <c r="F307" s="16"/>
      <c r="G307" s="1"/>
      <c r="H307" s="1"/>
      <c r="I307" s="1"/>
      <c r="J307" s="1"/>
      <c r="K307" s="15"/>
      <c r="L307" s="2"/>
      <c r="M307" s="16"/>
      <c r="N307" s="1"/>
      <c r="O307" s="1"/>
      <c r="P307" s="1"/>
      <c r="Q307" s="1"/>
      <c r="R307" s="15"/>
      <c r="S307" s="2"/>
      <c r="T307" s="16"/>
      <c r="U307" s="1"/>
      <c r="V307" s="1"/>
    </row>
    <row r="308" spans="1:23" ht="30" customHeight="1" x14ac:dyDescent="0.25">
      <c r="C308" s="20"/>
      <c r="D308" s="20"/>
      <c r="E308" s="20"/>
      <c r="F308" s="20"/>
      <c r="G308" s="20"/>
      <c r="H308" s="20"/>
      <c r="I308" s="20"/>
      <c r="J308" s="20"/>
      <c r="K308" s="20"/>
      <c r="M308" s="20"/>
      <c r="N308" s="20"/>
      <c r="O308" s="20"/>
      <c r="P308" s="20"/>
      <c r="Q308" s="20"/>
      <c r="R308" s="20"/>
      <c r="S308" s="20"/>
      <c r="T308" s="20"/>
      <c r="U308" s="20"/>
    </row>
    <row r="309" spans="1:23" ht="30" customHeight="1" x14ac:dyDescent="0.25">
      <c r="C309" s="21" t="s">
        <v>40</v>
      </c>
      <c r="D309" s="21"/>
      <c r="E309" s="21"/>
      <c r="F309" s="21"/>
      <c r="G309" s="21"/>
      <c r="H309" s="21"/>
      <c r="I309" s="21"/>
      <c r="J309" s="21"/>
      <c r="K309" s="21"/>
      <c r="L309" s="9"/>
      <c r="M309" s="21" t="s">
        <v>40</v>
      </c>
      <c r="N309" s="21"/>
      <c r="O309" s="21"/>
      <c r="P309" s="21"/>
      <c r="Q309" s="21"/>
      <c r="R309" s="21"/>
      <c r="S309" s="21"/>
      <c r="T309" s="21"/>
      <c r="U309" s="21"/>
      <c r="V309" s="9"/>
    </row>
    <row r="310" spans="1:23" ht="30" customHeight="1" x14ac:dyDescent="0.25">
      <c r="D310" s="9"/>
      <c r="E310" s="9"/>
      <c r="F310" s="9"/>
      <c r="G310" s="9"/>
      <c r="H310" s="9"/>
      <c r="I310" s="9"/>
      <c r="J310" s="9"/>
      <c r="K310" s="9"/>
      <c r="L310" s="9"/>
      <c r="M310" s="9"/>
      <c r="N310" s="9"/>
      <c r="Q310" s="9"/>
      <c r="R310" s="9"/>
      <c r="S310" s="9"/>
      <c r="T310" s="9"/>
      <c r="U310" s="9"/>
      <c r="V310" s="9"/>
    </row>
    <row r="311" spans="1:23" ht="30" customHeight="1" x14ac:dyDescent="0.25">
      <c r="B311" s="19" t="str">
        <f>'PROJETO PERFURAÇÃO'!$C$2&amp;" - "&amp;'PROJETO PERFURAÇÃO'!$H$2</f>
        <v>LIB065 - PP0651026</v>
      </c>
      <c r="C311" s="19"/>
      <c r="D311" s="19"/>
      <c r="E311" s="19"/>
      <c r="F311" s="19"/>
      <c r="G311" s="19"/>
      <c r="H311" s="19"/>
      <c r="I311" s="11" t="s">
        <v>34</v>
      </c>
      <c r="J311" s="10" t="s">
        <v>37</v>
      </c>
    </row>
    <row r="312" spans="1:23" ht="30" customHeight="1" x14ac:dyDescent="0.25">
      <c r="B312" s="19"/>
      <c r="C312" s="19"/>
      <c r="D312" s="19"/>
      <c r="E312" s="19"/>
      <c r="F312" s="19"/>
      <c r="G312" s="19"/>
      <c r="H312" s="19"/>
      <c r="I312" s="12" t="s">
        <v>35</v>
      </c>
      <c r="J312" s="10" t="s">
        <v>38</v>
      </c>
      <c r="K312" s="9"/>
      <c r="L312" s="9"/>
      <c r="M312" s="9"/>
      <c r="N312" s="9"/>
      <c r="O312" s="9"/>
      <c r="P312" s="9"/>
      <c r="Q312" s="9"/>
      <c r="R312" s="9"/>
      <c r="S312" s="9"/>
      <c r="T312" s="9"/>
      <c r="U312" s="9"/>
      <c r="V312" s="9"/>
    </row>
    <row r="313" spans="1:23" ht="30" customHeight="1" x14ac:dyDescent="0.25">
      <c r="B313" s="19"/>
      <c r="C313" s="19"/>
      <c r="D313" s="19"/>
      <c r="E313" s="19"/>
      <c r="F313" s="19"/>
      <c r="G313" s="19"/>
      <c r="H313" s="19"/>
      <c r="I313" s="13" t="s">
        <v>36</v>
      </c>
      <c r="J313" s="10" t="s">
        <v>39</v>
      </c>
    </row>
    <row r="314" spans="1:23" ht="30" customHeight="1" x14ac:dyDescent="0.25">
      <c r="A314" s="1"/>
      <c r="B314" s="6" t="s">
        <v>33</v>
      </c>
      <c r="C314" s="6" t="s">
        <v>13</v>
      </c>
      <c r="D314" s="7" t="s">
        <v>1</v>
      </c>
      <c r="E314" s="7" t="s">
        <v>29</v>
      </c>
      <c r="F314" s="7" t="s">
        <v>30</v>
      </c>
      <c r="G314" s="7" t="s">
        <v>31</v>
      </c>
      <c r="H314" s="7" t="s">
        <v>32</v>
      </c>
      <c r="I314" s="6" t="s">
        <v>33</v>
      </c>
      <c r="J314" s="6" t="s">
        <v>13</v>
      </c>
      <c r="K314" s="7" t="s">
        <v>1</v>
      </c>
      <c r="L314" s="7" t="s">
        <v>29</v>
      </c>
      <c r="M314" s="7" t="s">
        <v>30</v>
      </c>
      <c r="N314" s="7" t="s">
        <v>31</v>
      </c>
      <c r="O314" s="7" t="s">
        <v>32</v>
      </c>
      <c r="P314" s="6" t="s">
        <v>33</v>
      </c>
      <c r="Q314" s="6" t="s">
        <v>13</v>
      </c>
      <c r="R314" s="7" t="s">
        <v>1</v>
      </c>
      <c r="S314" s="7" t="s">
        <v>29</v>
      </c>
      <c r="T314" s="7" t="s">
        <v>30</v>
      </c>
      <c r="U314" s="7" t="s">
        <v>31</v>
      </c>
      <c r="V314" s="7" t="s">
        <v>32</v>
      </c>
      <c r="W314" s="1"/>
    </row>
    <row r="315" spans="1:23" ht="45" customHeight="1" x14ac:dyDescent="0.25">
      <c r="B315" s="3" t="str">
        <f>IFERROR(ROUND(INDEX('PROJETO PERFURAÇÃO'!$AB:$AB,MATCH(MEDIÇÃO!D315,'PROJETO PERFURAÇÃO'!$B:$B,0)),1)&amp;"''","")</f>
        <v>5''</v>
      </c>
      <c r="C315" s="3" t="str">
        <f>IFERROR(IF(INDEX('PROJETO PERFURAÇÃO'!$P:$P,MATCH(MEDIÇÃO!D315,'PROJETO PERFURAÇÃO'!$B:$B,0))="Production","P",IF(INDEX('PROJETO PERFURAÇÃO'!$P:$P,MATCH(MEDIÇÃO!D315,'PROJETO PERFURAÇÃO'!$B:$B,0))="Buffer","B",IF(INDEX('PROJETO PERFURAÇÃO'!$P:$P,MATCH(MEDIÇÃO!D315,'PROJETO PERFURAÇÃO'!$B:$B,0))="Pre-Splitting","S"))),"")</f>
        <v>P</v>
      </c>
      <c r="D315" s="14">
        <f>R306+1</f>
        <v>691</v>
      </c>
      <c r="E315" s="4" t="str">
        <f>IFERROR(INDEX('LEV R&amp;D'!$D:$D,MATCH(MEDIÇÃO!D315,'LEV R&amp;D'!$A:$A,0))-INDEX('PROJETO PERFURAÇÃO'!$AH:$AH,MATCH(MEDIÇÃO!D315,'PROJETO PERFURAÇÃO'!$B:$B,0)),"")</f>
        <v/>
      </c>
      <c r="F315" s="17">
        <f>IFERROR(INDEX('PROJETO PERFURAÇÃO'!$AN:$AN,MATCH(MEDIÇÃO!D315,'PROJETO PERFURAÇÃO'!$B:$B,0)),"")</f>
        <v>0</v>
      </c>
      <c r="G315" s="3"/>
      <c r="H315" s="3"/>
      <c r="I315" s="3" t="str">
        <f>IFERROR(ROUND(INDEX('PROJETO PERFURAÇÃO'!$AB:$AB,MATCH(MEDIÇÃO!K315,'PROJETO PERFURAÇÃO'!$B:$B,0)),1)&amp;"''","")</f>
        <v>5''</v>
      </c>
      <c r="J315" s="3" t="str">
        <f>IFERROR(IF(INDEX('PROJETO PERFURAÇÃO'!$P:$P,MATCH(MEDIÇÃO!K315,'PROJETO PERFURAÇÃO'!$B:$B,0))="Production","P",IF(INDEX('PROJETO PERFURAÇÃO'!$P:$P,MATCH(MEDIÇÃO!K315,'PROJETO PERFURAÇÃO'!$B:$B,0))="Buffer","B",IF(INDEX('PROJETO PERFURAÇÃO'!$P:$P,MATCH(MEDIÇÃO!K315,'PROJETO PERFURAÇÃO'!$B:$B,0))="Pre-Splitting","S"))),"")</f>
        <v>P</v>
      </c>
      <c r="K315" s="14">
        <f>D337+1</f>
        <v>714</v>
      </c>
      <c r="L315" s="4" t="str">
        <f>IFERROR(INDEX('LEV R&amp;D'!$D:$D,MATCH(MEDIÇÃO!K315,'LEV R&amp;D'!$A:$A,0))-INDEX('PROJETO PERFURAÇÃO'!$AH:$AH,MATCH(MEDIÇÃO!K315,'PROJETO PERFURAÇÃO'!$B:$B,0)),"")</f>
        <v/>
      </c>
      <c r="M315" s="17">
        <f>IFERROR(INDEX('PROJETO PERFURAÇÃO'!$AN:$AN,MATCH(MEDIÇÃO!K315,'PROJETO PERFURAÇÃO'!$B:$B,0)),"")</f>
        <v>0</v>
      </c>
      <c r="N315" s="3"/>
      <c r="O315" s="3"/>
      <c r="P315" s="3" t="str">
        <f>IFERROR(ROUND(INDEX('PROJETO PERFURAÇÃO'!$AB:$AB,MATCH(MEDIÇÃO!R315,'PROJETO PERFURAÇÃO'!$B:$B,0)),1)&amp;"''","")</f>
        <v>5''</v>
      </c>
      <c r="Q315" s="3" t="str">
        <f>IFERROR(IF(INDEX('PROJETO PERFURAÇÃO'!$P:$P,MATCH(MEDIÇÃO!R315,'PROJETO PERFURAÇÃO'!$B:$B,0))="Production","P",IF(INDEX('PROJETO PERFURAÇÃO'!$P:$P,MATCH(MEDIÇÃO!R315,'PROJETO PERFURAÇÃO'!$B:$B,0))="Buffer","B",IF(INDEX('PROJETO PERFURAÇÃO'!$P:$P,MATCH(MEDIÇÃO!R315,'PROJETO PERFURAÇÃO'!$B:$B,0))="Pre-Splitting","S"))),"")</f>
        <v>P</v>
      </c>
      <c r="R315" s="14">
        <f>K337+1</f>
        <v>737</v>
      </c>
      <c r="S315" s="4" t="str">
        <f>IFERROR(INDEX('LEV R&amp;D'!$D:$D,MATCH(MEDIÇÃO!R315,'LEV R&amp;D'!$A:$A,0))-INDEX('PROJETO PERFURAÇÃO'!$AH:$AH,MATCH(MEDIÇÃO!R315,'PROJETO PERFURAÇÃO'!$B:$B,0)),"")</f>
        <v/>
      </c>
      <c r="T315" s="17">
        <f>IFERROR(INDEX('PROJETO PERFURAÇÃO'!$AN:$AN,MATCH(MEDIÇÃO!R315,'PROJETO PERFURAÇÃO'!$B:$B,0)),"")</f>
        <v>0</v>
      </c>
      <c r="U315" s="3"/>
      <c r="V315" s="3"/>
    </row>
    <row r="316" spans="1:23" ht="45" customHeight="1" x14ac:dyDescent="0.25">
      <c r="B316" s="3" t="str">
        <f>IFERROR(ROUND(INDEX('PROJETO PERFURAÇÃO'!$AB:$AB,MATCH(MEDIÇÃO!D316,'PROJETO PERFURAÇÃO'!$B:$B,0)),1)&amp;"''","")</f>
        <v>5''</v>
      </c>
      <c r="C316" s="3" t="str">
        <f>IFERROR(IF(INDEX('PROJETO PERFURAÇÃO'!$P:$P,MATCH(MEDIÇÃO!D316,'PROJETO PERFURAÇÃO'!$B:$B,0))="Production","P",IF(INDEX('PROJETO PERFURAÇÃO'!$P:$P,MATCH(MEDIÇÃO!D316,'PROJETO PERFURAÇÃO'!$B:$B,0))="Buffer","B",IF(INDEX('PROJETO PERFURAÇÃO'!$P:$P,MATCH(MEDIÇÃO!D316,'PROJETO PERFURAÇÃO'!$B:$B,0))="Pre-Splitting","S"))),"")</f>
        <v>P</v>
      </c>
      <c r="D316" s="14">
        <f>D315+1</f>
        <v>692</v>
      </c>
      <c r="E316" s="4" t="str">
        <f>IFERROR(INDEX('LEV R&amp;D'!$D:$D,MATCH(MEDIÇÃO!D316,'LEV R&amp;D'!$A:$A,0))-INDEX('PROJETO PERFURAÇÃO'!$AH:$AH,MATCH(MEDIÇÃO!D316,'PROJETO PERFURAÇÃO'!$B:$B,0)),"")</f>
        <v/>
      </c>
      <c r="F316" s="17">
        <f>IFERROR(INDEX('PROJETO PERFURAÇÃO'!$AN:$AN,MATCH(MEDIÇÃO!D316,'PROJETO PERFURAÇÃO'!$B:$B,0)),"")</f>
        <v>0</v>
      </c>
      <c r="G316" s="3"/>
      <c r="H316" s="3"/>
      <c r="I316" s="3" t="str">
        <f>IFERROR(ROUND(INDEX('PROJETO PERFURAÇÃO'!$AB:$AB,MATCH(MEDIÇÃO!K316,'PROJETO PERFURAÇÃO'!$B:$B,0)),1)&amp;"''","")</f>
        <v>5''</v>
      </c>
      <c r="J316" s="3" t="str">
        <f>IFERROR(IF(INDEX('PROJETO PERFURAÇÃO'!$P:$P,MATCH(MEDIÇÃO!K316,'PROJETO PERFURAÇÃO'!$B:$B,0))="Production","P",IF(INDEX('PROJETO PERFURAÇÃO'!$P:$P,MATCH(MEDIÇÃO!K316,'PROJETO PERFURAÇÃO'!$B:$B,0))="Buffer","B",IF(INDEX('PROJETO PERFURAÇÃO'!$P:$P,MATCH(MEDIÇÃO!K316,'PROJETO PERFURAÇÃO'!$B:$B,0))="Pre-Splitting","S"))),"")</f>
        <v>P</v>
      </c>
      <c r="K316" s="14">
        <f>K315+1</f>
        <v>715</v>
      </c>
      <c r="L316" s="4" t="str">
        <f>IFERROR(INDEX('LEV R&amp;D'!$D:$D,MATCH(MEDIÇÃO!K316,'LEV R&amp;D'!$A:$A,0))-INDEX('PROJETO PERFURAÇÃO'!$AH:$AH,MATCH(MEDIÇÃO!K316,'PROJETO PERFURAÇÃO'!$B:$B,0)),"")</f>
        <v/>
      </c>
      <c r="M316" s="17">
        <f>IFERROR(INDEX('PROJETO PERFURAÇÃO'!$AN:$AN,MATCH(MEDIÇÃO!K316,'PROJETO PERFURAÇÃO'!$B:$B,0)),"")</f>
        <v>0</v>
      </c>
      <c r="N316" s="3"/>
      <c r="O316" s="3"/>
      <c r="P316" s="3" t="str">
        <f>IFERROR(ROUND(INDEX('PROJETO PERFURAÇÃO'!$AB:$AB,MATCH(MEDIÇÃO!R316,'PROJETO PERFURAÇÃO'!$B:$B,0)),1)&amp;"''","")</f>
        <v>5''</v>
      </c>
      <c r="Q316" s="3" t="str">
        <f>IFERROR(IF(INDEX('PROJETO PERFURAÇÃO'!$P:$P,MATCH(MEDIÇÃO!R316,'PROJETO PERFURAÇÃO'!$B:$B,0))="Production","P",IF(INDEX('PROJETO PERFURAÇÃO'!$P:$P,MATCH(MEDIÇÃO!R316,'PROJETO PERFURAÇÃO'!$B:$B,0))="Buffer","B",IF(INDEX('PROJETO PERFURAÇÃO'!$P:$P,MATCH(MEDIÇÃO!R316,'PROJETO PERFURAÇÃO'!$B:$B,0))="Pre-Splitting","S"))),"")</f>
        <v>P</v>
      </c>
      <c r="R316" s="14">
        <f>R315+1</f>
        <v>738</v>
      </c>
      <c r="S316" s="4" t="str">
        <f>IFERROR(INDEX('LEV R&amp;D'!$D:$D,MATCH(MEDIÇÃO!R316,'LEV R&amp;D'!$A:$A,0))-INDEX('PROJETO PERFURAÇÃO'!$AH:$AH,MATCH(MEDIÇÃO!R316,'PROJETO PERFURAÇÃO'!$B:$B,0)),"")</f>
        <v/>
      </c>
      <c r="T316" s="17">
        <f>IFERROR(INDEX('PROJETO PERFURAÇÃO'!$AN:$AN,MATCH(MEDIÇÃO!R316,'PROJETO PERFURAÇÃO'!$B:$B,0)),"")</f>
        <v>0</v>
      </c>
      <c r="U316" s="3"/>
      <c r="V316" s="3"/>
    </row>
    <row r="317" spans="1:23" ht="45" customHeight="1" x14ac:dyDescent="0.25">
      <c r="B317" s="3" t="str">
        <f>IFERROR(ROUND(INDEX('PROJETO PERFURAÇÃO'!$AB:$AB,MATCH(MEDIÇÃO!D317,'PROJETO PERFURAÇÃO'!$B:$B,0)),1)&amp;"''","")</f>
        <v>5''</v>
      </c>
      <c r="C317" s="3" t="str">
        <f>IFERROR(IF(INDEX('PROJETO PERFURAÇÃO'!$P:$P,MATCH(MEDIÇÃO!D317,'PROJETO PERFURAÇÃO'!$B:$B,0))="Production","P",IF(INDEX('PROJETO PERFURAÇÃO'!$P:$P,MATCH(MEDIÇÃO!D317,'PROJETO PERFURAÇÃO'!$B:$B,0))="Buffer","B",IF(INDEX('PROJETO PERFURAÇÃO'!$P:$P,MATCH(MEDIÇÃO!D317,'PROJETO PERFURAÇÃO'!$B:$B,0))="Pre-Splitting","S"))),"")</f>
        <v>P</v>
      </c>
      <c r="D317" s="14">
        <f t="shared" ref="D317:D337" si="30">D316+1</f>
        <v>693</v>
      </c>
      <c r="E317" s="4" t="str">
        <f>IFERROR(INDEX('LEV R&amp;D'!$D:$D,MATCH(MEDIÇÃO!D317,'LEV R&amp;D'!$A:$A,0))-INDEX('PROJETO PERFURAÇÃO'!$AH:$AH,MATCH(MEDIÇÃO!D317,'PROJETO PERFURAÇÃO'!$B:$B,0)),"")</f>
        <v/>
      </c>
      <c r="F317" s="17">
        <f>IFERROR(INDEX('PROJETO PERFURAÇÃO'!$AN:$AN,MATCH(MEDIÇÃO!D317,'PROJETO PERFURAÇÃO'!$B:$B,0)),"")</f>
        <v>0</v>
      </c>
      <c r="G317" s="3"/>
      <c r="H317" s="3"/>
      <c r="I317" s="3" t="str">
        <f>IFERROR(ROUND(INDEX('PROJETO PERFURAÇÃO'!$AB:$AB,MATCH(MEDIÇÃO!K317,'PROJETO PERFURAÇÃO'!$B:$B,0)),1)&amp;"''","")</f>
        <v>5''</v>
      </c>
      <c r="J317" s="3" t="str">
        <f>IFERROR(IF(INDEX('PROJETO PERFURAÇÃO'!$P:$P,MATCH(MEDIÇÃO!K317,'PROJETO PERFURAÇÃO'!$B:$B,0))="Production","P",IF(INDEX('PROJETO PERFURAÇÃO'!$P:$P,MATCH(MEDIÇÃO!K317,'PROJETO PERFURAÇÃO'!$B:$B,0))="Buffer","B",IF(INDEX('PROJETO PERFURAÇÃO'!$P:$P,MATCH(MEDIÇÃO!K317,'PROJETO PERFURAÇÃO'!$B:$B,0))="Pre-Splitting","S"))),"")</f>
        <v>P</v>
      </c>
      <c r="K317" s="14">
        <f t="shared" ref="K317:K337" si="31">K316+1</f>
        <v>716</v>
      </c>
      <c r="L317" s="4" t="str">
        <f>IFERROR(INDEX('LEV R&amp;D'!$D:$D,MATCH(MEDIÇÃO!K317,'LEV R&amp;D'!$A:$A,0))-INDEX('PROJETO PERFURAÇÃO'!$AH:$AH,MATCH(MEDIÇÃO!K317,'PROJETO PERFURAÇÃO'!$B:$B,0)),"")</f>
        <v/>
      </c>
      <c r="M317" s="17">
        <f>IFERROR(INDEX('PROJETO PERFURAÇÃO'!$AN:$AN,MATCH(MEDIÇÃO!K317,'PROJETO PERFURAÇÃO'!$B:$B,0)),"")</f>
        <v>0</v>
      </c>
      <c r="N317" s="3"/>
      <c r="O317" s="3"/>
      <c r="P317" s="3" t="str">
        <f>IFERROR(ROUND(INDEX('PROJETO PERFURAÇÃO'!$AB:$AB,MATCH(MEDIÇÃO!R317,'PROJETO PERFURAÇÃO'!$B:$B,0)),1)&amp;"''","")</f>
        <v>5''</v>
      </c>
      <c r="Q317" s="3" t="str">
        <f>IFERROR(IF(INDEX('PROJETO PERFURAÇÃO'!$P:$P,MATCH(MEDIÇÃO!R317,'PROJETO PERFURAÇÃO'!$B:$B,0))="Production","P",IF(INDEX('PROJETO PERFURAÇÃO'!$P:$P,MATCH(MEDIÇÃO!R317,'PROJETO PERFURAÇÃO'!$B:$B,0))="Buffer","B",IF(INDEX('PROJETO PERFURAÇÃO'!$P:$P,MATCH(MEDIÇÃO!R317,'PROJETO PERFURAÇÃO'!$B:$B,0))="Pre-Splitting","S"))),"")</f>
        <v>P</v>
      </c>
      <c r="R317" s="14">
        <f t="shared" ref="R317:R337" si="32">R316+1</f>
        <v>739</v>
      </c>
      <c r="S317" s="4" t="str">
        <f>IFERROR(INDEX('LEV R&amp;D'!$D:$D,MATCH(MEDIÇÃO!R317,'LEV R&amp;D'!$A:$A,0))-INDEX('PROJETO PERFURAÇÃO'!$AH:$AH,MATCH(MEDIÇÃO!R317,'PROJETO PERFURAÇÃO'!$B:$B,0)),"")</f>
        <v/>
      </c>
      <c r="T317" s="17">
        <f>IFERROR(INDEX('PROJETO PERFURAÇÃO'!$AN:$AN,MATCH(MEDIÇÃO!R317,'PROJETO PERFURAÇÃO'!$B:$B,0)),"")</f>
        <v>0</v>
      </c>
      <c r="U317" s="3"/>
      <c r="V317" s="3"/>
    </row>
    <row r="318" spans="1:23" ht="45" customHeight="1" x14ac:dyDescent="0.25">
      <c r="B318" s="3" t="str">
        <f>IFERROR(ROUND(INDEX('PROJETO PERFURAÇÃO'!$AB:$AB,MATCH(MEDIÇÃO!D318,'PROJETO PERFURAÇÃO'!$B:$B,0)),1)&amp;"''","")</f>
        <v>5''</v>
      </c>
      <c r="C318" s="3" t="str">
        <f>IFERROR(IF(INDEX('PROJETO PERFURAÇÃO'!$P:$P,MATCH(MEDIÇÃO!D318,'PROJETO PERFURAÇÃO'!$B:$B,0))="Production","P",IF(INDEX('PROJETO PERFURAÇÃO'!$P:$P,MATCH(MEDIÇÃO!D318,'PROJETO PERFURAÇÃO'!$B:$B,0))="Buffer","B",IF(INDEX('PROJETO PERFURAÇÃO'!$P:$P,MATCH(MEDIÇÃO!D318,'PROJETO PERFURAÇÃO'!$B:$B,0))="Pre-Splitting","S"))),"")</f>
        <v>P</v>
      </c>
      <c r="D318" s="14">
        <f t="shared" si="30"/>
        <v>694</v>
      </c>
      <c r="E318" s="4" t="str">
        <f>IFERROR(INDEX('LEV R&amp;D'!$D:$D,MATCH(MEDIÇÃO!D318,'LEV R&amp;D'!$A:$A,0))-INDEX('PROJETO PERFURAÇÃO'!$AH:$AH,MATCH(MEDIÇÃO!D318,'PROJETO PERFURAÇÃO'!$B:$B,0)),"")</f>
        <v/>
      </c>
      <c r="F318" s="17">
        <f>IFERROR(INDEX('PROJETO PERFURAÇÃO'!$AN:$AN,MATCH(MEDIÇÃO!D318,'PROJETO PERFURAÇÃO'!$B:$B,0)),"")</f>
        <v>0</v>
      </c>
      <c r="G318" s="3"/>
      <c r="H318" s="3"/>
      <c r="I318" s="3" t="str">
        <f>IFERROR(ROUND(INDEX('PROJETO PERFURAÇÃO'!$AB:$AB,MATCH(MEDIÇÃO!K318,'PROJETO PERFURAÇÃO'!$B:$B,0)),1)&amp;"''","")</f>
        <v>5''</v>
      </c>
      <c r="J318" s="3" t="str">
        <f>IFERROR(IF(INDEX('PROJETO PERFURAÇÃO'!$P:$P,MATCH(MEDIÇÃO!K318,'PROJETO PERFURAÇÃO'!$B:$B,0))="Production","P",IF(INDEX('PROJETO PERFURAÇÃO'!$P:$P,MATCH(MEDIÇÃO!K318,'PROJETO PERFURAÇÃO'!$B:$B,0))="Buffer","B",IF(INDEX('PROJETO PERFURAÇÃO'!$P:$P,MATCH(MEDIÇÃO!K318,'PROJETO PERFURAÇÃO'!$B:$B,0))="Pre-Splitting","S"))),"")</f>
        <v>P</v>
      </c>
      <c r="K318" s="14">
        <f t="shared" si="31"/>
        <v>717</v>
      </c>
      <c r="L318" s="4" t="str">
        <f>IFERROR(INDEX('LEV R&amp;D'!$D:$D,MATCH(MEDIÇÃO!K318,'LEV R&amp;D'!$A:$A,0))-INDEX('PROJETO PERFURAÇÃO'!$AH:$AH,MATCH(MEDIÇÃO!K318,'PROJETO PERFURAÇÃO'!$B:$B,0)),"")</f>
        <v/>
      </c>
      <c r="M318" s="17">
        <f>IFERROR(INDEX('PROJETO PERFURAÇÃO'!$AN:$AN,MATCH(MEDIÇÃO!K318,'PROJETO PERFURAÇÃO'!$B:$B,0)),"")</f>
        <v>0</v>
      </c>
      <c r="N318" s="3"/>
      <c r="O318" s="3"/>
      <c r="P318" s="3" t="str">
        <f>IFERROR(ROUND(INDEX('PROJETO PERFURAÇÃO'!$AB:$AB,MATCH(MEDIÇÃO!R318,'PROJETO PERFURAÇÃO'!$B:$B,0)),1)&amp;"''","")</f>
        <v>5''</v>
      </c>
      <c r="Q318" s="3" t="str">
        <f>IFERROR(IF(INDEX('PROJETO PERFURAÇÃO'!$P:$P,MATCH(MEDIÇÃO!R318,'PROJETO PERFURAÇÃO'!$B:$B,0))="Production","P",IF(INDEX('PROJETO PERFURAÇÃO'!$P:$P,MATCH(MEDIÇÃO!R318,'PROJETO PERFURAÇÃO'!$B:$B,0))="Buffer","B",IF(INDEX('PROJETO PERFURAÇÃO'!$P:$P,MATCH(MEDIÇÃO!R318,'PROJETO PERFURAÇÃO'!$B:$B,0))="Pre-Splitting","S"))),"")</f>
        <v>P</v>
      </c>
      <c r="R318" s="14">
        <f t="shared" si="32"/>
        <v>740</v>
      </c>
      <c r="S318" s="4" t="str">
        <f>IFERROR(INDEX('LEV R&amp;D'!$D:$D,MATCH(MEDIÇÃO!R318,'LEV R&amp;D'!$A:$A,0))-INDEX('PROJETO PERFURAÇÃO'!$AH:$AH,MATCH(MEDIÇÃO!R318,'PROJETO PERFURAÇÃO'!$B:$B,0)),"")</f>
        <v/>
      </c>
      <c r="T318" s="17">
        <f>IFERROR(INDEX('PROJETO PERFURAÇÃO'!$AN:$AN,MATCH(MEDIÇÃO!R318,'PROJETO PERFURAÇÃO'!$B:$B,0)),"")</f>
        <v>0</v>
      </c>
      <c r="U318" s="3"/>
      <c r="V318" s="3"/>
    </row>
    <row r="319" spans="1:23" ht="45" customHeight="1" x14ac:dyDescent="0.25">
      <c r="B319" s="3" t="str">
        <f>IFERROR(ROUND(INDEX('PROJETO PERFURAÇÃO'!$AB:$AB,MATCH(MEDIÇÃO!D319,'PROJETO PERFURAÇÃO'!$B:$B,0)),1)&amp;"''","")</f>
        <v>5''</v>
      </c>
      <c r="C319" s="3" t="str">
        <f>IFERROR(IF(INDEX('PROJETO PERFURAÇÃO'!$P:$P,MATCH(MEDIÇÃO!D319,'PROJETO PERFURAÇÃO'!$B:$B,0))="Production","P",IF(INDEX('PROJETO PERFURAÇÃO'!$P:$P,MATCH(MEDIÇÃO!D319,'PROJETO PERFURAÇÃO'!$B:$B,0))="Buffer","B",IF(INDEX('PROJETO PERFURAÇÃO'!$P:$P,MATCH(MEDIÇÃO!D319,'PROJETO PERFURAÇÃO'!$B:$B,0))="Pre-Splitting","S"))),"")</f>
        <v>P</v>
      </c>
      <c r="D319" s="14">
        <f t="shared" si="30"/>
        <v>695</v>
      </c>
      <c r="E319" s="4" t="str">
        <f>IFERROR(INDEX('LEV R&amp;D'!$D:$D,MATCH(MEDIÇÃO!D319,'LEV R&amp;D'!$A:$A,0))-INDEX('PROJETO PERFURAÇÃO'!$AH:$AH,MATCH(MEDIÇÃO!D319,'PROJETO PERFURAÇÃO'!$B:$B,0)),"")</f>
        <v/>
      </c>
      <c r="F319" s="17">
        <f>IFERROR(INDEX('PROJETO PERFURAÇÃO'!$AN:$AN,MATCH(MEDIÇÃO!D319,'PROJETO PERFURAÇÃO'!$B:$B,0)),"")</f>
        <v>0</v>
      </c>
      <c r="G319" s="3"/>
      <c r="H319" s="3"/>
      <c r="I319" s="3" t="str">
        <f>IFERROR(ROUND(INDEX('PROJETO PERFURAÇÃO'!$AB:$AB,MATCH(MEDIÇÃO!K319,'PROJETO PERFURAÇÃO'!$B:$B,0)),1)&amp;"''","")</f>
        <v>5''</v>
      </c>
      <c r="J319" s="3" t="str">
        <f>IFERROR(IF(INDEX('PROJETO PERFURAÇÃO'!$P:$P,MATCH(MEDIÇÃO!K319,'PROJETO PERFURAÇÃO'!$B:$B,0))="Production","P",IF(INDEX('PROJETO PERFURAÇÃO'!$P:$P,MATCH(MEDIÇÃO!K319,'PROJETO PERFURAÇÃO'!$B:$B,0))="Buffer","B",IF(INDEX('PROJETO PERFURAÇÃO'!$P:$P,MATCH(MEDIÇÃO!K319,'PROJETO PERFURAÇÃO'!$B:$B,0))="Pre-Splitting","S"))),"")</f>
        <v>P</v>
      </c>
      <c r="K319" s="14">
        <f t="shared" si="31"/>
        <v>718</v>
      </c>
      <c r="L319" s="4" t="str">
        <f>IFERROR(INDEX('LEV R&amp;D'!$D:$D,MATCH(MEDIÇÃO!K319,'LEV R&amp;D'!$A:$A,0))-INDEX('PROJETO PERFURAÇÃO'!$AH:$AH,MATCH(MEDIÇÃO!K319,'PROJETO PERFURAÇÃO'!$B:$B,0)),"")</f>
        <v/>
      </c>
      <c r="M319" s="17">
        <f>IFERROR(INDEX('PROJETO PERFURAÇÃO'!$AN:$AN,MATCH(MEDIÇÃO!K319,'PROJETO PERFURAÇÃO'!$B:$B,0)),"")</f>
        <v>0</v>
      </c>
      <c r="N319" s="3"/>
      <c r="O319" s="3"/>
      <c r="P319" s="3" t="str">
        <f>IFERROR(ROUND(INDEX('PROJETO PERFURAÇÃO'!$AB:$AB,MATCH(MEDIÇÃO!R319,'PROJETO PERFURAÇÃO'!$B:$B,0)),1)&amp;"''","")</f>
        <v>5''</v>
      </c>
      <c r="Q319" s="3" t="str">
        <f>IFERROR(IF(INDEX('PROJETO PERFURAÇÃO'!$P:$P,MATCH(MEDIÇÃO!R319,'PROJETO PERFURAÇÃO'!$B:$B,0))="Production","P",IF(INDEX('PROJETO PERFURAÇÃO'!$P:$P,MATCH(MEDIÇÃO!R319,'PROJETO PERFURAÇÃO'!$B:$B,0))="Buffer","B",IF(INDEX('PROJETO PERFURAÇÃO'!$P:$P,MATCH(MEDIÇÃO!R319,'PROJETO PERFURAÇÃO'!$B:$B,0))="Pre-Splitting","S"))),"")</f>
        <v>P</v>
      </c>
      <c r="R319" s="14">
        <f t="shared" si="32"/>
        <v>741</v>
      </c>
      <c r="S319" s="4" t="str">
        <f>IFERROR(INDEX('LEV R&amp;D'!$D:$D,MATCH(MEDIÇÃO!R319,'LEV R&amp;D'!$A:$A,0))-INDEX('PROJETO PERFURAÇÃO'!$AH:$AH,MATCH(MEDIÇÃO!R319,'PROJETO PERFURAÇÃO'!$B:$B,0)),"")</f>
        <v/>
      </c>
      <c r="T319" s="17">
        <f>IFERROR(INDEX('PROJETO PERFURAÇÃO'!$AN:$AN,MATCH(MEDIÇÃO!R319,'PROJETO PERFURAÇÃO'!$B:$B,0)),"")</f>
        <v>0</v>
      </c>
      <c r="U319" s="3"/>
      <c r="V319" s="3"/>
    </row>
    <row r="320" spans="1:23" ht="45" customHeight="1" x14ac:dyDescent="0.25">
      <c r="B320" s="3" t="str">
        <f>IFERROR(ROUND(INDEX('PROJETO PERFURAÇÃO'!$AB:$AB,MATCH(MEDIÇÃO!D320,'PROJETO PERFURAÇÃO'!$B:$B,0)),1)&amp;"''","")</f>
        <v>5''</v>
      </c>
      <c r="C320" s="3" t="str">
        <f>IFERROR(IF(INDEX('PROJETO PERFURAÇÃO'!$P:$P,MATCH(MEDIÇÃO!D320,'PROJETO PERFURAÇÃO'!$B:$B,0))="Production","P",IF(INDEX('PROJETO PERFURAÇÃO'!$P:$P,MATCH(MEDIÇÃO!D320,'PROJETO PERFURAÇÃO'!$B:$B,0))="Buffer","B",IF(INDEX('PROJETO PERFURAÇÃO'!$P:$P,MATCH(MEDIÇÃO!D320,'PROJETO PERFURAÇÃO'!$B:$B,0))="Pre-Splitting","S"))),"")</f>
        <v>P</v>
      </c>
      <c r="D320" s="14">
        <f t="shared" si="30"/>
        <v>696</v>
      </c>
      <c r="E320" s="4" t="str">
        <f>IFERROR(INDEX('LEV R&amp;D'!$D:$D,MATCH(MEDIÇÃO!D320,'LEV R&amp;D'!$A:$A,0))-INDEX('PROJETO PERFURAÇÃO'!$AH:$AH,MATCH(MEDIÇÃO!D320,'PROJETO PERFURAÇÃO'!$B:$B,0)),"")</f>
        <v/>
      </c>
      <c r="F320" s="17">
        <f>IFERROR(INDEX('PROJETO PERFURAÇÃO'!$AN:$AN,MATCH(MEDIÇÃO!D320,'PROJETO PERFURAÇÃO'!$B:$B,0)),"")</f>
        <v>0</v>
      </c>
      <c r="G320" s="3"/>
      <c r="H320" s="3"/>
      <c r="I320" s="3" t="str">
        <f>IFERROR(ROUND(INDEX('PROJETO PERFURAÇÃO'!$AB:$AB,MATCH(MEDIÇÃO!K320,'PROJETO PERFURAÇÃO'!$B:$B,0)),1)&amp;"''","")</f>
        <v>5''</v>
      </c>
      <c r="J320" s="3" t="str">
        <f>IFERROR(IF(INDEX('PROJETO PERFURAÇÃO'!$P:$P,MATCH(MEDIÇÃO!K320,'PROJETO PERFURAÇÃO'!$B:$B,0))="Production","P",IF(INDEX('PROJETO PERFURAÇÃO'!$P:$P,MATCH(MEDIÇÃO!K320,'PROJETO PERFURAÇÃO'!$B:$B,0))="Buffer","B",IF(INDEX('PROJETO PERFURAÇÃO'!$P:$P,MATCH(MEDIÇÃO!K320,'PROJETO PERFURAÇÃO'!$B:$B,0))="Pre-Splitting","S"))),"")</f>
        <v>P</v>
      </c>
      <c r="K320" s="14">
        <f t="shared" si="31"/>
        <v>719</v>
      </c>
      <c r="L320" s="4" t="str">
        <f>IFERROR(INDEX('LEV R&amp;D'!$D:$D,MATCH(MEDIÇÃO!K320,'LEV R&amp;D'!$A:$A,0))-INDEX('PROJETO PERFURAÇÃO'!$AH:$AH,MATCH(MEDIÇÃO!K320,'PROJETO PERFURAÇÃO'!$B:$B,0)),"")</f>
        <v/>
      </c>
      <c r="M320" s="17">
        <f>IFERROR(INDEX('PROJETO PERFURAÇÃO'!$AN:$AN,MATCH(MEDIÇÃO!K320,'PROJETO PERFURAÇÃO'!$B:$B,0)),"")</f>
        <v>0</v>
      </c>
      <c r="N320" s="3"/>
      <c r="O320" s="3"/>
      <c r="P320" s="3" t="str">
        <f>IFERROR(ROUND(INDEX('PROJETO PERFURAÇÃO'!$AB:$AB,MATCH(MEDIÇÃO!R320,'PROJETO PERFURAÇÃO'!$B:$B,0)),1)&amp;"''","")</f>
        <v>5''</v>
      </c>
      <c r="Q320" s="3" t="str">
        <f>IFERROR(IF(INDEX('PROJETO PERFURAÇÃO'!$P:$P,MATCH(MEDIÇÃO!R320,'PROJETO PERFURAÇÃO'!$B:$B,0))="Production","P",IF(INDEX('PROJETO PERFURAÇÃO'!$P:$P,MATCH(MEDIÇÃO!R320,'PROJETO PERFURAÇÃO'!$B:$B,0))="Buffer","B",IF(INDEX('PROJETO PERFURAÇÃO'!$P:$P,MATCH(MEDIÇÃO!R320,'PROJETO PERFURAÇÃO'!$B:$B,0))="Pre-Splitting","S"))),"")</f>
        <v>P</v>
      </c>
      <c r="R320" s="14">
        <f t="shared" si="32"/>
        <v>742</v>
      </c>
      <c r="S320" s="4" t="str">
        <f>IFERROR(INDEX('LEV R&amp;D'!$D:$D,MATCH(MEDIÇÃO!R320,'LEV R&amp;D'!$A:$A,0))-INDEX('PROJETO PERFURAÇÃO'!$AH:$AH,MATCH(MEDIÇÃO!R320,'PROJETO PERFURAÇÃO'!$B:$B,0)),"")</f>
        <v/>
      </c>
      <c r="T320" s="17">
        <f>IFERROR(INDEX('PROJETO PERFURAÇÃO'!$AN:$AN,MATCH(MEDIÇÃO!R320,'PROJETO PERFURAÇÃO'!$B:$B,0)),"")</f>
        <v>0</v>
      </c>
      <c r="U320" s="3"/>
      <c r="V320" s="3"/>
    </row>
    <row r="321" spans="2:22" ht="45" customHeight="1" x14ac:dyDescent="0.25">
      <c r="B321" s="3" t="str">
        <f>IFERROR(ROUND(INDEX('PROJETO PERFURAÇÃO'!$AB:$AB,MATCH(MEDIÇÃO!D321,'PROJETO PERFURAÇÃO'!$B:$B,0)),1)&amp;"''","")</f>
        <v>5''</v>
      </c>
      <c r="C321" s="3" t="str">
        <f>IFERROR(IF(INDEX('PROJETO PERFURAÇÃO'!$P:$P,MATCH(MEDIÇÃO!D321,'PROJETO PERFURAÇÃO'!$B:$B,0))="Production","P",IF(INDEX('PROJETO PERFURAÇÃO'!$P:$P,MATCH(MEDIÇÃO!D321,'PROJETO PERFURAÇÃO'!$B:$B,0))="Buffer","B",IF(INDEX('PROJETO PERFURAÇÃO'!$P:$P,MATCH(MEDIÇÃO!D321,'PROJETO PERFURAÇÃO'!$B:$B,0))="Pre-Splitting","S"))),"")</f>
        <v>P</v>
      </c>
      <c r="D321" s="14">
        <f t="shared" si="30"/>
        <v>697</v>
      </c>
      <c r="E321" s="4" t="str">
        <f>IFERROR(INDEX('LEV R&amp;D'!$D:$D,MATCH(MEDIÇÃO!D321,'LEV R&amp;D'!$A:$A,0))-INDEX('PROJETO PERFURAÇÃO'!$AH:$AH,MATCH(MEDIÇÃO!D321,'PROJETO PERFURAÇÃO'!$B:$B,0)),"")</f>
        <v/>
      </c>
      <c r="F321" s="17">
        <f>IFERROR(INDEX('PROJETO PERFURAÇÃO'!$AN:$AN,MATCH(MEDIÇÃO!D321,'PROJETO PERFURAÇÃO'!$B:$B,0)),"")</f>
        <v>0</v>
      </c>
      <c r="G321" s="3"/>
      <c r="H321" s="3"/>
      <c r="I321" s="3" t="str">
        <f>IFERROR(ROUND(INDEX('PROJETO PERFURAÇÃO'!$AB:$AB,MATCH(MEDIÇÃO!K321,'PROJETO PERFURAÇÃO'!$B:$B,0)),1)&amp;"''","")</f>
        <v>5''</v>
      </c>
      <c r="J321" s="3" t="str">
        <f>IFERROR(IF(INDEX('PROJETO PERFURAÇÃO'!$P:$P,MATCH(MEDIÇÃO!K321,'PROJETO PERFURAÇÃO'!$B:$B,0))="Production","P",IF(INDEX('PROJETO PERFURAÇÃO'!$P:$P,MATCH(MEDIÇÃO!K321,'PROJETO PERFURAÇÃO'!$B:$B,0))="Buffer","B",IF(INDEX('PROJETO PERFURAÇÃO'!$P:$P,MATCH(MEDIÇÃO!K321,'PROJETO PERFURAÇÃO'!$B:$B,0))="Pre-Splitting","S"))),"")</f>
        <v>P</v>
      </c>
      <c r="K321" s="14">
        <f t="shared" si="31"/>
        <v>720</v>
      </c>
      <c r="L321" s="4" t="str">
        <f>IFERROR(INDEX('LEV R&amp;D'!$D:$D,MATCH(MEDIÇÃO!K321,'LEV R&amp;D'!$A:$A,0))-INDEX('PROJETO PERFURAÇÃO'!$AH:$AH,MATCH(MEDIÇÃO!K321,'PROJETO PERFURAÇÃO'!$B:$B,0)),"")</f>
        <v/>
      </c>
      <c r="M321" s="17">
        <f>IFERROR(INDEX('PROJETO PERFURAÇÃO'!$AN:$AN,MATCH(MEDIÇÃO!K321,'PROJETO PERFURAÇÃO'!$B:$B,0)),"")</f>
        <v>0</v>
      </c>
      <c r="N321" s="3"/>
      <c r="O321" s="3"/>
      <c r="P321" s="3" t="str">
        <f>IFERROR(ROUND(INDEX('PROJETO PERFURAÇÃO'!$AB:$AB,MATCH(MEDIÇÃO!R321,'PROJETO PERFURAÇÃO'!$B:$B,0)),1)&amp;"''","")</f>
        <v>5''</v>
      </c>
      <c r="Q321" s="3" t="str">
        <f>IFERROR(IF(INDEX('PROJETO PERFURAÇÃO'!$P:$P,MATCH(MEDIÇÃO!R321,'PROJETO PERFURAÇÃO'!$B:$B,0))="Production","P",IF(INDEX('PROJETO PERFURAÇÃO'!$P:$P,MATCH(MEDIÇÃO!R321,'PROJETO PERFURAÇÃO'!$B:$B,0))="Buffer","B",IF(INDEX('PROJETO PERFURAÇÃO'!$P:$P,MATCH(MEDIÇÃO!R321,'PROJETO PERFURAÇÃO'!$B:$B,0))="Pre-Splitting","S"))),"")</f>
        <v>P</v>
      </c>
      <c r="R321" s="14">
        <f t="shared" si="32"/>
        <v>743</v>
      </c>
      <c r="S321" s="4" t="str">
        <f>IFERROR(INDEX('LEV R&amp;D'!$D:$D,MATCH(MEDIÇÃO!R321,'LEV R&amp;D'!$A:$A,0))-INDEX('PROJETO PERFURAÇÃO'!$AH:$AH,MATCH(MEDIÇÃO!R321,'PROJETO PERFURAÇÃO'!$B:$B,0)),"")</f>
        <v/>
      </c>
      <c r="T321" s="17">
        <f>IFERROR(INDEX('PROJETO PERFURAÇÃO'!$AN:$AN,MATCH(MEDIÇÃO!R321,'PROJETO PERFURAÇÃO'!$B:$B,0)),"")</f>
        <v>0</v>
      </c>
      <c r="U321" s="3"/>
      <c r="V321" s="3"/>
    </row>
    <row r="322" spans="2:22" ht="45" customHeight="1" x14ac:dyDescent="0.25">
      <c r="B322" s="3" t="str">
        <f>IFERROR(ROUND(INDEX('PROJETO PERFURAÇÃO'!$AB:$AB,MATCH(MEDIÇÃO!D322,'PROJETO PERFURAÇÃO'!$B:$B,0)),1)&amp;"''","")</f>
        <v>5''</v>
      </c>
      <c r="C322" s="3" t="str">
        <f>IFERROR(IF(INDEX('PROJETO PERFURAÇÃO'!$P:$P,MATCH(MEDIÇÃO!D322,'PROJETO PERFURAÇÃO'!$B:$B,0))="Production","P",IF(INDEX('PROJETO PERFURAÇÃO'!$P:$P,MATCH(MEDIÇÃO!D322,'PROJETO PERFURAÇÃO'!$B:$B,0))="Buffer","B",IF(INDEX('PROJETO PERFURAÇÃO'!$P:$P,MATCH(MEDIÇÃO!D322,'PROJETO PERFURAÇÃO'!$B:$B,0))="Pre-Splitting","S"))),"")</f>
        <v>P</v>
      </c>
      <c r="D322" s="14">
        <f t="shared" si="30"/>
        <v>698</v>
      </c>
      <c r="E322" s="4" t="str">
        <f>IFERROR(INDEX('LEV R&amp;D'!$D:$D,MATCH(MEDIÇÃO!D322,'LEV R&amp;D'!$A:$A,0))-INDEX('PROJETO PERFURAÇÃO'!$AH:$AH,MATCH(MEDIÇÃO!D322,'PROJETO PERFURAÇÃO'!$B:$B,0)),"")</f>
        <v/>
      </c>
      <c r="F322" s="17">
        <f>IFERROR(INDEX('PROJETO PERFURAÇÃO'!$AN:$AN,MATCH(MEDIÇÃO!D322,'PROJETO PERFURAÇÃO'!$B:$B,0)),"")</f>
        <v>0</v>
      </c>
      <c r="G322" s="3"/>
      <c r="H322" s="3"/>
      <c r="I322" s="3" t="str">
        <f>IFERROR(ROUND(INDEX('PROJETO PERFURAÇÃO'!$AB:$AB,MATCH(MEDIÇÃO!K322,'PROJETO PERFURAÇÃO'!$B:$B,0)),1)&amp;"''","")</f>
        <v>5''</v>
      </c>
      <c r="J322" s="3" t="str">
        <f>IFERROR(IF(INDEX('PROJETO PERFURAÇÃO'!$P:$P,MATCH(MEDIÇÃO!K322,'PROJETO PERFURAÇÃO'!$B:$B,0))="Production","P",IF(INDEX('PROJETO PERFURAÇÃO'!$P:$P,MATCH(MEDIÇÃO!K322,'PROJETO PERFURAÇÃO'!$B:$B,0))="Buffer","B",IF(INDEX('PROJETO PERFURAÇÃO'!$P:$P,MATCH(MEDIÇÃO!K322,'PROJETO PERFURAÇÃO'!$B:$B,0))="Pre-Splitting","S"))),"")</f>
        <v>P</v>
      </c>
      <c r="K322" s="14">
        <f t="shared" si="31"/>
        <v>721</v>
      </c>
      <c r="L322" s="4" t="str">
        <f>IFERROR(INDEX('LEV R&amp;D'!$D:$D,MATCH(MEDIÇÃO!K322,'LEV R&amp;D'!$A:$A,0))-INDEX('PROJETO PERFURAÇÃO'!$AH:$AH,MATCH(MEDIÇÃO!K322,'PROJETO PERFURAÇÃO'!$B:$B,0)),"")</f>
        <v/>
      </c>
      <c r="M322" s="17">
        <f>IFERROR(INDEX('PROJETO PERFURAÇÃO'!$AN:$AN,MATCH(MEDIÇÃO!K322,'PROJETO PERFURAÇÃO'!$B:$B,0)),"")</f>
        <v>0</v>
      </c>
      <c r="N322" s="3"/>
      <c r="O322" s="3"/>
      <c r="P322" s="3" t="str">
        <f>IFERROR(ROUND(INDEX('PROJETO PERFURAÇÃO'!$AB:$AB,MATCH(MEDIÇÃO!R322,'PROJETO PERFURAÇÃO'!$B:$B,0)),1)&amp;"''","")</f>
        <v>5''</v>
      </c>
      <c r="Q322" s="3" t="str">
        <f>IFERROR(IF(INDEX('PROJETO PERFURAÇÃO'!$P:$P,MATCH(MEDIÇÃO!R322,'PROJETO PERFURAÇÃO'!$B:$B,0))="Production","P",IF(INDEX('PROJETO PERFURAÇÃO'!$P:$P,MATCH(MEDIÇÃO!R322,'PROJETO PERFURAÇÃO'!$B:$B,0))="Buffer","B",IF(INDEX('PROJETO PERFURAÇÃO'!$P:$P,MATCH(MEDIÇÃO!R322,'PROJETO PERFURAÇÃO'!$B:$B,0))="Pre-Splitting","S"))),"")</f>
        <v>P</v>
      </c>
      <c r="R322" s="14">
        <f t="shared" si="32"/>
        <v>744</v>
      </c>
      <c r="S322" s="4" t="str">
        <f>IFERROR(INDEX('LEV R&amp;D'!$D:$D,MATCH(MEDIÇÃO!R322,'LEV R&amp;D'!$A:$A,0))-INDEX('PROJETO PERFURAÇÃO'!$AH:$AH,MATCH(MEDIÇÃO!R322,'PROJETO PERFURAÇÃO'!$B:$B,0)),"")</f>
        <v/>
      </c>
      <c r="T322" s="17">
        <f>IFERROR(INDEX('PROJETO PERFURAÇÃO'!$AN:$AN,MATCH(MEDIÇÃO!R322,'PROJETO PERFURAÇÃO'!$B:$B,0)),"")</f>
        <v>0</v>
      </c>
      <c r="U322" s="3"/>
      <c r="V322" s="3"/>
    </row>
    <row r="323" spans="2:22" ht="45" customHeight="1" x14ac:dyDescent="0.25">
      <c r="B323" s="3" t="str">
        <f>IFERROR(ROUND(INDEX('PROJETO PERFURAÇÃO'!$AB:$AB,MATCH(MEDIÇÃO!D323,'PROJETO PERFURAÇÃO'!$B:$B,0)),1)&amp;"''","")</f>
        <v>5''</v>
      </c>
      <c r="C323" s="3" t="str">
        <f>IFERROR(IF(INDEX('PROJETO PERFURAÇÃO'!$P:$P,MATCH(MEDIÇÃO!D323,'PROJETO PERFURAÇÃO'!$B:$B,0))="Production","P",IF(INDEX('PROJETO PERFURAÇÃO'!$P:$P,MATCH(MEDIÇÃO!D323,'PROJETO PERFURAÇÃO'!$B:$B,0))="Buffer","B",IF(INDEX('PROJETO PERFURAÇÃO'!$P:$P,MATCH(MEDIÇÃO!D323,'PROJETO PERFURAÇÃO'!$B:$B,0))="Pre-Splitting","S"))),"")</f>
        <v>P</v>
      </c>
      <c r="D323" s="14">
        <f t="shared" si="30"/>
        <v>699</v>
      </c>
      <c r="E323" s="4" t="str">
        <f>IFERROR(INDEX('LEV R&amp;D'!$D:$D,MATCH(MEDIÇÃO!D323,'LEV R&amp;D'!$A:$A,0))-INDEX('PROJETO PERFURAÇÃO'!$AH:$AH,MATCH(MEDIÇÃO!D323,'PROJETO PERFURAÇÃO'!$B:$B,0)),"")</f>
        <v/>
      </c>
      <c r="F323" s="17">
        <f>IFERROR(INDEX('PROJETO PERFURAÇÃO'!$AN:$AN,MATCH(MEDIÇÃO!D323,'PROJETO PERFURAÇÃO'!$B:$B,0)),"")</f>
        <v>0</v>
      </c>
      <c r="G323" s="3"/>
      <c r="H323" s="3"/>
      <c r="I323" s="3" t="str">
        <f>IFERROR(ROUND(INDEX('PROJETO PERFURAÇÃO'!$AB:$AB,MATCH(MEDIÇÃO!K323,'PROJETO PERFURAÇÃO'!$B:$B,0)),1)&amp;"''","")</f>
        <v>5''</v>
      </c>
      <c r="J323" s="3" t="str">
        <f>IFERROR(IF(INDEX('PROJETO PERFURAÇÃO'!$P:$P,MATCH(MEDIÇÃO!K323,'PROJETO PERFURAÇÃO'!$B:$B,0))="Production","P",IF(INDEX('PROJETO PERFURAÇÃO'!$P:$P,MATCH(MEDIÇÃO!K323,'PROJETO PERFURAÇÃO'!$B:$B,0))="Buffer","B",IF(INDEX('PROJETO PERFURAÇÃO'!$P:$P,MATCH(MEDIÇÃO!K323,'PROJETO PERFURAÇÃO'!$B:$B,0))="Pre-Splitting","S"))),"")</f>
        <v>P</v>
      </c>
      <c r="K323" s="14">
        <f t="shared" si="31"/>
        <v>722</v>
      </c>
      <c r="L323" s="4" t="str">
        <f>IFERROR(INDEX('LEV R&amp;D'!$D:$D,MATCH(MEDIÇÃO!K323,'LEV R&amp;D'!$A:$A,0))-INDEX('PROJETO PERFURAÇÃO'!$AH:$AH,MATCH(MEDIÇÃO!K323,'PROJETO PERFURAÇÃO'!$B:$B,0)),"")</f>
        <v/>
      </c>
      <c r="M323" s="17">
        <f>IFERROR(INDEX('PROJETO PERFURAÇÃO'!$AN:$AN,MATCH(MEDIÇÃO!K323,'PROJETO PERFURAÇÃO'!$B:$B,0)),"")</f>
        <v>0</v>
      </c>
      <c r="N323" s="3"/>
      <c r="O323" s="3"/>
      <c r="P323" s="3" t="str">
        <f>IFERROR(ROUND(INDEX('PROJETO PERFURAÇÃO'!$AB:$AB,MATCH(MEDIÇÃO!R323,'PROJETO PERFURAÇÃO'!$B:$B,0)),1)&amp;"''","")</f>
        <v>5''</v>
      </c>
      <c r="Q323" s="3" t="str">
        <f>IFERROR(IF(INDEX('PROJETO PERFURAÇÃO'!$P:$P,MATCH(MEDIÇÃO!R323,'PROJETO PERFURAÇÃO'!$B:$B,0))="Production","P",IF(INDEX('PROJETO PERFURAÇÃO'!$P:$P,MATCH(MEDIÇÃO!R323,'PROJETO PERFURAÇÃO'!$B:$B,0))="Buffer","B",IF(INDEX('PROJETO PERFURAÇÃO'!$P:$P,MATCH(MEDIÇÃO!R323,'PROJETO PERFURAÇÃO'!$B:$B,0))="Pre-Splitting","S"))),"")</f>
        <v>P</v>
      </c>
      <c r="R323" s="14">
        <f t="shared" si="32"/>
        <v>745</v>
      </c>
      <c r="S323" s="4" t="str">
        <f>IFERROR(INDEX('LEV R&amp;D'!$D:$D,MATCH(MEDIÇÃO!R323,'LEV R&amp;D'!$A:$A,0))-INDEX('PROJETO PERFURAÇÃO'!$AH:$AH,MATCH(MEDIÇÃO!R323,'PROJETO PERFURAÇÃO'!$B:$B,0)),"")</f>
        <v/>
      </c>
      <c r="T323" s="17">
        <f>IFERROR(INDEX('PROJETO PERFURAÇÃO'!$AN:$AN,MATCH(MEDIÇÃO!R323,'PROJETO PERFURAÇÃO'!$B:$B,0)),"")</f>
        <v>0</v>
      </c>
      <c r="U323" s="3"/>
      <c r="V323" s="3"/>
    </row>
    <row r="324" spans="2:22" ht="45" customHeight="1" x14ac:dyDescent="0.25">
      <c r="B324" s="3" t="str">
        <f>IFERROR(ROUND(INDEX('PROJETO PERFURAÇÃO'!$AB:$AB,MATCH(MEDIÇÃO!D324,'PROJETO PERFURAÇÃO'!$B:$B,0)),1)&amp;"''","")</f>
        <v>5''</v>
      </c>
      <c r="C324" s="3" t="str">
        <f>IFERROR(IF(INDEX('PROJETO PERFURAÇÃO'!$P:$P,MATCH(MEDIÇÃO!D324,'PROJETO PERFURAÇÃO'!$B:$B,0))="Production","P",IF(INDEX('PROJETO PERFURAÇÃO'!$P:$P,MATCH(MEDIÇÃO!D324,'PROJETO PERFURAÇÃO'!$B:$B,0))="Buffer","B",IF(INDEX('PROJETO PERFURAÇÃO'!$P:$P,MATCH(MEDIÇÃO!D324,'PROJETO PERFURAÇÃO'!$B:$B,0))="Pre-Splitting","S"))),"")</f>
        <v>P</v>
      </c>
      <c r="D324" s="14">
        <f t="shared" si="30"/>
        <v>700</v>
      </c>
      <c r="E324" s="4" t="str">
        <f>IFERROR(INDEX('LEV R&amp;D'!$D:$D,MATCH(MEDIÇÃO!D324,'LEV R&amp;D'!$A:$A,0))-INDEX('PROJETO PERFURAÇÃO'!$AH:$AH,MATCH(MEDIÇÃO!D324,'PROJETO PERFURAÇÃO'!$B:$B,0)),"")</f>
        <v/>
      </c>
      <c r="F324" s="17">
        <f>IFERROR(INDEX('PROJETO PERFURAÇÃO'!$AN:$AN,MATCH(MEDIÇÃO!D324,'PROJETO PERFURAÇÃO'!$B:$B,0)),"")</f>
        <v>0</v>
      </c>
      <c r="G324" s="3"/>
      <c r="H324" s="3"/>
      <c r="I324" s="3" t="str">
        <f>IFERROR(ROUND(INDEX('PROJETO PERFURAÇÃO'!$AB:$AB,MATCH(MEDIÇÃO!K324,'PROJETO PERFURAÇÃO'!$B:$B,0)),1)&amp;"''","")</f>
        <v>5''</v>
      </c>
      <c r="J324" s="3" t="str">
        <f>IFERROR(IF(INDEX('PROJETO PERFURAÇÃO'!$P:$P,MATCH(MEDIÇÃO!K324,'PROJETO PERFURAÇÃO'!$B:$B,0))="Production","P",IF(INDEX('PROJETO PERFURAÇÃO'!$P:$P,MATCH(MEDIÇÃO!K324,'PROJETO PERFURAÇÃO'!$B:$B,0))="Buffer","B",IF(INDEX('PROJETO PERFURAÇÃO'!$P:$P,MATCH(MEDIÇÃO!K324,'PROJETO PERFURAÇÃO'!$B:$B,0))="Pre-Splitting","S"))),"")</f>
        <v>P</v>
      </c>
      <c r="K324" s="14">
        <f t="shared" si="31"/>
        <v>723</v>
      </c>
      <c r="L324" s="4" t="str">
        <f>IFERROR(INDEX('LEV R&amp;D'!$D:$D,MATCH(MEDIÇÃO!K324,'LEV R&amp;D'!$A:$A,0))-INDEX('PROJETO PERFURAÇÃO'!$AH:$AH,MATCH(MEDIÇÃO!K324,'PROJETO PERFURAÇÃO'!$B:$B,0)),"")</f>
        <v/>
      </c>
      <c r="M324" s="17">
        <f>IFERROR(INDEX('PROJETO PERFURAÇÃO'!$AN:$AN,MATCH(MEDIÇÃO!K324,'PROJETO PERFURAÇÃO'!$B:$B,0)),"")</f>
        <v>0</v>
      </c>
      <c r="N324" s="3"/>
      <c r="O324" s="3"/>
      <c r="P324" s="3" t="str">
        <f>IFERROR(ROUND(INDEX('PROJETO PERFURAÇÃO'!$AB:$AB,MATCH(MEDIÇÃO!R324,'PROJETO PERFURAÇÃO'!$B:$B,0)),1)&amp;"''","")</f>
        <v>5''</v>
      </c>
      <c r="Q324" s="3" t="str">
        <f>IFERROR(IF(INDEX('PROJETO PERFURAÇÃO'!$P:$P,MATCH(MEDIÇÃO!R324,'PROJETO PERFURAÇÃO'!$B:$B,0))="Production","P",IF(INDEX('PROJETO PERFURAÇÃO'!$P:$P,MATCH(MEDIÇÃO!R324,'PROJETO PERFURAÇÃO'!$B:$B,0))="Buffer","B",IF(INDEX('PROJETO PERFURAÇÃO'!$P:$P,MATCH(MEDIÇÃO!R324,'PROJETO PERFURAÇÃO'!$B:$B,0))="Pre-Splitting","S"))),"")</f>
        <v>P</v>
      </c>
      <c r="R324" s="14">
        <f t="shared" si="32"/>
        <v>746</v>
      </c>
      <c r="S324" s="4" t="str">
        <f>IFERROR(INDEX('LEV R&amp;D'!$D:$D,MATCH(MEDIÇÃO!R324,'LEV R&amp;D'!$A:$A,0))-INDEX('PROJETO PERFURAÇÃO'!$AH:$AH,MATCH(MEDIÇÃO!R324,'PROJETO PERFURAÇÃO'!$B:$B,0)),"")</f>
        <v/>
      </c>
      <c r="T324" s="17">
        <f>IFERROR(INDEX('PROJETO PERFURAÇÃO'!$AN:$AN,MATCH(MEDIÇÃO!R324,'PROJETO PERFURAÇÃO'!$B:$B,0)),"")</f>
        <v>0</v>
      </c>
      <c r="U324" s="3"/>
      <c r="V324" s="3"/>
    </row>
    <row r="325" spans="2:22" ht="45" customHeight="1" x14ac:dyDescent="0.25">
      <c r="B325" s="3" t="str">
        <f>IFERROR(ROUND(INDEX('PROJETO PERFURAÇÃO'!$AB:$AB,MATCH(MEDIÇÃO!D325,'PROJETO PERFURAÇÃO'!$B:$B,0)),1)&amp;"''","")</f>
        <v>5''</v>
      </c>
      <c r="C325" s="3" t="str">
        <f>IFERROR(IF(INDEX('PROJETO PERFURAÇÃO'!$P:$P,MATCH(MEDIÇÃO!D325,'PROJETO PERFURAÇÃO'!$B:$B,0))="Production","P",IF(INDEX('PROJETO PERFURAÇÃO'!$P:$P,MATCH(MEDIÇÃO!D325,'PROJETO PERFURAÇÃO'!$B:$B,0))="Buffer","B",IF(INDEX('PROJETO PERFURAÇÃO'!$P:$P,MATCH(MEDIÇÃO!D325,'PROJETO PERFURAÇÃO'!$B:$B,0))="Pre-Splitting","S"))),"")</f>
        <v>P</v>
      </c>
      <c r="D325" s="14">
        <f t="shared" si="30"/>
        <v>701</v>
      </c>
      <c r="E325" s="4" t="str">
        <f>IFERROR(INDEX('LEV R&amp;D'!$D:$D,MATCH(MEDIÇÃO!D325,'LEV R&amp;D'!$A:$A,0))-INDEX('PROJETO PERFURAÇÃO'!$AH:$AH,MATCH(MEDIÇÃO!D325,'PROJETO PERFURAÇÃO'!$B:$B,0)),"")</f>
        <v/>
      </c>
      <c r="F325" s="17">
        <f>IFERROR(INDEX('PROJETO PERFURAÇÃO'!$AN:$AN,MATCH(MEDIÇÃO!D325,'PROJETO PERFURAÇÃO'!$B:$B,0)),"")</f>
        <v>0</v>
      </c>
      <c r="G325" s="3"/>
      <c r="H325" s="3"/>
      <c r="I325" s="3" t="str">
        <f>IFERROR(ROUND(INDEX('PROJETO PERFURAÇÃO'!$AB:$AB,MATCH(MEDIÇÃO!K325,'PROJETO PERFURAÇÃO'!$B:$B,0)),1)&amp;"''","")</f>
        <v>5''</v>
      </c>
      <c r="J325" s="3" t="str">
        <f>IFERROR(IF(INDEX('PROJETO PERFURAÇÃO'!$P:$P,MATCH(MEDIÇÃO!K325,'PROJETO PERFURAÇÃO'!$B:$B,0))="Production","P",IF(INDEX('PROJETO PERFURAÇÃO'!$P:$P,MATCH(MEDIÇÃO!K325,'PROJETO PERFURAÇÃO'!$B:$B,0))="Buffer","B",IF(INDEX('PROJETO PERFURAÇÃO'!$P:$P,MATCH(MEDIÇÃO!K325,'PROJETO PERFURAÇÃO'!$B:$B,0))="Pre-Splitting","S"))),"")</f>
        <v>P</v>
      </c>
      <c r="K325" s="14">
        <f t="shared" si="31"/>
        <v>724</v>
      </c>
      <c r="L325" s="4" t="str">
        <f>IFERROR(INDEX('LEV R&amp;D'!$D:$D,MATCH(MEDIÇÃO!K325,'LEV R&amp;D'!$A:$A,0))-INDEX('PROJETO PERFURAÇÃO'!$AH:$AH,MATCH(MEDIÇÃO!K325,'PROJETO PERFURAÇÃO'!$B:$B,0)),"")</f>
        <v/>
      </c>
      <c r="M325" s="17">
        <f>IFERROR(INDEX('PROJETO PERFURAÇÃO'!$AN:$AN,MATCH(MEDIÇÃO!K325,'PROJETO PERFURAÇÃO'!$B:$B,0)),"")</f>
        <v>0</v>
      </c>
      <c r="N325" s="3"/>
      <c r="O325" s="3"/>
      <c r="P325" s="3" t="str">
        <f>IFERROR(ROUND(INDEX('PROJETO PERFURAÇÃO'!$AB:$AB,MATCH(MEDIÇÃO!R325,'PROJETO PERFURAÇÃO'!$B:$B,0)),1)&amp;"''","")</f>
        <v>5''</v>
      </c>
      <c r="Q325" s="3" t="str">
        <f>IFERROR(IF(INDEX('PROJETO PERFURAÇÃO'!$P:$P,MATCH(MEDIÇÃO!R325,'PROJETO PERFURAÇÃO'!$B:$B,0))="Production","P",IF(INDEX('PROJETO PERFURAÇÃO'!$P:$P,MATCH(MEDIÇÃO!R325,'PROJETO PERFURAÇÃO'!$B:$B,0))="Buffer","B",IF(INDEX('PROJETO PERFURAÇÃO'!$P:$P,MATCH(MEDIÇÃO!R325,'PROJETO PERFURAÇÃO'!$B:$B,0))="Pre-Splitting","S"))),"")</f>
        <v>P</v>
      </c>
      <c r="R325" s="14">
        <f t="shared" si="32"/>
        <v>747</v>
      </c>
      <c r="S325" s="4" t="str">
        <f>IFERROR(INDEX('LEV R&amp;D'!$D:$D,MATCH(MEDIÇÃO!R325,'LEV R&amp;D'!$A:$A,0))-INDEX('PROJETO PERFURAÇÃO'!$AH:$AH,MATCH(MEDIÇÃO!R325,'PROJETO PERFURAÇÃO'!$B:$B,0)),"")</f>
        <v/>
      </c>
      <c r="T325" s="17">
        <f>IFERROR(INDEX('PROJETO PERFURAÇÃO'!$AN:$AN,MATCH(MEDIÇÃO!R325,'PROJETO PERFURAÇÃO'!$B:$B,0)),"")</f>
        <v>0</v>
      </c>
      <c r="U325" s="3"/>
      <c r="V325" s="3"/>
    </row>
    <row r="326" spans="2:22" ht="45" customHeight="1" x14ac:dyDescent="0.25">
      <c r="B326" s="3" t="str">
        <f>IFERROR(ROUND(INDEX('PROJETO PERFURAÇÃO'!$AB:$AB,MATCH(MEDIÇÃO!D326,'PROJETO PERFURAÇÃO'!$B:$B,0)),1)&amp;"''","")</f>
        <v>5''</v>
      </c>
      <c r="C326" s="3" t="str">
        <f>IFERROR(IF(INDEX('PROJETO PERFURAÇÃO'!$P:$P,MATCH(MEDIÇÃO!D326,'PROJETO PERFURAÇÃO'!$B:$B,0))="Production","P",IF(INDEX('PROJETO PERFURAÇÃO'!$P:$P,MATCH(MEDIÇÃO!D326,'PROJETO PERFURAÇÃO'!$B:$B,0))="Buffer","B",IF(INDEX('PROJETO PERFURAÇÃO'!$P:$P,MATCH(MEDIÇÃO!D326,'PROJETO PERFURAÇÃO'!$B:$B,0))="Pre-Splitting","S"))),"")</f>
        <v>P</v>
      </c>
      <c r="D326" s="14">
        <f t="shared" si="30"/>
        <v>702</v>
      </c>
      <c r="E326" s="4" t="str">
        <f>IFERROR(INDEX('LEV R&amp;D'!$D:$D,MATCH(MEDIÇÃO!D326,'LEV R&amp;D'!$A:$A,0))-INDEX('PROJETO PERFURAÇÃO'!$AH:$AH,MATCH(MEDIÇÃO!D326,'PROJETO PERFURAÇÃO'!$B:$B,0)),"")</f>
        <v/>
      </c>
      <c r="F326" s="17">
        <f>IFERROR(INDEX('PROJETO PERFURAÇÃO'!$AN:$AN,MATCH(MEDIÇÃO!D326,'PROJETO PERFURAÇÃO'!$B:$B,0)),"")</f>
        <v>0</v>
      </c>
      <c r="G326" s="3"/>
      <c r="H326" s="3"/>
      <c r="I326" s="3" t="str">
        <f>IFERROR(ROUND(INDEX('PROJETO PERFURAÇÃO'!$AB:$AB,MATCH(MEDIÇÃO!K326,'PROJETO PERFURAÇÃO'!$B:$B,0)),1)&amp;"''","")</f>
        <v>5''</v>
      </c>
      <c r="J326" s="3" t="str">
        <f>IFERROR(IF(INDEX('PROJETO PERFURAÇÃO'!$P:$P,MATCH(MEDIÇÃO!K326,'PROJETO PERFURAÇÃO'!$B:$B,0))="Production","P",IF(INDEX('PROJETO PERFURAÇÃO'!$P:$P,MATCH(MEDIÇÃO!K326,'PROJETO PERFURAÇÃO'!$B:$B,0))="Buffer","B",IF(INDEX('PROJETO PERFURAÇÃO'!$P:$P,MATCH(MEDIÇÃO!K326,'PROJETO PERFURAÇÃO'!$B:$B,0))="Pre-Splitting","S"))),"")</f>
        <v>P</v>
      </c>
      <c r="K326" s="14">
        <f t="shared" si="31"/>
        <v>725</v>
      </c>
      <c r="L326" s="4" t="str">
        <f>IFERROR(INDEX('LEV R&amp;D'!$D:$D,MATCH(MEDIÇÃO!K326,'LEV R&amp;D'!$A:$A,0))-INDEX('PROJETO PERFURAÇÃO'!$AH:$AH,MATCH(MEDIÇÃO!K326,'PROJETO PERFURAÇÃO'!$B:$B,0)),"")</f>
        <v/>
      </c>
      <c r="M326" s="17">
        <f>IFERROR(INDEX('PROJETO PERFURAÇÃO'!$AN:$AN,MATCH(MEDIÇÃO!K326,'PROJETO PERFURAÇÃO'!$B:$B,0)),"")</f>
        <v>0</v>
      </c>
      <c r="N326" s="3"/>
      <c r="O326" s="3"/>
      <c r="P326" s="3" t="str">
        <f>IFERROR(ROUND(INDEX('PROJETO PERFURAÇÃO'!$AB:$AB,MATCH(MEDIÇÃO!R326,'PROJETO PERFURAÇÃO'!$B:$B,0)),1)&amp;"''","")</f>
        <v>5''</v>
      </c>
      <c r="Q326" s="3" t="str">
        <f>IFERROR(IF(INDEX('PROJETO PERFURAÇÃO'!$P:$P,MATCH(MEDIÇÃO!R326,'PROJETO PERFURAÇÃO'!$B:$B,0))="Production","P",IF(INDEX('PROJETO PERFURAÇÃO'!$P:$P,MATCH(MEDIÇÃO!R326,'PROJETO PERFURAÇÃO'!$B:$B,0))="Buffer","B",IF(INDEX('PROJETO PERFURAÇÃO'!$P:$P,MATCH(MEDIÇÃO!R326,'PROJETO PERFURAÇÃO'!$B:$B,0))="Pre-Splitting","S"))),"")</f>
        <v>P</v>
      </c>
      <c r="R326" s="14">
        <f t="shared" si="32"/>
        <v>748</v>
      </c>
      <c r="S326" s="4" t="str">
        <f>IFERROR(INDEX('LEV R&amp;D'!$D:$D,MATCH(MEDIÇÃO!R326,'LEV R&amp;D'!$A:$A,0))-INDEX('PROJETO PERFURAÇÃO'!$AH:$AH,MATCH(MEDIÇÃO!R326,'PROJETO PERFURAÇÃO'!$B:$B,0)),"")</f>
        <v/>
      </c>
      <c r="T326" s="17">
        <f>IFERROR(INDEX('PROJETO PERFURAÇÃO'!$AN:$AN,MATCH(MEDIÇÃO!R326,'PROJETO PERFURAÇÃO'!$B:$B,0)),"")</f>
        <v>0</v>
      </c>
      <c r="U326" s="3"/>
      <c r="V326" s="3"/>
    </row>
    <row r="327" spans="2:22" ht="45" customHeight="1" x14ac:dyDescent="0.25">
      <c r="B327" s="3" t="str">
        <f>IFERROR(ROUND(INDEX('PROJETO PERFURAÇÃO'!$AB:$AB,MATCH(MEDIÇÃO!D327,'PROJETO PERFURAÇÃO'!$B:$B,0)),1)&amp;"''","")</f>
        <v>5''</v>
      </c>
      <c r="C327" s="3" t="str">
        <f>IFERROR(IF(INDEX('PROJETO PERFURAÇÃO'!$P:$P,MATCH(MEDIÇÃO!D327,'PROJETO PERFURAÇÃO'!$B:$B,0))="Production","P",IF(INDEX('PROJETO PERFURAÇÃO'!$P:$P,MATCH(MEDIÇÃO!D327,'PROJETO PERFURAÇÃO'!$B:$B,0))="Buffer","B",IF(INDEX('PROJETO PERFURAÇÃO'!$P:$P,MATCH(MEDIÇÃO!D327,'PROJETO PERFURAÇÃO'!$B:$B,0))="Pre-Splitting","S"))),"")</f>
        <v>P</v>
      </c>
      <c r="D327" s="14">
        <f t="shared" si="30"/>
        <v>703</v>
      </c>
      <c r="E327" s="4" t="str">
        <f>IFERROR(INDEX('LEV R&amp;D'!$D:$D,MATCH(MEDIÇÃO!D327,'LEV R&amp;D'!$A:$A,0))-INDEX('PROJETO PERFURAÇÃO'!$AH:$AH,MATCH(MEDIÇÃO!D327,'PROJETO PERFURAÇÃO'!$B:$B,0)),"")</f>
        <v/>
      </c>
      <c r="F327" s="17">
        <f>IFERROR(INDEX('PROJETO PERFURAÇÃO'!$AN:$AN,MATCH(MEDIÇÃO!D327,'PROJETO PERFURAÇÃO'!$B:$B,0)),"")</f>
        <v>0</v>
      </c>
      <c r="G327" s="3"/>
      <c r="H327" s="3"/>
      <c r="I327" s="3" t="str">
        <f>IFERROR(ROUND(INDEX('PROJETO PERFURAÇÃO'!$AB:$AB,MATCH(MEDIÇÃO!K327,'PROJETO PERFURAÇÃO'!$B:$B,0)),1)&amp;"''","")</f>
        <v>5''</v>
      </c>
      <c r="J327" s="3" t="str">
        <f>IFERROR(IF(INDEX('PROJETO PERFURAÇÃO'!$P:$P,MATCH(MEDIÇÃO!K327,'PROJETO PERFURAÇÃO'!$B:$B,0))="Production","P",IF(INDEX('PROJETO PERFURAÇÃO'!$P:$P,MATCH(MEDIÇÃO!K327,'PROJETO PERFURAÇÃO'!$B:$B,0))="Buffer","B",IF(INDEX('PROJETO PERFURAÇÃO'!$P:$P,MATCH(MEDIÇÃO!K327,'PROJETO PERFURAÇÃO'!$B:$B,0))="Pre-Splitting","S"))),"")</f>
        <v>P</v>
      </c>
      <c r="K327" s="14">
        <f t="shared" si="31"/>
        <v>726</v>
      </c>
      <c r="L327" s="4" t="str">
        <f>IFERROR(INDEX('LEV R&amp;D'!$D:$D,MATCH(MEDIÇÃO!K327,'LEV R&amp;D'!$A:$A,0))-INDEX('PROJETO PERFURAÇÃO'!$AH:$AH,MATCH(MEDIÇÃO!K327,'PROJETO PERFURAÇÃO'!$B:$B,0)),"")</f>
        <v/>
      </c>
      <c r="M327" s="17">
        <f>IFERROR(INDEX('PROJETO PERFURAÇÃO'!$AN:$AN,MATCH(MEDIÇÃO!K327,'PROJETO PERFURAÇÃO'!$B:$B,0)),"")</f>
        <v>0</v>
      </c>
      <c r="N327" s="3"/>
      <c r="O327" s="3"/>
      <c r="P327" s="3" t="str">
        <f>IFERROR(ROUND(INDEX('PROJETO PERFURAÇÃO'!$AB:$AB,MATCH(MEDIÇÃO!R327,'PROJETO PERFURAÇÃO'!$B:$B,0)),1)&amp;"''","")</f>
        <v>5''</v>
      </c>
      <c r="Q327" s="3" t="str">
        <f>IFERROR(IF(INDEX('PROJETO PERFURAÇÃO'!$P:$P,MATCH(MEDIÇÃO!R327,'PROJETO PERFURAÇÃO'!$B:$B,0))="Production","P",IF(INDEX('PROJETO PERFURAÇÃO'!$P:$P,MATCH(MEDIÇÃO!R327,'PROJETO PERFURAÇÃO'!$B:$B,0))="Buffer","B",IF(INDEX('PROJETO PERFURAÇÃO'!$P:$P,MATCH(MEDIÇÃO!R327,'PROJETO PERFURAÇÃO'!$B:$B,0))="Pre-Splitting","S"))),"")</f>
        <v>P</v>
      </c>
      <c r="R327" s="14">
        <f t="shared" si="32"/>
        <v>749</v>
      </c>
      <c r="S327" s="4" t="str">
        <f>IFERROR(INDEX('LEV R&amp;D'!$D:$D,MATCH(MEDIÇÃO!R327,'LEV R&amp;D'!$A:$A,0))-INDEX('PROJETO PERFURAÇÃO'!$AH:$AH,MATCH(MEDIÇÃO!R327,'PROJETO PERFURAÇÃO'!$B:$B,0)),"")</f>
        <v/>
      </c>
      <c r="T327" s="17">
        <f>IFERROR(INDEX('PROJETO PERFURAÇÃO'!$AN:$AN,MATCH(MEDIÇÃO!R327,'PROJETO PERFURAÇÃO'!$B:$B,0)),"")</f>
        <v>0</v>
      </c>
      <c r="U327" s="3"/>
      <c r="V327" s="3"/>
    </row>
    <row r="328" spans="2:22" ht="45" customHeight="1" x14ac:dyDescent="0.25">
      <c r="B328" s="3" t="str">
        <f>IFERROR(ROUND(INDEX('PROJETO PERFURAÇÃO'!$AB:$AB,MATCH(MEDIÇÃO!D328,'PROJETO PERFURAÇÃO'!$B:$B,0)),1)&amp;"''","")</f>
        <v>5''</v>
      </c>
      <c r="C328" s="3" t="str">
        <f>IFERROR(IF(INDEX('PROJETO PERFURAÇÃO'!$P:$P,MATCH(MEDIÇÃO!D328,'PROJETO PERFURAÇÃO'!$B:$B,0))="Production","P",IF(INDEX('PROJETO PERFURAÇÃO'!$P:$P,MATCH(MEDIÇÃO!D328,'PROJETO PERFURAÇÃO'!$B:$B,0))="Buffer","B",IF(INDEX('PROJETO PERFURAÇÃO'!$P:$P,MATCH(MEDIÇÃO!D328,'PROJETO PERFURAÇÃO'!$B:$B,0))="Pre-Splitting","S"))),"")</f>
        <v>P</v>
      </c>
      <c r="D328" s="14">
        <f t="shared" si="30"/>
        <v>704</v>
      </c>
      <c r="E328" s="4" t="str">
        <f>IFERROR(INDEX('LEV R&amp;D'!$D:$D,MATCH(MEDIÇÃO!D328,'LEV R&amp;D'!$A:$A,0))-INDEX('PROJETO PERFURAÇÃO'!$AH:$AH,MATCH(MEDIÇÃO!D328,'PROJETO PERFURAÇÃO'!$B:$B,0)),"")</f>
        <v/>
      </c>
      <c r="F328" s="17">
        <f>IFERROR(INDEX('PROJETO PERFURAÇÃO'!$AN:$AN,MATCH(MEDIÇÃO!D328,'PROJETO PERFURAÇÃO'!$B:$B,0)),"")</f>
        <v>0</v>
      </c>
      <c r="G328" s="3"/>
      <c r="H328" s="3"/>
      <c r="I328" s="3" t="str">
        <f>IFERROR(ROUND(INDEX('PROJETO PERFURAÇÃO'!$AB:$AB,MATCH(MEDIÇÃO!K328,'PROJETO PERFURAÇÃO'!$B:$B,0)),1)&amp;"''","")</f>
        <v>5''</v>
      </c>
      <c r="J328" s="3" t="str">
        <f>IFERROR(IF(INDEX('PROJETO PERFURAÇÃO'!$P:$P,MATCH(MEDIÇÃO!K328,'PROJETO PERFURAÇÃO'!$B:$B,0))="Production","P",IF(INDEX('PROJETO PERFURAÇÃO'!$P:$P,MATCH(MEDIÇÃO!K328,'PROJETO PERFURAÇÃO'!$B:$B,0))="Buffer","B",IF(INDEX('PROJETO PERFURAÇÃO'!$P:$P,MATCH(MEDIÇÃO!K328,'PROJETO PERFURAÇÃO'!$B:$B,0))="Pre-Splitting","S"))),"")</f>
        <v>P</v>
      </c>
      <c r="K328" s="14">
        <f t="shared" si="31"/>
        <v>727</v>
      </c>
      <c r="L328" s="4" t="str">
        <f>IFERROR(INDEX('LEV R&amp;D'!$D:$D,MATCH(MEDIÇÃO!K328,'LEV R&amp;D'!$A:$A,0))-INDEX('PROJETO PERFURAÇÃO'!$AH:$AH,MATCH(MEDIÇÃO!K328,'PROJETO PERFURAÇÃO'!$B:$B,0)),"")</f>
        <v/>
      </c>
      <c r="M328" s="17">
        <f>IFERROR(INDEX('PROJETO PERFURAÇÃO'!$AN:$AN,MATCH(MEDIÇÃO!K328,'PROJETO PERFURAÇÃO'!$B:$B,0)),"")</f>
        <v>0</v>
      </c>
      <c r="N328" s="3"/>
      <c r="O328" s="3"/>
      <c r="P328" s="3" t="str">
        <f>IFERROR(ROUND(INDEX('PROJETO PERFURAÇÃO'!$AB:$AB,MATCH(MEDIÇÃO!R328,'PROJETO PERFURAÇÃO'!$B:$B,0)),1)&amp;"''","")</f>
        <v>5''</v>
      </c>
      <c r="Q328" s="3" t="str">
        <f>IFERROR(IF(INDEX('PROJETO PERFURAÇÃO'!$P:$P,MATCH(MEDIÇÃO!R328,'PROJETO PERFURAÇÃO'!$B:$B,0))="Production","P",IF(INDEX('PROJETO PERFURAÇÃO'!$P:$P,MATCH(MEDIÇÃO!R328,'PROJETO PERFURAÇÃO'!$B:$B,0))="Buffer","B",IF(INDEX('PROJETO PERFURAÇÃO'!$P:$P,MATCH(MEDIÇÃO!R328,'PROJETO PERFURAÇÃO'!$B:$B,0))="Pre-Splitting","S"))),"")</f>
        <v>P</v>
      </c>
      <c r="R328" s="14">
        <f t="shared" si="32"/>
        <v>750</v>
      </c>
      <c r="S328" s="4" t="str">
        <f>IFERROR(INDEX('LEV R&amp;D'!$D:$D,MATCH(MEDIÇÃO!R328,'LEV R&amp;D'!$A:$A,0))-INDEX('PROJETO PERFURAÇÃO'!$AH:$AH,MATCH(MEDIÇÃO!R328,'PROJETO PERFURAÇÃO'!$B:$B,0)),"")</f>
        <v/>
      </c>
      <c r="T328" s="17">
        <f>IFERROR(INDEX('PROJETO PERFURAÇÃO'!$AN:$AN,MATCH(MEDIÇÃO!R328,'PROJETO PERFURAÇÃO'!$B:$B,0)),"")</f>
        <v>5</v>
      </c>
      <c r="U328" s="3"/>
      <c r="V328" s="3"/>
    </row>
    <row r="329" spans="2:22" ht="45" customHeight="1" x14ac:dyDescent="0.25">
      <c r="B329" s="3" t="str">
        <f>IFERROR(ROUND(INDEX('PROJETO PERFURAÇÃO'!$AB:$AB,MATCH(MEDIÇÃO!D329,'PROJETO PERFURAÇÃO'!$B:$B,0)),1)&amp;"''","")</f>
        <v>5''</v>
      </c>
      <c r="C329" s="3" t="str">
        <f>IFERROR(IF(INDEX('PROJETO PERFURAÇÃO'!$P:$P,MATCH(MEDIÇÃO!D329,'PROJETO PERFURAÇÃO'!$B:$B,0))="Production","P",IF(INDEX('PROJETO PERFURAÇÃO'!$P:$P,MATCH(MEDIÇÃO!D329,'PROJETO PERFURAÇÃO'!$B:$B,0))="Buffer","B",IF(INDEX('PROJETO PERFURAÇÃO'!$P:$P,MATCH(MEDIÇÃO!D329,'PROJETO PERFURAÇÃO'!$B:$B,0))="Pre-Splitting","S"))),"")</f>
        <v>P</v>
      </c>
      <c r="D329" s="14">
        <f t="shared" si="30"/>
        <v>705</v>
      </c>
      <c r="E329" s="4" t="str">
        <f>IFERROR(INDEX('LEV R&amp;D'!$D:$D,MATCH(MEDIÇÃO!D329,'LEV R&amp;D'!$A:$A,0))-INDEX('PROJETO PERFURAÇÃO'!$AH:$AH,MATCH(MEDIÇÃO!D329,'PROJETO PERFURAÇÃO'!$B:$B,0)),"")</f>
        <v/>
      </c>
      <c r="F329" s="17">
        <f>IFERROR(INDEX('PROJETO PERFURAÇÃO'!$AN:$AN,MATCH(MEDIÇÃO!D329,'PROJETO PERFURAÇÃO'!$B:$B,0)),"")</f>
        <v>0</v>
      </c>
      <c r="G329" s="3"/>
      <c r="H329" s="3"/>
      <c r="I329" s="3" t="str">
        <f>IFERROR(ROUND(INDEX('PROJETO PERFURAÇÃO'!$AB:$AB,MATCH(MEDIÇÃO!K329,'PROJETO PERFURAÇÃO'!$B:$B,0)),1)&amp;"''","")</f>
        <v>5''</v>
      </c>
      <c r="J329" s="3" t="str">
        <f>IFERROR(IF(INDEX('PROJETO PERFURAÇÃO'!$P:$P,MATCH(MEDIÇÃO!K329,'PROJETO PERFURAÇÃO'!$B:$B,0))="Production","P",IF(INDEX('PROJETO PERFURAÇÃO'!$P:$P,MATCH(MEDIÇÃO!K329,'PROJETO PERFURAÇÃO'!$B:$B,0))="Buffer","B",IF(INDEX('PROJETO PERFURAÇÃO'!$P:$P,MATCH(MEDIÇÃO!K329,'PROJETO PERFURAÇÃO'!$B:$B,0))="Pre-Splitting","S"))),"")</f>
        <v>P</v>
      </c>
      <c r="K329" s="14">
        <f t="shared" si="31"/>
        <v>728</v>
      </c>
      <c r="L329" s="4" t="str">
        <f>IFERROR(INDEX('LEV R&amp;D'!$D:$D,MATCH(MEDIÇÃO!K329,'LEV R&amp;D'!$A:$A,0))-INDEX('PROJETO PERFURAÇÃO'!$AH:$AH,MATCH(MEDIÇÃO!K329,'PROJETO PERFURAÇÃO'!$B:$B,0)),"")</f>
        <v/>
      </c>
      <c r="M329" s="17">
        <f>IFERROR(INDEX('PROJETO PERFURAÇÃO'!$AN:$AN,MATCH(MEDIÇÃO!K329,'PROJETO PERFURAÇÃO'!$B:$B,0)),"")</f>
        <v>0</v>
      </c>
      <c r="N329" s="3"/>
      <c r="O329" s="3"/>
      <c r="P329" s="3" t="str">
        <f>IFERROR(ROUND(INDEX('PROJETO PERFURAÇÃO'!$AB:$AB,MATCH(MEDIÇÃO!R329,'PROJETO PERFURAÇÃO'!$B:$B,0)),1)&amp;"''","")</f>
        <v>5''</v>
      </c>
      <c r="Q329" s="3" t="str">
        <f>IFERROR(IF(INDEX('PROJETO PERFURAÇÃO'!$P:$P,MATCH(MEDIÇÃO!R329,'PROJETO PERFURAÇÃO'!$B:$B,0))="Production","P",IF(INDEX('PROJETO PERFURAÇÃO'!$P:$P,MATCH(MEDIÇÃO!R329,'PROJETO PERFURAÇÃO'!$B:$B,0))="Buffer","B",IF(INDEX('PROJETO PERFURAÇÃO'!$P:$P,MATCH(MEDIÇÃO!R329,'PROJETO PERFURAÇÃO'!$B:$B,0))="Pre-Splitting","S"))),"")</f>
        <v>P</v>
      </c>
      <c r="R329" s="14">
        <f t="shared" si="32"/>
        <v>751</v>
      </c>
      <c r="S329" s="4" t="str">
        <f>IFERROR(INDEX('LEV R&amp;D'!$D:$D,MATCH(MEDIÇÃO!R329,'LEV R&amp;D'!$A:$A,0))-INDEX('PROJETO PERFURAÇÃO'!$AH:$AH,MATCH(MEDIÇÃO!R329,'PROJETO PERFURAÇÃO'!$B:$B,0)),"")</f>
        <v/>
      </c>
      <c r="T329" s="17">
        <f>IFERROR(INDEX('PROJETO PERFURAÇÃO'!$AN:$AN,MATCH(MEDIÇÃO!R329,'PROJETO PERFURAÇÃO'!$B:$B,0)),"")</f>
        <v>0</v>
      </c>
      <c r="U329" s="3"/>
      <c r="V329" s="3"/>
    </row>
    <row r="330" spans="2:22" ht="45" customHeight="1" x14ac:dyDescent="0.25">
      <c r="B330" s="3" t="str">
        <f>IFERROR(ROUND(INDEX('PROJETO PERFURAÇÃO'!$AB:$AB,MATCH(MEDIÇÃO!D330,'PROJETO PERFURAÇÃO'!$B:$B,0)),1)&amp;"''","")</f>
        <v>5''</v>
      </c>
      <c r="C330" s="3" t="str">
        <f>IFERROR(IF(INDEX('PROJETO PERFURAÇÃO'!$P:$P,MATCH(MEDIÇÃO!D330,'PROJETO PERFURAÇÃO'!$B:$B,0))="Production","P",IF(INDEX('PROJETO PERFURAÇÃO'!$P:$P,MATCH(MEDIÇÃO!D330,'PROJETO PERFURAÇÃO'!$B:$B,0))="Buffer","B",IF(INDEX('PROJETO PERFURAÇÃO'!$P:$P,MATCH(MEDIÇÃO!D330,'PROJETO PERFURAÇÃO'!$B:$B,0))="Pre-Splitting","S"))),"")</f>
        <v>P</v>
      </c>
      <c r="D330" s="14">
        <f t="shared" si="30"/>
        <v>706</v>
      </c>
      <c r="E330" s="4" t="str">
        <f>IFERROR(INDEX('LEV R&amp;D'!$D:$D,MATCH(MEDIÇÃO!D330,'LEV R&amp;D'!$A:$A,0))-INDEX('PROJETO PERFURAÇÃO'!$AH:$AH,MATCH(MEDIÇÃO!D330,'PROJETO PERFURAÇÃO'!$B:$B,0)),"")</f>
        <v/>
      </c>
      <c r="F330" s="17">
        <f>IFERROR(INDEX('PROJETO PERFURAÇÃO'!$AN:$AN,MATCH(MEDIÇÃO!D330,'PROJETO PERFURAÇÃO'!$B:$B,0)),"")</f>
        <v>0</v>
      </c>
      <c r="G330" s="3"/>
      <c r="H330" s="3"/>
      <c r="I330" s="3" t="str">
        <f>IFERROR(ROUND(INDEX('PROJETO PERFURAÇÃO'!$AB:$AB,MATCH(MEDIÇÃO!K330,'PROJETO PERFURAÇÃO'!$B:$B,0)),1)&amp;"''","")</f>
        <v>5''</v>
      </c>
      <c r="J330" s="3" t="str">
        <f>IFERROR(IF(INDEX('PROJETO PERFURAÇÃO'!$P:$P,MATCH(MEDIÇÃO!K330,'PROJETO PERFURAÇÃO'!$B:$B,0))="Production","P",IF(INDEX('PROJETO PERFURAÇÃO'!$P:$P,MATCH(MEDIÇÃO!K330,'PROJETO PERFURAÇÃO'!$B:$B,0))="Buffer","B",IF(INDEX('PROJETO PERFURAÇÃO'!$P:$P,MATCH(MEDIÇÃO!K330,'PROJETO PERFURAÇÃO'!$B:$B,0))="Pre-Splitting","S"))),"")</f>
        <v>P</v>
      </c>
      <c r="K330" s="14">
        <f t="shared" si="31"/>
        <v>729</v>
      </c>
      <c r="L330" s="4" t="str">
        <f>IFERROR(INDEX('LEV R&amp;D'!$D:$D,MATCH(MEDIÇÃO!K330,'LEV R&amp;D'!$A:$A,0))-INDEX('PROJETO PERFURAÇÃO'!$AH:$AH,MATCH(MEDIÇÃO!K330,'PROJETO PERFURAÇÃO'!$B:$B,0)),"")</f>
        <v/>
      </c>
      <c r="M330" s="17">
        <f>IFERROR(INDEX('PROJETO PERFURAÇÃO'!$AN:$AN,MATCH(MEDIÇÃO!K330,'PROJETO PERFURAÇÃO'!$B:$B,0)),"")</f>
        <v>0</v>
      </c>
      <c r="N330" s="3"/>
      <c r="O330" s="3"/>
      <c r="P330" s="3" t="str">
        <f>IFERROR(ROUND(INDEX('PROJETO PERFURAÇÃO'!$AB:$AB,MATCH(MEDIÇÃO!R330,'PROJETO PERFURAÇÃO'!$B:$B,0)),1)&amp;"''","")</f>
        <v>5''</v>
      </c>
      <c r="Q330" s="3" t="str">
        <f>IFERROR(IF(INDEX('PROJETO PERFURAÇÃO'!$P:$P,MATCH(MEDIÇÃO!R330,'PROJETO PERFURAÇÃO'!$B:$B,0))="Production","P",IF(INDEX('PROJETO PERFURAÇÃO'!$P:$P,MATCH(MEDIÇÃO!R330,'PROJETO PERFURAÇÃO'!$B:$B,0))="Buffer","B",IF(INDEX('PROJETO PERFURAÇÃO'!$P:$P,MATCH(MEDIÇÃO!R330,'PROJETO PERFURAÇÃO'!$B:$B,0))="Pre-Splitting","S"))),"")</f>
        <v>P</v>
      </c>
      <c r="R330" s="14">
        <f t="shared" si="32"/>
        <v>752</v>
      </c>
      <c r="S330" s="4" t="str">
        <f>IFERROR(INDEX('LEV R&amp;D'!$D:$D,MATCH(MEDIÇÃO!R330,'LEV R&amp;D'!$A:$A,0))-INDEX('PROJETO PERFURAÇÃO'!$AH:$AH,MATCH(MEDIÇÃO!R330,'PROJETO PERFURAÇÃO'!$B:$B,0)),"")</f>
        <v/>
      </c>
      <c r="T330" s="17">
        <f>IFERROR(INDEX('PROJETO PERFURAÇÃO'!$AN:$AN,MATCH(MEDIÇÃO!R330,'PROJETO PERFURAÇÃO'!$B:$B,0)),"")</f>
        <v>0</v>
      </c>
      <c r="U330" s="3"/>
      <c r="V330" s="3"/>
    </row>
    <row r="331" spans="2:22" ht="45" customHeight="1" x14ac:dyDescent="0.25">
      <c r="B331" s="3" t="str">
        <f>IFERROR(ROUND(INDEX('PROJETO PERFURAÇÃO'!$AB:$AB,MATCH(MEDIÇÃO!D331,'PROJETO PERFURAÇÃO'!$B:$B,0)),1)&amp;"''","")</f>
        <v>5''</v>
      </c>
      <c r="C331" s="3" t="str">
        <f>IFERROR(IF(INDEX('PROJETO PERFURAÇÃO'!$P:$P,MATCH(MEDIÇÃO!D331,'PROJETO PERFURAÇÃO'!$B:$B,0))="Production","P",IF(INDEX('PROJETO PERFURAÇÃO'!$P:$P,MATCH(MEDIÇÃO!D331,'PROJETO PERFURAÇÃO'!$B:$B,0))="Buffer","B",IF(INDEX('PROJETO PERFURAÇÃO'!$P:$P,MATCH(MEDIÇÃO!D331,'PROJETO PERFURAÇÃO'!$B:$B,0))="Pre-Splitting","S"))),"")</f>
        <v>P</v>
      </c>
      <c r="D331" s="14">
        <f t="shared" si="30"/>
        <v>707</v>
      </c>
      <c r="E331" s="4" t="str">
        <f>IFERROR(INDEX('LEV R&amp;D'!$D:$D,MATCH(MEDIÇÃO!D331,'LEV R&amp;D'!$A:$A,0))-INDEX('PROJETO PERFURAÇÃO'!$AH:$AH,MATCH(MEDIÇÃO!D331,'PROJETO PERFURAÇÃO'!$B:$B,0)),"")</f>
        <v/>
      </c>
      <c r="F331" s="17">
        <f>IFERROR(INDEX('PROJETO PERFURAÇÃO'!$AN:$AN,MATCH(MEDIÇÃO!D331,'PROJETO PERFURAÇÃO'!$B:$B,0)),"")</f>
        <v>0</v>
      </c>
      <c r="G331" s="3"/>
      <c r="H331" s="3"/>
      <c r="I331" s="3" t="str">
        <f>IFERROR(ROUND(INDEX('PROJETO PERFURAÇÃO'!$AB:$AB,MATCH(MEDIÇÃO!K331,'PROJETO PERFURAÇÃO'!$B:$B,0)),1)&amp;"''","")</f>
        <v>5''</v>
      </c>
      <c r="J331" s="3" t="str">
        <f>IFERROR(IF(INDEX('PROJETO PERFURAÇÃO'!$P:$P,MATCH(MEDIÇÃO!K331,'PROJETO PERFURAÇÃO'!$B:$B,0))="Production","P",IF(INDEX('PROJETO PERFURAÇÃO'!$P:$P,MATCH(MEDIÇÃO!K331,'PROJETO PERFURAÇÃO'!$B:$B,0))="Buffer","B",IF(INDEX('PROJETO PERFURAÇÃO'!$P:$P,MATCH(MEDIÇÃO!K331,'PROJETO PERFURAÇÃO'!$B:$B,0))="Pre-Splitting","S"))),"")</f>
        <v>P</v>
      </c>
      <c r="K331" s="14">
        <f t="shared" si="31"/>
        <v>730</v>
      </c>
      <c r="L331" s="4" t="str">
        <f>IFERROR(INDEX('LEV R&amp;D'!$D:$D,MATCH(MEDIÇÃO!K331,'LEV R&amp;D'!$A:$A,0))-INDEX('PROJETO PERFURAÇÃO'!$AH:$AH,MATCH(MEDIÇÃO!K331,'PROJETO PERFURAÇÃO'!$B:$B,0)),"")</f>
        <v/>
      </c>
      <c r="M331" s="17">
        <f>IFERROR(INDEX('PROJETO PERFURAÇÃO'!$AN:$AN,MATCH(MEDIÇÃO!K331,'PROJETO PERFURAÇÃO'!$B:$B,0)),"")</f>
        <v>0</v>
      </c>
      <c r="N331" s="3"/>
      <c r="O331" s="3"/>
      <c r="P331" s="3" t="str">
        <f>IFERROR(ROUND(INDEX('PROJETO PERFURAÇÃO'!$AB:$AB,MATCH(MEDIÇÃO!R331,'PROJETO PERFURAÇÃO'!$B:$B,0)),1)&amp;"''","")</f>
        <v>5''</v>
      </c>
      <c r="Q331" s="3" t="str">
        <f>IFERROR(IF(INDEX('PROJETO PERFURAÇÃO'!$P:$P,MATCH(MEDIÇÃO!R331,'PROJETO PERFURAÇÃO'!$B:$B,0))="Production","P",IF(INDEX('PROJETO PERFURAÇÃO'!$P:$P,MATCH(MEDIÇÃO!R331,'PROJETO PERFURAÇÃO'!$B:$B,0))="Buffer","B",IF(INDEX('PROJETO PERFURAÇÃO'!$P:$P,MATCH(MEDIÇÃO!R331,'PROJETO PERFURAÇÃO'!$B:$B,0))="Pre-Splitting","S"))),"")</f>
        <v>P</v>
      </c>
      <c r="R331" s="14">
        <f t="shared" si="32"/>
        <v>753</v>
      </c>
      <c r="S331" s="4" t="str">
        <f>IFERROR(INDEX('LEV R&amp;D'!$D:$D,MATCH(MEDIÇÃO!R331,'LEV R&amp;D'!$A:$A,0))-INDEX('PROJETO PERFURAÇÃO'!$AH:$AH,MATCH(MEDIÇÃO!R331,'PROJETO PERFURAÇÃO'!$B:$B,0)),"")</f>
        <v/>
      </c>
      <c r="T331" s="17">
        <f>IFERROR(INDEX('PROJETO PERFURAÇÃO'!$AN:$AN,MATCH(MEDIÇÃO!R331,'PROJETO PERFURAÇÃO'!$B:$B,0)),"")</f>
        <v>0</v>
      </c>
      <c r="U331" s="3"/>
      <c r="V331" s="3"/>
    </row>
    <row r="332" spans="2:22" ht="45" customHeight="1" x14ac:dyDescent="0.25">
      <c r="B332" s="3" t="str">
        <f>IFERROR(ROUND(INDEX('PROJETO PERFURAÇÃO'!$AB:$AB,MATCH(MEDIÇÃO!D332,'PROJETO PERFURAÇÃO'!$B:$B,0)),1)&amp;"''","")</f>
        <v>5''</v>
      </c>
      <c r="C332" s="3" t="str">
        <f>IFERROR(IF(INDEX('PROJETO PERFURAÇÃO'!$P:$P,MATCH(MEDIÇÃO!D332,'PROJETO PERFURAÇÃO'!$B:$B,0))="Production","P",IF(INDEX('PROJETO PERFURAÇÃO'!$P:$P,MATCH(MEDIÇÃO!D332,'PROJETO PERFURAÇÃO'!$B:$B,0))="Buffer","B",IF(INDEX('PROJETO PERFURAÇÃO'!$P:$P,MATCH(MEDIÇÃO!D332,'PROJETO PERFURAÇÃO'!$B:$B,0))="Pre-Splitting","S"))),"")</f>
        <v>P</v>
      </c>
      <c r="D332" s="14">
        <f t="shared" si="30"/>
        <v>708</v>
      </c>
      <c r="E332" s="4" t="str">
        <f>IFERROR(INDEX('LEV R&amp;D'!$D:$D,MATCH(MEDIÇÃO!D332,'LEV R&amp;D'!$A:$A,0))-INDEX('PROJETO PERFURAÇÃO'!$AH:$AH,MATCH(MEDIÇÃO!D332,'PROJETO PERFURAÇÃO'!$B:$B,0)),"")</f>
        <v/>
      </c>
      <c r="F332" s="17">
        <f>IFERROR(INDEX('PROJETO PERFURAÇÃO'!$AN:$AN,MATCH(MEDIÇÃO!D332,'PROJETO PERFURAÇÃO'!$B:$B,0)),"")</f>
        <v>0</v>
      </c>
      <c r="G332" s="3"/>
      <c r="H332" s="3"/>
      <c r="I332" s="3" t="str">
        <f>IFERROR(ROUND(INDEX('PROJETO PERFURAÇÃO'!$AB:$AB,MATCH(MEDIÇÃO!K332,'PROJETO PERFURAÇÃO'!$B:$B,0)),1)&amp;"''","")</f>
        <v>5''</v>
      </c>
      <c r="J332" s="3" t="str">
        <f>IFERROR(IF(INDEX('PROJETO PERFURAÇÃO'!$P:$P,MATCH(MEDIÇÃO!K332,'PROJETO PERFURAÇÃO'!$B:$B,0))="Production","P",IF(INDEX('PROJETO PERFURAÇÃO'!$P:$P,MATCH(MEDIÇÃO!K332,'PROJETO PERFURAÇÃO'!$B:$B,0))="Buffer","B",IF(INDEX('PROJETO PERFURAÇÃO'!$P:$P,MATCH(MEDIÇÃO!K332,'PROJETO PERFURAÇÃO'!$B:$B,0))="Pre-Splitting","S"))),"")</f>
        <v>P</v>
      </c>
      <c r="K332" s="14">
        <f t="shared" si="31"/>
        <v>731</v>
      </c>
      <c r="L332" s="4" t="str">
        <f>IFERROR(INDEX('LEV R&amp;D'!$D:$D,MATCH(MEDIÇÃO!K332,'LEV R&amp;D'!$A:$A,0))-INDEX('PROJETO PERFURAÇÃO'!$AH:$AH,MATCH(MEDIÇÃO!K332,'PROJETO PERFURAÇÃO'!$B:$B,0)),"")</f>
        <v/>
      </c>
      <c r="M332" s="17">
        <f>IFERROR(INDEX('PROJETO PERFURAÇÃO'!$AN:$AN,MATCH(MEDIÇÃO!K332,'PROJETO PERFURAÇÃO'!$B:$B,0)),"")</f>
        <v>0</v>
      </c>
      <c r="N332" s="3"/>
      <c r="O332" s="3"/>
      <c r="P332" s="3" t="str">
        <f>IFERROR(ROUND(INDEX('PROJETO PERFURAÇÃO'!$AB:$AB,MATCH(MEDIÇÃO!R332,'PROJETO PERFURAÇÃO'!$B:$B,0)),1)&amp;"''","")</f>
        <v>5''</v>
      </c>
      <c r="Q332" s="3" t="str">
        <f>IFERROR(IF(INDEX('PROJETO PERFURAÇÃO'!$P:$P,MATCH(MEDIÇÃO!R332,'PROJETO PERFURAÇÃO'!$B:$B,0))="Production","P",IF(INDEX('PROJETO PERFURAÇÃO'!$P:$P,MATCH(MEDIÇÃO!R332,'PROJETO PERFURAÇÃO'!$B:$B,0))="Buffer","B",IF(INDEX('PROJETO PERFURAÇÃO'!$P:$P,MATCH(MEDIÇÃO!R332,'PROJETO PERFURAÇÃO'!$B:$B,0))="Pre-Splitting","S"))),"")</f>
        <v>P</v>
      </c>
      <c r="R332" s="14">
        <f t="shared" si="32"/>
        <v>754</v>
      </c>
      <c r="S332" s="4" t="str">
        <f>IFERROR(INDEX('LEV R&amp;D'!$D:$D,MATCH(MEDIÇÃO!R332,'LEV R&amp;D'!$A:$A,0))-INDEX('PROJETO PERFURAÇÃO'!$AH:$AH,MATCH(MEDIÇÃO!R332,'PROJETO PERFURAÇÃO'!$B:$B,0)),"")</f>
        <v/>
      </c>
      <c r="T332" s="17">
        <f>IFERROR(INDEX('PROJETO PERFURAÇÃO'!$AN:$AN,MATCH(MEDIÇÃO!R332,'PROJETO PERFURAÇÃO'!$B:$B,0)),"")</f>
        <v>0</v>
      </c>
      <c r="U332" s="3"/>
      <c r="V332" s="3"/>
    </row>
    <row r="333" spans="2:22" ht="45" customHeight="1" x14ac:dyDescent="0.25">
      <c r="B333" s="3" t="str">
        <f>IFERROR(ROUND(INDEX('PROJETO PERFURAÇÃO'!$AB:$AB,MATCH(MEDIÇÃO!D333,'PROJETO PERFURAÇÃO'!$B:$B,0)),1)&amp;"''","")</f>
        <v>5''</v>
      </c>
      <c r="C333" s="3" t="str">
        <f>IFERROR(IF(INDEX('PROJETO PERFURAÇÃO'!$P:$P,MATCH(MEDIÇÃO!D333,'PROJETO PERFURAÇÃO'!$B:$B,0))="Production","P",IF(INDEX('PROJETO PERFURAÇÃO'!$P:$P,MATCH(MEDIÇÃO!D333,'PROJETO PERFURAÇÃO'!$B:$B,0))="Buffer","B",IF(INDEX('PROJETO PERFURAÇÃO'!$P:$P,MATCH(MEDIÇÃO!D333,'PROJETO PERFURAÇÃO'!$B:$B,0))="Pre-Splitting","S"))),"")</f>
        <v>P</v>
      </c>
      <c r="D333" s="14">
        <f t="shared" si="30"/>
        <v>709</v>
      </c>
      <c r="E333" s="4" t="str">
        <f>IFERROR(INDEX('LEV R&amp;D'!$D:$D,MATCH(MEDIÇÃO!D333,'LEV R&amp;D'!$A:$A,0))-INDEX('PROJETO PERFURAÇÃO'!$AH:$AH,MATCH(MEDIÇÃO!D333,'PROJETO PERFURAÇÃO'!$B:$B,0)),"")</f>
        <v/>
      </c>
      <c r="F333" s="17">
        <f>IFERROR(INDEX('PROJETO PERFURAÇÃO'!$AN:$AN,MATCH(MEDIÇÃO!D333,'PROJETO PERFURAÇÃO'!$B:$B,0)),"")</f>
        <v>0</v>
      </c>
      <c r="G333" s="3"/>
      <c r="H333" s="3"/>
      <c r="I333" s="3" t="str">
        <f>IFERROR(ROUND(INDEX('PROJETO PERFURAÇÃO'!$AB:$AB,MATCH(MEDIÇÃO!K333,'PROJETO PERFURAÇÃO'!$B:$B,0)),1)&amp;"''","")</f>
        <v>5''</v>
      </c>
      <c r="J333" s="3" t="str">
        <f>IFERROR(IF(INDEX('PROJETO PERFURAÇÃO'!$P:$P,MATCH(MEDIÇÃO!K333,'PROJETO PERFURAÇÃO'!$B:$B,0))="Production","P",IF(INDEX('PROJETO PERFURAÇÃO'!$P:$P,MATCH(MEDIÇÃO!K333,'PROJETO PERFURAÇÃO'!$B:$B,0))="Buffer","B",IF(INDEX('PROJETO PERFURAÇÃO'!$P:$P,MATCH(MEDIÇÃO!K333,'PROJETO PERFURAÇÃO'!$B:$B,0))="Pre-Splitting","S"))),"")</f>
        <v>P</v>
      </c>
      <c r="K333" s="14">
        <f t="shared" si="31"/>
        <v>732</v>
      </c>
      <c r="L333" s="4" t="str">
        <f>IFERROR(INDEX('LEV R&amp;D'!$D:$D,MATCH(MEDIÇÃO!K333,'LEV R&amp;D'!$A:$A,0))-INDEX('PROJETO PERFURAÇÃO'!$AH:$AH,MATCH(MEDIÇÃO!K333,'PROJETO PERFURAÇÃO'!$B:$B,0)),"")</f>
        <v/>
      </c>
      <c r="M333" s="17">
        <f>IFERROR(INDEX('PROJETO PERFURAÇÃO'!$AN:$AN,MATCH(MEDIÇÃO!K333,'PROJETO PERFURAÇÃO'!$B:$B,0)),"")</f>
        <v>0</v>
      </c>
      <c r="N333" s="3"/>
      <c r="O333" s="3"/>
      <c r="P333" s="3" t="str">
        <f>IFERROR(ROUND(INDEX('PROJETO PERFURAÇÃO'!$AB:$AB,MATCH(MEDIÇÃO!R333,'PROJETO PERFURAÇÃO'!$B:$B,0)),1)&amp;"''","")</f>
        <v>5''</v>
      </c>
      <c r="Q333" s="3" t="str">
        <f>IFERROR(IF(INDEX('PROJETO PERFURAÇÃO'!$P:$P,MATCH(MEDIÇÃO!R333,'PROJETO PERFURAÇÃO'!$B:$B,0))="Production","P",IF(INDEX('PROJETO PERFURAÇÃO'!$P:$P,MATCH(MEDIÇÃO!R333,'PROJETO PERFURAÇÃO'!$B:$B,0))="Buffer","B",IF(INDEX('PROJETO PERFURAÇÃO'!$P:$P,MATCH(MEDIÇÃO!R333,'PROJETO PERFURAÇÃO'!$B:$B,0))="Pre-Splitting","S"))),"")</f>
        <v>P</v>
      </c>
      <c r="R333" s="14">
        <f t="shared" si="32"/>
        <v>755</v>
      </c>
      <c r="S333" s="4" t="str">
        <f>IFERROR(INDEX('LEV R&amp;D'!$D:$D,MATCH(MEDIÇÃO!R333,'LEV R&amp;D'!$A:$A,0))-INDEX('PROJETO PERFURAÇÃO'!$AH:$AH,MATCH(MEDIÇÃO!R333,'PROJETO PERFURAÇÃO'!$B:$B,0)),"")</f>
        <v/>
      </c>
      <c r="T333" s="17">
        <f>IFERROR(INDEX('PROJETO PERFURAÇÃO'!$AN:$AN,MATCH(MEDIÇÃO!R333,'PROJETO PERFURAÇÃO'!$B:$B,0)),"")</f>
        <v>0</v>
      </c>
      <c r="U333" s="3"/>
      <c r="V333" s="3"/>
    </row>
    <row r="334" spans="2:22" ht="45" customHeight="1" x14ac:dyDescent="0.25">
      <c r="B334" s="3" t="str">
        <f>IFERROR(ROUND(INDEX('PROJETO PERFURAÇÃO'!$AB:$AB,MATCH(MEDIÇÃO!D334,'PROJETO PERFURAÇÃO'!$B:$B,0)),1)&amp;"''","")</f>
        <v>5''</v>
      </c>
      <c r="C334" s="3" t="str">
        <f>IFERROR(IF(INDEX('PROJETO PERFURAÇÃO'!$P:$P,MATCH(MEDIÇÃO!D334,'PROJETO PERFURAÇÃO'!$B:$B,0))="Production","P",IF(INDEX('PROJETO PERFURAÇÃO'!$P:$P,MATCH(MEDIÇÃO!D334,'PROJETO PERFURAÇÃO'!$B:$B,0))="Buffer","B",IF(INDEX('PROJETO PERFURAÇÃO'!$P:$P,MATCH(MEDIÇÃO!D334,'PROJETO PERFURAÇÃO'!$B:$B,0))="Pre-Splitting","S"))),"")</f>
        <v>P</v>
      </c>
      <c r="D334" s="14">
        <f t="shared" si="30"/>
        <v>710</v>
      </c>
      <c r="E334" s="4" t="str">
        <f>IFERROR(INDEX('LEV R&amp;D'!$D:$D,MATCH(MEDIÇÃO!D334,'LEV R&amp;D'!$A:$A,0))-INDEX('PROJETO PERFURAÇÃO'!$AH:$AH,MATCH(MEDIÇÃO!D334,'PROJETO PERFURAÇÃO'!$B:$B,0)),"")</f>
        <v/>
      </c>
      <c r="F334" s="17">
        <f>IFERROR(INDEX('PROJETO PERFURAÇÃO'!$AN:$AN,MATCH(MEDIÇÃO!D334,'PROJETO PERFURAÇÃO'!$B:$B,0)),"")</f>
        <v>0</v>
      </c>
      <c r="G334" s="3"/>
      <c r="H334" s="3"/>
      <c r="I334" s="3" t="str">
        <f>IFERROR(ROUND(INDEX('PROJETO PERFURAÇÃO'!$AB:$AB,MATCH(MEDIÇÃO!K334,'PROJETO PERFURAÇÃO'!$B:$B,0)),1)&amp;"''","")</f>
        <v>5''</v>
      </c>
      <c r="J334" s="3" t="str">
        <f>IFERROR(IF(INDEX('PROJETO PERFURAÇÃO'!$P:$P,MATCH(MEDIÇÃO!K334,'PROJETO PERFURAÇÃO'!$B:$B,0))="Production","P",IF(INDEX('PROJETO PERFURAÇÃO'!$P:$P,MATCH(MEDIÇÃO!K334,'PROJETO PERFURAÇÃO'!$B:$B,0))="Buffer","B",IF(INDEX('PROJETO PERFURAÇÃO'!$P:$P,MATCH(MEDIÇÃO!K334,'PROJETO PERFURAÇÃO'!$B:$B,0))="Pre-Splitting","S"))),"")</f>
        <v>P</v>
      </c>
      <c r="K334" s="14">
        <f t="shared" si="31"/>
        <v>733</v>
      </c>
      <c r="L334" s="4" t="str">
        <f>IFERROR(INDEX('LEV R&amp;D'!$D:$D,MATCH(MEDIÇÃO!K334,'LEV R&amp;D'!$A:$A,0))-INDEX('PROJETO PERFURAÇÃO'!$AH:$AH,MATCH(MEDIÇÃO!K334,'PROJETO PERFURAÇÃO'!$B:$B,0)),"")</f>
        <v/>
      </c>
      <c r="M334" s="17">
        <f>IFERROR(INDEX('PROJETO PERFURAÇÃO'!$AN:$AN,MATCH(MEDIÇÃO!K334,'PROJETO PERFURAÇÃO'!$B:$B,0)),"")</f>
        <v>0</v>
      </c>
      <c r="N334" s="3"/>
      <c r="O334" s="3"/>
      <c r="P334" s="3" t="str">
        <f>IFERROR(ROUND(INDEX('PROJETO PERFURAÇÃO'!$AB:$AB,MATCH(MEDIÇÃO!R334,'PROJETO PERFURAÇÃO'!$B:$B,0)),1)&amp;"''","")</f>
        <v>5''</v>
      </c>
      <c r="Q334" s="3" t="str">
        <f>IFERROR(IF(INDEX('PROJETO PERFURAÇÃO'!$P:$P,MATCH(MEDIÇÃO!R334,'PROJETO PERFURAÇÃO'!$B:$B,0))="Production","P",IF(INDEX('PROJETO PERFURAÇÃO'!$P:$P,MATCH(MEDIÇÃO!R334,'PROJETO PERFURAÇÃO'!$B:$B,0))="Buffer","B",IF(INDEX('PROJETO PERFURAÇÃO'!$P:$P,MATCH(MEDIÇÃO!R334,'PROJETO PERFURAÇÃO'!$B:$B,0))="Pre-Splitting","S"))),"")</f>
        <v>P</v>
      </c>
      <c r="R334" s="14">
        <f t="shared" si="32"/>
        <v>756</v>
      </c>
      <c r="S334" s="4" t="str">
        <f>IFERROR(INDEX('LEV R&amp;D'!$D:$D,MATCH(MEDIÇÃO!R334,'LEV R&amp;D'!$A:$A,0))-INDEX('PROJETO PERFURAÇÃO'!$AH:$AH,MATCH(MEDIÇÃO!R334,'PROJETO PERFURAÇÃO'!$B:$B,0)),"")</f>
        <v/>
      </c>
      <c r="T334" s="17">
        <f>IFERROR(INDEX('PROJETO PERFURAÇÃO'!$AN:$AN,MATCH(MEDIÇÃO!R334,'PROJETO PERFURAÇÃO'!$B:$B,0)),"")</f>
        <v>0</v>
      </c>
      <c r="U334" s="3"/>
      <c r="V334" s="3"/>
    </row>
    <row r="335" spans="2:22" ht="45" customHeight="1" x14ac:dyDescent="0.25">
      <c r="B335" s="3" t="str">
        <f>IFERROR(ROUND(INDEX('PROJETO PERFURAÇÃO'!$AB:$AB,MATCH(MEDIÇÃO!D335,'PROJETO PERFURAÇÃO'!$B:$B,0)),1)&amp;"''","")</f>
        <v>5''</v>
      </c>
      <c r="C335" s="3" t="str">
        <f>IFERROR(IF(INDEX('PROJETO PERFURAÇÃO'!$P:$P,MATCH(MEDIÇÃO!D335,'PROJETO PERFURAÇÃO'!$B:$B,0))="Production","P",IF(INDEX('PROJETO PERFURAÇÃO'!$P:$P,MATCH(MEDIÇÃO!D335,'PROJETO PERFURAÇÃO'!$B:$B,0))="Buffer","B",IF(INDEX('PROJETO PERFURAÇÃO'!$P:$P,MATCH(MEDIÇÃO!D335,'PROJETO PERFURAÇÃO'!$B:$B,0))="Pre-Splitting","S"))),"")</f>
        <v>P</v>
      </c>
      <c r="D335" s="14">
        <f t="shared" si="30"/>
        <v>711</v>
      </c>
      <c r="E335" s="4" t="str">
        <f>IFERROR(INDEX('LEV R&amp;D'!$D:$D,MATCH(MEDIÇÃO!D335,'LEV R&amp;D'!$A:$A,0))-INDEX('PROJETO PERFURAÇÃO'!$AH:$AH,MATCH(MEDIÇÃO!D335,'PROJETO PERFURAÇÃO'!$B:$B,0)),"")</f>
        <v/>
      </c>
      <c r="F335" s="17">
        <f>IFERROR(INDEX('PROJETO PERFURAÇÃO'!$AN:$AN,MATCH(MEDIÇÃO!D335,'PROJETO PERFURAÇÃO'!$B:$B,0)),"")</f>
        <v>0</v>
      </c>
      <c r="G335" s="3"/>
      <c r="H335" s="3"/>
      <c r="I335" s="3" t="str">
        <f>IFERROR(ROUND(INDEX('PROJETO PERFURAÇÃO'!$AB:$AB,MATCH(MEDIÇÃO!K335,'PROJETO PERFURAÇÃO'!$B:$B,0)),1)&amp;"''","")</f>
        <v>5''</v>
      </c>
      <c r="J335" s="3" t="str">
        <f>IFERROR(IF(INDEX('PROJETO PERFURAÇÃO'!$P:$P,MATCH(MEDIÇÃO!K335,'PROJETO PERFURAÇÃO'!$B:$B,0))="Production","P",IF(INDEX('PROJETO PERFURAÇÃO'!$P:$P,MATCH(MEDIÇÃO!K335,'PROJETO PERFURAÇÃO'!$B:$B,0))="Buffer","B",IF(INDEX('PROJETO PERFURAÇÃO'!$P:$P,MATCH(MEDIÇÃO!K335,'PROJETO PERFURAÇÃO'!$B:$B,0))="Pre-Splitting","S"))),"")</f>
        <v>P</v>
      </c>
      <c r="K335" s="14">
        <f t="shared" si="31"/>
        <v>734</v>
      </c>
      <c r="L335" s="4" t="str">
        <f>IFERROR(INDEX('LEV R&amp;D'!$D:$D,MATCH(MEDIÇÃO!K335,'LEV R&amp;D'!$A:$A,0))-INDEX('PROJETO PERFURAÇÃO'!$AH:$AH,MATCH(MEDIÇÃO!K335,'PROJETO PERFURAÇÃO'!$B:$B,0)),"")</f>
        <v/>
      </c>
      <c r="M335" s="17">
        <f>IFERROR(INDEX('PROJETO PERFURAÇÃO'!$AN:$AN,MATCH(MEDIÇÃO!K335,'PROJETO PERFURAÇÃO'!$B:$B,0)),"")</f>
        <v>0</v>
      </c>
      <c r="N335" s="3"/>
      <c r="O335" s="3"/>
      <c r="P335" s="3" t="str">
        <f>IFERROR(ROUND(INDEX('PROJETO PERFURAÇÃO'!$AB:$AB,MATCH(MEDIÇÃO!R335,'PROJETO PERFURAÇÃO'!$B:$B,0)),1)&amp;"''","")</f>
        <v>5''</v>
      </c>
      <c r="Q335" s="3" t="str">
        <f>IFERROR(IF(INDEX('PROJETO PERFURAÇÃO'!$P:$P,MATCH(MEDIÇÃO!R335,'PROJETO PERFURAÇÃO'!$B:$B,0))="Production","P",IF(INDEX('PROJETO PERFURAÇÃO'!$P:$P,MATCH(MEDIÇÃO!R335,'PROJETO PERFURAÇÃO'!$B:$B,0))="Buffer","B",IF(INDEX('PROJETO PERFURAÇÃO'!$P:$P,MATCH(MEDIÇÃO!R335,'PROJETO PERFURAÇÃO'!$B:$B,0))="Pre-Splitting","S"))),"")</f>
        <v>P</v>
      </c>
      <c r="R335" s="14">
        <f t="shared" si="32"/>
        <v>757</v>
      </c>
      <c r="S335" s="4" t="str">
        <f>IFERROR(INDEX('LEV R&amp;D'!$D:$D,MATCH(MEDIÇÃO!R335,'LEV R&amp;D'!$A:$A,0))-INDEX('PROJETO PERFURAÇÃO'!$AH:$AH,MATCH(MEDIÇÃO!R335,'PROJETO PERFURAÇÃO'!$B:$B,0)),"")</f>
        <v/>
      </c>
      <c r="T335" s="17">
        <f>IFERROR(INDEX('PROJETO PERFURAÇÃO'!$AN:$AN,MATCH(MEDIÇÃO!R335,'PROJETO PERFURAÇÃO'!$B:$B,0)),"")</f>
        <v>0</v>
      </c>
      <c r="U335" s="3"/>
      <c r="V335" s="3"/>
    </row>
    <row r="336" spans="2:22" ht="45" customHeight="1" x14ac:dyDescent="0.25">
      <c r="B336" s="3" t="str">
        <f>IFERROR(ROUND(INDEX('PROJETO PERFURAÇÃO'!$AB:$AB,MATCH(MEDIÇÃO!D336,'PROJETO PERFURAÇÃO'!$B:$B,0)),1)&amp;"''","")</f>
        <v>5''</v>
      </c>
      <c r="C336" s="3" t="str">
        <f>IFERROR(IF(INDEX('PROJETO PERFURAÇÃO'!$P:$P,MATCH(MEDIÇÃO!D336,'PROJETO PERFURAÇÃO'!$B:$B,0))="Production","P",IF(INDEX('PROJETO PERFURAÇÃO'!$P:$P,MATCH(MEDIÇÃO!D336,'PROJETO PERFURAÇÃO'!$B:$B,0))="Buffer","B",IF(INDEX('PROJETO PERFURAÇÃO'!$P:$P,MATCH(MEDIÇÃO!D336,'PROJETO PERFURAÇÃO'!$B:$B,0))="Pre-Splitting","S"))),"")</f>
        <v>P</v>
      </c>
      <c r="D336" s="14">
        <f t="shared" si="30"/>
        <v>712</v>
      </c>
      <c r="E336" s="4" t="str">
        <f>IFERROR(INDEX('LEV R&amp;D'!$D:$D,MATCH(MEDIÇÃO!D336,'LEV R&amp;D'!$A:$A,0))-INDEX('PROJETO PERFURAÇÃO'!$AH:$AH,MATCH(MEDIÇÃO!D336,'PROJETO PERFURAÇÃO'!$B:$B,0)),"")</f>
        <v/>
      </c>
      <c r="F336" s="17">
        <f>IFERROR(INDEX('PROJETO PERFURAÇÃO'!$AN:$AN,MATCH(MEDIÇÃO!D336,'PROJETO PERFURAÇÃO'!$B:$B,0)),"")</f>
        <v>0</v>
      </c>
      <c r="G336" s="3"/>
      <c r="H336" s="3"/>
      <c r="I336" s="3" t="str">
        <f>IFERROR(ROUND(INDEX('PROJETO PERFURAÇÃO'!$AB:$AB,MATCH(MEDIÇÃO!K336,'PROJETO PERFURAÇÃO'!$B:$B,0)),1)&amp;"''","")</f>
        <v>5''</v>
      </c>
      <c r="J336" s="3" t="str">
        <f>IFERROR(IF(INDEX('PROJETO PERFURAÇÃO'!$P:$P,MATCH(MEDIÇÃO!K336,'PROJETO PERFURAÇÃO'!$B:$B,0))="Production","P",IF(INDEX('PROJETO PERFURAÇÃO'!$P:$P,MATCH(MEDIÇÃO!K336,'PROJETO PERFURAÇÃO'!$B:$B,0))="Buffer","B",IF(INDEX('PROJETO PERFURAÇÃO'!$P:$P,MATCH(MEDIÇÃO!K336,'PROJETO PERFURAÇÃO'!$B:$B,0))="Pre-Splitting","S"))),"")</f>
        <v>P</v>
      </c>
      <c r="K336" s="14">
        <f t="shared" si="31"/>
        <v>735</v>
      </c>
      <c r="L336" s="4" t="str">
        <f>IFERROR(INDEX('LEV R&amp;D'!$D:$D,MATCH(MEDIÇÃO!K336,'LEV R&amp;D'!$A:$A,0))-INDEX('PROJETO PERFURAÇÃO'!$AH:$AH,MATCH(MEDIÇÃO!K336,'PROJETO PERFURAÇÃO'!$B:$B,0)),"")</f>
        <v/>
      </c>
      <c r="M336" s="17">
        <f>IFERROR(INDEX('PROJETO PERFURAÇÃO'!$AN:$AN,MATCH(MEDIÇÃO!K336,'PROJETO PERFURAÇÃO'!$B:$B,0)),"")</f>
        <v>0</v>
      </c>
      <c r="N336" s="3"/>
      <c r="O336" s="3"/>
      <c r="P336" s="3" t="str">
        <f>IFERROR(ROUND(INDEX('PROJETO PERFURAÇÃO'!$AB:$AB,MATCH(MEDIÇÃO!R336,'PROJETO PERFURAÇÃO'!$B:$B,0)),1)&amp;"''","")</f>
        <v>5''</v>
      </c>
      <c r="Q336" s="3" t="str">
        <f>IFERROR(IF(INDEX('PROJETO PERFURAÇÃO'!$P:$P,MATCH(MEDIÇÃO!R336,'PROJETO PERFURAÇÃO'!$B:$B,0))="Production","P",IF(INDEX('PROJETO PERFURAÇÃO'!$P:$P,MATCH(MEDIÇÃO!R336,'PROJETO PERFURAÇÃO'!$B:$B,0))="Buffer","B",IF(INDEX('PROJETO PERFURAÇÃO'!$P:$P,MATCH(MEDIÇÃO!R336,'PROJETO PERFURAÇÃO'!$B:$B,0))="Pre-Splitting","S"))),"")</f>
        <v>P</v>
      </c>
      <c r="R336" s="14">
        <f t="shared" si="32"/>
        <v>758</v>
      </c>
      <c r="S336" s="4" t="str">
        <f>IFERROR(INDEX('LEV R&amp;D'!$D:$D,MATCH(MEDIÇÃO!R336,'LEV R&amp;D'!$A:$A,0))-INDEX('PROJETO PERFURAÇÃO'!$AH:$AH,MATCH(MEDIÇÃO!R336,'PROJETO PERFURAÇÃO'!$B:$B,0)),"")</f>
        <v/>
      </c>
      <c r="T336" s="17">
        <f>IFERROR(INDEX('PROJETO PERFURAÇÃO'!$AN:$AN,MATCH(MEDIÇÃO!R336,'PROJETO PERFURAÇÃO'!$B:$B,0)),"")</f>
        <v>0</v>
      </c>
      <c r="U336" s="3"/>
      <c r="V336" s="3"/>
    </row>
    <row r="337" spans="1:23" ht="45" customHeight="1" x14ac:dyDescent="0.25">
      <c r="B337" s="3" t="str">
        <f>IFERROR(ROUND(INDEX('PROJETO PERFURAÇÃO'!$AB:$AB,MATCH(MEDIÇÃO!D337,'PROJETO PERFURAÇÃO'!$B:$B,0)),1)&amp;"''","")</f>
        <v>5''</v>
      </c>
      <c r="C337" s="3" t="str">
        <f>IFERROR(IF(INDEX('PROJETO PERFURAÇÃO'!$P:$P,MATCH(MEDIÇÃO!D337,'PROJETO PERFURAÇÃO'!$B:$B,0))="Production","P",IF(INDEX('PROJETO PERFURAÇÃO'!$P:$P,MATCH(MEDIÇÃO!D337,'PROJETO PERFURAÇÃO'!$B:$B,0))="Buffer","B",IF(INDEX('PROJETO PERFURAÇÃO'!$P:$P,MATCH(MEDIÇÃO!D337,'PROJETO PERFURAÇÃO'!$B:$B,0))="Pre-Splitting","S"))),"")</f>
        <v>P</v>
      </c>
      <c r="D337" s="14">
        <f t="shared" si="30"/>
        <v>713</v>
      </c>
      <c r="E337" s="4" t="str">
        <f>IFERROR(INDEX('LEV R&amp;D'!$D:$D,MATCH(MEDIÇÃO!D337,'LEV R&amp;D'!$A:$A,0))-INDEX('PROJETO PERFURAÇÃO'!$AH:$AH,MATCH(MEDIÇÃO!D337,'PROJETO PERFURAÇÃO'!$B:$B,0)),"")</f>
        <v/>
      </c>
      <c r="F337" s="17">
        <f>IFERROR(INDEX('PROJETO PERFURAÇÃO'!$AN:$AN,MATCH(MEDIÇÃO!D337,'PROJETO PERFURAÇÃO'!$B:$B,0)),"")</f>
        <v>0</v>
      </c>
      <c r="G337" s="3"/>
      <c r="H337" s="3"/>
      <c r="I337" s="3" t="str">
        <f>IFERROR(ROUND(INDEX('PROJETO PERFURAÇÃO'!$AB:$AB,MATCH(MEDIÇÃO!K337,'PROJETO PERFURAÇÃO'!$B:$B,0)),1)&amp;"''","")</f>
        <v>5''</v>
      </c>
      <c r="J337" s="3" t="str">
        <f>IFERROR(IF(INDEX('PROJETO PERFURAÇÃO'!$P:$P,MATCH(MEDIÇÃO!K337,'PROJETO PERFURAÇÃO'!$B:$B,0))="Production","P",IF(INDEX('PROJETO PERFURAÇÃO'!$P:$P,MATCH(MEDIÇÃO!K337,'PROJETO PERFURAÇÃO'!$B:$B,0))="Buffer","B",IF(INDEX('PROJETO PERFURAÇÃO'!$P:$P,MATCH(MEDIÇÃO!K337,'PROJETO PERFURAÇÃO'!$B:$B,0))="Pre-Splitting","S"))),"")</f>
        <v>P</v>
      </c>
      <c r="K337" s="14">
        <f t="shared" si="31"/>
        <v>736</v>
      </c>
      <c r="L337" s="4" t="str">
        <f>IFERROR(INDEX('LEV R&amp;D'!$D:$D,MATCH(MEDIÇÃO!K337,'LEV R&amp;D'!$A:$A,0))-INDEX('PROJETO PERFURAÇÃO'!$AH:$AH,MATCH(MEDIÇÃO!K337,'PROJETO PERFURAÇÃO'!$B:$B,0)),"")</f>
        <v/>
      </c>
      <c r="M337" s="17">
        <f>IFERROR(INDEX('PROJETO PERFURAÇÃO'!$AN:$AN,MATCH(MEDIÇÃO!K337,'PROJETO PERFURAÇÃO'!$B:$B,0)),"")</f>
        <v>0</v>
      </c>
      <c r="N337" s="3"/>
      <c r="O337" s="3"/>
      <c r="P337" s="3" t="str">
        <f>IFERROR(ROUND(INDEX('PROJETO PERFURAÇÃO'!$AB:$AB,MATCH(MEDIÇÃO!R337,'PROJETO PERFURAÇÃO'!$B:$B,0)),1)&amp;"''","")</f>
        <v>5''</v>
      </c>
      <c r="Q337" s="3" t="str">
        <f>IFERROR(IF(INDEX('PROJETO PERFURAÇÃO'!$P:$P,MATCH(MEDIÇÃO!R337,'PROJETO PERFURAÇÃO'!$B:$B,0))="Production","P",IF(INDEX('PROJETO PERFURAÇÃO'!$P:$P,MATCH(MEDIÇÃO!R337,'PROJETO PERFURAÇÃO'!$B:$B,0))="Buffer","B",IF(INDEX('PROJETO PERFURAÇÃO'!$P:$P,MATCH(MEDIÇÃO!R337,'PROJETO PERFURAÇÃO'!$B:$B,0))="Pre-Splitting","S"))),"")</f>
        <v>P</v>
      </c>
      <c r="R337" s="14">
        <f t="shared" si="32"/>
        <v>759</v>
      </c>
      <c r="S337" s="4" t="str">
        <f>IFERROR(INDEX('LEV R&amp;D'!$D:$D,MATCH(MEDIÇÃO!R337,'LEV R&amp;D'!$A:$A,0))-INDEX('PROJETO PERFURAÇÃO'!$AH:$AH,MATCH(MEDIÇÃO!R337,'PROJETO PERFURAÇÃO'!$B:$B,0)),"")</f>
        <v/>
      </c>
      <c r="T337" s="17">
        <f>IFERROR(INDEX('PROJETO PERFURAÇÃO'!$AN:$AN,MATCH(MEDIÇÃO!R337,'PROJETO PERFURAÇÃO'!$B:$B,0)),"")</f>
        <v>0</v>
      </c>
      <c r="U337" s="3"/>
      <c r="V337" s="3"/>
    </row>
    <row r="338" spans="1:23" ht="30" customHeight="1" x14ac:dyDescent="0.25">
      <c r="B338" s="1"/>
      <c r="C338" s="1"/>
      <c r="D338" s="15"/>
      <c r="E338" s="2"/>
      <c r="F338" s="16"/>
      <c r="G338" s="1"/>
      <c r="H338" s="1"/>
      <c r="I338" s="1"/>
      <c r="J338" s="1"/>
      <c r="K338" s="15"/>
      <c r="L338" s="2"/>
      <c r="M338" s="16"/>
      <c r="N338" s="1"/>
      <c r="O338" s="1"/>
      <c r="P338" s="1"/>
      <c r="Q338" s="1"/>
      <c r="R338" s="15"/>
      <c r="S338" s="2"/>
      <c r="T338" s="16"/>
      <c r="U338" s="1"/>
      <c r="V338" s="1"/>
    </row>
    <row r="339" spans="1:23" ht="30" customHeight="1" x14ac:dyDescent="0.25">
      <c r="C339" s="20"/>
      <c r="D339" s="20"/>
      <c r="E339" s="20"/>
      <c r="F339" s="20"/>
      <c r="G339" s="20"/>
      <c r="H339" s="20"/>
      <c r="I339" s="20"/>
      <c r="J339" s="20"/>
      <c r="K339" s="20"/>
      <c r="M339" s="20"/>
      <c r="N339" s="20"/>
      <c r="O339" s="20"/>
      <c r="P339" s="20"/>
      <c r="Q339" s="20"/>
      <c r="R339" s="20"/>
      <c r="S339" s="20"/>
      <c r="T339" s="20"/>
      <c r="U339" s="20"/>
    </row>
    <row r="340" spans="1:23" ht="30" customHeight="1" x14ac:dyDescent="0.25">
      <c r="C340" s="21" t="s">
        <v>40</v>
      </c>
      <c r="D340" s="21"/>
      <c r="E340" s="21"/>
      <c r="F340" s="21"/>
      <c r="G340" s="21"/>
      <c r="H340" s="21"/>
      <c r="I340" s="21"/>
      <c r="J340" s="21"/>
      <c r="K340" s="21"/>
      <c r="L340" s="9"/>
      <c r="M340" s="21" t="s">
        <v>40</v>
      </c>
      <c r="N340" s="21"/>
      <c r="O340" s="21"/>
      <c r="P340" s="21"/>
      <c r="Q340" s="21"/>
      <c r="R340" s="21"/>
      <c r="S340" s="21"/>
      <c r="T340" s="21"/>
      <c r="U340" s="21"/>
      <c r="V340" s="9"/>
    </row>
    <row r="341" spans="1:23" ht="30" customHeight="1" x14ac:dyDescent="0.25">
      <c r="D341" s="9"/>
      <c r="E341" s="9"/>
      <c r="F341" s="9"/>
      <c r="G341" s="9"/>
      <c r="H341" s="9"/>
      <c r="I341" s="9"/>
      <c r="J341" s="9"/>
      <c r="K341" s="9"/>
      <c r="L341" s="9"/>
      <c r="M341" s="9"/>
      <c r="N341" s="9"/>
      <c r="Q341" s="9"/>
      <c r="R341" s="9"/>
      <c r="S341" s="9"/>
      <c r="T341" s="9"/>
      <c r="U341" s="9"/>
      <c r="V341" s="9"/>
    </row>
    <row r="342" spans="1:23" ht="30" customHeight="1" x14ac:dyDescent="0.25">
      <c r="B342" s="19" t="str">
        <f>'PROJETO PERFURAÇÃO'!$C$2&amp;" - "&amp;'PROJETO PERFURAÇÃO'!$H$2</f>
        <v>LIB065 - PP0651026</v>
      </c>
      <c r="C342" s="19"/>
      <c r="D342" s="19"/>
      <c r="E342" s="19"/>
      <c r="F342" s="19"/>
      <c r="G342" s="19"/>
      <c r="H342" s="19"/>
      <c r="I342" s="11" t="s">
        <v>34</v>
      </c>
      <c r="J342" s="10" t="s">
        <v>37</v>
      </c>
    </row>
    <row r="343" spans="1:23" ht="30" customHeight="1" x14ac:dyDescent="0.25">
      <c r="B343" s="19"/>
      <c r="C343" s="19"/>
      <c r="D343" s="19"/>
      <c r="E343" s="19"/>
      <c r="F343" s="19"/>
      <c r="G343" s="19"/>
      <c r="H343" s="19"/>
      <c r="I343" s="12" t="s">
        <v>35</v>
      </c>
      <c r="J343" s="10" t="s">
        <v>38</v>
      </c>
      <c r="K343" s="9"/>
      <c r="L343" s="9"/>
      <c r="M343" s="9"/>
      <c r="N343" s="9"/>
      <c r="O343" s="9"/>
      <c r="P343" s="9"/>
      <c r="Q343" s="9"/>
      <c r="R343" s="9"/>
      <c r="S343" s="9"/>
      <c r="T343" s="9"/>
      <c r="U343" s="9"/>
      <c r="V343" s="9"/>
    </row>
    <row r="344" spans="1:23" ht="30" customHeight="1" x14ac:dyDescent="0.25">
      <c r="B344" s="19"/>
      <c r="C344" s="19"/>
      <c r="D344" s="19"/>
      <c r="E344" s="19"/>
      <c r="F344" s="19"/>
      <c r="G344" s="19"/>
      <c r="H344" s="19"/>
      <c r="I344" s="13" t="s">
        <v>36</v>
      </c>
      <c r="J344" s="10" t="s">
        <v>39</v>
      </c>
    </row>
    <row r="345" spans="1:23" ht="30" customHeight="1" x14ac:dyDescent="0.25">
      <c r="A345" s="1"/>
      <c r="B345" s="6" t="s">
        <v>33</v>
      </c>
      <c r="C345" s="6" t="s">
        <v>13</v>
      </c>
      <c r="D345" s="7" t="s">
        <v>1</v>
      </c>
      <c r="E345" s="7" t="s">
        <v>29</v>
      </c>
      <c r="F345" s="7" t="s">
        <v>30</v>
      </c>
      <c r="G345" s="7" t="s">
        <v>31</v>
      </c>
      <c r="H345" s="7" t="s">
        <v>32</v>
      </c>
      <c r="I345" s="6" t="s">
        <v>33</v>
      </c>
      <c r="J345" s="6" t="s">
        <v>13</v>
      </c>
      <c r="K345" s="7" t="s">
        <v>1</v>
      </c>
      <c r="L345" s="7" t="s">
        <v>29</v>
      </c>
      <c r="M345" s="7" t="s">
        <v>30</v>
      </c>
      <c r="N345" s="7" t="s">
        <v>31</v>
      </c>
      <c r="O345" s="7" t="s">
        <v>32</v>
      </c>
      <c r="P345" s="6" t="s">
        <v>33</v>
      </c>
      <c r="Q345" s="6" t="s">
        <v>13</v>
      </c>
      <c r="R345" s="7" t="s">
        <v>1</v>
      </c>
      <c r="S345" s="7" t="s">
        <v>29</v>
      </c>
      <c r="T345" s="7" t="s">
        <v>30</v>
      </c>
      <c r="U345" s="7" t="s">
        <v>31</v>
      </c>
      <c r="V345" s="7" t="s">
        <v>32</v>
      </c>
      <c r="W345" s="1"/>
    </row>
    <row r="346" spans="1:23" ht="45" customHeight="1" x14ac:dyDescent="0.25">
      <c r="B346" s="3" t="str">
        <f>IFERROR(ROUND(INDEX('PROJETO PERFURAÇÃO'!$AB:$AB,MATCH(MEDIÇÃO!D346,'PROJETO PERFURAÇÃO'!$B:$B,0)),1)&amp;"''","")</f>
        <v>5''</v>
      </c>
      <c r="C346" s="3" t="str">
        <f>IFERROR(IF(INDEX('PROJETO PERFURAÇÃO'!$P:$P,MATCH(MEDIÇÃO!D346,'PROJETO PERFURAÇÃO'!$B:$B,0))="Production","P",IF(INDEX('PROJETO PERFURAÇÃO'!$P:$P,MATCH(MEDIÇÃO!D346,'PROJETO PERFURAÇÃO'!$B:$B,0))="Buffer","B",IF(INDEX('PROJETO PERFURAÇÃO'!$P:$P,MATCH(MEDIÇÃO!D346,'PROJETO PERFURAÇÃO'!$B:$B,0))="Pre-Splitting","S"))),"")</f>
        <v>P</v>
      </c>
      <c r="D346" s="14">
        <f>R337+1</f>
        <v>760</v>
      </c>
      <c r="E346" s="4" t="str">
        <f>IFERROR(INDEX('LEV R&amp;D'!$D:$D,MATCH(MEDIÇÃO!D346,'LEV R&amp;D'!$A:$A,0))-INDEX('PROJETO PERFURAÇÃO'!$AH:$AH,MATCH(MEDIÇÃO!D346,'PROJETO PERFURAÇÃO'!$B:$B,0)),"")</f>
        <v/>
      </c>
      <c r="F346" s="17">
        <f>IFERROR(INDEX('PROJETO PERFURAÇÃO'!$AN:$AN,MATCH(MEDIÇÃO!D346,'PROJETO PERFURAÇÃO'!$B:$B,0)),"")</f>
        <v>0</v>
      </c>
      <c r="G346" s="3"/>
      <c r="H346" s="3"/>
      <c r="I346" s="3" t="str">
        <f>IFERROR(ROUND(INDEX('PROJETO PERFURAÇÃO'!$AB:$AB,MATCH(MEDIÇÃO!K346,'PROJETO PERFURAÇÃO'!$B:$B,0)),1)&amp;"''","")</f>
        <v>5''</v>
      </c>
      <c r="J346" s="3" t="str">
        <f>IFERROR(IF(INDEX('PROJETO PERFURAÇÃO'!$P:$P,MATCH(MEDIÇÃO!K346,'PROJETO PERFURAÇÃO'!$B:$B,0))="Production","P",IF(INDEX('PROJETO PERFURAÇÃO'!$P:$P,MATCH(MEDIÇÃO!K346,'PROJETO PERFURAÇÃO'!$B:$B,0))="Buffer","B",IF(INDEX('PROJETO PERFURAÇÃO'!$P:$P,MATCH(MEDIÇÃO!K346,'PROJETO PERFURAÇÃO'!$B:$B,0))="Pre-Splitting","S"))),"")</f>
        <v>P</v>
      </c>
      <c r="K346" s="14">
        <f>D368+1</f>
        <v>783</v>
      </c>
      <c r="L346" s="4" t="str">
        <f>IFERROR(INDEX('LEV R&amp;D'!$D:$D,MATCH(MEDIÇÃO!K346,'LEV R&amp;D'!$A:$A,0))-INDEX('PROJETO PERFURAÇÃO'!$AH:$AH,MATCH(MEDIÇÃO!K346,'PROJETO PERFURAÇÃO'!$B:$B,0)),"")</f>
        <v/>
      </c>
      <c r="M346" s="17">
        <f>IFERROR(INDEX('PROJETO PERFURAÇÃO'!$AN:$AN,MATCH(MEDIÇÃO!K346,'PROJETO PERFURAÇÃO'!$B:$B,0)),"")</f>
        <v>0</v>
      </c>
      <c r="N346" s="3"/>
      <c r="O346" s="3"/>
      <c r="P346" s="3" t="str">
        <f>IFERROR(ROUND(INDEX('PROJETO PERFURAÇÃO'!$AB:$AB,MATCH(MEDIÇÃO!R346,'PROJETO PERFURAÇÃO'!$B:$B,0)),1)&amp;"''","")</f>
        <v>5''</v>
      </c>
      <c r="Q346" s="3" t="str">
        <f>IFERROR(IF(INDEX('PROJETO PERFURAÇÃO'!$P:$P,MATCH(MEDIÇÃO!R346,'PROJETO PERFURAÇÃO'!$B:$B,0))="Production","P",IF(INDEX('PROJETO PERFURAÇÃO'!$P:$P,MATCH(MEDIÇÃO!R346,'PROJETO PERFURAÇÃO'!$B:$B,0))="Buffer","B",IF(INDEX('PROJETO PERFURAÇÃO'!$P:$P,MATCH(MEDIÇÃO!R346,'PROJETO PERFURAÇÃO'!$B:$B,0))="Pre-Splitting","S"))),"")</f>
        <v>P</v>
      </c>
      <c r="R346" s="14">
        <f>K368+1</f>
        <v>806</v>
      </c>
      <c r="S346" s="4" t="str">
        <f>IFERROR(INDEX('LEV R&amp;D'!$D:$D,MATCH(MEDIÇÃO!R346,'LEV R&amp;D'!$A:$A,0))-INDEX('PROJETO PERFURAÇÃO'!$AH:$AH,MATCH(MEDIÇÃO!R346,'PROJETO PERFURAÇÃO'!$B:$B,0)),"")</f>
        <v/>
      </c>
      <c r="T346" s="17">
        <f>IFERROR(INDEX('PROJETO PERFURAÇÃO'!$AN:$AN,MATCH(MEDIÇÃO!R346,'PROJETO PERFURAÇÃO'!$B:$B,0)),"")</f>
        <v>0</v>
      </c>
      <c r="U346" s="3"/>
      <c r="V346" s="3"/>
    </row>
    <row r="347" spans="1:23" ht="45" customHeight="1" x14ac:dyDescent="0.25">
      <c r="B347" s="3" t="str">
        <f>IFERROR(ROUND(INDEX('PROJETO PERFURAÇÃO'!$AB:$AB,MATCH(MEDIÇÃO!D347,'PROJETO PERFURAÇÃO'!$B:$B,0)),1)&amp;"''","")</f>
        <v>5''</v>
      </c>
      <c r="C347" s="3" t="str">
        <f>IFERROR(IF(INDEX('PROJETO PERFURAÇÃO'!$P:$P,MATCH(MEDIÇÃO!D347,'PROJETO PERFURAÇÃO'!$B:$B,0))="Production","P",IF(INDEX('PROJETO PERFURAÇÃO'!$P:$P,MATCH(MEDIÇÃO!D347,'PROJETO PERFURAÇÃO'!$B:$B,0))="Buffer","B",IF(INDEX('PROJETO PERFURAÇÃO'!$P:$P,MATCH(MEDIÇÃO!D347,'PROJETO PERFURAÇÃO'!$B:$B,0))="Pre-Splitting","S"))),"")</f>
        <v>P</v>
      </c>
      <c r="D347" s="14">
        <f>D346+1</f>
        <v>761</v>
      </c>
      <c r="E347" s="4" t="str">
        <f>IFERROR(INDEX('LEV R&amp;D'!$D:$D,MATCH(MEDIÇÃO!D347,'LEV R&amp;D'!$A:$A,0))-INDEX('PROJETO PERFURAÇÃO'!$AH:$AH,MATCH(MEDIÇÃO!D347,'PROJETO PERFURAÇÃO'!$B:$B,0)),"")</f>
        <v/>
      </c>
      <c r="F347" s="17">
        <f>IFERROR(INDEX('PROJETO PERFURAÇÃO'!$AN:$AN,MATCH(MEDIÇÃO!D347,'PROJETO PERFURAÇÃO'!$B:$B,0)),"")</f>
        <v>0</v>
      </c>
      <c r="G347" s="3"/>
      <c r="H347" s="3"/>
      <c r="I347" s="3" t="str">
        <f>IFERROR(ROUND(INDEX('PROJETO PERFURAÇÃO'!$AB:$AB,MATCH(MEDIÇÃO!K347,'PROJETO PERFURAÇÃO'!$B:$B,0)),1)&amp;"''","")</f>
        <v>5''</v>
      </c>
      <c r="J347" s="3" t="str">
        <f>IFERROR(IF(INDEX('PROJETO PERFURAÇÃO'!$P:$P,MATCH(MEDIÇÃO!K347,'PROJETO PERFURAÇÃO'!$B:$B,0))="Production","P",IF(INDEX('PROJETO PERFURAÇÃO'!$P:$P,MATCH(MEDIÇÃO!K347,'PROJETO PERFURAÇÃO'!$B:$B,0))="Buffer","B",IF(INDEX('PROJETO PERFURAÇÃO'!$P:$P,MATCH(MEDIÇÃO!K347,'PROJETO PERFURAÇÃO'!$B:$B,0))="Pre-Splitting","S"))),"")</f>
        <v>P</v>
      </c>
      <c r="K347" s="14">
        <f>K346+1</f>
        <v>784</v>
      </c>
      <c r="L347" s="4" t="str">
        <f>IFERROR(INDEX('LEV R&amp;D'!$D:$D,MATCH(MEDIÇÃO!K347,'LEV R&amp;D'!$A:$A,0))-INDEX('PROJETO PERFURAÇÃO'!$AH:$AH,MATCH(MEDIÇÃO!K347,'PROJETO PERFURAÇÃO'!$B:$B,0)),"")</f>
        <v/>
      </c>
      <c r="M347" s="17">
        <f>IFERROR(INDEX('PROJETO PERFURAÇÃO'!$AN:$AN,MATCH(MEDIÇÃO!K347,'PROJETO PERFURAÇÃO'!$B:$B,0)),"")</f>
        <v>0</v>
      </c>
      <c r="N347" s="3"/>
      <c r="O347" s="3"/>
      <c r="P347" s="3" t="str">
        <f>IFERROR(ROUND(INDEX('PROJETO PERFURAÇÃO'!$AB:$AB,MATCH(MEDIÇÃO!R347,'PROJETO PERFURAÇÃO'!$B:$B,0)),1)&amp;"''","")</f>
        <v>5''</v>
      </c>
      <c r="Q347" s="3" t="str">
        <f>IFERROR(IF(INDEX('PROJETO PERFURAÇÃO'!$P:$P,MATCH(MEDIÇÃO!R347,'PROJETO PERFURAÇÃO'!$B:$B,0))="Production","P",IF(INDEX('PROJETO PERFURAÇÃO'!$P:$P,MATCH(MEDIÇÃO!R347,'PROJETO PERFURAÇÃO'!$B:$B,0))="Buffer","B",IF(INDEX('PROJETO PERFURAÇÃO'!$P:$P,MATCH(MEDIÇÃO!R347,'PROJETO PERFURAÇÃO'!$B:$B,0))="Pre-Splitting","S"))),"")</f>
        <v>P</v>
      </c>
      <c r="R347" s="14">
        <f>R346+1</f>
        <v>807</v>
      </c>
      <c r="S347" s="4" t="str">
        <f>IFERROR(INDEX('LEV R&amp;D'!$D:$D,MATCH(MEDIÇÃO!R347,'LEV R&amp;D'!$A:$A,0))-INDEX('PROJETO PERFURAÇÃO'!$AH:$AH,MATCH(MEDIÇÃO!R347,'PROJETO PERFURAÇÃO'!$B:$B,0)),"")</f>
        <v/>
      </c>
      <c r="T347" s="17">
        <f>IFERROR(INDEX('PROJETO PERFURAÇÃO'!$AN:$AN,MATCH(MEDIÇÃO!R347,'PROJETO PERFURAÇÃO'!$B:$B,0)),"")</f>
        <v>0</v>
      </c>
      <c r="U347" s="3"/>
      <c r="V347" s="3"/>
    </row>
    <row r="348" spans="1:23" ht="45" customHeight="1" x14ac:dyDescent="0.25">
      <c r="B348" s="3" t="str">
        <f>IFERROR(ROUND(INDEX('PROJETO PERFURAÇÃO'!$AB:$AB,MATCH(MEDIÇÃO!D348,'PROJETO PERFURAÇÃO'!$B:$B,0)),1)&amp;"''","")</f>
        <v>5''</v>
      </c>
      <c r="C348" s="3" t="str">
        <f>IFERROR(IF(INDEX('PROJETO PERFURAÇÃO'!$P:$P,MATCH(MEDIÇÃO!D348,'PROJETO PERFURAÇÃO'!$B:$B,0))="Production","P",IF(INDEX('PROJETO PERFURAÇÃO'!$P:$P,MATCH(MEDIÇÃO!D348,'PROJETO PERFURAÇÃO'!$B:$B,0))="Buffer","B",IF(INDEX('PROJETO PERFURAÇÃO'!$P:$P,MATCH(MEDIÇÃO!D348,'PROJETO PERFURAÇÃO'!$B:$B,0))="Pre-Splitting","S"))),"")</f>
        <v>P</v>
      </c>
      <c r="D348" s="14">
        <f t="shared" ref="D348:D368" si="33">D347+1</f>
        <v>762</v>
      </c>
      <c r="E348" s="4" t="str">
        <f>IFERROR(INDEX('LEV R&amp;D'!$D:$D,MATCH(MEDIÇÃO!D348,'LEV R&amp;D'!$A:$A,0))-INDEX('PROJETO PERFURAÇÃO'!$AH:$AH,MATCH(MEDIÇÃO!D348,'PROJETO PERFURAÇÃO'!$B:$B,0)),"")</f>
        <v/>
      </c>
      <c r="F348" s="17">
        <f>IFERROR(INDEX('PROJETO PERFURAÇÃO'!$AN:$AN,MATCH(MEDIÇÃO!D348,'PROJETO PERFURAÇÃO'!$B:$B,0)),"")</f>
        <v>0</v>
      </c>
      <c r="G348" s="3"/>
      <c r="H348" s="3"/>
      <c r="I348" s="3" t="str">
        <f>IFERROR(ROUND(INDEX('PROJETO PERFURAÇÃO'!$AB:$AB,MATCH(MEDIÇÃO!K348,'PROJETO PERFURAÇÃO'!$B:$B,0)),1)&amp;"''","")</f>
        <v>5''</v>
      </c>
      <c r="J348" s="3" t="str">
        <f>IFERROR(IF(INDEX('PROJETO PERFURAÇÃO'!$P:$P,MATCH(MEDIÇÃO!K348,'PROJETO PERFURAÇÃO'!$B:$B,0))="Production","P",IF(INDEX('PROJETO PERFURAÇÃO'!$P:$P,MATCH(MEDIÇÃO!K348,'PROJETO PERFURAÇÃO'!$B:$B,0))="Buffer","B",IF(INDEX('PROJETO PERFURAÇÃO'!$P:$P,MATCH(MEDIÇÃO!K348,'PROJETO PERFURAÇÃO'!$B:$B,0))="Pre-Splitting","S"))),"")</f>
        <v>P</v>
      </c>
      <c r="K348" s="14">
        <f t="shared" ref="K348:K368" si="34">K347+1</f>
        <v>785</v>
      </c>
      <c r="L348" s="4" t="str">
        <f>IFERROR(INDEX('LEV R&amp;D'!$D:$D,MATCH(MEDIÇÃO!K348,'LEV R&amp;D'!$A:$A,0))-INDEX('PROJETO PERFURAÇÃO'!$AH:$AH,MATCH(MEDIÇÃO!K348,'PROJETO PERFURAÇÃO'!$B:$B,0)),"")</f>
        <v/>
      </c>
      <c r="M348" s="17">
        <f>IFERROR(INDEX('PROJETO PERFURAÇÃO'!$AN:$AN,MATCH(MEDIÇÃO!K348,'PROJETO PERFURAÇÃO'!$B:$B,0)),"")</f>
        <v>0</v>
      </c>
      <c r="N348" s="3"/>
      <c r="O348" s="3"/>
      <c r="P348" s="3" t="str">
        <f>IFERROR(ROUND(INDEX('PROJETO PERFURAÇÃO'!$AB:$AB,MATCH(MEDIÇÃO!R348,'PROJETO PERFURAÇÃO'!$B:$B,0)),1)&amp;"''","")</f>
        <v>5''</v>
      </c>
      <c r="Q348" s="3" t="str">
        <f>IFERROR(IF(INDEX('PROJETO PERFURAÇÃO'!$P:$P,MATCH(MEDIÇÃO!R348,'PROJETO PERFURAÇÃO'!$B:$B,0))="Production","P",IF(INDEX('PROJETO PERFURAÇÃO'!$P:$P,MATCH(MEDIÇÃO!R348,'PROJETO PERFURAÇÃO'!$B:$B,0))="Buffer","B",IF(INDEX('PROJETO PERFURAÇÃO'!$P:$P,MATCH(MEDIÇÃO!R348,'PROJETO PERFURAÇÃO'!$B:$B,0))="Pre-Splitting","S"))),"")</f>
        <v>P</v>
      </c>
      <c r="R348" s="14">
        <f t="shared" ref="R348:R368" si="35">R347+1</f>
        <v>808</v>
      </c>
      <c r="S348" s="4" t="str">
        <f>IFERROR(INDEX('LEV R&amp;D'!$D:$D,MATCH(MEDIÇÃO!R348,'LEV R&amp;D'!$A:$A,0))-INDEX('PROJETO PERFURAÇÃO'!$AH:$AH,MATCH(MEDIÇÃO!R348,'PROJETO PERFURAÇÃO'!$B:$B,0)),"")</f>
        <v/>
      </c>
      <c r="T348" s="17">
        <f>IFERROR(INDEX('PROJETO PERFURAÇÃO'!$AN:$AN,MATCH(MEDIÇÃO!R348,'PROJETO PERFURAÇÃO'!$B:$B,0)),"")</f>
        <v>0</v>
      </c>
      <c r="U348" s="3"/>
      <c r="V348" s="3"/>
    </row>
    <row r="349" spans="1:23" ht="45" customHeight="1" x14ac:dyDescent="0.25">
      <c r="B349" s="3" t="str">
        <f>IFERROR(ROUND(INDEX('PROJETO PERFURAÇÃO'!$AB:$AB,MATCH(MEDIÇÃO!D349,'PROJETO PERFURAÇÃO'!$B:$B,0)),1)&amp;"''","")</f>
        <v>5''</v>
      </c>
      <c r="C349" s="3" t="str">
        <f>IFERROR(IF(INDEX('PROJETO PERFURAÇÃO'!$P:$P,MATCH(MEDIÇÃO!D349,'PROJETO PERFURAÇÃO'!$B:$B,0))="Production","P",IF(INDEX('PROJETO PERFURAÇÃO'!$P:$P,MATCH(MEDIÇÃO!D349,'PROJETO PERFURAÇÃO'!$B:$B,0))="Buffer","B",IF(INDEX('PROJETO PERFURAÇÃO'!$P:$P,MATCH(MEDIÇÃO!D349,'PROJETO PERFURAÇÃO'!$B:$B,0))="Pre-Splitting","S"))),"")</f>
        <v>P</v>
      </c>
      <c r="D349" s="14">
        <f t="shared" si="33"/>
        <v>763</v>
      </c>
      <c r="E349" s="4" t="str">
        <f>IFERROR(INDEX('LEV R&amp;D'!$D:$D,MATCH(MEDIÇÃO!D349,'LEV R&amp;D'!$A:$A,0))-INDEX('PROJETO PERFURAÇÃO'!$AH:$AH,MATCH(MEDIÇÃO!D349,'PROJETO PERFURAÇÃO'!$B:$B,0)),"")</f>
        <v/>
      </c>
      <c r="F349" s="17">
        <f>IFERROR(INDEX('PROJETO PERFURAÇÃO'!$AN:$AN,MATCH(MEDIÇÃO!D349,'PROJETO PERFURAÇÃO'!$B:$B,0)),"")</f>
        <v>0</v>
      </c>
      <c r="G349" s="3"/>
      <c r="H349" s="3"/>
      <c r="I349" s="3" t="str">
        <f>IFERROR(ROUND(INDEX('PROJETO PERFURAÇÃO'!$AB:$AB,MATCH(MEDIÇÃO!K349,'PROJETO PERFURAÇÃO'!$B:$B,0)),1)&amp;"''","")</f>
        <v>5''</v>
      </c>
      <c r="J349" s="3" t="str">
        <f>IFERROR(IF(INDEX('PROJETO PERFURAÇÃO'!$P:$P,MATCH(MEDIÇÃO!K349,'PROJETO PERFURAÇÃO'!$B:$B,0))="Production","P",IF(INDEX('PROJETO PERFURAÇÃO'!$P:$P,MATCH(MEDIÇÃO!K349,'PROJETO PERFURAÇÃO'!$B:$B,0))="Buffer","B",IF(INDEX('PROJETO PERFURAÇÃO'!$P:$P,MATCH(MEDIÇÃO!K349,'PROJETO PERFURAÇÃO'!$B:$B,0))="Pre-Splitting","S"))),"")</f>
        <v>P</v>
      </c>
      <c r="K349" s="14">
        <f t="shared" si="34"/>
        <v>786</v>
      </c>
      <c r="L349" s="4" t="str">
        <f>IFERROR(INDEX('LEV R&amp;D'!$D:$D,MATCH(MEDIÇÃO!K349,'LEV R&amp;D'!$A:$A,0))-INDEX('PROJETO PERFURAÇÃO'!$AH:$AH,MATCH(MEDIÇÃO!K349,'PROJETO PERFURAÇÃO'!$B:$B,0)),"")</f>
        <v/>
      </c>
      <c r="M349" s="17">
        <f>IFERROR(INDEX('PROJETO PERFURAÇÃO'!$AN:$AN,MATCH(MEDIÇÃO!K349,'PROJETO PERFURAÇÃO'!$B:$B,0)),"")</f>
        <v>0</v>
      </c>
      <c r="N349" s="3"/>
      <c r="O349" s="3"/>
      <c r="P349" s="3" t="str">
        <f>IFERROR(ROUND(INDEX('PROJETO PERFURAÇÃO'!$AB:$AB,MATCH(MEDIÇÃO!R349,'PROJETO PERFURAÇÃO'!$B:$B,0)),1)&amp;"''","")</f>
        <v>5''</v>
      </c>
      <c r="Q349" s="3" t="str">
        <f>IFERROR(IF(INDEX('PROJETO PERFURAÇÃO'!$P:$P,MATCH(MEDIÇÃO!R349,'PROJETO PERFURAÇÃO'!$B:$B,0))="Production","P",IF(INDEX('PROJETO PERFURAÇÃO'!$P:$P,MATCH(MEDIÇÃO!R349,'PROJETO PERFURAÇÃO'!$B:$B,0))="Buffer","B",IF(INDEX('PROJETO PERFURAÇÃO'!$P:$P,MATCH(MEDIÇÃO!R349,'PROJETO PERFURAÇÃO'!$B:$B,0))="Pre-Splitting","S"))),"")</f>
        <v>P</v>
      </c>
      <c r="R349" s="14">
        <f t="shared" si="35"/>
        <v>809</v>
      </c>
      <c r="S349" s="4" t="str">
        <f>IFERROR(INDEX('LEV R&amp;D'!$D:$D,MATCH(MEDIÇÃO!R349,'LEV R&amp;D'!$A:$A,0))-INDEX('PROJETO PERFURAÇÃO'!$AH:$AH,MATCH(MEDIÇÃO!R349,'PROJETO PERFURAÇÃO'!$B:$B,0)),"")</f>
        <v/>
      </c>
      <c r="T349" s="17">
        <f>IFERROR(INDEX('PROJETO PERFURAÇÃO'!$AN:$AN,MATCH(MEDIÇÃO!R349,'PROJETO PERFURAÇÃO'!$B:$B,0)),"")</f>
        <v>5</v>
      </c>
      <c r="U349" s="3"/>
      <c r="V349" s="3"/>
    </row>
    <row r="350" spans="1:23" ht="45" customHeight="1" x14ac:dyDescent="0.25">
      <c r="B350" s="3" t="str">
        <f>IFERROR(ROUND(INDEX('PROJETO PERFURAÇÃO'!$AB:$AB,MATCH(MEDIÇÃO!D350,'PROJETO PERFURAÇÃO'!$B:$B,0)),1)&amp;"''","")</f>
        <v>5''</v>
      </c>
      <c r="C350" s="3" t="str">
        <f>IFERROR(IF(INDEX('PROJETO PERFURAÇÃO'!$P:$P,MATCH(MEDIÇÃO!D350,'PROJETO PERFURAÇÃO'!$B:$B,0))="Production","P",IF(INDEX('PROJETO PERFURAÇÃO'!$P:$P,MATCH(MEDIÇÃO!D350,'PROJETO PERFURAÇÃO'!$B:$B,0))="Buffer","B",IF(INDEX('PROJETO PERFURAÇÃO'!$P:$P,MATCH(MEDIÇÃO!D350,'PROJETO PERFURAÇÃO'!$B:$B,0))="Pre-Splitting","S"))),"")</f>
        <v>P</v>
      </c>
      <c r="D350" s="14">
        <f t="shared" si="33"/>
        <v>764</v>
      </c>
      <c r="E350" s="4" t="str">
        <f>IFERROR(INDEX('LEV R&amp;D'!$D:$D,MATCH(MEDIÇÃO!D350,'LEV R&amp;D'!$A:$A,0))-INDEX('PROJETO PERFURAÇÃO'!$AH:$AH,MATCH(MEDIÇÃO!D350,'PROJETO PERFURAÇÃO'!$B:$B,0)),"")</f>
        <v/>
      </c>
      <c r="F350" s="17">
        <f>IFERROR(INDEX('PROJETO PERFURAÇÃO'!$AN:$AN,MATCH(MEDIÇÃO!D350,'PROJETO PERFURAÇÃO'!$B:$B,0)),"")</f>
        <v>0</v>
      </c>
      <c r="G350" s="3"/>
      <c r="H350" s="3"/>
      <c r="I350" s="3" t="str">
        <f>IFERROR(ROUND(INDEX('PROJETO PERFURAÇÃO'!$AB:$AB,MATCH(MEDIÇÃO!K350,'PROJETO PERFURAÇÃO'!$B:$B,0)),1)&amp;"''","")</f>
        <v>5''</v>
      </c>
      <c r="J350" s="3" t="str">
        <f>IFERROR(IF(INDEX('PROJETO PERFURAÇÃO'!$P:$P,MATCH(MEDIÇÃO!K350,'PROJETO PERFURAÇÃO'!$B:$B,0))="Production","P",IF(INDEX('PROJETO PERFURAÇÃO'!$P:$P,MATCH(MEDIÇÃO!K350,'PROJETO PERFURAÇÃO'!$B:$B,0))="Buffer","B",IF(INDEX('PROJETO PERFURAÇÃO'!$P:$P,MATCH(MEDIÇÃO!K350,'PROJETO PERFURAÇÃO'!$B:$B,0))="Pre-Splitting","S"))),"")</f>
        <v>P</v>
      </c>
      <c r="K350" s="14">
        <f t="shared" si="34"/>
        <v>787</v>
      </c>
      <c r="L350" s="4" t="str">
        <f>IFERROR(INDEX('LEV R&amp;D'!$D:$D,MATCH(MEDIÇÃO!K350,'LEV R&amp;D'!$A:$A,0))-INDEX('PROJETO PERFURAÇÃO'!$AH:$AH,MATCH(MEDIÇÃO!K350,'PROJETO PERFURAÇÃO'!$B:$B,0)),"")</f>
        <v/>
      </c>
      <c r="M350" s="17">
        <f>IFERROR(INDEX('PROJETO PERFURAÇÃO'!$AN:$AN,MATCH(MEDIÇÃO!K350,'PROJETO PERFURAÇÃO'!$B:$B,0)),"")</f>
        <v>0</v>
      </c>
      <c r="N350" s="3"/>
      <c r="O350" s="3"/>
      <c r="P350" s="3" t="str">
        <f>IFERROR(ROUND(INDEX('PROJETO PERFURAÇÃO'!$AB:$AB,MATCH(MEDIÇÃO!R350,'PROJETO PERFURAÇÃO'!$B:$B,0)),1)&amp;"''","")</f>
        <v>5''</v>
      </c>
      <c r="Q350" s="3" t="str">
        <f>IFERROR(IF(INDEX('PROJETO PERFURAÇÃO'!$P:$P,MATCH(MEDIÇÃO!R350,'PROJETO PERFURAÇÃO'!$B:$B,0))="Production","P",IF(INDEX('PROJETO PERFURAÇÃO'!$P:$P,MATCH(MEDIÇÃO!R350,'PROJETO PERFURAÇÃO'!$B:$B,0))="Buffer","B",IF(INDEX('PROJETO PERFURAÇÃO'!$P:$P,MATCH(MEDIÇÃO!R350,'PROJETO PERFURAÇÃO'!$B:$B,0))="Pre-Splitting","S"))),"")</f>
        <v>P</v>
      </c>
      <c r="R350" s="14">
        <f t="shared" si="35"/>
        <v>810</v>
      </c>
      <c r="S350" s="4" t="str">
        <f>IFERROR(INDEX('LEV R&amp;D'!$D:$D,MATCH(MEDIÇÃO!R350,'LEV R&amp;D'!$A:$A,0))-INDEX('PROJETO PERFURAÇÃO'!$AH:$AH,MATCH(MEDIÇÃO!R350,'PROJETO PERFURAÇÃO'!$B:$B,0)),"")</f>
        <v/>
      </c>
      <c r="T350" s="17">
        <f>IFERROR(INDEX('PROJETO PERFURAÇÃO'!$AN:$AN,MATCH(MEDIÇÃO!R350,'PROJETO PERFURAÇÃO'!$B:$B,0)),"")</f>
        <v>0</v>
      </c>
      <c r="U350" s="3"/>
      <c r="V350" s="3"/>
    </row>
    <row r="351" spans="1:23" ht="45" customHeight="1" x14ac:dyDescent="0.25">
      <c r="B351" s="3" t="str">
        <f>IFERROR(ROUND(INDEX('PROJETO PERFURAÇÃO'!$AB:$AB,MATCH(MEDIÇÃO!D351,'PROJETO PERFURAÇÃO'!$B:$B,0)),1)&amp;"''","")</f>
        <v>5''</v>
      </c>
      <c r="C351" s="3" t="str">
        <f>IFERROR(IF(INDEX('PROJETO PERFURAÇÃO'!$P:$P,MATCH(MEDIÇÃO!D351,'PROJETO PERFURAÇÃO'!$B:$B,0))="Production","P",IF(INDEX('PROJETO PERFURAÇÃO'!$P:$P,MATCH(MEDIÇÃO!D351,'PROJETO PERFURAÇÃO'!$B:$B,0))="Buffer","B",IF(INDEX('PROJETO PERFURAÇÃO'!$P:$P,MATCH(MEDIÇÃO!D351,'PROJETO PERFURAÇÃO'!$B:$B,0))="Pre-Splitting","S"))),"")</f>
        <v>P</v>
      </c>
      <c r="D351" s="14">
        <f t="shared" si="33"/>
        <v>765</v>
      </c>
      <c r="E351" s="4" t="str">
        <f>IFERROR(INDEX('LEV R&amp;D'!$D:$D,MATCH(MEDIÇÃO!D351,'LEV R&amp;D'!$A:$A,0))-INDEX('PROJETO PERFURAÇÃO'!$AH:$AH,MATCH(MEDIÇÃO!D351,'PROJETO PERFURAÇÃO'!$B:$B,0)),"")</f>
        <v/>
      </c>
      <c r="F351" s="17">
        <f>IFERROR(INDEX('PROJETO PERFURAÇÃO'!$AN:$AN,MATCH(MEDIÇÃO!D351,'PROJETO PERFURAÇÃO'!$B:$B,0)),"")</f>
        <v>0</v>
      </c>
      <c r="G351" s="3"/>
      <c r="H351" s="3"/>
      <c r="I351" s="3" t="str">
        <f>IFERROR(ROUND(INDEX('PROJETO PERFURAÇÃO'!$AB:$AB,MATCH(MEDIÇÃO!K351,'PROJETO PERFURAÇÃO'!$B:$B,0)),1)&amp;"''","")</f>
        <v>5''</v>
      </c>
      <c r="J351" s="3" t="str">
        <f>IFERROR(IF(INDEX('PROJETO PERFURAÇÃO'!$P:$P,MATCH(MEDIÇÃO!K351,'PROJETO PERFURAÇÃO'!$B:$B,0))="Production","P",IF(INDEX('PROJETO PERFURAÇÃO'!$P:$P,MATCH(MEDIÇÃO!K351,'PROJETO PERFURAÇÃO'!$B:$B,0))="Buffer","B",IF(INDEX('PROJETO PERFURAÇÃO'!$P:$P,MATCH(MEDIÇÃO!K351,'PROJETO PERFURAÇÃO'!$B:$B,0))="Pre-Splitting","S"))),"")</f>
        <v>P</v>
      </c>
      <c r="K351" s="14">
        <f t="shared" si="34"/>
        <v>788</v>
      </c>
      <c r="L351" s="4" t="str">
        <f>IFERROR(INDEX('LEV R&amp;D'!$D:$D,MATCH(MEDIÇÃO!K351,'LEV R&amp;D'!$A:$A,0))-INDEX('PROJETO PERFURAÇÃO'!$AH:$AH,MATCH(MEDIÇÃO!K351,'PROJETO PERFURAÇÃO'!$B:$B,0)),"")</f>
        <v/>
      </c>
      <c r="M351" s="17">
        <f>IFERROR(INDEX('PROJETO PERFURAÇÃO'!$AN:$AN,MATCH(MEDIÇÃO!K351,'PROJETO PERFURAÇÃO'!$B:$B,0)),"")</f>
        <v>0</v>
      </c>
      <c r="N351" s="3"/>
      <c r="O351" s="3"/>
      <c r="P351" s="3" t="str">
        <f>IFERROR(ROUND(INDEX('PROJETO PERFURAÇÃO'!$AB:$AB,MATCH(MEDIÇÃO!R351,'PROJETO PERFURAÇÃO'!$B:$B,0)),1)&amp;"''","")</f>
        <v>5''</v>
      </c>
      <c r="Q351" s="3" t="str">
        <f>IFERROR(IF(INDEX('PROJETO PERFURAÇÃO'!$P:$P,MATCH(MEDIÇÃO!R351,'PROJETO PERFURAÇÃO'!$B:$B,0))="Production","P",IF(INDEX('PROJETO PERFURAÇÃO'!$P:$P,MATCH(MEDIÇÃO!R351,'PROJETO PERFURAÇÃO'!$B:$B,0))="Buffer","B",IF(INDEX('PROJETO PERFURAÇÃO'!$P:$P,MATCH(MEDIÇÃO!R351,'PROJETO PERFURAÇÃO'!$B:$B,0))="Pre-Splitting","S"))),"")</f>
        <v>P</v>
      </c>
      <c r="R351" s="14">
        <f t="shared" si="35"/>
        <v>811</v>
      </c>
      <c r="S351" s="4" t="str">
        <f>IFERROR(INDEX('LEV R&amp;D'!$D:$D,MATCH(MEDIÇÃO!R351,'LEV R&amp;D'!$A:$A,0))-INDEX('PROJETO PERFURAÇÃO'!$AH:$AH,MATCH(MEDIÇÃO!R351,'PROJETO PERFURAÇÃO'!$B:$B,0)),"")</f>
        <v/>
      </c>
      <c r="T351" s="17">
        <f>IFERROR(INDEX('PROJETO PERFURAÇÃO'!$AN:$AN,MATCH(MEDIÇÃO!R351,'PROJETO PERFURAÇÃO'!$B:$B,0)),"")</f>
        <v>0</v>
      </c>
      <c r="U351" s="3"/>
      <c r="V351" s="3"/>
    </row>
    <row r="352" spans="1:23" ht="45" customHeight="1" x14ac:dyDescent="0.25">
      <c r="B352" s="3" t="str">
        <f>IFERROR(ROUND(INDEX('PROJETO PERFURAÇÃO'!$AB:$AB,MATCH(MEDIÇÃO!D352,'PROJETO PERFURAÇÃO'!$B:$B,0)),1)&amp;"''","")</f>
        <v>5''</v>
      </c>
      <c r="C352" s="3" t="str">
        <f>IFERROR(IF(INDEX('PROJETO PERFURAÇÃO'!$P:$P,MATCH(MEDIÇÃO!D352,'PROJETO PERFURAÇÃO'!$B:$B,0))="Production","P",IF(INDEX('PROJETO PERFURAÇÃO'!$P:$P,MATCH(MEDIÇÃO!D352,'PROJETO PERFURAÇÃO'!$B:$B,0))="Buffer","B",IF(INDEX('PROJETO PERFURAÇÃO'!$P:$P,MATCH(MEDIÇÃO!D352,'PROJETO PERFURAÇÃO'!$B:$B,0))="Pre-Splitting","S"))),"")</f>
        <v>P</v>
      </c>
      <c r="D352" s="14">
        <f t="shared" si="33"/>
        <v>766</v>
      </c>
      <c r="E352" s="4" t="str">
        <f>IFERROR(INDEX('LEV R&amp;D'!$D:$D,MATCH(MEDIÇÃO!D352,'LEV R&amp;D'!$A:$A,0))-INDEX('PROJETO PERFURAÇÃO'!$AH:$AH,MATCH(MEDIÇÃO!D352,'PROJETO PERFURAÇÃO'!$B:$B,0)),"")</f>
        <v/>
      </c>
      <c r="F352" s="17">
        <f>IFERROR(INDEX('PROJETO PERFURAÇÃO'!$AN:$AN,MATCH(MEDIÇÃO!D352,'PROJETO PERFURAÇÃO'!$B:$B,0)),"")</f>
        <v>0</v>
      </c>
      <c r="G352" s="3"/>
      <c r="H352" s="3"/>
      <c r="I352" s="3" t="str">
        <f>IFERROR(ROUND(INDEX('PROJETO PERFURAÇÃO'!$AB:$AB,MATCH(MEDIÇÃO!K352,'PROJETO PERFURAÇÃO'!$B:$B,0)),1)&amp;"''","")</f>
        <v>5''</v>
      </c>
      <c r="J352" s="3" t="str">
        <f>IFERROR(IF(INDEX('PROJETO PERFURAÇÃO'!$P:$P,MATCH(MEDIÇÃO!K352,'PROJETO PERFURAÇÃO'!$B:$B,0))="Production","P",IF(INDEX('PROJETO PERFURAÇÃO'!$P:$P,MATCH(MEDIÇÃO!K352,'PROJETO PERFURAÇÃO'!$B:$B,0))="Buffer","B",IF(INDEX('PROJETO PERFURAÇÃO'!$P:$P,MATCH(MEDIÇÃO!K352,'PROJETO PERFURAÇÃO'!$B:$B,0))="Pre-Splitting","S"))),"")</f>
        <v>P</v>
      </c>
      <c r="K352" s="14">
        <f t="shared" si="34"/>
        <v>789</v>
      </c>
      <c r="L352" s="4" t="str">
        <f>IFERROR(INDEX('LEV R&amp;D'!$D:$D,MATCH(MEDIÇÃO!K352,'LEV R&amp;D'!$A:$A,0))-INDEX('PROJETO PERFURAÇÃO'!$AH:$AH,MATCH(MEDIÇÃO!K352,'PROJETO PERFURAÇÃO'!$B:$B,0)),"")</f>
        <v/>
      </c>
      <c r="M352" s="17">
        <f>IFERROR(INDEX('PROJETO PERFURAÇÃO'!$AN:$AN,MATCH(MEDIÇÃO!K352,'PROJETO PERFURAÇÃO'!$B:$B,0)),"")</f>
        <v>0</v>
      </c>
      <c r="N352" s="3"/>
      <c r="O352" s="3"/>
      <c r="P352" s="3" t="str">
        <f>IFERROR(ROUND(INDEX('PROJETO PERFURAÇÃO'!$AB:$AB,MATCH(MEDIÇÃO!R352,'PROJETO PERFURAÇÃO'!$B:$B,0)),1)&amp;"''","")</f>
        <v>5''</v>
      </c>
      <c r="Q352" s="3" t="str">
        <f>IFERROR(IF(INDEX('PROJETO PERFURAÇÃO'!$P:$P,MATCH(MEDIÇÃO!R352,'PROJETO PERFURAÇÃO'!$B:$B,0))="Production","P",IF(INDEX('PROJETO PERFURAÇÃO'!$P:$P,MATCH(MEDIÇÃO!R352,'PROJETO PERFURAÇÃO'!$B:$B,0))="Buffer","B",IF(INDEX('PROJETO PERFURAÇÃO'!$P:$P,MATCH(MEDIÇÃO!R352,'PROJETO PERFURAÇÃO'!$B:$B,0))="Pre-Splitting","S"))),"")</f>
        <v>P</v>
      </c>
      <c r="R352" s="14">
        <f t="shared" si="35"/>
        <v>812</v>
      </c>
      <c r="S352" s="4" t="str">
        <f>IFERROR(INDEX('LEV R&amp;D'!$D:$D,MATCH(MEDIÇÃO!R352,'LEV R&amp;D'!$A:$A,0))-INDEX('PROJETO PERFURAÇÃO'!$AH:$AH,MATCH(MEDIÇÃO!R352,'PROJETO PERFURAÇÃO'!$B:$B,0)),"")</f>
        <v/>
      </c>
      <c r="T352" s="17">
        <f>IFERROR(INDEX('PROJETO PERFURAÇÃO'!$AN:$AN,MATCH(MEDIÇÃO!R352,'PROJETO PERFURAÇÃO'!$B:$B,0)),"")</f>
        <v>0</v>
      </c>
      <c r="U352" s="3"/>
      <c r="V352" s="3"/>
    </row>
    <row r="353" spans="2:22" ht="45" customHeight="1" x14ac:dyDescent="0.25">
      <c r="B353" s="3" t="str">
        <f>IFERROR(ROUND(INDEX('PROJETO PERFURAÇÃO'!$AB:$AB,MATCH(MEDIÇÃO!D353,'PROJETO PERFURAÇÃO'!$B:$B,0)),1)&amp;"''","")</f>
        <v>5''</v>
      </c>
      <c r="C353" s="3" t="str">
        <f>IFERROR(IF(INDEX('PROJETO PERFURAÇÃO'!$P:$P,MATCH(MEDIÇÃO!D353,'PROJETO PERFURAÇÃO'!$B:$B,0))="Production","P",IF(INDEX('PROJETO PERFURAÇÃO'!$P:$P,MATCH(MEDIÇÃO!D353,'PROJETO PERFURAÇÃO'!$B:$B,0))="Buffer","B",IF(INDEX('PROJETO PERFURAÇÃO'!$P:$P,MATCH(MEDIÇÃO!D353,'PROJETO PERFURAÇÃO'!$B:$B,0))="Pre-Splitting","S"))),"")</f>
        <v>P</v>
      </c>
      <c r="D353" s="14">
        <f t="shared" si="33"/>
        <v>767</v>
      </c>
      <c r="E353" s="4" t="str">
        <f>IFERROR(INDEX('LEV R&amp;D'!$D:$D,MATCH(MEDIÇÃO!D353,'LEV R&amp;D'!$A:$A,0))-INDEX('PROJETO PERFURAÇÃO'!$AH:$AH,MATCH(MEDIÇÃO!D353,'PROJETO PERFURAÇÃO'!$B:$B,0)),"")</f>
        <v/>
      </c>
      <c r="F353" s="17">
        <f>IFERROR(INDEX('PROJETO PERFURAÇÃO'!$AN:$AN,MATCH(MEDIÇÃO!D353,'PROJETO PERFURAÇÃO'!$B:$B,0)),"")</f>
        <v>0</v>
      </c>
      <c r="G353" s="3"/>
      <c r="H353" s="3"/>
      <c r="I353" s="3" t="str">
        <f>IFERROR(ROUND(INDEX('PROJETO PERFURAÇÃO'!$AB:$AB,MATCH(MEDIÇÃO!K353,'PROJETO PERFURAÇÃO'!$B:$B,0)),1)&amp;"''","")</f>
        <v>5''</v>
      </c>
      <c r="J353" s="3" t="str">
        <f>IFERROR(IF(INDEX('PROJETO PERFURAÇÃO'!$P:$P,MATCH(MEDIÇÃO!K353,'PROJETO PERFURAÇÃO'!$B:$B,0))="Production","P",IF(INDEX('PROJETO PERFURAÇÃO'!$P:$P,MATCH(MEDIÇÃO!K353,'PROJETO PERFURAÇÃO'!$B:$B,0))="Buffer","B",IF(INDEX('PROJETO PERFURAÇÃO'!$P:$P,MATCH(MEDIÇÃO!K353,'PROJETO PERFURAÇÃO'!$B:$B,0))="Pre-Splitting","S"))),"")</f>
        <v>P</v>
      </c>
      <c r="K353" s="14">
        <f t="shared" si="34"/>
        <v>790</v>
      </c>
      <c r="L353" s="4" t="str">
        <f>IFERROR(INDEX('LEV R&amp;D'!$D:$D,MATCH(MEDIÇÃO!K353,'LEV R&amp;D'!$A:$A,0))-INDEX('PROJETO PERFURAÇÃO'!$AH:$AH,MATCH(MEDIÇÃO!K353,'PROJETO PERFURAÇÃO'!$B:$B,0)),"")</f>
        <v/>
      </c>
      <c r="M353" s="17">
        <f>IFERROR(INDEX('PROJETO PERFURAÇÃO'!$AN:$AN,MATCH(MEDIÇÃO!K353,'PROJETO PERFURAÇÃO'!$B:$B,0)),"")</f>
        <v>0</v>
      </c>
      <c r="N353" s="3"/>
      <c r="O353" s="3"/>
      <c r="P353" s="3" t="str">
        <f>IFERROR(ROUND(INDEX('PROJETO PERFURAÇÃO'!$AB:$AB,MATCH(MEDIÇÃO!R353,'PROJETO PERFURAÇÃO'!$B:$B,0)),1)&amp;"''","")</f>
        <v>5''</v>
      </c>
      <c r="Q353" s="3" t="str">
        <f>IFERROR(IF(INDEX('PROJETO PERFURAÇÃO'!$P:$P,MATCH(MEDIÇÃO!R353,'PROJETO PERFURAÇÃO'!$B:$B,0))="Production","P",IF(INDEX('PROJETO PERFURAÇÃO'!$P:$P,MATCH(MEDIÇÃO!R353,'PROJETO PERFURAÇÃO'!$B:$B,0))="Buffer","B",IF(INDEX('PROJETO PERFURAÇÃO'!$P:$P,MATCH(MEDIÇÃO!R353,'PROJETO PERFURAÇÃO'!$B:$B,0))="Pre-Splitting","S"))),"")</f>
        <v>P</v>
      </c>
      <c r="R353" s="14">
        <f t="shared" si="35"/>
        <v>813</v>
      </c>
      <c r="S353" s="4" t="str">
        <f>IFERROR(INDEX('LEV R&amp;D'!$D:$D,MATCH(MEDIÇÃO!R353,'LEV R&amp;D'!$A:$A,0))-INDEX('PROJETO PERFURAÇÃO'!$AH:$AH,MATCH(MEDIÇÃO!R353,'PROJETO PERFURAÇÃO'!$B:$B,0)),"")</f>
        <v/>
      </c>
      <c r="T353" s="17">
        <f>IFERROR(INDEX('PROJETO PERFURAÇÃO'!$AN:$AN,MATCH(MEDIÇÃO!R353,'PROJETO PERFURAÇÃO'!$B:$B,0)),"")</f>
        <v>0</v>
      </c>
      <c r="U353" s="3"/>
      <c r="V353" s="3"/>
    </row>
    <row r="354" spans="2:22" ht="45" customHeight="1" x14ac:dyDescent="0.25">
      <c r="B354" s="3" t="str">
        <f>IFERROR(ROUND(INDEX('PROJETO PERFURAÇÃO'!$AB:$AB,MATCH(MEDIÇÃO!D354,'PROJETO PERFURAÇÃO'!$B:$B,0)),1)&amp;"''","")</f>
        <v>5''</v>
      </c>
      <c r="C354" s="3" t="str">
        <f>IFERROR(IF(INDEX('PROJETO PERFURAÇÃO'!$P:$P,MATCH(MEDIÇÃO!D354,'PROJETO PERFURAÇÃO'!$B:$B,0))="Production","P",IF(INDEX('PROJETO PERFURAÇÃO'!$P:$P,MATCH(MEDIÇÃO!D354,'PROJETO PERFURAÇÃO'!$B:$B,0))="Buffer","B",IF(INDEX('PROJETO PERFURAÇÃO'!$P:$P,MATCH(MEDIÇÃO!D354,'PROJETO PERFURAÇÃO'!$B:$B,0))="Pre-Splitting","S"))),"")</f>
        <v>P</v>
      </c>
      <c r="D354" s="14">
        <f t="shared" si="33"/>
        <v>768</v>
      </c>
      <c r="E354" s="4" t="str">
        <f>IFERROR(INDEX('LEV R&amp;D'!$D:$D,MATCH(MEDIÇÃO!D354,'LEV R&amp;D'!$A:$A,0))-INDEX('PROJETO PERFURAÇÃO'!$AH:$AH,MATCH(MEDIÇÃO!D354,'PROJETO PERFURAÇÃO'!$B:$B,0)),"")</f>
        <v/>
      </c>
      <c r="F354" s="17">
        <f>IFERROR(INDEX('PROJETO PERFURAÇÃO'!$AN:$AN,MATCH(MEDIÇÃO!D354,'PROJETO PERFURAÇÃO'!$B:$B,0)),"")</f>
        <v>0</v>
      </c>
      <c r="G354" s="3"/>
      <c r="H354" s="3"/>
      <c r="I354" s="3" t="str">
        <f>IFERROR(ROUND(INDEX('PROJETO PERFURAÇÃO'!$AB:$AB,MATCH(MEDIÇÃO!K354,'PROJETO PERFURAÇÃO'!$B:$B,0)),1)&amp;"''","")</f>
        <v>5''</v>
      </c>
      <c r="J354" s="3" t="str">
        <f>IFERROR(IF(INDEX('PROJETO PERFURAÇÃO'!$P:$P,MATCH(MEDIÇÃO!K354,'PROJETO PERFURAÇÃO'!$B:$B,0))="Production","P",IF(INDEX('PROJETO PERFURAÇÃO'!$P:$P,MATCH(MEDIÇÃO!K354,'PROJETO PERFURAÇÃO'!$B:$B,0))="Buffer","B",IF(INDEX('PROJETO PERFURAÇÃO'!$P:$P,MATCH(MEDIÇÃO!K354,'PROJETO PERFURAÇÃO'!$B:$B,0))="Pre-Splitting","S"))),"")</f>
        <v>P</v>
      </c>
      <c r="K354" s="14">
        <f t="shared" si="34"/>
        <v>791</v>
      </c>
      <c r="L354" s="4" t="str">
        <f>IFERROR(INDEX('LEV R&amp;D'!$D:$D,MATCH(MEDIÇÃO!K354,'LEV R&amp;D'!$A:$A,0))-INDEX('PROJETO PERFURAÇÃO'!$AH:$AH,MATCH(MEDIÇÃO!K354,'PROJETO PERFURAÇÃO'!$B:$B,0)),"")</f>
        <v/>
      </c>
      <c r="M354" s="17">
        <f>IFERROR(INDEX('PROJETO PERFURAÇÃO'!$AN:$AN,MATCH(MEDIÇÃO!K354,'PROJETO PERFURAÇÃO'!$B:$B,0)),"")</f>
        <v>0</v>
      </c>
      <c r="N354" s="3"/>
      <c r="O354" s="3"/>
      <c r="P354" s="3" t="str">
        <f>IFERROR(ROUND(INDEX('PROJETO PERFURAÇÃO'!$AB:$AB,MATCH(MEDIÇÃO!R354,'PROJETO PERFURAÇÃO'!$B:$B,0)),1)&amp;"''","")</f>
        <v>5''</v>
      </c>
      <c r="Q354" s="3" t="str">
        <f>IFERROR(IF(INDEX('PROJETO PERFURAÇÃO'!$P:$P,MATCH(MEDIÇÃO!R354,'PROJETO PERFURAÇÃO'!$B:$B,0))="Production","P",IF(INDEX('PROJETO PERFURAÇÃO'!$P:$P,MATCH(MEDIÇÃO!R354,'PROJETO PERFURAÇÃO'!$B:$B,0))="Buffer","B",IF(INDEX('PROJETO PERFURAÇÃO'!$P:$P,MATCH(MEDIÇÃO!R354,'PROJETO PERFURAÇÃO'!$B:$B,0))="Pre-Splitting","S"))),"")</f>
        <v>P</v>
      </c>
      <c r="R354" s="14">
        <f t="shared" si="35"/>
        <v>814</v>
      </c>
      <c r="S354" s="4" t="str">
        <f>IFERROR(INDEX('LEV R&amp;D'!$D:$D,MATCH(MEDIÇÃO!R354,'LEV R&amp;D'!$A:$A,0))-INDEX('PROJETO PERFURAÇÃO'!$AH:$AH,MATCH(MEDIÇÃO!R354,'PROJETO PERFURAÇÃO'!$B:$B,0)),"")</f>
        <v/>
      </c>
      <c r="T354" s="17">
        <f>IFERROR(INDEX('PROJETO PERFURAÇÃO'!$AN:$AN,MATCH(MEDIÇÃO!R354,'PROJETO PERFURAÇÃO'!$B:$B,0)),"")</f>
        <v>0</v>
      </c>
      <c r="U354" s="3"/>
      <c r="V354" s="3"/>
    </row>
    <row r="355" spans="2:22" ht="45" customHeight="1" x14ac:dyDescent="0.25">
      <c r="B355" s="3" t="str">
        <f>IFERROR(ROUND(INDEX('PROJETO PERFURAÇÃO'!$AB:$AB,MATCH(MEDIÇÃO!D355,'PROJETO PERFURAÇÃO'!$B:$B,0)),1)&amp;"''","")</f>
        <v>5''</v>
      </c>
      <c r="C355" s="3" t="str">
        <f>IFERROR(IF(INDEX('PROJETO PERFURAÇÃO'!$P:$P,MATCH(MEDIÇÃO!D355,'PROJETO PERFURAÇÃO'!$B:$B,0))="Production","P",IF(INDEX('PROJETO PERFURAÇÃO'!$P:$P,MATCH(MEDIÇÃO!D355,'PROJETO PERFURAÇÃO'!$B:$B,0))="Buffer","B",IF(INDEX('PROJETO PERFURAÇÃO'!$P:$P,MATCH(MEDIÇÃO!D355,'PROJETO PERFURAÇÃO'!$B:$B,0))="Pre-Splitting","S"))),"")</f>
        <v>P</v>
      </c>
      <c r="D355" s="14">
        <f t="shared" si="33"/>
        <v>769</v>
      </c>
      <c r="E355" s="4" t="str">
        <f>IFERROR(INDEX('LEV R&amp;D'!$D:$D,MATCH(MEDIÇÃO!D355,'LEV R&amp;D'!$A:$A,0))-INDEX('PROJETO PERFURAÇÃO'!$AH:$AH,MATCH(MEDIÇÃO!D355,'PROJETO PERFURAÇÃO'!$B:$B,0)),"")</f>
        <v/>
      </c>
      <c r="F355" s="17">
        <f>IFERROR(INDEX('PROJETO PERFURAÇÃO'!$AN:$AN,MATCH(MEDIÇÃO!D355,'PROJETO PERFURAÇÃO'!$B:$B,0)),"")</f>
        <v>0</v>
      </c>
      <c r="G355" s="3"/>
      <c r="H355" s="3"/>
      <c r="I355" s="3" t="str">
        <f>IFERROR(ROUND(INDEX('PROJETO PERFURAÇÃO'!$AB:$AB,MATCH(MEDIÇÃO!K355,'PROJETO PERFURAÇÃO'!$B:$B,0)),1)&amp;"''","")</f>
        <v>5''</v>
      </c>
      <c r="J355" s="3" t="str">
        <f>IFERROR(IF(INDEX('PROJETO PERFURAÇÃO'!$P:$P,MATCH(MEDIÇÃO!K355,'PROJETO PERFURAÇÃO'!$B:$B,0))="Production","P",IF(INDEX('PROJETO PERFURAÇÃO'!$P:$P,MATCH(MEDIÇÃO!K355,'PROJETO PERFURAÇÃO'!$B:$B,0))="Buffer","B",IF(INDEX('PROJETO PERFURAÇÃO'!$P:$P,MATCH(MEDIÇÃO!K355,'PROJETO PERFURAÇÃO'!$B:$B,0))="Pre-Splitting","S"))),"")</f>
        <v>P</v>
      </c>
      <c r="K355" s="14">
        <f t="shared" si="34"/>
        <v>792</v>
      </c>
      <c r="L355" s="4" t="str">
        <f>IFERROR(INDEX('LEV R&amp;D'!$D:$D,MATCH(MEDIÇÃO!K355,'LEV R&amp;D'!$A:$A,0))-INDEX('PROJETO PERFURAÇÃO'!$AH:$AH,MATCH(MEDIÇÃO!K355,'PROJETO PERFURAÇÃO'!$B:$B,0)),"")</f>
        <v/>
      </c>
      <c r="M355" s="17">
        <f>IFERROR(INDEX('PROJETO PERFURAÇÃO'!$AN:$AN,MATCH(MEDIÇÃO!K355,'PROJETO PERFURAÇÃO'!$B:$B,0)),"")</f>
        <v>0</v>
      </c>
      <c r="N355" s="3"/>
      <c r="O355" s="3"/>
      <c r="P355" s="3" t="str">
        <f>IFERROR(ROUND(INDEX('PROJETO PERFURAÇÃO'!$AB:$AB,MATCH(MEDIÇÃO!R355,'PROJETO PERFURAÇÃO'!$B:$B,0)),1)&amp;"''","")</f>
        <v>5''</v>
      </c>
      <c r="Q355" s="3" t="str">
        <f>IFERROR(IF(INDEX('PROJETO PERFURAÇÃO'!$P:$P,MATCH(MEDIÇÃO!R355,'PROJETO PERFURAÇÃO'!$B:$B,0))="Production","P",IF(INDEX('PROJETO PERFURAÇÃO'!$P:$P,MATCH(MEDIÇÃO!R355,'PROJETO PERFURAÇÃO'!$B:$B,0))="Buffer","B",IF(INDEX('PROJETO PERFURAÇÃO'!$P:$P,MATCH(MEDIÇÃO!R355,'PROJETO PERFURAÇÃO'!$B:$B,0))="Pre-Splitting","S"))),"")</f>
        <v>P</v>
      </c>
      <c r="R355" s="14">
        <f t="shared" si="35"/>
        <v>815</v>
      </c>
      <c r="S355" s="4" t="str">
        <f>IFERROR(INDEX('LEV R&amp;D'!$D:$D,MATCH(MEDIÇÃO!R355,'LEV R&amp;D'!$A:$A,0))-INDEX('PROJETO PERFURAÇÃO'!$AH:$AH,MATCH(MEDIÇÃO!R355,'PROJETO PERFURAÇÃO'!$B:$B,0)),"")</f>
        <v/>
      </c>
      <c r="T355" s="17">
        <f>IFERROR(INDEX('PROJETO PERFURAÇÃO'!$AN:$AN,MATCH(MEDIÇÃO!R355,'PROJETO PERFURAÇÃO'!$B:$B,0)),"")</f>
        <v>0</v>
      </c>
      <c r="U355" s="3"/>
      <c r="V355" s="3"/>
    </row>
    <row r="356" spans="2:22" ht="45" customHeight="1" x14ac:dyDescent="0.25">
      <c r="B356" s="3" t="str">
        <f>IFERROR(ROUND(INDEX('PROJETO PERFURAÇÃO'!$AB:$AB,MATCH(MEDIÇÃO!D356,'PROJETO PERFURAÇÃO'!$B:$B,0)),1)&amp;"''","")</f>
        <v>5''</v>
      </c>
      <c r="C356" s="3" t="str">
        <f>IFERROR(IF(INDEX('PROJETO PERFURAÇÃO'!$P:$P,MATCH(MEDIÇÃO!D356,'PROJETO PERFURAÇÃO'!$B:$B,0))="Production","P",IF(INDEX('PROJETO PERFURAÇÃO'!$P:$P,MATCH(MEDIÇÃO!D356,'PROJETO PERFURAÇÃO'!$B:$B,0))="Buffer","B",IF(INDEX('PROJETO PERFURAÇÃO'!$P:$P,MATCH(MEDIÇÃO!D356,'PROJETO PERFURAÇÃO'!$B:$B,0))="Pre-Splitting","S"))),"")</f>
        <v>P</v>
      </c>
      <c r="D356" s="14">
        <f t="shared" si="33"/>
        <v>770</v>
      </c>
      <c r="E356" s="4" t="str">
        <f>IFERROR(INDEX('LEV R&amp;D'!$D:$D,MATCH(MEDIÇÃO!D356,'LEV R&amp;D'!$A:$A,0))-INDEX('PROJETO PERFURAÇÃO'!$AH:$AH,MATCH(MEDIÇÃO!D356,'PROJETO PERFURAÇÃO'!$B:$B,0)),"")</f>
        <v/>
      </c>
      <c r="F356" s="17">
        <f>IFERROR(INDEX('PROJETO PERFURAÇÃO'!$AN:$AN,MATCH(MEDIÇÃO!D356,'PROJETO PERFURAÇÃO'!$B:$B,0)),"")</f>
        <v>0</v>
      </c>
      <c r="G356" s="3"/>
      <c r="H356" s="3"/>
      <c r="I356" s="3" t="str">
        <f>IFERROR(ROUND(INDEX('PROJETO PERFURAÇÃO'!$AB:$AB,MATCH(MEDIÇÃO!K356,'PROJETO PERFURAÇÃO'!$B:$B,0)),1)&amp;"''","")</f>
        <v>5''</v>
      </c>
      <c r="J356" s="3" t="str">
        <f>IFERROR(IF(INDEX('PROJETO PERFURAÇÃO'!$P:$P,MATCH(MEDIÇÃO!K356,'PROJETO PERFURAÇÃO'!$B:$B,0))="Production","P",IF(INDEX('PROJETO PERFURAÇÃO'!$P:$P,MATCH(MEDIÇÃO!K356,'PROJETO PERFURAÇÃO'!$B:$B,0))="Buffer","B",IF(INDEX('PROJETO PERFURAÇÃO'!$P:$P,MATCH(MEDIÇÃO!K356,'PROJETO PERFURAÇÃO'!$B:$B,0))="Pre-Splitting","S"))),"")</f>
        <v>P</v>
      </c>
      <c r="K356" s="14">
        <f t="shared" si="34"/>
        <v>793</v>
      </c>
      <c r="L356" s="4" t="str">
        <f>IFERROR(INDEX('LEV R&amp;D'!$D:$D,MATCH(MEDIÇÃO!K356,'LEV R&amp;D'!$A:$A,0))-INDEX('PROJETO PERFURAÇÃO'!$AH:$AH,MATCH(MEDIÇÃO!K356,'PROJETO PERFURAÇÃO'!$B:$B,0)),"")</f>
        <v/>
      </c>
      <c r="M356" s="17">
        <f>IFERROR(INDEX('PROJETO PERFURAÇÃO'!$AN:$AN,MATCH(MEDIÇÃO!K356,'PROJETO PERFURAÇÃO'!$B:$B,0)),"")</f>
        <v>0</v>
      </c>
      <c r="N356" s="3"/>
      <c r="O356" s="3"/>
      <c r="P356" s="3" t="str">
        <f>IFERROR(ROUND(INDEX('PROJETO PERFURAÇÃO'!$AB:$AB,MATCH(MEDIÇÃO!R356,'PROJETO PERFURAÇÃO'!$B:$B,0)),1)&amp;"''","")</f>
        <v>5''</v>
      </c>
      <c r="Q356" s="3" t="str">
        <f>IFERROR(IF(INDEX('PROJETO PERFURAÇÃO'!$P:$P,MATCH(MEDIÇÃO!R356,'PROJETO PERFURAÇÃO'!$B:$B,0))="Production","P",IF(INDEX('PROJETO PERFURAÇÃO'!$P:$P,MATCH(MEDIÇÃO!R356,'PROJETO PERFURAÇÃO'!$B:$B,0))="Buffer","B",IF(INDEX('PROJETO PERFURAÇÃO'!$P:$P,MATCH(MEDIÇÃO!R356,'PROJETO PERFURAÇÃO'!$B:$B,0))="Pre-Splitting","S"))),"")</f>
        <v>P</v>
      </c>
      <c r="R356" s="14">
        <f t="shared" si="35"/>
        <v>816</v>
      </c>
      <c r="S356" s="4" t="str">
        <f>IFERROR(INDEX('LEV R&amp;D'!$D:$D,MATCH(MEDIÇÃO!R356,'LEV R&amp;D'!$A:$A,0))-INDEX('PROJETO PERFURAÇÃO'!$AH:$AH,MATCH(MEDIÇÃO!R356,'PROJETO PERFURAÇÃO'!$B:$B,0)),"")</f>
        <v/>
      </c>
      <c r="T356" s="17">
        <f>IFERROR(INDEX('PROJETO PERFURAÇÃO'!$AN:$AN,MATCH(MEDIÇÃO!R356,'PROJETO PERFURAÇÃO'!$B:$B,0)),"")</f>
        <v>0</v>
      </c>
      <c r="U356" s="3"/>
      <c r="V356" s="3"/>
    </row>
    <row r="357" spans="2:22" ht="45" customHeight="1" x14ac:dyDescent="0.25">
      <c r="B357" s="3" t="str">
        <f>IFERROR(ROUND(INDEX('PROJETO PERFURAÇÃO'!$AB:$AB,MATCH(MEDIÇÃO!D357,'PROJETO PERFURAÇÃO'!$B:$B,0)),1)&amp;"''","")</f>
        <v>5''</v>
      </c>
      <c r="C357" s="3" t="str">
        <f>IFERROR(IF(INDEX('PROJETO PERFURAÇÃO'!$P:$P,MATCH(MEDIÇÃO!D357,'PROJETO PERFURAÇÃO'!$B:$B,0))="Production","P",IF(INDEX('PROJETO PERFURAÇÃO'!$P:$P,MATCH(MEDIÇÃO!D357,'PROJETO PERFURAÇÃO'!$B:$B,0))="Buffer","B",IF(INDEX('PROJETO PERFURAÇÃO'!$P:$P,MATCH(MEDIÇÃO!D357,'PROJETO PERFURAÇÃO'!$B:$B,0))="Pre-Splitting","S"))),"")</f>
        <v>P</v>
      </c>
      <c r="D357" s="14">
        <f t="shared" si="33"/>
        <v>771</v>
      </c>
      <c r="E357" s="4" t="str">
        <f>IFERROR(INDEX('LEV R&amp;D'!$D:$D,MATCH(MEDIÇÃO!D357,'LEV R&amp;D'!$A:$A,0))-INDEX('PROJETO PERFURAÇÃO'!$AH:$AH,MATCH(MEDIÇÃO!D357,'PROJETO PERFURAÇÃO'!$B:$B,0)),"")</f>
        <v/>
      </c>
      <c r="F357" s="17">
        <f>IFERROR(INDEX('PROJETO PERFURAÇÃO'!$AN:$AN,MATCH(MEDIÇÃO!D357,'PROJETO PERFURAÇÃO'!$B:$B,0)),"")</f>
        <v>0</v>
      </c>
      <c r="G357" s="3"/>
      <c r="H357" s="3"/>
      <c r="I357" s="3" t="str">
        <f>IFERROR(ROUND(INDEX('PROJETO PERFURAÇÃO'!$AB:$AB,MATCH(MEDIÇÃO!K357,'PROJETO PERFURAÇÃO'!$B:$B,0)),1)&amp;"''","")</f>
        <v>5''</v>
      </c>
      <c r="J357" s="3" t="str">
        <f>IFERROR(IF(INDEX('PROJETO PERFURAÇÃO'!$P:$P,MATCH(MEDIÇÃO!K357,'PROJETO PERFURAÇÃO'!$B:$B,0))="Production","P",IF(INDEX('PROJETO PERFURAÇÃO'!$P:$P,MATCH(MEDIÇÃO!K357,'PROJETO PERFURAÇÃO'!$B:$B,0))="Buffer","B",IF(INDEX('PROJETO PERFURAÇÃO'!$P:$P,MATCH(MEDIÇÃO!K357,'PROJETO PERFURAÇÃO'!$B:$B,0))="Pre-Splitting","S"))),"")</f>
        <v>P</v>
      </c>
      <c r="K357" s="14">
        <f t="shared" si="34"/>
        <v>794</v>
      </c>
      <c r="L357" s="4" t="str">
        <f>IFERROR(INDEX('LEV R&amp;D'!$D:$D,MATCH(MEDIÇÃO!K357,'LEV R&amp;D'!$A:$A,0))-INDEX('PROJETO PERFURAÇÃO'!$AH:$AH,MATCH(MEDIÇÃO!K357,'PROJETO PERFURAÇÃO'!$B:$B,0)),"")</f>
        <v/>
      </c>
      <c r="M357" s="17">
        <f>IFERROR(INDEX('PROJETO PERFURAÇÃO'!$AN:$AN,MATCH(MEDIÇÃO!K357,'PROJETO PERFURAÇÃO'!$B:$B,0)),"")</f>
        <v>0</v>
      </c>
      <c r="N357" s="3"/>
      <c r="O357" s="3"/>
      <c r="P357" s="3" t="str">
        <f>IFERROR(ROUND(INDEX('PROJETO PERFURAÇÃO'!$AB:$AB,MATCH(MEDIÇÃO!R357,'PROJETO PERFURAÇÃO'!$B:$B,0)),1)&amp;"''","")</f>
        <v>5''</v>
      </c>
      <c r="Q357" s="3" t="str">
        <f>IFERROR(IF(INDEX('PROJETO PERFURAÇÃO'!$P:$P,MATCH(MEDIÇÃO!R357,'PROJETO PERFURAÇÃO'!$B:$B,0))="Production","P",IF(INDEX('PROJETO PERFURAÇÃO'!$P:$P,MATCH(MEDIÇÃO!R357,'PROJETO PERFURAÇÃO'!$B:$B,0))="Buffer","B",IF(INDEX('PROJETO PERFURAÇÃO'!$P:$P,MATCH(MEDIÇÃO!R357,'PROJETO PERFURAÇÃO'!$B:$B,0))="Pre-Splitting","S"))),"")</f>
        <v>P</v>
      </c>
      <c r="R357" s="14">
        <f t="shared" si="35"/>
        <v>817</v>
      </c>
      <c r="S357" s="4" t="str">
        <f>IFERROR(INDEX('LEV R&amp;D'!$D:$D,MATCH(MEDIÇÃO!R357,'LEV R&amp;D'!$A:$A,0))-INDEX('PROJETO PERFURAÇÃO'!$AH:$AH,MATCH(MEDIÇÃO!R357,'PROJETO PERFURAÇÃO'!$B:$B,0)),"")</f>
        <v/>
      </c>
      <c r="T357" s="17">
        <f>IFERROR(INDEX('PROJETO PERFURAÇÃO'!$AN:$AN,MATCH(MEDIÇÃO!R357,'PROJETO PERFURAÇÃO'!$B:$B,0)),"")</f>
        <v>0</v>
      </c>
      <c r="U357" s="3"/>
      <c r="V357" s="3"/>
    </row>
    <row r="358" spans="2:22" ht="45" customHeight="1" x14ac:dyDescent="0.25">
      <c r="B358" s="3" t="str">
        <f>IFERROR(ROUND(INDEX('PROJETO PERFURAÇÃO'!$AB:$AB,MATCH(MEDIÇÃO!D358,'PROJETO PERFURAÇÃO'!$B:$B,0)),1)&amp;"''","")</f>
        <v>5''</v>
      </c>
      <c r="C358" s="3" t="str">
        <f>IFERROR(IF(INDEX('PROJETO PERFURAÇÃO'!$P:$P,MATCH(MEDIÇÃO!D358,'PROJETO PERFURAÇÃO'!$B:$B,0))="Production","P",IF(INDEX('PROJETO PERFURAÇÃO'!$P:$P,MATCH(MEDIÇÃO!D358,'PROJETO PERFURAÇÃO'!$B:$B,0))="Buffer","B",IF(INDEX('PROJETO PERFURAÇÃO'!$P:$P,MATCH(MEDIÇÃO!D358,'PROJETO PERFURAÇÃO'!$B:$B,0))="Pre-Splitting","S"))),"")</f>
        <v>P</v>
      </c>
      <c r="D358" s="14">
        <f t="shared" si="33"/>
        <v>772</v>
      </c>
      <c r="E358" s="4" t="str">
        <f>IFERROR(INDEX('LEV R&amp;D'!$D:$D,MATCH(MEDIÇÃO!D358,'LEV R&amp;D'!$A:$A,0))-INDEX('PROJETO PERFURAÇÃO'!$AH:$AH,MATCH(MEDIÇÃO!D358,'PROJETO PERFURAÇÃO'!$B:$B,0)),"")</f>
        <v/>
      </c>
      <c r="F358" s="17">
        <f>IFERROR(INDEX('PROJETO PERFURAÇÃO'!$AN:$AN,MATCH(MEDIÇÃO!D358,'PROJETO PERFURAÇÃO'!$B:$B,0)),"")</f>
        <v>0</v>
      </c>
      <c r="G358" s="3"/>
      <c r="H358" s="3"/>
      <c r="I358" s="3" t="str">
        <f>IFERROR(ROUND(INDEX('PROJETO PERFURAÇÃO'!$AB:$AB,MATCH(MEDIÇÃO!K358,'PROJETO PERFURAÇÃO'!$B:$B,0)),1)&amp;"''","")</f>
        <v>5''</v>
      </c>
      <c r="J358" s="3" t="str">
        <f>IFERROR(IF(INDEX('PROJETO PERFURAÇÃO'!$P:$P,MATCH(MEDIÇÃO!K358,'PROJETO PERFURAÇÃO'!$B:$B,0))="Production","P",IF(INDEX('PROJETO PERFURAÇÃO'!$P:$P,MATCH(MEDIÇÃO!K358,'PROJETO PERFURAÇÃO'!$B:$B,0))="Buffer","B",IF(INDEX('PROJETO PERFURAÇÃO'!$P:$P,MATCH(MEDIÇÃO!K358,'PROJETO PERFURAÇÃO'!$B:$B,0))="Pre-Splitting","S"))),"")</f>
        <v>P</v>
      </c>
      <c r="K358" s="14">
        <f t="shared" si="34"/>
        <v>795</v>
      </c>
      <c r="L358" s="4" t="str">
        <f>IFERROR(INDEX('LEV R&amp;D'!$D:$D,MATCH(MEDIÇÃO!K358,'LEV R&amp;D'!$A:$A,0))-INDEX('PROJETO PERFURAÇÃO'!$AH:$AH,MATCH(MEDIÇÃO!K358,'PROJETO PERFURAÇÃO'!$B:$B,0)),"")</f>
        <v/>
      </c>
      <c r="M358" s="17">
        <f>IFERROR(INDEX('PROJETO PERFURAÇÃO'!$AN:$AN,MATCH(MEDIÇÃO!K358,'PROJETO PERFURAÇÃO'!$B:$B,0)),"")</f>
        <v>0</v>
      </c>
      <c r="N358" s="3"/>
      <c r="O358" s="3"/>
      <c r="P358" s="3" t="str">
        <f>IFERROR(ROUND(INDEX('PROJETO PERFURAÇÃO'!$AB:$AB,MATCH(MEDIÇÃO!R358,'PROJETO PERFURAÇÃO'!$B:$B,0)),1)&amp;"''","")</f>
        <v>5''</v>
      </c>
      <c r="Q358" s="3" t="str">
        <f>IFERROR(IF(INDEX('PROJETO PERFURAÇÃO'!$P:$P,MATCH(MEDIÇÃO!R358,'PROJETO PERFURAÇÃO'!$B:$B,0))="Production","P",IF(INDEX('PROJETO PERFURAÇÃO'!$P:$P,MATCH(MEDIÇÃO!R358,'PROJETO PERFURAÇÃO'!$B:$B,0))="Buffer","B",IF(INDEX('PROJETO PERFURAÇÃO'!$P:$P,MATCH(MEDIÇÃO!R358,'PROJETO PERFURAÇÃO'!$B:$B,0))="Pre-Splitting","S"))),"")</f>
        <v>P</v>
      </c>
      <c r="R358" s="14">
        <f t="shared" si="35"/>
        <v>818</v>
      </c>
      <c r="S358" s="4" t="str">
        <f>IFERROR(INDEX('LEV R&amp;D'!$D:$D,MATCH(MEDIÇÃO!R358,'LEV R&amp;D'!$A:$A,0))-INDEX('PROJETO PERFURAÇÃO'!$AH:$AH,MATCH(MEDIÇÃO!R358,'PROJETO PERFURAÇÃO'!$B:$B,0)),"")</f>
        <v/>
      </c>
      <c r="T358" s="17">
        <f>IFERROR(INDEX('PROJETO PERFURAÇÃO'!$AN:$AN,MATCH(MEDIÇÃO!R358,'PROJETO PERFURAÇÃO'!$B:$B,0)),"")</f>
        <v>0</v>
      </c>
      <c r="U358" s="3"/>
      <c r="V358" s="3"/>
    </row>
    <row r="359" spans="2:22" ht="45" customHeight="1" x14ac:dyDescent="0.25">
      <c r="B359" s="3" t="str">
        <f>IFERROR(ROUND(INDEX('PROJETO PERFURAÇÃO'!$AB:$AB,MATCH(MEDIÇÃO!D359,'PROJETO PERFURAÇÃO'!$B:$B,0)),1)&amp;"''","")</f>
        <v>5''</v>
      </c>
      <c r="C359" s="3" t="str">
        <f>IFERROR(IF(INDEX('PROJETO PERFURAÇÃO'!$P:$P,MATCH(MEDIÇÃO!D359,'PROJETO PERFURAÇÃO'!$B:$B,0))="Production","P",IF(INDEX('PROJETO PERFURAÇÃO'!$P:$P,MATCH(MEDIÇÃO!D359,'PROJETO PERFURAÇÃO'!$B:$B,0))="Buffer","B",IF(INDEX('PROJETO PERFURAÇÃO'!$P:$P,MATCH(MEDIÇÃO!D359,'PROJETO PERFURAÇÃO'!$B:$B,0))="Pre-Splitting","S"))),"")</f>
        <v>P</v>
      </c>
      <c r="D359" s="14">
        <f t="shared" si="33"/>
        <v>773</v>
      </c>
      <c r="E359" s="4" t="str">
        <f>IFERROR(INDEX('LEV R&amp;D'!$D:$D,MATCH(MEDIÇÃO!D359,'LEV R&amp;D'!$A:$A,0))-INDEX('PROJETO PERFURAÇÃO'!$AH:$AH,MATCH(MEDIÇÃO!D359,'PROJETO PERFURAÇÃO'!$B:$B,0)),"")</f>
        <v/>
      </c>
      <c r="F359" s="17">
        <f>IFERROR(INDEX('PROJETO PERFURAÇÃO'!$AN:$AN,MATCH(MEDIÇÃO!D359,'PROJETO PERFURAÇÃO'!$B:$B,0)),"")</f>
        <v>0</v>
      </c>
      <c r="G359" s="3"/>
      <c r="H359" s="3"/>
      <c r="I359" s="3" t="str">
        <f>IFERROR(ROUND(INDEX('PROJETO PERFURAÇÃO'!$AB:$AB,MATCH(MEDIÇÃO!K359,'PROJETO PERFURAÇÃO'!$B:$B,0)),1)&amp;"''","")</f>
        <v>5''</v>
      </c>
      <c r="J359" s="3" t="str">
        <f>IFERROR(IF(INDEX('PROJETO PERFURAÇÃO'!$P:$P,MATCH(MEDIÇÃO!K359,'PROJETO PERFURAÇÃO'!$B:$B,0))="Production","P",IF(INDEX('PROJETO PERFURAÇÃO'!$P:$P,MATCH(MEDIÇÃO!K359,'PROJETO PERFURAÇÃO'!$B:$B,0))="Buffer","B",IF(INDEX('PROJETO PERFURAÇÃO'!$P:$P,MATCH(MEDIÇÃO!K359,'PROJETO PERFURAÇÃO'!$B:$B,0))="Pre-Splitting","S"))),"")</f>
        <v>P</v>
      </c>
      <c r="K359" s="14">
        <f t="shared" si="34"/>
        <v>796</v>
      </c>
      <c r="L359" s="4" t="str">
        <f>IFERROR(INDEX('LEV R&amp;D'!$D:$D,MATCH(MEDIÇÃO!K359,'LEV R&amp;D'!$A:$A,0))-INDEX('PROJETO PERFURAÇÃO'!$AH:$AH,MATCH(MEDIÇÃO!K359,'PROJETO PERFURAÇÃO'!$B:$B,0)),"")</f>
        <v/>
      </c>
      <c r="M359" s="17">
        <f>IFERROR(INDEX('PROJETO PERFURAÇÃO'!$AN:$AN,MATCH(MEDIÇÃO!K359,'PROJETO PERFURAÇÃO'!$B:$B,0)),"")</f>
        <v>0</v>
      </c>
      <c r="N359" s="3"/>
      <c r="O359" s="3"/>
      <c r="P359" s="3" t="str">
        <f>IFERROR(ROUND(INDEX('PROJETO PERFURAÇÃO'!$AB:$AB,MATCH(MEDIÇÃO!R359,'PROJETO PERFURAÇÃO'!$B:$B,0)),1)&amp;"''","")</f>
        <v>5''</v>
      </c>
      <c r="Q359" s="3" t="str">
        <f>IFERROR(IF(INDEX('PROJETO PERFURAÇÃO'!$P:$P,MATCH(MEDIÇÃO!R359,'PROJETO PERFURAÇÃO'!$B:$B,0))="Production","P",IF(INDEX('PROJETO PERFURAÇÃO'!$P:$P,MATCH(MEDIÇÃO!R359,'PROJETO PERFURAÇÃO'!$B:$B,0))="Buffer","B",IF(INDEX('PROJETO PERFURAÇÃO'!$P:$P,MATCH(MEDIÇÃO!R359,'PROJETO PERFURAÇÃO'!$B:$B,0))="Pre-Splitting","S"))),"")</f>
        <v>P</v>
      </c>
      <c r="R359" s="14">
        <f t="shared" si="35"/>
        <v>819</v>
      </c>
      <c r="S359" s="4" t="str">
        <f>IFERROR(INDEX('LEV R&amp;D'!$D:$D,MATCH(MEDIÇÃO!R359,'LEV R&amp;D'!$A:$A,0))-INDEX('PROJETO PERFURAÇÃO'!$AH:$AH,MATCH(MEDIÇÃO!R359,'PROJETO PERFURAÇÃO'!$B:$B,0)),"")</f>
        <v/>
      </c>
      <c r="T359" s="17">
        <f>IFERROR(INDEX('PROJETO PERFURAÇÃO'!$AN:$AN,MATCH(MEDIÇÃO!R359,'PROJETO PERFURAÇÃO'!$B:$B,0)),"")</f>
        <v>0</v>
      </c>
      <c r="U359" s="3"/>
      <c r="V359" s="3"/>
    </row>
    <row r="360" spans="2:22" ht="45" customHeight="1" x14ac:dyDescent="0.25">
      <c r="B360" s="3" t="str">
        <f>IFERROR(ROUND(INDEX('PROJETO PERFURAÇÃO'!$AB:$AB,MATCH(MEDIÇÃO!D360,'PROJETO PERFURAÇÃO'!$B:$B,0)),1)&amp;"''","")</f>
        <v>5''</v>
      </c>
      <c r="C360" s="3" t="str">
        <f>IFERROR(IF(INDEX('PROJETO PERFURAÇÃO'!$P:$P,MATCH(MEDIÇÃO!D360,'PROJETO PERFURAÇÃO'!$B:$B,0))="Production","P",IF(INDEX('PROJETO PERFURAÇÃO'!$P:$P,MATCH(MEDIÇÃO!D360,'PROJETO PERFURAÇÃO'!$B:$B,0))="Buffer","B",IF(INDEX('PROJETO PERFURAÇÃO'!$P:$P,MATCH(MEDIÇÃO!D360,'PROJETO PERFURAÇÃO'!$B:$B,0))="Pre-Splitting","S"))),"")</f>
        <v>P</v>
      </c>
      <c r="D360" s="14">
        <f t="shared" si="33"/>
        <v>774</v>
      </c>
      <c r="E360" s="4" t="str">
        <f>IFERROR(INDEX('LEV R&amp;D'!$D:$D,MATCH(MEDIÇÃO!D360,'LEV R&amp;D'!$A:$A,0))-INDEX('PROJETO PERFURAÇÃO'!$AH:$AH,MATCH(MEDIÇÃO!D360,'PROJETO PERFURAÇÃO'!$B:$B,0)),"")</f>
        <v/>
      </c>
      <c r="F360" s="17">
        <f>IFERROR(INDEX('PROJETO PERFURAÇÃO'!$AN:$AN,MATCH(MEDIÇÃO!D360,'PROJETO PERFURAÇÃO'!$B:$B,0)),"")</f>
        <v>0</v>
      </c>
      <c r="G360" s="3"/>
      <c r="H360" s="3"/>
      <c r="I360" s="3" t="str">
        <f>IFERROR(ROUND(INDEX('PROJETO PERFURAÇÃO'!$AB:$AB,MATCH(MEDIÇÃO!K360,'PROJETO PERFURAÇÃO'!$B:$B,0)),1)&amp;"''","")</f>
        <v>5''</v>
      </c>
      <c r="J360" s="3" t="str">
        <f>IFERROR(IF(INDEX('PROJETO PERFURAÇÃO'!$P:$P,MATCH(MEDIÇÃO!K360,'PROJETO PERFURAÇÃO'!$B:$B,0))="Production","P",IF(INDEX('PROJETO PERFURAÇÃO'!$P:$P,MATCH(MEDIÇÃO!K360,'PROJETO PERFURAÇÃO'!$B:$B,0))="Buffer","B",IF(INDEX('PROJETO PERFURAÇÃO'!$P:$P,MATCH(MEDIÇÃO!K360,'PROJETO PERFURAÇÃO'!$B:$B,0))="Pre-Splitting","S"))),"")</f>
        <v>P</v>
      </c>
      <c r="K360" s="14">
        <f t="shared" si="34"/>
        <v>797</v>
      </c>
      <c r="L360" s="4" t="str">
        <f>IFERROR(INDEX('LEV R&amp;D'!$D:$D,MATCH(MEDIÇÃO!K360,'LEV R&amp;D'!$A:$A,0))-INDEX('PROJETO PERFURAÇÃO'!$AH:$AH,MATCH(MEDIÇÃO!K360,'PROJETO PERFURAÇÃO'!$B:$B,0)),"")</f>
        <v/>
      </c>
      <c r="M360" s="17">
        <f>IFERROR(INDEX('PROJETO PERFURAÇÃO'!$AN:$AN,MATCH(MEDIÇÃO!K360,'PROJETO PERFURAÇÃO'!$B:$B,0)),"")</f>
        <v>0</v>
      </c>
      <c r="N360" s="3"/>
      <c r="O360" s="3"/>
      <c r="P360" s="3" t="str">
        <f>IFERROR(ROUND(INDEX('PROJETO PERFURAÇÃO'!$AB:$AB,MATCH(MEDIÇÃO!R360,'PROJETO PERFURAÇÃO'!$B:$B,0)),1)&amp;"''","")</f>
        <v>5''</v>
      </c>
      <c r="Q360" s="3" t="str">
        <f>IFERROR(IF(INDEX('PROJETO PERFURAÇÃO'!$P:$P,MATCH(MEDIÇÃO!R360,'PROJETO PERFURAÇÃO'!$B:$B,0))="Production","P",IF(INDEX('PROJETO PERFURAÇÃO'!$P:$P,MATCH(MEDIÇÃO!R360,'PROJETO PERFURAÇÃO'!$B:$B,0))="Buffer","B",IF(INDEX('PROJETO PERFURAÇÃO'!$P:$P,MATCH(MEDIÇÃO!R360,'PROJETO PERFURAÇÃO'!$B:$B,0))="Pre-Splitting","S"))),"")</f>
        <v>P</v>
      </c>
      <c r="R360" s="14">
        <f t="shared" si="35"/>
        <v>820</v>
      </c>
      <c r="S360" s="4" t="str">
        <f>IFERROR(INDEX('LEV R&amp;D'!$D:$D,MATCH(MEDIÇÃO!R360,'LEV R&amp;D'!$A:$A,0))-INDEX('PROJETO PERFURAÇÃO'!$AH:$AH,MATCH(MEDIÇÃO!R360,'PROJETO PERFURAÇÃO'!$B:$B,0)),"")</f>
        <v/>
      </c>
      <c r="T360" s="17">
        <f>IFERROR(INDEX('PROJETO PERFURAÇÃO'!$AN:$AN,MATCH(MEDIÇÃO!R360,'PROJETO PERFURAÇÃO'!$B:$B,0)),"")</f>
        <v>0</v>
      </c>
      <c r="U360" s="3"/>
      <c r="V360" s="3"/>
    </row>
    <row r="361" spans="2:22" ht="45" customHeight="1" x14ac:dyDescent="0.25">
      <c r="B361" s="3" t="str">
        <f>IFERROR(ROUND(INDEX('PROJETO PERFURAÇÃO'!$AB:$AB,MATCH(MEDIÇÃO!D361,'PROJETO PERFURAÇÃO'!$B:$B,0)),1)&amp;"''","")</f>
        <v>5''</v>
      </c>
      <c r="C361" s="3" t="str">
        <f>IFERROR(IF(INDEX('PROJETO PERFURAÇÃO'!$P:$P,MATCH(MEDIÇÃO!D361,'PROJETO PERFURAÇÃO'!$B:$B,0))="Production","P",IF(INDEX('PROJETO PERFURAÇÃO'!$P:$P,MATCH(MEDIÇÃO!D361,'PROJETO PERFURAÇÃO'!$B:$B,0))="Buffer","B",IF(INDEX('PROJETO PERFURAÇÃO'!$P:$P,MATCH(MEDIÇÃO!D361,'PROJETO PERFURAÇÃO'!$B:$B,0))="Pre-Splitting","S"))),"")</f>
        <v>P</v>
      </c>
      <c r="D361" s="14">
        <f t="shared" si="33"/>
        <v>775</v>
      </c>
      <c r="E361" s="4" t="str">
        <f>IFERROR(INDEX('LEV R&amp;D'!$D:$D,MATCH(MEDIÇÃO!D361,'LEV R&amp;D'!$A:$A,0))-INDEX('PROJETO PERFURAÇÃO'!$AH:$AH,MATCH(MEDIÇÃO!D361,'PROJETO PERFURAÇÃO'!$B:$B,0)),"")</f>
        <v/>
      </c>
      <c r="F361" s="17">
        <f>IFERROR(INDEX('PROJETO PERFURAÇÃO'!$AN:$AN,MATCH(MEDIÇÃO!D361,'PROJETO PERFURAÇÃO'!$B:$B,0)),"")</f>
        <v>0</v>
      </c>
      <c r="G361" s="3"/>
      <c r="H361" s="3"/>
      <c r="I361" s="3" t="str">
        <f>IFERROR(ROUND(INDEX('PROJETO PERFURAÇÃO'!$AB:$AB,MATCH(MEDIÇÃO!K361,'PROJETO PERFURAÇÃO'!$B:$B,0)),1)&amp;"''","")</f>
        <v>5''</v>
      </c>
      <c r="J361" s="3" t="str">
        <f>IFERROR(IF(INDEX('PROJETO PERFURAÇÃO'!$P:$P,MATCH(MEDIÇÃO!K361,'PROJETO PERFURAÇÃO'!$B:$B,0))="Production","P",IF(INDEX('PROJETO PERFURAÇÃO'!$P:$P,MATCH(MEDIÇÃO!K361,'PROJETO PERFURAÇÃO'!$B:$B,0))="Buffer","B",IF(INDEX('PROJETO PERFURAÇÃO'!$P:$P,MATCH(MEDIÇÃO!K361,'PROJETO PERFURAÇÃO'!$B:$B,0))="Pre-Splitting","S"))),"")</f>
        <v>P</v>
      </c>
      <c r="K361" s="14">
        <f t="shared" si="34"/>
        <v>798</v>
      </c>
      <c r="L361" s="4" t="str">
        <f>IFERROR(INDEX('LEV R&amp;D'!$D:$D,MATCH(MEDIÇÃO!K361,'LEV R&amp;D'!$A:$A,0))-INDEX('PROJETO PERFURAÇÃO'!$AH:$AH,MATCH(MEDIÇÃO!K361,'PROJETO PERFURAÇÃO'!$B:$B,0)),"")</f>
        <v/>
      </c>
      <c r="M361" s="17">
        <f>IFERROR(INDEX('PROJETO PERFURAÇÃO'!$AN:$AN,MATCH(MEDIÇÃO!K361,'PROJETO PERFURAÇÃO'!$B:$B,0)),"")</f>
        <v>0</v>
      </c>
      <c r="N361" s="3"/>
      <c r="O361" s="3"/>
      <c r="P361" s="3" t="str">
        <f>IFERROR(ROUND(INDEX('PROJETO PERFURAÇÃO'!$AB:$AB,MATCH(MEDIÇÃO!R361,'PROJETO PERFURAÇÃO'!$B:$B,0)),1)&amp;"''","")</f>
        <v>5''</v>
      </c>
      <c r="Q361" s="3" t="str">
        <f>IFERROR(IF(INDEX('PROJETO PERFURAÇÃO'!$P:$P,MATCH(MEDIÇÃO!R361,'PROJETO PERFURAÇÃO'!$B:$B,0))="Production","P",IF(INDEX('PROJETO PERFURAÇÃO'!$P:$P,MATCH(MEDIÇÃO!R361,'PROJETO PERFURAÇÃO'!$B:$B,0))="Buffer","B",IF(INDEX('PROJETO PERFURAÇÃO'!$P:$P,MATCH(MEDIÇÃO!R361,'PROJETO PERFURAÇÃO'!$B:$B,0))="Pre-Splitting","S"))),"")</f>
        <v>P</v>
      </c>
      <c r="R361" s="14">
        <f t="shared" si="35"/>
        <v>821</v>
      </c>
      <c r="S361" s="4" t="str">
        <f>IFERROR(INDEX('LEV R&amp;D'!$D:$D,MATCH(MEDIÇÃO!R361,'LEV R&amp;D'!$A:$A,0))-INDEX('PROJETO PERFURAÇÃO'!$AH:$AH,MATCH(MEDIÇÃO!R361,'PROJETO PERFURAÇÃO'!$B:$B,0)),"")</f>
        <v/>
      </c>
      <c r="T361" s="17">
        <f>IFERROR(INDEX('PROJETO PERFURAÇÃO'!$AN:$AN,MATCH(MEDIÇÃO!R361,'PROJETO PERFURAÇÃO'!$B:$B,0)),"")</f>
        <v>0</v>
      </c>
      <c r="U361" s="3"/>
      <c r="V361" s="3"/>
    </row>
    <row r="362" spans="2:22" ht="45" customHeight="1" x14ac:dyDescent="0.25">
      <c r="B362" s="3" t="str">
        <f>IFERROR(ROUND(INDEX('PROJETO PERFURAÇÃO'!$AB:$AB,MATCH(MEDIÇÃO!D362,'PROJETO PERFURAÇÃO'!$B:$B,0)),1)&amp;"''","")</f>
        <v>5''</v>
      </c>
      <c r="C362" s="3" t="str">
        <f>IFERROR(IF(INDEX('PROJETO PERFURAÇÃO'!$P:$P,MATCH(MEDIÇÃO!D362,'PROJETO PERFURAÇÃO'!$B:$B,0))="Production","P",IF(INDEX('PROJETO PERFURAÇÃO'!$P:$P,MATCH(MEDIÇÃO!D362,'PROJETO PERFURAÇÃO'!$B:$B,0))="Buffer","B",IF(INDEX('PROJETO PERFURAÇÃO'!$P:$P,MATCH(MEDIÇÃO!D362,'PROJETO PERFURAÇÃO'!$B:$B,0))="Pre-Splitting","S"))),"")</f>
        <v>P</v>
      </c>
      <c r="D362" s="14">
        <f t="shared" si="33"/>
        <v>776</v>
      </c>
      <c r="E362" s="4" t="str">
        <f>IFERROR(INDEX('LEV R&amp;D'!$D:$D,MATCH(MEDIÇÃO!D362,'LEV R&amp;D'!$A:$A,0))-INDEX('PROJETO PERFURAÇÃO'!$AH:$AH,MATCH(MEDIÇÃO!D362,'PROJETO PERFURAÇÃO'!$B:$B,0)),"")</f>
        <v/>
      </c>
      <c r="F362" s="17">
        <f>IFERROR(INDEX('PROJETO PERFURAÇÃO'!$AN:$AN,MATCH(MEDIÇÃO!D362,'PROJETO PERFURAÇÃO'!$B:$B,0)),"")</f>
        <v>0</v>
      </c>
      <c r="G362" s="3"/>
      <c r="H362" s="3"/>
      <c r="I362" s="3" t="str">
        <f>IFERROR(ROUND(INDEX('PROJETO PERFURAÇÃO'!$AB:$AB,MATCH(MEDIÇÃO!K362,'PROJETO PERFURAÇÃO'!$B:$B,0)),1)&amp;"''","")</f>
        <v>5''</v>
      </c>
      <c r="J362" s="3" t="str">
        <f>IFERROR(IF(INDEX('PROJETO PERFURAÇÃO'!$P:$P,MATCH(MEDIÇÃO!K362,'PROJETO PERFURAÇÃO'!$B:$B,0))="Production","P",IF(INDEX('PROJETO PERFURAÇÃO'!$P:$P,MATCH(MEDIÇÃO!K362,'PROJETO PERFURAÇÃO'!$B:$B,0))="Buffer","B",IF(INDEX('PROJETO PERFURAÇÃO'!$P:$P,MATCH(MEDIÇÃO!K362,'PROJETO PERFURAÇÃO'!$B:$B,0))="Pre-Splitting","S"))),"")</f>
        <v>P</v>
      </c>
      <c r="K362" s="14">
        <f t="shared" si="34"/>
        <v>799</v>
      </c>
      <c r="L362" s="4" t="str">
        <f>IFERROR(INDEX('LEV R&amp;D'!$D:$D,MATCH(MEDIÇÃO!K362,'LEV R&amp;D'!$A:$A,0))-INDEX('PROJETO PERFURAÇÃO'!$AH:$AH,MATCH(MEDIÇÃO!K362,'PROJETO PERFURAÇÃO'!$B:$B,0)),"")</f>
        <v/>
      </c>
      <c r="M362" s="17">
        <f>IFERROR(INDEX('PROJETO PERFURAÇÃO'!$AN:$AN,MATCH(MEDIÇÃO!K362,'PROJETO PERFURAÇÃO'!$B:$B,0)),"")</f>
        <v>0</v>
      </c>
      <c r="N362" s="3"/>
      <c r="O362" s="3"/>
      <c r="P362" s="3" t="str">
        <f>IFERROR(ROUND(INDEX('PROJETO PERFURAÇÃO'!$AB:$AB,MATCH(MEDIÇÃO!R362,'PROJETO PERFURAÇÃO'!$B:$B,0)),1)&amp;"''","")</f>
        <v>5''</v>
      </c>
      <c r="Q362" s="3" t="str">
        <f>IFERROR(IF(INDEX('PROJETO PERFURAÇÃO'!$P:$P,MATCH(MEDIÇÃO!R362,'PROJETO PERFURAÇÃO'!$B:$B,0))="Production","P",IF(INDEX('PROJETO PERFURAÇÃO'!$P:$P,MATCH(MEDIÇÃO!R362,'PROJETO PERFURAÇÃO'!$B:$B,0))="Buffer","B",IF(INDEX('PROJETO PERFURAÇÃO'!$P:$P,MATCH(MEDIÇÃO!R362,'PROJETO PERFURAÇÃO'!$B:$B,0))="Pre-Splitting","S"))),"")</f>
        <v>P</v>
      </c>
      <c r="R362" s="14">
        <f t="shared" si="35"/>
        <v>822</v>
      </c>
      <c r="S362" s="4" t="str">
        <f>IFERROR(INDEX('LEV R&amp;D'!$D:$D,MATCH(MEDIÇÃO!R362,'LEV R&amp;D'!$A:$A,0))-INDEX('PROJETO PERFURAÇÃO'!$AH:$AH,MATCH(MEDIÇÃO!R362,'PROJETO PERFURAÇÃO'!$B:$B,0)),"")</f>
        <v/>
      </c>
      <c r="T362" s="17">
        <f>IFERROR(INDEX('PROJETO PERFURAÇÃO'!$AN:$AN,MATCH(MEDIÇÃO!R362,'PROJETO PERFURAÇÃO'!$B:$B,0)),"")</f>
        <v>0</v>
      </c>
      <c r="U362" s="3"/>
      <c r="V362" s="3"/>
    </row>
    <row r="363" spans="2:22" ht="45" customHeight="1" x14ac:dyDescent="0.25">
      <c r="B363" s="3" t="str">
        <f>IFERROR(ROUND(INDEX('PROJETO PERFURAÇÃO'!$AB:$AB,MATCH(MEDIÇÃO!D363,'PROJETO PERFURAÇÃO'!$B:$B,0)),1)&amp;"''","")</f>
        <v>5''</v>
      </c>
      <c r="C363" s="3" t="str">
        <f>IFERROR(IF(INDEX('PROJETO PERFURAÇÃO'!$P:$P,MATCH(MEDIÇÃO!D363,'PROJETO PERFURAÇÃO'!$B:$B,0))="Production","P",IF(INDEX('PROJETO PERFURAÇÃO'!$P:$P,MATCH(MEDIÇÃO!D363,'PROJETO PERFURAÇÃO'!$B:$B,0))="Buffer","B",IF(INDEX('PROJETO PERFURAÇÃO'!$P:$P,MATCH(MEDIÇÃO!D363,'PROJETO PERFURAÇÃO'!$B:$B,0))="Pre-Splitting","S"))),"")</f>
        <v>P</v>
      </c>
      <c r="D363" s="14">
        <f t="shared" si="33"/>
        <v>777</v>
      </c>
      <c r="E363" s="4" t="str">
        <f>IFERROR(INDEX('LEV R&amp;D'!$D:$D,MATCH(MEDIÇÃO!D363,'LEV R&amp;D'!$A:$A,0))-INDEX('PROJETO PERFURAÇÃO'!$AH:$AH,MATCH(MEDIÇÃO!D363,'PROJETO PERFURAÇÃO'!$B:$B,0)),"")</f>
        <v/>
      </c>
      <c r="F363" s="17">
        <f>IFERROR(INDEX('PROJETO PERFURAÇÃO'!$AN:$AN,MATCH(MEDIÇÃO!D363,'PROJETO PERFURAÇÃO'!$B:$B,0)),"")</f>
        <v>0</v>
      </c>
      <c r="G363" s="3"/>
      <c r="H363" s="3"/>
      <c r="I363" s="3" t="str">
        <f>IFERROR(ROUND(INDEX('PROJETO PERFURAÇÃO'!$AB:$AB,MATCH(MEDIÇÃO!K363,'PROJETO PERFURAÇÃO'!$B:$B,0)),1)&amp;"''","")</f>
        <v>5''</v>
      </c>
      <c r="J363" s="3" t="str">
        <f>IFERROR(IF(INDEX('PROJETO PERFURAÇÃO'!$P:$P,MATCH(MEDIÇÃO!K363,'PROJETO PERFURAÇÃO'!$B:$B,0))="Production","P",IF(INDEX('PROJETO PERFURAÇÃO'!$P:$P,MATCH(MEDIÇÃO!K363,'PROJETO PERFURAÇÃO'!$B:$B,0))="Buffer","B",IF(INDEX('PROJETO PERFURAÇÃO'!$P:$P,MATCH(MEDIÇÃO!K363,'PROJETO PERFURAÇÃO'!$B:$B,0))="Pre-Splitting","S"))),"")</f>
        <v>P</v>
      </c>
      <c r="K363" s="14">
        <f t="shared" si="34"/>
        <v>800</v>
      </c>
      <c r="L363" s="4" t="str">
        <f>IFERROR(INDEX('LEV R&amp;D'!$D:$D,MATCH(MEDIÇÃO!K363,'LEV R&amp;D'!$A:$A,0))-INDEX('PROJETO PERFURAÇÃO'!$AH:$AH,MATCH(MEDIÇÃO!K363,'PROJETO PERFURAÇÃO'!$B:$B,0)),"")</f>
        <v/>
      </c>
      <c r="M363" s="17">
        <f>IFERROR(INDEX('PROJETO PERFURAÇÃO'!$AN:$AN,MATCH(MEDIÇÃO!K363,'PROJETO PERFURAÇÃO'!$B:$B,0)),"")</f>
        <v>0</v>
      </c>
      <c r="N363" s="3"/>
      <c r="O363" s="3"/>
      <c r="P363" s="3" t="str">
        <f>IFERROR(ROUND(INDEX('PROJETO PERFURAÇÃO'!$AB:$AB,MATCH(MEDIÇÃO!R363,'PROJETO PERFURAÇÃO'!$B:$B,0)),1)&amp;"''","")</f>
        <v>5''</v>
      </c>
      <c r="Q363" s="3" t="str">
        <f>IFERROR(IF(INDEX('PROJETO PERFURAÇÃO'!$P:$P,MATCH(MEDIÇÃO!R363,'PROJETO PERFURAÇÃO'!$B:$B,0))="Production","P",IF(INDEX('PROJETO PERFURAÇÃO'!$P:$P,MATCH(MEDIÇÃO!R363,'PROJETO PERFURAÇÃO'!$B:$B,0))="Buffer","B",IF(INDEX('PROJETO PERFURAÇÃO'!$P:$P,MATCH(MEDIÇÃO!R363,'PROJETO PERFURAÇÃO'!$B:$B,0))="Pre-Splitting","S"))),"")</f>
        <v>P</v>
      </c>
      <c r="R363" s="14">
        <f t="shared" si="35"/>
        <v>823</v>
      </c>
      <c r="S363" s="4" t="str">
        <f>IFERROR(INDEX('LEV R&amp;D'!$D:$D,MATCH(MEDIÇÃO!R363,'LEV R&amp;D'!$A:$A,0))-INDEX('PROJETO PERFURAÇÃO'!$AH:$AH,MATCH(MEDIÇÃO!R363,'PROJETO PERFURAÇÃO'!$B:$B,0)),"")</f>
        <v/>
      </c>
      <c r="T363" s="17">
        <f>IFERROR(INDEX('PROJETO PERFURAÇÃO'!$AN:$AN,MATCH(MEDIÇÃO!R363,'PROJETO PERFURAÇÃO'!$B:$B,0)),"")</f>
        <v>0</v>
      </c>
      <c r="U363" s="3"/>
      <c r="V363" s="3"/>
    </row>
    <row r="364" spans="2:22" ht="45" customHeight="1" x14ac:dyDescent="0.25">
      <c r="B364" s="3" t="str">
        <f>IFERROR(ROUND(INDEX('PROJETO PERFURAÇÃO'!$AB:$AB,MATCH(MEDIÇÃO!D364,'PROJETO PERFURAÇÃO'!$B:$B,0)),1)&amp;"''","")</f>
        <v>5''</v>
      </c>
      <c r="C364" s="3" t="str">
        <f>IFERROR(IF(INDEX('PROJETO PERFURAÇÃO'!$P:$P,MATCH(MEDIÇÃO!D364,'PROJETO PERFURAÇÃO'!$B:$B,0))="Production","P",IF(INDEX('PROJETO PERFURAÇÃO'!$P:$P,MATCH(MEDIÇÃO!D364,'PROJETO PERFURAÇÃO'!$B:$B,0))="Buffer","B",IF(INDEX('PROJETO PERFURAÇÃO'!$P:$P,MATCH(MEDIÇÃO!D364,'PROJETO PERFURAÇÃO'!$B:$B,0))="Pre-Splitting","S"))),"")</f>
        <v>P</v>
      </c>
      <c r="D364" s="14">
        <f t="shared" si="33"/>
        <v>778</v>
      </c>
      <c r="E364" s="4" t="str">
        <f>IFERROR(INDEX('LEV R&amp;D'!$D:$D,MATCH(MEDIÇÃO!D364,'LEV R&amp;D'!$A:$A,0))-INDEX('PROJETO PERFURAÇÃO'!$AH:$AH,MATCH(MEDIÇÃO!D364,'PROJETO PERFURAÇÃO'!$B:$B,0)),"")</f>
        <v/>
      </c>
      <c r="F364" s="17">
        <f>IFERROR(INDEX('PROJETO PERFURAÇÃO'!$AN:$AN,MATCH(MEDIÇÃO!D364,'PROJETO PERFURAÇÃO'!$B:$B,0)),"")</f>
        <v>0</v>
      </c>
      <c r="G364" s="3"/>
      <c r="H364" s="3"/>
      <c r="I364" s="3" t="str">
        <f>IFERROR(ROUND(INDEX('PROJETO PERFURAÇÃO'!$AB:$AB,MATCH(MEDIÇÃO!K364,'PROJETO PERFURAÇÃO'!$B:$B,0)),1)&amp;"''","")</f>
        <v>5''</v>
      </c>
      <c r="J364" s="3" t="str">
        <f>IFERROR(IF(INDEX('PROJETO PERFURAÇÃO'!$P:$P,MATCH(MEDIÇÃO!K364,'PROJETO PERFURAÇÃO'!$B:$B,0))="Production","P",IF(INDEX('PROJETO PERFURAÇÃO'!$P:$P,MATCH(MEDIÇÃO!K364,'PROJETO PERFURAÇÃO'!$B:$B,0))="Buffer","B",IF(INDEX('PROJETO PERFURAÇÃO'!$P:$P,MATCH(MEDIÇÃO!K364,'PROJETO PERFURAÇÃO'!$B:$B,0))="Pre-Splitting","S"))),"")</f>
        <v>P</v>
      </c>
      <c r="K364" s="14">
        <f t="shared" si="34"/>
        <v>801</v>
      </c>
      <c r="L364" s="4" t="str">
        <f>IFERROR(INDEX('LEV R&amp;D'!$D:$D,MATCH(MEDIÇÃO!K364,'LEV R&amp;D'!$A:$A,0))-INDEX('PROJETO PERFURAÇÃO'!$AH:$AH,MATCH(MEDIÇÃO!K364,'PROJETO PERFURAÇÃO'!$B:$B,0)),"")</f>
        <v/>
      </c>
      <c r="M364" s="17">
        <f>IFERROR(INDEX('PROJETO PERFURAÇÃO'!$AN:$AN,MATCH(MEDIÇÃO!K364,'PROJETO PERFURAÇÃO'!$B:$B,0)),"")</f>
        <v>0</v>
      </c>
      <c r="N364" s="3"/>
      <c r="O364" s="3"/>
      <c r="P364" s="3" t="str">
        <f>IFERROR(ROUND(INDEX('PROJETO PERFURAÇÃO'!$AB:$AB,MATCH(MEDIÇÃO!R364,'PROJETO PERFURAÇÃO'!$B:$B,0)),1)&amp;"''","")</f>
        <v>5''</v>
      </c>
      <c r="Q364" s="3" t="str">
        <f>IFERROR(IF(INDEX('PROJETO PERFURAÇÃO'!$P:$P,MATCH(MEDIÇÃO!R364,'PROJETO PERFURAÇÃO'!$B:$B,0))="Production","P",IF(INDEX('PROJETO PERFURAÇÃO'!$P:$P,MATCH(MEDIÇÃO!R364,'PROJETO PERFURAÇÃO'!$B:$B,0))="Buffer","B",IF(INDEX('PROJETO PERFURAÇÃO'!$P:$P,MATCH(MEDIÇÃO!R364,'PROJETO PERFURAÇÃO'!$B:$B,0))="Pre-Splitting","S"))),"")</f>
        <v>P</v>
      </c>
      <c r="R364" s="14">
        <f t="shared" si="35"/>
        <v>824</v>
      </c>
      <c r="S364" s="4" t="str">
        <f>IFERROR(INDEX('LEV R&amp;D'!$D:$D,MATCH(MEDIÇÃO!R364,'LEV R&amp;D'!$A:$A,0))-INDEX('PROJETO PERFURAÇÃO'!$AH:$AH,MATCH(MEDIÇÃO!R364,'PROJETO PERFURAÇÃO'!$B:$B,0)),"")</f>
        <v/>
      </c>
      <c r="T364" s="17">
        <f>IFERROR(INDEX('PROJETO PERFURAÇÃO'!$AN:$AN,MATCH(MEDIÇÃO!R364,'PROJETO PERFURAÇÃO'!$B:$B,0)),"")</f>
        <v>0</v>
      </c>
      <c r="U364" s="3"/>
      <c r="V364" s="3"/>
    </row>
    <row r="365" spans="2:22" ht="45" customHeight="1" x14ac:dyDescent="0.25">
      <c r="B365" s="3" t="str">
        <f>IFERROR(ROUND(INDEX('PROJETO PERFURAÇÃO'!$AB:$AB,MATCH(MEDIÇÃO!D365,'PROJETO PERFURAÇÃO'!$B:$B,0)),1)&amp;"''","")</f>
        <v>5''</v>
      </c>
      <c r="C365" s="3" t="str">
        <f>IFERROR(IF(INDEX('PROJETO PERFURAÇÃO'!$P:$P,MATCH(MEDIÇÃO!D365,'PROJETO PERFURAÇÃO'!$B:$B,0))="Production","P",IF(INDEX('PROJETO PERFURAÇÃO'!$P:$P,MATCH(MEDIÇÃO!D365,'PROJETO PERFURAÇÃO'!$B:$B,0))="Buffer","B",IF(INDEX('PROJETO PERFURAÇÃO'!$P:$P,MATCH(MEDIÇÃO!D365,'PROJETO PERFURAÇÃO'!$B:$B,0))="Pre-Splitting","S"))),"")</f>
        <v>P</v>
      </c>
      <c r="D365" s="14">
        <f t="shared" si="33"/>
        <v>779</v>
      </c>
      <c r="E365" s="4" t="str">
        <f>IFERROR(INDEX('LEV R&amp;D'!$D:$D,MATCH(MEDIÇÃO!D365,'LEV R&amp;D'!$A:$A,0))-INDEX('PROJETO PERFURAÇÃO'!$AH:$AH,MATCH(MEDIÇÃO!D365,'PROJETO PERFURAÇÃO'!$B:$B,0)),"")</f>
        <v/>
      </c>
      <c r="F365" s="17">
        <f>IFERROR(INDEX('PROJETO PERFURAÇÃO'!$AN:$AN,MATCH(MEDIÇÃO!D365,'PROJETO PERFURAÇÃO'!$B:$B,0)),"")</f>
        <v>0</v>
      </c>
      <c r="G365" s="3"/>
      <c r="H365" s="3"/>
      <c r="I365" s="3" t="str">
        <f>IFERROR(ROUND(INDEX('PROJETO PERFURAÇÃO'!$AB:$AB,MATCH(MEDIÇÃO!K365,'PROJETO PERFURAÇÃO'!$B:$B,0)),1)&amp;"''","")</f>
        <v>5''</v>
      </c>
      <c r="J365" s="3" t="str">
        <f>IFERROR(IF(INDEX('PROJETO PERFURAÇÃO'!$P:$P,MATCH(MEDIÇÃO!K365,'PROJETO PERFURAÇÃO'!$B:$B,0))="Production","P",IF(INDEX('PROJETO PERFURAÇÃO'!$P:$P,MATCH(MEDIÇÃO!K365,'PROJETO PERFURAÇÃO'!$B:$B,0))="Buffer","B",IF(INDEX('PROJETO PERFURAÇÃO'!$P:$P,MATCH(MEDIÇÃO!K365,'PROJETO PERFURAÇÃO'!$B:$B,0))="Pre-Splitting","S"))),"")</f>
        <v>P</v>
      </c>
      <c r="K365" s="14">
        <f t="shared" si="34"/>
        <v>802</v>
      </c>
      <c r="L365" s="4" t="str">
        <f>IFERROR(INDEX('LEV R&amp;D'!$D:$D,MATCH(MEDIÇÃO!K365,'LEV R&amp;D'!$A:$A,0))-INDEX('PROJETO PERFURAÇÃO'!$AH:$AH,MATCH(MEDIÇÃO!K365,'PROJETO PERFURAÇÃO'!$B:$B,0)),"")</f>
        <v/>
      </c>
      <c r="M365" s="17">
        <f>IFERROR(INDEX('PROJETO PERFURAÇÃO'!$AN:$AN,MATCH(MEDIÇÃO!K365,'PROJETO PERFURAÇÃO'!$B:$B,0)),"")</f>
        <v>0</v>
      </c>
      <c r="N365" s="3"/>
      <c r="O365" s="3"/>
      <c r="P365" s="3" t="str">
        <f>IFERROR(ROUND(INDEX('PROJETO PERFURAÇÃO'!$AB:$AB,MATCH(MEDIÇÃO!R365,'PROJETO PERFURAÇÃO'!$B:$B,0)),1)&amp;"''","")</f>
        <v>5''</v>
      </c>
      <c r="Q365" s="3" t="str">
        <f>IFERROR(IF(INDEX('PROJETO PERFURAÇÃO'!$P:$P,MATCH(MEDIÇÃO!R365,'PROJETO PERFURAÇÃO'!$B:$B,0))="Production","P",IF(INDEX('PROJETO PERFURAÇÃO'!$P:$P,MATCH(MEDIÇÃO!R365,'PROJETO PERFURAÇÃO'!$B:$B,0))="Buffer","B",IF(INDEX('PROJETO PERFURAÇÃO'!$P:$P,MATCH(MEDIÇÃO!R365,'PROJETO PERFURAÇÃO'!$B:$B,0))="Pre-Splitting","S"))),"")</f>
        <v>P</v>
      </c>
      <c r="R365" s="14">
        <f t="shared" si="35"/>
        <v>825</v>
      </c>
      <c r="S365" s="4" t="str">
        <f>IFERROR(INDEX('LEV R&amp;D'!$D:$D,MATCH(MEDIÇÃO!R365,'LEV R&amp;D'!$A:$A,0))-INDEX('PROJETO PERFURAÇÃO'!$AH:$AH,MATCH(MEDIÇÃO!R365,'PROJETO PERFURAÇÃO'!$B:$B,0)),"")</f>
        <v/>
      </c>
      <c r="T365" s="17">
        <f>IFERROR(INDEX('PROJETO PERFURAÇÃO'!$AN:$AN,MATCH(MEDIÇÃO!R365,'PROJETO PERFURAÇÃO'!$B:$B,0)),"")</f>
        <v>0</v>
      </c>
      <c r="U365" s="3"/>
      <c r="V365" s="3"/>
    </row>
    <row r="366" spans="2:22" ht="45" customHeight="1" x14ac:dyDescent="0.25">
      <c r="B366" s="3" t="str">
        <f>IFERROR(ROUND(INDEX('PROJETO PERFURAÇÃO'!$AB:$AB,MATCH(MEDIÇÃO!D366,'PROJETO PERFURAÇÃO'!$B:$B,0)),1)&amp;"''","")</f>
        <v>5''</v>
      </c>
      <c r="C366" s="3" t="str">
        <f>IFERROR(IF(INDEX('PROJETO PERFURAÇÃO'!$P:$P,MATCH(MEDIÇÃO!D366,'PROJETO PERFURAÇÃO'!$B:$B,0))="Production","P",IF(INDEX('PROJETO PERFURAÇÃO'!$P:$P,MATCH(MEDIÇÃO!D366,'PROJETO PERFURAÇÃO'!$B:$B,0))="Buffer","B",IF(INDEX('PROJETO PERFURAÇÃO'!$P:$P,MATCH(MEDIÇÃO!D366,'PROJETO PERFURAÇÃO'!$B:$B,0))="Pre-Splitting","S"))),"")</f>
        <v>P</v>
      </c>
      <c r="D366" s="14">
        <f t="shared" si="33"/>
        <v>780</v>
      </c>
      <c r="E366" s="4" t="str">
        <f>IFERROR(INDEX('LEV R&amp;D'!$D:$D,MATCH(MEDIÇÃO!D366,'LEV R&amp;D'!$A:$A,0))-INDEX('PROJETO PERFURAÇÃO'!$AH:$AH,MATCH(MEDIÇÃO!D366,'PROJETO PERFURAÇÃO'!$B:$B,0)),"")</f>
        <v/>
      </c>
      <c r="F366" s="17">
        <f>IFERROR(INDEX('PROJETO PERFURAÇÃO'!$AN:$AN,MATCH(MEDIÇÃO!D366,'PROJETO PERFURAÇÃO'!$B:$B,0)),"")</f>
        <v>0</v>
      </c>
      <c r="G366" s="3"/>
      <c r="H366" s="3"/>
      <c r="I366" s="3" t="str">
        <f>IFERROR(ROUND(INDEX('PROJETO PERFURAÇÃO'!$AB:$AB,MATCH(MEDIÇÃO!K366,'PROJETO PERFURAÇÃO'!$B:$B,0)),1)&amp;"''","")</f>
        <v>5''</v>
      </c>
      <c r="J366" s="3" t="str">
        <f>IFERROR(IF(INDEX('PROJETO PERFURAÇÃO'!$P:$P,MATCH(MEDIÇÃO!K366,'PROJETO PERFURAÇÃO'!$B:$B,0))="Production","P",IF(INDEX('PROJETO PERFURAÇÃO'!$P:$P,MATCH(MEDIÇÃO!K366,'PROJETO PERFURAÇÃO'!$B:$B,0))="Buffer","B",IF(INDEX('PROJETO PERFURAÇÃO'!$P:$P,MATCH(MEDIÇÃO!K366,'PROJETO PERFURAÇÃO'!$B:$B,0))="Pre-Splitting","S"))),"")</f>
        <v>P</v>
      </c>
      <c r="K366" s="14">
        <f t="shared" si="34"/>
        <v>803</v>
      </c>
      <c r="L366" s="4" t="str">
        <f>IFERROR(INDEX('LEV R&amp;D'!$D:$D,MATCH(MEDIÇÃO!K366,'LEV R&amp;D'!$A:$A,0))-INDEX('PROJETO PERFURAÇÃO'!$AH:$AH,MATCH(MEDIÇÃO!K366,'PROJETO PERFURAÇÃO'!$B:$B,0)),"")</f>
        <v/>
      </c>
      <c r="M366" s="17">
        <f>IFERROR(INDEX('PROJETO PERFURAÇÃO'!$AN:$AN,MATCH(MEDIÇÃO!K366,'PROJETO PERFURAÇÃO'!$B:$B,0)),"")</f>
        <v>0</v>
      </c>
      <c r="N366" s="3"/>
      <c r="O366" s="3"/>
      <c r="P366" s="3" t="str">
        <f>IFERROR(ROUND(INDEX('PROJETO PERFURAÇÃO'!$AB:$AB,MATCH(MEDIÇÃO!R366,'PROJETO PERFURAÇÃO'!$B:$B,0)),1)&amp;"''","")</f>
        <v>5''</v>
      </c>
      <c r="Q366" s="3" t="str">
        <f>IFERROR(IF(INDEX('PROJETO PERFURAÇÃO'!$P:$P,MATCH(MEDIÇÃO!R366,'PROJETO PERFURAÇÃO'!$B:$B,0))="Production","P",IF(INDEX('PROJETO PERFURAÇÃO'!$P:$P,MATCH(MEDIÇÃO!R366,'PROJETO PERFURAÇÃO'!$B:$B,0))="Buffer","B",IF(INDEX('PROJETO PERFURAÇÃO'!$P:$P,MATCH(MEDIÇÃO!R366,'PROJETO PERFURAÇÃO'!$B:$B,0))="Pre-Splitting","S"))),"")</f>
        <v>P</v>
      </c>
      <c r="R366" s="14">
        <f t="shared" si="35"/>
        <v>826</v>
      </c>
      <c r="S366" s="4" t="str">
        <f>IFERROR(INDEX('LEV R&amp;D'!$D:$D,MATCH(MEDIÇÃO!R366,'LEV R&amp;D'!$A:$A,0))-INDEX('PROJETO PERFURAÇÃO'!$AH:$AH,MATCH(MEDIÇÃO!R366,'PROJETO PERFURAÇÃO'!$B:$B,0)),"")</f>
        <v/>
      </c>
      <c r="T366" s="17">
        <f>IFERROR(INDEX('PROJETO PERFURAÇÃO'!$AN:$AN,MATCH(MEDIÇÃO!R366,'PROJETO PERFURAÇÃO'!$B:$B,0)),"")</f>
        <v>0</v>
      </c>
      <c r="U366" s="3"/>
      <c r="V366" s="3"/>
    </row>
    <row r="367" spans="2:22" ht="45" customHeight="1" x14ac:dyDescent="0.25">
      <c r="B367" s="3" t="str">
        <f>IFERROR(ROUND(INDEX('PROJETO PERFURAÇÃO'!$AB:$AB,MATCH(MEDIÇÃO!D367,'PROJETO PERFURAÇÃO'!$B:$B,0)),1)&amp;"''","")</f>
        <v>5''</v>
      </c>
      <c r="C367" s="3" t="str">
        <f>IFERROR(IF(INDEX('PROJETO PERFURAÇÃO'!$P:$P,MATCH(MEDIÇÃO!D367,'PROJETO PERFURAÇÃO'!$B:$B,0))="Production","P",IF(INDEX('PROJETO PERFURAÇÃO'!$P:$P,MATCH(MEDIÇÃO!D367,'PROJETO PERFURAÇÃO'!$B:$B,0))="Buffer","B",IF(INDEX('PROJETO PERFURAÇÃO'!$P:$P,MATCH(MEDIÇÃO!D367,'PROJETO PERFURAÇÃO'!$B:$B,0))="Pre-Splitting","S"))),"")</f>
        <v>P</v>
      </c>
      <c r="D367" s="14">
        <f t="shared" si="33"/>
        <v>781</v>
      </c>
      <c r="E367" s="4" t="str">
        <f>IFERROR(INDEX('LEV R&amp;D'!$D:$D,MATCH(MEDIÇÃO!D367,'LEV R&amp;D'!$A:$A,0))-INDEX('PROJETO PERFURAÇÃO'!$AH:$AH,MATCH(MEDIÇÃO!D367,'PROJETO PERFURAÇÃO'!$B:$B,0)),"")</f>
        <v/>
      </c>
      <c r="F367" s="17">
        <f>IFERROR(INDEX('PROJETO PERFURAÇÃO'!$AN:$AN,MATCH(MEDIÇÃO!D367,'PROJETO PERFURAÇÃO'!$B:$B,0)),"")</f>
        <v>0</v>
      </c>
      <c r="G367" s="3"/>
      <c r="H367" s="3"/>
      <c r="I367" s="3" t="str">
        <f>IFERROR(ROUND(INDEX('PROJETO PERFURAÇÃO'!$AB:$AB,MATCH(MEDIÇÃO!K367,'PROJETO PERFURAÇÃO'!$B:$B,0)),1)&amp;"''","")</f>
        <v>5''</v>
      </c>
      <c r="J367" s="3" t="str">
        <f>IFERROR(IF(INDEX('PROJETO PERFURAÇÃO'!$P:$P,MATCH(MEDIÇÃO!K367,'PROJETO PERFURAÇÃO'!$B:$B,0))="Production","P",IF(INDEX('PROJETO PERFURAÇÃO'!$P:$P,MATCH(MEDIÇÃO!K367,'PROJETO PERFURAÇÃO'!$B:$B,0))="Buffer","B",IF(INDEX('PROJETO PERFURAÇÃO'!$P:$P,MATCH(MEDIÇÃO!K367,'PROJETO PERFURAÇÃO'!$B:$B,0))="Pre-Splitting","S"))),"")</f>
        <v>P</v>
      </c>
      <c r="K367" s="14">
        <f t="shared" si="34"/>
        <v>804</v>
      </c>
      <c r="L367" s="4" t="str">
        <f>IFERROR(INDEX('LEV R&amp;D'!$D:$D,MATCH(MEDIÇÃO!K367,'LEV R&amp;D'!$A:$A,0))-INDEX('PROJETO PERFURAÇÃO'!$AH:$AH,MATCH(MEDIÇÃO!K367,'PROJETO PERFURAÇÃO'!$B:$B,0)),"")</f>
        <v/>
      </c>
      <c r="M367" s="17">
        <f>IFERROR(INDEX('PROJETO PERFURAÇÃO'!$AN:$AN,MATCH(MEDIÇÃO!K367,'PROJETO PERFURAÇÃO'!$B:$B,0)),"")</f>
        <v>0</v>
      </c>
      <c r="N367" s="3"/>
      <c r="O367" s="3"/>
      <c r="P367" s="3" t="str">
        <f>IFERROR(ROUND(INDEX('PROJETO PERFURAÇÃO'!$AB:$AB,MATCH(MEDIÇÃO!R367,'PROJETO PERFURAÇÃO'!$B:$B,0)),1)&amp;"''","")</f>
        <v>5''</v>
      </c>
      <c r="Q367" s="3" t="str">
        <f>IFERROR(IF(INDEX('PROJETO PERFURAÇÃO'!$P:$P,MATCH(MEDIÇÃO!R367,'PROJETO PERFURAÇÃO'!$B:$B,0))="Production","P",IF(INDEX('PROJETO PERFURAÇÃO'!$P:$P,MATCH(MEDIÇÃO!R367,'PROJETO PERFURAÇÃO'!$B:$B,0))="Buffer","B",IF(INDEX('PROJETO PERFURAÇÃO'!$P:$P,MATCH(MEDIÇÃO!R367,'PROJETO PERFURAÇÃO'!$B:$B,0))="Pre-Splitting","S"))),"")</f>
        <v>P</v>
      </c>
      <c r="R367" s="14">
        <f t="shared" si="35"/>
        <v>827</v>
      </c>
      <c r="S367" s="4" t="str">
        <f>IFERROR(INDEX('LEV R&amp;D'!$D:$D,MATCH(MEDIÇÃO!R367,'LEV R&amp;D'!$A:$A,0))-INDEX('PROJETO PERFURAÇÃO'!$AH:$AH,MATCH(MEDIÇÃO!R367,'PROJETO PERFURAÇÃO'!$B:$B,0)),"")</f>
        <v/>
      </c>
      <c r="T367" s="17">
        <f>IFERROR(INDEX('PROJETO PERFURAÇÃO'!$AN:$AN,MATCH(MEDIÇÃO!R367,'PROJETO PERFURAÇÃO'!$B:$B,0)),"")</f>
        <v>0</v>
      </c>
      <c r="U367" s="3"/>
      <c r="V367" s="3"/>
    </row>
    <row r="368" spans="2:22" ht="45" customHeight="1" x14ac:dyDescent="0.25">
      <c r="B368" s="3" t="str">
        <f>IFERROR(ROUND(INDEX('PROJETO PERFURAÇÃO'!$AB:$AB,MATCH(MEDIÇÃO!D368,'PROJETO PERFURAÇÃO'!$B:$B,0)),1)&amp;"''","")</f>
        <v>5''</v>
      </c>
      <c r="C368" s="3" t="str">
        <f>IFERROR(IF(INDEX('PROJETO PERFURAÇÃO'!$P:$P,MATCH(MEDIÇÃO!D368,'PROJETO PERFURAÇÃO'!$B:$B,0))="Production","P",IF(INDEX('PROJETO PERFURAÇÃO'!$P:$P,MATCH(MEDIÇÃO!D368,'PROJETO PERFURAÇÃO'!$B:$B,0))="Buffer","B",IF(INDEX('PROJETO PERFURAÇÃO'!$P:$P,MATCH(MEDIÇÃO!D368,'PROJETO PERFURAÇÃO'!$B:$B,0))="Pre-Splitting","S"))),"")</f>
        <v>P</v>
      </c>
      <c r="D368" s="14">
        <f t="shared" si="33"/>
        <v>782</v>
      </c>
      <c r="E368" s="4" t="str">
        <f>IFERROR(INDEX('LEV R&amp;D'!$D:$D,MATCH(MEDIÇÃO!D368,'LEV R&amp;D'!$A:$A,0))-INDEX('PROJETO PERFURAÇÃO'!$AH:$AH,MATCH(MEDIÇÃO!D368,'PROJETO PERFURAÇÃO'!$B:$B,0)),"")</f>
        <v/>
      </c>
      <c r="F368" s="17">
        <f>IFERROR(INDEX('PROJETO PERFURAÇÃO'!$AN:$AN,MATCH(MEDIÇÃO!D368,'PROJETO PERFURAÇÃO'!$B:$B,0)),"")</f>
        <v>0</v>
      </c>
      <c r="G368" s="3"/>
      <c r="H368" s="3"/>
      <c r="I368" s="3" t="str">
        <f>IFERROR(ROUND(INDEX('PROJETO PERFURAÇÃO'!$AB:$AB,MATCH(MEDIÇÃO!K368,'PROJETO PERFURAÇÃO'!$B:$B,0)),1)&amp;"''","")</f>
        <v>5''</v>
      </c>
      <c r="J368" s="3" t="str">
        <f>IFERROR(IF(INDEX('PROJETO PERFURAÇÃO'!$P:$P,MATCH(MEDIÇÃO!K368,'PROJETO PERFURAÇÃO'!$B:$B,0))="Production","P",IF(INDEX('PROJETO PERFURAÇÃO'!$P:$P,MATCH(MEDIÇÃO!K368,'PROJETO PERFURAÇÃO'!$B:$B,0))="Buffer","B",IF(INDEX('PROJETO PERFURAÇÃO'!$P:$P,MATCH(MEDIÇÃO!K368,'PROJETO PERFURAÇÃO'!$B:$B,0))="Pre-Splitting","S"))),"")</f>
        <v>P</v>
      </c>
      <c r="K368" s="14">
        <f t="shared" si="34"/>
        <v>805</v>
      </c>
      <c r="L368" s="4" t="str">
        <f>IFERROR(INDEX('LEV R&amp;D'!$D:$D,MATCH(MEDIÇÃO!K368,'LEV R&amp;D'!$A:$A,0))-INDEX('PROJETO PERFURAÇÃO'!$AH:$AH,MATCH(MEDIÇÃO!K368,'PROJETO PERFURAÇÃO'!$B:$B,0)),"")</f>
        <v/>
      </c>
      <c r="M368" s="17">
        <f>IFERROR(INDEX('PROJETO PERFURAÇÃO'!$AN:$AN,MATCH(MEDIÇÃO!K368,'PROJETO PERFURAÇÃO'!$B:$B,0)),"")</f>
        <v>0</v>
      </c>
      <c r="N368" s="3"/>
      <c r="O368" s="3"/>
      <c r="P368" s="3" t="str">
        <f>IFERROR(ROUND(INDEX('PROJETO PERFURAÇÃO'!$AB:$AB,MATCH(MEDIÇÃO!R368,'PROJETO PERFURAÇÃO'!$B:$B,0)),1)&amp;"''","")</f>
        <v>5''</v>
      </c>
      <c r="Q368" s="3" t="str">
        <f>IFERROR(IF(INDEX('PROJETO PERFURAÇÃO'!$P:$P,MATCH(MEDIÇÃO!R368,'PROJETO PERFURAÇÃO'!$B:$B,0))="Production","P",IF(INDEX('PROJETO PERFURAÇÃO'!$P:$P,MATCH(MEDIÇÃO!R368,'PROJETO PERFURAÇÃO'!$B:$B,0))="Buffer","B",IF(INDEX('PROJETO PERFURAÇÃO'!$P:$P,MATCH(MEDIÇÃO!R368,'PROJETO PERFURAÇÃO'!$B:$B,0))="Pre-Splitting","S"))),"")</f>
        <v>P</v>
      </c>
      <c r="R368" s="14">
        <f t="shared" si="35"/>
        <v>828</v>
      </c>
      <c r="S368" s="4" t="str">
        <f>IFERROR(INDEX('LEV R&amp;D'!$D:$D,MATCH(MEDIÇÃO!R368,'LEV R&amp;D'!$A:$A,0))-INDEX('PROJETO PERFURAÇÃO'!$AH:$AH,MATCH(MEDIÇÃO!R368,'PROJETO PERFURAÇÃO'!$B:$B,0)),"")</f>
        <v/>
      </c>
      <c r="T368" s="17">
        <f>IFERROR(INDEX('PROJETO PERFURAÇÃO'!$AN:$AN,MATCH(MEDIÇÃO!R368,'PROJETO PERFURAÇÃO'!$B:$B,0)),"")</f>
        <v>0</v>
      </c>
      <c r="U368" s="3"/>
      <c r="V368" s="3"/>
    </row>
    <row r="369" spans="1:23" ht="30" customHeight="1" x14ac:dyDescent="0.25">
      <c r="B369" s="1"/>
      <c r="C369" s="1"/>
      <c r="D369" s="15"/>
      <c r="E369" s="2"/>
      <c r="F369" s="16"/>
      <c r="G369" s="1"/>
      <c r="H369" s="1"/>
      <c r="I369" s="1"/>
      <c r="J369" s="1"/>
      <c r="K369" s="15"/>
      <c r="L369" s="2"/>
      <c r="M369" s="16"/>
      <c r="N369" s="1"/>
      <c r="O369" s="1"/>
      <c r="P369" s="1"/>
      <c r="Q369" s="1"/>
      <c r="R369" s="15"/>
      <c r="S369" s="2"/>
      <c r="T369" s="16"/>
      <c r="U369" s="1"/>
      <c r="V369" s="1"/>
    </row>
    <row r="370" spans="1:23" ht="30" customHeight="1" x14ac:dyDescent="0.25">
      <c r="C370" s="20"/>
      <c r="D370" s="20"/>
      <c r="E370" s="20"/>
      <c r="F370" s="20"/>
      <c r="G370" s="20"/>
      <c r="H370" s="20"/>
      <c r="I370" s="20"/>
      <c r="J370" s="20"/>
      <c r="K370" s="20"/>
      <c r="M370" s="20"/>
      <c r="N370" s="20"/>
      <c r="O370" s="20"/>
      <c r="P370" s="20"/>
      <c r="Q370" s="20"/>
      <c r="R370" s="20"/>
      <c r="S370" s="20"/>
      <c r="T370" s="20"/>
      <c r="U370" s="20"/>
    </row>
    <row r="371" spans="1:23" ht="30" customHeight="1" x14ac:dyDescent="0.25">
      <c r="C371" s="21" t="s">
        <v>40</v>
      </c>
      <c r="D371" s="21"/>
      <c r="E371" s="21"/>
      <c r="F371" s="21"/>
      <c r="G371" s="21"/>
      <c r="H371" s="21"/>
      <c r="I371" s="21"/>
      <c r="J371" s="21"/>
      <c r="K371" s="21"/>
      <c r="L371" s="9"/>
      <c r="M371" s="21" t="s">
        <v>40</v>
      </c>
      <c r="N371" s="21"/>
      <c r="O371" s="21"/>
      <c r="P371" s="21"/>
      <c r="Q371" s="21"/>
      <c r="R371" s="21"/>
      <c r="S371" s="21"/>
      <c r="T371" s="21"/>
      <c r="U371" s="21"/>
      <c r="V371" s="9"/>
    </row>
    <row r="372" spans="1:23" ht="30" customHeight="1" x14ac:dyDescent="0.25">
      <c r="D372" s="9"/>
      <c r="E372" s="9"/>
      <c r="F372" s="9"/>
      <c r="G372" s="9"/>
      <c r="H372" s="9"/>
      <c r="I372" s="9"/>
      <c r="J372" s="9"/>
      <c r="K372" s="9"/>
      <c r="L372" s="9"/>
      <c r="M372" s="9"/>
      <c r="N372" s="9"/>
      <c r="Q372" s="9"/>
      <c r="R372" s="9"/>
      <c r="S372" s="9"/>
      <c r="T372" s="9"/>
      <c r="U372" s="9"/>
      <c r="V372" s="9"/>
    </row>
    <row r="373" spans="1:23" ht="30" customHeight="1" x14ac:dyDescent="0.25">
      <c r="B373" s="19" t="str">
        <f>'PROJETO PERFURAÇÃO'!$C$2&amp;" - "&amp;'PROJETO PERFURAÇÃO'!$H$2</f>
        <v>LIB065 - PP0651026</v>
      </c>
      <c r="C373" s="19"/>
      <c r="D373" s="19"/>
      <c r="E373" s="19"/>
      <c r="F373" s="19"/>
      <c r="G373" s="19"/>
      <c r="H373" s="19"/>
      <c r="I373" s="11" t="s">
        <v>34</v>
      </c>
      <c r="J373" s="10" t="s">
        <v>37</v>
      </c>
    </row>
    <row r="374" spans="1:23" ht="30" customHeight="1" x14ac:dyDescent="0.25">
      <c r="B374" s="19"/>
      <c r="C374" s="19"/>
      <c r="D374" s="19"/>
      <c r="E374" s="19"/>
      <c r="F374" s="19"/>
      <c r="G374" s="19"/>
      <c r="H374" s="19"/>
      <c r="I374" s="12" t="s">
        <v>35</v>
      </c>
      <c r="J374" s="10" t="s">
        <v>38</v>
      </c>
      <c r="K374" s="9"/>
      <c r="L374" s="9"/>
      <c r="M374" s="9"/>
      <c r="N374" s="9"/>
      <c r="O374" s="9"/>
      <c r="P374" s="9"/>
      <c r="Q374" s="9"/>
      <c r="R374" s="9"/>
      <c r="S374" s="9"/>
      <c r="T374" s="9"/>
      <c r="U374" s="9"/>
      <c r="V374" s="9"/>
    </row>
    <row r="375" spans="1:23" ht="30" customHeight="1" x14ac:dyDescent="0.25">
      <c r="B375" s="19"/>
      <c r="C375" s="19"/>
      <c r="D375" s="19"/>
      <c r="E375" s="19"/>
      <c r="F375" s="19"/>
      <c r="G375" s="19"/>
      <c r="H375" s="19"/>
      <c r="I375" s="13" t="s">
        <v>36</v>
      </c>
      <c r="J375" s="10" t="s">
        <v>39</v>
      </c>
    </row>
    <row r="376" spans="1:23" ht="30" customHeight="1" x14ac:dyDescent="0.25">
      <c r="A376" s="1"/>
      <c r="B376" s="6" t="s">
        <v>33</v>
      </c>
      <c r="C376" s="6" t="s">
        <v>13</v>
      </c>
      <c r="D376" s="7" t="s">
        <v>1</v>
      </c>
      <c r="E376" s="7" t="s">
        <v>29</v>
      </c>
      <c r="F376" s="7" t="s">
        <v>30</v>
      </c>
      <c r="G376" s="7" t="s">
        <v>31</v>
      </c>
      <c r="H376" s="7" t="s">
        <v>32</v>
      </c>
      <c r="I376" s="6" t="s">
        <v>33</v>
      </c>
      <c r="J376" s="6" t="s">
        <v>13</v>
      </c>
      <c r="K376" s="7" t="s">
        <v>1</v>
      </c>
      <c r="L376" s="7" t="s">
        <v>29</v>
      </c>
      <c r="M376" s="7" t="s">
        <v>30</v>
      </c>
      <c r="N376" s="7" t="s">
        <v>31</v>
      </c>
      <c r="O376" s="7" t="s">
        <v>32</v>
      </c>
      <c r="P376" s="6" t="s">
        <v>33</v>
      </c>
      <c r="Q376" s="6" t="s">
        <v>13</v>
      </c>
      <c r="R376" s="7" t="s">
        <v>1</v>
      </c>
      <c r="S376" s="7" t="s">
        <v>29</v>
      </c>
      <c r="T376" s="7" t="s">
        <v>30</v>
      </c>
      <c r="U376" s="7" t="s">
        <v>31</v>
      </c>
      <c r="V376" s="7" t="s">
        <v>32</v>
      </c>
      <c r="W376" s="1"/>
    </row>
    <row r="377" spans="1:23" ht="45" customHeight="1" x14ac:dyDescent="0.25">
      <c r="B377" s="3" t="str">
        <f>IFERROR(ROUND(INDEX('PROJETO PERFURAÇÃO'!$AB:$AB,MATCH(MEDIÇÃO!D377,'PROJETO PERFURAÇÃO'!$B:$B,0)),1)&amp;"''","")</f>
        <v>5''</v>
      </c>
      <c r="C377" s="3" t="str">
        <f>IFERROR(IF(INDEX('PROJETO PERFURAÇÃO'!$P:$P,MATCH(MEDIÇÃO!D377,'PROJETO PERFURAÇÃO'!$B:$B,0))="Production","P",IF(INDEX('PROJETO PERFURAÇÃO'!$P:$P,MATCH(MEDIÇÃO!D377,'PROJETO PERFURAÇÃO'!$B:$B,0))="Buffer","B",IF(INDEX('PROJETO PERFURAÇÃO'!$P:$P,MATCH(MEDIÇÃO!D377,'PROJETO PERFURAÇÃO'!$B:$B,0))="Pre-Splitting","S"))),"")</f>
        <v>P</v>
      </c>
      <c r="D377" s="14">
        <f>R368+1</f>
        <v>829</v>
      </c>
      <c r="E377" s="4" t="str">
        <f>IFERROR(INDEX('LEV R&amp;D'!$D:$D,MATCH(MEDIÇÃO!D377,'LEV R&amp;D'!$A:$A,0))-INDEX('PROJETO PERFURAÇÃO'!$AH:$AH,MATCH(MEDIÇÃO!D377,'PROJETO PERFURAÇÃO'!$B:$B,0)),"")</f>
        <v/>
      </c>
      <c r="F377" s="17">
        <f>IFERROR(INDEX('PROJETO PERFURAÇÃO'!$AN:$AN,MATCH(MEDIÇÃO!D377,'PROJETO PERFURAÇÃO'!$B:$B,0)),"")</f>
        <v>0</v>
      </c>
      <c r="G377" s="3"/>
      <c r="H377" s="3"/>
      <c r="I377" s="3" t="str">
        <f>IFERROR(ROUND(INDEX('PROJETO PERFURAÇÃO'!$AB:$AB,MATCH(MEDIÇÃO!K377,'PROJETO PERFURAÇÃO'!$B:$B,0)),1)&amp;"''","")</f>
        <v>5''</v>
      </c>
      <c r="J377" s="3" t="str">
        <f>IFERROR(IF(INDEX('PROJETO PERFURAÇÃO'!$P:$P,MATCH(MEDIÇÃO!K377,'PROJETO PERFURAÇÃO'!$B:$B,0))="Production","P",IF(INDEX('PROJETO PERFURAÇÃO'!$P:$P,MATCH(MEDIÇÃO!K377,'PROJETO PERFURAÇÃO'!$B:$B,0))="Buffer","B",IF(INDEX('PROJETO PERFURAÇÃO'!$P:$P,MATCH(MEDIÇÃO!K377,'PROJETO PERFURAÇÃO'!$B:$B,0))="Pre-Splitting","S"))),"")</f>
        <v>P</v>
      </c>
      <c r="K377" s="14">
        <f>D399+1</f>
        <v>852</v>
      </c>
      <c r="L377" s="4" t="str">
        <f>IFERROR(INDEX('LEV R&amp;D'!$D:$D,MATCH(MEDIÇÃO!K377,'LEV R&amp;D'!$A:$A,0))-INDEX('PROJETO PERFURAÇÃO'!$AH:$AH,MATCH(MEDIÇÃO!K377,'PROJETO PERFURAÇÃO'!$B:$B,0)),"")</f>
        <v/>
      </c>
      <c r="M377" s="17">
        <f>IFERROR(INDEX('PROJETO PERFURAÇÃO'!$AN:$AN,MATCH(MEDIÇÃO!K377,'PROJETO PERFURAÇÃO'!$B:$B,0)),"")</f>
        <v>0</v>
      </c>
      <c r="N377" s="3"/>
      <c r="O377" s="3"/>
      <c r="P377" s="3" t="str">
        <f>IFERROR(ROUND(INDEX('PROJETO PERFURAÇÃO'!$AB:$AB,MATCH(MEDIÇÃO!R377,'PROJETO PERFURAÇÃO'!$B:$B,0)),1)&amp;"''","")</f>
        <v>5''</v>
      </c>
      <c r="Q377" s="3" t="str">
        <f>IFERROR(IF(INDEX('PROJETO PERFURAÇÃO'!$P:$P,MATCH(MEDIÇÃO!R377,'PROJETO PERFURAÇÃO'!$B:$B,0))="Production","P",IF(INDEX('PROJETO PERFURAÇÃO'!$P:$P,MATCH(MEDIÇÃO!R377,'PROJETO PERFURAÇÃO'!$B:$B,0))="Buffer","B",IF(INDEX('PROJETO PERFURAÇÃO'!$P:$P,MATCH(MEDIÇÃO!R377,'PROJETO PERFURAÇÃO'!$B:$B,0))="Pre-Splitting","S"))),"")</f>
        <v>P</v>
      </c>
      <c r="R377" s="14">
        <f>K399+1</f>
        <v>875</v>
      </c>
      <c r="S377" s="4" t="str">
        <f>IFERROR(INDEX('LEV R&amp;D'!$D:$D,MATCH(MEDIÇÃO!R377,'LEV R&amp;D'!$A:$A,0))-INDEX('PROJETO PERFURAÇÃO'!$AH:$AH,MATCH(MEDIÇÃO!R377,'PROJETO PERFURAÇÃO'!$B:$B,0)),"")</f>
        <v/>
      </c>
      <c r="T377" s="17">
        <f>IFERROR(INDEX('PROJETO PERFURAÇÃO'!$AN:$AN,MATCH(MEDIÇÃO!R377,'PROJETO PERFURAÇÃO'!$B:$B,0)),"")</f>
        <v>0</v>
      </c>
      <c r="U377" s="3"/>
      <c r="V377" s="3"/>
    </row>
    <row r="378" spans="1:23" ht="45" customHeight="1" x14ac:dyDescent="0.25">
      <c r="B378" s="3" t="str">
        <f>IFERROR(ROUND(INDEX('PROJETO PERFURAÇÃO'!$AB:$AB,MATCH(MEDIÇÃO!D378,'PROJETO PERFURAÇÃO'!$B:$B,0)),1)&amp;"''","")</f>
        <v>5''</v>
      </c>
      <c r="C378" s="3" t="str">
        <f>IFERROR(IF(INDEX('PROJETO PERFURAÇÃO'!$P:$P,MATCH(MEDIÇÃO!D378,'PROJETO PERFURAÇÃO'!$B:$B,0))="Production","P",IF(INDEX('PROJETO PERFURAÇÃO'!$P:$P,MATCH(MEDIÇÃO!D378,'PROJETO PERFURAÇÃO'!$B:$B,0))="Buffer","B",IF(INDEX('PROJETO PERFURAÇÃO'!$P:$P,MATCH(MEDIÇÃO!D378,'PROJETO PERFURAÇÃO'!$B:$B,0))="Pre-Splitting","S"))),"")</f>
        <v>P</v>
      </c>
      <c r="D378" s="14">
        <f>D377+1</f>
        <v>830</v>
      </c>
      <c r="E378" s="4" t="str">
        <f>IFERROR(INDEX('LEV R&amp;D'!$D:$D,MATCH(MEDIÇÃO!D378,'LEV R&amp;D'!$A:$A,0))-INDEX('PROJETO PERFURAÇÃO'!$AH:$AH,MATCH(MEDIÇÃO!D378,'PROJETO PERFURAÇÃO'!$B:$B,0)),"")</f>
        <v/>
      </c>
      <c r="F378" s="17">
        <f>IFERROR(INDEX('PROJETO PERFURAÇÃO'!$AN:$AN,MATCH(MEDIÇÃO!D378,'PROJETO PERFURAÇÃO'!$B:$B,0)),"")</f>
        <v>0</v>
      </c>
      <c r="G378" s="3"/>
      <c r="H378" s="3"/>
      <c r="I378" s="3" t="str">
        <f>IFERROR(ROUND(INDEX('PROJETO PERFURAÇÃO'!$AB:$AB,MATCH(MEDIÇÃO!K378,'PROJETO PERFURAÇÃO'!$B:$B,0)),1)&amp;"''","")</f>
        <v>5''</v>
      </c>
      <c r="J378" s="3" t="str">
        <f>IFERROR(IF(INDEX('PROJETO PERFURAÇÃO'!$P:$P,MATCH(MEDIÇÃO!K378,'PROJETO PERFURAÇÃO'!$B:$B,0))="Production","P",IF(INDEX('PROJETO PERFURAÇÃO'!$P:$P,MATCH(MEDIÇÃO!K378,'PROJETO PERFURAÇÃO'!$B:$B,0))="Buffer","B",IF(INDEX('PROJETO PERFURAÇÃO'!$P:$P,MATCH(MEDIÇÃO!K378,'PROJETO PERFURAÇÃO'!$B:$B,0))="Pre-Splitting","S"))),"")</f>
        <v>P</v>
      </c>
      <c r="K378" s="14">
        <f>K377+1</f>
        <v>853</v>
      </c>
      <c r="L378" s="4" t="str">
        <f>IFERROR(INDEX('LEV R&amp;D'!$D:$D,MATCH(MEDIÇÃO!K378,'LEV R&amp;D'!$A:$A,0))-INDEX('PROJETO PERFURAÇÃO'!$AH:$AH,MATCH(MEDIÇÃO!K378,'PROJETO PERFURAÇÃO'!$B:$B,0)),"")</f>
        <v/>
      </c>
      <c r="M378" s="17">
        <f>IFERROR(INDEX('PROJETO PERFURAÇÃO'!$AN:$AN,MATCH(MEDIÇÃO!K378,'PROJETO PERFURAÇÃO'!$B:$B,0)),"")</f>
        <v>0</v>
      </c>
      <c r="N378" s="3"/>
      <c r="O378" s="3"/>
      <c r="P378" s="3" t="str">
        <f>IFERROR(ROUND(INDEX('PROJETO PERFURAÇÃO'!$AB:$AB,MATCH(MEDIÇÃO!R378,'PROJETO PERFURAÇÃO'!$B:$B,0)),1)&amp;"''","")</f>
        <v>5''</v>
      </c>
      <c r="Q378" s="3" t="str">
        <f>IFERROR(IF(INDEX('PROJETO PERFURAÇÃO'!$P:$P,MATCH(MEDIÇÃO!R378,'PROJETO PERFURAÇÃO'!$B:$B,0))="Production","P",IF(INDEX('PROJETO PERFURAÇÃO'!$P:$P,MATCH(MEDIÇÃO!R378,'PROJETO PERFURAÇÃO'!$B:$B,0))="Buffer","B",IF(INDEX('PROJETO PERFURAÇÃO'!$P:$P,MATCH(MEDIÇÃO!R378,'PROJETO PERFURAÇÃO'!$B:$B,0))="Pre-Splitting","S"))),"")</f>
        <v>P</v>
      </c>
      <c r="R378" s="14">
        <f>R377+1</f>
        <v>876</v>
      </c>
      <c r="S378" s="4" t="str">
        <f>IFERROR(INDEX('LEV R&amp;D'!$D:$D,MATCH(MEDIÇÃO!R378,'LEV R&amp;D'!$A:$A,0))-INDEX('PROJETO PERFURAÇÃO'!$AH:$AH,MATCH(MEDIÇÃO!R378,'PROJETO PERFURAÇÃO'!$B:$B,0)),"")</f>
        <v/>
      </c>
      <c r="T378" s="17">
        <f>IFERROR(INDEX('PROJETO PERFURAÇÃO'!$AN:$AN,MATCH(MEDIÇÃO!R378,'PROJETO PERFURAÇÃO'!$B:$B,0)),"")</f>
        <v>0</v>
      </c>
      <c r="U378" s="3"/>
      <c r="V378" s="3"/>
    </row>
    <row r="379" spans="1:23" ht="45" customHeight="1" x14ac:dyDescent="0.25">
      <c r="B379" s="3" t="str">
        <f>IFERROR(ROUND(INDEX('PROJETO PERFURAÇÃO'!$AB:$AB,MATCH(MEDIÇÃO!D379,'PROJETO PERFURAÇÃO'!$B:$B,0)),1)&amp;"''","")</f>
        <v>5''</v>
      </c>
      <c r="C379" s="3" t="str">
        <f>IFERROR(IF(INDEX('PROJETO PERFURAÇÃO'!$P:$P,MATCH(MEDIÇÃO!D379,'PROJETO PERFURAÇÃO'!$B:$B,0))="Production","P",IF(INDEX('PROJETO PERFURAÇÃO'!$P:$P,MATCH(MEDIÇÃO!D379,'PROJETO PERFURAÇÃO'!$B:$B,0))="Buffer","B",IF(INDEX('PROJETO PERFURAÇÃO'!$P:$P,MATCH(MEDIÇÃO!D379,'PROJETO PERFURAÇÃO'!$B:$B,0))="Pre-Splitting","S"))),"")</f>
        <v>P</v>
      </c>
      <c r="D379" s="14">
        <f t="shared" ref="D379:D399" si="36">D378+1</f>
        <v>831</v>
      </c>
      <c r="E379" s="4" t="str">
        <f>IFERROR(INDEX('LEV R&amp;D'!$D:$D,MATCH(MEDIÇÃO!D379,'LEV R&amp;D'!$A:$A,0))-INDEX('PROJETO PERFURAÇÃO'!$AH:$AH,MATCH(MEDIÇÃO!D379,'PROJETO PERFURAÇÃO'!$B:$B,0)),"")</f>
        <v/>
      </c>
      <c r="F379" s="17">
        <f>IFERROR(INDEX('PROJETO PERFURAÇÃO'!$AN:$AN,MATCH(MEDIÇÃO!D379,'PROJETO PERFURAÇÃO'!$B:$B,0)),"")</f>
        <v>0</v>
      </c>
      <c r="G379" s="3"/>
      <c r="H379" s="3"/>
      <c r="I379" s="3" t="str">
        <f>IFERROR(ROUND(INDEX('PROJETO PERFURAÇÃO'!$AB:$AB,MATCH(MEDIÇÃO!K379,'PROJETO PERFURAÇÃO'!$B:$B,0)),1)&amp;"''","")</f>
        <v>5''</v>
      </c>
      <c r="J379" s="3" t="str">
        <f>IFERROR(IF(INDEX('PROJETO PERFURAÇÃO'!$P:$P,MATCH(MEDIÇÃO!K379,'PROJETO PERFURAÇÃO'!$B:$B,0))="Production","P",IF(INDEX('PROJETO PERFURAÇÃO'!$P:$P,MATCH(MEDIÇÃO!K379,'PROJETO PERFURAÇÃO'!$B:$B,0))="Buffer","B",IF(INDEX('PROJETO PERFURAÇÃO'!$P:$P,MATCH(MEDIÇÃO!K379,'PROJETO PERFURAÇÃO'!$B:$B,0))="Pre-Splitting","S"))),"")</f>
        <v>P</v>
      </c>
      <c r="K379" s="14">
        <f t="shared" ref="K379:K399" si="37">K378+1</f>
        <v>854</v>
      </c>
      <c r="L379" s="4" t="str">
        <f>IFERROR(INDEX('LEV R&amp;D'!$D:$D,MATCH(MEDIÇÃO!K379,'LEV R&amp;D'!$A:$A,0))-INDEX('PROJETO PERFURAÇÃO'!$AH:$AH,MATCH(MEDIÇÃO!K379,'PROJETO PERFURAÇÃO'!$B:$B,0)),"")</f>
        <v/>
      </c>
      <c r="M379" s="17">
        <f>IFERROR(INDEX('PROJETO PERFURAÇÃO'!$AN:$AN,MATCH(MEDIÇÃO!K379,'PROJETO PERFURAÇÃO'!$B:$B,0)),"")</f>
        <v>0</v>
      </c>
      <c r="N379" s="3"/>
      <c r="O379" s="3"/>
      <c r="P379" s="3" t="str">
        <f>IFERROR(ROUND(INDEX('PROJETO PERFURAÇÃO'!$AB:$AB,MATCH(MEDIÇÃO!R379,'PROJETO PERFURAÇÃO'!$B:$B,0)),1)&amp;"''","")</f>
        <v>5''</v>
      </c>
      <c r="Q379" s="3" t="str">
        <f>IFERROR(IF(INDEX('PROJETO PERFURAÇÃO'!$P:$P,MATCH(MEDIÇÃO!R379,'PROJETO PERFURAÇÃO'!$B:$B,0))="Production","P",IF(INDEX('PROJETO PERFURAÇÃO'!$P:$P,MATCH(MEDIÇÃO!R379,'PROJETO PERFURAÇÃO'!$B:$B,0))="Buffer","B",IF(INDEX('PROJETO PERFURAÇÃO'!$P:$P,MATCH(MEDIÇÃO!R379,'PROJETO PERFURAÇÃO'!$B:$B,0))="Pre-Splitting","S"))),"")</f>
        <v>P</v>
      </c>
      <c r="R379" s="14">
        <f t="shared" ref="R379:R399" si="38">R378+1</f>
        <v>877</v>
      </c>
      <c r="S379" s="4" t="str">
        <f>IFERROR(INDEX('LEV R&amp;D'!$D:$D,MATCH(MEDIÇÃO!R379,'LEV R&amp;D'!$A:$A,0))-INDEX('PROJETO PERFURAÇÃO'!$AH:$AH,MATCH(MEDIÇÃO!R379,'PROJETO PERFURAÇÃO'!$B:$B,0)),"")</f>
        <v/>
      </c>
      <c r="T379" s="17">
        <f>IFERROR(INDEX('PROJETO PERFURAÇÃO'!$AN:$AN,MATCH(MEDIÇÃO!R379,'PROJETO PERFURAÇÃO'!$B:$B,0)),"")</f>
        <v>0</v>
      </c>
      <c r="U379" s="3"/>
      <c r="V379" s="3"/>
    </row>
    <row r="380" spans="1:23" ht="45" customHeight="1" x14ac:dyDescent="0.25">
      <c r="B380" s="3" t="str">
        <f>IFERROR(ROUND(INDEX('PROJETO PERFURAÇÃO'!$AB:$AB,MATCH(MEDIÇÃO!D380,'PROJETO PERFURAÇÃO'!$B:$B,0)),1)&amp;"''","")</f>
        <v>5''</v>
      </c>
      <c r="C380" s="3" t="str">
        <f>IFERROR(IF(INDEX('PROJETO PERFURAÇÃO'!$P:$P,MATCH(MEDIÇÃO!D380,'PROJETO PERFURAÇÃO'!$B:$B,0))="Production","P",IF(INDEX('PROJETO PERFURAÇÃO'!$P:$P,MATCH(MEDIÇÃO!D380,'PROJETO PERFURAÇÃO'!$B:$B,0))="Buffer","B",IF(INDEX('PROJETO PERFURAÇÃO'!$P:$P,MATCH(MEDIÇÃO!D380,'PROJETO PERFURAÇÃO'!$B:$B,0))="Pre-Splitting","S"))),"")</f>
        <v>P</v>
      </c>
      <c r="D380" s="14">
        <f t="shared" si="36"/>
        <v>832</v>
      </c>
      <c r="E380" s="4" t="str">
        <f>IFERROR(INDEX('LEV R&amp;D'!$D:$D,MATCH(MEDIÇÃO!D380,'LEV R&amp;D'!$A:$A,0))-INDEX('PROJETO PERFURAÇÃO'!$AH:$AH,MATCH(MEDIÇÃO!D380,'PROJETO PERFURAÇÃO'!$B:$B,0)),"")</f>
        <v/>
      </c>
      <c r="F380" s="17">
        <f>IFERROR(INDEX('PROJETO PERFURAÇÃO'!$AN:$AN,MATCH(MEDIÇÃO!D380,'PROJETO PERFURAÇÃO'!$B:$B,0)),"")</f>
        <v>0</v>
      </c>
      <c r="G380" s="3"/>
      <c r="H380" s="3"/>
      <c r="I380" s="3" t="str">
        <f>IFERROR(ROUND(INDEX('PROJETO PERFURAÇÃO'!$AB:$AB,MATCH(MEDIÇÃO!K380,'PROJETO PERFURAÇÃO'!$B:$B,0)),1)&amp;"''","")</f>
        <v>5''</v>
      </c>
      <c r="J380" s="3" t="str">
        <f>IFERROR(IF(INDEX('PROJETO PERFURAÇÃO'!$P:$P,MATCH(MEDIÇÃO!K380,'PROJETO PERFURAÇÃO'!$B:$B,0))="Production","P",IF(INDEX('PROJETO PERFURAÇÃO'!$P:$P,MATCH(MEDIÇÃO!K380,'PROJETO PERFURAÇÃO'!$B:$B,0))="Buffer","B",IF(INDEX('PROJETO PERFURAÇÃO'!$P:$P,MATCH(MEDIÇÃO!K380,'PROJETO PERFURAÇÃO'!$B:$B,0))="Pre-Splitting","S"))),"")</f>
        <v>P</v>
      </c>
      <c r="K380" s="14">
        <f t="shared" si="37"/>
        <v>855</v>
      </c>
      <c r="L380" s="4" t="str">
        <f>IFERROR(INDEX('LEV R&amp;D'!$D:$D,MATCH(MEDIÇÃO!K380,'LEV R&amp;D'!$A:$A,0))-INDEX('PROJETO PERFURAÇÃO'!$AH:$AH,MATCH(MEDIÇÃO!K380,'PROJETO PERFURAÇÃO'!$B:$B,0)),"")</f>
        <v/>
      </c>
      <c r="M380" s="17">
        <f>IFERROR(INDEX('PROJETO PERFURAÇÃO'!$AN:$AN,MATCH(MEDIÇÃO!K380,'PROJETO PERFURAÇÃO'!$B:$B,0)),"")</f>
        <v>0</v>
      </c>
      <c r="N380" s="3"/>
      <c r="O380" s="3"/>
      <c r="P380" s="3" t="str">
        <f>IFERROR(ROUND(INDEX('PROJETO PERFURAÇÃO'!$AB:$AB,MATCH(MEDIÇÃO!R380,'PROJETO PERFURAÇÃO'!$B:$B,0)),1)&amp;"''","")</f>
        <v>5''</v>
      </c>
      <c r="Q380" s="3" t="str">
        <f>IFERROR(IF(INDEX('PROJETO PERFURAÇÃO'!$P:$P,MATCH(MEDIÇÃO!R380,'PROJETO PERFURAÇÃO'!$B:$B,0))="Production","P",IF(INDEX('PROJETO PERFURAÇÃO'!$P:$P,MATCH(MEDIÇÃO!R380,'PROJETO PERFURAÇÃO'!$B:$B,0))="Buffer","B",IF(INDEX('PROJETO PERFURAÇÃO'!$P:$P,MATCH(MEDIÇÃO!R380,'PROJETO PERFURAÇÃO'!$B:$B,0))="Pre-Splitting","S"))),"")</f>
        <v>P</v>
      </c>
      <c r="R380" s="14">
        <f t="shared" si="38"/>
        <v>878</v>
      </c>
      <c r="S380" s="4" t="str">
        <f>IFERROR(INDEX('LEV R&amp;D'!$D:$D,MATCH(MEDIÇÃO!R380,'LEV R&amp;D'!$A:$A,0))-INDEX('PROJETO PERFURAÇÃO'!$AH:$AH,MATCH(MEDIÇÃO!R380,'PROJETO PERFURAÇÃO'!$B:$B,0)),"")</f>
        <v/>
      </c>
      <c r="T380" s="17">
        <f>IFERROR(INDEX('PROJETO PERFURAÇÃO'!$AN:$AN,MATCH(MEDIÇÃO!R380,'PROJETO PERFURAÇÃO'!$B:$B,0)),"")</f>
        <v>0</v>
      </c>
      <c r="U380" s="3"/>
      <c r="V380" s="3"/>
    </row>
    <row r="381" spans="1:23" ht="45" customHeight="1" x14ac:dyDescent="0.25">
      <c r="B381" s="3" t="str">
        <f>IFERROR(ROUND(INDEX('PROJETO PERFURAÇÃO'!$AB:$AB,MATCH(MEDIÇÃO!D381,'PROJETO PERFURAÇÃO'!$B:$B,0)),1)&amp;"''","")</f>
        <v>5''</v>
      </c>
      <c r="C381" s="3" t="str">
        <f>IFERROR(IF(INDEX('PROJETO PERFURAÇÃO'!$P:$P,MATCH(MEDIÇÃO!D381,'PROJETO PERFURAÇÃO'!$B:$B,0))="Production","P",IF(INDEX('PROJETO PERFURAÇÃO'!$P:$P,MATCH(MEDIÇÃO!D381,'PROJETO PERFURAÇÃO'!$B:$B,0))="Buffer","B",IF(INDEX('PROJETO PERFURAÇÃO'!$P:$P,MATCH(MEDIÇÃO!D381,'PROJETO PERFURAÇÃO'!$B:$B,0))="Pre-Splitting","S"))),"")</f>
        <v>P</v>
      </c>
      <c r="D381" s="14">
        <f t="shared" si="36"/>
        <v>833</v>
      </c>
      <c r="E381" s="4" t="str">
        <f>IFERROR(INDEX('LEV R&amp;D'!$D:$D,MATCH(MEDIÇÃO!D381,'LEV R&amp;D'!$A:$A,0))-INDEX('PROJETO PERFURAÇÃO'!$AH:$AH,MATCH(MEDIÇÃO!D381,'PROJETO PERFURAÇÃO'!$B:$B,0)),"")</f>
        <v/>
      </c>
      <c r="F381" s="17">
        <f>IFERROR(INDEX('PROJETO PERFURAÇÃO'!$AN:$AN,MATCH(MEDIÇÃO!D381,'PROJETO PERFURAÇÃO'!$B:$B,0)),"")</f>
        <v>0</v>
      </c>
      <c r="G381" s="3"/>
      <c r="H381" s="3"/>
      <c r="I381" s="3" t="str">
        <f>IFERROR(ROUND(INDEX('PROJETO PERFURAÇÃO'!$AB:$AB,MATCH(MEDIÇÃO!K381,'PROJETO PERFURAÇÃO'!$B:$B,0)),1)&amp;"''","")</f>
        <v>5''</v>
      </c>
      <c r="J381" s="3" t="str">
        <f>IFERROR(IF(INDEX('PROJETO PERFURAÇÃO'!$P:$P,MATCH(MEDIÇÃO!K381,'PROJETO PERFURAÇÃO'!$B:$B,0))="Production","P",IF(INDEX('PROJETO PERFURAÇÃO'!$P:$P,MATCH(MEDIÇÃO!K381,'PROJETO PERFURAÇÃO'!$B:$B,0))="Buffer","B",IF(INDEX('PROJETO PERFURAÇÃO'!$P:$P,MATCH(MEDIÇÃO!K381,'PROJETO PERFURAÇÃO'!$B:$B,0))="Pre-Splitting","S"))),"")</f>
        <v>P</v>
      </c>
      <c r="K381" s="14">
        <f t="shared" si="37"/>
        <v>856</v>
      </c>
      <c r="L381" s="4" t="str">
        <f>IFERROR(INDEX('LEV R&amp;D'!$D:$D,MATCH(MEDIÇÃO!K381,'LEV R&amp;D'!$A:$A,0))-INDEX('PROJETO PERFURAÇÃO'!$AH:$AH,MATCH(MEDIÇÃO!K381,'PROJETO PERFURAÇÃO'!$B:$B,0)),"")</f>
        <v/>
      </c>
      <c r="M381" s="17">
        <f>IFERROR(INDEX('PROJETO PERFURAÇÃO'!$AN:$AN,MATCH(MEDIÇÃO!K381,'PROJETO PERFURAÇÃO'!$B:$B,0)),"")</f>
        <v>0</v>
      </c>
      <c r="N381" s="3"/>
      <c r="O381" s="3"/>
      <c r="P381" s="3" t="str">
        <f>IFERROR(ROUND(INDEX('PROJETO PERFURAÇÃO'!$AB:$AB,MATCH(MEDIÇÃO!R381,'PROJETO PERFURAÇÃO'!$B:$B,0)),1)&amp;"''","")</f>
        <v>5''</v>
      </c>
      <c r="Q381" s="3" t="str">
        <f>IFERROR(IF(INDEX('PROJETO PERFURAÇÃO'!$P:$P,MATCH(MEDIÇÃO!R381,'PROJETO PERFURAÇÃO'!$B:$B,0))="Production","P",IF(INDEX('PROJETO PERFURAÇÃO'!$P:$P,MATCH(MEDIÇÃO!R381,'PROJETO PERFURAÇÃO'!$B:$B,0))="Buffer","B",IF(INDEX('PROJETO PERFURAÇÃO'!$P:$P,MATCH(MEDIÇÃO!R381,'PROJETO PERFURAÇÃO'!$B:$B,0))="Pre-Splitting","S"))),"")</f>
        <v>P</v>
      </c>
      <c r="R381" s="14">
        <f t="shared" si="38"/>
        <v>879</v>
      </c>
      <c r="S381" s="4" t="str">
        <f>IFERROR(INDEX('LEV R&amp;D'!$D:$D,MATCH(MEDIÇÃO!R381,'LEV R&amp;D'!$A:$A,0))-INDEX('PROJETO PERFURAÇÃO'!$AH:$AH,MATCH(MEDIÇÃO!R381,'PROJETO PERFURAÇÃO'!$B:$B,0)),"")</f>
        <v/>
      </c>
      <c r="T381" s="17">
        <f>IFERROR(INDEX('PROJETO PERFURAÇÃO'!$AN:$AN,MATCH(MEDIÇÃO!R381,'PROJETO PERFURAÇÃO'!$B:$B,0)),"")</f>
        <v>0</v>
      </c>
      <c r="U381" s="3"/>
      <c r="V381" s="3"/>
    </row>
    <row r="382" spans="1:23" ht="45" customHeight="1" x14ac:dyDescent="0.25">
      <c r="B382" s="3" t="str">
        <f>IFERROR(ROUND(INDEX('PROJETO PERFURAÇÃO'!$AB:$AB,MATCH(MEDIÇÃO!D382,'PROJETO PERFURAÇÃO'!$B:$B,0)),1)&amp;"''","")</f>
        <v>5''</v>
      </c>
      <c r="C382" s="3" t="str">
        <f>IFERROR(IF(INDEX('PROJETO PERFURAÇÃO'!$P:$P,MATCH(MEDIÇÃO!D382,'PROJETO PERFURAÇÃO'!$B:$B,0))="Production","P",IF(INDEX('PROJETO PERFURAÇÃO'!$P:$P,MATCH(MEDIÇÃO!D382,'PROJETO PERFURAÇÃO'!$B:$B,0))="Buffer","B",IF(INDEX('PROJETO PERFURAÇÃO'!$P:$P,MATCH(MEDIÇÃO!D382,'PROJETO PERFURAÇÃO'!$B:$B,0))="Pre-Splitting","S"))),"")</f>
        <v>P</v>
      </c>
      <c r="D382" s="14">
        <f t="shared" si="36"/>
        <v>834</v>
      </c>
      <c r="E382" s="4" t="str">
        <f>IFERROR(INDEX('LEV R&amp;D'!$D:$D,MATCH(MEDIÇÃO!D382,'LEV R&amp;D'!$A:$A,0))-INDEX('PROJETO PERFURAÇÃO'!$AH:$AH,MATCH(MEDIÇÃO!D382,'PROJETO PERFURAÇÃO'!$B:$B,0)),"")</f>
        <v/>
      </c>
      <c r="F382" s="17">
        <f>IFERROR(INDEX('PROJETO PERFURAÇÃO'!$AN:$AN,MATCH(MEDIÇÃO!D382,'PROJETO PERFURAÇÃO'!$B:$B,0)),"")</f>
        <v>0</v>
      </c>
      <c r="G382" s="3"/>
      <c r="H382" s="3"/>
      <c r="I382" s="3" t="str">
        <f>IFERROR(ROUND(INDEX('PROJETO PERFURAÇÃO'!$AB:$AB,MATCH(MEDIÇÃO!K382,'PROJETO PERFURAÇÃO'!$B:$B,0)),1)&amp;"''","")</f>
        <v>5''</v>
      </c>
      <c r="J382" s="3" t="str">
        <f>IFERROR(IF(INDEX('PROJETO PERFURAÇÃO'!$P:$P,MATCH(MEDIÇÃO!K382,'PROJETO PERFURAÇÃO'!$B:$B,0))="Production","P",IF(INDEX('PROJETO PERFURAÇÃO'!$P:$P,MATCH(MEDIÇÃO!K382,'PROJETO PERFURAÇÃO'!$B:$B,0))="Buffer","B",IF(INDEX('PROJETO PERFURAÇÃO'!$P:$P,MATCH(MEDIÇÃO!K382,'PROJETO PERFURAÇÃO'!$B:$B,0))="Pre-Splitting","S"))),"")</f>
        <v>P</v>
      </c>
      <c r="K382" s="14">
        <f t="shared" si="37"/>
        <v>857</v>
      </c>
      <c r="L382" s="4" t="str">
        <f>IFERROR(INDEX('LEV R&amp;D'!$D:$D,MATCH(MEDIÇÃO!K382,'LEV R&amp;D'!$A:$A,0))-INDEX('PROJETO PERFURAÇÃO'!$AH:$AH,MATCH(MEDIÇÃO!K382,'PROJETO PERFURAÇÃO'!$B:$B,0)),"")</f>
        <v/>
      </c>
      <c r="M382" s="17">
        <f>IFERROR(INDEX('PROJETO PERFURAÇÃO'!$AN:$AN,MATCH(MEDIÇÃO!K382,'PROJETO PERFURAÇÃO'!$B:$B,0)),"")</f>
        <v>0</v>
      </c>
      <c r="N382" s="3"/>
      <c r="O382" s="3"/>
      <c r="P382" s="3" t="str">
        <f>IFERROR(ROUND(INDEX('PROJETO PERFURAÇÃO'!$AB:$AB,MATCH(MEDIÇÃO!R382,'PROJETO PERFURAÇÃO'!$B:$B,0)),1)&amp;"''","")</f>
        <v>5''</v>
      </c>
      <c r="Q382" s="3" t="str">
        <f>IFERROR(IF(INDEX('PROJETO PERFURAÇÃO'!$P:$P,MATCH(MEDIÇÃO!R382,'PROJETO PERFURAÇÃO'!$B:$B,0))="Production","P",IF(INDEX('PROJETO PERFURAÇÃO'!$P:$P,MATCH(MEDIÇÃO!R382,'PROJETO PERFURAÇÃO'!$B:$B,0))="Buffer","B",IF(INDEX('PROJETO PERFURAÇÃO'!$P:$P,MATCH(MEDIÇÃO!R382,'PROJETO PERFURAÇÃO'!$B:$B,0))="Pre-Splitting","S"))),"")</f>
        <v>P</v>
      </c>
      <c r="R382" s="14">
        <f t="shared" si="38"/>
        <v>880</v>
      </c>
      <c r="S382" s="4" t="str">
        <f>IFERROR(INDEX('LEV R&amp;D'!$D:$D,MATCH(MEDIÇÃO!R382,'LEV R&amp;D'!$A:$A,0))-INDEX('PROJETO PERFURAÇÃO'!$AH:$AH,MATCH(MEDIÇÃO!R382,'PROJETO PERFURAÇÃO'!$B:$B,0)),"")</f>
        <v/>
      </c>
      <c r="T382" s="17">
        <f>IFERROR(INDEX('PROJETO PERFURAÇÃO'!$AN:$AN,MATCH(MEDIÇÃO!R382,'PROJETO PERFURAÇÃO'!$B:$B,0)),"")</f>
        <v>0</v>
      </c>
      <c r="U382" s="3"/>
      <c r="V382" s="3"/>
    </row>
    <row r="383" spans="1:23" ht="45" customHeight="1" x14ac:dyDescent="0.25">
      <c r="B383" s="3" t="str">
        <f>IFERROR(ROUND(INDEX('PROJETO PERFURAÇÃO'!$AB:$AB,MATCH(MEDIÇÃO!D383,'PROJETO PERFURAÇÃO'!$B:$B,0)),1)&amp;"''","")</f>
        <v>5''</v>
      </c>
      <c r="C383" s="3" t="str">
        <f>IFERROR(IF(INDEX('PROJETO PERFURAÇÃO'!$P:$P,MATCH(MEDIÇÃO!D383,'PROJETO PERFURAÇÃO'!$B:$B,0))="Production","P",IF(INDEX('PROJETO PERFURAÇÃO'!$P:$P,MATCH(MEDIÇÃO!D383,'PROJETO PERFURAÇÃO'!$B:$B,0))="Buffer","B",IF(INDEX('PROJETO PERFURAÇÃO'!$P:$P,MATCH(MEDIÇÃO!D383,'PROJETO PERFURAÇÃO'!$B:$B,0))="Pre-Splitting","S"))),"")</f>
        <v>P</v>
      </c>
      <c r="D383" s="14">
        <f t="shared" si="36"/>
        <v>835</v>
      </c>
      <c r="E383" s="4" t="str">
        <f>IFERROR(INDEX('LEV R&amp;D'!$D:$D,MATCH(MEDIÇÃO!D383,'LEV R&amp;D'!$A:$A,0))-INDEX('PROJETO PERFURAÇÃO'!$AH:$AH,MATCH(MEDIÇÃO!D383,'PROJETO PERFURAÇÃO'!$B:$B,0)),"")</f>
        <v/>
      </c>
      <c r="F383" s="17">
        <f>IFERROR(INDEX('PROJETO PERFURAÇÃO'!$AN:$AN,MATCH(MEDIÇÃO!D383,'PROJETO PERFURAÇÃO'!$B:$B,0)),"")</f>
        <v>0</v>
      </c>
      <c r="G383" s="3"/>
      <c r="H383" s="3"/>
      <c r="I383" s="3" t="str">
        <f>IFERROR(ROUND(INDEX('PROJETO PERFURAÇÃO'!$AB:$AB,MATCH(MEDIÇÃO!K383,'PROJETO PERFURAÇÃO'!$B:$B,0)),1)&amp;"''","")</f>
        <v>5''</v>
      </c>
      <c r="J383" s="3" t="str">
        <f>IFERROR(IF(INDEX('PROJETO PERFURAÇÃO'!$P:$P,MATCH(MEDIÇÃO!K383,'PROJETO PERFURAÇÃO'!$B:$B,0))="Production","P",IF(INDEX('PROJETO PERFURAÇÃO'!$P:$P,MATCH(MEDIÇÃO!K383,'PROJETO PERFURAÇÃO'!$B:$B,0))="Buffer","B",IF(INDEX('PROJETO PERFURAÇÃO'!$P:$P,MATCH(MEDIÇÃO!K383,'PROJETO PERFURAÇÃO'!$B:$B,0))="Pre-Splitting","S"))),"")</f>
        <v>P</v>
      </c>
      <c r="K383" s="14">
        <f t="shared" si="37"/>
        <v>858</v>
      </c>
      <c r="L383" s="4" t="str">
        <f>IFERROR(INDEX('LEV R&amp;D'!$D:$D,MATCH(MEDIÇÃO!K383,'LEV R&amp;D'!$A:$A,0))-INDEX('PROJETO PERFURAÇÃO'!$AH:$AH,MATCH(MEDIÇÃO!K383,'PROJETO PERFURAÇÃO'!$B:$B,0)),"")</f>
        <v/>
      </c>
      <c r="M383" s="17">
        <f>IFERROR(INDEX('PROJETO PERFURAÇÃO'!$AN:$AN,MATCH(MEDIÇÃO!K383,'PROJETO PERFURAÇÃO'!$B:$B,0)),"")</f>
        <v>0</v>
      </c>
      <c r="N383" s="3"/>
      <c r="O383" s="3"/>
      <c r="P383" s="3" t="str">
        <f>IFERROR(ROUND(INDEX('PROJETO PERFURAÇÃO'!$AB:$AB,MATCH(MEDIÇÃO!R383,'PROJETO PERFURAÇÃO'!$B:$B,0)),1)&amp;"''","")</f>
        <v>5''</v>
      </c>
      <c r="Q383" s="3" t="str">
        <f>IFERROR(IF(INDEX('PROJETO PERFURAÇÃO'!$P:$P,MATCH(MEDIÇÃO!R383,'PROJETO PERFURAÇÃO'!$B:$B,0))="Production","P",IF(INDEX('PROJETO PERFURAÇÃO'!$P:$P,MATCH(MEDIÇÃO!R383,'PROJETO PERFURAÇÃO'!$B:$B,0))="Buffer","B",IF(INDEX('PROJETO PERFURAÇÃO'!$P:$P,MATCH(MEDIÇÃO!R383,'PROJETO PERFURAÇÃO'!$B:$B,0))="Pre-Splitting","S"))),"")</f>
        <v>P</v>
      </c>
      <c r="R383" s="14">
        <f t="shared" si="38"/>
        <v>881</v>
      </c>
      <c r="S383" s="4" t="str">
        <f>IFERROR(INDEX('LEV R&amp;D'!$D:$D,MATCH(MEDIÇÃO!R383,'LEV R&amp;D'!$A:$A,0))-INDEX('PROJETO PERFURAÇÃO'!$AH:$AH,MATCH(MEDIÇÃO!R383,'PROJETO PERFURAÇÃO'!$B:$B,0)),"")</f>
        <v/>
      </c>
      <c r="T383" s="17">
        <f>IFERROR(INDEX('PROJETO PERFURAÇÃO'!$AN:$AN,MATCH(MEDIÇÃO!R383,'PROJETO PERFURAÇÃO'!$B:$B,0)),"")</f>
        <v>0</v>
      </c>
      <c r="U383" s="3"/>
      <c r="V383" s="3"/>
    </row>
    <row r="384" spans="1:23" ht="45" customHeight="1" x14ac:dyDescent="0.25">
      <c r="B384" s="3" t="str">
        <f>IFERROR(ROUND(INDEX('PROJETO PERFURAÇÃO'!$AB:$AB,MATCH(MEDIÇÃO!D384,'PROJETO PERFURAÇÃO'!$B:$B,0)),1)&amp;"''","")</f>
        <v>5''</v>
      </c>
      <c r="C384" s="3" t="str">
        <f>IFERROR(IF(INDEX('PROJETO PERFURAÇÃO'!$P:$P,MATCH(MEDIÇÃO!D384,'PROJETO PERFURAÇÃO'!$B:$B,0))="Production","P",IF(INDEX('PROJETO PERFURAÇÃO'!$P:$P,MATCH(MEDIÇÃO!D384,'PROJETO PERFURAÇÃO'!$B:$B,0))="Buffer","B",IF(INDEX('PROJETO PERFURAÇÃO'!$P:$P,MATCH(MEDIÇÃO!D384,'PROJETO PERFURAÇÃO'!$B:$B,0))="Pre-Splitting","S"))),"")</f>
        <v>P</v>
      </c>
      <c r="D384" s="14">
        <f t="shared" si="36"/>
        <v>836</v>
      </c>
      <c r="E384" s="4" t="str">
        <f>IFERROR(INDEX('LEV R&amp;D'!$D:$D,MATCH(MEDIÇÃO!D384,'LEV R&amp;D'!$A:$A,0))-INDEX('PROJETO PERFURAÇÃO'!$AH:$AH,MATCH(MEDIÇÃO!D384,'PROJETO PERFURAÇÃO'!$B:$B,0)),"")</f>
        <v/>
      </c>
      <c r="F384" s="17">
        <f>IFERROR(INDEX('PROJETO PERFURAÇÃO'!$AN:$AN,MATCH(MEDIÇÃO!D384,'PROJETO PERFURAÇÃO'!$B:$B,0)),"")</f>
        <v>0</v>
      </c>
      <c r="G384" s="3"/>
      <c r="H384" s="3"/>
      <c r="I384" s="3" t="str">
        <f>IFERROR(ROUND(INDEX('PROJETO PERFURAÇÃO'!$AB:$AB,MATCH(MEDIÇÃO!K384,'PROJETO PERFURAÇÃO'!$B:$B,0)),1)&amp;"''","")</f>
        <v>5''</v>
      </c>
      <c r="J384" s="3" t="str">
        <f>IFERROR(IF(INDEX('PROJETO PERFURAÇÃO'!$P:$P,MATCH(MEDIÇÃO!K384,'PROJETO PERFURAÇÃO'!$B:$B,0))="Production","P",IF(INDEX('PROJETO PERFURAÇÃO'!$P:$P,MATCH(MEDIÇÃO!K384,'PROJETO PERFURAÇÃO'!$B:$B,0))="Buffer","B",IF(INDEX('PROJETO PERFURAÇÃO'!$P:$P,MATCH(MEDIÇÃO!K384,'PROJETO PERFURAÇÃO'!$B:$B,0))="Pre-Splitting","S"))),"")</f>
        <v>P</v>
      </c>
      <c r="K384" s="14">
        <f t="shared" si="37"/>
        <v>859</v>
      </c>
      <c r="L384" s="4" t="str">
        <f>IFERROR(INDEX('LEV R&amp;D'!$D:$D,MATCH(MEDIÇÃO!K384,'LEV R&amp;D'!$A:$A,0))-INDEX('PROJETO PERFURAÇÃO'!$AH:$AH,MATCH(MEDIÇÃO!K384,'PROJETO PERFURAÇÃO'!$B:$B,0)),"")</f>
        <v/>
      </c>
      <c r="M384" s="17">
        <f>IFERROR(INDEX('PROJETO PERFURAÇÃO'!$AN:$AN,MATCH(MEDIÇÃO!K384,'PROJETO PERFURAÇÃO'!$B:$B,0)),"")</f>
        <v>0</v>
      </c>
      <c r="N384" s="3"/>
      <c r="O384" s="3"/>
      <c r="P384" s="3" t="str">
        <f>IFERROR(ROUND(INDEX('PROJETO PERFURAÇÃO'!$AB:$AB,MATCH(MEDIÇÃO!R384,'PROJETO PERFURAÇÃO'!$B:$B,0)),1)&amp;"''","")</f>
        <v>5''</v>
      </c>
      <c r="Q384" s="3" t="str">
        <f>IFERROR(IF(INDEX('PROJETO PERFURAÇÃO'!$P:$P,MATCH(MEDIÇÃO!R384,'PROJETO PERFURAÇÃO'!$B:$B,0))="Production","P",IF(INDEX('PROJETO PERFURAÇÃO'!$P:$P,MATCH(MEDIÇÃO!R384,'PROJETO PERFURAÇÃO'!$B:$B,0))="Buffer","B",IF(INDEX('PROJETO PERFURAÇÃO'!$P:$P,MATCH(MEDIÇÃO!R384,'PROJETO PERFURAÇÃO'!$B:$B,0))="Pre-Splitting","S"))),"")</f>
        <v>P</v>
      </c>
      <c r="R384" s="14">
        <f t="shared" si="38"/>
        <v>882</v>
      </c>
      <c r="S384" s="4" t="str">
        <f>IFERROR(INDEX('LEV R&amp;D'!$D:$D,MATCH(MEDIÇÃO!R384,'LEV R&amp;D'!$A:$A,0))-INDEX('PROJETO PERFURAÇÃO'!$AH:$AH,MATCH(MEDIÇÃO!R384,'PROJETO PERFURAÇÃO'!$B:$B,0)),"")</f>
        <v/>
      </c>
      <c r="T384" s="17">
        <f>IFERROR(INDEX('PROJETO PERFURAÇÃO'!$AN:$AN,MATCH(MEDIÇÃO!R384,'PROJETO PERFURAÇÃO'!$B:$B,0)),"")</f>
        <v>0</v>
      </c>
      <c r="U384" s="3"/>
      <c r="V384" s="3"/>
    </row>
    <row r="385" spans="2:22" ht="45" customHeight="1" x14ac:dyDescent="0.25">
      <c r="B385" s="3" t="str">
        <f>IFERROR(ROUND(INDEX('PROJETO PERFURAÇÃO'!$AB:$AB,MATCH(MEDIÇÃO!D385,'PROJETO PERFURAÇÃO'!$B:$B,0)),1)&amp;"''","")</f>
        <v>5''</v>
      </c>
      <c r="C385" s="3" t="str">
        <f>IFERROR(IF(INDEX('PROJETO PERFURAÇÃO'!$P:$P,MATCH(MEDIÇÃO!D385,'PROJETO PERFURAÇÃO'!$B:$B,0))="Production","P",IF(INDEX('PROJETO PERFURAÇÃO'!$P:$P,MATCH(MEDIÇÃO!D385,'PROJETO PERFURAÇÃO'!$B:$B,0))="Buffer","B",IF(INDEX('PROJETO PERFURAÇÃO'!$P:$P,MATCH(MEDIÇÃO!D385,'PROJETO PERFURAÇÃO'!$B:$B,0))="Pre-Splitting","S"))),"")</f>
        <v>P</v>
      </c>
      <c r="D385" s="14">
        <f t="shared" si="36"/>
        <v>837</v>
      </c>
      <c r="E385" s="4" t="str">
        <f>IFERROR(INDEX('LEV R&amp;D'!$D:$D,MATCH(MEDIÇÃO!D385,'LEV R&amp;D'!$A:$A,0))-INDEX('PROJETO PERFURAÇÃO'!$AH:$AH,MATCH(MEDIÇÃO!D385,'PROJETO PERFURAÇÃO'!$B:$B,0)),"")</f>
        <v/>
      </c>
      <c r="F385" s="17">
        <f>IFERROR(INDEX('PROJETO PERFURAÇÃO'!$AN:$AN,MATCH(MEDIÇÃO!D385,'PROJETO PERFURAÇÃO'!$B:$B,0)),"")</f>
        <v>0</v>
      </c>
      <c r="G385" s="3"/>
      <c r="H385" s="3"/>
      <c r="I385" s="3" t="str">
        <f>IFERROR(ROUND(INDEX('PROJETO PERFURAÇÃO'!$AB:$AB,MATCH(MEDIÇÃO!K385,'PROJETO PERFURAÇÃO'!$B:$B,0)),1)&amp;"''","")</f>
        <v>5''</v>
      </c>
      <c r="J385" s="3" t="str">
        <f>IFERROR(IF(INDEX('PROJETO PERFURAÇÃO'!$P:$P,MATCH(MEDIÇÃO!K385,'PROJETO PERFURAÇÃO'!$B:$B,0))="Production","P",IF(INDEX('PROJETO PERFURAÇÃO'!$P:$P,MATCH(MEDIÇÃO!K385,'PROJETO PERFURAÇÃO'!$B:$B,0))="Buffer","B",IF(INDEX('PROJETO PERFURAÇÃO'!$P:$P,MATCH(MEDIÇÃO!K385,'PROJETO PERFURAÇÃO'!$B:$B,0))="Pre-Splitting","S"))),"")</f>
        <v>P</v>
      </c>
      <c r="K385" s="14">
        <f t="shared" si="37"/>
        <v>860</v>
      </c>
      <c r="L385" s="4" t="str">
        <f>IFERROR(INDEX('LEV R&amp;D'!$D:$D,MATCH(MEDIÇÃO!K385,'LEV R&amp;D'!$A:$A,0))-INDEX('PROJETO PERFURAÇÃO'!$AH:$AH,MATCH(MEDIÇÃO!K385,'PROJETO PERFURAÇÃO'!$B:$B,0)),"")</f>
        <v/>
      </c>
      <c r="M385" s="17">
        <f>IFERROR(INDEX('PROJETO PERFURAÇÃO'!$AN:$AN,MATCH(MEDIÇÃO!K385,'PROJETO PERFURAÇÃO'!$B:$B,0)),"")</f>
        <v>0</v>
      </c>
      <c r="N385" s="3"/>
      <c r="O385" s="3"/>
      <c r="P385" s="3" t="str">
        <f>IFERROR(ROUND(INDEX('PROJETO PERFURAÇÃO'!$AB:$AB,MATCH(MEDIÇÃO!R385,'PROJETO PERFURAÇÃO'!$B:$B,0)),1)&amp;"''","")</f>
        <v>5''</v>
      </c>
      <c r="Q385" s="3" t="str">
        <f>IFERROR(IF(INDEX('PROJETO PERFURAÇÃO'!$P:$P,MATCH(MEDIÇÃO!R385,'PROJETO PERFURAÇÃO'!$B:$B,0))="Production","P",IF(INDEX('PROJETO PERFURAÇÃO'!$P:$P,MATCH(MEDIÇÃO!R385,'PROJETO PERFURAÇÃO'!$B:$B,0))="Buffer","B",IF(INDEX('PROJETO PERFURAÇÃO'!$P:$P,MATCH(MEDIÇÃO!R385,'PROJETO PERFURAÇÃO'!$B:$B,0))="Pre-Splitting","S"))),"")</f>
        <v>P</v>
      </c>
      <c r="R385" s="14">
        <f t="shared" si="38"/>
        <v>883</v>
      </c>
      <c r="S385" s="4" t="str">
        <f>IFERROR(INDEX('LEV R&amp;D'!$D:$D,MATCH(MEDIÇÃO!R385,'LEV R&amp;D'!$A:$A,0))-INDEX('PROJETO PERFURAÇÃO'!$AH:$AH,MATCH(MEDIÇÃO!R385,'PROJETO PERFURAÇÃO'!$B:$B,0)),"")</f>
        <v/>
      </c>
      <c r="T385" s="17">
        <f>IFERROR(INDEX('PROJETO PERFURAÇÃO'!$AN:$AN,MATCH(MEDIÇÃO!R385,'PROJETO PERFURAÇÃO'!$B:$B,0)),"")</f>
        <v>0</v>
      </c>
      <c r="U385" s="3"/>
      <c r="V385" s="3"/>
    </row>
    <row r="386" spans="2:22" ht="45" customHeight="1" x14ac:dyDescent="0.25">
      <c r="B386" s="3" t="str">
        <f>IFERROR(ROUND(INDEX('PROJETO PERFURAÇÃO'!$AB:$AB,MATCH(MEDIÇÃO!D386,'PROJETO PERFURAÇÃO'!$B:$B,0)),1)&amp;"''","")</f>
        <v>5''</v>
      </c>
      <c r="C386" s="3" t="str">
        <f>IFERROR(IF(INDEX('PROJETO PERFURAÇÃO'!$P:$P,MATCH(MEDIÇÃO!D386,'PROJETO PERFURAÇÃO'!$B:$B,0))="Production","P",IF(INDEX('PROJETO PERFURAÇÃO'!$P:$P,MATCH(MEDIÇÃO!D386,'PROJETO PERFURAÇÃO'!$B:$B,0))="Buffer","B",IF(INDEX('PROJETO PERFURAÇÃO'!$P:$P,MATCH(MEDIÇÃO!D386,'PROJETO PERFURAÇÃO'!$B:$B,0))="Pre-Splitting","S"))),"")</f>
        <v>P</v>
      </c>
      <c r="D386" s="14">
        <f t="shared" si="36"/>
        <v>838</v>
      </c>
      <c r="E386" s="4" t="str">
        <f>IFERROR(INDEX('LEV R&amp;D'!$D:$D,MATCH(MEDIÇÃO!D386,'LEV R&amp;D'!$A:$A,0))-INDEX('PROJETO PERFURAÇÃO'!$AH:$AH,MATCH(MEDIÇÃO!D386,'PROJETO PERFURAÇÃO'!$B:$B,0)),"")</f>
        <v/>
      </c>
      <c r="F386" s="17">
        <f>IFERROR(INDEX('PROJETO PERFURAÇÃO'!$AN:$AN,MATCH(MEDIÇÃO!D386,'PROJETO PERFURAÇÃO'!$B:$B,0)),"")</f>
        <v>0</v>
      </c>
      <c r="G386" s="3"/>
      <c r="H386" s="3"/>
      <c r="I386" s="3" t="str">
        <f>IFERROR(ROUND(INDEX('PROJETO PERFURAÇÃO'!$AB:$AB,MATCH(MEDIÇÃO!K386,'PROJETO PERFURAÇÃO'!$B:$B,0)),1)&amp;"''","")</f>
        <v>5''</v>
      </c>
      <c r="J386" s="3" t="str">
        <f>IFERROR(IF(INDEX('PROJETO PERFURAÇÃO'!$P:$P,MATCH(MEDIÇÃO!K386,'PROJETO PERFURAÇÃO'!$B:$B,0))="Production","P",IF(INDEX('PROJETO PERFURAÇÃO'!$P:$P,MATCH(MEDIÇÃO!K386,'PROJETO PERFURAÇÃO'!$B:$B,0))="Buffer","B",IF(INDEX('PROJETO PERFURAÇÃO'!$P:$P,MATCH(MEDIÇÃO!K386,'PROJETO PERFURAÇÃO'!$B:$B,0))="Pre-Splitting","S"))),"")</f>
        <v>P</v>
      </c>
      <c r="K386" s="14">
        <f t="shared" si="37"/>
        <v>861</v>
      </c>
      <c r="L386" s="4" t="str">
        <f>IFERROR(INDEX('LEV R&amp;D'!$D:$D,MATCH(MEDIÇÃO!K386,'LEV R&amp;D'!$A:$A,0))-INDEX('PROJETO PERFURAÇÃO'!$AH:$AH,MATCH(MEDIÇÃO!K386,'PROJETO PERFURAÇÃO'!$B:$B,0)),"")</f>
        <v/>
      </c>
      <c r="M386" s="17">
        <f>IFERROR(INDEX('PROJETO PERFURAÇÃO'!$AN:$AN,MATCH(MEDIÇÃO!K386,'PROJETO PERFURAÇÃO'!$B:$B,0)),"")</f>
        <v>0</v>
      </c>
      <c r="N386" s="3"/>
      <c r="O386" s="3"/>
      <c r="P386" s="3" t="str">
        <f>IFERROR(ROUND(INDEX('PROJETO PERFURAÇÃO'!$AB:$AB,MATCH(MEDIÇÃO!R386,'PROJETO PERFURAÇÃO'!$B:$B,0)),1)&amp;"''","")</f>
        <v>5''</v>
      </c>
      <c r="Q386" s="3" t="str">
        <f>IFERROR(IF(INDEX('PROJETO PERFURAÇÃO'!$P:$P,MATCH(MEDIÇÃO!R386,'PROJETO PERFURAÇÃO'!$B:$B,0))="Production","P",IF(INDEX('PROJETO PERFURAÇÃO'!$P:$P,MATCH(MEDIÇÃO!R386,'PROJETO PERFURAÇÃO'!$B:$B,0))="Buffer","B",IF(INDEX('PROJETO PERFURAÇÃO'!$P:$P,MATCH(MEDIÇÃO!R386,'PROJETO PERFURAÇÃO'!$B:$B,0))="Pre-Splitting","S"))),"")</f>
        <v>P</v>
      </c>
      <c r="R386" s="14">
        <f t="shared" si="38"/>
        <v>884</v>
      </c>
      <c r="S386" s="4" t="str">
        <f>IFERROR(INDEX('LEV R&amp;D'!$D:$D,MATCH(MEDIÇÃO!R386,'LEV R&amp;D'!$A:$A,0))-INDEX('PROJETO PERFURAÇÃO'!$AH:$AH,MATCH(MEDIÇÃO!R386,'PROJETO PERFURAÇÃO'!$B:$B,0)),"")</f>
        <v/>
      </c>
      <c r="T386" s="17">
        <f>IFERROR(INDEX('PROJETO PERFURAÇÃO'!$AN:$AN,MATCH(MEDIÇÃO!R386,'PROJETO PERFURAÇÃO'!$B:$B,0)),"")</f>
        <v>0</v>
      </c>
      <c r="U386" s="3"/>
      <c r="V386" s="3"/>
    </row>
    <row r="387" spans="2:22" ht="45" customHeight="1" x14ac:dyDescent="0.25">
      <c r="B387" s="3" t="str">
        <f>IFERROR(ROUND(INDEX('PROJETO PERFURAÇÃO'!$AB:$AB,MATCH(MEDIÇÃO!D387,'PROJETO PERFURAÇÃO'!$B:$B,0)),1)&amp;"''","")</f>
        <v>5''</v>
      </c>
      <c r="C387" s="3" t="str">
        <f>IFERROR(IF(INDEX('PROJETO PERFURAÇÃO'!$P:$P,MATCH(MEDIÇÃO!D387,'PROJETO PERFURAÇÃO'!$B:$B,0))="Production","P",IF(INDEX('PROJETO PERFURAÇÃO'!$P:$P,MATCH(MEDIÇÃO!D387,'PROJETO PERFURAÇÃO'!$B:$B,0))="Buffer","B",IF(INDEX('PROJETO PERFURAÇÃO'!$P:$P,MATCH(MEDIÇÃO!D387,'PROJETO PERFURAÇÃO'!$B:$B,0))="Pre-Splitting","S"))),"")</f>
        <v>P</v>
      </c>
      <c r="D387" s="14">
        <f t="shared" si="36"/>
        <v>839</v>
      </c>
      <c r="E387" s="4" t="str">
        <f>IFERROR(INDEX('LEV R&amp;D'!$D:$D,MATCH(MEDIÇÃO!D387,'LEV R&amp;D'!$A:$A,0))-INDEX('PROJETO PERFURAÇÃO'!$AH:$AH,MATCH(MEDIÇÃO!D387,'PROJETO PERFURAÇÃO'!$B:$B,0)),"")</f>
        <v/>
      </c>
      <c r="F387" s="17">
        <f>IFERROR(INDEX('PROJETO PERFURAÇÃO'!$AN:$AN,MATCH(MEDIÇÃO!D387,'PROJETO PERFURAÇÃO'!$B:$B,0)),"")</f>
        <v>0</v>
      </c>
      <c r="G387" s="3"/>
      <c r="H387" s="3"/>
      <c r="I387" s="3" t="str">
        <f>IFERROR(ROUND(INDEX('PROJETO PERFURAÇÃO'!$AB:$AB,MATCH(MEDIÇÃO!K387,'PROJETO PERFURAÇÃO'!$B:$B,0)),1)&amp;"''","")</f>
        <v>5''</v>
      </c>
      <c r="J387" s="3" t="str">
        <f>IFERROR(IF(INDEX('PROJETO PERFURAÇÃO'!$P:$P,MATCH(MEDIÇÃO!K387,'PROJETO PERFURAÇÃO'!$B:$B,0))="Production","P",IF(INDEX('PROJETO PERFURAÇÃO'!$P:$P,MATCH(MEDIÇÃO!K387,'PROJETO PERFURAÇÃO'!$B:$B,0))="Buffer","B",IF(INDEX('PROJETO PERFURAÇÃO'!$P:$P,MATCH(MEDIÇÃO!K387,'PROJETO PERFURAÇÃO'!$B:$B,0))="Pre-Splitting","S"))),"")</f>
        <v>P</v>
      </c>
      <c r="K387" s="14">
        <f t="shared" si="37"/>
        <v>862</v>
      </c>
      <c r="L387" s="4" t="str">
        <f>IFERROR(INDEX('LEV R&amp;D'!$D:$D,MATCH(MEDIÇÃO!K387,'LEV R&amp;D'!$A:$A,0))-INDEX('PROJETO PERFURAÇÃO'!$AH:$AH,MATCH(MEDIÇÃO!K387,'PROJETO PERFURAÇÃO'!$B:$B,0)),"")</f>
        <v/>
      </c>
      <c r="M387" s="17">
        <f>IFERROR(INDEX('PROJETO PERFURAÇÃO'!$AN:$AN,MATCH(MEDIÇÃO!K387,'PROJETO PERFURAÇÃO'!$B:$B,0)),"")</f>
        <v>0</v>
      </c>
      <c r="N387" s="3"/>
      <c r="O387" s="3"/>
      <c r="P387" s="3" t="str">
        <f>IFERROR(ROUND(INDEX('PROJETO PERFURAÇÃO'!$AB:$AB,MATCH(MEDIÇÃO!R387,'PROJETO PERFURAÇÃO'!$B:$B,0)),1)&amp;"''","")</f>
        <v>5''</v>
      </c>
      <c r="Q387" s="3" t="str">
        <f>IFERROR(IF(INDEX('PROJETO PERFURAÇÃO'!$P:$P,MATCH(MEDIÇÃO!R387,'PROJETO PERFURAÇÃO'!$B:$B,0))="Production","P",IF(INDEX('PROJETO PERFURAÇÃO'!$P:$P,MATCH(MEDIÇÃO!R387,'PROJETO PERFURAÇÃO'!$B:$B,0))="Buffer","B",IF(INDEX('PROJETO PERFURAÇÃO'!$P:$P,MATCH(MEDIÇÃO!R387,'PROJETO PERFURAÇÃO'!$B:$B,0))="Pre-Splitting","S"))),"")</f>
        <v>P</v>
      </c>
      <c r="R387" s="14">
        <f t="shared" si="38"/>
        <v>885</v>
      </c>
      <c r="S387" s="4" t="str">
        <f>IFERROR(INDEX('LEV R&amp;D'!$D:$D,MATCH(MEDIÇÃO!R387,'LEV R&amp;D'!$A:$A,0))-INDEX('PROJETO PERFURAÇÃO'!$AH:$AH,MATCH(MEDIÇÃO!R387,'PROJETO PERFURAÇÃO'!$B:$B,0)),"")</f>
        <v/>
      </c>
      <c r="T387" s="17">
        <f>IFERROR(INDEX('PROJETO PERFURAÇÃO'!$AN:$AN,MATCH(MEDIÇÃO!R387,'PROJETO PERFURAÇÃO'!$B:$B,0)),"")</f>
        <v>0</v>
      </c>
      <c r="U387" s="3"/>
      <c r="V387" s="3"/>
    </row>
    <row r="388" spans="2:22" ht="45" customHeight="1" x14ac:dyDescent="0.25">
      <c r="B388" s="3" t="str">
        <f>IFERROR(ROUND(INDEX('PROJETO PERFURAÇÃO'!$AB:$AB,MATCH(MEDIÇÃO!D388,'PROJETO PERFURAÇÃO'!$B:$B,0)),1)&amp;"''","")</f>
        <v>5''</v>
      </c>
      <c r="C388" s="3" t="str">
        <f>IFERROR(IF(INDEX('PROJETO PERFURAÇÃO'!$P:$P,MATCH(MEDIÇÃO!D388,'PROJETO PERFURAÇÃO'!$B:$B,0))="Production","P",IF(INDEX('PROJETO PERFURAÇÃO'!$P:$P,MATCH(MEDIÇÃO!D388,'PROJETO PERFURAÇÃO'!$B:$B,0))="Buffer","B",IF(INDEX('PROJETO PERFURAÇÃO'!$P:$P,MATCH(MEDIÇÃO!D388,'PROJETO PERFURAÇÃO'!$B:$B,0))="Pre-Splitting","S"))),"")</f>
        <v>P</v>
      </c>
      <c r="D388" s="14">
        <f t="shared" si="36"/>
        <v>840</v>
      </c>
      <c r="E388" s="4" t="str">
        <f>IFERROR(INDEX('LEV R&amp;D'!$D:$D,MATCH(MEDIÇÃO!D388,'LEV R&amp;D'!$A:$A,0))-INDEX('PROJETO PERFURAÇÃO'!$AH:$AH,MATCH(MEDIÇÃO!D388,'PROJETO PERFURAÇÃO'!$B:$B,0)),"")</f>
        <v/>
      </c>
      <c r="F388" s="17">
        <f>IFERROR(INDEX('PROJETO PERFURAÇÃO'!$AN:$AN,MATCH(MEDIÇÃO!D388,'PROJETO PERFURAÇÃO'!$B:$B,0)),"")</f>
        <v>0</v>
      </c>
      <c r="G388" s="3"/>
      <c r="H388" s="3"/>
      <c r="I388" s="3" t="str">
        <f>IFERROR(ROUND(INDEX('PROJETO PERFURAÇÃO'!$AB:$AB,MATCH(MEDIÇÃO!K388,'PROJETO PERFURAÇÃO'!$B:$B,0)),1)&amp;"''","")</f>
        <v>5''</v>
      </c>
      <c r="J388" s="3" t="str">
        <f>IFERROR(IF(INDEX('PROJETO PERFURAÇÃO'!$P:$P,MATCH(MEDIÇÃO!K388,'PROJETO PERFURAÇÃO'!$B:$B,0))="Production","P",IF(INDEX('PROJETO PERFURAÇÃO'!$P:$P,MATCH(MEDIÇÃO!K388,'PROJETO PERFURAÇÃO'!$B:$B,0))="Buffer","B",IF(INDEX('PROJETO PERFURAÇÃO'!$P:$P,MATCH(MEDIÇÃO!K388,'PROJETO PERFURAÇÃO'!$B:$B,0))="Pre-Splitting","S"))),"")</f>
        <v>P</v>
      </c>
      <c r="K388" s="14">
        <f t="shared" si="37"/>
        <v>863</v>
      </c>
      <c r="L388" s="4" t="str">
        <f>IFERROR(INDEX('LEV R&amp;D'!$D:$D,MATCH(MEDIÇÃO!K388,'LEV R&amp;D'!$A:$A,0))-INDEX('PROJETO PERFURAÇÃO'!$AH:$AH,MATCH(MEDIÇÃO!K388,'PROJETO PERFURAÇÃO'!$B:$B,0)),"")</f>
        <v/>
      </c>
      <c r="M388" s="17">
        <f>IFERROR(INDEX('PROJETO PERFURAÇÃO'!$AN:$AN,MATCH(MEDIÇÃO!K388,'PROJETO PERFURAÇÃO'!$B:$B,0)),"")</f>
        <v>0</v>
      </c>
      <c r="N388" s="3"/>
      <c r="O388" s="3"/>
      <c r="P388" s="3" t="str">
        <f>IFERROR(ROUND(INDEX('PROJETO PERFURAÇÃO'!$AB:$AB,MATCH(MEDIÇÃO!R388,'PROJETO PERFURAÇÃO'!$B:$B,0)),1)&amp;"''","")</f>
        <v>5''</v>
      </c>
      <c r="Q388" s="3" t="str">
        <f>IFERROR(IF(INDEX('PROJETO PERFURAÇÃO'!$P:$P,MATCH(MEDIÇÃO!R388,'PROJETO PERFURAÇÃO'!$B:$B,0))="Production","P",IF(INDEX('PROJETO PERFURAÇÃO'!$P:$P,MATCH(MEDIÇÃO!R388,'PROJETO PERFURAÇÃO'!$B:$B,0))="Buffer","B",IF(INDEX('PROJETO PERFURAÇÃO'!$P:$P,MATCH(MEDIÇÃO!R388,'PROJETO PERFURAÇÃO'!$B:$B,0))="Pre-Splitting","S"))),"")</f>
        <v>P</v>
      </c>
      <c r="R388" s="14">
        <f t="shared" si="38"/>
        <v>886</v>
      </c>
      <c r="S388" s="4" t="str">
        <f>IFERROR(INDEX('LEV R&amp;D'!$D:$D,MATCH(MEDIÇÃO!R388,'LEV R&amp;D'!$A:$A,0))-INDEX('PROJETO PERFURAÇÃO'!$AH:$AH,MATCH(MEDIÇÃO!R388,'PROJETO PERFURAÇÃO'!$B:$B,0)),"")</f>
        <v/>
      </c>
      <c r="T388" s="17">
        <f>IFERROR(INDEX('PROJETO PERFURAÇÃO'!$AN:$AN,MATCH(MEDIÇÃO!R388,'PROJETO PERFURAÇÃO'!$B:$B,0)),"")</f>
        <v>0</v>
      </c>
      <c r="U388" s="3"/>
      <c r="V388" s="3"/>
    </row>
    <row r="389" spans="2:22" ht="45" customHeight="1" x14ac:dyDescent="0.25">
      <c r="B389" s="3" t="str">
        <f>IFERROR(ROUND(INDEX('PROJETO PERFURAÇÃO'!$AB:$AB,MATCH(MEDIÇÃO!D389,'PROJETO PERFURAÇÃO'!$B:$B,0)),1)&amp;"''","")</f>
        <v>5''</v>
      </c>
      <c r="C389" s="3" t="str">
        <f>IFERROR(IF(INDEX('PROJETO PERFURAÇÃO'!$P:$P,MATCH(MEDIÇÃO!D389,'PROJETO PERFURAÇÃO'!$B:$B,0))="Production","P",IF(INDEX('PROJETO PERFURAÇÃO'!$P:$P,MATCH(MEDIÇÃO!D389,'PROJETO PERFURAÇÃO'!$B:$B,0))="Buffer","B",IF(INDEX('PROJETO PERFURAÇÃO'!$P:$P,MATCH(MEDIÇÃO!D389,'PROJETO PERFURAÇÃO'!$B:$B,0))="Pre-Splitting","S"))),"")</f>
        <v>P</v>
      </c>
      <c r="D389" s="14">
        <f t="shared" si="36"/>
        <v>841</v>
      </c>
      <c r="E389" s="4" t="str">
        <f>IFERROR(INDEX('LEV R&amp;D'!$D:$D,MATCH(MEDIÇÃO!D389,'LEV R&amp;D'!$A:$A,0))-INDEX('PROJETO PERFURAÇÃO'!$AH:$AH,MATCH(MEDIÇÃO!D389,'PROJETO PERFURAÇÃO'!$B:$B,0)),"")</f>
        <v/>
      </c>
      <c r="F389" s="17">
        <f>IFERROR(INDEX('PROJETO PERFURAÇÃO'!$AN:$AN,MATCH(MEDIÇÃO!D389,'PROJETO PERFURAÇÃO'!$B:$B,0)),"")</f>
        <v>0</v>
      </c>
      <c r="G389" s="3"/>
      <c r="H389" s="3"/>
      <c r="I389" s="3" t="str">
        <f>IFERROR(ROUND(INDEX('PROJETO PERFURAÇÃO'!$AB:$AB,MATCH(MEDIÇÃO!K389,'PROJETO PERFURAÇÃO'!$B:$B,0)),1)&amp;"''","")</f>
        <v>5''</v>
      </c>
      <c r="J389" s="3" t="str">
        <f>IFERROR(IF(INDEX('PROJETO PERFURAÇÃO'!$P:$P,MATCH(MEDIÇÃO!K389,'PROJETO PERFURAÇÃO'!$B:$B,0))="Production","P",IF(INDEX('PROJETO PERFURAÇÃO'!$P:$P,MATCH(MEDIÇÃO!K389,'PROJETO PERFURAÇÃO'!$B:$B,0))="Buffer","B",IF(INDEX('PROJETO PERFURAÇÃO'!$P:$P,MATCH(MEDIÇÃO!K389,'PROJETO PERFURAÇÃO'!$B:$B,0))="Pre-Splitting","S"))),"")</f>
        <v>P</v>
      </c>
      <c r="K389" s="14">
        <f t="shared" si="37"/>
        <v>864</v>
      </c>
      <c r="L389" s="4" t="str">
        <f>IFERROR(INDEX('LEV R&amp;D'!$D:$D,MATCH(MEDIÇÃO!K389,'LEV R&amp;D'!$A:$A,0))-INDEX('PROJETO PERFURAÇÃO'!$AH:$AH,MATCH(MEDIÇÃO!K389,'PROJETO PERFURAÇÃO'!$B:$B,0)),"")</f>
        <v/>
      </c>
      <c r="M389" s="17">
        <f>IFERROR(INDEX('PROJETO PERFURAÇÃO'!$AN:$AN,MATCH(MEDIÇÃO!K389,'PROJETO PERFURAÇÃO'!$B:$B,0)),"")</f>
        <v>0</v>
      </c>
      <c r="N389" s="3"/>
      <c r="O389" s="3"/>
      <c r="P389" s="3" t="str">
        <f>IFERROR(ROUND(INDEX('PROJETO PERFURAÇÃO'!$AB:$AB,MATCH(MEDIÇÃO!R389,'PROJETO PERFURAÇÃO'!$B:$B,0)),1)&amp;"''","")</f>
        <v>5''</v>
      </c>
      <c r="Q389" s="3" t="str">
        <f>IFERROR(IF(INDEX('PROJETO PERFURAÇÃO'!$P:$P,MATCH(MEDIÇÃO!R389,'PROJETO PERFURAÇÃO'!$B:$B,0))="Production","P",IF(INDEX('PROJETO PERFURAÇÃO'!$P:$P,MATCH(MEDIÇÃO!R389,'PROJETO PERFURAÇÃO'!$B:$B,0))="Buffer","B",IF(INDEX('PROJETO PERFURAÇÃO'!$P:$P,MATCH(MEDIÇÃO!R389,'PROJETO PERFURAÇÃO'!$B:$B,0))="Pre-Splitting","S"))),"")</f>
        <v>P</v>
      </c>
      <c r="R389" s="14">
        <f t="shared" si="38"/>
        <v>887</v>
      </c>
      <c r="S389" s="4" t="str">
        <f>IFERROR(INDEX('LEV R&amp;D'!$D:$D,MATCH(MEDIÇÃO!R389,'LEV R&amp;D'!$A:$A,0))-INDEX('PROJETO PERFURAÇÃO'!$AH:$AH,MATCH(MEDIÇÃO!R389,'PROJETO PERFURAÇÃO'!$B:$B,0)),"")</f>
        <v/>
      </c>
      <c r="T389" s="17">
        <f>IFERROR(INDEX('PROJETO PERFURAÇÃO'!$AN:$AN,MATCH(MEDIÇÃO!R389,'PROJETO PERFURAÇÃO'!$B:$B,0)),"")</f>
        <v>0</v>
      </c>
      <c r="U389" s="3"/>
      <c r="V389" s="3"/>
    </row>
    <row r="390" spans="2:22" ht="45" customHeight="1" x14ac:dyDescent="0.25">
      <c r="B390" s="3" t="str">
        <f>IFERROR(ROUND(INDEX('PROJETO PERFURAÇÃO'!$AB:$AB,MATCH(MEDIÇÃO!D390,'PROJETO PERFURAÇÃO'!$B:$B,0)),1)&amp;"''","")</f>
        <v>5''</v>
      </c>
      <c r="C390" s="3" t="str">
        <f>IFERROR(IF(INDEX('PROJETO PERFURAÇÃO'!$P:$P,MATCH(MEDIÇÃO!D390,'PROJETO PERFURAÇÃO'!$B:$B,0))="Production","P",IF(INDEX('PROJETO PERFURAÇÃO'!$P:$P,MATCH(MEDIÇÃO!D390,'PROJETO PERFURAÇÃO'!$B:$B,0))="Buffer","B",IF(INDEX('PROJETO PERFURAÇÃO'!$P:$P,MATCH(MEDIÇÃO!D390,'PROJETO PERFURAÇÃO'!$B:$B,0))="Pre-Splitting","S"))),"")</f>
        <v>P</v>
      </c>
      <c r="D390" s="14">
        <f t="shared" si="36"/>
        <v>842</v>
      </c>
      <c r="E390" s="4" t="str">
        <f>IFERROR(INDEX('LEV R&amp;D'!$D:$D,MATCH(MEDIÇÃO!D390,'LEV R&amp;D'!$A:$A,0))-INDEX('PROJETO PERFURAÇÃO'!$AH:$AH,MATCH(MEDIÇÃO!D390,'PROJETO PERFURAÇÃO'!$B:$B,0)),"")</f>
        <v/>
      </c>
      <c r="F390" s="17">
        <f>IFERROR(INDEX('PROJETO PERFURAÇÃO'!$AN:$AN,MATCH(MEDIÇÃO!D390,'PROJETO PERFURAÇÃO'!$B:$B,0)),"")</f>
        <v>0</v>
      </c>
      <c r="G390" s="3"/>
      <c r="H390" s="3"/>
      <c r="I390" s="3" t="str">
        <f>IFERROR(ROUND(INDEX('PROJETO PERFURAÇÃO'!$AB:$AB,MATCH(MEDIÇÃO!K390,'PROJETO PERFURAÇÃO'!$B:$B,0)),1)&amp;"''","")</f>
        <v>5''</v>
      </c>
      <c r="J390" s="3" t="str">
        <f>IFERROR(IF(INDEX('PROJETO PERFURAÇÃO'!$P:$P,MATCH(MEDIÇÃO!K390,'PROJETO PERFURAÇÃO'!$B:$B,0))="Production","P",IF(INDEX('PROJETO PERFURAÇÃO'!$P:$P,MATCH(MEDIÇÃO!K390,'PROJETO PERFURAÇÃO'!$B:$B,0))="Buffer","B",IF(INDEX('PROJETO PERFURAÇÃO'!$P:$P,MATCH(MEDIÇÃO!K390,'PROJETO PERFURAÇÃO'!$B:$B,0))="Pre-Splitting","S"))),"")</f>
        <v>P</v>
      </c>
      <c r="K390" s="14">
        <f t="shared" si="37"/>
        <v>865</v>
      </c>
      <c r="L390" s="4" t="str">
        <f>IFERROR(INDEX('LEV R&amp;D'!$D:$D,MATCH(MEDIÇÃO!K390,'LEV R&amp;D'!$A:$A,0))-INDEX('PROJETO PERFURAÇÃO'!$AH:$AH,MATCH(MEDIÇÃO!K390,'PROJETO PERFURAÇÃO'!$B:$B,0)),"")</f>
        <v/>
      </c>
      <c r="M390" s="17">
        <f>IFERROR(INDEX('PROJETO PERFURAÇÃO'!$AN:$AN,MATCH(MEDIÇÃO!K390,'PROJETO PERFURAÇÃO'!$B:$B,0)),"")</f>
        <v>0</v>
      </c>
      <c r="N390" s="3"/>
      <c r="O390" s="3"/>
      <c r="P390" s="3" t="str">
        <f>IFERROR(ROUND(INDEX('PROJETO PERFURAÇÃO'!$AB:$AB,MATCH(MEDIÇÃO!R390,'PROJETO PERFURAÇÃO'!$B:$B,0)),1)&amp;"''","")</f>
        <v>5''</v>
      </c>
      <c r="Q390" s="3" t="str">
        <f>IFERROR(IF(INDEX('PROJETO PERFURAÇÃO'!$P:$P,MATCH(MEDIÇÃO!R390,'PROJETO PERFURAÇÃO'!$B:$B,0))="Production","P",IF(INDEX('PROJETO PERFURAÇÃO'!$P:$P,MATCH(MEDIÇÃO!R390,'PROJETO PERFURAÇÃO'!$B:$B,0))="Buffer","B",IF(INDEX('PROJETO PERFURAÇÃO'!$P:$P,MATCH(MEDIÇÃO!R390,'PROJETO PERFURAÇÃO'!$B:$B,0))="Pre-Splitting","S"))),"")</f>
        <v>P</v>
      </c>
      <c r="R390" s="14">
        <f t="shared" si="38"/>
        <v>888</v>
      </c>
      <c r="S390" s="4" t="str">
        <f>IFERROR(INDEX('LEV R&amp;D'!$D:$D,MATCH(MEDIÇÃO!R390,'LEV R&amp;D'!$A:$A,0))-INDEX('PROJETO PERFURAÇÃO'!$AH:$AH,MATCH(MEDIÇÃO!R390,'PROJETO PERFURAÇÃO'!$B:$B,0)),"")</f>
        <v/>
      </c>
      <c r="T390" s="17">
        <f>IFERROR(INDEX('PROJETO PERFURAÇÃO'!$AN:$AN,MATCH(MEDIÇÃO!R390,'PROJETO PERFURAÇÃO'!$B:$B,0)),"")</f>
        <v>0</v>
      </c>
      <c r="U390" s="3"/>
      <c r="V390" s="3"/>
    </row>
    <row r="391" spans="2:22" ht="45" customHeight="1" x14ac:dyDescent="0.25">
      <c r="B391" s="3" t="str">
        <f>IFERROR(ROUND(INDEX('PROJETO PERFURAÇÃO'!$AB:$AB,MATCH(MEDIÇÃO!D391,'PROJETO PERFURAÇÃO'!$B:$B,0)),1)&amp;"''","")</f>
        <v>5''</v>
      </c>
      <c r="C391" s="3" t="str">
        <f>IFERROR(IF(INDEX('PROJETO PERFURAÇÃO'!$P:$P,MATCH(MEDIÇÃO!D391,'PROJETO PERFURAÇÃO'!$B:$B,0))="Production","P",IF(INDEX('PROJETO PERFURAÇÃO'!$P:$P,MATCH(MEDIÇÃO!D391,'PROJETO PERFURAÇÃO'!$B:$B,0))="Buffer","B",IF(INDEX('PROJETO PERFURAÇÃO'!$P:$P,MATCH(MEDIÇÃO!D391,'PROJETO PERFURAÇÃO'!$B:$B,0))="Pre-Splitting","S"))),"")</f>
        <v>P</v>
      </c>
      <c r="D391" s="14">
        <f t="shared" si="36"/>
        <v>843</v>
      </c>
      <c r="E391" s="4" t="str">
        <f>IFERROR(INDEX('LEV R&amp;D'!$D:$D,MATCH(MEDIÇÃO!D391,'LEV R&amp;D'!$A:$A,0))-INDEX('PROJETO PERFURAÇÃO'!$AH:$AH,MATCH(MEDIÇÃO!D391,'PROJETO PERFURAÇÃO'!$B:$B,0)),"")</f>
        <v/>
      </c>
      <c r="F391" s="17">
        <f>IFERROR(INDEX('PROJETO PERFURAÇÃO'!$AN:$AN,MATCH(MEDIÇÃO!D391,'PROJETO PERFURAÇÃO'!$B:$B,0)),"")</f>
        <v>0</v>
      </c>
      <c r="G391" s="3"/>
      <c r="H391" s="3"/>
      <c r="I391" s="3" t="str">
        <f>IFERROR(ROUND(INDEX('PROJETO PERFURAÇÃO'!$AB:$AB,MATCH(MEDIÇÃO!K391,'PROJETO PERFURAÇÃO'!$B:$B,0)),1)&amp;"''","")</f>
        <v>5''</v>
      </c>
      <c r="J391" s="3" t="str">
        <f>IFERROR(IF(INDEX('PROJETO PERFURAÇÃO'!$P:$P,MATCH(MEDIÇÃO!K391,'PROJETO PERFURAÇÃO'!$B:$B,0))="Production","P",IF(INDEX('PROJETO PERFURAÇÃO'!$P:$P,MATCH(MEDIÇÃO!K391,'PROJETO PERFURAÇÃO'!$B:$B,0))="Buffer","B",IF(INDEX('PROJETO PERFURAÇÃO'!$P:$P,MATCH(MEDIÇÃO!K391,'PROJETO PERFURAÇÃO'!$B:$B,0))="Pre-Splitting","S"))),"")</f>
        <v>P</v>
      </c>
      <c r="K391" s="14">
        <f t="shared" si="37"/>
        <v>866</v>
      </c>
      <c r="L391" s="4" t="str">
        <f>IFERROR(INDEX('LEV R&amp;D'!$D:$D,MATCH(MEDIÇÃO!K391,'LEV R&amp;D'!$A:$A,0))-INDEX('PROJETO PERFURAÇÃO'!$AH:$AH,MATCH(MEDIÇÃO!K391,'PROJETO PERFURAÇÃO'!$B:$B,0)),"")</f>
        <v/>
      </c>
      <c r="M391" s="17">
        <f>IFERROR(INDEX('PROJETO PERFURAÇÃO'!$AN:$AN,MATCH(MEDIÇÃO!K391,'PROJETO PERFURAÇÃO'!$B:$B,0)),"")</f>
        <v>5</v>
      </c>
      <c r="N391" s="3"/>
      <c r="O391" s="3"/>
      <c r="P391" s="3" t="str">
        <f>IFERROR(ROUND(INDEX('PROJETO PERFURAÇÃO'!$AB:$AB,MATCH(MEDIÇÃO!R391,'PROJETO PERFURAÇÃO'!$B:$B,0)),1)&amp;"''","")</f>
        <v>5''</v>
      </c>
      <c r="Q391" s="3" t="str">
        <f>IFERROR(IF(INDEX('PROJETO PERFURAÇÃO'!$P:$P,MATCH(MEDIÇÃO!R391,'PROJETO PERFURAÇÃO'!$B:$B,0))="Production","P",IF(INDEX('PROJETO PERFURAÇÃO'!$P:$P,MATCH(MEDIÇÃO!R391,'PROJETO PERFURAÇÃO'!$B:$B,0))="Buffer","B",IF(INDEX('PROJETO PERFURAÇÃO'!$P:$P,MATCH(MEDIÇÃO!R391,'PROJETO PERFURAÇÃO'!$B:$B,0))="Pre-Splitting","S"))),"")</f>
        <v>P</v>
      </c>
      <c r="R391" s="14">
        <f t="shared" si="38"/>
        <v>889</v>
      </c>
      <c r="S391" s="4" t="str">
        <f>IFERROR(INDEX('LEV R&amp;D'!$D:$D,MATCH(MEDIÇÃO!R391,'LEV R&amp;D'!$A:$A,0))-INDEX('PROJETO PERFURAÇÃO'!$AH:$AH,MATCH(MEDIÇÃO!R391,'PROJETO PERFURAÇÃO'!$B:$B,0)),"")</f>
        <v/>
      </c>
      <c r="T391" s="17">
        <f>IFERROR(INDEX('PROJETO PERFURAÇÃO'!$AN:$AN,MATCH(MEDIÇÃO!R391,'PROJETO PERFURAÇÃO'!$B:$B,0)),"")</f>
        <v>0</v>
      </c>
      <c r="U391" s="3"/>
      <c r="V391" s="3"/>
    </row>
    <row r="392" spans="2:22" ht="45" customHeight="1" x14ac:dyDescent="0.25">
      <c r="B392" s="3" t="str">
        <f>IFERROR(ROUND(INDEX('PROJETO PERFURAÇÃO'!$AB:$AB,MATCH(MEDIÇÃO!D392,'PROJETO PERFURAÇÃO'!$B:$B,0)),1)&amp;"''","")</f>
        <v>5''</v>
      </c>
      <c r="C392" s="3" t="str">
        <f>IFERROR(IF(INDEX('PROJETO PERFURAÇÃO'!$P:$P,MATCH(MEDIÇÃO!D392,'PROJETO PERFURAÇÃO'!$B:$B,0))="Production","P",IF(INDEX('PROJETO PERFURAÇÃO'!$P:$P,MATCH(MEDIÇÃO!D392,'PROJETO PERFURAÇÃO'!$B:$B,0))="Buffer","B",IF(INDEX('PROJETO PERFURAÇÃO'!$P:$P,MATCH(MEDIÇÃO!D392,'PROJETO PERFURAÇÃO'!$B:$B,0))="Pre-Splitting","S"))),"")</f>
        <v>P</v>
      </c>
      <c r="D392" s="14">
        <f t="shared" si="36"/>
        <v>844</v>
      </c>
      <c r="E392" s="4" t="str">
        <f>IFERROR(INDEX('LEV R&amp;D'!$D:$D,MATCH(MEDIÇÃO!D392,'LEV R&amp;D'!$A:$A,0))-INDEX('PROJETO PERFURAÇÃO'!$AH:$AH,MATCH(MEDIÇÃO!D392,'PROJETO PERFURAÇÃO'!$B:$B,0)),"")</f>
        <v/>
      </c>
      <c r="F392" s="17">
        <f>IFERROR(INDEX('PROJETO PERFURAÇÃO'!$AN:$AN,MATCH(MEDIÇÃO!D392,'PROJETO PERFURAÇÃO'!$B:$B,0)),"")</f>
        <v>0</v>
      </c>
      <c r="G392" s="3"/>
      <c r="H392" s="3"/>
      <c r="I392" s="3" t="str">
        <f>IFERROR(ROUND(INDEX('PROJETO PERFURAÇÃO'!$AB:$AB,MATCH(MEDIÇÃO!K392,'PROJETO PERFURAÇÃO'!$B:$B,0)),1)&amp;"''","")</f>
        <v>5''</v>
      </c>
      <c r="J392" s="3" t="str">
        <f>IFERROR(IF(INDEX('PROJETO PERFURAÇÃO'!$P:$P,MATCH(MEDIÇÃO!K392,'PROJETO PERFURAÇÃO'!$B:$B,0))="Production","P",IF(INDEX('PROJETO PERFURAÇÃO'!$P:$P,MATCH(MEDIÇÃO!K392,'PROJETO PERFURAÇÃO'!$B:$B,0))="Buffer","B",IF(INDEX('PROJETO PERFURAÇÃO'!$P:$P,MATCH(MEDIÇÃO!K392,'PROJETO PERFURAÇÃO'!$B:$B,0))="Pre-Splitting","S"))),"")</f>
        <v>P</v>
      </c>
      <c r="K392" s="14">
        <f t="shared" si="37"/>
        <v>867</v>
      </c>
      <c r="L392" s="4" t="str">
        <f>IFERROR(INDEX('LEV R&amp;D'!$D:$D,MATCH(MEDIÇÃO!K392,'LEV R&amp;D'!$A:$A,0))-INDEX('PROJETO PERFURAÇÃO'!$AH:$AH,MATCH(MEDIÇÃO!K392,'PROJETO PERFURAÇÃO'!$B:$B,0)),"")</f>
        <v/>
      </c>
      <c r="M392" s="17">
        <f>IFERROR(INDEX('PROJETO PERFURAÇÃO'!$AN:$AN,MATCH(MEDIÇÃO!K392,'PROJETO PERFURAÇÃO'!$B:$B,0)),"")</f>
        <v>0</v>
      </c>
      <c r="N392" s="3"/>
      <c r="O392" s="3"/>
      <c r="P392" s="3" t="str">
        <f>IFERROR(ROUND(INDEX('PROJETO PERFURAÇÃO'!$AB:$AB,MATCH(MEDIÇÃO!R392,'PROJETO PERFURAÇÃO'!$B:$B,0)),1)&amp;"''","")</f>
        <v>5''</v>
      </c>
      <c r="Q392" s="3" t="str">
        <f>IFERROR(IF(INDEX('PROJETO PERFURAÇÃO'!$P:$P,MATCH(MEDIÇÃO!R392,'PROJETO PERFURAÇÃO'!$B:$B,0))="Production","P",IF(INDEX('PROJETO PERFURAÇÃO'!$P:$P,MATCH(MEDIÇÃO!R392,'PROJETO PERFURAÇÃO'!$B:$B,0))="Buffer","B",IF(INDEX('PROJETO PERFURAÇÃO'!$P:$P,MATCH(MEDIÇÃO!R392,'PROJETO PERFURAÇÃO'!$B:$B,0))="Pre-Splitting","S"))),"")</f>
        <v>P</v>
      </c>
      <c r="R392" s="14">
        <f t="shared" si="38"/>
        <v>890</v>
      </c>
      <c r="S392" s="4" t="str">
        <f>IFERROR(INDEX('LEV R&amp;D'!$D:$D,MATCH(MEDIÇÃO!R392,'LEV R&amp;D'!$A:$A,0))-INDEX('PROJETO PERFURAÇÃO'!$AH:$AH,MATCH(MEDIÇÃO!R392,'PROJETO PERFURAÇÃO'!$B:$B,0)),"")</f>
        <v/>
      </c>
      <c r="T392" s="17">
        <f>IFERROR(INDEX('PROJETO PERFURAÇÃO'!$AN:$AN,MATCH(MEDIÇÃO!R392,'PROJETO PERFURAÇÃO'!$B:$B,0)),"")</f>
        <v>0</v>
      </c>
      <c r="U392" s="3"/>
      <c r="V392" s="3"/>
    </row>
    <row r="393" spans="2:22" ht="45" customHeight="1" x14ac:dyDescent="0.25">
      <c r="B393" s="3" t="str">
        <f>IFERROR(ROUND(INDEX('PROJETO PERFURAÇÃO'!$AB:$AB,MATCH(MEDIÇÃO!D393,'PROJETO PERFURAÇÃO'!$B:$B,0)),1)&amp;"''","")</f>
        <v>5''</v>
      </c>
      <c r="C393" s="3" t="str">
        <f>IFERROR(IF(INDEX('PROJETO PERFURAÇÃO'!$P:$P,MATCH(MEDIÇÃO!D393,'PROJETO PERFURAÇÃO'!$B:$B,0))="Production","P",IF(INDEX('PROJETO PERFURAÇÃO'!$P:$P,MATCH(MEDIÇÃO!D393,'PROJETO PERFURAÇÃO'!$B:$B,0))="Buffer","B",IF(INDEX('PROJETO PERFURAÇÃO'!$P:$P,MATCH(MEDIÇÃO!D393,'PROJETO PERFURAÇÃO'!$B:$B,0))="Pre-Splitting","S"))),"")</f>
        <v>P</v>
      </c>
      <c r="D393" s="14">
        <f t="shared" si="36"/>
        <v>845</v>
      </c>
      <c r="E393" s="4" t="str">
        <f>IFERROR(INDEX('LEV R&amp;D'!$D:$D,MATCH(MEDIÇÃO!D393,'LEV R&amp;D'!$A:$A,0))-INDEX('PROJETO PERFURAÇÃO'!$AH:$AH,MATCH(MEDIÇÃO!D393,'PROJETO PERFURAÇÃO'!$B:$B,0)),"")</f>
        <v/>
      </c>
      <c r="F393" s="17">
        <f>IFERROR(INDEX('PROJETO PERFURAÇÃO'!$AN:$AN,MATCH(MEDIÇÃO!D393,'PROJETO PERFURAÇÃO'!$B:$B,0)),"")</f>
        <v>0</v>
      </c>
      <c r="G393" s="3"/>
      <c r="H393" s="3"/>
      <c r="I393" s="3" t="str">
        <f>IFERROR(ROUND(INDEX('PROJETO PERFURAÇÃO'!$AB:$AB,MATCH(MEDIÇÃO!K393,'PROJETO PERFURAÇÃO'!$B:$B,0)),1)&amp;"''","")</f>
        <v>5''</v>
      </c>
      <c r="J393" s="3" t="str">
        <f>IFERROR(IF(INDEX('PROJETO PERFURAÇÃO'!$P:$P,MATCH(MEDIÇÃO!K393,'PROJETO PERFURAÇÃO'!$B:$B,0))="Production","P",IF(INDEX('PROJETO PERFURAÇÃO'!$P:$P,MATCH(MEDIÇÃO!K393,'PROJETO PERFURAÇÃO'!$B:$B,0))="Buffer","B",IF(INDEX('PROJETO PERFURAÇÃO'!$P:$P,MATCH(MEDIÇÃO!K393,'PROJETO PERFURAÇÃO'!$B:$B,0))="Pre-Splitting","S"))),"")</f>
        <v>P</v>
      </c>
      <c r="K393" s="14">
        <f t="shared" si="37"/>
        <v>868</v>
      </c>
      <c r="L393" s="4" t="str">
        <f>IFERROR(INDEX('LEV R&amp;D'!$D:$D,MATCH(MEDIÇÃO!K393,'LEV R&amp;D'!$A:$A,0))-INDEX('PROJETO PERFURAÇÃO'!$AH:$AH,MATCH(MEDIÇÃO!K393,'PROJETO PERFURAÇÃO'!$B:$B,0)),"")</f>
        <v/>
      </c>
      <c r="M393" s="17">
        <f>IFERROR(INDEX('PROJETO PERFURAÇÃO'!$AN:$AN,MATCH(MEDIÇÃO!K393,'PROJETO PERFURAÇÃO'!$B:$B,0)),"")</f>
        <v>0</v>
      </c>
      <c r="N393" s="3"/>
      <c r="O393" s="3"/>
      <c r="P393" s="3" t="str">
        <f>IFERROR(ROUND(INDEX('PROJETO PERFURAÇÃO'!$AB:$AB,MATCH(MEDIÇÃO!R393,'PROJETO PERFURAÇÃO'!$B:$B,0)),1)&amp;"''","")</f>
        <v>5''</v>
      </c>
      <c r="Q393" s="3" t="str">
        <f>IFERROR(IF(INDEX('PROJETO PERFURAÇÃO'!$P:$P,MATCH(MEDIÇÃO!R393,'PROJETO PERFURAÇÃO'!$B:$B,0))="Production","P",IF(INDEX('PROJETO PERFURAÇÃO'!$P:$P,MATCH(MEDIÇÃO!R393,'PROJETO PERFURAÇÃO'!$B:$B,0))="Buffer","B",IF(INDEX('PROJETO PERFURAÇÃO'!$P:$P,MATCH(MEDIÇÃO!R393,'PROJETO PERFURAÇÃO'!$B:$B,0))="Pre-Splitting","S"))),"")</f>
        <v>P</v>
      </c>
      <c r="R393" s="14">
        <f t="shared" si="38"/>
        <v>891</v>
      </c>
      <c r="S393" s="4" t="str">
        <f>IFERROR(INDEX('LEV R&amp;D'!$D:$D,MATCH(MEDIÇÃO!R393,'LEV R&amp;D'!$A:$A,0))-INDEX('PROJETO PERFURAÇÃO'!$AH:$AH,MATCH(MEDIÇÃO!R393,'PROJETO PERFURAÇÃO'!$B:$B,0)),"")</f>
        <v/>
      </c>
      <c r="T393" s="17">
        <f>IFERROR(INDEX('PROJETO PERFURAÇÃO'!$AN:$AN,MATCH(MEDIÇÃO!R393,'PROJETO PERFURAÇÃO'!$B:$B,0)),"")</f>
        <v>0</v>
      </c>
      <c r="U393" s="3"/>
      <c r="V393" s="3"/>
    </row>
    <row r="394" spans="2:22" ht="45" customHeight="1" x14ac:dyDescent="0.25">
      <c r="B394" s="3" t="str">
        <f>IFERROR(ROUND(INDEX('PROJETO PERFURAÇÃO'!$AB:$AB,MATCH(MEDIÇÃO!D394,'PROJETO PERFURAÇÃO'!$B:$B,0)),1)&amp;"''","")</f>
        <v>5''</v>
      </c>
      <c r="C394" s="3" t="str">
        <f>IFERROR(IF(INDEX('PROJETO PERFURAÇÃO'!$P:$P,MATCH(MEDIÇÃO!D394,'PROJETO PERFURAÇÃO'!$B:$B,0))="Production","P",IF(INDEX('PROJETO PERFURAÇÃO'!$P:$P,MATCH(MEDIÇÃO!D394,'PROJETO PERFURAÇÃO'!$B:$B,0))="Buffer","B",IF(INDEX('PROJETO PERFURAÇÃO'!$P:$P,MATCH(MEDIÇÃO!D394,'PROJETO PERFURAÇÃO'!$B:$B,0))="Pre-Splitting","S"))),"")</f>
        <v>P</v>
      </c>
      <c r="D394" s="14">
        <f t="shared" si="36"/>
        <v>846</v>
      </c>
      <c r="E394" s="4" t="str">
        <f>IFERROR(INDEX('LEV R&amp;D'!$D:$D,MATCH(MEDIÇÃO!D394,'LEV R&amp;D'!$A:$A,0))-INDEX('PROJETO PERFURAÇÃO'!$AH:$AH,MATCH(MEDIÇÃO!D394,'PROJETO PERFURAÇÃO'!$B:$B,0)),"")</f>
        <v/>
      </c>
      <c r="F394" s="17">
        <f>IFERROR(INDEX('PROJETO PERFURAÇÃO'!$AN:$AN,MATCH(MEDIÇÃO!D394,'PROJETO PERFURAÇÃO'!$B:$B,0)),"")</f>
        <v>0</v>
      </c>
      <c r="G394" s="3"/>
      <c r="H394" s="3"/>
      <c r="I394" s="3" t="str">
        <f>IFERROR(ROUND(INDEX('PROJETO PERFURAÇÃO'!$AB:$AB,MATCH(MEDIÇÃO!K394,'PROJETO PERFURAÇÃO'!$B:$B,0)),1)&amp;"''","")</f>
        <v>5''</v>
      </c>
      <c r="J394" s="3" t="str">
        <f>IFERROR(IF(INDEX('PROJETO PERFURAÇÃO'!$P:$P,MATCH(MEDIÇÃO!K394,'PROJETO PERFURAÇÃO'!$B:$B,0))="Production","P",IF(INDEX('PROJETO PERFURAÇÃO'!$P:$P,MATCH(MEDIÇÃO!K394,'PROJETO PERFURAÇÃO'!$B:$B,0))="Buffer","B",IF(INDEX('PROJETO PERFURAÇÃO'!$P:$P,MATCH(MEDIÇÃO!K394,'PROJETO PERFURAÇÃO'!$B:$B,0))="Pre-Splitting","S"))),"")</f>
        <v>P</v>
      </c>
      <c r="K394" s="14">
        <f t="shared" si="37"/>
        <v>869</v>
      </c>
      <c r="L394" s="4" t="str">
        <f>IFERROR(INDEX('LEV R&amp;D'!$D:$D,MATCH(MEDIÇÃO!K394,'LEV R&amp;D'!$A:$A,0))-INDEX('PROJETO PERFURAÇÃO'!$AH:$AH,MATCH(MEDIÇÃO!K394,'PROJETO PERFURAÇÃO'!$B:$B,0)),"")</f>
        <v/>
      </c>
      <c r="M394" s="17">
        <f>IFERROR(INDEX('PROJETO PERFURAÇÃO'!$AN:$AN,MATCH(MEDIÇÃO!K394,'PROJETO PERFURAÇÃO'!$B:$B,0)),"")</f>
        <v>0</v>
      </c>
      <c r="N394" s="3"/>
      <c r="O394" s="3"/>
      <c r="P394" s="3" t="str">
        <f>IFERROR(ROUND(INDEX('PROJETO PERFURAÇÃO'!$AB:$AB,MATCH(MEDIÇÃO!R394,'PROJETO PERFURAÇÃO'!$B:$B,0)),1)&amp;"''","")</f>
        <v>5''</v>
      </c>
      <c r="Q394" s="3" t="str">
        <f>IFERROR(IF(INDEX('PROJETO PERFURAÇÃO'!$P:$P,MATCH(MEDIÇÃO!R394,'PROJETO PERFURAÇÃO'!$B:$B,0))="Production","P",IF(INDEX('PROJETO PERFURAÇÃO'!$P:$P,MATCH(MEDIÇÃO!R394,'PROJETO PERFURAÇÃO'!$B:$B,0))="Buffer","B",IF(INDEX('PROJETO PERFURAÇÃO'!$P:$P,MATCH(MEDIÇÃO!R394,'PROJETO PERFURAÇÃO'!$B:$B,0))="Pre-Splitting","S"))),"")</f>
        <v>P</v>
      </c>
      <c r="R394" s="14">
        <f t="shared" si="38"/>
        <v>892</v>
      </c>
      <c r="S394" s="4" t="str">
        <f>IFERROR(INDEX('LEV R&amp;D'!$D:$D,MATCH(MEDIÇÃO!R394,'LEV R&amp;D'!$A:$A,0))-INDEX('PROJETO PERFURAÇÃO'!$AH:$AH,MATCH(MEDIÇÃO!R394,'PROJETO PERFURAÇÃO'!$B:$B,0)),"")</f>
        <v/>
      </c>
      <c r="T394" s="17">
        <f>IFERROR(INDEX('PROJETO PERFURAÇÃO'!$AN:$AN,MATCH(MEDIÇÃO!R394,'PROJETO PERFURAÇÃO'!$B:$B,0)),"")</f>
        <v>0</v>
      </c>
      <c r="U394" s="3"/>
      <c r="V394" s="3"/>
    </row>
    <row r="395" spans="2:22" ht="45" customHeight="1" x14ac:dyDescent="0.25">
      <c r="B395" s="3" t="str">
        <f>IFERROR(ROUND(INDEX('PROJETO PERFURAÇÃO'!$AB:$AB,MATCH(MEDIÇÃO!D395,'PROJETO PERFURAÇÃO'!$B:$B,0)),1)&amp;"''","")</f>
        <v>5''</v>
      </c>
      <c r="C395" s="3" t="str">
        <f>IFERROR(IF(INDEX('PROJETO PERFURAÇÃO'!$P:$P,MATCH(MEDIÇÃO!D395,'PROJETO PERFURAÇÃO'!$B:$B,0))="Production","P",IF(INDEX('PROJETO PERFURAÇÃO'!$P:$P,MATCH(MEDIÇÃO!D395,'PROJETO PERFURAÇÃO'!$B:$B,0))="Buffer","B",IF(INDEX('PROJETO PERFURAÇÃO'!$P:$P,MATCH(MEDIÇÃO!D395,'PROJETO PERFURAÇÃO'!$B:$B,0))="Pre-Splitting","S"))),"")</f>
        <v>P</v>
      </c>
      <c r="D395" s="14">
        <f t="shared" si="36"/>
        <v>847</v>
      </c>
      <c r="E395" s="4" t="str">
        <f>IFERROR(INDEX('LEV R&amp;D'!$D:$D,MATCH(MEDIÇÃO!D395,'LEV R&amp;D'!$A:$A,0))-INDEX('PROJETO PERFURAÇÃO'!$AH:$AH,MATCH(MEDIÇÃO!D395,'PROJETO PERFURAÇÃO'!$B:$B,0)),"")</f>
        <v/>
      </c>
      <c r="F395" s="17">
        <f>IFERROR(INDEX('PROJETO PERFURAÇÃO'!$AN:$AN,MATCH(MEDIÇÃO!D395,'PROJETO PERFURAÇÃO'!$B:$B,0)),"")</f>
        <v>0</v>
      </c>
      <c r="G395" s="3"/>
      <c r="H395" s="3"/>
      <c r="I395" s="3" t="str">
        <f>IFERROR(ROUND(INDEX('PROJETO PERFURAÇÃO'!$AB:$AB,MATCH(MEDIÇÃO!K395,'PROJETO PERFURAÇÃO'!$B:$B,0)),1)&amp;"''","")</f>
        <v>5''</v>
      </c>
      <c r="J395" s="3" t="str">
        <f>IFERROR(IF(INDEX('PROJETO PERFURAÇÃO'!$P:$P,MATCH(MEDIÇÃO!K395,'PROJETO PERFURAÇÃO'!$B:$B,0))="Production","P",IF(INDEX('PROJETO PERFURAÇÃO'!$P:$P,MATCH(MEDIÇÃO!K395,'PROJETO PERFURAÇÃO'!$B:$B,0))="Buffer","B",IF(INDEX('PROJETO PERFURAÇÃO'!$P:$P,MATCH(MEDIÇÃO!K395,'PROJETO PERFURAÇÃO'!$B:$B,0))="Pre-Splitting","S"))),"")</f>
        <v>P</v>
      </c>
      <c r="K395" s="14">
        <f t="shared" si="37"/>
        <v>870</v>
      </c>
      <c r="L395" s="4" t="str">
        <f>IFERROR(INDEX('LEV R&amp;D'!$D:$D,MATCH(MEDIÇÃO!K395,'LEV R&amp;D'!$A:$A,0))-INDEX('PROJETO PERFURAÇÃO'!$AH:$AH,MATCH(MEDIÇÃO!K395,'PROJETO PERFURAÇÃO'!$B:$B,0)),"")</f>
        <v/>
      </c>
      <c r="M395" s="17">
        <f>IFERROR(INDEX('PROJETO PERFURAÇÃO'!$AN:$AN,MATCH(MEDIÇÃO!K395,'PROJETO PERFURAÇÃO'!$B:$B,0)),"")</f>
        <v>0</v>
      </c>
      <c r="N395" s="3"/>
      <c r="O395" s="3"/>
      <c r="P395" s="3" t="str">
        <f>IFERROR(ROUND(INDEX('PROJETO PERFURAÇÃO'!$AB:$AB,MATCH(MEDIÇÃO!R395,'PROJETO PERFURAÇÃO'!$B:$B,0)),1)&amp;"''","")</f>
        <v>5''</v>
      </c>
      <c r="Q395" s="3" t="str">
        <f>IFERROR(IF(INDEX('PROJETO PERFURAÇÃO'!$P:$P,MATCH(MEDIÇÃO!R395,'PROJETO PERFURAÇÃO'!$B:$B,0))="Production","P",IF(INDEX('PROJETO PERFURAÇÃO'!$P:$P,MATCH(MEDIÇÃO!R395,'PROJETO PERFURAÇÃO'!$B:$B,0))="Buffer","B",IF(INDEX('PROJETO PERFURAÇÃO'!$P:$P,MATCH(MEDIÇÃO!R395,'PROJETO PERFURAÇÃO'!$B:$B,0))="Pre-Splitting","S"))),"")</f>
        <v>P</v>
      </c>
      <c r="R395" s="14">
        <f t="shared" si="38"/>
        <v>893</v>
      </c>
      <c r="S395" s="4" t="str">
        <f>IFERROR(INDEX('LEV R&amp;D'!$D:$D,MATCH(MEDIÇÃO!R395,'LEV R&amp;D'!$A:$A,0))-INDEX('PROJETO PERFURAÇÃO'!$AH:$AH,MATCH(MEDIÇÃO!R395,'PROJETO PERFURAÇÃO'!$B:$B,0)),"")</f>
        <v/>
      </c>
      <c r="T395" s="17">
        <f>IFERROR(INDEX('PROJETO PERFURAÇÃO'!$AN:$AN,MATCH(MEDIÇÃO!R395,'PROJETO PERFURAÇÃO'!$B:$B,0)),"")</f>
        <v>0</v>
      </c>
      <c r="U395" s="3"/>
      <c r="V395" s="3"/>
    </row>
    <row r="396" spans="2:22" ht="45" customHeight="1" x14ac:dyDescent="0.25">
      <c r="B396" s="3" t="str">
        <f>IFERROR(ROUND(INDEX('PROJETO PERFURAÇÃO'!$AB:$AB,MATCH(MEDIÇÃO!D396,'PROJETO PERFURAÇÃO'!$B:$B,0)),1)&amp;"''","")</f>
        <v>5''</v>
      </c>
      <c r="C396" s="3" t="str">
        <f>IFERROR(IF(INDEX('PROJETO PERFURAÇÃO'!$P:$P,MATCH(MEDIÇÃO!D396,'PROJETO PERFURAÇÃO'!$B:$B,0))="Production","P",IF(INDEX('PROJETO PERFURAÇÃO'!$P:$P,MATCH(MEDIÇÃO!D396,'PROJETO PERFURAÇÃO'!$B:$B,0))="Buffer","B",IF(INDEX('PROJETO PERFURAÇÃO'!$P:$P,MATCH(MEDIÇÃO!D396,'PROJETO PERFURAÇÃO'!$B:$B,0))="Pre-Splitting","S"))),"")</f>
        <v>P</v>
      </c>
      <c r="D396" s="14">
        <f t="shared" si="36"/>
        <v>848</v>
      </c>
      <c r="E396" s="4" t="str">
        <f>IFERROR(INDEX('LEV R&amp;D'!$D:$D,MATCH(MEDIÇÃO!D396,'LEV R&amp;D'!$A:$A,0))-INDEX('PROJETO PERFURAÇÃO'!$AH:$AH,MATCH(MEDIÇÃO!D396,'PROJETO PERFURAÇÃO'!$B:$B,0)),"")</f>
        <v/>
      </c>
      <c r="F396" s="17">
        <f>IFERROR(INDEX('PROJETO PERFURAÇÃO'!$AN:$AN,MATCH(MEDIÇÃO!D396,'PROJETO PERFURAÇÃO'!$B:$B,0)),"")</f>
        <v>0</v>
      </c>
      <c r="G396" s="3"/>
      <c r="H396" s="3"/>
      <c r="I396" s="3" t="str">
        <f>IFERROR(ROUND(INDEX('PROJETO PERFURAÇÃO'!$AB:$AB,MATCH(MEDIÇÃO!K396,'PROJETO PERFURAÇÃO'!$B:$B,0)),1)&amp;"''","")</f>
        <v>5''</v>
      </c>
      <c r="J396" s="3" t="str">
        <f>IFERROR(IF(INDEX('PROJETO PERFURAÇÃO'!$P:$P,MATCH(MEDIÇÃO!K396,'PROJETO PERFURAÇÃO'!$B:$B,0))="Production","P",IF(INDEX('PROJETO PERFURAÇÃO'!$P:$P,MATCH(MEDIÇÃO!K396,'PROJETO PERFURAÇÃO'!$B:$B,0))="Buffer","B",IF(INDEX('PROJETO PERFURAÇÃO'!$P:$P,MATCH(MEDIÇÃO!K396,'PROJETO PERFURAÇÃO'!$B:$B,0))="Pre-Splitting","S"))),"")</f>
        <v>P</v>
      </c>
      <c r="K396" s="14">
        <f t="shared" si="37"/>
        <v>871</v>
      </c>
      <c r="L396" s="4" t="str">
        <f>IFERROR(INDEX('LEV R&amp;D'!$D:$D,MATCH(MEDIÇÃO!K396,'LEV R&amp;D'!$A:$A,0))-INDEX('PROJETO PERFURAÇÃO'!$AH:$AH,MATCH(MEDIÇÃO!K396,'PROJETO PERFURAÇÃO'!$B:$B,0)),"")</f>
        <v/>
      </c>
      <c r="M396" s="17">
        <f>IFERROR(INDEX('PROJETO PERFURAÇÃO'!$AN:$AN,MATCH(MEDIÇÃO!K396,'PROJETO PERFURAÇÃO'!$B:$B,0)),"")</f>
        <v>0</v>
      </c>
      <c r="N396" s="3"/>
      <c r="O396" s="3"/>
      <c r="P396" s="3" t="str">
        <f>IFERROR(ROUND(INDEX('PROJETO PERFURAÇÃO'!$AB:$AB,MATCH(MEDIÇÃO!R396,'PROJETO PERFURAÇÃO'!$B:$B,0)),1)&amp;"''","")</f>
        <v>5''</v>
      </c>
      <c r="Q396" s="3" t="str">
        <f>IFERROR(IF(INDEX('PROJETO PERFURAÇÃO'!$P:$P,MATCH(MEDIÇÃO!R396,'PROJETO PERFURAÇÃO'!$B:$B,0))="Production","P",IF(INDEX('PROJETO PERFURAÇÃO'!$P:$P,MATCH(MEDIÇÃO!R396,'PROJETO PERFURAÇÃO'!$B:$B,0))="Buffer","B",IF(INDEX('PROJETO PERFURAÇÃO'!$P:$P,MATCH(MEDIÇÃO!R396,'PROJETO PERFURAÇÃO'!$B:$B,0))="Pre-Splitting","S"))),"")</f>
        <v>P</v>
      </c>
      <c r="R396" s="14">
        <f t="shared" si="38"/>
        <v>894</v>
      </c>
      <c r="S396" s="4" t="str">
        <f>IFERROR(INDEX('LEV R&amp;D'!$D:$D,MATCH(MEDIÇÃO!R396,'LEV R&amp;D'!$A:$A,0))-INDEX('PROJETO PERFURAÇÃO'!$AH:$AH,MATCH(MEDIÇÃO!R396,'PROJETO PERFURAÇÃO'!$B:$B,0)),"")</f>
        <v/>
      </c>
      <c r="T396" s="17">
        <f>IFERROR(INDEX('PROJETO PERFURAÇÃO'!$AN:$AN,MATCH(MEDIÇÃO!R396,'PROJETO PERFURAÇÃO'!$B:$B,0)),"")</f>
        <v>0</v>
      </c>
      <c r="U396" s="3"/>
      <c r="V396" s="3"/>
    </row>
    <row r="397" spans="2:22" ht="45" customHeight="1" x14ac:dyDescent="0.25">
      <c r="B397" s="3" t="str">
        <f>IFERROR(ROUND(INDEX('PROJETO PERFURAÇÃO'!$AB:$AB,MATCH(MEDIÇÃO!D397,'PROJETO PERFURAÇÃO'!$B:$B,0)),1)&amp;"''","")</f>
        <v>5''</v>
      </c>
      <c r="C397" s="3" t="str">
        <f>IFERROR(IF(INDEX('PROJETO PERFURAÇÃO'!$P:$P,MATCH(MEDIÇÃO!D397,'PROJETO PERFURAÇÃO'!$B:$B,0))="Production","P",IF(INDEX('PROJETO PERFURAÇÃO'!$P:$P,MATCH(MEDIÇÃO!D397,'PROJETO PERFURAÇÃO'!$B:$B,0))="Buffer","B",IF(INDEX('PROJETO PERFURAÇÃO'!$P:$P,MATCH(MEDIÇÃO!D397,'PROJETO PERFURAÇÃO'!$B:$B,0))="Pre-Splitting","S"))),"")</f>
        <v>P</v>
      </c>
      <c r="D397" s="14">
        <f t="shared" si="36"/>
        <v>849</v>
      </c>
      <c r="E397" s="4" t="str">
        <f>IFERROR(INDEX('LEV R&amp;D'!$D:$D,MATCH(MEDIÇÃO!D397,'LEV R&amp;D'!$A:$A,0))-INDEX('PROJETO PERFURAÇÃO'!$AH:$AH,MATCH(MEDIÇÃO!D397,'PROJETO PERFURAÇÃO'!$B:$B,0)),"")</f>
        <v/>
      </c>
      <c r="F397" s="17">
        <f>IFERROR(INDEX('PROJETO PERFURAÇÃO'!$AN:$AN,MATCH(MEDIÇÃO!D397,'PROJETO PERFURAÇÃO'!$B:$B,0)),"")</f>
        <v>0</v>
      </c>
      <c r="G397" s="3"/>
      <c r="H397" s="3"/>
      <c r="I397" s="3" t="str">
        <f>IFERROR(ROUND(INDEX('PROJETO PERFURAÇÃO'!$AB:$AB,MATCH(MEDIÇÃO!K397,'PROJETO PERFURAÇÃO'!$B:$B,0)),1)&amp;"''","")</f>
        <v>5''</v>
      </c>
      <c r="J397" s="3" t="str">
        <f>IFERROR(IF(INDEX('PROJETO PERFURAÇÃO'!$P:$P,MATCH(MEDIÇÃO!K397,'PROJETO PERFURAÇÃO'!$B:$B,0))="Production","P",IF(INDEX('PROJETO PERFURAÇÃO'!$P:$P,MATCH(MEDIÇÃO!K397,'PROJETO PERFURAÇÃO'!$B:$B,0))="Buffer","B",IF(INDEX('PROJETO PERFURAÇÃO'!$P:$P,MATCH(MEDIÇÃO!K397,'PROJETO PERFURAÇÃO'!$B:$B,0))="Pre-Splitting","S"))),"")</f>
        <v>P</v>
      </c>
      <c r="K397" s="14">
        <f t="shared" si="37"/>
        <v>872</v>
      </c>
      <c r="L397" s="4" t="str">
        <f>IFERROR(INDEX('LEV R&amp;D'!$D:$D,MATCH(MEDIÇÃO!K397,'LEV R&amp;D'!$A:$A,0))-INDEX('PROJETO PERFURAÇÃO'!$AH:$AH,MATCH(MEDIÇÃO!K397,'PROJETO PERFURAÇÃO'!$B:$B,0)),"")</f>
        <v/>
      </c>
      <c r="M397" s="17">
        <f>IFERROR(INDEX('PROJETO PERFURAÇÃO'!$AN:$AN,MATCH(MEDIÇÃO!K397,'PROJETO PERFURAÇÃO'!$B:$B,0)),"")</f>
        <v>0</v>
      </c>
      <c r="N397" s="3"/>
      <c r="O397" s="3"/>
      <c r="P397" s="3" t="str">
        <f>IFERROR(ROUND(INDEX('PROJETO PERFURAÇÃO'!$AB:$AB,MATCH(MEDIÇÃO!R397,'PROJETO PERFURAÇÃO'!$B:$B,0)),1)&amp;"''","")</f>
        <v>5''</v>
      </c>
      <c r="Q397" s="3" t="str">
        <f>IFERROR(IF(INDEX('PROJETO PERFURAÇÃO'!$P:$P,MATCH(MEDIÇÃO!R397,'PROJETO PERFURAÇÃO'!$B:$B,0))="Production","P",IF(INDEX('PROJETO PERFURAÇÃO'!$P:$P,MATCH(MEDIÇÃO!R397,'PROJETO PERFURAÇÃO'!$B:$B,0))="Buffer","B",IF(INDEX('PROJETO PERFURAÇÃO'!$P:$P,MATCH(MEDIÇÃO!R397,'PROJETO PERFURAÇÃO'!$B:$B,0))="Pre-Splitting","S"))),"")</f>
        <v>P</v>
      </c>
      <c r="R397" s="14">
        <f t="shared" si="38"/>
        <v>895</v>
      </c>
      <c r="S397" s="4" t="str">
        <f>IFERROR(INDEX('LEV R&amp;D'!$D:$D,MATCH(MEDIÇÃO!R397,'LEV R&amp;D'!$A:$A,0))-INDEX('PROJETO PERFURAÇÃO'!$AH:$AH,MATCH(MEDIÇÃO!R397,'PROJETO PERFURAÇÃO'!$B:$B,0)),"")</f>
        <v/>
      </c>
      <c r="T397" s="17">
        <f>IFERROR(INDEX('PROJETO PERFURAÇÃO'!$AN:$AN,MATCH(MEDIÇÃO!R397,'PROJETO PERFURAÇÃO'!$B:$B,0)),"")</f>
        <v>0</v>
      </c>
      <c r="U397" s="3"/>
      <c r="V397" s="3"/>
    </row>
    <row r="398" spans="2:22" ht="45" customHeight="1" x14ac:dyDescent="0.25">
      <c r="B398" s="3" t="str">
        <f>IFERROR(ROUND(INDEX('PROJETO PERFURAÇÃO'!$AB:$AB,MATCH(MEDIÇÃO!D398,'PROJETO PERFURAÇÃO'!$B:$B,0)),1)&amp;"''","")</f>
        <v>5''</v>
      </c>
      <c r="C398" s="3" t="str">
        <f>IFERROR(IF(INDEX('PROJETO PERFURAÇÃO'!$P:$P,MATCH(MEDIÇÃO!D398,'PROJETO PERFURAÇÃO'!$B:$B,0))="Production","P",IF(INDEX('PROJETO PERFURAÇÃO'!$P:$P,MATCH(MEDIÇÃO!D398,'PROJETO PERFURAÇÃO'!$B:$B,0))="Buffer","B",IF(INDEX('PROJETO PERFURAÇÃO'!$P:$P,MATCH(MEDIÇÃO!D398,'PROJETO PERFURAÇÃO'!$B:$B,0))="Pre-Splitting","S"))),"")</f>
        <v>P</v>
      </c>
      <c r="D398" s="14">
        <f t="shared" si="36"/>
        <v>850</v>
      </c>
      <c r="E398" s="4" t="str">
        <f>IFERROR(INDEX('LEV R&amp;D'!$D:$D,MATCH(MEDIÇÃO!D398,'LEV R&amp;D'!$A:$A,0))-INDEX('PROJETO PERFURAÇÃO'!$AH:$AH,MATCH(MEDIÇÃO!D398,'PROJETO PERFURAÇÃO'!$B:$B,0)),"")</f>
        <v/>
      </c>
      <c r="F398" s="17">
        <f>IFERROR(INDEX('PROJETO PERFURAÇÃO'!$AN:$AN,MATCH(MEDIÇÃO!D398,'PROJETO PERFURAÇÃO'!$B:$B,0)),"")</f>
        <v>0</v>
      </c>
      <c r="G398" s="3"/>
      <c r="H398" s="3"/>
      <c r="I398" s="3" t="str">
        <f>IFERROR(ROUND(INDEX('PROJETO PERFURAÇÃO'!$AB:$AB,MATCH(MEDIÇÃO!K398,'PROJETO PERFURAÇÃO'!$B:$B,0)),1)&amp;"''","")</f>
        <v>5''</v>
      </c>
      <c r="J398" s="3" t="str">
        <f>IFERROR(IF(INDEX('PROJETO PERFURAÇÃO'!$P:$P,MATCH(MEDIÇÃO!K398,'PROJETO PERFURAÇÃO'!$B:$B,0))="Production","P",IF(INDEX('PROJETO PERFURAÇÃO'!$P:$P,MATCH(MEDIÇÃO!K398,'PROJETO PERFURAÇÃO'!$B:$B,0))="Buffer","B",IF(INDEX('PROJETO PERFURAÇÃO'!$P:$P,MATCH(MEDIÇÃO!K398,'PROJETO PERFURAÇÃO'!$B:$B,0))="Pre-Splitting","S"))),"")</f>
        <v>P</v>
      </c>
      <c r="K398" s="14">
        <f t="shared" si="37"/>
        <v>873</v>
      </c>
      <c r="L398" s="4" t="str">
        <f>IFERROR(INDEX('LEV R&amp;D'!$D:$D,MATCH(MEDIÇÃO!K398,'LEV R&amp;D'!$A:$A,0))-INDEX('PROJETO PERFURAÇÃO'!$AH:$AH,MATCH(MEDIÇÃO!K398,'PROJETO PERFURAÇÃO'!$B:$B,0)),"")</f>
        <v/>
      </c>
      <c r="M398" s="17">
        <f>IFERROR(INDEX('PROJETO PERFURAÇÃO'!$AN:$AN,MATCH(MEDIÇÃO!K398,'PROJETO PERFURAÇÃO'!$B:$B,0)),"")</f>
        <v>0</v>
      </c>
      <c r="N398" s="3"/>
      <c r="O398" s="3"/>
      <c r="P398" s="3" t="str">
        <f>IFERROR(ROUND(INDEX('PROJETO PERFURAÇÃO'!$AB:$AB,MATCH(MEDIÇÃO!R398,'PROJETO PERFURAÇÃO'!$B:$B,0)),1)&amp;"''","")</f>
        <v>5''</v>
      </c>
      <c r="Q398" s="3" t="str">
        <f>IFERROR(IF(INDEX('PROJETO PERFURAÇÃO'!$P:$P,MATCH(MEDIÇÃO!R398,'PROJETO PERFURAÇÃO'!$B:$B,0))="Production","P",IF(INDEX('PROJETO PERFURAÇÃO'!$P:$P,MATCH(MEDIÇÃO!R398,'PROJETO PERFURAÇÃO'!$B:$B,0))="Buffer","B",IF(INDEX('PROJETO PERFURAÇÃO'!$P:$P,MATCH(MEDIÇÃO!R398,'PROJETO PERFURAÇÃO'!$B:$B,0))="Pre-Splitting","S"))),"")</f>
        <v>P</v>
      </c>
      <c r="R398" s="14">
        <f t="shared" si="38"/>
        <v>896</v>
      </c>
      <c r="S398" s="4" t="str">
        <f>IFERROR(INDEX('LEV R&amp;D'!$D:$D,MATCH(MEDIÇÃO!R398,'LEV R&amp;D'!$A:$A,0))-INDEX('PROJETO PERFURAÇÃO'!$AH:$AH,MATCH(MEDIÇÃO!R398,'PROJETO PERFURAÇÃO'!$B:$B,0)),"")</f>
        <v/>
      </c>
      <c r="T398" s="17">
        <f>IFERROR(INDEX('PROJETO PERFURAÇÃO'!$AN:$AN,MATCH(MEDIÇÃO!R398,'PROJETO PERFURAÇÃO'!$B:$B,0)),"")</f>
        <v>0</v>
      </c>
      <c r="U398" s="3"/>
      <c r="V398" s="3"/>
    </row>
    <row r="399" spans="2:22" ht="45" customHeight="1" x14ac:dyDescent="0.25">
      <c r="B399" s="3" t="str">
        <f>IFERROR(ROUND(INDEX('PROJETO PERFURAÇÃO'!$AB:$AB,MATCH(MEDIÇÃO!D399,'PROJETO PERFURAÇÃO'!$B:$B,0)),1)&amp;"''","")</f>
        <v>5''</v>
      </c>
      <c r="C399" s="3" t="str">
        <f>IFERROR(IF(INDEX('PROJETO PERFURAÇÃO'!$P:$P,MATCH(MEDIÇÃO!D399,'PROJETO PERFURAÇÃO'!$B:$B,0))="Production","P",IF(INDEX('PROJETO PERFURAÇÃO'!$P:$P,MATCH(MEDIÇÃO!D399,'PROJETO PERFURAÇÃO'!$B:$B,0))="Buffer","B",IF(INDEX('PROJETO PERFURAÇÃO'!$P:$P,MATCH(MEDIÇÃO!D399,'PROJETO PERFURAÇÃO'!$B:$B,0))="Pre-Splitting","S"))),"")</f>
        <v>P</v>
      </c>
      <c r="D399" s="14">
        <f t="shared" si="36"/>
        <v>851</v>
      </c>
      <c r="E399" s="4" t="str">
        <f>IFERROR(INDEX('LEV R&amp;D'!$D:$D,MATCH(MEDIÇÃO!D399,'LEV R&amp;D'!$A:$A,0))-INDEX('PROJETO PERFURAÇÃO'!$AH:$AH,MATCH(MEDIÇÃO!D399,'PROJETO PERFURAÇÃO'!$B:$B,0)),"")</f>
        <v/>
      </c>
      <c r="F399" s="17">
        <f>IFERROR(INDEX('PROJETO PERFURAÇÃO'!$AN:$AN,MATCH(MEDIÇÃO!D399,'PROJETO PERFURAÇÃO'!$B:$B,0)),"")</f>
        <v>0</v>
      </c>
      <c r="G399" s="3"/>
      <c r="H399" s="3"/>
      <c r="I399" s="3" t="str">
        <f>IFERROR(ROUND(INDEX('PROJETO PERFURAÇÃO'!$AB:$AB,MATCH(MEDIÇÃO!K399,'PROJETO PERFURAÇÃO'!$B:$B,0)),1)&amp;"''","")</f>
        <v>5''</v>
      </c>
      <c r="J399" s="3" t="str">
        <f>IFERROR(IF(INDEX('PROJETO PERFURAÇÃO'!$P:$P,MATCH(MEDIÇÃO!K399,'PROJETO PERFURAÇÃO'!$B:$B,0))="Production","P",IF(INDEX('PROJETO PERFURAÇÃO'!$P:$P,MATCH(MEDIÇÃO!K399,'PROJETO PERFURAÇÃO'!$B:$B,0))="Buffer","B",IF(INDEX('PROJETO PERFURAÇÃO'!$P:$P,MATCH(MEDIÇÃO!K399,'PROJETO PERFURAÇÃO'!$B:$B,0))="Pre-Splitting","S"))),"")</f>
        <v>P</v>
      </c>
      <c r="K399" s="14">
        <f t="shared" si="37"/>
        <v>874</v>
      </c>
      <c r="L399" s="4" t="str">
        <f>IFERROR(INDEX('LEV R&amp;D'!$D:$D,MATCH(MEDIÇÃO!K399,'LEV R&amp;D'!$A:$A,0))-INDEX('PROJETO PERFURAÇÃO'!$AH:$AH,MATCH(MEDIÇÃO!K399,'PROJETO PERFURAÇÃO'!$B:$B,0)),"")</f>
        <v/>
      </c>
      <c r="M399" s="17">
        <f>IFERROR(INDEX('PROJETO PERFURAÇÃO'!$AN:$AN,MATCH(MEDIÇÃO!K399,'PROJETO PERFURAÇÃO'!$B:$B,0)),"")</f>
        <v>0</v>
      </c>
      <c r="N399" s="3"/>
      <c r="O399" s="3"/>
      <c r="P399" s="3" t="str">
        <f>IFERROR(ROUND(INDEX('PROJETO PERFURAÇÃO'!$AB:$AB,MATCH(MEDIÇÃO!R399,'PROJETO PERFURAÇÃO'!$B:$B,0)),1)&amp;"''","")</f>
        <v>5''</v>
      </c>
      <c r="Q399" s="3" t="str">
        <f>IFERROR(IF(INDEX('PROJETO PERFURAÇÃO'!$P:$P,MATCH(MEDIÇÃO!R399,'PROJETO PERFURAÇÃO'!$B:$B,0))="Production","P",IF(INDEX('PROJETO PERFURAÇÃO'!$P:$P,MATCH(MEDIÇÃO!R399,'PROJETO PERFURAÇÃO'!$B:$B,0))="Buffer","B",IF(INDEX('PROJETO PERFURAÇÃO'!$P:$P,MATCH(MEDIÇÃO!R399,'PROJETO PERFURAÇÃO'!$B:$B,0))="Pre-Splitting","S"))),"")</f>
        <v>P</v>
      </c>
      <c r="R399" s="14">
        <f t="shared" si="38"/>
        <v>897</v>
      </c>
      <c r="S399" s="4" t="str">
        <f>IFERROR(INDEX('LEV R&amp;D'!$D:$D,MATCH(MEDIÇÃO!R399,'LEV R&amp;D'!$A:$A,0))-INDEX('PROJETO PERFURAÇÃO'!$AH:$AH,MATCH(MEDIÇÃO!R399,'PROJETO PERFURAÇÃO'!$B:$B,0)),"")</f>
        <v/>
      </c>
      <c r="T399" s="17">
        <f>IFERROR(INDEX('PROJETO PERFURAÇÃO'!$AN:$AN,MATCH(MEDIÇÃO!R399,'PROJETO PERFURAÇÃO'!$B:$B,0)),"")</f>
        <v>0</v>
      </c>
      <c r="U399" s="3"/>
      <c r="V399" s="3"/>
    </row>
    <row r="400" spans="2:22" ht="30" customHeight="1" x14ac:dyDescent="0.25">
      <c r="B400" s="1"/>
      <c r="C400" s="1"/>
      <c r="D400" s="15"/>
      <c r="E400" s="2"/>
      <c r="F400" s="16"/>
      <c r="G400" s="1"/>
      <c r="H400" s="1"/>
      <c r="I400" s="1"/>
      <c r="J400" s="1"/>
      <c r="K400" s="15"/>
      <c r="L400" s="2"/>
      <c r="M400" s="16"/>
      <c r="N400" s="1"/>
      <c r="O400" s="1"/>
      <c r="P400" s="1"/>
      <c r="Q400" s="1"/>
      <c r="R400" s="15"/>
      <c r="S400" s="2"/>
      <c r="T400" s="16"/>
      <c r="U400" s="1"/>
      <c r="V400" s="1"/>
    </row>
    <row r="401" spans="1:23" ht="30" customHeight="1" x14ac:dyDescent="0.25">
      <c r="C401" s="20"/>
      <c r="D401" s="20"/>
      <c r="E401" s="20"/>
      <c r="F401" s="20"/>
      <c r="G401" s="20"/>
      <c r="H401" s="20"/>
      <c r="I401" s="20"/>
      <c r="J401" s="20"/>
      <c r="K401" s="20"/>
      <c r="M401" s="20"/>
      <c r="N401" s="20"/>
      <c r="O401" s="20"/>
      <c r="P401" s="20"/>
      <c r="Q401" s="20"/>
      <c r="R401" s="20"/>
      <c r="S401" s="20"/>
      <c r="T401" s="20"/>
      <c r="U401" s="20"/>
    </row>
    <row r="402" spans="1:23" ht="30" customHeight="1" x14ac:dyDescent="0.25">
      <c r="C402" s="21" t="s">
        <v>40</v>
      </c>
      <c r="D402" s="21"/>
      <c r="E402" s="21"/>
      <c r="F402" s="21"/>
      <c r="G402" s="21"/>
      <c r="H402" s="21"/>
      <c r="I402" s="21"/>
      <c r="J402" s="21"/>
      <c r="K402" s="21"/>
      <c r="L402" s="9"/>
      <c r="M402" s="21" t="s">
        <v>40</v>
      </c>
      <c r="N402" s="21"/>
      <c r="O402" s="21"/>
      <c r="P402" s="21"/>
      <c r="Q402" s="21"/>
      <c r="R402" s="21"/>
      <c r="S402" s="21"/>
      <c r="T402" s="21"/>
      <c r="U402" s="21"/>
      <c r="V402" s="9"/>
    </row>
    <row r="403" spans="1:23" ht="30" customHeight="1" x14ac:dyDescent="0.25">
      <c r="D403" s="9"/>
      <c r="E403" s="9"/>
      <c r="F403" s="9"/>
      <c r="G403" s="9"/>
      <c r="H403" s="9"/>
      <c r="I403" s="9"/>
      <c r="J403" s="9"/>
      <c r="K403" s="9"/>
      <c r="L403" s="9"/>
      <c r="M403" s="9"/>
      <c r="N403" s="9"/>
      <c r="Q403" s="9"/>
      <c r="R403" s="9"/>
      <c r="S403" s="9"/>
      <c r="T403" s="9"/>
      <c r="U403" s="9"/>
      <c r="V403" s="9"/>
    </row>
    <row r="404" spans="1:23" ht="30" customHeight="1" x14ac:dyDescent="0.25">
      <c r="B404" s="19" t="str">
        <f>'PROJETO PERFURAÇÃO'!$C$2&amp;" - "&amp;'PROJETO PERFURAÇÃO'!$H$2</f>
        <v>LIB065 - PP0651026</v>
      </c>
      <c r="C404" s="19"/>
      <c r="D404" s="19"/>
      <c r="E404" s="19"/>
      <c r="F404" s="19"/>
      <c r="G404" s="19"/>
      <c r="H404" s="19"/>
      <c r="I404" s="11" t="s">
        <v>34</v>
      </c>
      <c r="J404" s="10" t="s">
        <v>37</v>
      </c>
    </row>
    <row r="405" spans="1:23" ht="30" customHeight="1" x14ac:dyDescent="0.25">
      <c r="B405" s="19"/>
      <c r="C405" s="19"/>
      <c r="D405" s="19"/>
      <c r="E405" s="19"/>
      <c r="F405" s="19"/>
      <c r="G405" s="19"/>
      <c r="H405" s="19"/>
      <c r="I405" s="12" t="s">
        <v>35</v>
      </c>
      <c r="J405" s="10" t="s">
        <v>38</v>
      </c>
      <c r="K405" s="9"/>
      <c r="L405" s="9"/>
      <c r="M405" s="9"/>
      <c r="N405" s="9"/>
      <c r="O405" s="9"/>
      <c r="P405" s="9"/>
      <c r="Q405" s="9"/>
      <c r="R405" s="9"/>
      <c r="S405" s="9"/>
      <c r="T405" s="9"/>
      <c r="U405" s="9"/>
      <c r="V405" s="9"/>
    </row>
    <row r="406" spans="1:23" ht="30" customHeight="1" x14ac:dyDescent="0.25">
      <c r="B406" s="19"/>
      <c r="C406" s="19"/>
      <c r="D406" s="19"/>
      <c r="E406" s="19"/>
      <c r="F406" s="19"/>
      <c r="G406" s="19"/>
      <c r="H406" s="19"/>
      <c r="I406" s="13" t="s">
        <v>36</v>
      </c>
      <c r="J406" s="10" t="s">
        <v>39</v>
      </c>
    </row>
    <row r="407" spans="1:23" ht="30" customHeight="1" x14ac:dyDescent="0.25">
      <c r="A407" s="1"/>
      <c r="B407" s="6" t="s">
        <v>33</v>
      </c>
      <c r="C407" s="6" t="s">
        <v>13</v>
      </c>
      <c r="D407" s="7" t="s">
        <v>1</v>
      </c>
      <c r="E407" s="7" t="s">
        <v>29</v>
      </c>
      <c r="F407" s="7" t="s">
        <v>30</v>
      </c>
      <c r="G407" s="7" t="s">
        <v>31</v>
      </c>
      <c r="H407" s="7" t="s">
        <v>32</v>
      </c>
      <c r="I407" s="6" t="s">
        <v>33</v>
      </c>
      <c r="J407" s="6" t="s">
        <v>13</v>
      </c>
      <c r="K407" s="7" t="s">
        <v>1</v>
      </c>
      <c r="L407" s="7" t="s">
        <v>29</v>
      </c>
      <c r="M407" s="7" t="s">
        <v>30</v>
      </c>
      <c r="N407" s="7" t="s">
        <v>31</v>
      </c>
      <c r="O407" s="7" t="s">
        <v>32</v>
      </c>
      <c r="P407" s="6" t="s">
        <v>33</v>
      </c>
      <c r="Q407" s="6" t="s">
        <v>13</v>
      </c>
      <c r="R407" s="7" t="s">
        <v>1</v>
      </c>
      <c r="S407" s="7" t="s">
        <v>29</v>
      </c>
      <c r="T407" s="7" t="s">
        <v>30</v>
      </c>
      <c r="U407" s="7" t="s">
        <v>31</v>
      </c>
      <c r="V407" s="7" t="s">
        <v>32</v>
      </c>
      <c r="W407" s="1"/>
    </row>
    <row r="408" spans="1:23" ht="45" customHeight="1" x14ac:dyDescent="0.25">
      <c r="B408" s="3" t="str">
        <f>IFERROR(ROUND(INDEX('PROJETO PERFURAÇÃO'!$AB:$AB,MATCH(MEDIÇÃO!D408,'PROJETO PERFURAÇÃO'!$B:$B,0)),1)&amp;"''","")</f>
        <v>5''</v>
      </c>
      <c r="C408" s="3" t="str">
        <f>IFERROR(IF(INDEX('PROJETO PERFURAÇÃO'!$P:$P,MATCH(MEDIÇÃO!D408,'PROJETO PERFURAÇÃO'!$B:$B,0))="Production","P",IF(INDEX('PROJETO PERFURAÇÃO'!$P:$P,MATCH(MEDIÇÃO!D408,'PROJETO PERFURAÇÃO'!$B:$B,0))="Buffer","B",IF(INDEX('PROJETO PERFURAÇÃO'!$P:$P,MATCH(MEDIÇÃO!D408,'PROJETO PERFURAÇÃO'!$B:$B,0))="Pre-Splitting","S"))),"")</f>
        <v>P</v>
      </c>
      <c r="D408" s="14">
        <f>R399+1</f>
        <v>898</v>
      </c>
      <c r="E408" s="4" t="str">
        <f>IFERROR(INDEX('LEV R&amp;D'!$D:$D,MATCH(MEDIÇÃO!D408,'LEV R&amp;D'!$A:$A,0))-INDEX('PROJETO PERFURAÇÃO'!$AH:$AH,MATCH(MEDIÇÃO!D408,'PROJETO PERFURAÇÃO'!$B:$B,0)),"")</f>
        <v/>
      </c>
      <c r="F408" s="8">
        <f>IFERROR(INDEX('PROJETO PERFURAÇÃO'!$AN:$AN,MATCH(MEDIÇÃO!D408,'PROJETO PERFURAÇÃO'!$B:$B,0)),"")</f>
        <v>0</v>
      </c>
      <c r="G408" s="3"/>
      <c r="H408" s="3"/>
      <c r="I408" s="3" t="str">
        <f>IFERROR(ROUND(INDEX('PROJETO PERFURAÇÃO'!$AB:$AB,MATCH(MEDIÇÃO!K408,'PROJETO PERFURAÇÃO'!$B:$B,0)),1)&amp;"''","")</f>
        <v>5''</v>
      </c>
      <c r="J408" s="3" t="str">
        <f>IFERROR(IF(INDEX('PROJETO PERFURAÇÃO'!$P:$P,MATCH(MEDIÇÃO!K408,'PROJETO PERFURAÇÃO'!$B:$B,0))="Production","P",IF(INDEX('PROJETO PERFURAÇÃO'!$P:$P,MATCH(MEDIÇÃO!K408,'PROJETO PERFURAÇÃO'!$B:$B,0))="Buffer","B",IF(INDEX('PROJETO PERFURAÇÃO'!$P:$P,MATCH(MEDIÇÃO!K408,'PROJETO PERFURAÇÃO'!$B:$B,0))="Pre-Splitting","S"))),"")</f>
        <v>P</v>
      </c>
      <c r="K408" s="14">
        <f>D430+1</f>
        <v>921</v>
      </c>
      <c r="L408" s="4" t="str">
        <f>IFERROR(INDEX('LEV R&amp;D'!$D:$D,MATCH(MEDIÇÃO!K408,'LEV R&amp;D'!$A:$A,0))-INDEX('PROJETO PERFURAÇÃO'!$AH:$AH,MATCH(MEDIÇÃO!K408,'PROJETO PERFURAÇÃO'!$B:$B,0)),"")</f>
        <v/>
      </c>
      <c r="M408" s="8">
        <f>IFERROR(INDEX('PROJETO PERFURAÇÃO'!$AN:$AN,MATCH(MEDIÇÃO!K408,'PROJETO PERFURAÇÃO'!$B:$B,0)),"")</f>
        <v>0</v>
      </c>
      <c r="N408" s="3"/>
      <c r="O408" s="3"/>
      <c r="P408" s="3" t="str">
        <f>IFERROR(ROUND(INDEX('PROJETO PERFURAÇÃO'!$AB:$AB,MATCH(MEDIÇÃO!R408,'PROJETO PERFURAÇÃO'!$B:$B,0)),1)&amp;"''","")</f>
        <v>5''</v>
      </c>
      <c r="Q408" s="3" t="str">
        <f>IFERROR(IF(INDEX('PROJETO PERFURAÇÃO'!$P:$P,MATCH(MEDIÇÃO!R408,'PROJETO PERFURAÇÃO'!$B:$B,0))="Production","P",IF(INDEX('PROJETO PERFURAÇÃO'!$P:$P,MATCH(MEDIÇÃO!R408,'PROJETO PERFURAÇÃO'!$B:$B,0))="Buffer","B",IF(INDEX('PROJETO PERFURAÇÃO'!$P:$P,MATCH(MEDIÇÃO!R408,'PROJETO PERFURAÇÃO'!$B:$B,0))="Pre-Splitting","S"))),"")</f>
        <v>P</v>
      </c>
      <c r="R408" s="14">
        <f>K430+1</f>
        <v>944</v>
      </c>
      <c r="S408" s="4" t="str">
        <f>IFERROR(INDEX('LEV R&amp;D'!$D:$D,MATCH(MEDIÇÃO!R408,'LEV R&amp;D'!$A:$A,0))-INDEX('PROJETO PERFURAÇÃO'!$AH:$AH,MATCH(MEDIÇÃO!R408,'PROJETO PERFURAÇÃO'!$B:$B,0)),"")</f>
        <v/>
      </c>
      <c r="T408" s="8">
        <f>IFERROR(INDEX('PROJETO PERFURAÇÃO'!$AN:$AN,MATCH(MEDIÇÃO!R408,'PROJETO PERFURAÇÃO'!$B:$B,0)),"")</f>
        <v>0</v>
      </c>
      <c r="U408" s="3"/>
      <c r="V408" s="3"/>
    </row>
    <row r="409" spans="1:23" ht="45" customHeight="1" x14ac:dyDescent="0.25">
      <c r="B409" s="3" t="str">
        <f>IFERROR(ROUND(INDEX('PROJETO PERFURAÇÃO'!$AB:$AB,MATCH(MEDIÇÃO!D409,'PROJETO PERFURAÇÃO'!$B:$B,0)),1)&amp;"''","")</f>
        <v>5''</v>
      </c>
      <c r="C409" s="3" t="str">
        <f>IFERROR(IF(INDEX('PROJETO PERFURAÇÃO'!$P:$P,MATCH(MEDIÇÃO!D409,'PROJETO PERFURAÇÃO'!$B:$B,0))="Production","P",IF(INDEX('PROJETO PERFURAÇÃO'!$P:$P,MATCH(MEDIÇÃO!D409,'PROJETO PERFURAÇÃO'!$B:$B,0))="Buffer","B",IF(INDEX('PROJETO PERFURAÇÃO'!$P:$P,MATCH(MEDIÇÃO!D409,'PROJETO PERFURAÇÃO'!$B:$B,0))="Pre-Splitting","S"))),"")</f>
        <v>P</v>
      </c>
      <c r="D409" s="14">
        <f>D408+1</f>
        <v>899</v>
      </c>
      <c r="E409" s="4" t="str">
        <f>IFERROR(INDEX('LEV R&amp;D'!$D:$D,MATCH(MEDIÇÃO!D409,'LEV R&amp;D'!$A:$A,0))-INDEX('PROJETO PERFURAÇÃO'!$AH:$AH,MATCH(MEDIÇÃO!D409,'PROJETO PERFURAÇÃO'!$B:$B,0)),"")</f>
        <v/>
      </c>
      <c r="F409" s="8">
        <f>IFERROR(INDEX('PROJETO PERFURAÇÃO'!$AN:$AN,MATCH(MEDIÇÃO!D409,'PROJETO PERFURAÇÃO'!$B:$B,0)),"")</f>
        <v>0</v>
      </c>
      <c r="G409" s="3"/>
      <c r="H409" s="3"/>
      <c r="I409" s="3" t="str">
        <f>IFERROR(ROUND(INDEX('PROJETO PERFURAÇÃO'!$AB:$AB,MATCH(MEDIÇÃO!K409,'PROJETO PERFURAÇÃO'!$B:$B,0)),1)&amp;"''","")</f>
        <v>5''</v>
      </c>
      <c r="J409" s="3" t="str">
        <f>IFERROR(IF(INDEX('PROJETO PERFURAÇÃO'!$P:$P,MATCH(MEDIÇÃO!K409,'PROJETO PERFURAÇÃO'!$B:$B,0))="Production","P",IF(INDEX('PROJETO PERFURAÇÃO'!$P:$P,MATCH(MEDIÇÃO!K409,'PROJETO PERFURAÇÃO'!$B:$B,0))="Buffer","B",IF(INDEX('PROJETO PERFURAÇÃO'!$P:$P,MATCH(MEDIÇÃO!K409,'PROJETO PERFURAÇÃO'!$B:$B,0))="Pre-Splitting","S"))),"")</f>
        <v>P</v>
      </c>
      <c r="K409" s="14">
        <f>K408+1</f>
        <v>922</v>
      </c>
      <c r="L409" s="4" t="str">
        <f>IFERROR(INDEX('LEV R&amp;D'!$D:$D,MATCH(MEDIÇÃO!K409,'LEV R&amp;D'!$A:$A,0))-INDEX('PROJETO PERFURAÇÃO'!$AH:$AH,MATCH(MEDIÇÃO!K409,'PROJETO PERFURAÇÃO'!$B:$B,0)),"")</f>
        <v/>
      </c>
      <c r="M409" s="8">
        <f>IFERROR(INDEX('PROJETO PERFURAÇÃO'!$AN:$AN,MATCH(MEDIÇÃO!K409,'PROJETO PERFURAÇÃO'!$B:$B,0)),"")</f>
        <v>0</v>
      </c>
      <c r="N409" s="3"/>
      <c r="O409" s="3"/>
      <c r="P409" s="3" t="str">
        <f>IFERROR(ROUND(INDEX('PROJETO PERFURAÇÃO'!$AB:$AB,MATCH(MEDIÇÃO!R409,'PROJETO PERFURAÇÃO'!$B:$B,0)),1)&amp;"''","")</f>
        <v>5''</v>
      </c>
      <c r="Q409" s="3" t="str">
        <f>IFERROR(IF(INDEX('PROJETO PERFURAÇÃO'!$P:$P,MATCH(MEDIÇÃO!R409,'PROJETO PERFURAÇÃO'!$B:$B,0))="Production","P",IF(INDEX('PROJETO PERFURAÇÃO'!$P:$P,MATCH(MEDIÇÃO!R409,'PROJETO PERFURAÇÃO'!$B:$B,0))="Buffer","B",IF(INDEX('PROJETO PERFURAÇÃO'!$P:$P,MATCH(MEDIÇÃO!R409,'PROJETO PERFURAÇÃO'!$B:$B,0))="Pre-Splitting","S"))),"")</f>
        <v>P</v>
      </c>
      <c r="R409" s="14">
        <f>R408+1</f>
        <v>945</v>
      </c>
      <c r="S409" s="4" t="str">
        <f>IFERROR(INDEX('LEV R&amp;D'!$D:$D,MATCH(MEDIÇÃO!R409,'LEV R&amp;D'!$A:$A,0))-INDEX('PROJETO PERFURAÇÃO'!$AH:$AH,MATCH(MEDIÇÃO!R409,'PROJETO PERFURAÇÃO'!$B:$B,0)),"")</f>
        <v/>
      </c>
      <c r="T409" s="8">
        <f>IFERROR(INDEX('PROJETO PERFURAÇÃO'!$AN:$AN,MATCH(MEDIÇÃO!R409,'PROJETO PERFURAÇÃO'!$B:$B,0)),"")</f>
        <v>0</v>
      </c>
      <c r="U409" s="3"/>
      <c r="V409" s="3"/>
    </row>
    <row r="410" spans="1:23" ht="45" customHeight="1" x14ac:dyDescent="0.25">
      <c r="B410" s="3" t="str">
        <f>IFERROR(ROUND(INDEX('PROJETO PERFURAÇÃO'!$AB:$AB,MATCH(MEDIÇÃO!D410,'PROJETO PERFURAÇÃO'!$B:$B,0)),1)&amp;"''","")</f>
        <v>5''</v>
      </c>
      <c r="C410" s="3" t="str">
        <f>IFERROR(IF(INDEX('PROJETO PERFURAÇÃO'!$P:$P,MATCH(MEDIÇÃO!D410,'PROJETO PERFURAÇÃO'!$B:$B,0))="Production","P",IF(INDEX('PROJETO PERFURAÇÃO'!$P:$P,MATCH(MEDIÇÃO!D410,'PROJETO PERFURAÇÃO'!$B:$B,0))="Buffer","B",IF(INDEX('PROJETO PERFURAÇÃO'!$P:$P,MATCH(MEDIÇÃO!D410,'PROJETO PERFURAÇÃO'!$B:$B,0))="Pre-Splitting","S"))),"")</f>
        <v>P</v>
      </c>
      <c r="D410" s="14">
        <f t="shared" ref="D410:D429" si="39">D409+1</f>
        <v>900</v>
      </c>
      <c r="E410" s="4" t="str">
        <f>IFERROR(INDEX('LEV R&amp;D'!$D:$D,MATCH(MEDIÇÃO!D410,'LEV R&amp;D'!$A:$A,0))-INDEX('PROJETO PERFURAÇÃO'!$AH:$AH,MATCH(MEDIÇÃO!D410,'PROJETO PERFURAÇÃO'!$B:$B,0)),"")</f>
        <v/>
      </c>
      <c r="F410" s="8">
        <f>IFERROR(INDEX('PROJETO PERFURAÇÃO'!$AN:$AN,MATCH(MEDIÇÃO!D410,'PROJETO PERFURAÇÃO'!$B:$B,0)),"")</f>
        <v>0</v>
      </c>
      <c r="G410" s="3"/>
      <c r="H410" s="3"/>
      <c r="I410" s="3" t="str">
        <f>IFERROR(ROUND(INDEX('PROJETO PERFURAÇÃO'!$AB:$AB,MATCH(MEDIÇÃO!K410,'PROJETO PERFURAÇÃO'!$B:$B,0)),1)&amp;"''","")</f>
        <v>5''</v>
      </c>
      <c r="J410" s="3" t="str">
        <f>IFERROR(IF(INDEX('PROJETO PERFURAÇÃO'!$P:$P,MATCH(MEDIÇÃO!K410,'PROJETO PERFURAÇÃO'!$B:$B,0))="Production","P",IF(INDEX('PROJETO PERFURAÇÃO'!$P:$P,MATCH(MEDIÇÃO!K410,'PROJETO PERFURAÇÃO'!$B:$B,0))="Buffer","B",IF(INDEX('PROJETO PERFURAÇÃO'!$P:$P,MATCH(MEDIÇÃO!K410,'PROJETO PERFURAÇÃO'!$B:$B,0))="Pre-Splitting","S"))),"")</f>
        <v>P</v>
      </c>
      <c r="K410" s="14">
        <f t="shared" ref="K410:K429" si="40">K409+1</f>
        <v>923</v>
      </c>
      <c r="L410" s="4" t="str">
        <f>IFERROR(INDEX('LEV R&amp;D'!$D:$D,MATCH(MEDIÇÃO!K410,'LEV R&amp;D'!$A:$A,0))-INDEX('PROJETO PERFURAÇÃO'!$AH:$AH,MATCH(MEDIÇÃO!K410,'PROJETO PERFURAÇÃO'!$B:$B,0)),"")</f>
        <v/>
      </c>
      <c r="M410" s="8">
        <f>IFERROR(INDEX('PROJETO PERFURAÇÃO'!$AN:$AN,MATCH(MEDIÇÃO!K410,'PROJETO PERFURAÇÃO'!$B:$B,0)),"")</f>
        <v>0</v>
      </c>
      <c r="N410" s="3"/>
      <c r="O410" s="3"/>
      <c r="P410" s="3" t="str">
        <f>IFERROR(ROUND(INDEX('PROJETO PERFURAÇÃO'!$AB:$AB,MATCH(MEDIÇÃO!R410,'PROJETO PERFURAÇÃO'!$B:$B,0)),1)&amp;"''","")</f>
        <v>5''</v>
      </c>
      <c r="Q410" s="3" t="str">
        <f>IFERROR(IF(INDEX('PROJETO PERFURAÇÃO'!$P:$P,MATCH(MEDIÇÃO!R410,'PROJETO PERFURAÇÃO'!$B:$B,0))="Production","P",IF(INDEX('PROJETO PERFURAÇÃO'!$P:$P,MATCH(MEDIÇÃO!R410,'PROJETO PERFURAÇÃO'!$B:$B,0))="Buffer","B",IF(INDEX('PROJETO PERFURAÇÃO'!$P:$P,MATCH(MEDIÇÃO!R410,'PROJETO PERFURAÇÃO'!$B:$B,0))="Pre-Splitting","S"))),"")</f>
        <v>P</v>
      </c>
      <c r="R410" s="14">
        <f t="shared" ref="R410:R429" si="41">R409+1</f>
        <v>946</v>
      </c>
      <c r="S410" s="4" t="str">
        <f>IFERROR(INDEX('LEV R&amp;D'!$D:$D,MATCH(MEDIÇÃO!R410,'LEV R&amp;D'!$A:$A,0))-INDEX('PROJETO PERFURAÇÃO'!$AH:$AH,MATCH(MEDIÇÃO!R410,'PROJETO PERFURAÇÃO'!$B:$B,0)),"")</f>
        <v/>
      </c>
      <c r="T410" s="8">
        <f>IFERROR(INDEX('PROJETO PERFURAÇÃO'!$AN:$AN,MATCH(MEDIÇÃO!R410,'PROJETO PERFURAÇÃO'!$B:$B,0)),"")</f>
        <v>0</v>
      </c>
      <c r="U410" s="3"/>
      <c r="V410" s="3"/>
    </row>
    <row r="411" spans="1:23" ht="45" customHeight="1" x14ac:dyDescent="0.25">
      <c r="B411" s="3" t="str">
        <f>IFERROR(ROUND(INDEX('PROJETO PERFURAÇÃO'!$AB:$AB,MATCH(MEDIÇÃO!D411,'PROJETO PERFURAÇÃO'!$B:$B,0)),1)&amp;"''","")</f>
        <v>5''</v>
      </c>
      <c r="C411" s="3" t="str">
        <f>IFERROR(IF(INDEX('PROJETO PERFURAÇÃO'!$P:$P,MATCH(MEDIÇÃO!D411,'PROJETO PERFURAÇÃO'!$B:$B,0))="Production","P",IF(INDEX('PROJETO PERFURAÇÃO'!$P:$P,MATCH(MEDIÇÃO!D411,'PROJETO PERFURAÇÃO'!$B:$B,0))="Buffer","B",IF(INDEX('PROJETO PERFURAÇÃO'!$P:$P,MATCH(MEDIÇÃO!D411,'PROJETO PERFURAÇÃO'!$B:$B,0))="Pre-Splitting","S"))),"")</f>
        <v>P</v>
      </c>
      <c r="D411" s="14">
        <f t="shared" si="39"/>
        <v>901</v>
      </c>
      <c r="E411" s="4" t="str">
        <f>IFERROR(INDEX('LEV R&amp;D'!$D:$D,MATCH(MEDIÇÃO!D411,'LEV R&amp;D'!$A:$A,0))-INDEX('PROJETO PERFURAÇÃO'!$AH:$AH,MATCH(MEDIÇÃO!D411,'PROJETO PERFURAÇÃO'!$B:$B,0)),"")</f>
        <v/>
      </c>
      <c r="F411" s="8">
        <f>IFERROR(INDEX('PROJETO PERFURAÇÃO'!$AN:$AN,MATCH(MEDIÇÃO!D411,'PROJETO PERFURAÇÃO'!$B:$B,0)),"")</f>
        <v>0</v>
      </c>
      <c r="G411" s="3"/>
      <c r="H411" s="3"/>
      <c r="I411" s="3" t="str">
        <f>IFERROR(ROUND(INDEX('PROJETO PERFURAÇÃO'!$AB:$AB,MATCH(MEDIÇÃO!K411,'PROJETO PERFURAÇÃO'!$B:$B,0)),1)&amp;"''","")</f>
        <v>5''</v>
      </c>
      <c r="J411" s="3" t="str">
        <f>IFERROR(IF(INDEX('PROJETO PERFURAÇÃO'!$P:$P,MATCH(MEDIÇÃO!K411,'PROJETO PERFURAÇÃO'!$B:$B,0))="Production","P",IF(INDEX('PROJETO PERFURAÇÃO'!$P:$P,MATCH(MEDIÇÃO!K411,'PROJETO PERFURAÇÃO'!$B:$B,0))="Buffer","B",IF(INDEX('PROJETO PERFURAÇÃO'!$P:$P,MATCH(MEDIÇÃO!K411,'PROJETO PERFURAÇÃO'!$B:$B,0))="Pre-Splitting","S"))),"")</f>
        <v>P</v>
      </c>
      <c r="K411" s="14">
        <f t="shared" si="40"/>
        <v>924</v>
      </c>
      <c r="L411" s="4" t="str">
        <f>IFERROR(INDEX('LEV R&amp;D'!$D:$D,MATCH(MEDIÇÃO!K411,'LEV R&amp;D'!$A:$A,0))-INDEX('PROJETO PERFURAÇÃO'!$AH:$AH,MATCH(MEDIÇÃO!K411,'PROJETO PERFURAÇÃO'!$B:$B,0)),"")</f>
        <v/>
      </c>
      <c r="M411" s="8">
        <f>IFERROR(INDEX('PROJETO PERFURAÇÃO'!$AN:$AN,MATCH(MEDIÇÃO!K411,'PROJETO PERFURAÇÃO'!$B:$B,0)),"")</f>
        <v>0</v>
      </c>
      <c r="N411" s="3"/>
      <c r="O411" s="3"/>
      <c r="P411" s="3" t="str">
        <f>IFERROR(ROUND(INDEX('PROJETO PERFURAÇÃO'!$AB:$AB,MATCH(MEDIÇÃO!R411,'PROJETO PERFURAÇÃO'!$B:$B,0)),1)&amp;"''","")</f>
        <v>5''</v>
      </c>
      <c r="Q411" s="3" t="str">
        <f>IFERROR(IF(INDEX('PROJETO PERFURAÇÃO'!$P:$P,MATCH(MEDIÇÃO!R411,'PROJETO PERFURAÇÃO'!$B:$B,0))="Production","P",IF(INDEX('PROJETO PERFURAÇÃO'!$P:$P,MATCH(MEDIÇÃO!R411,'PROJETO PERFURAÇÃO'!$B:$B,0))="Buffer","B",IF(INDEX('PROJETO PERFURAÇÃO'!$P:$P,MATCH(MEDIÇÃO!R411,'PROJETO PERFURAÇÃO'!$B:$B,0))="Pre-Splitting","S"))),"")</f>
        <v>P</v>
      </c>
      <c r="R411" s="14">
        <f t="shared" si="41"/>
        <v>947</v>
      </c>
      <c r="S411" s="4" t="str">
        <f>IFERROR(INDEX('LEV R&amp;D'!$D:$D,MATCH(MEDIÇÃO!R411,'LEV R&amp;D'!$A:$A,0))-INDEX('PROJETO PERFURAÇÃO'!$AH:$AH,MATCH(MEDIÇÃO!R411,'PROJETO PERFURAÇÃO'!$B:$B,0)),"")</f>
        <v/>
      </c>
      <c r="T411" s="8">
        <f>IFERROR(INDEX('PROJETO PERFURAÇÃO'!$AN:$AN,MATCH(MEDIÇÃO!R411,'PROJETO PERFURAÇÃO'!$B:$B,0)),"")</f>
        <v>0</v>
      </c>
      <c r="U411" s="3"/>
      <c r="V411" s="3"/>
    </row>
    <row r="412" spans="1:23" ht="45" customHeight="1" x14ac:dyDescent="0.25">
      <c r="B412" s="3" t="str">
        <f>IFERROR(ROUND(INDEX('PROJETO PERFURAÇÃO'!$AB:$AB,MATCH(MEDIÇÃO!D412,'PROJETO PERFURAÇÃO'!$B:$B,0)),1)&amp;"''","")</f>
        <v>5''</v>
      </c>
      <c r="C412" s="3" t="str">
        <f>IFERROR(IF(INDEX('PROJETO PERFURAÇÃO'!$P:$P,MATCH(MEDIÇÃO!D412,'PROJETO PERFURAÇÃO'!$B:$B,0))="Production","P",IF(INDEX('PROJETO PERFURAÇÃO'!$P:$P,MATCH(MEDIÇÃO!D412,'PROJETO PERFURAÇÃO'!$B:$B,0))="Buffer","B",IF(INDEX('PROJETO PERFURAÇÃO'!$P:$P,MATCH(MEDIÇÃO!D412,'PROJETO PERFURAÇÃO'!$B:$B,0))="Pre-Splitting","S"))),"")</f>
        <v>P</v>
      </c>
      <c r="D412" s="14">
        <f t="shared" si="39"/>
        <v>902</v>
      </c>
      <c r="E412" s="4" t="str">
        <f>IFERROR(INDEX('LEV R&amp;D'!$D:$D,MATCH(MEDIÇÃO!D412,'LEV R&amp;D'!$A:$A,0))-INDEX('PROJETO PERFURAÇÃO'!$AH:$AH,MATCH(MEDIÇÃO!D412,'PROJETO PERFURAÇÃO'!$B:$B,0)),"")</f>
        <v/>
      </c>
      <c r="F412" s="8">
        <f>IFERROR(INDEX('PROJETO PERFURAÇÃO'!$AN:$AN,MATCH(MEDIÇÃO!D412,'PROJETO PERFURAÇÃO'!$B:$B,0)),"")</f>
        <v>0</v>
      </c>
      <c r="G412" s="3"/>
      <c r="H412" s="3"/>
      <c r="I412" s="3" t="str">
        <f>IFERROR(ROUND(INDEX('PROJETO PERFURAÇÃO'!$AB:$AB,MATCH(MEDIÇÃO!K412,'PROJETO PERFURAÇÃO'!$B:$B,0)),1)&amp;"''","")</f>
        <v>5''</v>
      </c>
      <c r="J412" s="3" t="str">
        <f>IFERROR(IF(INDEX('PROJETO PERFURAÇÃO'!$P:$P,MATCH(MEDIÇÃO!K412,'PROJETO PERFURAÇÃO'!$B:$B,0))="Production","P",IF(INDEX('PROJETO PERFURAÇÃO'!$P:$P,MATCH(MEDIÇÃO!K412,'PROJETO PERFURAÇÃO'!$B:$B,0))="Buffer","B",IF(INDEX('PROJETO PERFURAÇÃO'!$P:$P,MATCH(MEDIÇÃO!K412,'PROJETO PERFURAÇÃO'!$B:$B,0))="Pre-Splitting","S"))),"")</f>
        <v>P</v>
      </c>
      <c r="K412" s="14">
        <f t="shared" si="40"/>
        <v>925</v>
      </c>
      <c r="L412" s="4" t="str">
        <f>IFERROR(INDEX('LEV R&amp;D'!$D:$D,MATCH(MEDIÇÃO!K412,'LEV R&amp;D'!$A:$A,0))-INDEX('PROJETO PERFURAÇÃO'!$AH:$AH,MATCH(MEDIÇÃO!K412,'PROJETO PERFURAÇÃO'!$B:$B,0)),"")</f>
        <v/>
      </c>
      <c r="M412" s="8">
        <f>IFERROR(INDEX('PROJETO PERFURAÇÃO'!$AN:$AN,MATCH(MEDIÇÃO!K412,'PROJETO PERFURAÇÃO'!$B:$B,0)),"")</f>
        <v>0</v>
      </c>
      <c r="N412" s="3"/>
      <c r="O412" s="3"/>
      <c r="P412" s="3" t="str">
        <f>IFERROR(ROUND(INDEX('PROJETO PERFURAÇÃO'!$AB:$AB,MATCH(MEDIÇÃO!R412,'PROJETO PERFURAÇÃO'!$B:$B,0)),1)&amp;"''","")</f>
        <v>5''</v>
      </c>
      <c r="Q412" s="3" t="str">
        <f>IFERROR(IF(INDEX('PROJETO PERFURAÇÃO'!$P:$P,MATCH(MEDIÇÃO!R412,'PROJETO PERFURAÇÃO'!$B:$B,0))="Production","P",IF(INDEX('PROJETO PERFURAÇÃO'!$P:$P,MATCH(MEDIÇÃO!R412,'PROJETO PERFURAÇÃO'!$B:$B,0))="Buffer","B",IF(INDEX('PROJETO PERFURAÇÃO'!$P:$P,MATCH(MEDIÇÃO!R412,'PROJETO PERFURAÇÃO'!$B:$B,0))="Pre-Splitting","S"))),"")</f>
        <v>P</v>
      </c>
      <c r="R412" s="14">
        <f t="shared" si="41"/>
        <v>948</v>
      </c>
      <c r="S412" s="4" t="str">
        <f>IFERROR(INDEX('LEV R&amp;D'!$D:$D,MATCH(MEDIÇÃO!R412,'LEV R&amp;D'!$A:$A,0))-INDEX('PROJETO PERFURAÇÃO'!$AH:$AH,MATCH(MEDIÇÃO!R412,'PROJETO PERFURAÇÃO'!$B:$B,0)),"")</f>
        <v/>
      </c>
      <c r="T412" s="8">
        <f>IFERROR(INDEX('PROJETO PERFURAÇÃO'!$AN:$AN,MATCH(MEDIÇÃO!R412,'PROJETO PERFURAÇÃO'!$B:$B,0)),"")</f>
        <v>0</v>
      </c>
      <c r="U412" s="3"/>
      <c r="V412" s="3"/>
    </row>
    <row r="413" spans="1:23" ht="45" customHeight="1" x14ac:dyDescent="0.25">
      <c r="B413" s="3" t="str">
        <f>IFERROR(ROUND(INDEX('PROJETO PERFURAÇÃO'!$AB:$AB,MATCH(MEDIÇÃO!D413,'PROJETO PERFURAÇÃO'!$B:$B,0)),1)&amp;"''","")</f>
        <v>5''</v>
      </c>
      <c r="C413" s="3" t="str">
        <f>IFERROR(IF(INDEX('PROJETO PERFURAÇÃO'!$P:$P,MATCH(MEDIÇÃO!D413,'PROJETO PERFURAÇÃO'!$B:$B,0))="Production","P",IF(INDEX('PROJETO PERFURAÇÃO'!$P:$P,MATCH(MEDIÇÃO!D413,'PROJETO PERFURAÇÃO'!$B:$B,0))="Buffer","B",IF(INDEX('PROJETO PERFURAÇÃO'!$P:$P,MATCH(MEDIÇÃO!D413,'PROJETO PERFURAÇÃO'!$B:$B,0))="Pre-Splitting","S"))),"")</f>
        <v>P</v>
      </c>
      <c r="D413" s="14">
        <f t="shared" si="39"/>
        <v>903</v>
      </c>
      <c r="E413" s="4" t="str">
        <f>IFERROR(INDEX('LEV R&amp;D'!$D:$D,MATCH(MEDIÇÃO!D413,'LEV R&amp;D'!$A:$A,0))-INDEX('PROJETO PERFURAÇÃO'!$AH:$AH,MATCH(MEDIÇÃO!D413,'PROJETO PERFURAÇÃO'!$B:$B,0)),"")</f>
        <v/>
      </c>
      <c r="F413" s="8">
        <f>IFERROR(INDEX('PROJETO PERFURAÇÃO'!$AN:$AN,MATCH(MEDIÇÃO!D413,'PROJETO PERFURAÇÃO'!$B:$B,0)),"")</f>
        <v>0</v>
      </c>
      <c r="G413" s="3"/>
      <c r="H413" s="3"/>
      <c r="I413" s="3" t="str">
        <f>IFERROR(ROUND(INDEX('PROJETO PERFURAÇÃO'!$AB:$AB,MATCH(MEDIÇÃO!K413,'PROJETO PERFURAÇÃO'!$B:$B,0)),1)&amp;"''","")</f>
        <v>5''</v>
      </c>
      <c r="J413" s="3" t="str">
        <f>IFERROR(IF(INDEX('PROJETO PERFURAÇÃO'!$P:$P,MATCH(MEDIÇÃO!K413,'PROJETO PERFURAÇÃO'!$B:$B,0))="Production","P",IF(INDEX('PROJETO PERFURAÇÃO'!$P:$P,MATCH(MEDIÇÃO!K413,'PROJETO PERFURAÇÃO'!$B:$B,0))="Buffer","B",IF(INDEX('PROJETO PERFURAÇÃO'!$P:$P,MATCH(MEDIÇÃO!K413,'PROJETO PERFURAÇÃO'!$B:$B,0))="Pre-Splitting","S"))),"")</f>
        <v>P</v>
      </c>
      <c r="K413" s="14">
        <f t="shared" si="40"/>
        <v>926</v>
      </c>
      <c r="L413" s="4" t="str">
        <f>IFERROR(INDEX('LEV R&amp;D'!$D:$D,MATCH(MEDIÇÃO!K413,'LEV R&amp;D'!$A:$A,0))-INDEX('PROJETO PERFURAÇÃO'!$AH:$AH,MATCH(MEDIÇÃO!K413,'PROJETO PERFURAÇÃO'!$B:$B,0)),"")</f>
        <v/>
      </c>
      <c r="M413" s="8">
        <f>IFERROR(INDEX('PROJETO PERFURAÇÃO'!$AN:$AN,MATCH(MEDIÇÃO!K413,'PROJETO PERFURAÇÃO'!$B:$B,0)),"")</f>
        <v>0</v>
      </c>
      <c r="N413" s="3"/>
      <c r="O413" s="3"/>
      <c r="P413" s="3" t="str">
        <f>IFERROR(ROUND(INDEX('PROJETO PERFURAÇÃO'!$AB:$AB,MATCH(MEDIÇÃO!R413,'PROJETO PERFURAÇÃO'!$B:$B,0)),1)&amp;"''","")</f>
        <v>5''</v>
      </c>
      <c r="Q413" s="3" t="str">
        <f>IFERROR(IF(INDEX('PROJETO PERFURAÇÃO'!$P:$P,MATCH(MEDIÇÃO!R413,'PROJETO PERFURAÇÃO'!$B:$B,0))="Production","P",IF(INDEX('PROJETO PERFURAÇÃO'!$P:$P,MATCH(MEDIÇÃO!R413,'PROJETO PERFURAÇÃO'!$B:$B,0))="Buffer","B",IF(INDEX('PROJETO PERFURAÇÃO'!$P:$P,MATCH(MEDIÇÃO!R413,'PROJETO PERFURAÇÃO'!$B:$B,0))="Pre-Splitting","S"))),"")</f>
        <v>P</v>
      </c>
      <c r="R413" s="14">
        <f t="shared" si="41"/>
        <v>949</v>
      </c>
      <c r="S413" s="4" t="str">
        <f>IFERROR(INDEX('LEV R&amp;D'!$D:$D,MATCH(MEDIÇÃO!R413,'LEV R&amp;D'!$A:$A,0))-INDEX('PROJETO PERFURAÇÃO'!$AH:$AH,MATCH(MEDIÇÃO!R413,'PROJETO PERFURAÇÃO'!$B:$B,0)),"")</f>
        <v/>
      </c>
      <c r="T413" s="8">
        <f>IFERROR(INDEX('PROJETO PERFURAÇÃO'!$AN:$AN,MATCH(MEDIÇÃO!R413,'PROJETO PERFURAÇÃO'!$B:$B,0)),"")</f>
        <v>0</v>
      </c>
      <c r="U413" s="3"/>
      <c r="V413" s="3"/>
    </row>
    <row r="414" spans="1:23" ht="45" customHeight="1" x14ac:dyDescent="0.25">
      <c r="B414" s="3" t="str">
        <f>IFERROR(ROUND(INDEX('PROJETO PERFURAÇÃO'!$AB:$AB,MATCH(MEDIÇÃO!D414,'PROJETO PERFURAÇÃO'!$B:$B,0)),1)&amp;"''","")</f>
        <v>5''</v>
      </c>
      <c r="C414" s="3" t="str">
        <f>IFERROR(IF(INDEX('PROJETO PERFURAÇÃO'!$P:$P,MATCH(MEDIÇÃO!D414,'PROJETO PERFURAÇÃO'!$B:$B,0))="Production","P",IF(INDEX('PROJETO PERFURAÇÃO'!$P:$P,MATCH(MEDIÇÃO!D414,'PROJETO PERFURAÇÃO'!$B:$B,0))="Buffer","B",IF(INDEX('PROJETO PERFURAÇÃO'!$P:$P,MATCH(MEDIÇÃO!D414,'PROJETO PERFURAÇÃO'!$B:$B,0))="Pre-Splitting","S"))),"")</f>
        <v>P</v>
      </c>
      <c r="D414" s="14">
        <f t="shared" si="39"/>
        <v>904</v>
      </c>
      <c r="E414" s="4" t="str">
        <f>IFERROR(INDEX('LEV R&amp;D'!$D:$D,MATCH(MEDIÇÃO!D414,'LEV R&amp;D'!$A:$A,0))-INDEX('PROJETO PERFURAÇÃO'!$AH:$AH,MATCH(MEDIÇÃO!D414,'PROJETO PERFURAÇÃO'!$B:$B,0)),"")</f>
        <v/>
      </c>
      <c r="F414" s="8">
        <f>IFERROR(INDEX('PROJETO PERFURAÇÃO'!$AN:$AN,MATCH(MEDIÇÃO!D414,'PROJETO PERFURAÇÃO'!$B:$B,0)),"")</f>
        <v>0</v>
      </c>
      <c r="G414" s="3"/>
      <c r="H414" s="3"/>
      <c r="I414" s="3" t="str">
        <f>IFERROR(ROUND(INDEX('PROJETO PERFURAÇÃO'!$AB:$AB,MATCH(MEDIÇÃO!K414,'PROJETO PERFURAÇÃO'!$B:$B,0)),1)&amp;"''","")</f>
        <v>5''</v>
      </c>
      <c r="J414" s="3" t="str">
        <f>IFERROR(IF(INDEX('PROJETO PERFURAÇÃO'!$P:$P,MATCH(MEDIÇÃO!K414,'PROJETO PERFURAÇÃO'!$B:$B,0))="Production","P",IF(INDEX('PROJETO PERFURAÇÃO'!$P:$P,MATCH(MEDIÇÃO!K414,'PROJETO PERFURAÇÃO'!$B:$B,0))="Buffer","B",IF(INDEX('PROJETO PERFURAÇÃO'!$P:$P,MATCH(MEDIÇÃO!K414,'PROJETO PERFURAÇÃO'!$B:$B,0))="Pre-Splitting","S"))),"")</f>
        <v>P</v>
      </c>
      <c r="K414" s="14">
        <f t="shared" si="40"/>
        <v>927</v>
      </c>
      <c r="L414" s="4" t="str">
        <f>IFERROR(INDEX('LEV R&amp;D'!$D:$D,MATCH(MEDIÇÃO!K414,'LEV R&amp;D'!$A:$A,0))-INDEX('PROJETO PERFURAÇÃO'!$AH:$AH,MATCH(MEDIÇÃO!K414,'PROJETO PERFURAÇÃO'!$B:$B,0)),"")</f>
        <v/>
      </c>
      <c r="M414" s="8">
        <f>IFERROR(INDEX('PROJETO PERFURAÇÃO'!$AN:$AN,MATCH(MEDIÇÃO!K414,'PROJETO PERFURAÇÃO'!$B:$B,0)),"")</f>
        <v>0</v>
      </c>
      <c r="N414" s="3"/>
      <c r="O414" s="3"/>
      <c r="P414" s="3" t="str">
        <f>IFERROR(ROUND(INDEX('PROJETO PERFURAÇÃO'!$AB:$AB,MATCH(MEDIÇÃO!R414,'PROJETO PERFURAÇÃO'!$B:$B,0)),1)&amp;"''","")</f>
        <v>5''</v>
      </c>
      <c r="Q414" s="3" t="str">
        <f>IFERROR(IF(INDEX('PROJETO PERFURAÇÃO'!$P:$P,MATCH(MEDIÇÃO!R414,'PROJETO PERFURAÇÃO'!$B:$B,0))="Production","P",IF(INDEX('PROJETO PERFURAÇÃO'!$P:$P,MATCH(MEDIÇÃO!R414,'PROJETO PERFURAÇÃO'!$B:$B,0))="Buffer","B",IF(INDEX('PROJETO PERFURAÇÃO'!$P:$P,MATCH(MEDIÇÃO!R414,'PROJETO PERFURAÇÃO'!$B:$B,0))="Pre-Splitting","S"))),"")</f>
        <v>P</v>
      </c>
      <c r="R414" s="14">
        <f t="shared" si="41"/>
        <v>950</v>
      </c>
      <c r="S414" s="4" t="str">
        <f>IFERROR(INDEX('LEV R&amp;D'!$D:$D,MATCH(MEDIÇÃO!R414,'LEV R&amp;D'!$A:$A,0))-INDEX('PROJETO PERFURAÇÃO'!$AH:$AH,MATCH(MEDIÇÃO!R414,'PROJETO PERFURAÇÃO'!$B:$B,0)),"")</f>
        <v/>
      </c>
      <c r="T414" s="8">
        <f>IFERROR(INDEX('PROJETO PERFURAÇÃO'!$AN:$AN,MATCH(MEDIÇÃO!R414,'PROJETO PERFURAÇÃO'!$B:$B,0)),"")</f>
        <v>0</v>
      </c>
      <c r="U414" s="3"/>
      <c r="V414" s="3"/>
    </row>
    <row r="415" spans="1:23" ht="45" customHeight="1" x14ac:dyDescent="0.25">
      <c r="B415" s="3" t="str">
        <f>IFERROR(ROUND(INDEX('PROJETO PERFURAÇÃO'!$AB:$AB,MATCH(MEDIÇÃO!D415,'PROJETO PERFURAÇÃO'!$B:$B,0)),1)&amp;"''","")</f>
        <v>5''</v>
      </c>
      <c r="C415" s="3" t="str">
        <f>IFERROR(IF(INDEX('PROJETO PERFURAÇÃO'!$P:$P,MATCH(MEDIÇÃO!D415,'PROJETO PERFURAÇÃO'!$B:$B,0))="Production","P",IF(INDEX('PROJETO PERFURAÇÃO'!$P:$P,MATCH(MEDIÇÃO!D415,'PROJETO PERFURAÇÃO'!$B:$B,0))="Buffer","B",IF(INDEX('PROJETO PERFURAÇÃO'!$P:$P,MATCH(MEDIÇÃO!D415,'PROJETO PERFURAÇÃO'!$B:$B,0))="Pre-Splitting","S"))),"")</f>
        <v>P</v>
      </c>
      <c r="D415" s="14">
        <f t="shared" si="39"/>
        <v>905</v>
      </c>
      <c r="E415" s="4" t="str">
        <f>IFERROR(INDEX('LEV R&amp;D'!$D:$D,MATCH(MEDIÇÃO!D415,'LEV R&amp;D'!$A:$A,0))-INDEX('PROJETO PERFURAÇÃO'!$AH:$AH,MATCH(MEDIÇÃO!D415,'PROJETO PERFURAÇÃO'!$B:$B,0)),"")</f>
        <v/>
      </c>
      <c r="F415" s="8">
        <f>IFERROR(INDEX('PROJETO PERFURAÇÃO'!$AN:$AN,MATCH(MEDIÇÃO!D415,'PROJETO PERFURAÇÃO'!$B:$B,0)),"")</f>
        <v>0</v>
      </c>
      <c r="G415" s="3"/>
      <c r="H415" s="3"/>
      <c r="I415" s="3" t="str">
        <f>IFERROR(ROUND(INDEX('PROJETO PERFURAÇÃO'!$AB:$AB,MATCH(MEDIÇÃO!K415,'PROJETO PERFURAÇÃO'!$B:$B,0)),1)&amp;"''","")</f>
        <v>5''</v>
      </c>
      <c r="J415" s="3" t="str">
        <f>IFERROR(IF(INDEX('PROJETO PERFURAÇÃO'!$P:$P,MATCH(MEDIÇÃO!K415,'PROJETO PERFURAÇÃO'!$B:$B,0))="Production","P",IF(INDEX('PROJETO PERFURAÇÃO'!$P:$P,MATCH(MEDIÇÃO!K415,'PROJETO PERFURAÇÃO'!$B:$B,0))="Buffer","B",IF(INDEX('PROJETO PERFURAÇÃO'!$P:$P,MATCH(MEDIÇÃO!K415,'PROJETO PERFURAÇÃO'!$B:$B,0))="Pre-Splitting","S"))),"")</f>
        <v>P</v>
      </c>
      <c r="K415" s="14">
        <f t="shared" si="40"/>
        <v>928</v>
      </c>
      <c r="L415" s="4" t="str">
        <f>IFERROR(INDEX('LEV R&amp;D'!$D:$D,MATCH(MEDIÇÃO!K415,'LEV R&amp;D'!$A:$A,0))-INDEX('PROJETO PERFURAÇÃO'!$AH:$AH,MATCH(MEDIÇÃO!K415,'PROJETO PERFURAÇÃO'!$B:$B,0)),"")</f>
        <v/>
      </c>
      <c r="M415" s="8">
        <f>IFERROR(INDEX('PROJETO PERFURAÇÃO'!$AN:$AN,MATCH(MEDIÇÃO!K415,'PROJETO PERFURAÇÃO'!$B:$B,0)),"")</f>
        <v>0</v>
      </c>
      <c r="N415" s="3"/>
      <c r="O415" s="3"/>
      <c r="P415" s="3" t="str">
        <f>IFERROR(ROUND(INDEX('PROJETO PERFURAÇÃO'!$AB:$AB,MATCH(MEDIÇÃO!R415,'PROJETO PERFURAÇÃO'!$B:$B,0)),1)&amp;"''","")</f>
        <v>5''</v>
      </c>
      <c r="Q415" s="3" t="str">
        <f>IFERROR(IF(INDEX('PROJETO PERFURAÇÃO'!$P:$P,MATCH(MEDIÇÃO!R415,'PROJETO PERFURAÇÃO'!$B:$B,0))="Production","P",IF(INDEX('PROJETO PERFURAÇÃO'!$P:$P,MATCH(MEDIÇÃO!R415,'PROJETO PERFURAÇÃO'!$B:$B,0))="Buffer","B",IF(INDEX('PROJETO PERFURAÇÃO'!$P:$P,MATCH(MEDIÇÃO!R415,'PROJETO PERFURAÇÃO'!$B:$B,0))="Pre-Splitting","S"))),"")</f>
        <v>P</v>
      </c>
      <c r="R415" s="14">
        <f t="shared" si="41"/>
        <v>951</v>
      </c>
      <c r="S415" s="4" t="str">
        <f>IFERROR(INDEX('LEV R&amp;D'!$D:$D,MATCH(MEDIÇÃO!R415,'LEV R&amp;D'!$A:$A,0))-INDEX('PROJETO PERFURAÇÃO'!$AH:$AH,MATCH(MEDIÇÃO!R415,'PROJETO PERFURAÇÃO'!$B:$B,0)),"")</f>
        <v/>
      </c>
      <c r="T415" s="8">
        <f>IFERROR(INDEX('PROJETO PERFURAÇÃO'!$AN:$AN,MATCH(MEDIÇÃO!R415,'PROJETO PERFURAÇÃO'!$B:$B,0)),"")</f>
        <v>0</v>
      </c>
      <c r="U415" s="3"/>
      <c r="V415" s="3"/>
    </row>
    <row r="416" spans="1:23" ht="45" customHeight="1" x14ac:dyDescent="0.25">
      <c r="B416" s="3" t="str">
        <f>IFERROR(ROUND(INDEX('PROJETO PERFURAÇÃO'!$AB:$AB,MATCH(MEDIÇÃO!D416,'PROJETO PERFURAÇÃO'!$B:$B,0)),1)&amp;"''","")</f>
        <v>5''</v>
      </c>
      <c r="C416" s="3" t="str">
        <f>IFERROR(IF(INDEX('PROJETO PERFURAÇÃO'!$P:$P,MATCH(MEDIÇÃO!D416,'PROJETO PERFURAÇÃO'!$B:$B,0))="Production","P",IF(INDEX('PROJETO PERFURAÇÃO'!$P:$P,MATCH(MEDIÇÃO!D416,'PROJETO PERFURAÇÃO'!$B:$B,0))="Buffer","B",IF(INDEX('PROJETO PERFURAÇÃO'!$P:$P,MATCH(MEDIÇÃO!D416,'PROJETO PERFURAÇÃO'!$B:$B,0))="Pre-Splitting","S"))),"")</f>
        <v>P</v>
      </c>
      <c r="D416" s="14">
        <f t="shared" si="39"/>
        <v>906</v>
      </c>
      <c r="E416" s="4" t="str">
        <f>IFERROR(INDEX('LEV R&amp;D'!$D:$D,MATCH(MEDIÇÃO!D416,'LEV R&amp;D'!$A:$A,0))-INDEX('PROJETO PERFURAÇÃO'!$AH:$AH,MATCH(MEDIÇÃO!D416,'PROJETO PERFURAÇÃO'!$B:$B,0)),"")</f>
        <v/>
      </c>
      <c r="F416" s="8">
        <f>IFERROR(INDEX('PROJETO PERFURAÇÃO'!$AN:$AN,MATCH(MEDIÇÃO!D416,'PROJETO PERFURAÇÃO'!$B:$B,0)),"")</f>
        <v>0</v>
      </c>
      <c r="G416" s="3"/>
      <c r="H416" s="3"/>
      <c r="I416" s="3" t="str">
        <f>IFERROR(ROUND(INDEX('PROJETO PERFURAÇÃO'!$AB:$AB,MATCH(MEDIÇÃO!K416,'PROJETO PERFURAÇÃO'!$B:$B,0)),1)&amp;"''","")</f>
        <v>5''</v>
      </c>
      <c r="J416" s="3" t="str">
        <f>IFERROR(IF(INDEX('PROJETO PERFURAÇÃO'!$P:$P,MATCH(MEDIÇÃO!K416,'PROJETO PERFURAÇÃO'!$B:$B,0))="Production","P",IF(INDEX('PROJETO PERFURAÇÃO'!$P:$P,MATCH(MEDIÇÃO!K416,'PROJETO PERFURAÇÃO'!$B:$B,0))="Buffer","B",IF(INDEX('PROJETO PERFURAÇÃO'!$P:$P,MATCH(MEDIÇÃO!K416,'PROJETO PERFURAÇÃO'!$B:$B,0))="Pre-Splitting","S"))),"")</f>
        <v>P</v>
      </c>
      <c r="K416" s="14">
        <f t="shared" si="40"/>
        <v>929</v>
      </c>
      <c r="L416" s="4" t="str">
        <f>IFERROR(INDEX('LEV R&amp;D'!$D:$D,MATCH(MEDIÇÃO!K416,'LEV R&amp;D'!$A:$A,0))-INDEX('PROJETO PERFURAÇÃO'!$AH:$AH,MATCH(MEDIÇÃO!K416,'PROJETO PERFURAÇÃO'!$B:$B,0)),"")</f>
        <v/>
      </c>
      <c r="M416" s="8">
        <f>IFERROR(INDEX('PROJETO PERFURAÇÃO'!$AN:$AN,MATCH(MEDIÇÃO!K416,'PROJETO PERFURAÇÃO'!$B:$B,0)),"")</f>
        <v>0</v>
      </c>
      <c r="N416" s="3"/>
      <c r="O416" s="3"/>
      <c r="P416" s="3" t="str">
        <f>IFERROR(ROUND(INDEX('PROJETO PERFURAÇÃO'!$AB:$AB,MATCH(MEDIÇÃO!R416,'PROJETO PERFURAÇÃO'!$B:$B,0)),1)&amp;"''","")</f>
        <v>5''</v>
      </c>
      <c r="Q416" s="3" t="str">
        <f>IFERROR(IF(INDEX('PROJETO PERFURAÇÃO'!$P:$P,MATCH(MEDIÇÃO!R416,'PROJETO PERFURAÇÃO'!$B:$B,0))="Production","P",IF(INDEX('PROJETO PERFURAÇÃO'!$P:$P,MATCH(MEDIÇÃO!R416,'PROJETO PERFURAÇÃO'!$B:$B,0))="Buffer","B",IF(INDEX('PROJETO PERFURAÇÃO'!$P:$P,MATCH(MEDIÇÃO!R416,'PROJETO PERFURAÇÃO'!$B:$B,0))="Pre-Splitting","S"))),"")</f>
        <v>P</v>
      </c>
      <c r="R416" s="14">
        <f t="shared" si="41"/>
        <v>952</v>
      </c>
      <c r="S416" s="4" t="str">
        <f>IFERROR(INDEX('LEV R&amp;D'!$D:$D,MATCH(MEDIÇÃO!R416,'LEV R&amp;D'!$A:$A,0))-INDEX('PROJETO PERFURAÇÃO'!$AH:$AH,MATCH(MEDIÇÃO!R416,'PROJETO PERFURAÇÃO'!$B:$B,0)),"")</f>
        <v/>
      </c>
      <c r="T416" s="8">
        <f>IFERROR(INDEX('PROJETO PERFURAÇÃO'!$AN:$AN,MATCH(MEDIÇÃO!R416,'PROJETO PERFURAÇÃO'!$B:$B,0)),"")</f>
        <v>0</v>
      </c>
      <c r="U416" s="3"/>
      <c r="V416" s="3"/>
    </row>
    <row r="417" spans="2:22" ht="45" customHeight="1" x14ac:dyDescent="0.25">
      <c r="B417" s="3" t="str">
        <f>IFERROR(ROUND(INDEX('PROJETO PERFURAÇÃO'!$AB:$AB,MATCH(MEDIÇÃO!D417,'PROJETO PERFURAÇÃO'!$B:$B,0)),1)&amp;"''","")</f>
        <v>5''</v>
      </c>
      <c r="C417" s="3" t="str">
        <f>IFERROR(IF(INDEX('PROJETO PERFURAÇÃO'!$P:$P,MATCH(MEDIÇÃO!D417,'PROJETO PERFURAÇÃO'!$B:$B,0))="Production","P",IF(INDEX('PROJETO PERFURAÇÃO'!$P:$P,MATCH(MEDIÇÃO!D417,'PROJETO PERFURAÇÃO'!$B:$B,0))="Buffer","B",IF(INDEX('PROJETO PERFURAÇÃO'!$P:$P,MATCH(MEDIÇÃO!D417,'PROJETO PERFURAÇÃO'!$B:$B,0))="Pre-Splitting","S"))),"")</f>
        <v>P</v>
      </c>
      <c r="D417" s="14">
        <f t="shared" si="39"/>
        <v>907</v>
      </c>
      <c r="E417" s="4" t="str">
        <f>IFERROR(INDEX('LEV R&amp;D'!$D:$D,MATCH(MEDIÇÃO!D417,'LEV R&amp;D'!$A:$A,0))-INDEX('PROJETO PERFURAÇÃO'!$AH:$AH,MATCH(MEDIÇÃO!D417,'PROJETO PERFURAÇÃO'!$B:$B,0)),"")</f>
        <v/>
      </c>
      <c r="F417" s="8">
        <f>IFERROR(INDEX('PROJETO PERFURAÇÃO'!$AN:$AN,MATCH(MEDIÇÃO!D417,'PROJETO PERFURAÇÃO'!$B:$B,0)),"")</f>
        <v>0</v>
      </c>
      <c r="G417" s="3"/>
      <c r="H417" s="3"/>
      <c r="I417" s="3" t="str">
        <f>IFERROR(ROUND(INDEX('PROJETO PERFURAÇÃO'!$AB:$AB,MATCH(MEDIÇÃO!K417,'PROJETO PERFURAÇÃO'!$B:$B,0)),1)&amp;"''","")</f>
        <v>5''</v>
      </c>
      <c r="J417" s="3" t="str">
        <f>IFERROR(IF(INDEX('PROJETO PERFURAÇÃO'!$P:$P,MATCH(MEDIÇÃO!K417,'PROJETO PERFURAÇÃO'!$B:$B,0))="Production","P",IF(INDEX('PROJETO PERFURAÇÃO'!$P:$P,MATCH(MEDIÇÃO!K417,'PROJETO PERFURAÇÃO'!$B:$B,0))="Buffer","B",IF(INDEX('PROJETO PERFURAÇÃO'!$P:$P,MATCH(MEDIÇÃO!K417,'PROJETO PERFURAÇÃO'!$B:$B,0))="Pre-Splitting","S"))),"")</f>
        <v>P</v>
      </c>
      <c r="K417" s="14">
        <f t="shared" si="40"/>
        <v>930</v>
      </c>
      <c r="L417" s="4" t="str">
        <f>IFERROR(INDEX('LEV R&amp;D'!$D:$D,MATCH(MEDIÇÃO!K417,'LEV R&amp;D'!$A:$A,0))-INDEX('PROJETO PERFURAÇÃO'!$AH:$AH,MATCH(MEDIÇÃO!K417,'PROJETO PERFURAÇÃO'!$B:$B,0)),"")</f>
        <v/>
      </c>
      <c r="M417" s="8">
        <f>IFERROR(INDEX('PROJETO PERFURAÇÃO'!$AN:$AN,MATCH(MEDIÇÃO!K417,'PROJETO PERFURAÇÃO'!$B:$B,0)),"")</f>
        <v>0</v>
      </c>
      <c r="N417" s="3"/>
      <c r="O417" s="3"/>
      <c r="P417" s="3" t="str">
        <f>IFERROR(ROUND(INDEX('PROJETO PERFURAÇÃO'!$AB:$AB,MATCH(MEDIÇÃO!R417,'PROJETO PERFURAÇÃO'!$B:$B,0)),1)&amp;"''","")</f>
        <v>5''</v>
      </c>
      <c r="Q417" s="3" t="str">
        <f>IFERROR(IF(INDEX('PROJETO PERFURAÇÃO'!$P:$P,MATCH(MEDIÇÃO!R417,'PROJETO PERFURAÇÃO'!$B:$B,0))="Production","P",IF(INDEX('PROJETO PERFURAÇÃO'!$P:$P,MATCH(MEDIÇÃO!R417,'PROJETO PERFURAÇÃO'!$B:$B,0))="Buffer","B",IF(INDEX('PROJETO PERFURAÇÃO'!$P:$P,MATCH(MEDIÇÃO!R417,'PROJETO PERFURAÇÃO'!$B:$B,0))="Pre-Splitting","S"))),"")</f>
        <v>P</v>
      </c>
      <c r="R417" s="14">
        <f t="shared" si="41"/>
        <v>953</v>
      </c>
      <c r="S417" s="4" t="str">
        <f>IFERROR(INDEX('LEV R&amp;D'!$D:$D,MATCH(MEDIÇÃO!R417,'LEV R&amp;D'!$A:$A,0))-INDEX('PROJETO PERFURAÇÃO'!$AH:$AH,MATCH(MEDIÇÃO!R417,'PROJETO PERFURAÇÃO'!$B:$B,0)),"")</f>
        <v/>
      </c>
      <c r="T417" s="8">
        <f>IFERROR(INDEX('PROJETO PERFURAÇÃO'!$AN:$AN,MATCH(MEDIÇÃO!R417,'PROJETO PERFURAÇÃO'!$B:$B,0)),"")</f>
        <v>0</v>
      </c>
      <c r="U417" s="3"/>
      <c r="V417" s="3"/>
    </row>
    <row r="418" spans="2:22" ht="45" customHeight="1" x14ac:dyDescent="0.25">
      <c r="B418" s="3" t="str">
        <f>IFERROR(ROUND(INDEX('PROJETO PERFURAÇÃO'!$AB:$AB,MATCH(MEDIÇÃO!D418,'PROJETO PERFURAÇÃO'!$B:$B,0)),1)&amp;"''","")</f>
        <v>5''</v>
      </c>
      <c r="C418" s="3" t="str">
        <f>IFERROR(IF(INDEX('PROJETO PERFURAÇÃO'!$P:$P,MATCH(MEDIÇÃO!D418,'PROJETO PERFURAÇÃO'!$B:$B,0))="Production","P",IF(INDEX('PROJETO PERFURAÇÃO'!$P:$P,MATCH(MEDIÇÃO!D418,'PROJETO PERFURAÇÃO'!$B:$B,0))="Buffer","B",IF(INDEX('PROJETO PERFURAÇÃO'!$P:$P,MATCH(MEDIÇÃO!D418,'PROJETO PERFURAÇÃO'!$B:$B,0))="Pre-Splitting","S"))),"")</f>
        <v>P</v>
      </c>
      <c r="D418" s="14">
        <f t="shared" si="39"/>
        <v>908</v>
      </c>
      <c r="E418" s="4" t="str">
        <f>IFERROR(INDEX('LEV R&amp;D'!$D:$D,MATCH(MEDIÇÃO!D418,'LEV R&amp;D'!$A:$A,0))-INDEX('PROJETO PERFURAÇÃO'!$AH:$AH,MATCH(MEDIÇÃO!D418,'PROJETO PERFURAÇÃO'!$B:$B,0)),"")</f>
        <v/>
      </c>
      <c r="F418" s="8">
        <f>IFERROR(INDEX('PROJETO PERFURAÇÃO'!$AN:$AN,MATCH(MEDIÇÃO!D418,'PROJETO PERFURAÇÃO'!$B:$B,0)),"")</f>
        <v>0</v>
      </c>
      <c r="G418" s="3"/>
      <c r="H418" s="3"/>
      <c r="I418" s="3" t="str">
        <f>IFERROR(ROUND(INDEX('PROJETO PERFURAÇÃO'!$AB:$AB,MATCH(MEDIÇÃO!K418,'PROJETO PERFURAÇÃO'!$B:$B,0)),1)&amp;"''","")</f>
        <v>5''</v>
      </c>
      <c r="J418" s="3" t="str">
        <f>IFERROR(IF(INDEX('PROJETO PERFURAÇÃO'!$P:$P,MATCH(MEDIÇÃO!K418,'PROJETO PERFURAÇÃO'!$B:$B,0))="Production","P",IF(INDEX('PROJETO PERFURAÇÃO'!$P:$P,MATCH(MEDIÇÃO!K418,'PROJETO PERFURAÇÃO'!$B:$B,0))="Buffer","B",IF(INDEX('PROJETO PERFURAÇÃO'!$P:$P,MATCH(MEDIÇÃO!K418,'PROJETO PERFURAÇÃO'!$B:$B,0))="Pre-Splitting","S"))),"")</f>
        <v>P</v>
      </c>
      <c r="K418" s="14">
        <f t="shared" si="40"/>
        <v>931</v>
      </c>
      <c r="L418" s="4" t="str">
        <f>IFERROR(INDEX('LEV R&amp;D'!$D:$D,MATCH(MEDIÇÃO!K418,'LEV R&amp;D'!$A:$A,0))-INDEX('PROJETO PERFURAÇÃO'!$AH:$AH,MATCH(MEDIÇÃO!K418,'PROJETO PERFURAÇÃO'!$B:$B,0)),"")</f>
        <v/>
      </c>
      <c r="M418" s="8">
        <f>IFERROR(INDEX('PROJETO PERFURAÇÃO'!$AN:$AN,MATCH(MEDIÇÃO!K418,'PROJETO PERFURAÇÃO'!$B:$B,0)),"")</f>
        <v>0</v>
      </c>
      <c r="N418" s="3"/>
      <c r="O418" s="3"/>
      <c r="P418" s="3" t="str">
        <f>IFERROR(ROUND(INDEX('PROJETO PERFURAÇÃO'!$AB:$AB,MATCH(MEDIÇÃO!R418,'PROJETO PERFURAÇÃO'!$B:$B,0)),1)&amp;"''","")</f>
        <v>5''</v>
      </c>
      <c r="Q418" s="3" t="str">
        <f>IFERROR(IF(INDEX('PROJETO PERFURAÇÃO'!$P:$P,MATCH(MEDIÇÃO!R418,'PROJETO PERFURAÇÃO'!$B:$B,0))="Production","P",IF(INDEX('PROJETO PERFURAÇÃO'!$P:$P,MATCH(MEDIÇÃO!R418,'PROJETO PERFURAÇÃO'!$B:$B,0))="Buffer","B",IF(INDEX('PROJETO PERFURAÇÃO'!$P:$P,MATCH(MEDIÇÃO!R418,'PROJETO PERFURAÇÃO'!$B:$B,0))="Pre-Splitting","S"))),"")</f>
        <v>P</v>
      </c>
      <c r="R418" s="14">
        <f t="shared" si="41"/>
        <v>954</v>
      </c>
      <c r="S418" s="4" t="str">
        <f>IFERROR(INDEX('LEV R&amp;D'!$D:$D,MATCH(MEDIÇÃO!R418,'LEV R&amp;D'!$A:$A,0))-INDEX('PROJETO PERFURAÇÃO'!$AH:$AH,MATCH(MEDIÇÃO!R418,'PROJETO PERFURAÇÃO'!$B:$B,0)),"")</f>
        <v/>
      </c>
      <c r="T418" s="8">
        <f>IFERROR(INDEX('PROJETO PERFURAÇÃO'!$AN:$AN,MATCH(MEDIÇÃO!R418,'PROJETO PERFURAÇÃO'!$B:$B,0)),"")</f>
        <v>0</v>
      </c>
      <c r="U418" s="3"/>
      <c r="V418" s="3"/>
    </row>
    <row r="419" spans="2:22" ht="45" customHeight="1" x14ac:dyDescent="0.25">
      <c r="B419" s="3" t="str">
        <f>IFERROR(ROUND(INDEX('PROJETO PERFURAÇÃO'!$AB:$AB,MATCH(MEDIÇÃO!D419,'PROJETO PERFURAÇÃO'!$B:$B,0)),1)&amp;"''","")</f>
        <v>5''</v>
      </c>
      <c r="C419" s="3" t="str">
        <f>IFERROR(IF(INDEX('PROJETO PERFURAÇÃO'!$P:$P,MATCH(MEDIÇÃO!D419,'PROJETO PERFURAÇÃO'!$B:$B,0))="Production","P",IF(INDEX('PROJETO PERFURAÇÃO'!$P:$P,MATCH(MEDIÇÃO!D419,'PROJETO PERFURAÇÃO'!$B:$B,0))="Buffer","B",IF(INDEX('PROJETO PERFURAÇÃO'!$P:$P,MATCH(MEDIÇÃO!D419,'PROJETO PERFURAÇÃO'!$B:$B,0))="Pre-Splitting","S"))),"")</f>
        <v>P</v>
      </c>
      <c r="D419" s="14">
        <f t="shared" si="39"/>
        <v>909</v>
      </c>
      <c r="E419" s="4" t="str">
        <f>IFERROR(INDEX('LEV R&amp;D'!$D:$D,MATCH(MEDIÇÃO!D419,'LEV R&amp;D'!$A:$A,0))-INDEX('PROJETO PERFURAÇÃO'!$AH:$AH,MATCH(MEDIÇÃO!D419,'PROJETO PERFURAÇÃO'!$B:$B,0)),"")</f>
        <v/>
      </c>
      <c r="F419" s="8">
        <f>IFERROR(INDEX('PROJETO PERFURAÇÃO'!$AN:$AN,MATCH(MEDIÇÃO!D419,'PROJETO PERFURAÇÃO'!$B:$B,0)),"")</f>
        <v>0</v>
      </c>
      <c r="G419" s="3"/>
      <c r="H419" s="3"/>
      <c r="I419" s="3" t="str">
        <f>IFERROR(ROUND(INDEX('PROJETO PERFURAÇÃO'!$AB:$AB,MATCH(MEDIÇÃO!K419,'PROJETO PERFURAÇÃO'!$B:$B,0)),1)&amp;"''","")</f>
        <v>5''</v>
      </c>
      <c r="J419" s="3" t="str">
        <f>IFERROR(IF(INDEX('PROJETO PERFURAÇÃO'!$P:$P,MATCH(MEDIÇÃO!K419,'PROJETO PERFURAÇÃO'!$B:$B,0))="Production","P",IF(INDEX('PROJETO PERFURAÇÃO'!$P:$P,MATCH(MEDIÇÃO!K419,'PROJETO PERFURAÇÃO'!$B:$B,0))="Buffer","B",IF(INDEX('PROJETO PERFURAÇÃO'!$P:$P,MATCH(MEDIÇÃO!K419,'PROJETO PERFURAÇÃO'!$B:$B,0))="Pre-Splitting","S"))),"")</f>
        <v>P</v>
      </c>
      <c r="K419" s="14">
        <f t="shared" si="40"/>
        <v>932</v>
      </c>
      <c r="L419" s="4" t="str">
        <f>IFERROR(INDEX('LEV R&amp;D'!$D:$D,MATCH(MEDIÇÃO!K419,'LEV R&amp;D'!$A:$A,0))-INDEX('PROJETO PERFURAÇÃO'!$AH:$AH,MATCH(MEDIÇÃO!K419,'PROJETO PERFURAÇÃO'!$B:$B,0)),"")</f>
        <v/>
      </c>
      <c r="M419" s="8">
        <f>IFERROR(INDEX('PROJETO PERFURAÇÃO'!$AN:$AN,MATCH(MEDIÇÃO!K419,'PROJETO PERFURAÇÃO'!$B:$B,0)),"")</f>
        <v>0</v>
      </c>
      <c r="N419" s="3"/>
      <c r="O419" s="3"/>
      <c r="P419" s="3" t="str">
        <f>IFERROR(ROUND(INDEX('PROJETO PERFURAÇÃO'!$AB:$AB,MATCH(MEDIÇÃO!R419,'PROJETO PERFURAÇÃO'!$B:$B,0)),1)&amp;"''","")</f>
        <v>5''</v>
      </c>
      <c r="Q419" s="3" t="str">
        <f>IFERROR(IF(INDEX('PROJETO PERFURAÇÃO'!$P:$P,MATCH(MEDIÇÃO!R419,'PROJETO PERFURAÇÃO'!$B:$B,0))="Production","P",IF(INDEX('PROJETO PERFURAÇÃO'!$P:$P,MATCH(MEDIÇÃO!R419,'PROJETO PERFURAÇÃO'!$B:$B,0))="Buffer","B",IF(INDEX('PROJETO PERFURAÇÃO'!$P:$P,MATCH(MEDIÇÃO!R419,'PROJETO PERFURAÇÃO'!$B:$B,0))="Pre-Splitting","S"))),"")</f>
        <v>P</v>
      </c>
      <c r="R419" s="14">
        <f t="shared" si="41"/>
        <v>955</v>
      </c>
      <c r="S419" s="4" t="str">
        <f>IFERROR(INDEX('LEV R&amp;D'!$D:$D,MATCH(MEDIÇÃO!R419,'LEV R&amp;D'!$A:$A,0))-INDEX('PROJETO PERFURAÇÃO'!$AH:$AH,MATCH(MEDIÇÃO!R419,'PROJETO PERFURAÇÃO'!$B:$B,0)),"")</f>
        <v/>
      </c>
      <c r="T419" s="8">
        <f>IFERROR(INDEX('PROJETO PERFURAÇÃO'!$AN:$AN,MATCH(MEDIÇÃO!R419,'PROJETO PERFURAÇÃO'!$B:$B,0)),"")</f>
        <v>0</v>
      </c>
      <c r="U419" s="3"/>
      <c r="V419" s="3"/>
    </row>
    <row r="420" spans="2:22" ht="45" customHeight="1" x14ac:dyDescent="0.25">
      <c r="B420" s="3" t="str">
        <f>IFERROR(ROUND(INDEX('PROJETO PERFURAÇÃO'!$AB:$AB,MATCH(MEDIÇÃO!D420,'PROJETO PERFURAÇÃO'!$B:$B,0)),1)&amp;"''","")</f>
        <v>5''</v>
      </c>
      <c r="C420" s="3" t="str">
        <f>IFERROR(IF(INDEX('PROJETO PERFURAÇÃO'!$P:$P,MATCH(MEDIÇÃO!D420,'PROJETO PERFURAÇÃO'!$B:$B,0))="Production","P",IF(INDEX('PROJETO PERFURAÇÃO'!$P:$P,MATCH(MEDIÇÃO!D420,'PROJETO PERFURAÇÃO'!$B:$B,0))="Buffer","B",IF(INDEX('PROJETO PERFURAÇÃO'!$P:$P,MATCH(MEDIÇÃO!D420,'PROJETO PERFURAÇÃO'!$B:$B,0))="Pre-Splitting","S"))),"")</f>
        <v>P</v>
      </c>
      <c r="D420" s="14">
        <f t="shared" si="39"/>
        <v>910</v>
      </c>
      <c r="E420" s="4" t="str">
        <f>IFERROR(INDEX('LEV R&amp;D'!$D:$D,MATCH(MEDIÇÃO!D420,'LEV R&amp;D'!$A:$A,0))-INDEX('PROJETO PERFURAÇÃO'!$AH:$AH,MATCH(MEDIÇÃO!D420,'PROJETO PERFURAÇÃO'!$B:$B,0)),"")</f>
        <v/>
      </c>
      <c r="F420" s="8">
        <f>IFERROR(INDEX('PROJETO PERFURAÇÃO'!$AN:$AN,MATCH(MEDIÇÃO!D420,'PROJETO PERFURAÇÃO'!$B:$B,0)),"")</f>
        <v>0</v>
      </c>
      <c r="G420" s="3"/>
      <c r="H420" s="3"/>
      <c r="I420" s="3" t="str">
        <f>IFERROR(ROUND(INDEX('PROJETO PERFURAÇÃO'!$AB:$AB,MATCH(MEDIÇÃO!K420,'PROJETO PERFURAÇÃO'!$B:$B,0)),1)&amp;"''","")</f>
        <v>5''</v>
      </c>
      <c r="J420" s="3" t="str">
        <f>IFERROR(IF(INDEX('PROJETO PERFURAÇÃO'!$P:$P,MATCH(MEDIÇÃO!K420,'PROJETO PERFURAÇÃO'!$B:$B,0))="Production","P",IF(INDEX('PROJETO PERFURAÇÃO'!$P:$P,MATCH(MEDIÇÃO!K420,'PROJETO PERFURAÇÃO'!$B:$B,0))="Buffer","B",IF(INDEX('PROJETO PERFURAÇÃO'!$P:$P,MATCH(MEDIÇÃO!K420,'PROJETO PERFURAÇÃO'!$B:$B,0))="Pre-Splitting","S"))),"")</f>
        <v>P</v>
      </c>
      <c r="K420" s="14">
        <f t="shared" si="40"/>
        <v>933</v>
      </c>
      <c r="L420" s="4" t="str">
        <f>IFERROR(INDEX('LEV R&amp;D'!$D:$D,MATCH(MEDIÇÃO!K420,'LEV R&amp;D'!$A:$A,0))-INDEX('PROJETO PERFURAÇÃO'!$AH:$AH,MATCH(MEDIÇÃO!K420,'PROJETO PERFURAÇÃO'!$B:$B,0)),"")</f>
        <v/>
      </c>
      <c r="M420" s="8">
        <f>IFERROR(INDEX('PROJETO PERFURAÇÃO'!$AN:$AN,MATCH(MEDIÇÃO!K420,'PROJETO PERFURAÇÃO'!$B:$B,0)),"")</f>
        <v>0</v>
      </c>
      <c r="N420" s="3"/>
      <c r="O420" s="3"/>
      <c r="P420" s="3" t="str">
        <f>IFERROR(ROUND(INDEX('PROJETO PERFURAÇÃO'!$AB:$AB,MATCH(MEDIÇÃO!R420,'PROJETO PERFURAÇÃO'!$B:$B,0)),1)&amp;"''","")</f>
        <v>5''</v>
      </c>
      <c r="Q420" s="3" t="str">
        <f>IFERROR(IF(INDEX('PROJETO PERFURAÇÃO'!$P:$P,MATCH(MEDIÇÃO!R420,'PROJETO PERFURAÇÃO'!$B:$B,0))="Production","P",IF(INDEX('PROJETO PERFURAÇÃO'!$P:$P,MATCH(MEDIÇÃO!R420,'PROJETO PERFURAÇÃO'!$B:$B,0))="Buffer","B",IF(INDEX('PROJETO PERFURAÇÃO'!$P:$P,MATCH(MEDIÇÃO!R420,'PROJETO PERFURAÇÃO'!$B:$B,0))="Pre-Splitting","S"))),"")</f>
        <v>P</v>
      </c>
      <c r="R420" s="14">
        <f t="shared" si="41"/>
        <v>956</v>
      </c>
      <c r="S420" s="4" t="str">
        <f>IFERROR(INDEX('LEV R&amp;D'!$D:$D,MATCH(MEDIÇÃO!R420,'LEV R&amp;D'!$A:$A,0))-INDEX('PROJETO PERFURAÇÃO'!$AH:$AH,MATCH(MEDIÇÃO!R420,'PROJETO PERFURAÇÃO'!$B:$B,0)),"")</f>
        <v/>
      </c>
      <c r="T420" s="8">
        <f>IFERROR(INDEX('PROJETO PERFURAÇÃO'!$AN:$AN,MATCH(MEDIÇÃO!R420,'PROJETO PERFURAÇÃO'!$B:$B,0)),"")</f>
        <v>5</v>
      </c>
      <c r="U420" s="3"/>
      <c r="V420" s="3"/>
    </row>
    <row r="421" spans="2:22" ht="45" customHeight="1" x14ac:dyDescent="0.25">
      <c r="B421" s="3" t="str">
        <f>IFERROR(ROUND(INDEX('PROJETO PERFURAÇÃO'!$AB:$AB,MATCH(MEDIÇÃO!D421,'PROJETO PERFURAÇÃO'!$B:$B,0)),1)&amp;"''","")</f>
        <v>5''</v>
      </c>
      <c r="C421" s="3" t="str">
        <f>IFERROR(IF(INDEX('PROJETO PERFURAÇÃO'!$P:$P,MATCH(MEDIÇÃO!D421,'PROJETO PERFURAÇÃO'!$B:$B,0))="Production","P",IF(INDEX('PROJETO PERFURAÇÃO'!$P:$P,MATCH(MEDIÇÃO!D421,'PROJETO PERFURAÇÃO'!$B:$B,0))="Buffer","B",IF(INDEX('PROJETO PERFURAÇÃO'!$P:$P,MATCH(MEDIÇÃO!D421,'PROJETO PERFURAÇÃO'!$B:$B,0))="Pre-Splitting","S"))),"")</f>
        <v>P</v>
      </c>
      <c r="D421" s="14">
        <f t="shared" si="39"/>
        <v>911</v>
      </c>
      <c r="E421" s="4" t="str">
        <f>IFERROR(INDEX('LEV R&amp;D'!$D:$D,MATCH(MEDIÇÃO!D421,'LEV R&amp;D'!$A:$A,0))-INDEX('PROJETO PERFURAÇÃO'!$AH:$AH,MATCH(MEDIÇÃO!D421,'PROJETO PERFURAÇÃO'!$B:$B,0)),"")</f>
        <v/>
      </c>
      <c r="F421" s="8">
        <f>IFERROR(INDEX('PROJETO PERFURAÇÃO'!$AN:$AN,MATCH(MEDIÇÃO!D421,'PROJETO PERFURAÇÃO'!$B:$B,0)),"")</f>
        <v>0</v>
      </c>
      <c r="G421" s="3"/>
      <c r="H421" s="3"/>
      <c r="I421" s="3" t="str">
        <f>IFERROR(ROUND(INDEX('PROJETO PERFURAÇÃO'!$AB:$AB,MATCH(MEDIÇÃO!K421,'PROJETO PERFURAÇÃO'!$B:$B,0)),1)&amp;"''","")</f>
        <v>5''</v>
      </c>
      <c r="J421" s="3" t="str">
        <f>IFERROR(IF(INDEX('PROJETO PERFURAÇÃO'!$P:$P,MATCH(MEDIÇÃO!K421,'PROJETO PERFURAÇÃO'!$B:$B,0))="Production","P",IF(INDEX('PROJETO PERFURAÇÃO'!$P:$P,MATCH(MEDIÇÃO!K421,'PROJETO PERFURAÇÃO'!$B:$B,0))="Buffer","B",IF(INDEX('PROJETO PERFURAÇÃO'!$P:$P,MATCH(MEDIÇÃO!K421,'PROJETO PERFURAÇÃO'!$B:$B,0))="Pre-Splitting","S"))),"")</f>
        <v>P</v>
      </c>
      <c r="K421" s="14">
        <f t="shared" si="40"/>
        <v>934</v>
      </c>
      <c r="L421" s="4" t="str">
        <f>IFERROR(INDEX('LEV R&amp;D'!$D:$D,MATCH(MEDIÇÃO!K421,'LEV R&amp;D'!$A:$A,0))-INDEX('PROJETO PERFURAÇÃO'!$AH:$AH,MATCH(MEDIÇÃO!K421,'PROJETO PERFURAÇÃO'!$B:$B,0)),"")</f>
        <v/>
      </c>
      <c r="M421" s="8">
        <f>IFERROR(INDEX('PROJETO PERFURAÇÃO'!$AN:$AN,MATCH(MEDIÇÃO!K421,'PROJETO PERFURAÇÃO'!$B:$B,0)),"")</f>
        <v>0</v>
      </c>
      <c r="N421" s="3"/>
      <c r="O421" s="3"/>
      <c r="P421" s="3" t="str">
        <f>IFERROR(ROUND(INDEX('PROJETO PERFURAÇÃO'!$AB:$AB,MATCH(MEDIÇÃO!R421,'PROJETO PERFURAÇÃO'!$B:$B,0)),1)&amp;"''","")</f>
        <v>5''</v>
      </c>
      <c r="Q421" s="3" t="str">
        <f>IFERROR(IF(INDEX('PROJETO PERFURAÇÃO'!$P:$P,MATCH(MEDIÇÃO!R421,'PROJETO PERFURAÇÃO'!$B:$B,0))="Production","P",IF(INDEX('PROJETO PERFURAÇÃO'!$P:$P,MATCH(MEDIÇÃO!R421,'PROJETO PERFURAÇÃO'!$B:$B,0))="Buffer","B",IF(INDEX('PROJETO PERFURAÇÃO'!$P:$P,MATCH(MEDIÇÃO!R421,'PROJETO PERFURAÇÃO'!$B:$B,0))="Pre-Splitting","S"))),"")</f>
        <v>P</v>
      </c>
      <c r="R421" s="14">
        <f t="shared" si="41"/>
        <v>957</v>
      </c>
      <c r="S421" s="4" t="str">
        <f>IFERROR(INDEX('LEV R&amp;D'!$D:$D,MATCH(MEDIÇÃO!R421,'LEV R&amp;D'!$A:$A,0))-INDEX('PROJETO PERFURAÇÃO'!$AH:$AH,MATCH(MEDIÇÃO!R421,'PROJETO PERFURAÇÃO'!$B:$B,0)),"")</f>
        <v/>
      </c>
      <c r="T421" s="8">
        <f>IFERROR(INDEX('PROJETO PERFURAÇÃO'!$AN:$AN,MATCH(MEDIÇÃO!R421,'PROJETO PERFURAÇÃO'!$B:$B,0)),"")</f>
        <v>0</v>
      </c>
      <c r="U421" s="3"/>
      <c r="V421" s="3"/>
    </row>
    <row r="422" spans="2:22" ht="45" customHeight="1" x14ac:dyDescent="0.25">
      <c r="B422" s="3" t="str">
        <f>IFERROR(ROUND(INDEX('PROJETO PERFURAÇÃO'!$AB:$AB,MATCH(MEDIÇÃO!D422,'PROJETO PERFURAÇÃO'!$B:$B,0)),1)&amp;"''","")</f>
        <v>5''</v>
      </c>
      <c r="C422" s="3" t="str">
        <f>IFERROR(IF(INDEX('PROJETO PERFURAÇÃO'!$P:$P,MATCH(MEDIÇÃO!D422,'PROJETO PERFURAÇÃO'!$B:$B,0))="Production","P",IF(INDEX('PROJETO PERFURAÇÃO'!$P:$P,MATCH(MEDIÇÃO!D422,'PROJETO PERFURAÇÃO'!$B:$B,0))="Buffer","B",IF(INDEX('PROJETO PERFURAÇÃO'!$P:$P,MATCH(MEDIÇÃO!D422,'PROJETO PERFURAÇÃO'!$B:$B,0))="Pre-Splitting","S"))),"")</f>
        <v>P</v>
      </c>
      <c r="D422" s="14">
        <f t="shared" si="39"/>
        <v>912</v>
      </c>
      <c r="E422" s="4" t="str">
        <f>IFERROR(INDEX('LEV R&amp;D'!$D:$D,MATCH(MEDIÇÃO!D422,'LEV R&amp;D'!$A:$A,0))-INDEX('PROJETO PERFURAÇÃO'!$AH:$AH,MATCH(MEDIÇÃO!D422,'PROJETO PERFURAÇÃO'!$B:$B,0)),"")</f>
        <v/>
      </c>
      <c r="F422" s="8">
        <f>IFERROR(INDEX('PROJETO PERFURAÇÃO'!$AN:$AN,MATCH(MEDIÇÃO!D422,'PROJETO PERFURAÇÃO'!$B:$B,0)),"")</f>
        <v>0</v>
      </c>
      <c r="G422" s="3"/>
      <c r="H422" s="3"/>
      <c r="I422" s="3" t="str">
        <f>IFERROR(ROUND(INDEX('PROJETO PERFURAÇÃO'!$AB:$AB,MATCH(MEDIÇÃO!K422,'PROJETO PERFURAÇÃO'!$B:$B,0)),1)&amp;"''","")</f>
        <v>5''</v>
      </c>
      <c r="J422" s="3" t="str">
        <f>IFERROR(IF(INDEX('PROJETO PERFURAÇÃO'!$P:$P,MATCH(MEDIÇÃO!K422,'PROJETO PERFURAÇÃO'!$B:$B,0))="Production","P",IF(INDEX('PROJETO PERFURAÇÃO'!$P:$P,MATCH(MEDIÇÃO!K422,'PROJETO PERFURAÇÃO'!$B:$B,0))="Buffer","B",IF(INDEX('PROJETO PERFURAÇÃO'!$P:$P,MATCH(MEDIÇÃO!K422,'PROJETO PERFURAÇÃO'!$B:$B,0))="Pre-Splitting","S"))),"")</f>
        <v>P</v>
      </c>
      <c r="K422" s="14">
        <f t="shared" si="40"/>
        <v>935</v>
      </c>
      <c r="L422" s="4" t="str">
        <f>IFERROR(INDEX('LEV R&amp;D'!$D:$D,MATCH(MEDIÇÃO!K422,'LEV R&amp;D'!$A:$A,0))-INDEX('PROJETO PERFURAÇÃO'!$AH:$AH,MATCH(MEDIÇÃO!K422,'PROJETO PERFURAÇÃO'!$B:$B,0)),"")</f>
        <v/>
      </c>
      <c r="M422" s="8">
        <f>IFERROR(INDEX('PROJETO PERFURAÇÃO'!$AN:$AN,MATCH(MEDIÇÃO!K422,'PROJETO PERFURAÇÃO'!$B:$B,0)),"")</f>
        <v>0</v>
      </c>
      <c r="N422" s="3"/>
      <c r="O422" s="3"/>
      <c r="P422" s="3" t="str">
        <f>IFERROR(ROUND(INDEX('PROJETO PERFURAÇÃO'!$AB:$AB,MATCH(MEDIÇÃO!R422,'PROJETO PERFURAÇÃO'!$B:$B,0)),1)&amp;"''","")</f>
        <v>5''</v>
      </c>
      <c r="Q422" s="3" t="str">
        <f>IFERROR(IF(INDEX('PROJETO PERFURAÇÃO'!$P:$P,MATCH(MEDIÇÃO!R422,'PROJETO PERFURAÇÃO'!$B:$B,0))="Production","P",IF(INDEX('PROJETO PERFURAÇÃO'!$P:$P,MATCH(MEDIÇÃO!R422,'PROJETO PERFURAÇÃO'!$B:$B,0))="Buffer","B",IF(INDEX('PROJETO PERFURAÇÃO'!$P:$P,MATCH(MEDIÇÃO!R422,'PROJETO PERFURAÇÃO'!$B:$B,0))="Pre-Splitting","S"))),"")</f>
        <v>P</v>
      </c>
      <c r="R422" s="14">
        <f t="shared" si="41"/>
        <v>958</v>
      </c>
      <c r="S422" s="4" t="str">
        <f>IFERROR(INDEX('LEV R&amp;D'!$D:$D,MATCH(MEDIÇÃO!R422,'LEV R&amp;D'!$A:$A,0))-INDEX('PROJETO PERFURAÇÃO'!$AH:$AH,MATCH(MEDIÇÃO!R422,'PROJETO PERFURAÇÃO'!$B:$B,0)),"")</f>
        <v/>
      </c>
      <c r="T422" s="8">
        <f>IFERROR(INDEX('PROJETO PERFURAÇÃO'!$AN:$AN,MATCH(MEDIÇÃO!R422,'PROJETO PERFURAÇÃO'!$B:$B,0)),"")</f>
        <v>0</v>
      </c>
      <c r="U422" s="3"/>
      <c r="V422" s="3"/>
    </row>
    <row r="423" spans="2:22" ht="45" customHeight="1" x14ac:dyDescent="0.25">
      <c r="B423" s="3" t="str">
        <f>IFERROR(ROUND(INDEX('PROJETO PERFURAÇÃO'!$AB:$AB,MATCH(MEDIÇÃO!D423,'PROJETO PERFURAÇÃO'!$B:$B,0)),1)&amp;"''","")</f>
        <v>5''</v>
      </c>
      <c r="C423" s="3" t="str">
        <f>IFERROR(IF(INDEX('PROJETO PERFURAÇÃO'!$P:$P,MATCH(MEDIÇÃO!D423,'PROJETO PERFURAÇÃO'!$B:$B,0))="Production","P",IF(INDEX('PROJETO PERFURAÇÃO'!$P:$P,MATCH(MEDIÇÃO!D423,'PROJETO PERFURAÇÃO'!$B:$B,0))="Buffer","B",IF(INDEX('PROJETO PERFURAÇÃO'!$P:$P,MATCH(MEDIÇÃO!D423,'PROJETO PERFURAÇÃO'!$B:$B,0))="Pre-Splitting","S"))),"")</f>
        <v>P</v>
      </c>
      <c r="D423" s="14">
        <f t="shared" si="39"/>
        <v>913</v>
      </c>
      <c r="E423" s="4" t="str">
        <f>IFERROR(INDEX('LEV R&amp;D'!$D:$D,MATCH(MEDIÇÃO!D423,'LEV R&amp;D'!$A:$A,0))-INDEX('PROJETO PERFURAÇÃO'!$AH:$AH,MATCH(MEDIÇÃO!D423,'PROJETO PERFURAÇÃO'!$B:$B,0)),"")</f>
        <v/>
      </c>
      <c r="F423" s="8">
        <f>IFERROR(INDEX('PROJETO PERFURAÇÃO'!$AN:$AN,MATCH(MEDIÇÃO!D423,'PROJETO PERFURAÇÃO'!$B:$B,0)),"")</f>
        <v>0</v>
      </c>
      <c r="G423" s="3"/>
      <c r="H423" s="3"/>
      <c r="I423" s="3" t="str">
        <f>IFERROR(ROUND(INDEX('PROJETO PERFURAÇÃO'!$AB:$AB,MATCH(MEDIÇÃO!K423,'PROJETO PERFURAÇÃO'!$B:$B,0)),1)&amp;"''","")</f>
        <v>5''</v>
      </c>
      <c r="J423" s="3" t="str">
        <f>IFERROR(IF(INDEX('PROJETO PERFURAÇÃO'!$P:$P,MATCH(MEDIÇÃO!K423,'PROJETO PERFURAÇÃO'!$B:$B,0))="Production","P",IF(INDEX('PROJETO PERFURAÇÃO'!$P:$P,MATCH(MEDIÇÃO!K423,'PROJETO PERFURAÇÃO'!$B:$B,0))="Buffer","B",IF(INDEX('PROJETO PERFURAÇÃO'!$P:$P,MATCH(MEDIÇÃO!K423,'PROJETO PERFURAÇÃO'!$B:$B,0))="Pre-Splitting","S"))),"")</f>
        <v>P</v>
      </c>
      <c r="K423" s="14">
        <f t="shared" si="40"/>
        <v>936</v>
      </c>
      <c r="L423" s="4" t="str">
        <f>IFERROR(INDEX('LEV R&amp;D'!$D:$D,MATCH(MEDIÇÃO!K423,'LEV R&amp;D'!$A:$A,0))-INDEX('PROJETO PERFURAÇÃO'!$AH:$AH,MATCH(MEDIÇÃO!K423,'PROJETO PERFURAÇÃO'!$B:$B,0)),"")</f>
        <v/>
      </c>
      <c r="M423" s="8">
        <f>IFERROR(INDEX('PROJETO PERFURAÇÃO'!$AN:$AN,MATCH(MEDIÇÃO!K423,'PROJETO PERFURAÇÃO'!$B:$B,0)),"")</f>
        <v>0</v>
      </c>
      <c r="N423" s="3"/>
      <c r="O423" s="3"/>
      <c r="P423" s="3" t="str">
        <f>IFERROR(ROUND(INDEX('PROJETO PERFURAÇÃO'!$AB:$AB,MATCH(MEDIÇÃO!R423,'PROJETO PERFURAÇÃO'!$B:$B,0)),1)&amp;"''","")</f>
        <v>5''</v>
      </c>
      <c r="Q423" s="3" t="str">
        <f>IFERROR(IF(INDEX('PROJETO PERFURAÇÃO'!$P:$P,MATCH(MEDIÇÃO!R423,'PROJETO PERFURAÇÃO'!$B:$B,0))="Production","P",IF(INDEX('PROJETO PERFURAÇÃO'!$P:$P,MATCH(MEDIÇÃO!R423,'PROJETO PERFURAÇÃO'!$B:$B,0))="Buffer","B",IF(INDEX('PROJETO PERFURAÇÃO'!$P:$P,MATCH(MEDIÇÃO!R423,'PROJETO PERFURAÇÃO'!$B:$B,0))="Pre-Splitting","S"))),"")</f>
        <v>P</v>
      </c>
      <c r="R423" s="14">
        <f t="shared" si="41"/>
        <v>959</v>
      </c>
      <c r="S423" s="4" t="str">
        <f>IFERROR(INDEX('LEV R&amp;D'!$D:$D,MATCH(MEDIÇÃO!R423,'LEV R&amp;D'!$A:$A,0))-INDEX('PROJETO PERFURAÇÃO'!$AH:$AH,MATCH(MEDIÇÃO!R423,'PROJETO PERFURAÇÃO'!$B:$B,0)),"")</f>
        <v/>
      </c>
      <c r="T423" s="8">
        <f>IFERROR(INDEX('PROJETO PERFURAÇÃO'!$AN:$AN,MATCH(MEDIÇÃO!R423,'PROJETO PERFURAÇÃO'!$B:$B,0)),"")</f>
        <v>0</v>
      </c>
      <c r="U423" s="3"/>
      <c r="V423" s="3"/>
    </row>
    <row r="424" spans="2:22" ht="45" customHeight="1" x14ac:dyDescent="0.25">
      <c r="B424" s="3" t="str">
        <f>IFERROR(ROUND(INDEX('PROJETO PERFURAÇÃO'!$AB:$AB,MATCH(MEDIÇÃO!D424,'PROJETO PERFURAÇÃO'!$B:$B,0)),1)&amp;"''","")</f>
        <v>5''</v>
      </c>
      <c r="C424" s="3" t="str">
        <f>IFERROR(IF(INDEX('PROJETO PERFURAÇÃO'!$P:$P,MATCH(MEDIÇÃO!D424,'PROJETO PERFURAÇÃO'!$B:$B,0))="Production","P",IF(INDEX('PROJETO PERFURAÇÃO'!$P:$P,MATCH(MEDIÇÃO!D424,'PROJETO PERFURAÇÃO'!$B:$B,0))="Buffer","B",IF(INDEX('PROJETO PERFURAÇÃO'!$P:$P,MATCH(MEDIÇÃO!D424,'PROJETO PERFURAÇÃO'!$B:$B,0))="Pre-Splitting","S"))),"")</f>
        <v>P</v>
      </c>
      <c r="D424" s="14">
        <f t="shared" si="39"/>
        <v>914</v>
      </c>
      <c r="E424" s="4" t="str">
        <f>IFERROR(INDEX('LEV R&amp;D'!$D:$D,MATCH(MEDIÇÃO!D424,'LEV R&amp;D'!$A:$A,0))-INDEX('PROJETO PERFURAÇÃO'!$AH:$AH,MATCH(MEDIÇÃO!D424,'PROJETO PERFURAÇÃO'!$B:$B,0)),"")</f>
        <v/>
      </c>
      <c r="F424" s="8">
        <f>IFERROR(INDEX('PROJETO PERFURAÇÃO'!$AN:$AN,MATCH(MEDIÇÃO!D424,'PROJETO PERFURAÇÃO'!$B:$B,0)),"")</f>
        <v>0</v>
      </c>
      <c r="G424" s="3"/>
      <c r="H424" s="3"/>
      <c r="I424" s="3" t="str">
        <f>IFERROR(ROUND(INDEX('PROJETO PERFURAÇÃO'!$AB:$AB,MATCH(MEDIÇÃO!K424,'PROJETO PERFURAÇÃO'!$B:$B,0)),1)&amp;"''","")</f>
        <v>5''</v>
      </c>
      <c r="J424" s="3" t="str">
        <f>IFERROR(IF(INDEX('PROJETO PERFURAÇÃO'!$P:$P,MATCH(MEDIÇÃO!K424,'PROJETO PERFURAÇÃO'!$B:$B,0))="Production","P",IF(INDEX('PROJETO PERFURAÇÃO'!$P:$P,MATCH(MEDIÇÃO!K424,'PROJETO PERFURAÇÃO'!$B:$B,0))="Buffer","B",IF(INDEX('PROJETO PERFURAÇÃO'!$P:$P,MATCH(MEDIÇÃO!K424,'PROJETO PERFURAÇÃO'!$B:$B,0))="Pre-Splitting","S"))),"")</f>
        <v>P</v>
      </c>
      <c r="K424" s="14">
        <f t="shared" si="40"/>
        <v>937</v>
      </c>
      <c r="L424" s="4" t="str">
        <f>IFERROR(INDEX('LEV R&amp;D'!$D:$D,MATCH(MEDIÇÃO!K424,'LEV R&amp;D'!$A:$A,0))-INDEX('PROJETO PERFURAÇÃO'!$AH:$AH,MATCH(MEDIÇÃO!K424,'PROJETO PERFURAÇÃO'!$B:$B,0)),"")</f>
        <v/>
      </c>
      <c r="M424" s="8">
        <f>IFERROR(INDEX('PROJETO PERFURAÇÃO'!$AN:$AN,MATCH(MEDIÇÃO!K424,'PROJETO PERFURAÇÃO'!$B:$B,0)),"")</f>
        <v>0</v>
      </c>
      <c r="N424" s="3"/>
      <c r="O424" s="3"/>
      <c r="P424" s="3" t="str">
        <f>IFERROR(ROUND(INDEX('PROJETO PERFURAÇÃO'!$AB:$AB,MATCH(MEDIÇÃO!R424,'PROJETO PERFURAÇÃO'!$B:$B,0)),1)&amp;"''","")</f>
        <v>5''</v>
      </c>
      <c r="Q424" s="3" t="str">
        <f>IFERROR(IF(INDEX('PROJETO PERFURAÇÃO'!$P:$P,MATCH(MEDIÇÃO!R424,'PROJETO PERFURAÇÃO'!$B:$B,0))="Production","P",IF(INDEX('PROJETO PERFURAÇÃO'!$P:$P,MATCH(MEDIÇÃO!R424,'PROJETO PERFURAÇÃO'!$B:$B,0))="Buffer","B",IF(INDEX('PROJETO PERFURAÇÃO'!$P:$P,MATCH(MEDIÇÃO!R424,'PROJETO PERFURAÇÃO'!$B:$B,0))="Pre-Splitting","S"))),"")</f>
        <v>P</v>
      </c>
      <c r="R424" s="14">
        <f t="shared" si="41"/>
        <v>960</v>
      </c>
      <c r="S424" s="4" t="str">
        <f>IFERROR(INDEX('LEV R&amp;D'!$D:$D,MATCH(MEDIÇÃO!R424,'LEV R&amp;D'!$A:$A,0))-INDEX('PROJETO PERFURAÇÃO'!$AH:$AH,MATCH(MEDIÇÃO!R424,'PROJETO PERFURAÇÃO'!$B:$B,0)),"")</f>
        <v/>
      </c>
      <c r="T424" s="8">
        <f>IFERROR(INDEX('PROJETO PERFURAÇÃO'!$AN:$AN,MATCH(MEDIÇÃO!R424,'PROJETO PERFURAÇÃO'!$B:$B,0)),"")</f>
        <v>0</v>
      </c>
      <c r="U424" s="3"/>
      <c r="V424" s="3"/>
    </row>
    <row r="425" spans="2:22" ht="45" customHeight="1" x14ac:dyDescent="0.25">
      <c r="B425" s="3" t="str">
        <f>IFERROR(ROUND(INDEX('PROJETO PERFURAÇÃO'!$AB:$AB,MATCH(MEDIÇÃO!D425,'PROJETO PERFURAÇÃO'!$B:$B,0)),1)&amp;"''","")</f>
        <v>5''</v>
      </c>
      <c r="C425" s="3" t="str">
        <f>IFERROR(IF(INDEX('PROJETO PERFURAÇÃO'!$P:$P,MATCH(MEDIÇÃO!D425,'PROJETO PERFURAÇÃO'!$B:$B,0))="Production","P",IF(INDEX('PROJETO PERFURAÇÃO'!$P:$P,MATCH(MEDIÇÃO!D425,'PROJETO PERFURAÇÃO'!$B:$B,0))="Buffer","B",IF(INDEX('PROJETO PERFURAÇÃO'!$P:$P,MATCH(MEDIÇÃO!D425,'PROJETO PERFURAÇÃO'!$B:$B,0))="Pre-Splitting","S"))),"")</f>
        <v>P</v>
      </c>
      <c r="D425" s="14">
        <f t="shared" si="39"/>
        <v>915</v>
      </c>
      <c r="E425" s="4" t="str">
        <f>IFERROR(INDEX('LEV R&amp;D'!$D:$D,MATCH(MEDIÇÃO!D425,'LEV R&amp;D'!$A:$A,0))-INDEX('PROJETO PERFURAÇÃO'!$AH:$AH,MATCH(MEDIÇÃO!D425,'PROJETO PERFURAÇÃO'!$B:$B,0)),"")</f>
        <v/>
      </c>
      <c r="F425" s="8">
        <f>IFERROR(INDEX('PROJETO PERFURAÇÃO'!$AN:$AN,MATCH(MEDIÇÃO!D425,'PROJETO PERFURAÇÃO'!$B:$B,0)),"")</f>
        <v>0</v>
      </c>
      <c r="G425" s="3"/>
      <c r="H425" s="3"/>
      <c r="I425" s="3" t="str">
        <f>IFERROR(ROUND(INDEX('PROJETO PERFURAÇÃO'!$AB:$AB,MATCH(MEDIÇÃO!K425,'PROJETO PERFURAÇÃO'!$B:$B,0)),1)&amp;"''","")</f>
        <v>5''</v>
      </c>
      <c r="J425" s="3" t="str">
        <f>IFERROR(IF(INDEX('PROJETO PERFURAÇÃO'!$P:$P,MATCH(MEDIÇÃO!K425,'PROJETO PERFURAÇÃO'!$B:$B,0))="Production","P",IF(INDEX('PROJETO PERFURAÇÃO'!$P:$P,MATCH(MEDIÇÃO!K425,'PROJETO PERFURAÇÃO'!$B:$B,0))="Buffer","B",IF(INDEX('PROJETO PERFURAÇÃO'!$P:$P,MATCH(MEDIÇÃO!K425,'PROJETO PERFURAÇÃO'!$B:$B,0))="Pre-Splitting","S"))),"")</f>
        <v>P</v>
      </c>
      <c r="K425" s="14">
        <f t="shared" si="40"/>
        <v>938</v>
      </c>
      <c r="L425" s="4" t="str">
        <f>IFERROR(INDEX('LEV R&amp;D'!$D:$D,MATCH(MEDIÇÃO!K425,'LEV R&amp;D'!$A:$A,0))-INDEX('PROJETO PERFURAÇÃO'!$AH:$AH,MATCH(MEDIÇÃO!K425,'PROJETO PERFURAÇÃO'!$B:$B,0)),"")</f>
        <v/>
      </c>
      <c r="M425" s="8">
        <f>IFERROR(INDEX('PROJETO PERFURAÇÃO'!$AN:$AN,MATCH(MEDIÇÃO!K425,'PROJETO PERFURAÇÃO'!$B:$B,0)),"")</f>
        <v>0</v>
      </c>
      <c r="N425" s="3"/>
      <c r="O425" s="3"/>
      <c r="P425" s="3" t="str">
        <f>IFERROR(ROUND(INDEX('PROJETO PERFURAÇÃO'!$AB:$AB,MATCH(MEDIÇÃO!R425,'PROJETO PERFURAÇÃO'!$B:$B,0)),1)&amp;"''","")</f>
        <v>5''</v>
      </c>
      <c r="Q425" s="3" t="str">
        <f>IFERROR(IF(INDEX('PROJETO PERFURAÇÃO'!$P:$P,MATCH(MEDIÇÃO!R425,'PROJETO PERFURAÇÃO'!$B:$B,0))="Production","P",IF(INDEX('PROJETO PERFURAÇÃO'!$P:$P,MATCH(MEDIÇÃO!R425,'PROJETO PERFURAÇÃO'!$B:$B,0))="Buffer","B",IF(INDEX('PROJETO PERFURAÇÃO'!$P:$P,MATCH(MEDIÇÃO!R425,'PROJETO PERFURAÇÃO'!$B:$B,0))="Pre-Splitting","S"))),"")</f>
        <v>P</v>
      </c>
      <c r="R425" s="14">
        <f t="shared" si="41"/>
        <v>961</v>
      </c>
      <c r="S425" s="4" t="str">
        <f>IFERROR(INDEX('LEV R&amp;D'!$D:$D,MATCH(MEDIÇÃO!R425,'LEV R&amp;D'!$A:$A,0))-INDEX('PROJETO PERFURAÇÃO'!$AH:$AH,MATCH(MEDIÇÃO!R425,'PROJETO PERFURAÇÃO'!$B:$B,0)),"")</f>
        <v/>
      </c>
      <c r="T425" s="8">
        <f>IFERROR(INDEX('PROJETO PERFURAÇÃO'!$AN:$AN,MATCH(MEDIÇÃO!R425,'PROJETO PERFURAÇÃO'!$B:$B,0)),"")</f>
        <v>0</v>
      </c>
      <c r="U425" s="3"/>
      <c r="V425" s="3"/>
    </row>
    <row r="426" spans="2:22" ht="45" customHeight="1" x14ac:dyDescent="0.25">
      <c r="B426" s="3" t="str">
        <f>IFERROR(ROUND(INDEX('PROJETO PERFURAÇÃO'!$AB:$AB,MATCH(MEDIÇÃO!D426,'PROJETO PERFURAÇÃO'!$B:$B,0)),1)&amp;"''","")</f>
        <v>5''</v>
      </c>
      <c r="C426" s="3" t="str">
        <f>IFERROR(IF(INDEX('PROJETO PERFURAÇÃO'!$P:$P,MATCH(MEDIÇÃO!D426,'PROJETO PERFURAÇÃO'!$B:$B,0))="Production","P",IF(INDEX('PROJETO PERFURAÇÃO'!$P:$P,MATCH(MEDIÇÃO!D426,'PROJETO PERFURAÇÃO'!$B:$B,0))="Buffer","B",IF(INDEX('PROJETO PERFURAÇÃO'!$P:$P,MATCH(MEDIÇÃO!D426,'PROJETO PERFURAÇÃO'!$B:$B,0))="Pre-Splitting","S"))),"")</f>
        <v>P</v>
      </c>
      <c r="D426" s="14">
        <f t="shared" si="39"/>
        <v>916</v>
      </c>
      <c r="E426" s="4" t="str">
        <f>IFERROR(INDEX('LEV R&amp;D'!$D:$D,MATCH(MEDIÇÃO!D426,'LEV R&amp;D'!$A:$A,0))-INDEX('PROJETO PERFURAÇÃO'!$AH:$AH,MATCH(MEDIÇÃO!D426,'PROJETO PERFURAÇÃO'!$B:$B,0)),"")</f>
        <v/>
      </c>
      <c r="F426" s="8">
        <f>IFERROR(INDEX('PROJETO PERFURAÇÃO'!$AN:$AN,MATCH(MEDIÇÃO!D426,'PROJETO PERFURAÇÃO'!$B:$B,0)),"")</f>
        <v>0</v>
      </c>
      <c r="G426" s="3"/>
      <c r="H426" s="3"/>
      <c r="I426" s="3" t="str">
        <f>IFERROR(ROUND(INDEX('PROJETO PERFURAÇÃO'!$AB:$AB,MATCH(MEDIÇÃO!K426,'PROJETO PERFURAÇÃO'!$B:$B,0)),1)&amp;"''","")</f>
        <v>5''</v>
      </c>
      <c r="J426" s="3" t="str">
        <f>IFERROR(IF(INDEX('PROJETO PERFURAÇÃO'!$P:$P,MATCH(MEDIÇÃO!K426,'PROJETO PERFURAÇÃO'!$B:$B,0))="Production","P",IF(INDEX('PROJETO PERFURAÇÃO'!$P:$P,MATCH(MEDIÇÃO!K426,'PROJETO PERFURAÇÃO'!$B:$B,0))="Buffer","B",IF(INDEX('PROJETO PERFURAÇÃO'!$P:$P,MATCH(MEDIÇÃO!K426,'PROJETO PERFURAÇÃO'!$B:$B,0))="Pre-Splitting","S"))),"")</f>
        <v>P</v>
      </c>
      <c r="K426" s="14">
        <f t="shared" si="40"/>
        <v>939</v>
      </c>
      <c r="L426" s="4" t="str">
        <f>IFERROR(INDEX('LEV R&amp;D'!$D:$D,MATCH(MEDIÇÃO!K426,'LEV R&amp;D'!$A:$A,0))-INDEX('PROJETO PERFURAÇÃO'!$AH:$AH,MATCH(MEDIÇÃO!K426,'PROJETO PERFURAÇÃO'!$B:$B,0)),"")</f>
        <v/>
      </c>
      <c r="M426" s="8">
        <f>IFERROR(INDEX('PROJETO PERFURAÇÃO'!$AN:$AN,MATCH(MEDIÇÃO!K426,'PROJETO PERFURAÇÃO'!$B:$B,0)),"")</f>
        <v>0</v>
      </c>
      <c r="N426" s="3"/>
      <c r="O426" s="3"/>
      <c r="P426" s="3" t="str">
        <f>IFERROR(ROUND(INDEX('PROJETO PERFURAÇÃO'!$AB:$AB,MATCH(MEDIÇÃO!R426,'PROJETO PERFURAÇÃO'!$B:$B,0)),1)&amp;"''","")</f>
        <v>5''</v>
      </c>
      <c r="Q426" s="3" t="str">
        <f>IFERROR(IF(INDEX('PROJETO PERFURAÇÃO'!$P:$P,MATCH(MEDIÇÃO!R426,'PROJETO PERFURAÇÃO'!$B:$B,0))="Production","P",IF(INDEX('PROJETO PERFURAÇÃO'!$P:$P,MATCH(MEDIÇÃO!R426,'PROJETO PERFURAÇÃO'!$B:$B,0))="Buffer","B",IF(INDEX('PROJETO PERFURAÇÃO'!$P:$P,MATCH(MEDIÇÃO!R426,'PROJETO PERFURAÇÃO'!$B:$B,0))="Pre-Splitting","S"))),"")</f>
        <v>P</v>
      </c>
      <c r="R426" s="14">
        <f t="shared" si="41"/>
        <v>962</v>
      </c>
      <c r="S426" s="4" t="str">
        <f>IFERROR(INDEX('LEV R&amp;D'!$D:$D,MATCH(MEDIÇÃO!R426,'LEV R&amp;D'!$A:$A,0))-INDEX('PROJETO PERFURAÇÃO'!$AH:$AH,MATCH(MEDIÇÃO!R426,'PROJETO PERFURAÇÃO'!$B:$B,0)),"")</f>
        <v/>
      </c>
      <c r="T426" s="8">
        <f>IFERROR(INDEX('PROJETO PERFURAÇÃO'!$AN:$AN,MATCH(MEDIÇÃO!R426,'PROJETO PERFURAÇÃO'!$B:$B,0)),"")</f>
        <v>0</v>
      </c>
      <c r="U426" s="3"/>
      <c r="V426" s="3"/>
    </row>
    <row r="427" spans="2:22" ht="45" customHeight="1" x14ac:dyDescent="0.25">
      <c r="B427" s="3" t="str">
        <f>IFERROR(ROUND(INDEX('PROJETO PERFURAÇÃO'!$AB:$AB,MATCH(MEDIÇÃO!D427,'PROJETO PERFURAÇÃO'!$B:$B,0)),1)&amp;"''","")</f>
        <v>5''</v>
      </c>
      <c r="C427" s="3" t="str">
        <f>IFERROR(IF(INDEX('PROJETO PERFURAÇÃO'!$P:$P,MATCH(MEDIÇÃO!D427,'PROJETO PERFURAÇÃO'!$B:$B,0))="Production","P",IF(INDEX('PROJETO PERFURAÇÃO'!$P:$P,MATCH(MEDIÇÃO!D427,'PROJETO PERFURAÇÃO'!$B:$B,0))="Buffer","B",IF(INDEX('PROJETO PERFURAÇÃO'!$P:$P,MATCH(MEDIÇÃO!D427,'PROJETO PERFURAÇÃO'!$B:$B,0))="Pre-Splitting","S"))),"")</f>
        <v>P</v>
      </c>
      <c r="D427" s="14">
        <f t="shared" si="39"/>
        <v>917</v>
      </c>
      <c r="E427" s="4" t="str">
        <f>IFERROR(INDEX('LEV R&amp;D'!$D:$D,MATCH(MEDIÇÃO!D427,'LEV R&amp;D'!$A:$A,0))-INDEX('PROJETO PERFURAÇÃO'!$AH:$AH,MATCH(MEDIÇÃO!D427,'PROJETO PERFURAÇÃO'!$B:$B,0)),"")</f>
        <v/>
      </c>
      <c r="F427" s="8">
        <f>IFERROR(INDEX('PROJETO PERFURAÇÃO'!$AN:$AN,MATCH(MEDIÇÃO!D427,'PROJETO PERFURAÇÃO'!$B:$B,0)),"")</f>
        <v>0</v>
      </c>
      <c r="G427" s="3"/>
      <c r="H427" s="3"/>
      <c r="I427" s="3" t="str">
        <f>IFERROR(ROUND(INDEX('PROJETO PERFURAÇÃO'!$AB:$AB,MATCH(MEDIÇÃO!K427,'PROJETO PERFURAÇÃO'!$B:$B,0)),1)&amp;"''","")</f>
        <v>5''</v>
      </c>
      <c r="J427" s="3" t="str">
        <f>IFERROR(IF(INDEX('PROJETO PERFURAÇÃO'!$P:$P,MATCH(MEDIÇÃO!K427,'PROJETO PERFURAÇÃO'!$B:$B,0))="Production","P",IF(INDEX('PROJETO PERFURAÇÃO'!$P:$P,MATCH(MEDIÇÃO!K427,'PROJETO PERFURAÇÃO'!$B:$B,0))="Buffer","B",IF(INDEX('PROJETO PERFURAÇÃO'!$P:$P,MATCH(MEDIÇÃO!K427,'PROJETO PERFURAÇÃO'!$B:$B,0))="Pre-Splitting","S"))),"")</f>
        <v>P</v>
      </c>
      <c r="K427" s="14">
        <f t="shared" si="40"/>
        <v>940</v>
      </c>
      <c r="L427" s="4" t="str">
        <f>IFERROR(INDEX('LEV R&amp;D'!$D:$D,MATCH(MEDIÇÃO!K427,'LEV R&amp;D'!$A:$A,0))-INDEX('PROJETO PERFURAÇÃO'!$AH:$AH,MATCH(MEDIÇÃO!K427,'PROJETO PERFURAÇÃO'!$B:$B,0)),"")</f>
        <v/>
      </c>
      <c r="M427" s="8">
        <f>IFERROR(INDEX('PROJETO PERFURAÇÃO'!$AN:$AN,MATCH(MEDIÇÃO!K427,'PROJETO PERFURAÇÃO'!$B:$B,0)),"")</f>
        <v>0</v>
      </c>
      <c r="N427" s="3"/>
      <c r="O427" s="3"/>
      <c r="P427" s="3" t="str">
        <f>IFERROR(ROUND(INDEX('PROJETO PERFURAÇÃO'!$AB:$AB,MATCH(MEDIÇÃO!R427,'PROJETO PERFURAÇÃO'!$B:$B,0)),1)&amp;"''","")</f>
        <v>5''</v>
      </c>
      <c r="Q427" s="3" t="str">
        <f>IFERROR(IF(INDEX('PROJETO PERFURAÇÃO'!$P:$P,MATCH(MEDIÇÃO!R427,'PROJETO PERFURAÇÃO'!$B:$B,0))="Production","P",IF(INDEX('PROJETO PERFURAÇÃO'!$P:$P,MATCH(MEDIÇÃO!R427,'PROJETO PERFURAÇÃO'!$B:$B,0))="Buffer","B",IF(INDEX('PROJETO PERFURAÇÃO'!$P:$P,MATCH(MEDIÇÃO!R427,'PROJETO PERFURAÇÃO'!$B:$B,0))="Pre-Splitting","S"))),"")</f>
        <v>P</v>
      </c>
      <c r="R427" s="14">
        <f t="shared" si="41"/>
        <v>963</v>
      </c>
      <c r="S427" s="4" t="str">
        <f>IFERROR(INDEX('LEV R&amp;D'!$D:$D,MATCH(MEDIÇÃO!R427,'LEV R&amp;D'!$A:$A,0))-INDEX('PROJETO PERFURAÇÃO'!$AH:$AH,MATCH(MEDIÇÃO!R427,'PROJETO PERFURAÇÃO'!$B:$B,0)),"")</f>
        <v/>
      </c>
      <c r="T427" s="8">
        <f>IFERROR(INDEX('PROJETO PERFURAÇÃO'!$AN:$AN,MATCH(MEDIÇÃO!R427,'PROJETO PERFURAÇÃO'!$B:$B,0)),"")</f>
        <v>0</v>
      </c>
      <c r="U427" s="3"/>
      <c r="V427" s="3"/>
    </row>
    <row r="428" spans="2:22" ht="45" customHeight="1" x14ac:dyDescent="0.25">
      <c r="B428" s="3" t="str">
        <f>IFERROR(ROUND(INDEX('PROJETO PERFURAÇÃO'!$AB:$AB,MATCH(MEDIÇÃO!D428,'PROJETO PERFURAÇÃO'!$B:$B,0)),1)&amp;"''","")</f>
        <v>5''</v>
      </c>
      <c r="C428" s="3" t="str">
        <f>IFERROR(IF(INDEX('PROJETO PERFURAÇÃO'!$P:$P,MATCH(MEDIÇÃO!D428,'PROJETO PERFURAÇÃO'!$B:$B,0))="Production","P",IF(INDEX('PROJETO PERFURAÇÃO'!$P:$P,MATCH(MEDIÇÃO!D428,'PROJETO PERFURAÇÃO'!$B:$B,0))="Buffer","B",IF(INDEX('PROJETO PERFURAÇÃO'!$P:$P,MATCH(MEDIÇÃO!D428,'PROJETO PERFURAÇÃO'!$B:$B,0))="Pre-Splitting","S"))),"")</f>
        <v>P</v>
      </c>
      <c r="D428" s="14">
        <f t="shared" si="39"/>
        <v>918</v>
      </c>
      <c r="E428" s="4" t="str">
        <f>IFERROR(INDEX('LEV R&amp;D'!$D:$D,MATCH(MEDIÇÃO!D428,'LEV R&amp;D'!$A:$A,0))-INDEX('PROJETO PERFURAÇÃO'!$AH:$AH,MATCH(MEDIÇÃO!D428,'PROJETO PERFURAÇÃO'!$B:$B,0)),"")</f>
        <v/>
      </c>
      <c r="F428" s="8">
        <f>IFERROR(INDEX('PROJETO PERFURAÇÃO'!$AN:$AN,MATCH(MEDIÇÃO!D428,'PROJETO PERFURAÇÃO'!$B:$B,0)),"")</f>
        <v>0</v>
      </c>
      <c r="G428" s="3"/>
      <c r="H428" s="3"/>
      <c r="I428" s="3" t="str">
        <f>IFERROR(ROUND(INDEX('PROJETO PERFURAÇÃO'!$AB:$AB,MATCH(MEDIÇÃO!K428,'PROJETO PERFURAÇÃO'!$B:$B,0)),1)&amp;"''","")</f>
        <v>5''</v>
      </c>
      <c r="J428" s="3" t="str">
        <f>IFERROR(IF(INDEX('PROJETO PERFURAÇÃO'!$P:$P,MATCH(MEDIÇÃO!K428,'PROJETO PERFURAÇÃO'!$B:$B,0))="Production","P",IF(INDEX('PROJETO PERFURAÇÃO'!$P:$P,MATCH(MEDIÇÃO!K428,'PROJETO PERFURAÇÃO'!$B:$B,0))="Buffer","B",IF(INDEX('PROJETO PERFURAÇÃO'!$P:$P,MATCH(MEDIÇÃO!K428,'PROJETO PERFURAÇÃO'!$B:$B,0))="Pre-Splitting","S"))),"")</f>
        <v>P</v>
      </c>
      <c r="K428" s="14">
        <f t="shared" si="40"/>
        <v>941</v>
      </c>
      <c r="L428" s="4" t="str">
        <f>IFERROR(INDEX('LEV R&amp;D'!$D:$D,MATCH(MEDIÇÃO!K428,'LEV R&amp;D'!$A:$A,0))-INDEX('PROJETO PERFURAÇÃO'!$AH:$AH,MATCH(MEDIÇÃO!K428,'PROJETO PERFURAÇÃO'!$B:$B,0)),"")</f>
        <v/>
      </c>
      <c r="M428" s="8">
        <f>IFERROR(INDEX('PROJETO PERFURAÇÃO'!$AN:$AN,MATCH(MEDIÇÃO!K428,'PROJETO PERFURAÇÃO'!$B:$B,0)),"")</f>
        <v>0</v>
      </c>
      <c r="N428" s="3"/>
      <c r="O428" s="3"/>
      <c r="P428" s="3" t="str">
        <f>IFERROR(ROUND(INDEX('PROJETO PERFURAÇÃO'!$AB:$AB,MATCH(MEDIÇÃO!R428,'PROJETO PERFURAÇÃO'!$B:$B,0)),1)&amp;"''","")</f>
        <v>5''</v>
      </c>
      <c r="Q428" s="3" t="str">
        <f>IFERROR(IF(INDEX('PROJETO PERFURAÇÃO'!$P:$P,MATCH(MEDIÇÃO!R428,'PROJETO PERFURAÇÃO'!$B:$B,0))="Production","P",IF(INDEX('PROJETO PERFURAÇÃO'!$P:$P,MATCH(MEDIÇÃO!R428,'PROJETO PERFURAÇÃO'!$B:$B,0))="Buffer","B",IF(INDEX('PROJETO PERFURAÇÃO'!$P:$P,MATCH(MEDIÇÃO!R428,'PROJETO PERFURAÇÃO'!$B:$B,0))="Pre-Splitting","S"))),"")</f>
        <v>P</v>
      </c>
      <c r="R428" s="14">
        <f t="shared" si="41"/>
        <v>964</v>
      </c>
      <c r="S428" s="4" t="str">
        <f>IFERROR(INDEX('LEV R&amp;D'!$D:$D,MATCH(MEDIÇÃO!R428,'LEV R&amp;D'!$A:$A,0))-INDEX('PROJETO PERFURAÇÃO'!$AH:$AH,MATCH(MEDIÇÃO!R428,'PROJETO PERFURAÇÃO'!$B:$B,0)),"")</f>
        <v/>
      </c>
      <c r="T428" s="8">
        <f>IFERROR(INDEX('PROJETO PERFURAÇÃO'!$AN:$AN,MATCH(MEDIÇÃO!R428,'PROJETO PERFURAÇÃO'!$B:$B,0)),"")</f>
        <v>0</v>
      </c>
      <c r="U428" s="3"/>
      <c r="V428" s="3"/>
    </row>
    <row r="429" spans="2:22" ht="45" customHeight="1" x14ac:dyDescent="0.25">
      <c r="B429" s="3" t="str">
        <f>IFERROR(ROUND(INDEX('PROJETO PERFURAÇÃO'!$AB:$AB,MATCH(MEDIÇÃO!D429,'PROJETO PERFURAÇÃO'!$B:$B,0)),1)&amp;"''","")</f>
        <v>5''</v>
      </c>
      <c r="C429" s="3" t="str">
        <f>IFERROR(IF(INDEX('PROJETO PERFURAÇÃO'!$P:$P,MATCH(MEDIÇÃO!D429,'PROJETO PERFURAÇÃO'!$B:$B,0))="Production","P",IF(INDEX('PROJETO PERFURAÇÃO'!$P:$P,MATCH(MEDIÇÃO!D429,'PROJETO PERFURAÇÃO'!$B:$B,0))="Buffer","B",IF(INDEX('PROJETO PERFURAÇÃO'!$P:$P,MATCH(MEDIÇÃO!D429,'PROJETO PERFURAÇÃO'!$B:$B,0))="Pre-Splitting","S"))),"")</f>
        <v>P</v>
      </c>
      <c r="D429" s="14">
        <f t="shared" si="39"/>
        <v>919</v>
      </c>
      <c r="E429" s="4" t="str">
        <f>IFERROR(INDEX('LEV R&amp;D'!$D:$D,MATCH(MEDIÇÃO!D429,'LEV R&amp;D'!$A:$A,0))-INDEX('PROJETO PERFURAÇÃO'!$AH:$AH,MATCH(MEDIÇÃO!D429,'PROJETO PERFURAÇÃO'!$B:$B,0)),"")</f>
        <v/>
      </c>
      <c r="F429" s="8">
        <f>IFERROR(INDEX('PROJETO PERFURAÇÃO'!$AN:$AN,MATCH(MEDIÇÃO!D429,'PROJETO PERFURAÇÃO'!$B:$B,0)),"")</f>
        <v>0</v>
      </c>
      <c r="G429" s="3"/>
      <c r="H429" s="3"/>
      <c r="I429" s="3" t="str">
        <f>IFERROR(ROUND(INDEX('PROJETO PERFURAÇÃO'!$AB:$AB,MATCH(MEDIÇÃO!K429,'PROJETO PERFURAÇÃO'!$B:$B,0)),1)&amp;"''","")</f>
        <v>5''</v>
      </c>
      <c r="J429" s="3" t="str">
        <f>IFERROR(IF(INDEX('PROJETO PERFURAÇÃO'!$P:$P,MATCH(MEDIÇÃO!K429,'PROJETO PERFURAÇÃO'!$B:$B,0))="Production","P",IF(INDEX('PROJETO PERFURAÇÃO'!$P:$P,MATCH(MEDIÇÃO!K429,'PROJETO PERFURAÇÃO'!$B:$B,0))="Buffer","B",IF(INDEX('PROJETO PERFURAÇÃO'!$P:$P,MATCH(MEDIÇÃO!K429,'PROJETO PERFURAÇÃO'!$B:$B,0))="Pre-Splitting","S"))),"")</f>
        <v>P</v>
      </c>
      <c r="K429" s="14">
        <f t="shared" si="40"/>
        <v>942</v>
      </c>
      <c r="L429" s="4" t="str">
        <f>IFERROR(INDEX('LEV R&amp;D'!$D:$D,MATCH(MEDIÇÃO!K429,'LEV R&amp;D'!$A:$A,0))-INDEX('PROJETO PERFURAÇÃO'!$AH:$AH,MATCH(MEDIÇÃO!K429,'PROJETO PERFURAÇÃO'!$B:$B,0)),"")</f>
        <v/>
      </c>
      <c r="M429" s="8">
        <f>IFERROR(INDEX('PROJETO PERFURAÇÃO'!$AN:$AN,MATCH(MEDIÇÃO!K429,'PROJETO PERFURAÇÃO'!$B:$B,0)),"")</f>
        <v>0</v>
      </c>
      <c r="N429" s="3"/>
      <c r="O429" s="3"/>
      <c r="P429" s="3" t="str">
        <f>IFERROR(ROUND(INDEX('PROJETO PERFURAÇÃO'!$AB:$AB,MATCH(MEDIÇÃO!R429,'PROJETO PERFURAÇÃO'!$B:$B,0)),1)&amp;"''","")</f>
        <v>5''</v>
      </c>
      <c r="Q429" s="3" t="str">
        <f>IFERROR(IF(INDEX('PROJETO PERFURAÇÃO'!$P:$P,MATCH(MEDIÇÃO!R429,'PROJETO PERFURAÇÃO'!$B:$B,0))="Production","P",IF(INDEX('PROJETO PERFURAÇÃO'!$P:$P,MATCH(MEDIÇÃO!R429,'PROJETO PERFURAÇÃO'!$B:$B,0))="Buffer","B",IF(INDEX('PROJETO PERFURAÇÃO'!$P:$P,MATCH(MEDIÇÃO!R429,'PROJETO PERFURAÇÃO'!$B:$B,0))="Pre-Splitting","S"))),"")</f>
        <v>P</v>
      </c>
      <c r="R429" s="14">
        <f t="shared" si="41"/>
        <v>965</v>
      </c>
      <c r="S429" s="4" t="str">
        <f>IFERROR(INDEX('LEV R&amp;D'!$D:$D,MATCH(MEDIÇÃO!R429,'LEV R&amp;D'!$A:$A,0))-INDEX('PROJETO PERFURAÇÃO'!$AH:$AH,MATCH(MEDIÇÃO!R429,'PROJETO PERFURAÇÃO'!$B:$B,0)),"")</f>
        <v/>
      </c>
      <c r="T429" s="8">
        <f>IFERROR(INDEX('PROJETO PERFURAÇÃO'!$AN:$AN,MATCH(MEDIÇÃO!R429,'PROJETO PERFURAÇÃO'!$B:$B,0)),"")</f>
        <v>0</v>
      </c>
      <c r="U429" s="3"/>
      <c r="V429" s="3"/>
    </row>
    <row r="430" spans="2:22" ht="45" customHeight="1" x14ac:dyDescent="0.25">
      <c r="B430" s="3" t="str">
        <f>IFERROR(ROUND(INDEX('PROJETO PERFURAÇÃO'!$AB:$AB,MATCH(MEDIÇÃO!D430,'PROJETO PERFURAÇÃO'!$B:$B,0)),1)&amp;"''","")</f>
        <v>5''</v>
      </c>
      <c r="C430" s="3" t="str">
        <f>IFERROR(IF(INDEX('PROJETO PERFURAÇÃO'!$P:$P,MATCH(MEDIÇÃO!D430,'PROJETO PERFURAÇÃO'!$B:$B,0))="Production","P",IF(INDEX('PROJETO PERFURAÇÃO'!$P:$P,MATCH(MEDIÇÃO!D430,'PROJETO PERFURAÇÃO'!$B:$B,0))="Buffer","B",IF(INDEX('PROJETO PERFURAÇÃO'!$P:$P,MATCH(MEDIÇÃO!D430,'PROJETO PERFURAÇÃO'!$B:$B,0))="Pre-Splitting","S"))),"")</f>
        <v>P</v>
      </c>
      <c r="D430" s="14">
        <f>D429+1</f>
        <v>920</v>
      </c>
      <c r="E430" s="4" t="str">
        <f>IFERROR(INDEX('LEV R&amp;D'!$D:$D,MATCH(MEDIÇÃO!D430,'LEV R&amp;D'!$A:$A,0))-INDEX('PROJETO PERFURAÇÃO'!$AH:$AH,MATCH(MEDIÇÃO!D430,'PROJETO PERFURAÇÃO'!$B:$B,0)),"")</f>
        <v/>
      </c>
      <c r="F430" s="8">
        <f>IFERROR(INDEX('PROJETO PERFURAÇÃO'!$AN:$AN,MATCH(MEDIÇÃO!D430,'PROJETO PERFURAÇÃO'!$B:$B,0)),"")</f>
        <v>0</v>
      </c>
      <c r="G430" s="3"/>
      <c r="H430" s="3"/>
      <c r="I430" s="3" t="str">
        <f>IFERROR(ROUND(INDEX('PROJETO PERFURAÇÃO'!$AB:$AB,MATCH(MEDIÇÃO!K430,'PROJETO PERFURAÇÃO'!$B:$B,0)),1)&amp;"''","")</f>
        <v>5''</v>
      </c>
      <c r="J430" s="3" t="str">
        <f>IFERROR(IF(INDEX('PROJETO PERFURAÇÃO'!$P:$P,MATCH(MEDIÇÃO!K430,'PROJETO PERFURAÇÃO'!$B:$B,0))="Production","P",IF(INDEX('PROJETO PERFURAÇÃO'!$P:$P,MATCH(MEDIÇÃO!K430,'PROJETO PERFURAÇÃO'!$B:$B,0))="Buffer","B",IF(INDEX('PROJETO PERFURAÇÃO'!$P:$P,MATCH(MEDIÇÃO!K430,'PROJETO PERFURAÇÃO'!$B:$B,0))="Pre-Splitting","S"))),"")</f>
        <v>P</v>
      </c>
      <c r="K430" s="14">
        <f>K429+1</f>
        <v>943</v>
      </c>
      <c r="L430" s="4" t="str">
        <f>IFERROR(INDEX('LEV R&amp;D'!$D:$D,MATCH(MEDIÇÃO!K430,'LEV R&amp;D'!$A:$A,0))-INDEX('PROJETO PERFURAÇÃO'!$AH:$AH,MATCH(MEDIÇÃO!K430,'PROJETO PERFURAÇÃO'!$B:$B,0)),"")</f>
        <v/>
      </c>
      <c r="M430" s="8">
        <f>IFERROR(INDEX('PROJETO PERFURAÇÃO'!$AN:$AN,MATCH(MEDIÇÃO!K430,'PROJETO PERFURAÇÃO'!$B:$B,0)),"")</f>
        <v>0</v>
      </c>
      <c r="N430" s="3"/>
      <c r="O430" s="3"/>
      <c r="P430" s="3" t="str">
        <f>IFERROR(ROUND(INDEX('PROJETO PERFURAÇÃO'!$AB:$AB,MATCH(MEDIÇÃO!R430,'PROJETO PERFURAÇÃO'!$B:$B,0)),1)&amp;"''","")</f>
        <v>5''</v>
      </c>
      <c r="Q430" s="3" t="str">
        <f>IFERROR(IF(INDEX('PROJETO PERFURAÇÃO'!$P:$P,MATCH(MEDIÇÃO!R430,'PROJETO PERFURAÇÃO'!$B:$B,0))="Production","P",IF(INDEX('PROJETO PERFURAÇÃO'!$P:$P,MATCH(MEDIÇÃO!R430,'PROJETO PERFURAÇÃO'!$B:$B,0))="Buffer","B",IF(INDEX('PROJETO PERFURAÇÃO'!$P:$P,MATCH(MEDIÇÃO!R430,'PROJETO PERFURAÇÃO'!$B:$B,0))="Pre-Splitting","S"))),"")</f>
        <v>P</v>
      </c>
      <c r="R430" s="14">
        <f>R429+1</f>
        <v>966</v>
      </c>
      <c r="S430" s="4" t="str">
        <f>IFERROR(INDEX('LEV R&amp;D'!$D:$D,MATCH(MEDIÇÃO!R430,'LEV R&amp;D'!$A:$A,0))-INDEX('PROJETO PERFURAÇÃO'!$AH:$AH,MATCH(MEDIÇÃO!R430,'PROJETO PERFURAÇÃO'!$B:$B,0)),"")</f>
        <v/>
      </c>
      <c r="T430" s="8">
        <f>IFERROR(INDEX('PROJETO PERFURAÇÃO'!$AN:$AN,MATCH(MEDIÇÃO!R430,'PROJETO PERFURAÇÃO'!$B:$B,0)),"")</f>
        <v>0</v>
      </c>
      <c r="U430" s="3"/>
      <c r="V430" s="3"/>
    </row>
    <row r="431" spans="2:22" ht="30" customHeight="1" x14ac:dyDescent="0.25">
      <c r="B431" s="1"/>
      <c r="C431" s="1"/>
      <c r="D431" s="15"/>
      <c r="E431" s="2"/>
      <c r="F431" s="16"/>
      <c r="G431" s="1"/>
      <c r="H431" s="1"/>
      <c r="I431" s="1"/>
      <c r="J431" s="1"/>
      <c r="K431" s="15"/>
      <c r="L431" s="2"/>
      <c r="M431" s="16"/>
      <c r="N431" s="1"/>
      <c r="O431" s="1"/>
      <c r="P431" s="1"/>
      <c r="Q431" s="1"/>
      <c r="R431" s="15"/>
      <c r="S431" s="2"/>
      <c r="T431" s="16"/>
      <c r="U431" s="1"/>
      <c r="V431" s="1"/>
    </row>
    <row r="432" spans="2:22" ht="30" customHeight="1" x14ac:dyDescent="0.25">
      <c r="C432" s="20"/>
      <c r="D432" s="20"/>
      <c r="E432" s="20"/>
      <c r="F432" s="20"/>
      <c r="G432" s="20"/>
      <c r="H432" s="20"/>
      <c r="I432" s="20"/>
      <c r="J432" s="20"/>
      <c r="K432" s="20"/>
      <c r="M432" s="20"/>
      <c r="N432" s="20"/>
      <c r="O432" s="20"/>
      <c r="P432" s="20"/>
      <c r="Q432" s="20"/>
      <c r="R432" s="20"/>
      <c r="S432" s="20"/>
      <c r="T432" s="20"/>
      <c r="U432" s="20"/>
    </row>
    <row r="433" spans="1:23" ht="30" customHeight="1" x14ac:dyDescent="0.25">
      <c r="C433" s="21" t="s">
        <v>40</v>
      </c>
      <c r="D433" s="21"/>
      <c r="E433" s="21"/>
      <c r="F433" s="21"/>
      <c r="G433" s="21"/>
      <c r="H433" s="21"/>
      <c r="I433" s="21"/>
      <c r="J433" s="21"/>
      <c r="K433" s="21"/>
      <c r="L433" s="9"/>
      <c r="M433" s="21" t="s">
        <v>40</v>
      </c>
      <c r="N433" s="21"/>
      <c r="O433" s="21"/>
      <c r="P433" s="21"/>
      <c r="Q433" s="21"/>
      <c r="R433" s="21"/>
      <c r="S433" s="21"/>
      <c r="T433" s="21"/>
      <c r="U433" s="21"/>
      <c r="V433" s="9"/>
    </row>
    <row r="434" spans="1:23" ht="30" customHeight="1" x14ac:dyDescent="0.25">
      <c r="D434" s="9"/>
      <c r="E434" s="9"/>
      <c r="F434" s="9"/>
      <c r="G434" s="9"/>
      <c r="H434" s="9"/>
      <c r="I434" s="9"/>
      <c r="J434" s="9"/>
      <c r="K434" s="9"/>
      <c r="L434" s="9"/>
      <c r="M434" s="9"/>
      <c r="N434" s="9"/>
      <c r="Q434" s="9"/>
      <c r="R434" s="9"/>
      <c r="S434" s="9"/>
      <c r="T434" s="9"/>
      <c r="U434" s="9"/>
      <c r="V434" s="9"/>
    </row>
    <row r="435" spans="1:23" ht="30" customHeight="1" x14ac:dyDescent="0.25">
      <c r="B435" s="19" t="str">
        <f>'PROJETO PERFURAÇÃO'!$C$2&amp;" - "&amp;'PROJETO PERFURAÇÃO'!$H$2</f>
        <v>LIB065 - PP0651026</v>
      </c>
      <c r="C435" s="19"/>
      <c r="D435" s="19"/>
      <c r="E435" s="19"/>
      <c r="F435" s="19"/>
      <c r="G435" s="19"/>
      <c r="H435" s="19"/>
      <c r="I435" s="11" t="s">
        <v>34</v>
      </c>
      <c r="J435" s="10" t="s">
        <v>37</v>
      </c>
    </row>
    <row r="436" spans="1:23" ht="30" customHeight="1" x14ac:dyDescent="0.25">
      <c r="B436" s="19"/>
      <c r="C436" s="19"/>
      <c r="D436" s="19"/>
      <c r="E436" s="19"/>
      <c r="F436" s="19"/>
      <c r="G436" s="19"/>
      <c r="H436" s="19"/>
      <c r="I436" s="12" t="s">
        <v>35</v>
      </c>
      <c r="J436" s="10" t="s">
        <v>38</v>
      </c>
      <c r="K436" s="9"/>
      <c r="L436" s="9"/>
      <c r="M436" s="9"/>
      <c r="N436" s="9"/>
      <c r="O436" s="9"/>
      <c r="P436" s="9"/>
      <c r="Q436" s="9"/>
      <c r="R436" s="9"/>
      <c r="S436" s="9"/>
      <c r="T436" s="9"/>
      <c r="U436" s="9"/>
      <c r="V436" s="9"/>
    </row>
    <row r="437" spans="1:23" ht="30" customHeight="1" x14ac:dyDescent="0.25">
      <c r="B437" s="19"/>
      <c r="C437" s="19"/>
      <c r="D437" s="19"/>
      <c r="E437" s="19"/>
      <c r="F437" s="19"/>
      <c r="G437" s="19"/>
      <c r="H437" s="19"/>
      <c r="I437" s="13" t="s">
        <v>36</v>
      </c>
      <c r="J437" s="10" t="s">
        <v>39</v>
      </c>
    </row>
    <row r="438" spans="1:23" ht="30" customHeight="1" x14ac:dyDescent="0.25">
      <c r="A438" s="1"/>
      <c r="B438" s="6" t="s">
        <v>33</v>
      </c>
      <c r="C438" s="6" t="s">
        <v>13</v>
      </c>
      <c r="D438" s="7" t="s">
        <v>1</v>
      </c>
      <c r="E438" s="7" t="s">
        <v>29</v>
      </c>
      <c r="F438" s="7" t="s">
        <v>30</v>
      </c>
      <c r="G438" s="7" t="s">
        <v>31</v>
      </c>
      <c r="H438" s="7" t="s">
        <v>32</v>
      </c>
      <c r="I438" s="6" t="s">
        <v>33</v>
      </c>
      <c r="J438" s="6" t="s">
        <v>13</v>
      </c>
      <c r="K438" s="7" t="s">
        <v>1</v>
      </c>
      <c r="L438" s="7" t="s">
        <v>29</v>
      </c>
      <c r="M438" s="7" t="s">
        <v>30</v>
      </c>
      <c r="N438" s="7" t="s">
        <v>31</v>
      </c>
      <c r="O438" s="7" t="s">
        <v>32</v>
      </c>
      <c r="P438" s="6" t="s">
        <v>33</v>
      </c>
      <c r="Q438" s="6" t="s">
        <v>13</v>
      </c>
      <c r="R438" s="7" t="s">
        <v>1</v>
      </c>
      <c r="S438" s="7" t="s">
        <v>29</v>
      </c>
      <c r="T438" s="7" t="s">
        <v>30</v>
      </c>
      <c r="U438" s="7" t="s">
        <v>31</v>
      </c>
      <c r="V438" s="7" t="s">
        <v>32</v>
      </c>
      <c r="W438" s="1"/>
    </row>
    <row r="439" spans="1:23" ht="45" customHeight="1" x14ac:dyDescent="0.25">
      <c r="B439" s="3" t="str">
        <f>IFERROR(ROUND(INDEX('PROJETO PERFURAÇÃO'!$AB:$AB,MATCH(MEDIÇÃO!D439,'PROJETO PERFURAÇÃO'!$B:$B,0)),1)&amp;"''","")</f>
        <v>5''</v>
      </c>
      <c r="C439" s="3" t="str">
        <f>IFERROR(IF(INDEX('PROJETO PERFURAÇÃO'!$P:$P,MATCH(MEDIÇÃO!D439,'PROJETO PERFURAÇÃO'!$B:$B,0))="Production","P",IF(INDEX('PROJETO PERFURAÇÃO'!$P:$P,MATCH(MEDIÇÃO!D439,'PROJETO PERFURAÇÃO'!$B:$B,0))="Buffer","B",IF(INDEX('PROJETO PERFURAÇÃO'!$P:$P,MATCH(MEDIÇÃO!D439,'PROJETO PERFURAÇÃO'!$B:$B,0))="Pre-Splitting","S"))),"")</f>
        <v>P</v>
      </c>
      <c r="D439" s="14">
        <f>R430+1</f>
        <v>967</v>
      </c>
      <c r="E439" s="4" t="str">
        <f>IFERROR(INDEX('LEV R&amp;D'!$D:$D,MATCH(MEDIÇÃO!D439,'LEV R&amp;D'!$A:$A,0))-INDEX('PROJETO PERFURAÇÃO'!$AH:$AH,MATCH(MEDIÇÃO!D439,'PROJETO PERFURAÇÃO'!$B:$B,0)),"")</f>
        <v/>
      </c>
      <c r="F439" s="8">
        <f>IFERROR(INDEX('PROJETO PERFURAÇÃO'!$AN:$AN,MATCH(MEDIÇÃO!D439,'PROJETO PERFURAÇÃO'!$B:$B,0)),"")</f>
        <v>0</v>
      </c>
      <c r="G439" s="3"/>
      <c r="H439" s="3"/>
      <c r="I439" s="3" t="str">
        <f>IFERROR(ROUND(INDEX('PROJETO PERFURAÇÃO'!$AB:$AB,MATCH(MEDIÇÃO!K439,'PROJETO PERFURAÇÃO'!$B:$B,0)),1)&amp;"''","")</f>
        <v>5''</v>
      </c>
      <c r="J439" s="3" t="str">
        <f>IFERROR(IF(INDEX('PROJETO PERFURAÇÃO'!$P:$P,MATCH(MEDIÇÃO!K439,'PROJETO PERFURAÇÃO'!$B:$B,0))="Production","P",IF(INDEX('PROJETO PERFURAÇÃO'!$P:$P,MATCH(MEDIÇÃO!K439,'PROJETO PERFURAÇÃO'!$B:$B,0))="Buffer","B",IF(INDEX('PROJETO PERFURAÇÃO'!$P:$P,MATCH(MEDIÇÃO!K439,'PROJETO PERFURAÇÃO'!$B:$B,0))="Pre-Splitting","S"))),"")</f>
        <v>P</v>
      </c>
      <c r="K439" s="14">
        <f>D461+1</f>
        <v>990</v>
      </c>
      <c r="L439" s="4" t="str">
        <f>IFERROR(INDEX('LEV R&amp;D'!$D:$D,MATCH(MEDIÇÃO!K439,'LEV R&amp;D'!$A:$A,0))-INDEX('PROJETO PERFURAÇÃO'!$AH:$AH,MATCH(MEDIÇÃO!K439,'PROJETO PERFURAÇÃO'!$B:$B,0)),"")</f>
        <v/>
      </c>
      <c r="M439" s="8">
        <f>IFERROR(INDEX('PROJETO PERFURAÇÃO'!$AN:$AN,MATCH(MEDIÇÃO!K439,'PROJETO PERFURAÇÃO'!$B:$B,0)),"")</f>
        <v>0</v>
      </c>
      <c r="N439" s="3"/>
      <c r="O439" s="3"/>
      <c r="P439" s="3" t="str">
        <f>IFERROR(ROUND(INDEX('PROJETO PERFURAÇÃO'!$AB:$AB,MATCH(MEDIÇÃO!R439,'PROJETO PERFURAÇÃO'!$B:$B,0)),1)&amp;"''","")</f>
        <v>5''</v>
      </c>
      <c r="Q439" s="3" t="str">
        <f>IFERROR(IF(INDEX('PROJETO PERFURAÇÃO'!$P:$P,MATCH(MEDIÇÃO!R439,'PROJETO PERFURAÇÃO'!$B:$B,0))="Production","P",IF(INDEX('PROJETO PERFURAÇÃO'!$P:$P,MATCH(MEDIÇÃO!R439,'PROJETO PERFURAÇÃO'!$B:$B,0))="Buffer","B",IF(INDEX('PROJETO PERFURAÇÃO'!$P:$P,MATCH(MEDIÇÃO!R439,'PROJETO PERFURAÇÃO'!$B:$B,0))="Pre-Splitting","S"))),"")</f>
        <v>P</v>
      </c>
      <c r="R439" s="14">
        <f>K461+1</f>
        <v>1013</v>
      </c>
      <c r="S439" s="4" t="str">
        <f>IFERROR(INDEX('LEV R&amp;D'!$D:$D,MATCH(MEDIÇÃO!R439,'LEV R&amp;D'!$A:$A,0))-INDEX('PROJETO PERFURAÇÃO'!$AH:$AH,MATCH(MEDIÇÃO!R439,'PROJETO PERFURAÇÃO'!$B:$B,0)),"")</f>
        <v/>
      </c>
      <c r="T439" s="8">
        <f>IFERROR(INDEX('PROJETO PERFURAÇÃO'!$AN:$AN,MATCH(MEDIÇÃO!R439,'PROJETO PERFURAÇÃO'!$B:$B,0)),"")</f>
        <v>0</v>
      </c>
      <c r="U439" s="3"/>
      <c r="V439" s="3"/>
    </row>
    <row r="440" spans="1:23" ht="45" customHeight="1" x14ac:dyDescent="0.25">
      <c r="B440" s="3" t="str">
        <f>IFERROR(ROUND(INDEX('PROJETO PERFURAÇÃO'!$AB:$AB,MATCH(MEDIÇÃO!D440,'PROJETO PERFURAÇÃO'!$B:$B,0)),1)&amp;"''","")</f>
        <v>5''</v>
      </c>
      <c r="C440" s="3" t="str">
        <f>IFERROR(IF(INDEX('PROJETO PERFURAÇÃO'!$P:$P,MATCH(MEDIÇÃO!D440,'PROJETO PERFURAÇÃO'!$B:$B,0))="Production","P",IF(INDEX('PROJETO PERFURAÇÃO'!$P:$P,MATCH(MEDIÇÃO!D440,'PROJETO PERFURAÇÃO'!$B:$B,0))="Buffer","B",IF(INDEX('PROJETO PERFURAÇÃO'!$P:$P,MATCH(MEDIÇÃO!D440,'PROJETO PERFURAÇÃO'!$B:$B,0))="Pre-Splitting","S"))),"")</f>
        <v>P</v>
      </c>
      <c r="D440" s="14">
        <f>D439+1</f>
        <v>968</v>
      </c>
      <c r="E440" s="4" t="str">
        <f>IFERROR(INDEX('LEV R&amp;D'!$D:$D,MATCH(MEDIÇÃO!D440,'LEV R&amp;D'!$A:$A,0))-INDEX('PROJETO PERFURAÇÃO'!$AH:$AH,MATCH(MEDIÇÃO!D440,'PROJETO PERFURAÇÃO'!$B:$B,0)),"")</f>
        <v/>
      </c>
      <c r="F440" s="8">
        <f>IFERROR(INDEX('PROJETO PERFURAÇÃO'!$AN:$AN,MATCH(MEDIÇÃO!D440,'PROJETO PERFURAÇÃO'!$B:$B,0)),"")</f>
        <v>0</v>
      </c>
      <c r="G440" s="3"/>
      <c r="H440" s="3"/>
      <c r="I440" s="3" t="str">
        <f>IFERROR(ROUND(INDEX('PROJETO PERFURAÇÃO'!$AB:$AB,MATCH(MEDIÇÃO!K440,'PROJETO PERFURAÇÃO'!$B:$B,0)),1)&amp;"''","")</f>
        <v>5''</v>
      </c>
      <c r="J440" s="3" t="str">
        <f>IFERROR(IF(INDEX('PROJETO PERFURAÇÃO'!$P:$P,MATCH(MEDIÇÃO!K440,'PROJETO PERFURAÇÃO'!$B:$B,0))="Production","P",IF(INDEX('PROJETO PERFURAÇÃO'!$P:$P,MATCH(MEDIÇÃO!K440,'PROJETO PERFURAÇÃO'!$B:$B,0))="Buffer","B",IF(INDEX('PROJETO PERFURAÇÃO'!$P:$P,MATCH(MEDIÇÃO!K440,'PROJETO PERFURAÇÃO'!$B:$B,0))="Pre-Splitting","S"))),"")</f>
        <v>P</v>
      </c>
      <c r="K440" s="14">
        <f>K439+1</f>
        <v>991</v>
      </c>
      <c r="L440" s="4" t="str">
        <f>IFERROR(INDEX('LEV R&amp;D'!$D:$D,MATCH(MEDIÇÃO!K440,'LEV R&amp;D'!$A:$A,0))-INDEX('PROJETO PERFURAÇÃO'!$AH:$AH,MATCH(MEDIÇÃO!K440,'PROJETO PERFURAÇÃO'!$B:$B,0)),"")</f>
        <v/>
      </c>
      <c r="M440" s="8">
        <f>IFERROR(INDEX('PROJETO PERFURAÇÃO'!$AN:$AN,MATCH(MEDIÇÃO!K440,'PROJETO PERFURAÇÃO'!$B:$B,0)),"")</f>
        <v>0</v>
      </c>
      <c r="N440" s="3"/>
      <c r="O440" s="3"/>
      <c r="P440" s="3" t="str">
        <f>IFERROR(ROUND(INDEX('PROJETO PERFURAÇÃO'!$AB:$AB,MATCH(MEDIÇÃO!R440,'PROJETO PERFURAÇÃO'!$B:$B,0)),1)&amp;"''","")</f>
        <v>5''</v>
      </c>
      <c r="Q440" s="3" t="str">
        <f>IFERROR(IF(INDEX('PROJETO PERFURAÇÃO'!$P:$P,MATCH(MEDIÇÃO!R440,'PROJETO PERFURAÇÃO'!$B:$B,0))="Production","P",IF(INDEX('PROJETO PERFURAÇÃO'!$P:$P,MATCH(MEDIÇÃO!R440,'PROJETO PERFURAÇÃO'!$B:$B,0))="Buffer","B",IF(INDEX('PROJETO PERFURAÇÃO'!$P:$P,MATCH(MEDIÇÃO!R440,'PROJETO PERFURAÇÃO'!$B:$B,0))="Pre-Splitting","S"))),"")</f>
        <v>P</v>
      </c>
      <c r="R440" s="14">
        <f>R439+1</f>
        <v>1014</v>
      </c>
      <c r="S440" s="4" t="str">
        <f>IFERROR(INDEX('LEV R&amp;D'!$D:$D,MATCH(MEDIÇÃO!R440,'LEV R&amp;D'!$A:$A,0))-INDEX('PROJETO PERFURAÇÃO'!$AH:$AH,MATCH(MEDIÇÃO!R440,'PROJETO PERFURAÇÃO'!$B:$B,0)),"")</f>
        <v/>
      </c>
      <c r="T440" s="8">
        <f>IFERROR(INDEX('PROJETO PERFURAÇÃO'!$AN:$AN,MATCH(MEDIÇÃO!R440,'PROJETO PERFURAÇÃO'!$B:$B,0)),"")</f>
        <v>0</v>
      </c>
      <c r="U440" s="3"/>
      <c r="V440" s="3"/>
    </row>
    <row r="441" spans="1:23" ht="45" customHeight="1" x14ac:dyDescent="0.25">
      <c r="B441" s="3" t="str">
        <f>IFERROR(ROUND(INDEX('PROJETO PERFURAÇÃO'!$AB:$AB,MATCH(MEDIÇÃO!D441,'PROJETO PERFURAÇÃO'!$B:$B,0)),1)&amp;"''","")</f>
        <v>5''</v>
      </c>
      <c r="C441" s="3" t="str">
        <f>IFERROR(IF(INDEX('PROJETO PERFURAÇÃO'!$P:$P,MATCH(MEDIÇÃO!D441,'PROJETO PERFURAÇÃO'!$B:$B,0))="Production","P",IF(INDEX('PROJETO PERFURAÇÃO'!$P:$P,MATCH(MEDIÇÃO!D441,'PROJETO PERFURAÇÃO'!$B:$B,0))="Buffer","B",IF(INDEX('PROJETO PERFURAÇÃO'!$P:$P,MATCH(MEDIÇÃO!D441,'PROJETO PERFURAÇÃO'!$B:$B,0))="Pre-Splitting","S"))),"")</f>
        <v>P</v>
      </c>
      <c r="D441" s="14">
        <f t="shared" ref="D441:D460" si="42">D440+1</f>
        <v>969</v>
      </c>
      <c r="E441" s="4" t="str">
        <f>IFERROR(INDEX('LEV R&amp;D'!$D:$D,MATCH(MEDIÇÃO!D441,'LEV R&amp;D'!$A:$A,0))-INDEX('PROJETO PERFURAÇÃO'!$AH:$AH,MATCH(MEDIÇÃO!D441,'PROJETO PERFURAÇÃO'!$B:$B,0)),"")</f>
        <v/>
      </c>
      <c r="F441" s="8">
        <f>IFERROR(INDEX('PROJETO PERFURAÇÃO'!$AN:$AN,MATCH(MEDIÇÃO!D441,'PROJETO PERFURAÇÃO'!$B:$B,0)),"")</f>
        <v>0</v>
      </c>
      <c r="G441" s="3"/>
      <c r="H441" s="3"/>
      <c r="I441" s="3" t="str">
        <f>IFERROR(ROUND(INDEX('PROJETO PERFURAÇÃO'!$AB:$AB,MATCH(MEDIÇÃO!K441,'PROJETO PERFURAÇÃO'!$B:$B,0)),1)&amp;"''","")</f>
        <v>5''</v>
      </c>
      <c r="J441" s="3" t="str">
        <f>IFERROR(IF(INDEX('PROJETO PERFURAÇÃO'!$P:$P,MATCH(MEDIÇÃO!K441,'PROJETO PERFURAÇÃO'!$B:$B,0))="Production","P",IF(INDEX('PROJETO PERFURAÇÃO'!$P:$P,MATCH(MEDIÇÃO!K441,'PROJETO PERFURAÇÃO'!$B:$B,0))="Buffer","B",IF(INDEX('PROJETO PERFURAÇÃO'!$P:$P,MATCH(MEDIÇÃO!K441,'PROJETO PERFURAÇÃO'!$B:$B,0))="Pre-Splitting","S"))),"")</f>
        <v>P</v>
      </c>
      <c r="K441" s="14">
        <f t="shared" ref="K441:K460" si="43">K440+1</f>
        <v>992</v>
      </c>
      <c r="L441" s="4" t="str">
        <f>IFERROR(INDEX('LEV R&amp;D'!$D:$D,MATCH(MEDIÇÃO!K441,'LEV R&amp;D'!$A:$A,0))-INDEX('PROJETO PERFURAÇÃO'!$AH:$AH,MATCH(MEDIÇÃO!K441,'PROJETO PERFURAÇÃO'!$B:$B,0)),"")</f>
        <v/>
      </c>
      <c r="M441" s="8">
        <f>IFERROR(INDEX('PROJETO PERFURAÇÃO'!$AN:$AN,MATCH(MEDIÇÃO!K441,'PROJETO PERFURAÇÃO'!$B:$B,0)),"")</f>
        <v>0</v>
      </c>
      <c r="N441" s="3"/>
      <c r="O441" s="3"/>
      <c r="P441" s="3" t="str">
        <f>IFERROR(ROUND(INDEX('PROJETO PERFURAÇÃO'!$AB:$AB,MATCH(MEDIÇÃO!R441,'PROJETO PERFURAÇÃO'!$B:$B,0)),1)&amp;"''","")</f>
        <v>5''</v>
      </c>
      <c r="Q441" s="3" t="str">
        <f>IFERROR(IF(INDEX('PROJETO PERFURAÇÃO'!$P:$P,MATCH(MEDIÇÃO!R441,'PROJETO PERFURAÇÃO'!$B:$B,0))="Production","P",IF(INDEX('PROJETO PERFURAÇÃO'!$P:$P,MATCH(MEDIÇÃO!R441,'PROJETO PERFURAÇÃO'!$B:$B,0))="Buffer","B",IF(INDEX('PROJETO PERFURAÇÃO'!$P:$P,MATCH(MEDIÇÃO!R441,'PROJETO PERFURAÇÃO'!$B:$B,0))="Pre-Splitting","S"))),"")</f>
        <v>P</v>
      </c>
      <c r="R441" s="14">
        <f t="shared" ref="R441:R460" si="44">R440+1</f>
        <v>1015</v>
      </c>
      <c r="S441" s="4" t="str">
        <f>IFERROR(INDEX('LEV R&amp;D'!$D:$D,MATCH(MEDIÇÃO!R441,'LEV R&amp;D'!$A:$A,0))-INDEX('PROJETO PERFURAÇÃO'!$AH:$AH,MATCH(MEDIÇÃO!R441,'PROJETO PERFURAÇÃO'!$B:$B,0)),"")</f>
        <v/>
      </c>
      <c r="T441" s="8">
        <f>IFERROR(INDEX('PROJETO PERFURAÇÃO'!$AN:$AN,MATCH(MEDIÇÃO!R441,'PROJETO PERFURAÇÃO'!$B:$B,0)),"")</f>
        <v>0</v>
      </c>
      <c r="U441" s="3"/>
      <c r="V441" s="3"/>
    </row>
    <row r="442" spans="1:23" ht="45" customHeight="1" x14ac:dyDescent="0.25">
      <c r="B442" s="3" t="str">
        <f>IFERROR(ROUND(INDEX('PROJETO PERFURAÇÃO'!$AB:$AB,MATCH(MEDIÇÃO!D442,'PROJETO PERFURAÇÃO'!$B:$B,0)),1)&amp;"''","")</f>
        <v>5''</v>
      </c>
      <c r="C442" s="3" t="str">
        <f>IFERROR(IF(INDEX('PROJETO PERFURAÇÃO'!$P:$P,MATCH(MEDIÇÃO!D442,'PROJETO PERFURAÇÃO'!$B:$B,0))="Production","P",IF(INDEX('PROJETO PERFURAÇÃO'!$P:$P,MATCH(MEDIÇÃO!D442,'PROJETO PERFURAÇÃO'!$B:$B,0))="Buffer","B",IF(INDEX('PROJETO PERFURAÇÃO'!$P:$P,MATCH(MEDIÇÃO!D442,'PROJETO PERFURAÇÃO'!$B:$B,0))="Pre-Splitting","S"))),"")</f>
        <v>P</v>
      </c>
      <c r="D442" s="14">
        <f t="shared" si="42"/>
        <v>970</v>
      </c>
      <c r="E442" s="4" t="str">
        <f>IFERROR(INDEX('LEV R&amp;D'!$D:$D,MATCH(MEDIÇÃO!D442,'LEV R&amp;D'!$A:$A,0))-INDEX('PROJETO PERFURAÇÃO'!$AH:$AH,MATCH(MEDIÇÃO!D442,'PROJETO PERFURAÇÃO'!$B:$B,0)),"")</f>
        <v/>
      </c>
      <c r="F442" s="8">
        <f>IFERROR(INDEX('PROJETO PERFURAÇÃO'!$AN:$AN,MATCH(MEDIÇÃO!D442,'PROJETO PERFURAÇÃO'!$B:$B,0)),"")</f>
        <v>0</v>
      </c>
      <c r="G442" s="3"/>
      <c r="H442" s="3"/>
      <c r="I442" s="3" t="str">
        <f>IFERROR(ROUND(INDEX('PROJETO PERFURAÇÃO'!$AB:$AB,MATCH(MEDIÇÃO!K442,'PROJETO PERFURAÇÃO'!$B:$B,0)),1)&amp;"''","")</f>
        <v>5''</v>
      </c>
      <c r="J442" s="3" t="str">
        <f>IFERROR(IF(INDEX('PROJETO PERFURAÇÃO'!$P:$P,MATCH(MEDIÇÃO!K442,'PROJETO PERFURAÇÃO'!$B:$B,0))="Production","P",IF(INDEX('PROJETO PERFURAÇÃO'!$P:$P,MATCH(MEDIÇÃO!K442,'PROJETO PERFURAÇÃO'!$B:$B,0))="Buffer","B",IF(INDEX('PROJETO PERFURAÇÃO'!$P:$P,MATCH(MEDIÇÃO!K442,'PROJETO PERFURAÇÃO'!$B:$B,0))="Pre-Splitting","S"))),"")</f>
        <v>P</v>
      </c>
      <c r="K442" s="14">
        <f t="shared" si="43"/>
        <v>993</v>
      </c>
      <c r="L442" s="4" t="str">
        <f>IFERROR(INDEX('LEV R&amp;D'!$D:$D,MATCH(MEDIÇÃO!K442,'LEV R&amp;D'!$A:$A,0))-INDEX('PROJETO PERFURAÇÃO'!$AH:$AH,MATCH(MEDIÇÃO!K442,'PROJETO PERFURAÇÃO'!$B:$B,0)),"")</f>
        <v/>
      </c>
      <c r="M442" s="8">
        <f>IFERROR(INDEX('PROJETO PERFURAÇÃO'!$AN:$AN,MATCH(MEDIÇÃO!K442,'PROJETO PERFURAÇÃO'!$B:$B,0)),"")</f>
        <v>0</v>
      </c>
      <c r="N442" s="3"/>
      <c r="O442" s="3"/>
      <c r="P442" s="3" t="str">
        <f>IFERROR(ROUND(INDEX('PROJETO PERFURAÇÃO'!$AB:$AB,MATCH(MEDIÇÃO!R442,'PROJETO PERFURAÇÃO'!$B:$B,0)),1)&amp;"''","")</f>
        <v>5''</v>
      </c>
      <c r="Q442" s="3" t="str">
        <f>IFERROR(IF(INDEX('PROJETO PERFURAÇÃO'!$P:$P,MATCH(MEDIÇÃO!R442,'PROJETO PERFURAÇÃO'!$B:$B,0))="Production","P",IF(INDEX('PROJETO PERFURAÇÃO'!$P:$P,MATCH(MEDIÇÃO!R442,'PROJETO PERFURAÇÃO'!$B:$B,0))="Buffer","B",IF(INDEX('PROJETO PERFURAÇÃO'!$P:$P,MATCH(MEDIÇÃO!R442,'PROJETO PERFURAÇÃO'!$B:$B,0))="Pre-Splitting","S"))),"")</f>
        <v>P</v>
      </c>
      <c r="R442" s="14">
        <f t="shared" si="44"/>
        <v>1016</v>
      </c>
      <c r="S442" s="4" t="str">
        <f>IFERROR(INDEX('LEV R&amp;D'!$D:$D,MATCH(MEDIÇÃO!R442,'LEV R&amp;D'!$A:$A,0))-INDEX('PROJETO PERFURAÇÃO'!$AH:$AH,MATCH(MEDIÇÃO!R442,'PROJETO PERFURAÇÃO'!$B:$B,0)),"")</f>
        <v/>
      </c>
      <c r="T442" s="8">
        <f>IFERROR(INDEX('PROJETO PERFURAÇÃO'!$AN:$AN,MATCH(MEDIÇÃO!R442,'PROJETO PERFURAÇÃO'!$B:$B,0)),"")</f>
        <v>0</v>
      </c>
      <c r="U442" s="3"/>
      <c r="V442" s="3"/>
    </row>
    <row r="443" spans="1:23" ht="45" customHeight="1" x14ac:dyDescent="0.25">
      <c r="B443" s="3" t="str">
        <f>IFERROR(ROUND(INDEX('PROJETO PERFURAÇÃO'!$AB:$AB,MATCH(MEDIÇÃO!D443,'PROJETO PERFURAÇÃO'!$B:$B,0)),1)&amp;"''","")</f>
        <v>5''</v>
      </c>
      <c r="C443" s="3" t="str">
        <f>IFERROR(IF(INDEX('PROJETO PERFURAÇÃO'!$P:$P,MATCH(MEDIÇÃO!D443,'PROJETO PERFURAÇÃO'!$B:$B,0))="Production","P",IF(INDEX('PROJETO PERFURAÇÃO'!$P:$P,MATCH(MEDIÇÃO!D443,'PROJETO PERFURAÇÃO'!$B:$B,0))="Buffer","B",IF(INDEX('PROJETO PERFURAÇÃO'!$P:$P,MATCH(MEDIÇÃO!D443,'PROJETO PERFURAÇÃO'!$B:$B,0))="Pre-Splitting","S"))),"")</f>
        <v>P</v>
      </c>
      <c r="D443" s="14">
        <f t="shared" si="42"/>
        <v>971</v>
      </c>
      <c r="E443" s="4" t="str">
        <f>IFERROR(INDEX('LEV R&amp;D'!$D:$D,MATCH(MEDIÇÃO!D443,'LEV R&amp;D'!$A:$A,0))-INDEX('PROJETO PERFURAÇÃO'!$AH:$AH,MATCH(MEDIÇÃO!D443,'PROJETO PERFURAÇÃO'!$B:$B,0)),"")</f>
        <v/>
      </c>
      <c r="F443" s="8">
        <f>IFERROR(INDEX('PROJETO PERFURAÇÃO'!$AN:$AN,MATCH(MEDIÇÃO!D443,'PROJETO PERFURAÇÃO'!$B:$B,0)),"")</f>
        <v>0</v>
      </c>
      <c r="G443" s="3"/>
      <c r="H443" s="3"/>
      <c r="I443" s="3" t="str">
        <f>IFERROR(ROUND(INDEX('PROJETO PERFURAÇÃO'!$AB:$AB,MATCH(MEDIÇÃO!K443,'PROJETO PERFURAÇÃO'!$B:$B,0)),1)&amp;"''","")</f>
        <v>5''</v>
      </c>
      <c r="J443" s="3" t="str">
        <f>IFERROR(IF(INDEX('PROJETO PERFURAÇÃO'!$P:$P,MATCH(MEDIÇÃO!K443,'PROJETO PERFURAÇÃO'!$B:$B,0))="Production","P",IF(INDEX('PROJETO PERFURAÇÃO'!$P:$P,MATCH(MEDIÇÃO!K443,'PROJETO PERFURAÇÃO'!$B:$B,0))="Buffer","B",IF(INDEX('PROJETO PERFURAÇÃO'!$P:$P,MATCH(MEDIÇÃO!K443,'PROJETO PERFURAÇÃO'!$B:$B,0))="Pre-Splitting","S"))),"")</f>
        <v>P</v>
      </c>
      <c r="K443" s="14">
        <f t="shared" si="43"/>
        <v>994</v>
      </c>
      <c r="L443" s="4" t="str">
        <f>IFERROR(INDEX('LEV R&amp;D'!$D:$D,MATCH(MEDIÇÃO!K443,'LEV R&amp;D'!$A:$A,0))-INDEX('PROJETO PERFURAÇÃO'!$AH:$AH,MATCH(MEDIÇÃO!K443,'PROJETO PERFURAÇÃO'!$B:$B,0)),"")</f>
        <v/>
      </c>
      <c r="M443" s="8">
        <f>IFERROR(INDEX('PROJETO PERFURAÇÃO'!$AN:$AN,MATCH(MEDIÇÃO!K443,'PROJETO PERFURAÇÃO'!$B:$B,0)),"")</f>
        <v>0</v>
      </c>
      <c r="N443" s="3"/>
      <c r="O443" s="3"/>
      <c r="P443" s="3" t="str">
        <f>IFERROR(ROUND(INDEX('PROJETO PERFURAÇÃO'!$AB:$AB,MATCH(MEDIÇÃO!R443,'PROJETO PERFURAÇÃO'!$B:$B,0)),1)&amp;"''","")</f>
        <v>5''</v>
      </c>
      <c r="Q443" s="3" t="str">
        <f>IFERROR(IF(INDEX('PROJETO PERFURAÇÃO'!$P:$P,MATCH(MEDIÇÃO!R443,'PROJETO PERFURAÇÃO'!$B:$B,0))="Production","P",IF(INDEX('PROJETO PERFURAÇÃO'!$P:$P,MATCH(MEDIÇÃO!R443,'PROJETO PERFURAÇÃO'!$B:$B,0))="Buffer","B",IF(INDEX('PROJETO PERFURAÇÃO'!$P:$P,MATCH(MEDIÇÃO!R443,'PROJETO PERFURAÇÃO'!$B:$B,0))="Pre-Splitting","S"))),"")</f>
        <v>P</v>
      </c>
      <c r="R443" s="14">
        <f t="shared" si="44"/>
        <v>1017</v>
      </c>
      <c r="S443" s="4" t="str">
        <f>IFERROR(INDEX('LEV R&amp;D'!$D:$D,MATCH(MEDIÇÃO!R443,'LEV R&amp;D'!$A:$A,0))-INDEX('PROJETO PERFURAÇÃO'!$AH:$AH,MATCH(MEDIÇÃO!R443,'PROJETO PERFURAÇÃO'!$B:$B,0)),"")</f>
        <v/>
      </c>
      <c r="T443" s="8">
        <f>IFERROR(INDEX('PROJETO PERFURAÇÃO'!$AN:$AN,MATCH(MEDIÇÃO!R443,'PROJETO PERFURAÇÃO'!$B:$B,0)),"")</f>
        <v>0</v>
      </c>
      <c r="U443" s="3"/>
      <c r="V443" s="3"/>
    </row>
    <row r="444" spans="1:23" ht="45" customHeight="1" x14ac:dyDescent="0.25">
      <c r="B444" s="3" t="str">
        <f>IFERROR(ROUND(INDEX('PROJETO PERFURAÇÃO'!$AB:$AB,MATCH(MEDIÇÃO!D444,'PROJETO PERFURAÇÃO'!$B:$B,0)),1)&amp;"''","")</f>
        <v>5''</v>
      </c>
      <c r="C444" s="3" t="str">
        <f>IFERROR(IF(INDEX('PROJETO PERFURAÇÃO'!$P:$P,MATCH(MEDIÇÃO!D444,'PROJETO PERFURAÇÃO'!$B:$B,0))="Production","P",IF(INDEX('PROJETO PERFURAÇÃO'!$P:$P,MATCH(MEDIÇÃO!D444,'PROJETO PERFURAÇÃO'!$B:$B,0))="Buffer","B",IF(INDEX('PROJETO PERFURAÇÃO'!$P:$P,MATCH(MEDIÇÃO!D444,'PROJETO PERFURAÇÃO'!$B:$B,0))="Pre-Splitting","S"))),"")</f>
        <v>P</v>
      </c>
      <c r="D444" s="14">
        <f t="shared" si="42"/>
        <v>972</v>
      </c>
      <c r="E444" s="4" t="str">
        <f>IFERROR(INDEX('LEV R&amp;D'!$D:$D,MATCH(MEDIÇÃO!D444,'LEV R&amp;D'!$A:$A,0))-INDEX('PROJETO PERFURAÇÃO'!$AH:$AH,MATCH(MEDIÇÃO!D444,'PROJETO PERFURAÇÃO'!$B:$B,0)),"")</f>
        <v/>
      </c>
      <c r="F444" s="8">
        <f>IFERROR(INDEX('PROJETO PERFURAÇÃO'!$AN:$AN,MATCH(MEDIÇÃO!D444,'PROJETO PERFURAÇÃO'!$B:$B,0)),"")</f>
        <v>0</v>
      </c>
      <c r="G444" s="3"/>
      <c r="H444" s="3"/>
      <c r="I444" s="3" t="str">
        <f>IFERROR(ROUND(INDEX('PROJETO PERFURAÇÃO'!$AB:$AB,MATCH(MEDIÇÃO!K444,'PROJETO PERFURAÇÃO'!$B:$B,0)),1)&amp;"''","")</f>
        <v>5''</v>
      </c>
      <c r="J444" s="3" t="str">
        <f>IFERROR(IF(INDEX('PROJETO PERFURAÇÃO'!$P:$P,MATCH(MEDIÇÃO!K444,'PROJETO PERFURAÇÃO'!$B:$B,0))="Production","P",IF(INDEX('PROJETO PERFURAÇÃO'!$P:$P,MATCH(MEDIÇÃO!K444,'PROJETO PERFURAÇÃO'!$B:$B,0))="Buffer","B",IF(INDEX('PROJETO PERFURAÇÃO'!$P:$P,MATCH(MEDIÇÃO!K444,'PROJETO PERFURAÇÃO'!$B:$B,0))="Pre-Splitting","S"))),"")</f>
        <v>P</v>
      </c>
      <c r="K444" s="14">
        <f t="shared" si="43"/>
        <v>995</v>
      </c>
      <c r="L444" s="4" t="str">
        <f>IFERROR(INDEX('LEV R&amp;D'!$D:$D,MATCH(MEDIÇÃO!K444,'LEV R&amp;D'!$A:$A,0))-INDEX('PROJETO PERFURAÇÃO'!$AH:$AH,MATCH(MEDIÇÃO!K444,'PROJETO PERFURAÇÃO'!$B:$B,0)),"")</f>
        <v/>
      </c>
      <c r="M444" s="8">
        <f>IFERROR(INDEX('PROJETO PERFURAÇÃO'!$AN:$AN,MATCH(MEDIÇÃO!K444,'PROJETO PERFURAÇÃO'!$B:$B,0)),"")</f>
        <v>0</v>
      </c>
      <c r="N444" s="3"/>
      <c r="O444" s="3"/>
      <c r="P444" s="3" t="str">
        <f>IFERROR(ROUND(INDEX('PROJETO PERFURAÇÃO'!$AB:$AB,MATCH(MEDIÇÃO!R444,'PROJETO PERFURAÇÃO'!$B:$B,0)),1)&amp;"''","")</f>
        <v>5''</v>
      </c>
      <c r="Q444" s="3" t="str">
        <f>IFERROR(IF(INDEX('PROJETO PERFURAÇÃO'!$P:$P,MATCH(MEDIÇÃO!R444,'PROJETO PERFURAÇÃO'!$B:$B,0))="Production","P",IF(INDEX('PROJETO PERFURAÇÃO'!$P:$P,MATCH(MEDIÇÃO!R444,'PROJETO PERFURAÇÃO'!$B:$B,0))="Buffer","B",IF(INDEX('PROJETO PERFURAÇÃO'!$P:$P,MATCH(MEDIÇÃO!R444,'PROJETO PERFURAÇÃO'!$B:$B,0))="Pre-Splitting","S"))),"")</f>
        <v>P</v>
      </c>
      <c r="R444" s="14">
        <f t="shared" si="44"/>
        <v>1018</v>
      </c>
      <c r="S444" s="4" t="str">
        <f>IFERROR(INDEX('LEV R&amp;D'!$D:$D,MATCH(MEDIÇÃO!R444,'LEV R&amp;D'!$A:$A,0))-INDEX('PROJETO PERFURAÇÃO'!$AH:$AH,MATCH(MEDIÇÃO!R444,'PROJETO PERFURAÇÃO'!$B:$B,0)),"")</f>
        <v/>
      </c>
      <c r="T444" s="8">
        <f>IFERROR(INDEX('PROJETO PERFURAÇÃO'!$AN:$AN,MATCH(MEDIÇÃO!R444,'PROJETO PERFURAÇÃO'!$B:$B,0)),"")</f>
        <v>0</v>
      </c>
      <c r="U444" s="3"/>
      <c r="V444" s="3"/>
    </row>
    <row r="445" spans="1:23" ht="45" customHeight="1" x14ac:dyDescent="0.25">
      <c r="B445" s="3" t="str">
        <f>IFERROR(ROUND(INDEX('PROJETO PERFURAÇÃO'!$AB:$AB,MATCH(MEDIÇÃO!D445,'PROJETO PERFURAÇÃO'!$B:$B,0)),1)&amp;"''","")</f>
        <v>5''</v>
      </c>
      <c r="C445" s="3" t="str">
        <f>IFERROR(IF(INDEX('PROJETO PERFURAÇÃO'!$P:$P,MATCH(MEDIÇÃO!D445,'PROJETO PERFURAÇÃO'!$B:$B,0))="Production","P",IF(INDEX('PROJETO PERFURAÇÃO'!$P:$P,MATCH(MEDIÇÃO!D445,'PROJETO PERFURAÇÃO'!$B:$B,0))="Buffer","B",IF(INDEX('PROJETO PERFURAÇÃO'!$P:$P,MATCH(MEDIÇÃO!D445,'PROJETO PERFURAÇÃO'!$B:$B,0))="Pre-Splitting","S"))),"")</f>
        <v>P</v>
      </c>
      <c r="D445" s="14">
        <f t="shared" si="42"/>
        <v>973</v>
      </c>
      <c r="E445" s="4" t="str">
        <f>IFERROR(INDEX('LEV R&amp;D'!$D:$D,MATCH(MEDIÇÃO!D445,'LEV R&amp;D'!$A:$A,0))-INDEX('PROJETO PERFURAÇÃO'!$AH:$AH,MATCH(MEDIÇÃO!D445,'PROJETO PERFURAÇÃO'!$B:$B,0)),"")</f>
        <v/>
      </c>
      <c r="F445" s="8">
        <f>IFERROR(INDEX('PROJETO PERFURAÇÃO'!$AN:$AN,MATCH(MEDIÇÃO!D445,'PROJETO PERFURAÇÃO'!$B:$B,0)),"")</f>
        <v>0</v>
      </c>
      <c r="G445" s="3"/>
      <c r="H445" s="3"/>
      <c r="I445" s="3" t="str">
        <f>IFERROR(ROUND(INDEX('PROJETO PERFURAÇÃO'!$AB:$AB,MATCH(MEDIÇÃO!K445,'PROJETO PERFURAÇÃO'!$B:$B,0)),1)&amp;"''","")</f>
        <v>5''</v>
      </c>
      <c r="J445" s="3" t="str">
        <f>IFERROR(IF(INDEX('PROJETO PERFURAÇÃO'!$P:$P,MATCH(MEDIÇÃO!K445,'PROJETO PERFURAÇÃO'!$B:$B,0))="Production","P",IF(INDEX('PROJETO PERFURAÇÃO'!$P:$P,MATCH(MEDIÇÃO!K445,'PROJETO PERFURAÇÃO'!$B:$B,0))="Buffer","B",IF(INDEX('PROJETO PERFURAÇÃO'!$P:$P,MATCH(MEDIÇÃO!K445,'PROJETO PERFURAÇÃO'!$B:$B,0))="Pre-Splitting","S"))),"")</f>
        <v>P</v>
      </c>
      <c r="K445" s="14">
        <f t="shared" si="43"/>
        <v>996</v>
      </c>
      <c r="L445" s="4" t="str">
        <f>IFERROR(INDEX('LEV R&amp;D'!$D:$D,MATCH(MEDIÇÃO!K445,'LEV R&amp;D'!$A:$A,0))-INDEX('PROJETO PERFURAÇÃO'!$AH:$AH,MATCH(MEDIÇÃO!K445,'PROJETO PERFURAÇÃO'!$B:$B,0)),"")</f>
        <v/>
      </c>
      <c r="M445" s="8">
        <f>IFERROR(INDEX('PROJETO PERFURAÇÃO'!$AN:$AN,MATCH(MEDIÇÃO!K445,'PROJETO PERFURAÇÃO'!$B:$B,0)),"")</f>
        <v>0</v>
      </c>
      <c r="N445" s="3"/>
      <c r="O445" s="3"/>
      <c r="P445" s="3" t="str">
        <f>IFERROR(ROUND(INDEX('PROJETO PERFURAÇÃO'!$AB:$AB,MATCH(MEDIÇÃO!R445,'PROJETO PERFURAÇÃO'!$B:$B,0)),1)&amp;"''","")</f>
        <v>5''</v>
      </c>
      <c r="Q445" s="3" t="str">
        <f>IFERROR(IF(INDEX('PROJETO PERFURAÇÃO'!$P:$P,MATCH(MEDIÇÃO!R445,'PROJETO PERFURAÇÃO'!$B:$B,0))="Production","P",IF(INDEX('PROJETO PERFURAÇÃO'!$P:$P,MATCH(MEDIÇÃO!R445,'PROJETO PERFURAÇÃO'!$B:$B,0))="Buffer","B",IF(INDEX('PROJETO PERFURAÇÃO'!$P:$P,MATCH(MEDIÇÃO!R445,'PROJETO PERFURAÇÃO'!$B:$B,0))="Pre-Splitting","S"))),"")</f>
        <v>P</v>
      </c>
      <c r="R445" s="14">
        <f t="shared" si="44"/>
        <v>1019</v>
      </c>
      <c r="S445" s="4" t="str">
        <f>IFERROR(INDEX('LEV R&amp;D'!$D:$D,MATCH(MEDIÇÃO!R445,'LEV R&amp;D'!$A:$A,0))-INDEX('PROJETO PERFURAÇÃO'!$AH:$AH,MATCH(MEDIÇÃO!R445,'PROJETO PERFURAÇÃO'!$B:$B,0)),"")</f>
        <v/>
      </c>
      <c r="T445" s="8">
        <f>IFERROR(INDEX('PROJETO PERFURAÇÃO'!$AN:$AN,MATCH(MEDIÇÃO!R445,'PROJETO PERFURAÇÃO'!$B:$B,0)),"")</f>
        <v>5</v>
      </c>
      <c r="U445" s="3"/>
      <c r="V445" s="3"/>
    </row>
    <row r="446" spans="1:23" ht="45" customHeight="1" x14ac:dyDescent="0.25">
      <c r="B446" s="3" t="str">
        <f>IFERROR(ROUND(INDEX('PROJETO PERFURAÇÃO'!$AB:$AB,MATCH(MEDIÇÃO!D446,'PROJETO PERFURAÇÃO'!$B:$B,0)),1)&amp;"''","")</f>
        <v>5''</v>
      </c>
      <c r="C446" s="3" t="str">
        <f>IFERROR(IF(INDEX('PROJETO PERFURAÇÃO'!$P:$P,MATCH(MEDIÇÃO!D446,'PROJETO PERFURAÇÃO'!$B:$B,0))="Production","P",IF(INDEX('PROJETO PERFURAÇÃO'!$P:$P,MATCH(MEDIÇÃO!D446,'PROJETO PERFURAÇÃO'!$B:$B,0))="Buffer","B",IF(INDEX('PROJETO PERFURAÇÃO'!$P:$P,MATCH(MEDIÇÃO!D446,'PROJETO PERFURAÇÃO'!$B:$B,0))="Pre-Splitting","S"))),"")</f>
        <v>P</v>
      </c>
      <c r="D446" s="14">
        <f t="shared" si="42"/>
        <v>974</v>
      </c>
      <c r="E446" s="4" t="str">
        <f>IFERROR(INDEX('LEV R&amp;D'!$D:$D,MATCH(MEDIÇÃO!D446,'LEV R&amp;D'!$A:$A,0))-INDEX('PROJETO PERFURAÇÃO'!$AH:$AH,MATCH(MEDIÇÃO!D446,'PROJETO PERFURAÇÃO'!$B:$B,0)),"")</f>
        <v/>
      </c>
      <c r="F446" s="8">
        <f>IFERROR(INDEX('PROJETO PERFURAÇÃO'!$AN:$AN,MATCH(MEDIÇÃO!D446,'PROJETO PERFURAÇÃO'!$B:$B,0)),"")</f>
        <v>0</v>
      </c>
      <c r="G446" s="3"/>
      <c r="H446" s="3"/>
      <c r="I446" s="3" t="str">
        <f>IFERROR(ROUND(INDEX('PROJETO PERFURAÇÃO'!$AB:$AB,MATCH(MEDIÇÃO!K446,'PROJETO PERFURAÇÃO'!$B:$B,0)),1)&amp;"''","")</f>
        <v>5''</v>
      </c>
      <c r="J446" s="3" t="str">
        <f>IFERROR(IF(INDEX('PROJETO PERFURAÇÃO'!$P:$P,MATCH(MEDIÇÃO!K446,'PROJETO PERFURAÇÃO'!$B:$B,0))="Production","P",IF(INDEX('PROJETO PERFURAÇÃO'!$P:$P,MATCH(MEDIÇÃO!K446,'PROJETO PERFURAÇÃO'!$B:$B,0))="Buffer","B",IF(INDEX('PROJETO PERFURAÇÃO'!$P:$P,MATCH(MEDIÇÃO!K446,'PROJETO PERFURAÇÃO'!$B:$B,0))="Pre-Splitting","S"))),"")</f>
        <v>P</v>
      </c>
      <c r="K446" s="14">
        <f t="shared" si="43"/>
        <v>997</v>
      </c>
      <c r="L446" s="4" t="str">
        <f>IFERROR(INDEX('LEV R&amp;D'!$D:$D,MATCH(MEDIÇÃO!K446,'LEV R&amp;D'!$A:$A,0))-INDEX('PROJETO PERFURAÇÃO'!$AH:$AH,MATCH(MEDIÇÃO!K446,'PROJETO PERFURAÇÃO'!$B:$B,0)),"")</f>
        <v/>
      </c>
      <c r="M446" s="8">
        <f>IFERROR(INDEX('PROJETO PERFURAÇÃO'!$AN:$AN,MATCH(MEDIÇÃO!K446,'PROJETO PERFURAÇÃO'!$B:$B,0)),"")</f>
        <v>0</v>
      </c>
      <c r="N446" s="3"/>
      <c r="O446" s="3"/>
      <c r="P446" s="3" t="str">
        <f>IFERROR(ROUND(INDEX('PROJETO PERFURAÇÃO'!$AB:$AB,MATCH(MEDIÇÃO!R446,'PROJETO PERFURAÇÃO'!$B:$B,0)),1)&amp;"''","")</f>
        <v>5''</v>
      </c>
      <c r="Q446" s="3" t="str">
        <f>IFERROR(IF(INDEX('PROJETO PERFURAÇÃO'!$P:$P,MATCH(MEDIÇÃO!R446,'PROJETO PERFURAÇÃO'!$B:$B,0))="Production","P",IF(INDEX('PROJETO PERFURAÇÃO'!$P:$P,MATCH(MEDIÇÃO!R446,'PROJETO PERFURAÇÃO'!$B:$B,0))="Buffer","B",IF(INDEX('PROJETO PERFURAÇÃO'!$P:$P,MATCH(MEDIÇÃO!R446,'PROJETO PERFURAÇÃO'!$B:$B,0))="Pre-Splitting","S"))),"")</f>
        <v>P</v>
      </c>
      <c r="R446" s="14">
        <f t="shared" si="44"/>
        <v>1020</v>
      </c>
      <c r="S446" s="4" t="str">
        <f>IFERROR(INDEX('LEV R&amp;D'!$D:$D,MATCH(MEDIÇÃO!R446,'LEV R&amp;D'!$A:$A,0))-INDEX('PROJETO PERFURAÇÃO'!$AH:$AH,MATCH(MEDIÇÃO!R446,'PROJETO PERFURAÇÃO'!$B:$B,0)),"")</f>
        <v/>
      </c>
      <c r="T446" s="8">
        <f>IFERROR(INDEX('PROJETO PERFURAÇÃO'!$AN:$AN,MATCH(MEDIÇÃO!R446,'PROJETO PERFURAÇÃO'!$B:$B,0)),"")</f>
        <v>0</v>
      </c>
      <c r="U446" s="3"/>
      <c r="V446" s="3"/>
    </row>
    <row r="447" spans="1:23" ht="45" customHeight="1" x14ac:dyDescent="0.25">
      <c r="B447" s="3" t="str">
        <f>IFERROR(ROUND(INDEX('PROJETO PERFURAÇÃO'!$AB:$AB,MATCH(MEDIÇÃO!D447,'PROJETO PERFURAÇÃO'!$B:$B,0)),1)&amp;"''","")</f>
        <v>5''</v>
      </c>
      <c r="C447" s="3" t="str">
        <f>IFERROR(IF(INDEX('PROJETO PERFURAÇÃO'!$P:$P,MATCH(MEDIÇÃO!D447,'PROJETO PERFURAÇÃO'!$B:$B,0))="Production","P",IF(INDEX('PROJETO PERFURAÇÃO'!$P:$P,MATCH(MEDIÇÃO!D447,'PROJETO PERFURAÇÃO'!$B:$B,0))="Buffer","B",IF(INDEX('PROJETO PERFURAÇÃO'!$P:$P,MATCH(MEDIÇÃO!D447,'PROJETO PERFURAÇÃO'!$B:$B,0))="Pre-Splitting","S"))),"")</f>
        <v>P</v>
      </c>
      <c r="D447" s="14">
        <f t="shared" si="42"/>
        <v>975</v>
      </c>
      <c r="E447" s="4" t="str">
        <f>IFERROR(INDEX('LEV R&amp;D'!$D:$D,MATCH(MEDIÇÃO!D447,'LEV R&amp;D'!$A:$A,0))-INDEX('PROJETO PERFURAÇÃO'!$AH:$AH,MATCH(MEDIÇÃO!D447,'PROJETO PERFURAÇÃO'!$B:$B,0)),"")</f>
        <v/>
      </c>
      <c r="F447" s="8">
        <f>IFERROR(INDEX('PROJETO PERFURAÇÃO'!$AN:$AN,MATCH(MEDIÇÃO!D447,'PROJETO PERFURAÇÃO'!$B:$B,0)),"")</f>
        <v>0</v>
      </c>
      <c r="G447" s="3"/>
      <c r="H447" s="3"/>
      <c r="I447" s="3" t="str">
        <f>IFERROR(ROUND(INDEX('PROJETO PERFURAÇÃO'!$AB:$AB,MATCH(MEDIÇÃO!K447,'PROJETO PERFURAÇÃO'!$B:$B,0)),1)&amp;"''","")</f>
        <v>5''</v>
      </c>
      <c r="J447" s="3" t="str">
        <f>IFERROR(IF(INDEX('PROJETO PERFURAÇÃO'!$P:$P,MATCH(MEDIÇÃO!K447,'PROJETO PERFURAÇÃO'!$B:$B,0))="Production","P",IF(INDEX('PROJETO PERFURAÇÃO'!$P:$P,MATCH(MEDIÇÃO!K447,'PROJETO PERFURAÇÃO'!$B:$B,0))="Buffer","B",IF(INDEX('PROJETO PERFURAÇÃO'!$P:$P,MATCH(MEDIÇÃO!K447,'PROJETO PERFURAÇÃO'!$B:$B,0))="Pre-Splitting","S"))),"")</f>
        <v>P</v>
      </c>
      <c r="K447" s="14">
        <f t="shared" si="43"/>
        <v>998</v>
      </c>
      <c r="L447" s="4" t="str">
        <f>IFERROR(INDEX('LEV R&amp;D'!$D:$D,MATCH(MEDIÇÃO!K447,'LEV R&amp;D'!$A:$A,0))-INDEX('PROJETO PERFURAÇÃO'!$AH:$AH,MATCH(MEDIÇÃO!K447,'PROJETO PERFURAÇÃO'!$B:$B,0)),"")</f>
        <v/>
      </c>
      <c r="M447" s="8">
        <f>IFERROR(INDEX('PROJETO PERFURAÇÃO'!$AN:$AN,MATCH(MEDIÇÃO!K447,'PROJETO PERFURAÇÃO'!$B:$B,0)),"")</f>
        <v>0</v>
      </c>
      <c r="N447" s="3"/>
      <c r="O447" s="3"/>
      <c r="P447" s="3" t="str">
        <f>IFERROR(ROUND(INDEX('PROJETO PERFURAÇÃO'!$AB:$AB,MATCH(MEDIÇÃO!R447,'PROJETO PERFURAÇÃO'!$B:$B,0)),1)&amp;"''","")</f>
        <v>5''</v>
      </c>
      <c r="Q447" s="3" t="str">
        <f>IFERROR(IF(INDEX('PROJETO PERFURAÇÃO'!$P:$P,MATCH(MEDIÇÃO!R447,'PROJETO PERFURAÇÃO'!$B:$B,0))="Production","P",IF(INDEX('PROJETO PERFURAÇÃO'!$P:$P,MATCH(MEDIÇÃO!R447,'PROJETO PERFURAÇÃO'!$B:$B,0))="Buffer","B",IF(INDEX('PROJETO PERFURAÇÃO'!$P:$P,MATCH(MEDIÇÃO!R447,'PROJETO PERFURAÇÃO'!$B:$B,0))="Pre-Splitting","S"))),"")</f>
        <v>P</v>
      </c>
      <c r="R447" s="14">
        <f t="shared" si="44"/>
        <v>1021</v>
      </c>
      <c r="S447" s="4" t="str">
        <f>IFERROR(INDEX('LEV R&amp;D'!$D:$D,MATCH(MEDIÇÃO!R447,'LEV R&amp;D'!$A:$A,0))-INDEX('PROJETO PERFURAÇÃO'!$AH:$AH,MATCH(MEDIÇÃO!R447,'PROJETO PERFURAÇÃO'!$B:$B,0)),"")</f>
        <v/>
      </c>
      <c r="T447" s="8">
        <f>IFERROR(INDEX('PROJETO PERFURAÇÃO'!$AN:$AN,MATCH(MEDIÇÃO!R447,'PROJETO PERFURAÇÃO'!$B:$B,0)),"")</f>
        <v>0</v>
      </c>
      <c r="U447" s="3"/>
      <c r="V447" s="3"/>
    </row>
    <row r="448" spans="1:23" ht="45" customHeight="1" x14ac:dyDescent="0.25">
      <c r="B448" s="3" t="str">
        <f>IFERROR(ROUND(INDEX('PROJETO PERFURAÇÃO'!$AB:$AB,MATCH(MEDIÇÃO!D448,'PROJETO PERFURAÇÃO'!$B:$B,0)),1)&amp;"''","")</f>
        <v>5''</v>
      </c>
      <c r="C448" s="3" t="str">
        <f>IFERROR(IF(INDEX('PROJETO PERFURAÇÃO'!$P:$P,MATCH(MEDIÇÃO!D448,'PROJETO PERFURAÇÃO'!$B:$B,0))="Production","P",IF(INDEX('PROJETO PERFURAÇÃO'!$P:$P,MATCH(MEDIÇÃO!D448,'PROJETO PERFURAÇÃO'!$B:$B,0))="Buffer","B",IF(INDEX('PROJETO PERFURAÇÃO'!$P:$P,MATCH(MEDIÇÃO!D448,'PROJETO PERFURAÇÃO'!$B:$B,0))="Pre-Splitting","S"))),"")</f>
        <v>P</v>
      </c>
      <c r="D448" s="14">
        <f t="shared" si="42"/>
        <v>976</v>
      </c>
      <c r="E448" s="4" t="str">
        <f>IFERROR(INDEX('LEV R&amp;D'!$D:$D,MATCH(MEDIÇÃO!D448,'LEV R&amp;D'!$A:$A,0))-INDEX('PROJETO PERFURAÇÃO'!$AH:$AH,MATCH(MEDIÇÃO!D448,'PROJETO PERFURAÇÃO'!$B:$B,0)),"")</f>
        <v/>
      </c>
      <c r="F448" s="8">
        <f>IFERROR(INDEX('PROJETO PERFURAÇÃO'!$AN:$AN,MATCH(MEDIÇÃO!D448,'PROJETO PERFURAÇÃO'!$B:$B,0)),"")</f>
        <v>0</v>
      </c>
      <c r="G448" s="3"/>
      <c r="H448" s="3"/>
      <c r="I448" s="3" t="str">
        <f>IFERROR(ROUND(INDEX('PROJETO PERFURAÇÃO'!$AB:$AB,MATCH(MEDIÇÃO!K448,'PROJETO PERFURAÇÃO'!$B:$B,0)),1)&amp;"''","")</f>
        <v>5''</v>
      </c>
      <c r="J448" s="3" t="str">
        <f>IFERROR(IF(INDEX('PROJETO PERFURAÇÃO'!$P:$P,MATCH(MEDIÇÃO!K448,'PROJETO PERFURAÇÃO'!$B:$B,0))="Production","P",IF(INDEX('PROJETO PERFURAÇÃO'!$P:$P,MATCH(MEDIÇÃO!K448,'PROJETO PERFURAÇÃO'!$B:$B,0))="Buffer","B",IF(INDEX('PROJETO PERFURAÇÃO'!$P:$P,MATCH(MEDIÇÃO!K448,'PROJETO PERFURAÇÃO'!$B:$B,0))="Pre-Splitting","S"))),"")</f>
        <v>P</v>
      </c>
      <c r="K448" s="14">
        <f t="shared" si="43"/>
        <v>999</v>
      </c>
      <c r="L448" s="4" t="str">
        <f>IFERROR(INDEX('LEV R&amp;D'!$D:$D,MATCH(MEDIÇÃO!K448,'LEV R&amp;D'!$A:$A,0))-INDEX('PROJETO PERFURAÇÃO'!$AH:$AH,MATCH(MEDIÇÃO!K448,'PROJETO PERFURAÇÃO'!$B:$B,0)),"")</f>
        <v/>
      </c>
      <c r="M448" s="8">
        <f>IFERROR(INDEX('PROJETO PERFURAÇÃO'!$AN:$AN,MATCH(MEDIÇÃO!K448,'PROJETO PERFURAÇÃO'!$B:$B,0)),"")</f>
        <v>0</v>
      </c>
      <c r="N448" s="3"/>
      <c r="O448" s="3"/>
      <c r="P448" s="3" t="str">
        <f>IFERROR(ROUND(INDEX('PROJETO PERFURAÇÃO'!$AB:$AB,MATCH(MEDIÇÃO!R448,'PROJETO PERFURAÇÃO'!$B:$B,0)),1)&amp;"''","")</f>
        <v>5''</v>
      </c>
      <c r="Q448" s="3" t="str">
        <f>IFERROR(IF(INDEX('PROJETO PERFURAÇÃO'!$P:$P,MATCH(MEDIÇÃO!R448,'PROJETO PERFURAÇÃO'!$B:$B,0))="Production","P",IF(INDEX('PROJETO PERFURAÇÃO'!$P:$P,MATCH(MEDIÇÃO!R448,'PROJETO PERFURAÇÃO'!$B:$B,0))="Buffer","B",IF(INDEX('PROJETO PERFURAÇÃO'!$P:$P,MATCH(MEDIÇÃO!R448,'PROJETO PERFURAÇÃO'!$B:$B,0))="Pre-Splitting","S"))),"")</f>
        <v>P</v>
      </c>
      <c r="R448" s="14">
        <f t="shared" si="44"/>
        <v>1022</v>
      </c>
      <c r="S448" s="4" t="str">
        <f>IFERROR(INDEX('LEV R&amp;D'!$D:$D,MATCH(MEDIÇÃO!R448,'LEV R&amp;D'!$A:$A,0))-INDEX('PROJETO PERFURAÇÃO'!$AH:$AH,MATCH(MEDIÇÃO!R448,'PROJETO PERFURAÇÃO'!$B:$B,0)),"")</f>
        <v/>
      </c>
      <c r="T448" s="8">
        <f>IFERROR(INDEX('PROJETO PERFURAÇÃO'!$AN:$AN,MATCH(MEDIÇÃO!R448,'PROJETO PERFURAÇÃO'!$B:$B,0)),"")</f>
        <v>0</v>
      </c>
      <c r="U448" s="3"/>
      <c r="V448" s="3"/>
    </row>
    <row r="449" spans="2:22" ht="45" customHeight="1" x14ac:dyDescent="0.25">
      <c r="B449" s="3" t="str">
        <f>IFERROR(ROUND(INDEX('PROJETO PERFURAÇÃO'!$AB:$AB,MATCH(MEDIÇÃO!D449,'PROJETO PERFURAÇÃO'!$B:$B,0)),1)&amp;"''","")</f>
        <v>5''</v>
      </c>
      <c r="C449" s="3" t="str">
        <f>IFERROR(IF(INDEX('PROJETO PERFURAÇÃO'!$P:$P,MATCH(MEDIÇÃO!D449,'PROJETO PERFURAÇÃO'!$B:$B,0))="Production","P",IF(INDEX('PROJETO PERFURAÇÃO'!$P:$P,MATCH(MEDIÇÃO!D449,'PROJETO PERFURAÇÃO'!$B:$B,0))="Buffer","B",IF(INDEX('PROJETO PERFURAÇÃO'!$P:$P,MATCH(MEDIÇÃO!D449,'PROJETO PERFURAÇÃO'!$B:$B,0))="Pre-Splitting","S"))),"")</f>
        <v>P</v>
      </c>
      <c r="D449" s="14">
        <f t="shared" si="42"/>
        <v>977</v>
      </c>
      <c r="E449" s="4" t="str">
        <f>IFERROR(INDEX('LEV R&amp;D'!$D:$D,MATCH(MEDIÇÃO!D449,'LEV R&amp;D'!$A:$A,0))-INDEX('PROJETO PERFURAÇÃO'!$AH:$AH,MATCH(MEDIÇÃO!D449,'PROJETO PERFURAÇÃO'!$B:$B,0)),"")</f>
        <v/>
      </c>
      <c r="F449" s="8">
        <f>IFERROR(INDEX('PROJETO PERFURAÇÃO'!$AN:$AN,MATCH(MEDIÇÃO!D449,'PROJETO PERFURAÇÃO'!$B:$B,0)),"")</f>
        <v>0</v>
      </c>
      <c r="G449" s="3"/>
      <c r="H449" s="3"/>
      <c r="I449" s="3" t="str">
        <f>IFERROR(ROUND(INDEX('PROJETO PERFURAÇÃO'!$AB:$AB,MATCH(MEDIÇÃO!K449,'PROJETO PERFURAÇÃO'!$B:$B,0)),1)&amp;"''","")</f>
        <v>5''</v>
      </c>
      <c r="J449" s="3" t="str">
        <f>IFERROR(IF(INDEX('PROJETO PERFURAÇÃO'!$P:$P,MATCH(MEDIÇÃO!K449,'PROJETO PERFURAÇÃO'!$B:$B,0))="Production","P",IF(INDEX('PROJETO PERFURAÇÃO'!$P:$P,MATCH(MEDIÇÃO!K449,'PROJETO PERFURAÇÃO'!$B:$B,0))="Buffer","B",IF(INDEX('PROJETO PERFURAÇÃO'!$P:$P,MATCH(MEDIÇÃO!K449,'PROJETO PERFURAÇÃO'!$B:$B,0))="Pre-Splitting","S"))),"")</f>
        <v>P</v>
      </c>
      <c r="K449" s="14">
        <f t="shared" si="43"/>
        <v>1000</v>
      </c>
      <c r="L449" s="4" t="str">
        <f>IFERROR(INDEX('LEV R&amp;D'!$D:$D,MATCH(MEDIÇÃO!K449,'LEV R&amp;D'!$A:$A,0))-INDEX('PROJETO PERFURAÇÃO'!$AH:$AH,MATCH(MEDIÇÃO!K449,'PROJETO PERFURAÇÃO'!$B:$B,0)),"")</f>
        <v/>
      </c>
      <c r="M449" s="8">
        <f>IFERROR(INDEX('PROJETO PERFURAÇÃO'!$AN:$AN,MATCH(MEDIÇÃO!K449,'PROJETO PERFURAÇÃO'!$B:$B,0)),"")</f>
        <v>0</v>
      </c>
      <c r="N449" s="3"/>
      <c r="O449" s="3"/>
      <c r="P449" s="3" t="str">
        <f>IFERROR(ROUND(INDEX('PROJETO PERFURAÇÃO'!$AB:$AB,MATCH(MEDIÇÃO!R449,'PROJETO PERFURAÇÃO'!$B:$B,0)),1)&amp;"''","")</f>
        <v>5''</v>
      </c>
      <c r="Q449" s="3" t="str">
        <f>IFERROR(IF(INDEX('PROJETO PERFURAÇÃO'!$P:$P,MATCH(MEDIÇÃO!R449,'PROJETO PERFURAÇÃO'!$B:$B,0))="Production","P",IF(INDEX('PROJETO PERFURAÇÃO'!$P:$P,MATCH(MEDIÇÃO!R449,'PROJETO PERFURAÇÃO'!$B:$B,0))="Buffer","B",IF(INDEX('PROJETO PERFURAÇÃO'!$P:$P,MATCH(MEDIÇÃO!R449,'PROJETO PERFURAÇÃO'!$B:$B,0))="Pre-Splitting","S"))),"")</f>
        <v>P</v>
      </c>
      <c r="R449" s="14">
        <f t="shared" si="44"/>
        <v>1023</v>
      </c>
      <c r="S449" s="4" t="str">
        <f>IFERROR(INDEX('LEV R&amp;D'!$D:$D,MATCH(MEDIÇÃO!R449,'LEV R&amp;D'!$A:$A,0))-INDEX('PROJETO PERFURAÇÃO'!$AH:$AH,MATCH(MEDIÇÃO!R449,'PROJETO PERFURAÇÃO'!$B:$B,0)),"")</f>
        <v/>
      </c>
      <c r="T449" s="8">
        <f>IFERROR(INDEX('PROJETO PERFURAÇÃO'!$AN:$AN,MATCH(MEDIÇÃO!R449,'PROJETO PERFURAÇÃO'!$B:$B,0)),"")</f>
        <v>0</v>
      </c>
      <c r="U449" s="3"/>
      <c r="V449" s="3"/>
    </row>
    <row r="450" spans="2:22" ht="45" customHeight="1" x14ac:dyDescent="0.25">
      <c r="B450" s="3" t="str">
        <f>IFERROR(ROUND(INDEX('PROJETO PERFURAÇÃO'!$AB:$AB,MATCH(MEDIÇÃO!D450,'PROJETO PERFURAÇÃO'!$B:$B,0)),1)&amp;"''","")</f>
        <v>5''</v>
      </c>
      <c r="C450" s="3" t="str">
        <f>IFERROR(IF(INDEX('PROJETO PERFURAÇÃO'!$P:$P,MATCH(MEDIÇÃO!D450,'PROJETO PERFURAÇÃO'!$B:$B,0))="Production","P",IF(INDEX('PROJETO PERFURAÇÃO'!$P:$P,MATCH(MEDIÇÃO!D450,'PROJETO PERFURAÇÃO'!$B:$B,0))="Buffer","B",IF(INDEX('PROJETO PERFURAÇÃO'!$P:$P,MATCH(MEDIÇÃO!D450,'PROJETO PERFURAÇÃO'!$B:$B,0))="Pre-Splitting","S"))),"")</f>
        <v>P</v>
      </c>
      <c r="D450" s="14">
        <f t="shared" si="42"/>
        <v>978</v>
      </c>
      <c r="E450" s="4" t="str">
        <f>IFERROR(INDEX('LEV R&amp;D'!$D:$D,MATCH(MEDIÇÃO!D450,'LEV R&amp;D'!$A:$A,0))-INDEX('PROJETO PERFURAÇÃO'!$AH:$AH,MATCH(MEDIÇÃO!D450,'PROJETO PERFURAÇÃO'!$B:$B,0)),"")</f>
        <v/>
      </c>
      <c r="F450" s="8">
        <f>IFERROR(INDEX('PROJETO PERFURAÇÃO'!$AN:$AN,MATCH(MEDIÇÃO!D450,'PROJETO PERFURAÇÃO'!$B:$B,0)),"")</f>
        <v>0</v>
      </c>
      <c r="G450" s="3"/>
      <c r="H450" s="3"/>
      <c r="I450" s="3" t="str">
        <f>IFERROR(ROUND(INDEX('PROJETO PERFURAÇÃO'!$AB:$AB,MATCH(MEDIÇÃO!K450,'PROJETO PERFURAÇÃO'!$B:$B,0)),1)&amp;"''","")</f>
        <v>5''</v>
      </c>
      <c r="J450" s="3" t="str">
        <f>IFERROR(IF(INDEX('PROJETO PERFURAÇÃO'!$P:$P,MATCH(MEDIÇÃO!K450,'PROJETO PERFURAÇÃO'!$B:$B,0))="Production","P",IF(INDEX('PROJETO PERFURAÇÃO'!$P:$P,MATCH(MEDIÇÃO!K450,'PROJETO PERFURAÇÃO'!$B:$B,0))="Buffer","B",IF(INDEX('PROJETO PERFURAÇÃO'!$P:$P,MATCH(MEDIÇÃO!K450,'PROJETO PERFURAÇÃO'!$B:$B,0))="Pre-Splitting","S"))),"")</f>
        <v>P</v>
      </c>
      <c r="K450" s="14">
        <f t="shared" si="43"/>
        <v>1001</v>
      </c>
      <c r="L450" s="4" t="str">
        <f>IFERROR(INDEX('LEV R&amp;D'!$D:$D,MATCH(MEDIÇÃO!K450,'LEV R&amp;D'!$A:$A,0))-INDEX('PROJETO PERFURAÇÃO'!$AH:$AH,MATCH(MEDIÇÃO!K450,'PROJETO PERFURAÇÃO'!$B:$B,0)),"")</f>
        <v/>
      </c>
      <c r="M450" s="8">
        <f>IFERROR(INDEX('PROJETO PERFURAÇÃO'!$AN:$AN,MATCH(MEDIÇÃO!K450,'PROJETO PERFURAÇÃO'!$B:$B,0)),"")</f>
        <v>0</v>
      </c>
      <c r="N450" s="3"/>
      <c r="O450" s="3"/>
      <c r="P450" s="3" t="str">
        <f>IFERROR(ROUND(INDEX('PROJETO PERFURAÇÃO'!$AB:$AB,MATCH(MEDIÇÃO!R450,'PROJETO PERFURAÇÃO'!$B:$B,0)),1)&amp;"''","")</f>
        <v>5''</v>
      </c>
      <c r="Q450" s="3" t="str">
        <f>IFERROR(IF(INDEX('PROJETO PERFURAÇÃO'!$P:$P,MATCH(MEDIÇÃO!R450,'PROJETO PERFURAÇÃO'!$B:$B,0))="Production","P",IF(INDEX('PROJETO PERFURAÇÃO'!$P:$P,MATCH(MEDIÇÃO!R450,'PROJETO PERFURAÇÃO'!$B:$B,0))="Buffer","B",IF(INDEX('PROJETO PERFURAÇÃO'!$P:$P,MATCH(MEDIÇÃO!R450,'PROJETO PERFURAÇÃO'!$B:$B,0))="Pre-Splitting","S"))),"")</f>
        <v>P</v>
      </c>
      <c r="R450" s="14">
        <f t="shared" si="44"/>
        <v>1024</v>
      </c>
      <c r="S450" s="4" t="str">
        <f>IFERROR(INDEX('LEV R&amp;D'!$D:$D,MATCH(MEDIÇÃO!R450,'LEV R&amp;D'!$A:$A,0))-INDEX('PROJETO PERFURAÇÃO'!$AH:$AH,MATCH(MEDIÇÃO!R450,'PROJETO PERFURAÇÃO'!$B:$B,0)),"")</f>
        <v/>
      </c>
      <c r="T450" s="8">
        <f>IFERROR(INDEX('PROJETO PERFURAÇÃO'!$AN:$AN,MATCH(MEDIÇÃO!R450,'PROJETO PERFURAÇÃO'!$B:$B,0)),"")</f>
        <v>0</v>
      </c>
      <c r="U450" s="3"/>
      <c r="V450" s="3"/>
    </row>
    <row r="451" spans="2:22" ht="45" customHeight="1" x14ac:dyDescent="0.25">
      <c r="B451" s="3" t="str">
        <f>IFERROR(ROUND(INDEX('PROJETO PERFURAÇÃO'!$AB:$AB,MATCH(MEDIÇÃO!D451,'PROJETO PERFURAÇÃO'!$B:$B,0)),1)&amp;"''","")</f>
        <v>5''</v>
      </c>
      <c r="C451" s="3" t="str">
        <f>IFERROR(IF(INDEX('PROJETO PERFURAÇÃO'!$P:$P,MATCH(MEDIÇÃO!D451,'PROJETO PERFURAÇÃO'!$B:$B,0))="Production","P",IF(INDEX('PROJETO PERFURAÇÃO'!$P:$P,MATCH(MEDIÇÃO!D451,'PROJETO PERFURAÇÃO'!$B:$B,0))="Buffer","B",IF(INDEX('PROJETO PERFURAÇÃO'!$P:$P,MATCH(MEDIÇÃO!D451,'PROJETO PERFURAÇÃO'!$B:$B,0))="Pre-Splitting","S"))),"")</f>
        <v>P</v>
      </c>
      <c r="D451" s="14">
        <f t="shared" si="42"/>
        <v>979</v>
      </c>
      <c r="E451" s="4" t="str">
        <f>IFERROR(INDEX('LEV R&amp;D'!$D:$D,MATCH(MEDIÇÃO!D451,'LEV R&amp;D'!$A:$A,0))-INDEX('PROJETO PERFURAÇÃO'!$AH:$AH,MATCH(MEDIÇÃO!D451,'PROJETO PERFURAÇÃO'!$B:$B,0)),"")</f>
        <v/>
      </c>
      <c r="F451" s="8">
        <f>IFERROR(INDEX('PROJETO PERFURAÇÃO'!$AN:$AN,MATCH(MEDIÇÃO!D451,'PROJETO PERFURAÇÃO'!$B:$B,0)),"")</f>
        <v>0</v>
      </c>
      <c r="G451" s="3"/>
      <c r="H451" s="3"/>
      <c r="I451" s="3" t="str">
        <f>IFERROR(ROUND(INDEX('PROJETO PERFURAÇÃO'!$AB:$AB,MATCH(MEDIÇÃO!K451,'PROJETO PERFURAÇÃO'!$B:$B,0)),1)&amp;"''","")</f>
        <v>5''</v>
      </c>
      <c r="J451" s="3" t="str">
        <f>IFERROR(IF(INDEX('PROJETO PERFURAÇÃO'!$P:$P,MATCH(MEDIÇÃO!K451,'PROJETO PERFURAÇÃO'!$B:$B,0))="Production","P",IF(INDEX('PROJETO PERFURAÇÃO'!$P:$P,MATCH(MEDIÇÃO!K451,'PROJETO PERFURAÇÃO'!$B:$B,0))="Buffer","B",IF(INDEX('PROJETO PERFURAÇÃO'!$P:$P,MATCH(MEDIÇÃO!K451,'PROJETO PERFURAÇÃO'!$B:$B,0))="Pre-Splitting","S"))),"")</f>
        <v>P</v>
      </c>
      <c r="K451" s="14">
        <f t="shared" si="43"/>
        <v>1002</v>
      </c>
      <c r="L451" s="4" t="str">
        <f>IFERROR(INDEX('LEV R&amp;D'!$D:$D,MATCH(MEDIÇÃO!K451,'LEV R&amp;D'!$A:$A,0))-INDEX('PROJETO PERFURAÇÃO'!$AH:$AH,MATCH(MEDIÇÃO!K451,'PROJETO PERFURAÇÃO'!$B:$B,0)),"")</f>
        <v/>
      </c>
      <c r="M451" s="8">
        <f>IFERROR(INDEX('PROJETO PERFURAÇÃO'!$AN:$AN,MATCH(MEDIÇÃO!K451,'PROJETO PERFURAÇÃO'!$B:$B,0)),"")</f>
        <v>0</v>
      </c>
      <c r="N451" s="3"/>
      <c r="O451" s="3"/>
      <c r="P451" s="3" t="str">
        <f>IFERROR(ROUND(INDEX('PROJETO PERFURAÇÃO'!$AB:$AB,MATCH(MEDIÇÃO!R451,'PROJETO PERFURAÇÃO'!$B:$B,0)),1)&amp;"''","")</f>
        <v>5''</v>
      </c>
      <c r="Q451" s="3" t="str">
        <f>IFERROR(IF(INDEX('PROJETO PERFURAÇÃO'!$P:$P,MATCH(MEDIÇÃO!R451,'PROJETO PERFURAÇÃO'!$B:$B,0))="Production","P",IF(INDEX('PROJETO PERFURAÇÃO'!$P:$P,MATCH(MEDIÇÃO!R451,'PROJETO PERFURAÇÃO'!$B:$B,0))="Buffer","B",IF(INDEX('PROJETO PERFURAÇÃO'!$P:$P,MATCH(MEDIÇÃO!R451,'PROJETO PERFURAÇÃO'!$B:$B,0))="Pre-Splitting","S"))),"")</f>
        <v>P</v>
      </c>
      <c r="R451" s="14">
        <f t="shared" si="44"/>
        <v>1025</v>
      </c>
      <c r="S451" s="4" t="str">
        <f>IFERROR(INDEX('LEV R&amp;D'!$D:$D,MATCH(MEDIÇÃO!R451,'LEV R&amp;D'!$A:$A,0))-INDEX('PROJETO PERFURAÇÃO'!$AH:$AH,MATCH(MEDIÇÃO!R451,'PROJETO PERFURAÇÃO'!$B:$B,0)),"")</f>
        <v/>
      </c>
      <c r="T451" s="8">
        <f>IFERROR(INDEX('PROJETO PERFURAÇÃO'!$AN:$AN,MATCH(MEDIÇÃO!R451,'PROJETO PERFURAÇÃO'!$B:$B,0)),"")</f>
        <v>0</v>
      </c>
      <c r="U451" s="3"/>
      <c r="V451" s="3"/>
    </row>
    <row r="452" spans="2:22" ht="45" customHeight="1" x14ac:dyDescent="0.25">
      <c r="B452" s="3" t="str">
        <f>IFERROR(ROUND(INDEX('PROJETO PERFURAÇÃO'!$AB:$AB,MATCH(MEDIÇÃO!D452,'PROJETO PERFURAÇÃO'!$B:$B,0)),1)&amp;"''","")</f>
        <v>5''</v>
      </c>
      <c r="C452" s="3" t="str">
        <f>IFERROR(IF(INDEX('PROJETO PERFURAÇÃO'!$P:$P,MATCH(MEDIÇÃO!D452,'PROJETO PERFURAÇÃO'!$B:$B,0))="Production","P",IF(INDEX('PROJETO PERFURAÇÃO'!$P:$P,MATCH(MEDIÇÃO!D452,'PROJETO PERFURAÇÃO'!$B:$B,0))="Buffer","B",IF(INDEX('PROJETO PERFURAÇÃO'!$P:$P,MATCH(MEDIÇÃO!D452,'PROJETO PERFURAÇÃO'!$B:$B,0))="Pre-Splitting","S"))),"")</f>
        <v>P</v>
      </c>
      <c r="D452" s="14">
        <f t="shared" si="42"/>
        <v>980</v>
      </c>
      <c r="E452" s="4" t="str">
        <f>IFERROR(INDEX('LEV R&amp;D'!$D:$D,MATCH(MEDIÇÃO!D452,'LEV R&amp;D'!$A:$A,0))-INDEX('PROJETO PERFURAÇÃO'!$AH:$AH,MATCH(MEDIÇÃO!D452,'PROJETO PERFURAÇÃO'!$B:$B,0)),"")</f>
        <v/>
      </c>
      <c r="F452" s="8">
        <f>IFERROR(INDEX('PROJETO PERFURAÇÃO'!$AN:$AN,MATCH(MEDIÇÃO!D452,'PROJETO PERFURAÇÃO'!$B:$B,0)),"")</f>
        <v>0</v>
      </c>
      <c r="G452" s="3"/>
      <c r="H452" s="3"/>
      <c r="I452" s="3" t="str">
        <f>IFERROR(ROUND(INDEX('PROJETO PERFURAÇÃO'!$AB:$AB,MATCH(MEDIÇÃO!K452,'PROJETO PERFURAÇÃO'!$B:$B,0)),1)&amp;"''","")</f>
        <v>5''</v>
      </c>
      <c r="J452" s="3" t="str">
        <f>IFERROR(IF(INDEX('PROJETO PERFURAÇÃO'!$P:$P,MATCH(MEDIÇÃO!K452,'PROJETO PERFURAÇÃO'!$B:$B,0))="Production","P",IF(INDEX('PROJETO PERFURAÇÃO'!$P:$P,MATCH(MEDIÇÃO!K452,'PROJETO PERFURAÇÃO'!$B:$B,0))="Buffer","B",IF(INDEX('PROJETO PERFURAÇÃO'!$P:$P,MATCH(MEDIÇÃO!K452,'PROJETO PERFURAÇÃO'!$B:$B,0))="Pre-Splitting","S"))),"")</f>
        <v>P</v>
      </c>
      <c r="K452" s="14">
        <f t="shared" si="43"/>
        <v>1003</v>
      </c>
      <c r="L452" s="4" t="str">
        <f>IFERROR(INDEX('LEV R&amp;D'!$D:$D,MATCH(MEDIÇÃO!K452,'LEV R&amp;D'!$A:$A,0))-INDEX('PROJETO PERFURAÇÃO'!$AH:$AH,MATCH(MEDIÇÃO!K452,'PROJETO PERFURAÇÃO'!$B:$B,0)),"")</f>
        <v/>
      </c>
      <c r="M452" s="8">
        <f>IFERROR(INDEX('PROJETO PERFURAÇÃO'!$AN:$AN,MATCH(MEDIÇÃO!K452,'PROJETO PERFURAÇÃO'!$B:$B,0)),"")</f>
        <v>0</v>
      </c>
      <c r="N452" s="3"/>
      <c r="O452" s="3"/>
      <c r="P452" s="3" t="str">
        <f>IFERROR(ROUND(INDEX('PROJETO PERFURAÇÃO'!$AB:$AB,MATCH(MEDIÇÃO!R452,'PROJETO PERFURAÇÃO'!$B:$B,0)),1)&amp;"''","")</f>
        <v>5''</v>
      </c>
      <c r="Q452" s="3" t="str">
        <f>IFERROR(IF(INDEX('PROJETO PERFURAÇÃO'!$P:$P,MATCH(MEDIÇÃO!R452,'PROJETO PERFURAÇÃO'!$B:$B,0))="Production","P",IF(INDEX('PROJETO PERFURAÇÃO'!$P:$P,MATCH(MEDIÇÃO!R452,'PROJETO PERFURAÇÃO'!$B:$B,0))="Buffer","B",IF(INDEX('PROJETO PERFURAÇÃO'!$P:$P,MATCH(MEDIÇÃO!R452,'PROJETO PERFURAÇÃO'!$B:$B,0))="Pre-Splitting","S"))),"")</f>
        <v>P</v>
      </c>
      <c r="R452" s="14">
        <f t="shared" si="44"/>
        <v>1026</v>
      </c>
      <c r="S452" s="4" t="str">
        <f>IFERROR(INDEX('LEV R&amp;D'!$D:$D,MATCH(MEDIÇÃO!R452,'LEV R&amp;D'!$A:$A,0))-INDEX('PROJETO PERFURAÇÃO'!$AH:$AH,MATCH(MEDIÇÃO!R452,'PROJETO PERFURAÇÃO'!$B:$B,0)),"")</f>
        <v/>
      </c>
      <c r="T452" s="8">
        <f>IFERROR(INDEX('PROJETO PERFURAÇÃO'!$AN:$AN,MATCH(MEDIÇÃO!R452,'PROJETO PERFURAÇÃO'!$B:$B,0)),"")</f>
        <v>0</v>
      </c>
      <c r="U452" s="3"/>
      <c r="V452" s="3"/>
    </row>
    <row r="453" spans="2:22" ht="45" customHeight="1" x14ac:dyDescent="0.25">
      <c r="B453" s="3" t="str">
        <f>IFERROR(ROUND(INDEX('PROJETO PERFURAÇÃO'!$AB:$AB,MATCH(MEDIÇÃO!D453,'PROJETO PERFURAÇÃO'!$B:$B,0)),1)&amp;"''","")</f>
        <v>5''</v>
      </c>
      <c r="C453" s="3" t="str">
        <f>IFERROR(IF(INDEX('PROJETO PERFURAÇÃO'!$P:$P,MATCH(MEDIÇÃO!D453,'PROJETO PERFURAÇÃO'!$B:$B,0))="Production","P",IF(INDEX('PROJETO PERFURAÇÃO'!$P:$P,MATCH(MEDIÇÃO!D453,'PROJETO PERFURAÇÃO'!$B:$B,0))="Buffer","B",IF(INDEX('PROJETO PERFURAÇÃO'!$P:$P,MATCH(MEDIÇÃO!D453,'PROJETO PERFURAÇÃO'!$B:$B,0))="Pre-Splitting","S"))),"")</f>
        <v>P</v>
      </c>
      <c r="D453" s="14">
        <f t="shared" si="42"/>
        <v>981</v>
      </c>
      <c r="E453" s="4" t="str">
        <f>IFERROR(INDEX('LEV R&amp;D'!$D:$D,MATCH(MEDIÇÃO!D453,'LEV R&amp;D'!$A:$A,0))-INDEX('PROJETO PERFURAÇÃO'!$AH:$AH,MATCH(MEDIÇÃO!D453,'PROJETO PERFURAÇÃO'!$B:$B,0)),"")</f>
        <v/>
      </c>
      <c r="F453" s="8">
        <f>IFERROR(INDEX('PROJETO PERFURAÇÃO'!$AN:$AN,MATCH(MEDIÇÃO!D453,'PROJETO PERFURAÇÃO'!$B:$B,0)),"")</f>
        <v>0</v>
      </c>
      <c r="G453" s="3"/>
      <c r="H453" s="3"/>
      <c r="I453" s="3" t="str">
        <f>IFERROR(ROUND(INDEX('PROJETO PERFURAÇÃO'!$AB:$AB,MATCH(MEDIÇÃO!K453,'PROJETO PERFURAÇÃO'!$B:$B,0)),1)&amp;"''","")</f>
        <v>5''</v>
      </c>
      <c r="J453" s="3" t="str">
        <f>IFERROR(IF(INDEX('PROJETO PERFURAÇÃO'!$P:$P,MATCH(MEDIÇÃO!K453,'PROJETO PERFURAÇÃO'!$B:$B,0))="Production","P",IF(INDEX('PROJETO PERFURAÇÃO'!$P:$P,MATCH(MEDIÇÃO!K453,'PROJETO PERFURAÇÃO'!$B:$B,0))="Buffer","B",IF(INDEX('PROJETO PERFURAÇÃO'!$P:$P,MATCH(MEDIÇÃO!K453,'PROJETO PERFURAÇÃO'!$B:$B,0))="Pre-Splitting","S"))),"")</f>
        <v>P</v>
      </c>
      <c r="K453" s="14">
        <f t="shared" si="43"/>
        <v>1004</v>
      </c>
      <c r="L453" s="4" t="str">
        <f>IFERROR(INDEX('LEV R&amp;D'!$D:$D,MATCH(MEDIÇÃO!K453,'LEV R&amp;D'!$A:$A,0))-INDEX('PROJETO PERFURAÇÃO'!$AH:$AH,MATCH(MEDIÇÃO!K453,'PROJETO PERFURAÇÃO'!$B:$B,0)),"")</f>
        <v/>
      </c>
      <c r="M453" s="8">
        <f>IFERROR(INDEX('PROJETO PERFURAÇÃO'!$AN:$AN,MATCH(MEDIÇÃO!K453,'PROJETO PERFURAÇÃO'!$B:$B,0)),"")</f>
        <v>0</v>
      </c>
      <c r="N453" s="3"/>
      <c r="O453" s="3"/>
      <c r="P453" s="3" t="str">
        <f>IFERROR(ROUND(INDEX('PROJETO PERFURAÇÃO'!$AB:$AB,MATCH(MEDIÇÃO!R453,'PROJETO PERFURAÇÃO'!$B:$B,0)),1)&amp;"''","")</f>
        <v>5''</v>
      </c>
      <c r="Q453" s="3" t="str">
        <f>IFERROR(IF(INDEX('PROJETO PERFURAÇÃO'!$P:$P,MATCH(MEDIÇÃO!R453,'PROJETO PERFURAÇÃO'!$B:$B,0))="Production","P",IF(INDEX('PROJETO PERFURAÇÃO'!$P:$P,MATCH(MEDIÇÃO!R453,'PROJETO PERFURAÇÃO'!$B:$B,0))="Buffer","B",IF(INDEX('PROJETO PERFURAÇÃO'!$P:$P,MATCH(MEDIÇÃO!R453,'PROJETO PERFURAÇÃO'!$B:$B,0))="Pre-Splitting","S"))),"")</f>
        <v>P</v>
      </c>
      <c r="R453" s="14">
        <f t="shared" si="44"/>
        <v>1027</v>
      </c>
      <c r="S453" s="4" t="str">
        <f>IFERROR(INDEX('LEV R&amp;D'!$D:$D,MATCH(MEDIÇÃO!R453,'LEV R&amp;D'!$A:$A,0))-INDEX('PROJETO PERFURAÇÃO'!$AH:$AH,MATCH(MEDIÇÃO!R453,'PROJETO PERFURAÇÃO'!$B:$B,0)),"")</f>
        <v/>
      </c>
      <c r="T453" s="8">
        <f>IFERROR(INDEX('PROJETO PERFURAÇÃO'!$AN:$AN,MATCH(MEDIÇÃO!R453,'PROJETO PERFURAÇÃO'!$B:$B,0)),"")</f>
        <v>0</v>
      </c>
      <c r="U453" s="3"/>
      <c r="V453" s="3"/>
    </row>
    <row r="454" spans="2:22" ht="45" customHeight="1" x14ac:dyDescent="0.25">
      <c r="B454" s="3" t="str">
        <f>IFERROR(ROUND(INDEX('PROJETO PERFURAÇÃO'!$AB:$AB,MATCH(MEDIÇÃO!D454,'PROJETO PERFURAÇÃO'!$B:$B,0)),1)&amp;"''","")</f>
        <v>5''</v>
      </c>
      <c r="C454" s="3" t="str">
        <f>IFERROR(IF(INDEX('PROJETO PERFURAÇÃO'!$P:$P,MATCH(MEDIÇÃO!D454,'PROJETO PERFURAÇÃO'!$B:$B,0))="Production","P",IF(INDEX('PROJETO PERFURAÇÃO'!$P:$P,MATCH(MEDIÇÃO!D454,'PROJETO PERFURAÇÃO'!$B:$B,0))="Buffer","B",IF(INDEX('PROJETO PERFURAÇÃO'!$P:$P,MATCH(MEDIÇÃO!D454,'PROJETO PERFURAÇÃO'!$B:$B,0))="Pre-Splitting","S"))),"")</f>
        <v>P</v>
      </c>
      <c r="D454" s="14">
        <f t="shared" si="42"/>
        <v>982</v>
      </c>
      <c r="E454" s="4" t="str">
        <f>IFERROR(INDEX('LEV R&amp;D'!$D:$D,MATCH(MEDIÇÃO!D454,'LEV R&amp;D'!$A:$A,0))-INDEX('PROJETO PERFURAÇÃO'!$AH:$AH,MATCH(MEDIÇÃO!D454,'PROJETO PERFURAÇÃO'!$B:$B,0)),"")</f>
        <v/>
      </c>
      <c r="F454" s="8">
        <f>IFERROR(INDEX('PROJETO PERFURAÇÃO'!$AN:$AN,MATCH(MEDIÇÃO!D454,'PROJETO PERFURAÇÃO'!$B:$B,0)),"")</f>
        <v>0</v>
      </c>
      <c r="G454" s="3"/>
      <c r="H454" s="3"/>
      <c r="I454" s="3" t="str">
        <f>IFERROR(ROUND(INDEX('PROJETO PERFURAÇÃO'!$AB:$AB,MATCH(MEDIÇÃO!K454,'PROJETO PERFURAÇÃO'!$B:$B,0)),1)&amp;"''","")</f>
        <v>5''</v>
      </c>
      <c r="J454" s="3" t="str">
        <f>IFERROR(IF(INDEX('PROJETO PERFURAÇÃO'!$P:$P,MATCH(MEDIÇÃO!K454,'PROJETO PERFURAÇÃO'!$B:$B,0))="Production","P",IF(INDEX('PROJETO PERFURAÇÃO'!$P:$P,MATCH(MEDIÇÃO!K454,'PROJETO PERFURAÇÃO'!$B:$B,0))="Buffer","B",IF(INDEX('PROJETO PERFURAÇÃO'!$P:$P,MATCH(MEDIÇÃO!K454,'PROJETO PERFURAÇÃO'!$B:$B,0))="Pre-Splitting","S"))),"")</f>
        <v>P</v>
      </c>
      <c r="K454" s="14">
        <f t="shared" si="43"/>
        <v>1005</v>
      </c>
      <c r="L454" s="4" t="str">
        <f>IFERROR(INDEX('LEV R&amp;D'!$D:$D,MATCH(MEDIÇÃO!K454,'LEV R&amp;D'!$A:$A,0))-INDEX('PROJETO PERFURAÇÃO'!$AH:$AH,MATCH(MEDIÇÃO!K454,'PROJETO PERFURAÇÃO'!$B:$B,0)),"")</f>
        <v/>
      </c>
      <c r="M454" s="8">
        <f>IFERROR(INDEX('PROJETO PERFURAÇÃO'!$AN:$AN,MATCH(MEDIÇÃO!K454,'PROJETO PERFURAÇÃO'!$B:$B,0)),"")</f>
        <v>0</v>
      </c>
      <c r="N454" s="3"/>
      <c r="O454" s="3"/>
      <c r="P454" s="3" t="str">
        <f>IFERROR(ROUND(INDEX('PROJETO PERFURAÇÃO'!$AB:$AB,MATCH(MEDIÇÃO!R454,'PROJETO PERFURAÇÃO'!$B:$B,0)),1)&amp;"''","")</f>
        <v>5''</v>
      </c>
      <c r="Q454" s="3" t="str">
        <f>IFERROR(IF(INDEX('PROJETO PERFURAÇÃO'!$P:$P,MATCH(MEDIÇÃO!R454,'PROJETO PERFURAÇÃO'!$B:$B,0))="Production","P",IF(INDEX('PROJETO PERFURAÇÃO'!$P:$P,MATCH(MEDIÇÃO!R454,'PROJETO PERFURAÇÃO'!$B:$B,0))="Buffer","B",IF(INDEX('PROJETO PERFURAÇÃO'!$P:$P,MATCH(MEDIÇÃO!R454,'PROJETO PERFURAÇÃO'!$B:$B,0))="Pre-Splitting","S"))),"")</f>
        <v>P</v>
      </c>
      <c r="R454" s="14">
        <f t="shared" si="44"/>
        <v>1028</v>
      </c>
      <c r="S454" s="4" t="str">
        <f>IFERROR(INDEX('LEV R&amp;D'!$D:$D,MATCH(MEDIÇÃO!R454,'LEV R&amp;D'!$A:$A,0))-INDEX('PROJETO PERFURAÇÃO'!$AH:$AH,MATCH(MEDIÇÃO!R454,'PROJETO PERFURAÇÃO'!$B:$B,0)),"")</f>
        <v/>
      </c>
      <c r="T454" s="8">
        <f>IFERROR(INDEX('PROJETO PERFURAÇÃO'!$AN:$AN,MATCH(MEDIÇÃO!R454,'PROJETO PERFURAÇÃO'!$B:$B,0)),"")</f>
        <v>0</v>
      </c>
      <c r="U454" s="3"/>
      <c r="V454" s="3"/>
    </row>
    <row r="455" spans="2:22" ht="45" customHeight="1" x14ac:dyDescent="0.25">
      <c r="B455" s="3" t="str">
        <f>IFERROR(ROUND(INDEX('PROJETO PERFURAÇÃO'!$AB:$AB,MATCH(MEDIÇÃO!D455,'PROJETO PERFURAÇÃO'!$B:$B,0)),1)&amp;"''","")</f>
        <v>5''</v>
      </c>
      <c r="C455" s="3" t="str">
        <f>IFERROR(IF(INDEX('PROJETO PERFURAÇÃO'!$P:$P,MATCH(MEDIÇÃO!D455,'PROJETO PERFURAÇÃO'!$B:$B,0))="Production","P",IF(INDEX('PROJETO PERFURAÇÃO'!$P:$P,MATCH(MEDIÇÃO!D455,'PROJETO PERFURAÇÃO'!$B:$B,0))="Buffer","B",IF(INDEX('PROJETO PERFURAÇÃO'!$P:$P,MATCH(MEDIÇÃO!D455,'PROJETO PERFURAÇÃO'!$B:$B,0))="Pre-Splitting","S"))),"")</f>
        <v>P</v>
      </c>
      <c r="D455" s="14">
        <f t="shared" si="42"/>
        <v>983</v>
      </c>
      <c r="E455" s="4" t="str">
        <f>IFERROR(INDEX('LEV R&amp;D'!$D:$D,MATCH(MEDIÇÃO!D455,'LEV R&amp;D'!$A:$A,0))-INDEX('PROJETO PERFURAÇÃO'!$AH:$AH,MATCH(MEDIÇÃO!D455,'PROJETO PERFURAÇÃO'!$B:$B,0)),"")</f>
        <v/>
      </c>
      <c r="F455" s="8">
        <f>IFERROR(INDEX('PROJETO PERFURAÇÃO'!$AN:$AN,MATCH(MEDIÇÃO!D455,'PROJETO PERFURAÇÃO'!$B:$B,0)),"")</f>
        <v>0</v>
      </c>
      <c r="G455" s="3"/>
      <c r="H455" s="3"/>
      <c r="I455" s="3" t="str">
        <f>IFERROR(ROUND(INDEX('PROJETO PERFURAÇÃO'!$AB:$AB,MATCH(MEDIÇÃO!K455,'PROJETO PERFURAÇÃO'!$B:$B,0)),1)&amp;"''","")</f>
        <v>5''</v>
      </c>
      <c r="J455" s="3" t="str">
        <f>IFERROR(IF(INDEX('PROJETO PERFURAÇÃO'!$P:$P,MATCH(MEDIÇÃO!K455,'PROJETO PERFURAÇÃO'!$B:$B,0))="Production","P",IF(INDEX('PROJETO PERFURAÇÃO'!$P:$P,MATCH(MEDIÇÃO!K455,'PROJETO PERFURAÇÃO'!$B:$B,0))="Buffer","B",IF(INDEX('PROJETO PERFURAÇÃO'!$P:$P,MATCH(MEDIÇÃO!K455,'PROJETO PERFURAÇÃO'!$B:$B,0))="Pre-Splitting","S"))),"")</f>
        <v>P</v>
      </c>
      <c r="K455" s="14">
        <f t="shared" si="43"/>
        <v>1006</v>
      </c>
      <c r="L455" s="4" t="str">
        <f>IFERROR(INDEX('LEV R&amp;D'!$D:$D,MATCH(MEDIÇÃO!K455,'LEV R&amp;D'!$A:$A,0))-INDEX('PROJETO PERFURAÇÃO'!$AH:$AH,MATCH(MEDIÇÃO!K455,'PROJETO PERFURAÇÃO'!$B:$B,0)),"")</f>
        <v/>
      </c>
      <c r="M455" s="8">
        <f>IFERROR(INDEX('PROJETO PERFURAÇÃO'!$AN:$AN,MATCH(MEDIÇÃO!K455,'PROJETO PERFURAÇÃO'!$B:$B,0)),"")</f>
        <v>0</v>
      </c>
      <c r="N455" s="3"/>
      <c r="O455" s="3"/>
      <c r="P455" s="3" t="str">
        <f>IFERROR(ROUND(INDEX('PROJETO PERFURAÇÃO'!$AB:$AB,MATCH(MEDIÇÃO!R455,'PROJETO PERFURAÇÃO'!$B:$B,0)),1)&amp;"''","")</f>
        <v>5''</v>
      </c>
      <c r="Q455" s="3" t="str">
        <f>IFERROR(IF(INDEX('PROJETO PERFURAÇÃO'!$P:$P,MATCH(MEDIÇÃO!R455,'PROJETO PERFURAÇÃO'!$B:$B,0))="Production","P",IF(INDEX('PROJETO PERFURAÇÃO'!$P:$P,MATCH(MEDIÇÃO!R455,'PROJETO PERFURAÇÃO'!$B:$B,0))="Buffer","B",IF(INDEX('PROJETO PERFURAÇÃO'!$P:$P,MATCH(MEDIÇÃO!R455,'PROJETO PERFURAÇÃO'!$B:$B,0))="Pre-Splitting","S"))),"")</f>
        <v>P</v>
      </c>
      <c r="R455" s="14">
        <f t="shared" si="44"/>
        <v>1029</v>
      </c>
      <c r="S455" s="4" t="str">
        <f>IFERROR(INDEX('LEV R&amp;D'!$D:$D,MATCH(MEDIÇÃO!R455,'LEV R&amp;D'!$A:$A,0))-INDEX('PROJETO PERFURAÇÃO'!$AH:$AH,MATCH(MEDIÇÃO!R455,'PROJETO PERFURAÇÃO'!$B:$B,0)),"")</f>
        <v/>
      </c>
      <c r="T455" s="8">
        <f>IFERROR(INDEX('PROJETO PERFURAÇÃO'!$AN:$AN,MATCH(MEDIÇÃO!R455,'PROJETO PERFURAÇÃO'!$B:$B,0)),"")</f>
        <v>0</v>
      </c>
      <c r="U455" s="3"/>
      <c r="V455" s="3"/>
    </row>
    <row r="456" spans="2:22" ht="45" customHeight="1" x14ac:dyDescent="0.25">
      <c r="B456" s="3" t="str">
        <f>IFERROR(ROUND(INDEX('PROJETO PERFURAÇÃO'!$AB:$AB,MATCH(MEDIÇÃO!D456,'PROJETO PERFURAÇÃO'!$B:$B,0)),1)&amp;"''","")</f>
        <v>5''</v>
      </c>
      <c r="C456" s="3" t="str">
        <f>IFERROR(IF(INDEX('PROJETO PERFURAÇÃO'!$P:$P,MATCH(MEDIÇÃO!D456,'PROJETO PERFURAÇÃO'!$B:$B,0))="Production","P",IF(INDEX('PROJETO PERFURAÇÃO'!$P:$P,MATCH(MEDIÇÃO!D456,'PROJETO PERFURAÇÃO'!$B:$B,0))="Buffer","B",IF(INDEX('PROJETO PERFURAÇÃO'!$P:$P,MATCH(MEDIÇÃO!D456,'PROJETO PERFURAÇÃO'!$B:$B,0))="Pre-Splitting","S"))),"")</f>
        <v>P</v>
      </c>
      <c r="D456" s="14">
        <f t="shared" si="42"/>
        <v>984</v>
      </c>
      <c r="E456" s="4" t="str">
        <f>IFERROR(INDEX('LEV R&amp;D'!$D:$D,MATCH(MEDIÇÃO!D456,'LEV R&amp;D'!$A:$A,0))-INDEX('PROJETO PERFURAÇÃO'!$AH:$AH,MATCH(MEDIÇÃO!D456,'PROJETO PERFURAÇÃO'!$B:$B,0)),"")</f>
        <v/>
      </c>
      <c r="F456" s="8">
        <f>IFERROR(INDEX('PROJETO PERFURAÇÃO'!$AN:$AN,MATCH(MEDIÇÃO!D456,'PROJETO PERFURAÇÃO'!$B:$B,0)),"")</f>
        <v>0</v>
      </c>
      <c r="G456" s="3"/>
      <c r="H456" s="3"/>
      <c r="I456" s="3" t="str">
        <f>IFERROR(ROUND(INDEX('PROJETO PERFURAÇÃO'!$AB:$AB,MATCH(MEDIÇÃO!K456,'PROJETO PERFURAÇÃO'!$B:$B,0)),1)&amp;"''","")</f>
        <v>5''</v>
      </c>
      <c r="J456" s="3" t="str">
        <f>IFERROR(IF(INDEX('PROJETO PERFURAÇÃO'!$P:$P,MATCH(MEDIÇÃO!K456,'PROJETO PERFURAÇÃO'!$B:$B,0))="Production","P",IF(INDEX('PROJETO PERFURAÇÃO'!$P:$P,MATCH(MEDIÇÃO!K456,'PROJETO PERFURAÇÃO'!$B:$B,0))="Buffer","B",IF(INDEX('PROJETO PERFURAÇÃO'!$P:$P,MATCH(MEDIÇÃO!K456,'PROJETO PERFURAÇÃO'!$B:$B,0))="Pre-Splitting","S"))),"")</f>
        <v>P</v>
      </c>
      <c r="K456" s="14">
        <f t="shared" si="43"/>
        <v>1007</v>
      </c>
      <c r="L456" s="4" t="str">
        <f>IFERROR(INDEX('LEV R&amp;D'!$D:$D,MATCH(MEDIÇÃO!K456,'LEV R&amp;D'!$A:$A,0))-INDEX('PROJETO PERFURAÇÃO'!$AH:$AH,MATCH(MEDIÇÃO!K456,'PROJETO PERFURAÇÃO'!$B:$B,0)),"")</f>
        <v/>
      </c>
      <c r="M456" s="8">
        <f>IFERROR(INDEX('PROJETO PERFURAÇÃO'!$AN:$AN,MATCH(MEDIÇÃO!K456,'PROJETO PERFURAÇÃO'!$B:$B,0)),"")</f>
        <v>0</v>
      </c>
      <c r="N456" s="3"/>
      <c r="O456" s="3"/>
      <c r="P456" s="3" t="str">
        <f>IFERROR(ROUND(INDEX('PROJETO PERFURAÇÃO'!$AB:$AB,MATCH(MEDIÇÃO!R456,'PROJETO PERFURAÇÃO'!$B:$B,0)),1)&amp;"''","")</f>
        <v>5''</v>
      </c>
      <c r="Q456" s="3" t="str">
        <f>IFERROR(IF(INDEX('PROJETO PERFURAÇÃO'!$P:$P,MATCH(MEDIÇÃO!R456,'PROJETO PERFURAÇÃO'!$B:$B,0))="Production","P",IF(INDEX('PROJETO PERFURAÇÃO'!$P:$P,MATCH(MEDIÇÃO!R456,'PROJETO PERFURAÇÃO'!$B:$B,0))="Buffer","B",IF(INDEX('PROJETO PERFURAÇÃO'!$P:$P,MATCH(MEDIÇÃO!R456,'PROJETO PERFURAÇÃO'!$B:$B,0))="Pre-Splitting","S"))),"")</f>
        <v>P</v>
      </c>
      <c r="R456" s="14">
        <f t="shared" si="44"/>
        <v>1030</v>
      </c>
      <c r="S456" s="4" t="str">
        <f>IFERROR(INDEX('LEV R&amp;D'!$D:$D,MATCH(MEDIÇÃO!R456,'LEV R&amp;D'!$A:$A,0))-INDEX('PROJETO PERFURAÇÃO'!$AH:$AH,MATCH(MEDIÇÃO!R456,'PROJETO PERFURAÇÃO'!$B:$B,0)),"")</f>
        <v/>
      </c>
      <c r="T456" s="8">
        <f>IFERROR(INDEX('PROJETO PERFURAÇÃO'!$AN:$AN,MATCH(MEDIÇÃO!R456,'PROJETO PERFURAÇÃO'!$B:$B,0)),"")</f>
        <v>0</v>
      </c>
      <c r="U456" s="3"/>
      <c r="V456" s="3"/>
    </row>
    <row r="457" spans="2:22" ht="45" customHeight="1" x14ac:dyDescent="0.25">
      <c r="B457" s="3" t="str">
        <f>IFERROR(ROUND(INDEX('PROJETO PERFURAÇÃO'!$AB:$AB,MATCH(MEDIÇÃO!D457,'PROJETO PERFURAÇÃO'!$B:$B,0)),1)&amp;"''","")</f>
        <v>5''</v>
      </c>
      <c r="C457" s="3" t="str">
        <f>IFERROR(IF(INDEX('PROJETO PERFURAÇÃO'!$P:$P,MATCH(MEDIÇÃO!D457,'PROJETO PERFURAÇÃO'!$B:$B,0))="Production","P",IF(INDEX('PROJETO PERFURAÇÃO'!$P:$P,MATCH(MEDIÇÃO!D457,'PROJETO PERFURAÇÃO'!$B:$B,0))="Buffer","B",IF(INDEX('PROJETO PERFURAÇÃO'!$P:$P,MATCH(MEDIÇÃO!D457,'PROJETO PERFURAÇÃO'!$B:$B,0))="Pre-Splitting","S"))),"")</f>
        <v>P</v>
      </c>
      <c r="D457" s="14">
        <f t="shared" si="42"/>
        <v>985</v>
      </c>
      <c r="E457" s="4" t="str">
        <f>IFERROR(INDEX('LEV R&amp;D'!$D:$D,MATCH(MEDIÇÃO!D457,'LEV R&amp;D'!$A:$A,0))-INDEX('PROJETO PERFURAÇÃO'!$AH:$AH,MATCH(MEDIÇÃO!D457,'PROJETO PERFURAÇÃO'!$B:$B,0)),"")</f>
        <v/>
      </c>
      <c r="F457" s="8">
        <f>IFERROR(INDEX('PROJETO PERFURAÇÃO'!$AN:$AN,MATCH(MEDIÇÃO!D457,'PROJETO PERFURAÇÃO'!$B:$B,0)),"")</f>
        <v>0</v>
      </c>
      <c r="G457" s="3"/>
      <c r="H457" s="3"/>
      <c r="I457" s="3" t="str">
        <f>IFERROR(ROUND(INDEX('PROJETO PERFURAÇÃO'!$AB:$AB,MATCH(MEDIÇÃO!K457,'PROJETO PERFURAÇÃO'!$B:$B,0)),1)&amp;"''","")</f>
        <v>5''</v>
      </c>
      <c r="J457" s="3" t="str">
        <f>IFERROR(IF(INDEX('PROJETO PERFURAÇÃO'!$P:$P,MATCH(MEDIÇÃO!K457,'PROJETO PERFURAÇÃO'!$B:$B,0))="Production","P",IF(INDEX('PROJETO PERFURAÇÃO'!$P:$P,MATCH(MEDIÇÃO!K457,'PROJETO PERFURAÇÃO'!$B:$B,0))="Buffer","B",IF(INDEX('PROJETO PERFURAÇÃO'!$P:$P,MATCH(MEDIÇÃO!K457,'PROJETO PERFURAÇÃO'!$B:$B,0))="Pre-Splitting","S"))),"")</f>
        <v>P</v>
      </c>
      <c r="K457" s="14">
        <f t="shared" si="43"/>
        <v>1008</v>
      </c>
      <c r="L457" s="4" t="str">
        <f>IFERROR(INDEX('LEV R&amp;D'!$D:$D,MATCH(MEDIÇÃO!K457,'LEV R&amp;D'!$A:$A,0))-INDEX('PROJETO PERFURAÇÃO'!$AH:$AH,MATCH(MEDIÇÃO!K457,'PROJETO PERFURAÇÃO'!$B:$B,0)),"")</f>
        <v/>
      </c>
      <c r="M457" s="8">
        <f>IFERROR(INDEX('PROJETO PERFURAÇÃO'!$AN:$AN,MATCH(MEDIÇÃO!K457,'PROJETO PERFURAÇÃO'!$B:$B,0)),"")</f>
        <v>0</v>
      </c>
      <c r="N457" s="3"/>
      <c r="O457" s="3"/>
      <c r="P457" s="3" t="str">
        <f>IFERROR(ROUND(INDEX('PROJETO PERFURAÇÃO'!$AB:$AB,MATCH(MEDIÇÃO!R457,'PROJETO PERFURAÇÃO'!$B:$B,0)),1)&amp;"''","")</f>
        <v>5''</v>
      </c>
      <c r="Q457" s="3" t="str">
        <f>IFERROR(IF(INDEX('PROJETO PERFURAÇÃO'!$P:$P,MATCH(MEDIÇÃO!R457,'PROJETO PERFURAÇÃO'!$B:$B,0))="Production","P",IF(INDEX('PROJETO PERFURAÇÃO'!$P:$P,MATCH(MEDIÇÃO!R457,'PROJETO PERFURAÇÃO'!$B:$B,0))="Buffer","B",IF(INDEX('PROJETO PERFURAÇÃO'!$P:$P,MATCH(MEDIÇÃO!R457,'PROJETO PERFURAÇÃO'!$B:$B,0))="Pre-Splitting","S"))),"")</f>
        <v>P</v>
      </c>
      <c r="R457" s="14">
        <f t="shared" si="44"/>
        <v>1031</v>
      </c>
      <c r="S457" s="4" t="str">
        <f>IFERROR(INDEX('LEV R&amp;D'!$D:$D,MATCH(MEDIÇÃO!R457,'LEV R&amp;D'!$A:$A,0))-INDEX('PROJETO PERFURAÇÃO'!$AH:$AH,MATCH(MEDIÇÃO!R457,'PROJETO PERFURAÇÃO'!$B:$B,0)),"")</f>
        <v/>
      </c>
      <c r="T457" s="8">
        <f>IFERROR(INDEX('PROJETO PERFURAÇÃO'!$AN:$AN,MATCH(MEDIÇÃO!R457,'PROJETO PERFURAÇÃO'!$B:$B,0)),"")</f>
        <v>0</v>
      </c>
      <c r="U457" s="3"/>
      <c r="V457" s="3"/>
    </row>
    <row r="458" spans="2:22" ht="45" customHeight="1" x14ac:dyDescent="0.25">
      <c r="B458" s="3" t="str">
        <f>IFERROR(ROUND(INDEX('PROJETO PERFURAÇÃO'!$AB:$AB,MATCH(MEDIÇÃO!D458,'PROJETO PERFURAÇÃO'!$B:$B,0)),1)&amp;"''","")</f>
        <v>5''</v>
      </c>
      <c r="C458" s="3" t="str">
        <f>IFERROR(IF(INDEX('PROJETO PERFURAÇÃO'!$P:$P,MATCH(MEDIÇÃO!D458,'PROJETO PERFURAÇÃO'!$B:$B,0))="Production","P",IF(INDEX('PROJETO PERFURAÇÃO'!$P:$P,MATCH(MEDIÇÃO!D458,'PROJETO PERFURAÇÃO'!$B:$B,0))="Buffer","B",IF(INDEX('PROJETO PERFURAÇÃO'!$P:$P,MATCH(MEDIÇÃO!D458,'PROJETO PERFURAÇÃO'!$B:$B,0))="Pre-Splitting","S"))),"")</f>
        <v>P</v>
      </c>
      <c r="D458" s="14">
        <f t="shared" si="42"/>
        <v>986</v>
      </c>
      <c r="E458" s="4" t="str">
        <f>IFERROR(INDEX('LEV R&amp;D'!$D:$D,MATCH(MEDIÇÃO!D458,'LEV R&amp;D'!$A:$A,0))-INDEX('PROJETO PERFURAÇÃO'!$AH:$AH,MATCH(MEDIÇÃO!D458,'PROJETO PERFURAÇÃO'!$B:$B,0)),"")</f>
        <v/>
      </c>
      <c r="F458" s="8">
        <f>IFERROR(INDEX('PROJETO PERFURAÇÃO'!$AN:$AN,MATCH(MEDIÇÃO!D458,'PROJETO PERFURAÇÃO'!$B:$B,0)),"")</f>
        <v>0</v>
      </c>
      <c r="G458" s="3"/>
      <c r="H458" s="3"/>
      <c r="I458" s="3" t="str">
        <f>IFERROR(ROUND(INDEX('PROJETO PERFURAÇÃO'!$AB:$AB,MATCH(MEDIÇÃO!K458,'PROJETO PERFURAÇÃO'!$B:$B,0)),1)&amp;"''","")</f>
        <v>5''</v>
      </c>
      <c r="J458" s="3" t="str">
        <f>IFERROR(IF(INDEX('PROJETO PERFURAÇÃO'!$P:$P,MATCH(MEDIÇÃO!K458,'PROJETO PERFURAÇÃO'!$B:$B,0))="Production","P",IF(INDEX('PROJETO PERFURAÇÃO'!$P:$P,MATCH(MEDIÇÃO!K458,'PROJETO PERFURAÇÃO'!$B:$B,0))="Buffer","B",IF(INDEX('PROJETO PERFURAÇÃO'!$P:$P,MATCH(MEDIÇÃO!K458,'PROJETO PERFURAÇÃO'!$B:$B,0))="Pre-Splitting","S"))),"")</f>
        <v>P</v>
      </c>
      <c r="K458" s="14">
        <f t="shared" si="43"/>
        <v>1009</v>
      </c>
      <c r="L458" s="4" t="str">
        <f>IFERROR(INDEX('LEV R&amp;D'!$D:$D,MATCH(MEDIÇÃO!K458,'LEV R&amp;D'!$A:$A,0))-INDEX('PROJETO PERFURAÇÃO'!$AH:$AH,MATCH(MEDIÇÃO!K458,'PROJETO PERFURAÇÃO'!$B:$B,0)),"")</f>
        <v/>
      </c>
      <c r="M458" s="8">
        <f>IFERROR(INDEX('PROJETO PERFURAÇÃO'!$AN:$AN,MATCH(MEDIÇÃO!K458,'PROJETO PERFURAÇÃO'!$B:$B,0)),"")</f>
        <v>0</v>
      </c>
      <c r="N458" s="3"/>
      <c r="O458" s="3"/>
      <c r="P458" s="3" t="str">
        <f>IFERROR(ROUND(INDEX('PROJETO PERFURAÇÃO'!$AB:$AB,MATCH(MEDIÇÃO!R458,'PROJETO PERFURAÇÃO'!$B:$B,0)),1)&amp;"''","")</f>
        <v>5''</v>
      </c>
      <c r="Q458" s="3" t="str">
        <f>IFERROR(IF(INDEX('PROJETO PERFURAÇÃO'!$P:$P,MATCH(MEDIÇÃO!R458,'PROJETO PERFURAÇÃO'!$B:$B,0))="Production","P",IF(INDEX('PROJETO PERFURAÇÃO'!$P:$P,MATCH(MEDIÇÃO!R458,'PROJETO PERFURAÇÃO'!$B:$B,0))="Buffer","B",IF(INDEX('PROJETO PERFURAÇÃO'!$P:$P,MATCH(MEDIÇÃO!R458,'PROJETO PERFURAÇÃO'!$B:$B,0))="Pre-Splitting","S"))),"")</f>
        <v>P</v>
      </c>
      <c r="R458" s="14">
        <f t="shared" si="44"/>
        <v>1032</v>
      </c>
      <c r="S458" s="4" t="str">
        <f>IFERROR(INDEX('LEV R&amp;D'!$D:$D,MATCH(MEDIÇÃO!R458,'LEV R&amp;D'!$A:$A,0))-INDEX('PROJETO PERFURAÇÃO'!$AH:$AH,MATCH(MEDIÇÃO!R458,'PROJETO PERFURAÇÃO'!$B:$B,0)),"")</f>
        <v/>
      </c>
      <c r="T458" s="8">
        <f>IFERROR(INDEX('PROJETO PERFURAÇÃO'!$AN:$AN,MATCH(MEDIÇÃO!R458,'PROJETO PERFURAÇÃO'!$B:$B,0)),"")</f>
        <v>0</v>
      </c>
      <c r="U458" s="3"/>
      <c r="V458" s="3"/>
    </row>
    <row r="459" spans="2:22" ht="45" customHeight="1" x14ac:dyDescent="0.25">
      <c r="B459" s="3" t="str">
        <f>IFERROR(ROUND(INDEX('PROJETO PERFURAÇÃO'!$AB:$AB,MATCH(MEDIÇÃO!D459,'PROJETO PERFURAÇÃO'!$B:$B,0)),1)&amp;"''","")</f>
        <v>5''</v>
      </c>
      <c r="C459" s="3" t="str">
        <f>IFERROR(IF(INDEX('PROJETO PERFURAÇÃO'!$P:$P,MATCH(MEDIÇÃO!D459,'PROJETO PERFURAÇÃO'!$B:$B,0))="Production","P",IF(INDEX('PROJETO PERFURAÇÃO'!$P:$P,MATCH(MEDIÇÃO!D459,'PROJETO PERFURAÇÃO'!$B:$B,0))="Buffer","B",IF(INDEX('PROJETO PERFURAÇÃO'!$P:$P,MATCH(MEDIÇÃO!D459,'PROJETO PERFURAÇÃO'!$B:$B,0))="Pre-Splitting","S"))),"")</f>
        <v>P</v>
      </c>
      <c r="D459" s="14">
        <f t="shared" si="42"/>
        <v>987</v>
      </c>
      <c r="E459" s="4" t="str">
        <f>IFERROR(INDEX('LEV R&amp;D'!$D:$D,MATCH(MEDIÇÃO!D459,'LEV R&amp;D'!$A:$A,0))-INDEX('PROJETO PERFURAÇÃO'!$AH:$AH,MATCH(MEDIÇÃO!D459,'PROJETO PERFURAÇÃO'!$B:$B,0)),"")</f>
        <v/>
      </c>
      <c r="F459" s="8">
        <f>IFERROR(INDEX('PROJETO PERFURAÇÃO'!$AN:$AN,MATCH(MEDIÇÃO!D459,'PROJETO PERFURAÇÃO'!$B:$B,0)),"")</f>
        <v>0</v>
      </c>
      <c r="G459" s="3"/>
      <c r="H459" s="3"/>
      <c r="I459" s="3" t="str">
        <f>IFERROR(ROUND(INDEX('PROJETO PERFURAÇÃO'!$AB:$AB,MATCH(MEDIÇÃO!K459,'PROJETO PERFURAÇÃO'!$B:$B,0)),1)&amp;"''","")</f>
        <v>5''</v>
      </c>
      <c r="J459" s="3" t="str">
        <f>IFERROR(IF(INDEX('PROJETO PERFURAÇÃO'!$P:$P,MATCH(MEDIÇÃO!K459,'PROJETO PERFURAÇÃO'!$B:$B,0))="Production","P",IF(INDEX('PROJETO PERFURAÇÃO'!$P:$P,MATCH(MEDIÇÃO!K459,'PROJETO PERFURAÇÃO'!$B:$B,0))="Buffer","B",IF(INDEX('PROJETO PERFURAÇÃO'!$P:$P,MATCH(MEDIÇÃO!K459,'PROJETO PERFURAÇÃO'!$B:$B,0))="Pre-Splitting","S"))),"")</f>
        <v>P</v>
      </c>
      <c r="K459" s="14">
        <f t="shared" si="43"/>
        <v>1010</v>
      </c>
      <c r="L459" s="4" t="str">
        <f>IFERROR(INDEX('LEV R&amp;D'!$D:$D,MATCH(MEDIÇÃO!K459,'LEV R&amp;D'!$A:$A,0))-INDEX('PROJETO PERFURAÇÃO'!$AH:$AH,MATCH(MEDIÇÃO!K459,'PROJETO PERFURAÇÃO'!$B:$B,0)),"")</f>
        <v/>
      </c>
      <c r="M459" s="8">
        <f>IFERROR(INDEX('PROJETO PERFURAÇÃO'!$AN:$AN,MATCH(MEDIÇÃO!K459,'PROJETO PERFURAÇÃO'!$B:$B,0)),"")</f>
        <v>0</v>
      </c>
      <c r="N459" s="3"/>
      <c r="O459" s="3"/>
      <c r="P459" s="3" t="str">
        <f>IFERROR(ROUND(INDEX('PROJETO PERFURAÇÃO'!$AB:$AB,MATCH(MEDIÇÃO!R459,'PROJETO PERFURAÇÃO'!$B:$B,0)),1)&amp;"''","")</f>
        <v>5''</v>
      </c>
      <c r="Q459" s="3" t="str">
        <f>IFERROR(IF(INDEX('PROJETO PERFURAÇÃO'!$P:$P,MATCH(MEDIÇÃO!R459,'PROJETO PERFURAÇÃO'!$B:$B,0))="Production","P",IF(INDEX('PROJETO PERFURAÇÃO'!$P:$P,MATCH(MEDIÇÃO!R459,'PROJETO PERFURAÇÃO'!$B:$B,0))="Buffer","B",IF(INDEX('PROJETO PERFURAÇÃO'!$P:$P,MATCH(MEDIÇÃO!R459,'PROJETO PERFURAÇÃO'!$B:$B,0))="Pre-Splitting","S"))),"")</f>
        <v>P</v>
      </c>
      <c r="R459" s="14">
        <f t="shared" si="44"/>
        <v>1033</v>
      </c>
      <c r="S459" s="4" t="str">
        <f>IFERROR(INDEX('LEV R&amp;D'!$D:$D,MATCH(MEDIÇÃO!R459,'LEV R&amp;D'!$A:$A,0))-INDEX('PROJETO PERFURAÇÃO'!$AH:$AH,MATCH(MEDIÇÃO!R459,'PROJETO PERFURAÇÃO'!$B:$B,0)),"")</f>
        <v/>
      </c>
      <c r="T459" s="8">
        <f>IFERROR(INDEX('PROJETO PERFURAÇÃO'!$AN:$AN,MATCH(MEDIÇÃO!R459,'PROJETO PERFURAÇÃO'!$B:$B,0)),"")</f>
        <v>0</v>
      </c>
      <c r="U459" s="3"/>
      <c r="V459" s="3"/>
    </row>
    <row r="460" spans="2:22" ht="45" customHeight="1" x14ac:dyDescent="0.25">
      <c r="B460" s="3" t="str">
        <f>IFERROR(ROUND(INDEX('PROJETO PERFURAÇÃO'!$AB:$AB,MATCH(MEDIÇÃO!D460,'PROJETO PERFURAÇÃO'!$B:$B,0)),1)&amp;"''","")</f>
        <v>5''</v>
      </c>
      <c r="C460" s="3" t="str">
        <f>IFERROR(IF(INDEX('PROJETO PERFURAÇÃO'!$P:$P,MATCH(MEDIÇÃO!D460,'PROJETO PERFURAÇÃO'!$B:$B,0))="Production","P",IF(INDEX('PROJETO PERFURAÇÃO'!$P:$P,MATCH(MEDIÇÃO!D460,'PROJETO PERFURAÇÃO'!$B:$B,0))="Buffer","B",IF(INDEX('PROJETO PERFURAÇÃO'!$P:$P,MATCH(MEDIÇÃO!D460,'PROJETO PERFURAÇÃO'!$B:$B,0))="Pre-Splitting","S"))),"")</f>
        <v>P</v>
      </c>
      <c r="D460" s="14">
        <f t="shared" si="42"/>
        <v>988</v>
      </c>
      <c r="E460" s="4" t="str">
        <f>IFERROR(INDEX('LEV R&amp;D'!$D:$D,MATCH(MEDIÇÃO!D460,'LEV R&amp;D'!$A:$A,0))-INDEX('PROJETO PERFURAÇÃO'!$AH:$AH,MATCH(MEDIÇÃO!D460,'PROJETO PERFURAÇÃO'!$B:$B,0)),"")</f>
        <v/>
      </c>
      <c r="F460" s="8">
        <f>IFERROR(INDEX('PROJETO PERFURAÇÃO'!$AN:$AN,MATCH(MEDIÇÃO!D460,'PROJETO PERFURAÇÃO'!$B:$B,0)),"")</f>
        <v>0</v>
      </c>
      <c r="G460" s="3"/>
      <c r="H460" s="3"/>
      <c r="I460" s="3" t="str">
        <f>IFERROR(ROUND(INDEX('PROJETO PERFURAÇÃO'!$AB:$AB,MATCH(MEDIÇÃO!K460,'PROJETO PERFURAÇÃO'!$B:$B,0)),1)&amp;"''","")</f>
        <v>5''</v>
      </c>
      <c r="J460" s="3" t="str">
        <f>IFERROR(IF(INDEX('PROJETO PERFURAÇÃO'!$P:$P,MATCH(MEDIÇÃO!K460,'PROJETO PERFURAÇÃO'!$B:$B,0))="Production","P",IF(INDEX('PROJETO PERFURAÇÃO'!$P:$P,MATCH(MEDIÇÃO!K460,'PROJETO PERFURAÇÃO'!$B:$B,0))="Buffer","B",IF(INDEX('PROJETO PERFURAÇÃO'!$P:$P,MATCH(MEDIÇÃO!K460,'PROJETO PERFURAÇÃO'!$B:$B,0))="Pre-Splitting","S"))),"")</f>
        <v>P</v>
      </c>
      <c r="K460" s="14">
        <f t="shared" si="43"/>
        <v>1011</v>
      </c>
      <c r="L460" s="4" t="str">
        <f>IFERROR(INDEX('LEV R&amp;D'!$D:$D,MATCH(MEDIÇÃO!K460,'LEV R&amp;D'!$A:$A,0))-INDEX('PROJETO PERFURAÇÃO'!$AH:$AH,MATCH(MEDIÇÃO!K460,'PROJETO PERFURAÇÃO'!$B:$B,0)),"")</f>
        <v/>
      </c>
      <c r="M460" s="8">
        <f>IFERROR(INDEX('PROJETO PERFURAÇÃO'!$AN:$AN,MATCH(MEDIÇÃO!K460,'PROJETO PERFURAÇÃO'!$B:$B,0)),"")</f>
        <v>0</v>
      </c>
      <c r="N460" s="3"/>
      <c r="O460" s="3"/>
      <c r="P460" s="3" t="str">
        <f>IFERROR(ROUND(INDEX('PROJETO PERFURAÇÃO'!$AB:$AB,MATCH(MEDIÇÃO!R460,'PROJETO PERFURAÇÃO'!$B:$B,0)),1)&amp;"''","")</f>
        <v>5''</v>
      </c>
      <c r="Q460" s="3" t="str">
        <f>IFERROR(IF(INDEX('PROJETO PERFURAÇÃO'!$P:$P,MATCH(MEDIÇÃO!R460,'PROJETO PERFURAÇÃO'!$B:$B,0))="Production","P",IF(INDEX('PROJETO PERFURAÇÃO'!$P:$P,MATCH(MEDIÇÃO!R460,'PROJETO PERFURAÇÃO'!$B:$B,0))="Buffer","B",IF(INDEX('PROJETO PERFURAÇÃO'!$P:$P,MATCH(MEDIÇÃO!R460,'PROJETO PERFURAÇÃO'!$B:$B,0))="Pre-Splitting","S"))),"")</f>
        <v>P</v>
      </c>
      <c r="R460" s="14">
        <f t="shared" si="44"/>
        <v>1034</v>
      </c>
      <c r="S460" s="4" t="str">
        <f>IFERROR(INDEX('LEV R&amp;D'!$D:$D,MATCH(MEDIÇÃO!R460,'LEV R&amp;D'!$A:$A,0))-INDEX('PROJETO PERFURAÇÃO'!$AH:$AH,MATCH(MEDIÇÃO!R460,'PROJETO PERFURAÇÃO'!$B:$B,0)),"")</f>
        <v/>
      </c>
      <c r="T460" s="8">
        <f>IFERROR(INDEX('PROJETO PERFURAÇÃO'!$AN:$AN,MATCH(MEDIÇÃO!R460,'PROJETO PERFURAÇÃO'!$B:$B,0)),"")</f>
        <v>0</v>
      </c>
      <c r="U460" s="3"/>
      <c r="V460" s="3"/>
    </row>
    <row r="461" spans="2:22" ht="45" customHeight="1" x14ac:dyDescent="0.25">
      <c r="B461" s="3" t="str">
        <f>IFERROR(ROUND(INDEX('PROJETO PERFURAÇÃO'!$AB:$AB,MATCH(MEDIÇÃO!D461,'PROJETO PERFURAÇÃO'!$B:$B,0)),1)&amp;"''","")</f>
        <v>5''</v>
      </c>
      <c r="C461" s="3" t="str">
        <f>IFERROR(IF(INDEX('PROJETO PERFURAÇÃO'!$P:$P,MATCH(MEDIÇÃO!D461,'PROJETO PERFURAÇÃO'!$B:$B,0))="Production","P",IF(INDEX('PROJETO PERFURAÇÃO'!$P:$P,MATCH(MEDIÇÃO!D461,'PROJETO PERFURAÇÃO'!$B:$B,0))="Buffer","B",IF(INDEX('PROJETO PERFURAÇÃO'!$P:$P,MATCH(MEDIÇÃO!D461,'PROJETO PERFURAÇÃO'!$B:$B,0))="Pre-Splitting","S"))),"")</f>
        <v>P</v>
      </c>
      <c r="D461" s="14">
        <f>D460+1</f>
        <v>989</v>
      </c>
      <c r="E461" s="4" t="str">
        <f>IFERROR(INDEX('LEV R&amp;D'!$D:$D,MATCH(MEDIÇÃO!D461,'LEV R&amp;D'!$A:$A,0))-INDEX('PROJETO PERFURAÇÃO'!$AH:$AH,MATCH(MEDIÇÃO!D461,'PROJETO PERFURAÇÃO'!$B:$B,0)),"")</f>
        <v/>
      </c>
      <c r="F461" s="8">
        <f>IFERROR(INDEX('PROJETO PERFURAÇÃO'!$AN:$AN,MATCH(MEDIÇÃO!D461,'PROJETO PERFURAÇÃO'!$B:$B,0)),"")</f>
        <v>0</v>
      </c>
      <c r="G461" s="3"/>
      <c r="H461" s="3"/>
      <c r="I461" s="3" t="str">
        <f>IFERROR(ROUND(INDEX('PROJETO PERFURAÇÃO'!$AB:$AB,MATCH(MEDIÇÃO!K461,'PROJETO PERFURAÇÃO'!$B:$B,0)),1)&amp;"''","")</f>
        <v>5''</v>
      </c>
      <c r="J461" s="3" t="str">
        <f>IFERROR(IF(INDEX('PROJETO PERFURAÇÃO'!$P:$P,MATCH(MEDIÇÃO!K461,'PROJETO PERFURAÇÃO'!$B:$B,0))="Production","P",IF(INDEX('PROJETO PERFURAÇÃO'!$P:$P,MATCH(MEDIÇÃO!K461,'PROJETO PERFURAÇÃO'!$B:$B,0))="Buffer","B",IF(INDEX('PROJETO PERFURAÇÃO'!$P:$P,MATCH(MEDIÇÃO!K461,'PROJETO PERFURAÇÃO'!$B:$B,0))="Pre-Splitting","S"))),"")</f>
        <v>P</v>
      </c>
      <c r="K461" s="14">
        <f>K460+1</f>
        <v>1012</v>
      </c>
      <c r="L461" s="4" t="str">
        <f>IFERROR(INDEX('LEV R&amp;D'!$D:$D,MATCH(MEDIÇÃO!K461,'LEV R&amp;D'!$A:$A,0))-INDEX('PROJETO PERFURAÇÃO'!$AH:$AH,MATCH(MEDIÇÃO!K461,'PROJETO PERFURAÇÃO'!$B:$B,0)),"")</f>
        <v/>
      </c>
      <c r="M461" s="8">
        <f>IFERROR(INDEX('PROJETO PERFURAÇÃO'!$AN:$AN,MATCH(MEDIÇÃO!K461,'PROJETO PERFURAÇÃO'!$B:$B,0)),"")</f>
        <v>0</v>
      </c>
      <c r="N461" s="3"/>
      <c r="O461" s="3"/>
      <c r="P461" s="3" t="str">
        <f>IFERROR(ROUND(INDEX('PROJETO PERFURAÇÃO'!$AB:$AB,MATCH(MEDIÇÃO!R461,'PROJETO PERFURAÇÃO'!$B:$B,0)),1)&amp;"''","")</f>
        <v>5''</v>
      </c>
      <c r="Q461" s="3" t="str">
        <f>IFERROR(IF(INDEX('PROJETO PERFURAÇÃO'!$P:$P,MATCH(MEDIÇÃO!R461,'PROJETO PERFURAÇÃO'!$B:$B,0))="Production","P",IF(INDEX('PROJETO PERFURAÇÃO'!$P:$P,MATCH(MEDIÇÃO!R461,'PROJETO PERFURAÇÃO'!$B:$B,0))="Buffer","B",IF(INDEX('PROJETO PERFURAÇÃO'!$P:$P,MATCH(MEDIÇÃO!R461,'PROJETO PERFURAÇÃO'!$B:$B,0))="Pre-Splitting","S"))),"")</f>
        <v>P</v>
      </c>
      <c r="R461" s="14">
        <f>R460+1</f>
        <v>1035</v>
      </c>
      <c r="S461" s="4" t="str">
        <f>IFERROR(INDEX('LEV R&amp;D'!$D:$D,MATCH(MEDIÇÃO!R461,'LEV R&amp;D'!$A:$A,0))-INDEX('PROJETO PERFURAÇÃO'!$AH:$AH,MATCH(MEDIÇÃO!R461,'PROJETO PERFURAÇÃO'!$B:$B,0)),"")</f>
        <v/>
      </c>
      <c r="T461" s="8">
        <f>IFERROR(INDEX('PROJETO PERFURAÇÃO'!$AN:$AN,MATCH(MEDIÇÃO!R461,'PROJETO PERFURAÇÃO'!$B:$B,0)),"")</f>
        <v>0</v>
      </c>
      <c r="U461" s="3"/>
      <c r="V461" s="3"/>
    </row>
    <row r="462" spans="2:22" ht="30" customHeight="1" x14ac:dyDescent="0.25">
      <c r="B462" s="1"/>
      <c r="C462" s="1"/>
      <c r="D462" s="15"/>
      <c r="E462" s="2"/>
      <c r="F462" s="16"/>
      <c r="G462" s="1"/>
      <c r="H462" s="1"/>
      <c r="I462" s="1"/>
      <c r="J462" s="1"/>
      <c r="K462" s="15"/>
      <c r="L462" s="2"/>
      <c r="M462" s="16"/>
      <c r="N462" s="1"/>
      <c r="O462" s="1"/>
      <c r="P462" s="1"/>
      <c r="Q462" s="1"/>
      <c r="R462" s="15"/>
      <c r="S462" s="2"/>
      <c r="T462" s="16"/>
      <c r="U462" s="1"/>
      <c r="V462" s="1"/>
    </row>
    <row r="463" spans="2:22" ht="30" customHeight="1" x14ac:dyDescent="0.25">
      <c r="C463" s="20"/>
      <c r="D463" s="20"/>
      <c r="E463" s="20"/>
      <c r="F463" s="20"/>
      <c r="G463" s="20"/>
      <c r="H463" s="20"/>
      <c r="I463" s="20"/>
      <c r="J463" s="20"/>
      <c r="K463" s="20"/>
      <c r="M463" s="20"/>
      <c r="N463" s="20"/>
      <c r="O463" s="20"/>
      <c r="P463" s="20"/>
      <c r="Q463" s="20"/>
      <c r="R463" s="20"/>
      <c r="S463" s="20"/>
      <c r="T463" s="20"/>
      <c r="U463" s="20"/>
    </row>
    <row r="464" spans="2:22" ht="30" customHeight="1" x14ac:dyDescent="0.25">
      <c r="C464" s="21" t="s">
        <v>40</v>
      </c>
      <c r="D464" s="21"/>
      <c r="E464" s="21"/>
      <c r="F464" s="21"/>
      <c r="G464" s="21"/>
      <c r="H464" s="21"/>
      <c r="I464" s="21"/>
      <c r="J464" s="21"/>
      <c r="K464" s="21"/>
      <c r="L464" s="9"/>
      <c r="M464" s="21" t="s">
        <v>40</v>
      </c>
      <c r="N464" s="21"/>
      <c r="O464" s="21"/>
      <c r="P464" s="21"/>
      <c r="Q464" s="21"/>
      <c r="R464" s="21"/>
      <c r="S464" s="21"/>
      <c r="T464" s="21"/>
      <c r="U464" s="21"/>
      <c r="V464" s="9"/>
    </row>
    <row r="465" spans="1:23" ht="30" customHeight="1" x14ac:dyDescent="0.25">
      <c r="D465" s="9"/>
      <c r="E465" s="9"/>
      <c r="F465" s="9"/>
      <c r="G465" s="9"/>
      <c r="H465" s="9"/>
      <c r="I465" s="9"/>
      <c r="J465" s="9"/>
      <c r="K465" s="9"/>
      <c r="L465" s="9"/>
      <c r="M465" s="9"/>
      <c r="N465" s="9"/>
      <c r="Q465" s="9"/>
      <c r="R465" s="9"/>
      <c r="S465" s="9"/>
      <c r="T465" s="9"/>
      <c r="U465" s="9"/>
      <c r="V465" s="9"/>
    </row>
    <row r="466" spans="1:23" ht="30" customHeight="1" x14ac:dyDescent="0.25">
      <c r="B466" s="19" t="str">
        <f>'PROJETO PERFURAÇÃO'!$C$2&amp;" - "&amp;'PROJETO PERFURAÇÃO'!$H$2</f>
        <v>LIB065 - PP0651026</v>
      </c>
      <c r="C466" s="19"/>
      <c r="D466" s="19"/>
      <c r="E466" s="19"/>
      <c r="F466" s="19"/>
      <c r="G466" s="19"/>
      <c r="H466" s="19"/>
      <c r="I466" s="11" t="s">
        <v>34</v>
      </c>
      <c r="J466" s="10" t="s">
        <v>37</v>
      </c>
    </row>
    <row r="467" spans="1:23" ht="30" customHeight="1" x14ac:dyDescent="0.25">
      <c r="B467" s="19"/>
      <c r="C467" s="19"/>
      <c r="D467" s="19"/>
      <c r="E467" s="19"/>
      <c r="F467" s="19"/>
      <c r="G467" s="19"/>
      <c r="H467" s="19"/>
      <c r="I467" s="12" t="s">
        <v>35</v>
      </c>
      <c r="J467" s="10" t="s">
        <v>38</v>
      </c>
      <c r="K467" s="9"/>
      <c r="L467" s="9"/>
      <c r="M467" s="9"/>
      <c r="N467" s="9"/>
      <c r="O467" s="9"/>
      <c r="P467" s="9"/>
      <c r="Q467" s="9"/>
      <c r="R467" s="9"/>
      <c r="S467" s="9"/>
      <c r="T467" s="9"/>
      <c r="U467" s="9"/>
      <c r="V467" s="9"/>
    </row>
    <row r="468" spans="1:23" ht="30" customHeight="1" x14ac:dyDescent="0.25">
      <c r="B468" s="19"/>
      <c r="C468" s="19"/>
      <c r="D468" s="19"/>
      <c r="E468" s="19"/>
      <c r="F468" s="19"/>
      <c r="G468" s="19"/>
      <c r="H468" s="19"/>
      <c r="I468" s="13" t="s">
        <v>36</v>
      </c>
      <c r="J468" s="10" t="s">
        <v>39</v>
      </c>
    </row>
    <row r="469" spans="1:23" ht="30" customHeight="1" x14ac:dyDescent="0.25">
      <c r="A469" s="1"/>
      <c r="B469" s="6" t="s">
        <v>33</v>
      </c>
      <c r="C469" s="6" t="s">
        <v>13</v>
      </c>
      <c r="D469" s="7" t="s">
        <v>1</v>
      </c>
      <c r="E469" s="7" t="s">
        <v>29</v>
      </c>
      <c r="F469" s="7" t="s">
        <v>30</v>
      </c>
      <c r="G469" s="7" t="s">
        <v>31</v>
      </c>
      <c r="H469" s="7" t="s">
        <v>32</v>
      </c>
      <c r="I469" s="6" t="s">
        <v>33</v>
      </c>
      <c r="J469" s="6" t="s">
        <v>13</v>
      </c>
      <c r="K469" s="7" t="s">
        <v>1</v>
      </c>
      <c r="L469" s="7" t="s">
        <v>29</v>
      </c>
      <c r="M469" s="7" t="s">
        <v>30</v>
      </c>
      <c r="N469" s="7" t="s">
        <v>31</v>
      </c>
      <c r="O469" s="7" t="s">
        <v>32</v>
      </c>
      <c r="P469" s="6" t="s">
        <v>33</v>
      </c>
      <c r="Q469" s="6" t="s">
        <v>13</v>
      </c>
      <c r="R469" s="7" t="s">
        <v>1</v>
      </c>
      <c r="S469" s="7" t="s">
        <v>29</v>
      </c>
      <c r="T469" s="7" t="s">
        <v>30</v>
      </c>
      <c r="U469" s="7" t="s">
        <v>31</v>
      </c>
      <c r="V469" s="7" t="s">
        <v>32</v>
      </c>
      <c r="W469" s="1"/>
    </row>
    <row r="470" spans="1:23" ht="45" customHeight="1" x14ac:dyDescent="0.25">
      <c r="B470" s="3" t="str">
        <f>IFERROR(ROUND(INDEX('PROJETO PERFURAÇÃO'!$AB:$AB,MATCH(MEDIÇÃO!D470,'PROJETO PERFURAÇÃO'!$B:$B,0)),1)&amp;"''","")</f>
        <v>5''</v>
      </c>
      <c r="C470" s="3" t="str">
        <f>IFERROR(IF(INDEX('PROJETO PERFURAÇÃO'!$P:$P,MATCH(MEDIÇÃO!D470,'PROJETO PERFURAÇÃO'!$B:$B,0))="Production","P",IF(INDEX('PROJETO PERFURAÇÃO'!$P:$P,MATCH(MEDIÇÃO!D470,'PROJETO PERFURAÇÃO'!$B:$B,0))="Buffer","B",IF(INDEX('PROJETO PERFURAÇÃO'!$P:$P,MATCH(MEDIÇÃO!D470,'PROJETO PERFURAÇÃO'!$B:$B,0))="Pre-Splitting","S"))),"")</f>
        <v>P</v>
      </c>
      <c r="D470" s="14">
        <f>R461+1</f>
        <v>1036</v>
      </c>
      <c r="E470" s="4" t="str">
        <f>IFERROR(INDEX('LEV R&amp;D'!$D:$D,MATCH(MEDIÇÃO!D470,'LEV R&amp;D'!$A:$A,0))-INDEX('PROJETO PERFURAÇÃO'!$AH:$AH,MATCH(MEDIÇÃO!D470,'PROJETO PERFURAÇÃO'!$B:$B,0)),"")</f>
        <v/>
      </c>
      <c r="F470" s="8">
        <f>IFERROR(INDEX('PROJETO PERFURAÇÃO'!$AN:$AN,MATCH(MEDIÇÃO!D470,'PROJETO PERFURAÇÃO'!$B:$B,0)),"")</f>
        <v>0</v>
      </c>
      <c r="G470" s="3"/>
      <c r="H470" s="3"/>
      <c r="I470" s="3" t="str">
        <f>IFERROR(ROUND(INDEX('PROJETO PERFURAÇÃO'!$AB:$AB,MATCH(MEDIÇÃO!K470,'PROJETO PERFURAÇÃO'!$B:$B,0)),1)&amp;"''","")</f>
        <v>5''</v>
      </c>
      <c r="J470" s="3" t="str">
        <f>IFERROR(IF(INDEX('PROJETO PERFURAÇÃO'!$P:$P,MATCH(MEDIÇÃO!K470,'PROJETO PERFURAÇÃO'!$B:$B,0))="Production","P",IF(INDEX('PROJETO PERFURAÇÃO'!$P:$P,MATCH(MEDIÇÃO!K470,'PROJETO PERFURAÇÃO'!$B:$B,0))="Buffer","B",IF(INDEX('PROJETO PERFURAÇÃO'!$P:$P,MATCH(MEDIÇÃO!K470,'PROJETO PERFURAÇÃO'!$B:$B,0))="Pre-Splitting","S"))),"")</f>
        <v>P</v>
      </c>
      <c r="K470" s="14">
        <f>D492+1</f>
        <v>1059</v>
      </c>
      <c r="L470" s="4" t="str">
        <f>IFERROR(INDEX('LEV R&amp;D'!$D:$D,MATCH(MEDIÇÃO!K470,'LEV R&amp;D'!$A:$A,0))-INDEX('PROJETO PERFURAÇÃO'!$AH:$AH,MATCH(MEDIÇÃO!K470,'PROJETO PERFURAÇÃO'!$B:$B,0)),"")</f>
        <v/>
      </c>
      <c r="M470" s="8">
        <f>IFERROR(INDEX('PROJETO PERFURAÇÃO'!$AN:$AN,MATCH(MEDIÇÃO!K470,'PROJETO PERFURAÇÃO'!$B:$B,0)),"")</f>
        <v>0</v>
      </c>
      <c r="N470" s="3"/>
      <c r="O470" s="3"/>
      <c r="P470" s="3" t="str">
        <f>IFERROR(ROUND(INDEX('PROJETO PERFURAÇÃO'!$AB:$AB,MATCH(MEDIÇÃO!R470,'PROJETO PERFURAÇÃO'!$B:$B,0)),1)&amp;"''","")</f>
        <v>5''</v>
      </c>
      <c r="Q470" s="3" t="str">
        <f>IFERROR(IF(INDEX('PROJETO PERFURAÇÃO'!$P:$P,MATCH(MEDIÇÃO!R470,'PROJETO PERFURAÇÃO'!$B:$B,0))="Production","P",IF(INDEX('PROJETO PERFURAÇÃO'!$P:$P,MATCH(MEDIÇÃO!R470,'PROJETO PERFURAÇÃO'!$B:$B,0))="Buffer","B",IF(INDEX('PROJETO PERFURAÇÃO'!$P:$P,MATCH(MEDIÇÃO!R470,'PROJETO PERFURAÇÃO'!$B:$B,0))="Pre-Splitting","S"))),"")</f>
        <v>P</v>
      </c>
      <c r="R470" s="14">
        <f>K492+1</f>
        <v>1082</v>
      </c>
      <c r="S470" s="4" t="str">
        <f>IFERROR(INDEX('LEV R&amp;D'!$D:$D,MATCH(MEDIÇÃO!R470,'LEV R&amp;D'!$A:$A,0))-INDEX('PROJETO PERFURAÇÃO'!$AH:$AH,MATCH(MEDIÇÃO!R470,'PROJETO PERFURAÇÃO'!$B:$B,0)),"")</f>
        <v/>
      </c>
      <c r="T470" s="8">
        <f>IFERROR(INDEX('PROJETO PERFURAÇÃO'!$AN:$AN,MATCH(MEDIÇÃO!R470,'PROJETO PERFURAÇÃO'!$B:$B,0)),"")</f>
        <v>0</v>
      </c>
      <c r="U470" s="3"/>
      <c r="V470" s="3"/>
    </row>
    <row r="471" spans="1:23" ht="45" customHeight="1" x14ac:dyDescent="0.25">
      <c r="B471" s="3" t="str">
        <f>IFERROR(ROUND(INDEX('PROJETO PERFURAÇÃO'!$AB:$AB,MATCH(MEDIÇÃO!D471,'PROJETO PERFURAÇÃO'!$B:$B,0)),1)&amp;"''","")</f>
        <v>5''</v>
      </c>
      <c r="C471" s="3" t="str">
        <f>IFERROR(IF(INDEX('PROJETO PERFURAÇÃO'!$P:$P,MATCH(MEDIÇÃO!D471,'PROJETO PERFURAÇÃO'!$B:$B,0))="Production","P",IF(INDEX('PROJETO PERFURAÇÃO'!$P:$P,MATCH(MEDIÇÃO!D471,'PROJETO PERFURAÇÃO'!$B:$B,0))="Buffer","B",IF(INDEX('PROJETO PERFURAÇÃO'!$P:$P,MATCH(MEDIÇÃO!D471,'PROJETO PERFURAÇÃO'!$B:$B,0))="Pre-Splitting","S"))),"")</f>
        <v>P</v>
      </c>
      <c r="D471" s="14">
        <f>D470+1</f>
        <v>1037</v>
      </c>
      <c r="E471" s="4" t="str">
        <f>IFERROR(INDEX('LEV R&amp;D'!$D:$D,MATCH(MEDIÇÃO!D471,'LEV R&amp;D'!$A:$A,0))-INDEX('PROJETO PERFURAÇÃO'!$AH:$AH,MATCH(MEDIÇÃO!D471,'PROJETO PERFURAÇÃO'!$B:$B,0)),"")</f>
        <v/>
      </c>
      <c r="F471" s="8">
        <f>IFERROR(INDEX('PROJETO PERFURAÇÃO'!$AN:$AN,MATCH(MEDIÇÃO!D471,'PROJETO PERFURAÇÃO'!$B:$B,0)),"")</f>
        <v>0</v>
      </c>
      <c r="G471" s="3"/>
      <c r="H471" s="3"/>
      <c r="I471" s="3" t="str">
        <f>IFERROR(ROUND(INDEX('PROJETO PERFURAÇÃO'!$AB:$AB,MATCH(MEDIÇÃO!K471,'PROJETO PERFURAÇÃO'!$B:$B,0)),1)&amp;"''","")</f>
        <v>5''</v>
      </c>
      <c r="J471" s="3" t="str">
        <f>IFERROR(IF(INDEX('PROJETO PERFURAÇÃO'!$P:$P,MATCH(MEDIÇÃO!K471,'PROJETO PERFURAÇÃO'!$B:$B,0))="Production","P",IF(INDEX('PROJETO PERFURAÇÃO'!$P:$P,MATCH(MEDIÇÃO!K471,'PROJETO PERFURAÇÃO'!$B:$B,0))="Buffer","B",IF(INDEX('PROJETO PERFURAÇÃO'!$P:$P,MATCH(MEDIÇÃO!K471,'PROJETO PERFURAÇÃO'!$B:$B,0))="Pre-Splitting","S"))),"")</f>
        <v>P</v>
      </c>
      <c r="K471" s="14">
        <f>K470+1</f>
        <v>1060</v>
      </c>
      <c r="L471" s="4" t="str">
        <f>IFERROR(INDEX('LEV R&amp;D'!$D:$D,MATCH(MEDIÇÃO!K471,'LEV R&amp;D'!$A:$A,0))-INDEX('PROJETO PERFURAÇÃO'!$AH:$AH,MATCH(MEDIÇÃO!K471,'PROJETO PERFURAÇÃO'!$B:$B,0)),"")</f>
        <v/>
      </c>
      <c r="M471" s="8">
        <f>IFERROR(INDEX('PROJETO PERFURAÇÃO'!$AN:$AN,MATCH(MEDIÇÃO!K471,'PROJETO PERFURAÇÃO'!$B:$B,0)),"")</f>
        <v>0</v>
      </c>
      <c r="N471" s="3"/>
      <c r="O471" s="3"/>
      <c r="P471" s="3" t="str">
        <f>IFERROR(ROUND(INDEX('PROJETO PERFURAÇÃO'!$AB:$AB,MATCH(MEDIÇÃO!R471,'PROJETO PERFURAÇÃO'!$B:$B,0)),1)&amp;"''","")</f>
        <v>5''</v>
      </c>
      <c r="Q471" s="3" t="str">
        <f>IFERROR(IF(INDEX('PROJETO PERFURAÇÃO'!$P:$P,MATCH(MEDIÇÃO!R471,'PROJETO PERFURAÇÃO'!$B:$B,0))="Production","P",IF(INDEX('PROJETO PERFURAÇÃO'!$P:$P,MATCH(MEDIÇÃO!R471,'PROJETO PERFURAÇÃO'!$B:$B,0))="Buffer","B",IF(INDEX('PROJETO PERFURAÇÃO'!$P:$P,MATCH(MEDIÇÃO!R471,'PROJETO PERFURAÇÃO'!$B:$B,0))="Pre-Splitting","S"))),"")</f>
        <v>P</v>
      </c>
      <c r="R471" s="14">
        <f>R470+1</f>
        <v>1083</v>
      </c>
      <c r="S471" s="4" t="str">
        <f>IFERROR(INDEX('LEV R&amp;D'!$D:$D,MATCH(MEDIÇÃO!R471,'LEV R&amp;D'!$A:$A,0))-INDEX('PROJETO PERFURAÇÃO'!$AH:$AH,MATCH(MEDIÇÃO!R471,'PROJETO PERFURAÇÃO'!$B:$B,0)),"")</f>
        <v/>
      </c>
      <c r="T471" s="8">
        <f>IFERROR(INDEX('PROJETO PERFURAÇÃO'!$AN:$AN,MATCH(MEDIÇÃO!R471,'PROJETO PERFURAÇÃO'!$B:$B,0)),"")</f>
        <v>0</v>
      </c>
      <c r="U471" s="3"/>
      <c r="V471" s="3"/>
    </row>
    <row r="472" spans="1:23" ht="45" customHeight="1" x14ac:dyDescent="0.25">
      <c r="B472" s="3" t="str">
        <f>IFERROR(ROUND(INDEX('PROJETO PERFURAÇÃO'!$AB:$AB,MATCH(MEDIÇÃO!D472,'PROJETO PERFURAÇÃO'!$B:$B,0)),1)&amp;"''","")</f>
        <v>5''</v>
      </c>
      <c r="C472" s="3" t="str">
        <f>IFERROR(IF(INDEX('PROJETO PERFURAÇÃO'!$P:$P,MATCH(MEDIÇÃO!D472,'PROJETO PERFURAÇÃO'!$B:$B,0))="Production","P",IF(INDEX('PROJETO PERFURAÇÃO'!$P:$P,MATCH(MEDIÇÃO!D472,'PROJETO PERFURAÇÃO'!$B:$B,0))="Buffer","B",IF(INDEX('PROJETO PERFURAÇÃO'!$P:$P,MATCH(MEDIÇÃO!D472,'PROJETO PERFURAÇÃO'!$B:$B,0))="Pre-Splitting","S"))),"")</f>
        <v>P</v>
      </c>
      <c r="D472" s="14">
        <f t="shared" ref="D472:D491" si="45">D471+1</f>
        <v>1038</v>
      </c>
      <c r="E472" s="4" t="str">
        <f>IFERROR(INDEX('LEV R&amp;D'!$D:$D,MATCH(MEDIÇÃO!D472,'LEV R&amp;D'!$A:$A,0))-INDEX('PROJETO PERFURAÇÃO'!$AH:$AH,MATCH(MEDIÇÃO!D472,'PROJETO PERFURAÇÃO'!$B:$B,0)),"")</f>
        <v/>
      </c>
      <c r="F472" s="8">
        <f>IFERROR(INDEX('PROJETO PERFURAÇÃO'!$AN:$AN,MATCH(MEDIÇÃO!D472,'PROJETO PERFURAÇÃO'!$B:$B,0)),"")</f>
        <v>0</v>
      </c>
      <c r="G472" s="3"/>
      <c r="H472" s="3"/>
      <c r="I472" s="3" t="str">
        <f>IFERROR(ROUND(INDEX('PROJETO PERFURAÇÃO'!$AB:$AB,MATCH(MEDIÇÃO!K472,'PROJETO PERFURAÇÃO'!$B:$B,0)),1)&amp;"''","")</f>
        <v>5''</v>
      </c>
      <c r="J472" s="3" t="str">
        <f>IFERROR(IF(INDEX('PROJETO PERFURAÇÃO'!$P:$P,MATCH(MEDIÇÃO!K472,'PROJETO PERFURAÇÃO'!$B:$B,0))="Production","P",IF(INDEX('PROJETO PERFURAÇÃO'!$P:$P,MATCH(MEDIÇÃO!K472,'PROJETO PERFURAÇÃO'!$B:$B,0))="Buffer","B",IF(INDEX('PROJETO PERFURAÇÃO'!$P:$P,MATCH(MEDIÇÃO!K472,'PROJETO PERFURAÇÃO'!$B:$B,0))="Pre-Splitting","S"))),"")</f>
        <v>P</v>
      </c>
      <c r="K472" s="14">
        <f t="shared" ref="K472:K491" si="46">K471+1</f>
        <v>1061</v>
      </c>
      <c r="L472" s="4" t="str">
        <f>IFERROR(INDEX('LEV R&amp;D'!$D:$D,MATCH(MEDIÇÃO!K472,'LEV R&amp;D'!$A:$A,0))-INDEX('PROJETO PERFURAÇÃO'!$AH:$AH,MATCH(MEDIÇÃO!K472,'PROJETO PERFURAÇÃO'!$B:$B,0)),"")</f>
        <v/>
      </c>
      <c r="M472" s="8">
        <f>IFERROR(INDEX('PROJETO PERFURAÇÃO'!$AN:$AN,MATCH(MEDIÇÃO!K472,'PROJETO PERFURAÇÃO'!$B:$B,0)),"")</f>
        <v>0</v>
      </c>
      <c r="N472" s="3"/>
      <c r="O472" s="3"/>
      <c r="P472" s="3" t="str">
        <f>IFERROR(ROUND(INDEX('PROJETO PERFURAÇÃO'!$AB:$AB,MATCH(MEDIÇÃO!R472,'PROJETO PERFURAÇÃO'!$B:$B,0)),1)&amp;"''","")</f>
        <v>5''</v>
      </c>
      <c r="Q472" s="3" t="str">
        <f>IFERROR(IF(INDEX('PROJETO PERFURAÇÃO'!$P:$P,MATCH(MEDIÇÃO!R472,'PROJETO PERFURAÇÃO'!$B:$B,0))="Production","P",IF(INDEX('PROJETO PERFURAÇÃO'!$P:$P,MATCH(MEDIÇÃO!R472,'PROJETO PERFURAÇÃO'!$B:$B,0))="Buffer","B",IF(INDEX('PROJETO PERFURAÇÃO'!$P:$P,MATCH(MEDIÇÃO!R472,'PROJETO PERFURAÇÃO'!$B:$B,0))="Pre-Splitting","S"))),"")</f>
        <v>P</v>
      </c>
      <c r="R472" s="14">
        <f t="shared" ref="R472:R491" si="47">R471+1</f>
        <v>1084</v>
      </c>
      <c r="S472" s="4" t="str">
        <f>IFERROR(INDEX('LEV R&amp;D'!$D:$D,MATCH(MEDIÇÃO!R472,'LEV R&amp;D'!$A:$A,0))-INDEX('PROJETO PERFURAÇÃO'!$AH:$AH,MATCH(MEDIÇÃO!R472,'PROJETO PERFURAÇÃO'!$B:$B,0)),"")</f>
        <v/>
      </c>
      <c r="T472" s="8">
        <f>IFERROR(INDEX('PROJETO PERFURAÇÃO'!$AN:$AN,MATCH(MEDIÇÃO!R472,'PROJETO PERFURAÇÃO'!$B:$B,0)),"")</f>
        <v>0</v>
      </c>
      <c r="U472" s="3"/>
      <c r="V472" s="3"/>
    </row>
    <row r="473" spans="1:23" ht="45" customHeight="1" x14ac:dyDescent="0.25">
      <c r="B473" s="3" t="str">
        <f>IFERROR(ROUND(INDEX('PROJETO PERFURAÇÃO'!$AB:$AB,MATCH(MEDIÇÃO!D473,'PROJETO PERFURAÇÃO'!$B:$B,0)),1)&amp;"''","")</f>
        <v>5''</v>
      </c>
      <c r="C473" s="3" t="str">
        <f>IFERROR(IF(INDEX('PROJETO PERFURAÇÃO'!$P:$P,MATCH(MEDIÇÃO!D473,'PROJETO PERFURAÇÃO'!$B:$B,0))="Production","P",IF(INDEX('PROJETO PERFURAÇÃO'!$P:$P,MATCH(MEDIÇÃO!D473,'PROJETO PERFURAÇÃO'!$B:$B,0))="Buffer","B",IF(INDEX('PROJETO PERFURAÇÃO'!$P:$P,MATCH(MEDIÇÃO!D473,'PROJETO PERFURAÇÃO'!$B:$B,0))="Pre-Splitting","S"))),"")</f>
        <v>P</v>
      </c>
      <c r="D473" s="14">
        <f t="shared" si="45"/>
        <v>1039</v>
      </c>
      <c r="E473" s="4" t="str">
        <f>IFERROR(INDEX('LEV R&amp;D'!$D:$D,MATCH(MEDIÇÃO!D473,'LEV R&amp;D'!$A:$A,0))-INDEX('PROJETO PERFURAÇÃO'!$AH:$AH,MATCH(MEDIÇÃO!D473,'PROJETO PERFURAÇÃO'!$B:$B,0)),"")</f>
        <v/>
      </c>
      <c r="F473" s="8">
        <f>IFERROR(INDEX('PROJETO PERFURAÇÃO'!$AN:$AN,MATCH(MEDIÇÃO!D473,'PROJETO PERFURAÇÃO'!$B:$B,0)),"")</f>
        <v>0</v>
      </c>
      <c r="G473" s="3"/>
      <c r="H473" s="3"/>
      <c r="I473" s="3" t="str">
        <f>IFERROR(ROUND(INDEX('PROJETO PERFURAÇÃO'!$AB:$AB,MATCH(MEDIÇÃO!K473,'PROJETO PERFURAÇÃO'!$B:$B,0)),1)&amp;"''","")</f>
        <v>5''</v>
      </c>
      <c r="J473" s="3" t="str">
        <f>IFERROR(IF(INDEX('PROJETO PERFURAÇÃO'!$P:$P,MATCH(MEDIÇÃO!K473,'PROJETO PERFURAÇÃO'!$B:$B,0))="Production","P",IF(INDEX('PROJETO PERFURAÇÃO'!$P:$P,MATCH(MEDIÇÃO!K473,'PROJETO PERFURAÇÃO'!$B:$B,0))="Buffer","B",IF(INDEX('PROJETO PERFURAÇÃO'!$P:$P,MATCH(MEDIÇÃO!K473,'PROJETO PERFURAÇÃO'!$B:$B,0))="Pre-Splitting","S"))),"")</f>
        <v>P</v>
      </c>
      <c r="K473" s="14">
        <f t="shared" si="46"/>
        <v>1062</v>
      </c>
      <c r="L473" s="4" t="str">
        <f>IFERROR(INDEX('LEV R&amp;D'!$D:$D,MATCH(MEDIÇÃO!K473,'LEV R&amp;D'!$A:$A,0))-INDEX('PROJETO PERFURAÇÃO'!$AH:$AH,MATCH(MEDIÇÃO!K473,'PROJETO PERFURAÇÃO'!$B:$B,0)),"")</f>
        <v/>
      </c>
      <c r="M473" s="8">
        <f>IFERROR(INDEX('PROJETO PERFURAÇÃO'!$AN:$AN,MATCH(MEDIÇÃO!K473,'PROJETO PERFURAÇÃO'!$B:$B,0)),"")</f>
        <v>0</v>
      </c>
      <c r="N473" s="3"/>
      <c r="O473" s="3"/>
      <c r="P473" s="3" t="str">
        <f>IFERROR(ROUND(INDEX('PROJETO PERFURAÇÃO'!$AB:$AB,MATCH(MEDIÇÃO!R473,'PROJETO PERFURAÇÃO'!$B:$B,0)),1)&amp;"''","")</f>
        <v>5''</v>
      </c>
      <c r="Q473" s="3" t="str">
        <f>IFERROR(IF(INDEX('PROJETO PERFURAÇÃO'!$P:$P,MATCH(MEDIÇÃO!R473,'PROJETO PERFURAÇÃO'!$B:$B,0))="Production","P",IF(INDEX('PROJETO PERFURAÇÃO'!$P:$P,MATCH(MEDIÇÃO!R473,'PROJETO PERFURAÇÃO'!$B:$B,0))="Buffer","B",IF(INDEX('PROJETO PERFURAÇÃO'!$P:$P,MATCH(MEDIÇÃO!R473,'PROJETO PERFURAÇÃO'!$B:$B,0))="Pre-Splitting","S"))),"")</f>
        <v>P</v>
      </c>
      <c r="R473" s="14">
        <f t="shared" si="47"/>
        <v>1085</v>
      </c>
      <c r="S473" s="4" t="str">
        <f>IFERROR(INDEX('LEV R&amp;D'!$D:$D,MATCH(MEDIÇÃO!R473,'LEV R&amp;D'!$A:$A,0))-INDEX('PROJETO PERFURAÇÃO'!$AH:$AH,MATCH(MEDIÇÃO!R473,'PROJETO PERFURAÇÃO'!$B:$B,0)),"")</f>
        <v/>
      </c>
      <c r="T473" s="8">
        <f>IFERROR(INDEX('PROJETO PERFURAÇÃO'!$AN:$AN,MATCH(MEDIÇÃO!R473,'PROJETO PERFURAÇÃO'!$B:$B,0)),"")</f>
        <v>0</v>
      </c>
      <c r="U473" s="3"/>
      <c r="V473" s="3"/>
    </row>
    <row r="474" spans="1:23" ht="45" customHeight="1" x14ac:dyDescent="0.25">
      <c r="B474" s="3" t="str">
        <f>IFERROR(ROUND(INDEX('PROJETO PERFURAÇÃO'!$AB:$AB,MATCH(MEDIÇÃO!D474,'PROJETO PERFURAÇÃO'!$B:$B,0)),1)&amp;"''","")</f>
        <v>5''</v>
      </c>
      <c r="C474" s="3" t="str">
        <f>IFERROR(IF(INDEX('PROJETO PERFURAÇÃO'!$P:$P,MATCH(MEDIÇÃO!D474,'PROJETO PERFURAÇÃO'!$B:$B,0))="Production","P",IF(INDEX('PROJETO PERFURAÇÃO'!$P:$P,MATCH(MEDIÇÃO!D474,'PROJETO PERFURAÇÃO'!$B:$B,0))="Buffer","B",IF(INDEX('PROJETO PERFURAÇÃO'!$P:$P,MATCH(MEDIÇÃO!D474,'PROJETO PERFURAÇÃO'!$B:$B,0))="Pre-Splitting","S"))),"")</f>
        <v>P</v>
      </c>
      <c r="D474" s="14">
        <f t="shared" si="45"/>
        <v>1040</v>
      </c>
      <c r="E474" s="4" t="str">
        <f>IFERROR(INDEX('LEV R&amp;D'!$D:$D,MATCH(MEDIÇÃO!D474,'LEV R&amp;D'!$A:$A,0))-INDEX('PROJETO PERFURAÇÃO'!$AH:$AH,MATCH(MEDIÇÃO!D474,'PROJETO PERFURAÇÃO'!$B:$B,0)),"")</f>
        <v/>
      </c>
      <c r="F474" s="8">
        <f>IFERROR(INDEX('PROJETO PERFURAÇÃO'!$AN:$AN,MATCH(MEDIÇÃO!D474,'PROJETO PERFURAÇÃO'!$B:$B,0)),"")</f>
        <v>0</v>
      </c>
      <c r="G474" s="3"/>
      <c r="H474" s="3"/>
      <c r="I474" s="3" t="str">
        <f>IFERROR(ROUND(INDEX('PROJETO PERFURAÇÃO'!$AB:$AB,MATCH(MEDIÇÃO!K474,'PROJETO PERFURAÇÃO'!$B:$B,0)),1)&amp;"''","")</f>
        <v>5''</v>
      </c>
      <c r="J474" s="3" t="str">
        <f>IFERROR(IF(INDEX('PROJETO PERFURAÇÃO'!$P:$P,MATCH(MEDIÇÃO!K474,'PROJETO PERFURAÇÃO'!$B:$B,0))="Production","P",IF(INDEX('PROJETO PERFURAÇÃO'!$P:$P,MATCH(MEDIÇÃO!K474,'PROJETO PERFURAÇÃO'!$B:$B,0))="Buffer","B",IF(INDEX('PROJETO PERFURAÇÃO'!$P:$P,MATCH(MEDIÇÃO!K474,'PROJETO PERFURAÇÃO'!$B:$B,0))="Pre-Splitting","S"))),"")</f>
        <v>P</v>
      </c>
      <c r="K474" s="14">
        <f t="shared" si="46"/>
        <v>1063</v>
      </c>
      <c r="L474" s="4" t="str">
        <f>IFERROR(INDEX('LEV R&amp;D'!$D:$D,MATCH(MEDIÇÃO!K474,'LEV R&amp;D'!$A:$A,0))-INDEX('PROJETO PERFURAÇÃO'!$AH:$AH,MATCH(MEDIÇÃO!K474,'PROJETO PERFURAÇÃO'!$B:$B,0)),"")</f>
        <v/>
      </c>
      <c r="M474" s="8">
        <f>IFERROR(INDEX('PROJETO PERFURAÇÃO'!$AN:$AN,MATCH(MEDIÇÃO!K474,'PROJETO PERFURAÇÃO'!$B:$B,0)),"")</f>
        <v>0</v>
      </c>
      <c r="N474" s="3"/>
      <c r="O474" s="3"/>
      <c r="P474" s="3" t="str">
        <f>IFERROR(ROUND(INDEX('PROJETO PERFURAÇÃO'!$AB:$AB,MATCH(MEDIÇÃO!R474,'PROJETO PERFURAÇÃO'!$B:$B,0)),1)&amp;"''","")</f>
        <v>5''</v>
      </c>
      <c r="Q474" s="3" t="str">
        <f>IFERROR(IF(INDEX('PROJETO PERFURAÇÃO'!$P:$P,MATCH(MEDIÇÃO!R474,'PROJETO PERFURAÇÃO'!$B:$B,0))="Production","P",IF(INDEX('PROJETO PERFURAÇÃO'!$P:$P,MATCH(MEDIÇÃO!R474,'PROJETO PERFURAÇÃO'!$B:$B,0))="Buffer","B",IF(INDEX('PROJETO PERFURAÇÃO'!$P:$P,MATCH(MEDIÇÃO!R474,'PROJETO PERFURAÇÃO'!$B:$B,0))="Pre-Splitting","S"))),"")</f>
        <v>P</v>
      </c>
      <c r="R474" s="14">
        <f t="shared" si="47"/>
        <v>1086</v>
      </c>
      <c r="S474" s="4" t="str">
        <f>IFERROR(INDEX('LEV R&amp;D'!$D:$D,MATCH(MEDIÇÃO!R474,'LEV R&amp;D'!$A:$A,0))-INDEX('PROJETO PERFURAÇÃO'!$AH:$AH,MATCH(MEDIÇÃO!R474,'PROJETO PERFURAÇÃO'!$B:$B,0)),"")</f>
        <v/>
      </c>
      <c r="T474" s="8">
        <f>IFERROR(INDEX('PROJETO PERFURAÇÃO'!$AN:$AN,MATCH(MEDIÇÃO!R474,'PROJETO PERFURAÇÃO'!$B:$B,0)),"")</f>
        <v>0</v>
      </c>
      <c r="U474" s="3"/>
      <c r="V474" s="3"/>
    </row>
    <row r="475" spans="1:23" ht="45" customHeight="1" x14ac:dyDescent="0.25">
      <c r="B475" s="3" t="str">
        <f>IFERROR(ROUND(INDEX('PROJETO PERFURAÇÃO'!$AB:$AB,MATCH(MEDIÇÃO!D475,'PROJETO PERFURAÇÃO'!$B:$B,0)),1)&amp;"''","")</f>
        <v>5''</v>
      </c>
      <c r="C475" s="3" t="str">
        <f>IFERROR(IF(INDEX('PROJETO PERFURAÇÃO'!$P:$P,MATCH(MEDIÇÃO!D475,'PROJETO PERFURAÇÃO'!$B:$B,0))="Production","P",IF(INDEX('PROJETO PERFURAÇÃO'!$P:$P,MATCH(MEDIÇÃO!D475,'PROJETO PERFURAÇÃO'!$B:$B,0))="Buffer","B",IF(INDEX('PROJETO PERFURAÇÃO'!$P:$P,MATCH(MEDIÇÃO!D475,'PROJETO PERFURAÇÃO'!$B:$B,0))="Pre-Splitting","S"))),"")</f>
        <v>P</v>
      </c>
      <c r="D475" s="14">
        <f t="shared" si="45"/>
        <v>1041</v>
      </c>
      <c r="E475" s="4" t="str">
        <f>IFERROR(INDEX('LEV R&amp;D'!$D:$D,MATCH(MEDIÇÃO!D475,'LEV R&amp;D'!$A:$A,0))-INDEX('PROJETO PERFURAÇÃO'!$AH:$AH,MATCH(MEDIÇÃO!D475,'PROJETO PERFURAÇÃO'!$B:$B,0)),"")</f>
        <v/>
      </c>
      <c r="F475" s="8">
        <f>IFERROR(INDEX('PROJETO PERFURAÇÃO'!$AN:$AN,MATCH(MEDIÇÃO!D475,'PROJETO PERFURAÇÃO'!$B:$B,0)),"")</f>
        <v>0</v>
      </c>
      <c r="G475" s="3"/>
      <c r="H475" s="3"/>
      <c r="I475" s="3" t="str">
        <f>IFERROR(ROUND(INDEX('PROJETO PERFURAÇÃO'!$AB:$AB,MATCH(MEDIÇÃO!K475,'PROJETO PERFURAÇÃO'!$B:$B,0)),1)&amp;"''","")</f>
        <v>5''</v>
      </c>
      <c r="J475" s="3" t="str">
        <f>IFERROR(IF(INDEX('PROJETO PERFURAÇÃO'!$P:$P,MATCH(MEDIÇÃO!K475,'PROJETO PERFURAÇÃO'!$B:$B,0))="Production","P",IF(INDEX('PROJETO PERFURAÇÃO'!$P:$P,MATCH(MEDIÇÃO!K475,'PROJETO PERFURAÇÃO'!$B:$B,0))="Buffer","B",IF(INDEX('PROJETO PERFURAÇÃO'!$P:$P,MATCH(MEDIÇÃO!K475,'PROJETO PERFURAÇÃO'!$B:$B,0))="Pre-Splitting","S"))),"")</f>
        <v>P</v>
      </c>
      <c r="K475" s="14">
        <f t="shared" si="46"/>
        <v>1064</v>
      </c>
      <c r="L475" s="4" t="str">
        <f>IFERROR(INDEX('LEV R&amp;D'!$D:$D,MATCH(MEDIÇÃO!K475,'LEV R&amp;D'!$A:$A,0))-INDEX('PROJETO PERFURAÇÃO'!$AH:$AH,MATCH(MEDIÇÃO!K475,'PROJETO PERFURAÇÃO'!$B:$B,0)),"")</f>
        <v/>
      </c>
      <c r="M475" s="8">
        <f>IFERROR(INDEX('PROJETO PERFURAÇÃO'!$AN:$AN,MATCH(MEDIÇÃO!K475,'PROJETO PERFURAÇÃO'!$B:$B,0)),"")</f>
        <v>0</v>
      </c>
      <c r="N475" s="3"/>
      <c r="O475" s="3"/>
      <c r="P475" s="3" t="str">
        <f>IFERROR(ROUND(INDEX('PROJETO PERFURAÇÃO'!$AB:$AB,MATCH(MEDIÇÃO!R475,'PROJETO PERFURAÇÃO'!$B:$B,0)),1)&amp;"''","")</f>
        <v>5''</v>
      </c>
      <c r="Q475" s="3" t="str">
        <f>IFERROR(IF(INDEX('PROJETO PERFURAÇÃO'!$P:$P,MATCH(MEDIÇÃO!R475,'PROJETO PERFURAÇÃO'!$B:$B,0))="Production","P",IF(INDEX('PROJETO PERFURAÇÃO'!$P:$P,MATCH(MEDIÇÃO!R475,'PROJETO PERFURAÇÃO'!$B:$B,0))="Buffer","B",IF(INDEX('PROJETO PERFURAÇÃO'!$P:$P,MATCH(MEDIÇÃO!R475,'PROJETO PERFURAÇÃO'!$B:$B,0))="Pre-Splitting","S"))),"")</f>
        <v>P</v>
      </c>
      <c r="R475" s="14">
        <f t="shared" si="47"/>
        <v>1087</v>
      </c>
      <c r="S475" s="4" t="str">
        <f>IFERROR(INDEX('LEV R&amp;D'!$D:$D,MATCH(MEDIÇÃO!R475,'LEV R&amp;D'!$A:$A,0))-INDEX('PROJETO PERFURAÇÃO'!$AH:$AH,MATCH(MEDIÇÃO!R475,'PROJETO PERFURAÇÃO'!$B:$B,0)),"")</f>
        <v/>
      </c>
      <c r="T475" s="8">
        <f>IFERROR(INDEX('PROJETO PERFURAÇÃO'!$AN:$AN,MATCH(MEDIÇÃO!R475,'PROJETO PERFURAÇÃO'!$B:$B,0)),"")</f>
        <v>0</v>
      </c>
      <c r="U475" s="3"/>
      <c r="V475" s="3"/>
    </row>
    <row r="476" spans="1:23" ht="45" customHeight="1" x14ac:dyDescent="0.25">
      <c r="B476" s="3" t="str">
        <f>IFERROR(ROUND(INDEX('PROJETO PERFURAÇÃO'!$AB:$AB,MATCH(MEDIÇÃO!D476,'PROJETO PERFURAÇÃO'!$B:$B,0)),1)&amp;"''","")</f>
        <v>5''</v>
      </c>
      <c r="C476" s="3" t="str">
        <f>IFERROR(IF(INDEX('PROJETO PERFURAÇÃO'!$P:$P,MATCH(MEDIÇÃO!D476,'PROJETO PERFURAÇÃO'!$B:$B,0))="Production","P",IF(INDEX('PROJETO PERFURAÇÃO'!$P:$P,MATCH(MEDIÇÃO!D476,'PROJETO PERFURAÇÃO'!$B:$B,0))="Buffer","B",IF(INDEX('PROJETO PERFURAÇÃO'!$P:$P,MATCH(MEDIÇÃO!D476,'PROJETO PERFURAÇÃO'!$B:$B,0))="Pre-Splitting","S"))),"")</f>
        <v>P</v>
      </c>
      <c r="D476" s="14">
        <f t="shared" si="45"/>
        <v>1042</v>
      </c>
      <c r="E476" s="4" t="str">
        <f>IFERROR(INDEX('LEV R&amp;D'!$D:$D,MATCH(MEDIÇÃO!D476,'LEV R&amp;D'!$A:$A,0))-INDEX('PROJETO PERFURAÇÃO'!$AH:$AH,MATCH(MEDIÇÃO!D476,'PROJETO PERFURAÇÃO'!$B:$B,0)),"")</f>
        <v/>
      </c>
      <c r="F476" s="8">
        <f>IFERROR(INDEX('PROJETO PERFURAÇÃO'!$AN:$AN,MATCH(MEDIÇÃO!D476,'PROJETO PERFURAÇÃO'!$B:$B,0)),"")</f>
        <v>0</v>
      </c>
      <c r="G476" s="3"/>
      <c r="H476" s="3"/>
      <c r="I476" s="3" t="str">
        <f>IFERROR(ROUND(INDEX('PROJETO PERFURAÇÃO'!$AB:$AB,MATCH(MEDIÇÃO!K476,'PROJETO PERFURAÇÃO'!$B:$B,0)),1)&amp;"''","")</f>
        <v>5''</v>
      </c>
      <c r="J476" s="3" t="str">
        <f>IFERROR(IF(INDEX('PROJETO PERFURAÇÃO'!$P:$P,MATCH(MEDIÇÃO!K476,'PROJETO PERFURAÇÃO'!$B:$B,0))="Production","P",IF(INDEX('PROJETO PERFURAÇÃO'!$P:$P,MATCH(MEDIÇÃO!K476,'PROJETO PERFURAÇÃO'!$B:$B,0))="Buffer","B",IF(INDEX('PROJETO PERFURAÇÃO'!$P:$P,MATCH(MEDIÇÃO!K476,'PROJETO PERFURAÇÃO'!$B:$B,0))="Pre-Splitting","S"))),"")</f>
        <v>P</v>
      </c>
      <c r="K476" s="14">
        <f t="shared" si="46"/>
        <v>1065</v>
      </c>
      <c r="L476" s="4" t="str">
        <f>IFERROR(INDEX('LEV R&amp;D'!$D:$D,MATCH(MEDIÇÃO!K476,'LEV R&amp;D'!$A:$A,0))-INDEX('PROJETO PERFURAÇÃO'!$AH:$AH,MATCH(MEDIÇÃO!K476,'PROJETO PERFURAÇÃO'!$B:$B,0)),"")</f>
        <v/>
      </c>
      <c r="M476" s="8">
        <f>IFERROR(INDEX('PROJETO PERFURAÇÃO'!$AN:$AN,MATCH(MEDIÇÃO!K476,'PROJETO PERFURAÇÃO'!$B:$B,0)),"")</f>
        <v>0</v>
      </c>
      <c r="N476" s="3"/>
      <c r="O476" s="3"/>
      <c r="P476" s="3" t="str">
        <f>IFERROR(ROUND(INDEX('PROJETO PERFURAÇÃO'!$AB:$AB,MATCH(MEDIÇÃO!R476,'PROJETO PERFURAÇÃO'!$B:$B,0)),1)&amp;"''","")</f>
        <v>5''</v>
      </c>
      <c r="Q476" s="3" t="str">
        <f>IFERROR(IF(INDEX('PROJETO PERFURAÇÃO'!$P:$P,MATCH(MEDIÇÃO!R476,'PROJETO PERFURAÇÃO'!$B:$B,0))="Production","P",IF(INDEX('PROJETO PERFURAÇÃO'!$P:$P,MATCH(MEDIÇÃO!R476,'PROJETO PERFURAÇÃO'!$B:$B,0))="Buffer","B",IF(INDEX('PROJETO PERFURAÇÃO'!$P:$P,MATCH(MEDIÇÃO!R476,'PROJETO PERFURAÇÃO'!$B:$B,0))="Pre-Splitting","S"))),"")</f>
        <v>P</v>
      </c>
      <c r="R476" s="14">
        <f t="shared" si="47"/>
        <v>1088</v>
      </c>
      <c r="S476" s="4" t="str">
        <f>IFERROR(INDEX('LEV R&amp;D'!$D:$D,MATCH(MEDIÇÃO!R476,'LEV R&amp;D'!$A:$A,0))-INDEX('PROJETO PERFURAÇÃO'!$AH:$AH,MATCH(MEDIÇÃO!R476,'PROJETO PERFURAÇÃO'!$B:$B,0)),"")</f>
        <v/>
      </c>
      <c r="T476" s="8">
        <f>IFERROR(INDEX('PROJETO PERFURAÇÃO'!$AN:$AN,MATCH(MEDIÇÃO!R476,'PROJETO PERFURAÇÃO'!$B:$B,0)),"")</f>
        <v>0</v>
      </c>
      <c r="U476" s="3"/>
      <c r="V476" s="3"/>
    </row>
    <row r="477" spans="1:23" ht="45" customHeight="1" x14ac:dyDescent="0.25">
      <c r="B477" s="3" t="str">
        <f>IFERROR(ROUND(INDEX('PROJETO PERFURAÇÃO'!$AB:$AB,MATCH(MEDIÇÃO!D477,'PROJETO PERFURAÇÃO'!$B:$B,0)),1)&amp;"''","")</f>
        <v>5''</v>
      </c>
      <c r="C477" s="3" t="str">
        <f>IFERROR(IF(INDEX('PROJETO PERFURAÇÃO'!$P:$P,MATCH(MEDIÇÃO!D477,'PROJETO PERFURAÇÃO'!$B:$B,0))="Production","P",IF(INDEX('PROJETO PERFURAÇÃO'!$P:$P,MATCH(MEDIÇÃO!D477,'PROJETO PERFURAÇÃO'!$B:$B,0))="Buffer","B",IF(INDEX('PROJETO PERFURAÇÃO'!$P:$P,MATCH(MEDIÇÃO!D477,'PROJETO PERFURAÇÃO'!$B:$B,0))="Pre-Splitting","S"))),"")</f>
        <v>P</v>
      </c>
      <c r="D477" s="14">
        <f t="shared" si="45"/>
        <v>1043</v>
      </c>
      <c r="E477" s="4" t="str">
        <f>IFERROR(INDEX('LEV R&amp;D'!$D:$D,MATCH(MEDIÇÃO!D477,'LEV R&amp;D'!$A:$A,0))-INDEX('PROJETO PERFURAÇÃO'!$AH:$AH,MATCH(MEDIÇÃO!D477,'PROJETO PERFURAÇÃO'!$B:$B,0)),"")</f>
        <v/>
      </c>
      <c r="F477" s="8">
        <f>IFERROR(INDEX('PROJETO PERFURAÇÃO'!$AN:$AN,MATCH(MEDIÇÃO!D477,'PROJETO PERFURAÇÃO'!$B:$B,0)),"")</f>
        <v>0</v>
      </c>
      <c r="G477" s="3"/>
      <c r="H477" s="3"/>
      <c r="I477" s="3" t="str">
        <f>IFERROR(ROUND(INDEX('PROJETO PERFURAÇÃO'!$AB:$AB,MATCH(MEDIÇÃO!K477,'PROJETO PERFURAÇÃO'!$B:$B,0)),1)&amp;"''","")</f>
        <v>5''</v>
      </c>
      <c r="J477" s="3" t="str">
        <f>IFERROR(IF(INDEX('PROJETO PERFURAÇÃO'!$P:$P,MATCH(MEDIÇÃO!K477,'PROJETO PERFURAÇÃO'!$B:$B,0))="Production","P",IF(INDEX('PROJETO PERFURAÇÃO'!$P:$P,MATCH(MEDIÇÃO!K477,'PROJETO PERFURAÇÃO'!$B:$B,0))="Buffer","B",IF(INDEX('PROJETO PERFURAÇÃO'!$P:$P,MATCH(MEDIÇÃO!K477,'PROJETO PERFURAÇÃO'!$B:$B,0))="Pre-Splitting","S"))),"")</f>
        <v>P</v>
      </c>
      <c r="K477" s="14">
        <f t="shared" si="46"/>
        <v>1066</v>
      </c>
      <c r="L477" s="4" t="str">
        <f>IFERROR(INDEX('LEV R&amp;D'!$D:$D,MATCH(MEDIÇÃO!K477,'LEV R&amp;D'!$A:$A,0))-INDEX('PROJETO PERFURAÇÃO'!$AH:$AH,MATCH(MEDIÇÃO!K477,'PROJETO PERFURAÇÃO'!$B:$B,0)),"")</f>
        <v/>
      </c>
      <c r="M477" s="8">
        <f>IFERROR(INDEX('PROJETO PERFURAÇÃO'!$AN:$AN,MATCH(MEDIÇÃO!K477,'PROJETO PERFURAÇÃO'!$B:$B,0)),"")</f>
        <v>0</v>
      </c>
      <c r="N477" s="3"/>
      <c r="O477" s="3"/>
      <c r="P477" s="3" t="str">
        <f>IFERROR(ROUND(INDEX('PROJETO PERFURAÇÃO'!$AB:$AB,MATCH(MEDIÇÃO!R477,'PROJETO PERFURAÇÃO'!$B:$B,0)),1)&amp;"''","")</f>
        <v>5''</v>
      </c>
      <c r="Q477" s="3" t="str">
        <f>IFERROR(IF(INDEX('PROJETO PERFURAÇÃO'!$P:$P,MATCH(MEDIÇÃO!R477,'PROJETO PERFURAÇÃO'!$B:$B,0))="Production","P",IF(INDEX('PROJETO PERFURAÇÃO'!$P:$P,MATCH(MEDIÇÃO!R477,'PROJETO PERFURAÇÃO'!$B:$B,0))="Buffer","B",IF(INDEX('PROJETO PERFURAÇÃO'!$P:$P,MATCH(MEDIÇÃO!R477,'PROJETO PERFURAÇÃO'!$B:$B,0))="Pre-Splitting","S"))),"")</f>
        <v>P</v>
      </c>
      <c r="R477" s="14">
        <f t="shared" si="47"/>
        <v>1089</v>
      </c>
      <c r="S477" s="4" t="str">
        <f>IFERROR(INDEX('LEV R&amp;D'!$D:$D,MATCH(MEDIÇÃO!R477,'LEV R&amp;D'!$A:$A,0))-INDEX('PROJETO PERFURAÇÃO'!$AH:$AH,MATCH(MEDIÇÃO!R477,'PROJETO PERFURAÇÃO'!$B:$B,0)),"")</f>
        <v/>
      </c>
      <c r="T477" s="8">
        <f>IFERROR(INDEX('PROJETO PERFURAÇÃO'!$AN:$AN,MATCH(MEDIÇÃO!R477,'PROJETO PERFURAÇÃO'!$B:$B,0)),"")</f>
        <v>0</v>
      </c>
      <c r="U477" s="3"/>
      <c r="V477" s="3"/>
    </row>
    <row r="478" spans="1:23" ht="45" customHeight="1" x14ac:dyDescent="0.25">
      <c r="B478" s="3" t="str">
        <f>IFERROR(ROUND(INDEX('PROJETO PERFURAÇÃO'!$AB:$AB,MATCH(MEDIÇÃO!D478,'PROJETO PERFURAÇÃO'!$B:$B,0)),1)&amp;"''","")</f>
        <v>5''</v>
      </c>
      <c r="C478" s="3" t="str">
        <f>IFERROR(IF(INDEX('PROJETO PERFURAÇÃO'!$P:$P,MATCH(MEDIÇÃO!D478,'PROJETO PERFURAÇÃO'!$B:$B,0))="Production","P",IF(INDEX('PROJETO PERFURAÇÃO'!$P:$P,MATCH(MEDIÇÃO!D478,'PROJETO PERFURAÇÃO'!$B:$B,0))="Buffer","B",IF(INDEX('PROJETO PERFURAÇÃO'!$P:$P,MATCH(MEDIÇÃO!D478,'PROJETO PERFURAÇÃO'!$B:$B,0))="Pre-Splitting","S"))),"")</f>
        <v>P</v>
      </c>
      <c r="D478" s="14">
        <f t="shared" si="45"/>
        <v>1044</v>
      </c>
      <c r="E478" s="4" t="str">
        <f>IFERROR(INDEX('LEV R&amp;D'!$D:$D,MATCH(MEDIÇÃO!D478,'LEV R&amp;D'!$A:$A,0))-INDEX('PROJETO PERFURAÇÃO'!$AH:$AH,MATCH(MEDIÇÃO!D478,'PROJETO PERFURAÇÃO'!$B:$B,0)),"")</f>
        <v/>
      </c>
      <c r="F478" s="8">
        <f>IFERROR(INDEX('PROJETO PERFURAÇÃO'!$AN:$AN,MATCH(MEDIÇÃO!D478,'PROJETO PERFURAÇÃO'!$B:$B,0)),"")</f>
        <v>0</v>
      </c>
      <c r="G478" s="3"/>
      <c r="H478" s="3"/>
      <c r="I478" s="3" t="str">
        <f>IFERROR(ROUND(INDEX('PROJETO PERFURAÇÃO'!$AB:$AB,MATCH(MEDIÇÃO!K478,'PROJETO PERFURAÇÃO'!$B:$B,0)),1)&amp;"''","")</f>
        <v>5''</v>
      </c>
      <c r="J478" s="3" t="str">
        <f>IFERROR(IF(INDEX('PROJETO PERFURAÇÃO'!$P:$P,MATCH(MEDIÇÃO!K478,'PROJETO PERFURAÇÃO'!$B:$B,0))="Production","P",IF(INDEX('PROJETO PERFURAÇÃO'!$P:$P,MATCH(MEDIÇÃO!K478,'PROJETO PERFURAÇÃO'!$B:$B,0))="Buffer","B",IF(INDEX('PROJETO PERFURAÇÃO'!$P:$P,MATCH(MEDIÇÃO!K478,'PROJETO PERFURAÇÃO'!$B:$B,0))="Pre-Splitting","S"))),"")</f>
        <v>P</v>
      </c>
      <c r="K478" s="14">
        <f t="shared" si="46"/>
        <v>1067</v>
      </c>
      <c r="L478" s="4" t="str">
        <f>IFERROR(INDEX('LEV R&amp;D'!$D:$D,MATCH(MEDIÇÃO!K478,'LEV R&amp;D'!$A:$A,0))-INDEX('PROJETO PERFURAÇÃO'!$AH:$AH,MATCH(MEDIÇÃO!K478,'PROJETO PERFURAÇÃO'!$B:$B,0)),"")</f>
        <v/>
      </c>
      <c r="M478" s="8">
        <f>IFERROR(INDEX('PROJETO PERFURAÇÃO'!$AN:$AN,MATCH(MEDIÇÃO!K478,'PROJETO PERFURAÇÃO'!$B:$B,0)),"")</f>
        <v>0</v>
      </c>
      <c r="N478" s="3"/>
      <c r="O478" s="3"/>
      <c r="P478" s="3" t="str">
        <f>IFERROR(ROUND(INDEX('PROJETO PERFURAÇÃO'!$AB:$AB,MATCH(MEDIÇÃO!R478,'PROJETO PERFURAÇÃO'!$B:$B,0)),1)&amp;"''","")</f>
        <v>5''</v>
      </c>
      <c r="Q478" s="3" t="str">
        <f>IFERROR(IF(INDEX('PROJETO PERFURAÇÃO'!$P:$P,MATCH(MEDIÇÃO!R478,'PROJETO PERFURAÇÃO'!$B:$B,0))="Production","P",IF(INDEX('PROJETO PERFURAÇÃO'!$P:$P,MATCH(MEDIÇÃO!R478,'PROJETO PERFURAÇÃO'!$B:$B,0))="Buffer","B",IF(INDEX('PROJETO PERFURAÇÃO'!$P:$P,MATCH(MEDIÇÃO!R478,'PROJETO PERFURAÇÃO'!$B:$B,0))="Pre-Splitting","S"))),"")</f>
        <v>P</v>
      </c>
      <c r="R478" s="14">
        <f t="shared" si="47"/>
        <v>1090</v>
      </c>
      <c r="S478" s="4" t="str">
        <f>IFERROR(INDEX('LEV R&amp;D'!$D:$D,MATCH(MEDIÇÃO!R478,'LEV R&amp;D'!$A:$A,0))-INDEX('PROJETO PERFURAÇÃO'!$AH:$AH,MATCH(MEDIÇÃO!R478,'PROJETO PERFURAÇÃO'!$B:$B,0)),"")</f>
        <v/>
      </c>
      <c r="T478" s="8">
        <f>IFERROR(INDEX('PROJETO PERFURAÇÃO'!$AN:$AN,MATCH(MEDIÇÃO!R478,'PROJETO PERFURAÇÃO'!$B:$B,0)),"")</f>
        <v>0</v>
      </c>
      <c r="U478" s="3"/>
      <c r="V478" s="3"/>
    </row>
    <row r="479" spans="1:23" ht="45" customHeight="1" x14ac:dyDescent="0.25">
      <c r="B479" s="3" t="str">
        <f>IFERROR(ROUND(INDEX('PROJETO PERFURAÇÃO'!$AB:$AB,MATCH(MEDIÇÃO!D479,'PROJETO PERFURAÇÃO'!$B:$B,0)),1)&amp;"''","")</f>
        <v>5''</v>
      </c>
      <c r="C479" s="3" t="str">
        <f>IFERROR(IF(INDEX('PROJETO PERFURAÇÃO'!$P:$P,MATCH(MEDIÇÃO!D479,'PROJETO PERFURAÇÃO'!$B:$B,0))="Production","P",IF(INDEX('PROJETO PERFURAÇÃO'!$P:$P,MATCH(MEDIÇÃO!D479,'PROJETO PERFURAÇÃO'!$B:$B,0))="Buffer","B",IF(INDEX('PROJETO PERFURAÇÃO'!$P:$P,MATCH(MEDIÇÃO!D479,'PROJETO PERFURAÇÃO'!$B:$B,0))="Pre-Splitting","S"))),"")</f>
        <v>P</v>
      </c>
      <c r="D479" s="14">
        <f t="shared" si="45"/>
        <v>1045</v>
      </c>
      <c r="E479" s="4" t="str">
        <f>IFERROR(INDEX('LEV R&amp;D'!$D:$D,MATCH(MEDIÇÃO!D479,'LEV R&amp;D'!$A:$A,0))-INDEX('PROJETO PERFURAÇÃO'!$AH:$AH,MATCH(MEDIÇÃO!D479,'PROJETO PERFURAÇÃO'!$B:$B,0)),"")</f>
        <v/>
      </c>
      <c r="F479" s="8">
        <f>IFERROR(INDEX('PROJETO PERFURAÇÃO'!$AN:$AN,MATCH(MEDIÇÃO!D479,'PROJETO PERFURAÇÃO'!$B:$B,0)),"")</f>
        <v>0</v>
      </c>
      <c r="G479" s="3"/>
      <c r="H479" s="3"/>
      <c r="I479" s="3" t="str">
        <f>IFERROR(ROUND(INDEX('PROJETO PERFURAÇÃO'!$AB:$AB,MATCH(MEDIÇÃO!K479,'PROJETO PERFURAÇÃO'!$B:$B,0)),1)&amp;"''","")</f>
        <v>5''</v>
      </c>
      <c r="J479" s="3" t="str">
        <f>IFERROR(IF(INDEX('PROJETO PERFURAÇÃO'!$P:$P,MATCH(MEDIÇÃO!K479,'PROJETO PERFURAÇÃO'!$B:$B,0))="Production","P",IF(INDEX('PROJETO PERFURAÇÃO'!$P:$P,MATCH(MEDIÇÃO!K479,'PROJETO PERFURAÇÃO'!$B:$B,0))="Buffer","B",IF(INDEX('PROJETO PERFURAÇÃO'!$P:$P,MATCH(MEDIÇÃO!K479,'PROJETO PERFURAÇÃO'!$B:$B,0))="Pre-Splitting","S"))),"")</f>
        <v>P</v>
      </c>
      <c r="K479" s="14">
        <f t="shared" si="46"/>
        <v>1068</v>
      </c>
      <c r="L479" s="4" t="str">
        <f>IFERROR(INDEX('LEV R&amp;D'!$D:$D,MATCH(MEDIÇÃO!K479,'LEV R&amp;D'!$A:$A,0))-INDEX('PROJETO PERFURAÇÃO'!$AH:$AH,MATCH(MEDIÇÃO!K479,'PROJETO PERFURAÇÃO'!$B:$B,0)),"")</f>
        <v/>
      </c>
      <c r="M479" s="8">
        <f>IFERROR(INDEX('PROJETO PERFURAÇÃO'!$AN:$AN,MATCH(MEDIÇÃO!K479,'PROJETO PERFURAÇÃO'!$B:$B,0)),"")</f>
        <v>0</v>
      </c>
      <c r="N479" s="3"/>
      <c r="O479" s="3"/>
      <c r="P479" s="3" t="str">
        <f>IFERROR(ROUND(INDEX('PROJETO PERFURAÇÃO'!$AB:$AB,MATCH(MEDIÇÃO!R479,'PROJETO PERFURAÇÃO'!$B:$B,0)),1)&amp;"''","")</f>
        <v>5''</v>
      </c>
      <c r="Q479" s="3" t="str">
        <f>IFERROR(IF(INDEX('PROJETO PERFURAÇÃO'!$P:$P,MATCH(MEDIÇÃO!R479,'PROJETO PERFURAÇÃO'!$B:$B,0))="Production","P",IF(INDEX('PROJETO PERFURAÇÃO'!$P:$P,MATCH(MEDIÇÃO!R479,'PROJETO PERFURAÇÃO'!$B:$B,0))="Buffer","B",IF(INDEX('PROJETO PERFURAÇÃO'!$P:$P,MATCH(MEDIÇÃO!R479,'PROJETO PERFURAÇÃO'!$B:$B,0))="Pre-Splitting","S"))),"")</f>
        <v>P</v>
      </c>
      <c r="R479" s="14">
        <f t="shared" si="47"/>
        <v>1091</v>
      </c>
      <c r="S479" s="4" t="str">
        <f>IFERROR(INDEX('LEV R&amp;D'!$D:$D,MATCH(MEDIÇÃO!R479,'LEV R&amp;D'!$A:$A,0))-INDEX('PROJETO PERFURAÇÃO'!$AH:$AH,MATCH(MEDIÇÃO!R479,'PROJETO PERFURAÇÃO'!$B:$B,0)),"")</f>
        <v/>
      </c>
      <c r="T479" s="8">
        <f>IFERROR(INDEX('PROJETO PERFURAÇÃO'!$AN:$AN,MATCH(MEDIÇÃO!R479,'PROJETO PERFURAÇÃO'!$B:$B,0)),"")</f>
        <v>0</v>
      </c>
      <c r="U479" s="3"/>
      <c r="V479" s="3"/>
    </row>
    <row r="480" spans="1:23" ht="45" customHeight="1" x14ac:dyDescent="0.25">
      <c r="B480" s="3" t="str">
        <f>IFERROR(ROUND(INDEX('PROJETO PERFURAÇÃO'!$AB:$AB,MATCH(MEDIÇÃO!D480,'PROJETO PERFURAÇÃO'!$B:$B,0)),1)&amp;"''","")</f>
        <v>5''</v>
      </c>
      <c r="C480" s="3" t="str">
        <f>IFERROR(IF(INDEX('PROJETO PERFURAÇÃO'!$P:$P,MATCH(MEDIÇÃO!D480,'PROJETO PERFURAÇÃO'!$B:$B,0))="Production","P",IF(INDEX('PROJETO PERFURAÇÃO'!$P:$P,MATCH(MEDIÇÃO!D480,'PROJETO PERFURAÇÃO'!$B:$B,0))="Buffer","B",IF(INDEX('PROJETO PERFURAÇÃO'!$P:$P,MATCH(MEDIÇÃO!D480,'PROJETO PERFURAÇÃO'!$B:$B,0))="Pre-Splitting","S"))),"")</f>
        <v>P</v>
      </c>
      <c r="D480" s="14">
        <f t="shared" si="45"/>
        <v>1046</v>
      </c>
      <c r="E480" s="4" t="str">
        <f>IFERROR(INDEX('LEV R&amp;D'!$D:$D,MATCH(MEDIÇÃO!D480,'LEV R&amp;D'!$A:$A,0))-INDEX('PROJETO PERFURAÇÃO'!$AH:$AH,MATCH(MEDIÇÃO!D480,'PROJETO PERFURAÇÃO'!$B:$B,0)),"")</f>
        <v/>
      </c>
      <c r="F480" s="8">
        <f>IFERROR(INDEX('PROJETO PERFURAÇÃO'!$AN:$AN,MATCH(MEDIÇÃO!D480,'PROJETO PERFURAÇÃO'!$B:$B,0)),"")</f>
        <v>0</v>
      </c>
      <c r="G480" s="3"/>
      <c r="H480" s="3"/>
      <c r="I480" s="3" t="str">
        <f>IFERROR(ROUND(INDEX('PROJETO PERFURAÇÃO'!$AB:$AB,MATCH(MEDIÇÃO!K480,'PROJETO PERFURAÇÃO'!$B:$B,0)),1)&amp;"''","")</f>
        <v>5''</v>
      </c>
      <c r="J480" s="3" t="str">
        <f>IFERROR(IF(INDEX('PROJETO PERFURAÇÃO'!$P:$P,MATCH(MEDIÇÃO!K480,'PROJETO PERFURAÇÃO'!$B:$B,0))="Production","P",IF(INDEX('PROJETO PERFURAÇÃO'!$P:$P,MATCH(MEDIÇÃO!K480,'PROJETO PERFURAÇÃO'!$B:$B,0))="Buffer","B",IF(INDEX('PROJETO PERFURAÇÃO'!$P:$P,MATCH(MEDIÇÃO!K480,'PROJETO PERFURAÇÃO'!$B:$B,0))="Pre-Splitting","S"))),"")</f>
        <v>P</v>
      </c>
      <c r="K480" s="14">
        <f t="shared" si="46"/>
        <v>1069</v>
      </c>
      <c r="L480" s="4" t="str">
        <f>IFERROR(INDEX('LEV R&amp;D'!$D:$D,MATCH(MEDIÇÃO!K480,'LEV R&amp;D'!$A:$A,0))-INDEX('PROJETO PERFURAÇÃO'!$AH:$AH,MATCH(MEDIÇÃO!K480,'PROJETO PERFURAÇÃO'!$B:$B,0)),"")</f>
        <v/>
      </c>
      <c r="M480" s="8">
        <f>IFERROR(INDEX('PROJETO PERFURAÇÃO'!$AN:$AN,MATCH(MEDIÇÃO!K480,'PROJETO PERFURAÇÃO'!$B:$B,0)),"")</f>
        <v>0</v>
      </c>
      <c r="N480" s="3"/>
      <c r="O480" s="3"/>
      <c r="P480" s="3" t="str">
        <f>IFERROR(ROUND(INDEX('PROJETO PERFURAÇÃO'!$AB:$AB,MATCH(MEDIÇÃO!R480,'PROJETO PERFURAÇÃO'!$B:$B,0)),1)&amp;"''","")</f>
        <v>5''</v>
      </c>
      <c r="Q480" s="3" t="str">
        <f>IFERROR(IF(INDEX('PROJETO PERFURAÇÃO'!$P:$P,MATCH(MEDIÇÃO!R480,'PROJETO PERFURAÇÃO'!$B:$B,0))="Production","P",IF(INDEX('PROJETO PERFURAÇÃO'!$P:$P,MATCH(MEDIÇÃO!R480,'PROJETO PERFURAÇÃO'!$B:$B,0))="Buffer","B",IF(INDEX('PROJETO PERFURAÇÃO'!$P:$P,MATCH(MEDIÇÃO!R480,'PROJETO PERFURAÇÃO'!$B:$B,0))="Pre-Splitting","S"))),"")</f>
        <v>P</v>
      </c>
      <c r="R480" s="14">
        <f t="shared" si="47"/>
        <v>1092</v>
      </c>
      <c r="S480" s="4" t="str">
        <f>IFERROR(INDEX('LEV R&amp;D'!$D:$D,MATCH(MEDIÇÃO!R480,'LEV R&amp;D'!$A:$A,0))-INDEX('PROJETO PERFURAÇÃO'!$AH:$AH,MATCH(MEDIÇÃO!R480,'PROJETO PERFURAÇÃO'!$B:$B,0)),"")</f>
        <v/>
      </c>
      <c r="T480" s="8">
        <f>IFERROR(INDEX('PROJETO PERFURAÇÃO'!$AN:$AN,MATCH(MEDIÇÃO!R480,'PROJETO PERFURAÇÃO'!$B:$B,0)),"")</f>
        <v>0</v>
      </c>
      <c r="U480" s="3"/>
      <c r="V480" s="3"/>
    </row>
    <row r="481" spans="2:22" ht="45" customHeight="1" x14ac:dyDescent="0.25">
      <c r="B481" s="3" t="str">
        <f>IFERROR(ROUND(INDEX('PROJETO PERFURAÇÃO'!$AB:$AB,MATCH(MEDIÇÃO!D481,'PROJETO PERFURAÇÃO'!$B:$B,0)),1)&amp;"''","")</f>
        <v>5''</v>
      </c>
      <c r="C481" s="3" t="str">
        <f>IFERROR(IF(INDEX('PROJETO PERFURAÇÃO'!$P:$P,MATCH(MEDIÇÃO!D481,'PROJETO PERFURAÇÃO'!$B:$B,0))="Production","P",IF(INDEX('PROJETO PERFURAÇÃO'!$P:$P,MATCH(MEDIÇÃO!D481,'PROJETO PERFURAÇÃO'!$B:$B,0))="Buffer","B",IF(INDEX('PROJETO PERFURAÇÃO'!$P:$P,MATCH(MEDIÇÃO!D481,'PROJETO PERFURAÇÃO'!$B:$B,0))="Pre-Splitting","S"))),"")</f>
        <v>P</v>
      </c>
      <c r="D481" s="14">
        <f t="shared" si="45"/>
        <v>1047</v>
      </c>
      <c r="E481" s="4" t="str">
        <f>IFERROR(INDEX('LEV R&amp;D'!$D:$D,MATCH(MEDIÇÃO!D481,'LEV R&amp;D'!$A:$A,0))-INDEX('PROJETO PERFURAÇÃO'!$AH:$AH,MATCH(MEDIÇÃO!D481,'PROJETO PERFURAÇÃO'!$B:$B,0)),"")</f>
        <v/>
      </c>
      <c r="F481" s="8">
        <f>IFERROR(INDEX('PROJETO PERFURAÇÃO'!$AN:$AN,MATCH(MEDIÇÃO!D481,'PROJETO PERFURAÇÃO'!$B:$B,0)),"")</f>
        <v>0</v>
      </c>
      <c r="G481" s="3"/>
      <c r="H481" s="3"/>
      <c r="I481" s="3" t="str">
        <f>IFERROR(ROUND(INDEX('PROJETO PERFURAÇÃO'!$AB:$AB,MATCH(MEDIÇÃO!K481,'PROJETO PERFURAÇÃO'!$B:$B,0)),1)&amp;"''","")</f>
        <v>5''</v>
      </c>
      <c r="J481" s="3" t="str">
        <f>IFERROR(IF(INDEX('PROJETO PERFURAÇÃO'!$P:$P,MATCH(MEDIÇÃO!K481,'PROJETO PERFURAÇÃO'!$B:$B,0))="Production","P",IF(INDEX('PROJETO PERFURAÇÃO'!$P:$P,MATCH(MEDIÇÃO!K481,'PROJETO PERFURAÇÃO'!$B:$B,0))="Buffer","B",IF(INDEX('PROJETO PERFURAÇÃO'!$P:$P,MATCH(MEDIÇÃO!K481,'PROJETO PERFURAÇÃO'!$B:$B,0))="Pre-Splitting","S"))),"")</f>
        <v>P</v>
      </c>
      <c r="K481" s="14">
        <f t="shared" si="46"/>
        <v>1070</v>
      </c>
      <c r="L481" s="4" t="str">
        <f>IFERROR(INDEX('LEV R&amp;D'!$D:$D,MATCH(MEDIÇÃO!K481,'LEV R&amp;D'!$A:$A,0))-INDEX('PROJETO PERFURAÇÃO'!$AH:$AH,MATCH(MEDIÇÃO!K481,'PROJETO PERFURAÇÃO'!$B:$B,0)),"")</f>
        <v/>
      </c>
      <c r="M481" s="8">
        <f>IFERROR(INDEX('PROJETO PERFURAÇÃO'!$AN:$AN,MATCH(MEDIÇÃO!K481,'PROJETO PERFURAÇÃO'!$B:$B,0)),"")</f>
        <v>5</v>
      </c>
      <c r="N481" s="3"/>
      <c r="O481" s="3"/>
      <c r="P481" s="3" t="str">
        <f>IFERROR(ROUND(INDEX('PROJETO PERFURAÇÃO'!$AB:$AB,MATCH(MEDIÇÃO!R481,'PROJETO PERFURAÇÃO'!$B:$B,0)),1)&amp;"''","")</f>
        <v>5''</v>
      </c>
      <c r="Q481" s="3" t="str">
        <f>IFERROR(IF(INDEX('PROJETO PERFURAÇÃO'!$P:$P,MATCH(MEDIÇÃO!R481,'PROJETO PERFURAÇÃO'!$B:$B,0))="Production","P",IF(INDEX('PROJETO PERFURAÇÃO'!$P:$P,MATCH(MEDIÇÃO!R481,'PROJETO PERFURAÇÃO'!$B:$B,0))="Buffer","B",IF(INDEX('PROJETO PERFURAÇÃO'!$P:$P,MATCH(MEDIÇÃO!R481,'PROJETO PERFURAÇÃO'!$B:$B,0))="Pre-Splitting","S"))),"")</f>
        <v>P</v>
      </c>
      <c r="R481" s="14">
        <f t="shared" si="47"/>
        <v>1093</v>
      </c>
      <c r="S481" s="4" t="str">
        <f>IFERROR(INDEX('LEV R&amp;D'!$D:$D,MATCH(MEDIÇÃO!R481,'LEV R&amp;D'!$A:$A,0))-INDEX('PROJETO PERFURAÇÃO'!$AH:$AH,MATCH(MEDIÇÃO!R481,'PROJETO PERFURAÇÃO'!$B:$B,0)),"")</f>
        <v/>
      </c>
      <c r="T481" s="8">
        <f>IFERROR(INDEX('PROJETO PERFURAÇÃO'!$AN:$AN,MATCH(MEDIÇÃO!R481,'PROJETO PERFURAÇÃO'!$B:$B,0)),"")</f>
        <v>0</v>
      </c>
      <c r="U481" s="3"/>
      <c r="V481" s="3"/>
    </row>
    <row r="482" spans="2:22" ht="45" customHeight="1" x14ac:dyDescent="0.25">
      <c r="B482" s="3" t="str">
        <f>IFERROR(ROUND(INDEX('PROJETO PERFURAÇÃO'!$AB:$AB,MATCH(MEDIÇÃO!D482,'PROJETO PERFURAÇÃO'!$B:$B,0)),1)&amp;"''","")</f>
        <v>5''</v>
      </c>
      <c r="C482" s="3" t="str">
        <f>IFERROR(IF(INDEX('PROJETO PERFURAÇÃO'!$P:$P,MATCH(MEDIÇÃO!D482,'PROJETO PERFURAÇÃO'!$B:$B,0))="Production","P",IF(INDEX('PROJETO PERFURAÇÃO'!$P:$P,MATCH(MEDIÇÃO!D482,'PROJETO PERFURAÇÃO'!$B:$B,0))="Buffer","B",IF(INDEX('PROJETO PERFURAÇÃO'!$P:$P,MATCH(MEDIÇÃO!D482,'PROJETO PERFURAÇÃO'!$B:$B,0))="Pre-Splitting","S"))),"")</f>
        <v>P</v>
      </c>
      <c r="D482" s="14">
        <f t="shared" si="45"/>
        <v>1048</v>
      </c>
      <c r="E482" s="4" t="str">
        <f>IFERROR(INDEX('LEV R&amp;D'!$D:$D,MATCH(MEDIÇÃO!D482,'LEV R&amp;D'!$A:$A,0))-INDEX('PROJETO PERFURAÇÃO'!$AH:$AH,MATCH(MEDIÇÃO!D482,'PROJETO PERFURAÇÃO'!$B:$B,0)),"")</f>
        <v/>
      </c>
      <c r="F482" s="8">
        <f>IFERROR(INDEX('PROJETO PERFURAÇÃO'!$AN:$AN,MATCH(MEDIÇÃO!D482,'PROJETO PERFURAÇÃO'!$B:$B,0)),"")</f>
        <v>0</v>
      </c>
      <c r="G482" s="3"/>
      <c r="H482" s="3"/>
      <c r="I482" s="3" t="str">
        <f>IFERROR(ROUND(INDEX('PROJETO PERFURAÇÃO'!$AB:$AB,MATCH(MEDIÇÃO!K482,'PROJETO PERFURAÇÃO'!$B:$B,0)),1)&amp;"''","")</f>
        <v>5''</v>
      </c>
      <c r="J482" s="3" t="str">
        <f>IFERROR(IF(INDEX('PROJETO PERFURAÇÃO'!$P:$P,MATCH(MEDIÇÃO!K482,'PROJETO PERFURAÇÃO'!$B:$B,0))="Production","P",IF(INDEX('PROJETO PERFURAÇÃO'!$P:$P,MATCH(MEDIÇÃO!K482,'PROJETO PERFURAÇÃO'!$B:$B,0))="Buffer","B",IF(INDEX('PROJETO PERFURAÇÃO'!$P:$P,MATCH(MEDIÇÃO!K482,'PROJETO PERFURAÇÃO'!$B:$B,0))="Pre-Splitting","S"))),"")</f>
        <v>P</v>
      </c>
      <c r="K482" s="14">
        <f t="shared" si="46"/>
        <v>1071</v>
      </c>
      <c r="L482" s="4" t="str">
        <f>IFERROR(INDEX('LEV R&amp;D'!$D:$D,MATCH(MEDIÇÃO!K482,'LEV R&amp;D'!$A:$A,0))-INDEX('PROJETO PERFURAÇÃO'!$AH:$AH,MATCH(MEDIÇÃO!K482,'PROJETO PERFURAÇÃO'!$B:$B,0)),"")</f>
        <v/>
      </c>
      <c r="M482" s="8">
        <f>IFERROR(INDEX('PROJETO PERFURAÇÃO'!$AN:$AN,MATCH(MEDIÇÃO!K482,'PROJETO PERFURAÇÃO'!$B:$B,0)),"")</f>
        <v>0</v>
      </c>
      <c r="N482" s="3"/>
      <c r="O482" s="3"/>
      <c r="P482" s="3" t="str">
        <f>IFERROR(ROUND(INDEX('PROJETO PERFURAÇÃO'!$AB:$AB,MATCH(MEDIÇÃO!R482,'PROJETO PERFURAÇÃO'!$B:$B,0)),1)&amp;"''","")</f>
        <v>5''</v>
      </c>
      <c r="Q482" s="3" t="str">
        <f>IFERROR(IF(INDEX('PROJETO PERFURAÇÃO'!$P:$P,MATCH(MEDIÇÃO!R482,'PROJETO PERFURAÇÃO'!$B:$B,0))="Production","P",IF(INDEX('PROJETO PERFURAÇÃO'!$P:$P,MATCH(MEDIÇÃO!R482,'PROJETO PERFURAÇÃO'!$B:$B,0))="Buffer","B",IF(INDEX('PROJETO PERFURAÇÃO'!$P:$P,MATCH(MEDIÇÃO!R482,'PROJETO PERFURAÇÃO'!$B:$B,0))="Pre-Splitting","S"))),"")</f>
        <v>P</v>
      </c>
      <c r="R482" s="14">
        <f t="shared" si="47"/>
        <v>1094</v>
      </c>
      <c r="S482" s="4" t="str">
        <f>IFERROR(INDEX('LEV R&amp;D'!$D:$D,MATCH(MEDIÇÃO!R482,'LEV R&amp;D'!$A:$A,0))-INDEX('PROJETO PERFURAÇÃO'!$AH:$AH,MATCH(MEDIÇÃO!R482,'PROJETO PERFURAÇÃO'!$B:$B,0)),"")</f>
        <v/>
      </c>
      <c r="T482" s="8">
        <f>IFERROR(INDEX('PROJETO PERFURAÇÃO'!$AN:$AN,MATCH(MEDIÇÃO!R482,'PROJETO PERFURAÇÃO'!$B:$B,0)),"")</f>
        <v>0</v>
      </c>
      <c r="U482" s="3"/>
      <c r="V482" s="3"/>
    </row>
    <row r="483" spans="2:22" ht="45" customHeight="1" x14ac:dyDescent="0.25">
      <c r="B483" s="3" t="str">
        <f>IFERROR(ROUND(INDEX('PROJETO PERFURAÇÃO'!$AB:$AB,MATCH(MEDIÇÃO!D483,'PROJETO PERFURAÇÃO'!$B:$B,0)),1)&amp;"''","")</f>
        <v>5''</v>
      </c>
      <c r="C483" s="3" t="str">
        <f>IFERROR(IF(INDEX('PROJETO PERFURAÇÃO'!$P:$P,MATCH(MEDIÇÃO!D483,'PROJETO PERFURAÇÃO'!$B:$B,0))="Production","P",IF(INDEX('PROJETO PERFURAÇÃO'!$P:$P,MATCH(MEDIÇÃO!D483,'PROJETO PERFURAÇÃO'!$B:$B,0))="Buffer","B",IF(INDEX('PROJETO PERFURAÇÃO'!$P:$P,MATCH(MEDIÇÃO!D483,'PROJETO PERFURAÇÃO'!$B:$B,0))="Pre-Splitting","S"))),"")</f>
        <v>P</v>
      </c>
      <c r="D483" s="14">
        <f t="shared" si="45"/>
        <v>1049</v>
      </c>
      <c r="E483" s="4" t="str">
        <f>IFERROR(INDEX('LEV R&amp;D'!$D:$D,MATCH(MEDIÇÃO!D483,'LEV R&amp;D'!$A:$A,0))-INDEX('PROJETO PERFURAÇÃO'!$AH:$AH,MATCH(MEDIÇÃO!D483,'PROJETO PERFURAÇÃO'!$B:$B,0)),"")</f>
        <v/>
      </c>
      <c r="F483" s="8">
        <f>IFERROR(INDEX('PROJETO PERFURAÇÃO'!$AN:$AN,MATCH(MEDIÇÃO!D483,'PROJETO PERFURAÇÃO'!$B:$B,0)),"")</f>
        <v>0</v>
      </c>
      <c r="G483" s="3"/>
      <c r="H483" s="3"/>
      <c r="I483" s="3" t="str">
        <f>IFERROR(ROUND(INDEX('PROJETO PERFURAÇÃO'!$AB:$AB,MATCH(MEDIÇÃO!K483,'PROJETO PERFURAÇÃO'!$B:$B,0)),1)&amp;"''","")</f>
        <v>5''</v>
      </c>
      <c r="J483" s="3" t="str">
        <f>IFERROR(IF(INDEX('PROJETO PERFURAÇÃO'!$P:$P,MATCH(MEDIÇÃO!K483,'PROJETO PERFURAÇÃO'!$B:$B,0))="Production","P",IF(INDEX('PROJETO PERFURAÇÃO'!$P:$P,MATCH(MEDIÇÃO!K483,'PROJETO PERFURAÇÃO'!$B:$B,0))="Buffer","B",IF(INDEX('PROJETO PERFURAÇÃO'!$P:$P,MATCH(MEDIÇÃO!K483,'PROJETO PERFURAÇÃO'!$B:$B,0))="Pre-Splitting","S"))),"")</f>
        <v>P</v>
      </c>
      <c r="K483" s="14">
        <f t="shared" si="46"/>
        <v>1072</v>
      </c>
      <c r="L483" s="4" t="str">
        <f>IFERROR(INDEX('LEV R&amp;D'!$D:$D,MATCH(MEDIÇÃO!K483,'LEV R&amp;D'!$A:$A,0))-INDEX('PROJETO PERFURAÇÃO'!$AH:$AH,MATCH(MEDIÇÃO!K483,'PROJETO PERFURAÇÃO'!$B:$B,0)),"")</f>
        <v/>
      </c>
      <c r="M483" s="8">
        <f>IFERROR(INDEX('PROJETO PERFURAÇÃO'!$AN:$AN,MATCH(MEDIÇÃO!K483,'PROJETO PERFURAÇÃO'!$B:$B,0)),"")</f>
        <v>0</v>
      </c>
      <c r="N483" s="3"/>
      <c r="O483" s="3"/>
      <c r="P483" s="3" t="str">
        <f>IFERROR(ROUND(INDEX('PROJETO PERFURAÇÃO'!$AB:$AB,MATCH(MEDIÇÃO!R483,'PROJETO PERFURAÇÃO'!$B:$B,0)),1)&amp;"''","")</f>
        <v>5''</v>
      </c>
      <c r="Q483" s="3" t="str">
        <f>IFERROR(IF(INDEX('PROJETO PERFURAÇÃO'!$P:$P,MATCH(MEDIÇÃO!R483,'PROJETO PERFURAÇÃO'!$B:$B,0))="Production","P",IF(INDEX('PROJETO PERFURAÇÃO'!$P:$P,MATCH(MEDIÇÃO!R483,'PROJETO PERFURAÇÃO'!$B:$B,0))="Buffer","B",IF(INDEX('PROJETO PERFURAÇÃO'!$P:$P,MATCH(MEDIÇÃO!R483,'PROJETO PERFURAÇÃO'!$B:$B,0))="Pre-Splitting","S"))),"")</f>
        <v>P</v>
      </c>
      <c r="R483" s="14">
        <f t="shared" si="47"/>
        <v>1095</v>
      </c>
      <c r="S483" s="4" t="str">
        <f>IFERROR(INDEX('LEV R&amp;D'!$D:$D,MATCH(MEDIÇÃO!R483,'LEV R&amp;D'!$A:$A,0))-INDEX('PROJETO PERFURAÇÃO'!$AH:$AH,MATCH(MEDIÇÃO!R483,'PROJETO PERFURAÇÃO'!$B:$B,0)),"")</f>
        <v/>
      </c>
      <c r="T483" s="8">
        <f>IFERROR(INDEX('PROJETO PERFURAÇÃO'!$AN:$AN,MATCH(MEDIÇÃO!R483,'PROJETO PERFURAÇÃO'!$B:$B,0)),"")</f>
        <v>0</v>
      </c>
      <c r="U483" s="3"/>
      <c r="V483" s="3"/>
    </row>
    <row r="484" spans="2:22" ht="45" customHeight="1" x14ac:dyDescent="0.25">
      <c r="B484" s="3" t="str">
        <f>IFERROR(ROUND(INDEX('PROJETO PERFURAÇÃO'!$AB:$AB,MATCH(MEDIÇÃO!D484,'PROJETO PERFURAÇÃO'!$B:$B,0)),1)&amp;"''","")</f>
        <v>5''</v>
      </c>
      <c r="C484" s="3" t="str">
        <f>IFERROR(IF(INDEX('PROJETO PERFURAÇÃO'!$P:$P,MATCH(MEDIÇÃO!D484,'PROJETO PERFURAÇÃO'!$B:$B,0))="Production","P",IF(INDEX('PROJETO PERFURAÇÃO'!$P:$P,MATCH(MEDIÇÃO!D484,'PROJETO PERFURAÇÃO'!$B:$B,0))="Buffer","B",IF(INDEX('PROJETO PERFURAÇÃO'!$P:$P,MATCH(MEDIÇÃO!D484,'PROJETO PERFURAÇÃO'!$B:$B,0))="Pre-Splitting","S"))),"")</f>
        <v>P</v>
      </c>
      <c r="D484" s="14">
        <f t="shared" si="45"/>
        <v>1050</v>
      </c>
      <c r="E484" s="4" t="str">
        <f>IFERROR(INDEX('LEV R&amp;D'!$D:$D,MATCH(MEDIÇÃO!D484,'LEV R&amp;D'!$A:$A,0))-INDEX('PROJETO PERFURAÇÃO'!$AH:$AH,MATCH(MEDIÇÃO!D484,'PROJETO PERFURAÇÃO'!$B:$B,0)),"")</f>
        <v/>
      </c>
      <c r="F484" s="8">
        <f>IFERROR(INDEX('PROJETO PERFURAÇÃO'!$AN:$AN,MATCH(MEDIÇÃO!D484,'PROJETO PERFURAÇÃO'!$B:$B,0)),"")</f>
        <v>0</v>
      </c>
      <c r="G484" s="3"/>
      <c r="H484" s="3"/>
      <c r="I484" s="3" t="str">
        <f>IFERROR(ROUND(INDEX('PROJETO PERFURAÇÃO'!$AB:$AB,MATCH(MEDIÇÃO!K484,'PROJETO PERFURAÇÃO'!$B:$B,0)),1)&amp;"''","")</f>
        <v>5''</v>
      </c>
      <c r="J484" s="3" t="str">
        <f>IFERROR(IF(INDEX('PROJETO PERFURAÇÃO'!$P:$P,MATCH(MEDIÇÃO!K484,'PROJETO PERFURAÇÃO'!$B:$B,0))="Production","P",IF(INDEX('PROJETO PERFURAÇÃO'!$P:$P,MATCH(MEDIÇÃO!K484,'PROJETO PERFURAÇÃO'!$B:$B,0))="Buffer","B",IF(INDEX('PROJETO PERFURAÇÃO'!$P:$P,MATCH(MEDIÇÃO!K484,'PROJETO PERFURAÇÃO'!$B:$B,0))="Pre-Splitting","S"))),"")</f>
        <v>P</v>
      </c>
      <c r="K484" s="14">
        <f t="shared" si="46"/>
        <v>1073</v>
      </c>
      <c r="L484" s="4" t="str">
        <f>IFERROR(INDEX('LEV R&amp;D'!$D:$D,MATCH(MEDIÇÃO!K484,'LEV R&amp;D'!$A:$A,0))-INDEX('PROJETO PERFURAÇÃO'!$AH:$AH,MATCH(MEDIÇÃO!K484,'PROJETO PERFURAÇÃO'!$B:$B,0)),"")</f>
        <v/>
      </c>
      <c r="M484" s="8">
        <f>IFERROR(INDEX('PROJETO PERFURAÇÃO'!$AN:$AN,MATCH(MEDIÇÃO!K484,'PROJETO PERFURAÇÃO'!$B:$B,0)),"")</f>
        <v>0</v>
      </c>
      <c r="N484" s="3"/>
      <c r="O484" s="3"/>
      <c r="P484" s="3" t="str">
        <f>IFERROR(ROUND(INDEX('PROJETO PERFURAÇÃO'!$AB:$AB,MATCH(MEDIÇÃO!R484,'PROJETO PERFURAÇÃO'!$B:$B,0)),1)&amp;"''","")</f>
        <v>5''</v>
      </c>
      <c r="Q484" s="3" t="str">
        <f>IFERROR(IF(INDEX('PROJETO PERFURAÇÃO'!$P:$P,MATCH(MEDIÇÃO!R484,'PROJETO PERFURAÇÃO'!$B:$B,0))="Production","P",IF(INDEX('PROJETO PERFURAÇÃO'!$P:$P,MATCH(MEDIÇÃO!R484,'PROJETO PERFURAÇÃO'!$B:$B,0))="Buffer","B",IF(INDEX('PROJETO PERFURAÇÃO'!$P:$P,MATCH(MEDIÇÃO!R484,'PROJETO PERFURAÇÃO'!$B:$B,0))="Pre-Splitting","S"))),"")</f>
        <v>P</v>
      </c>
      <c r="R484" s="14">
        <f t="shared" si="47"/>
        <v>1096</v>
      </c>
      <c r="S484" s="4" t="str">
        <f>IFERROR(INDEX('LEV R&amp;D'!$D:$D,MATCH(MEDIÇÃO!R484,'LEV R&amp;D'!$A:$A,0))-INDEX('PROJETO PERFURAÇÃO'!$AH:$AH,MATCH(MEDIÇÃO!R484,'PROJETO PERFURAÇÃO'!$B:$B,0)),"")</f>
        <v/>
      </c>
      <c r="T484" s="8">
        <f>IFERROR(INDEX('PROJETO PERFURAÇÃO'!$AN:$AN,MATCH(MEDIÇÃO!R484,'PROJETO PERFURAÇÃO'!$B:$B,0)),"")</f>
        <v>0</v>
      </c>
      <c r="U484" s="3"/>
      <c r="V484" s="3"/>
    </row>
    <row r="485" spans="2:22" ht="45" customHeight="1" x14ac:dyDescent="0.25">
      <c r="B485" s="3" t="str">
        <f>IFERROR(ROUND(INDEX('PROJETO PERFURAÇÃO'!$AB:$AB,MATCH(MEDIÇÃO!D485,'PROJETO PERFURAÇÃO'!$B:$B,0)),1)&amp;"''","")</f>
        <v>5''</v>
      </c>
      <c r="C485" s="3" t="str">
        <f>IFERROR(IF(INDEX('PROJETO PERFURAÇÃO'!$P:$P,MATCH(MEDIÇÃO!D485,'PROJETO PERFURAÇÃO'!$B:$B,0))="Production","P",IF(INDEX('PROJETO PERFURAÇÃO'!$P:$P,MATCH(MEDIÇÃO!D485,'PROJETO PERFURAÇÃO'!$B:$B,0))="Buffer","B",IF(INDEX('PROJETO PERFURAÇÃO'!$P:$P,MATCH(MEDIÇÃO!D485,'PROJETO PERFURAÇÃO'!$B:$B,0))="Pre-Splitting","S"))),"")</f>
        <v>P</v>
      </c>
      <c r="D485" s="14">
        <f t="shared" si="45"/>
        <v>1051</v>
      </c>
      <c r="E485" s="4" t="str">
        <f>IFERROR(INDEX('LEV R&amp;D'!$D:$D,MATCH(MEDIÇÃO!D485,'LEV R&amp;D'!$A:$A,0))-INDEX('PROJETO PERFURAÇÃO'!$AH:$AH,MATCH(MEDIÇÃO!D485,'PROJETO PERFURAÇÃO'!$B:$B,0)),"")</f>
        <v/>
      </c>
      <c r="F485" s="8">
        <f>IFERROR(INDEX('PROJETO PERFURAÇÃO'!$AN:$AN,MATCH(MEDIÇÃO!D485,'PROJETO PERFURAÇÃO'!$B:$B,0)),"")</f>
        <v>0</v>
      </c>
      <c r="G485" s="3"/>
      <c r="H485" s="3"/>
      <c r="I485" s="3" t="str">
        <f>IFERROR(ROUND(INDEX('PROJETO PERFURAÇÃO'!$AB:$AB,MATCH(MEDIÇÃO!K485,'PROJETO PERFURAÇÃO'!$B:$B,0)),1)&amp;"''","")</f>
        <v>5''</v>
      </c>
      <c r="J485" s="3" t="str">
        <f>IFERROR(IF(INDEX('PROJETO PERFURAÇÃO'!$P:$P,MATCH(MEDIÇÃO!K485,'PROJETO PERFURAÇÃO'!$B:$B,0))="Production","P",IF(INDEX('PROJETO PERFURAÇÃO'!$P:$P,MATCH(MEDIÇÃO!K485,'PROJETO PERFURAÇÃO'!$B:$B,0))="Buffer","B",IF(INDEX('PROJETO PERFURAÇÃO'!$P:$P,MATCH(MEDIÇÃO!K485,'PROJETO PERFURAÇÃO'!$B:$B,0))="Pre-Splitting","S"))),"")</f>
        <v>P</v>
      </c>
      <c r="K485" s="14">
        <f t="shared" si="46"/>
        <v>1074</v>
      </c>
      <c r="L485" s="4" t="str">
        <f>IFERROR(INDEX('LEV R&amp;D'!$D:$D,MATCH(MEDIÇÃO!K485,'LEV R&amp;D'!$A:$A,0))-INDEX('PROJETO PERFURAÇÃO'!$AH:$AH,MATCH(MEDIÇÃO!K485,'PROJETO PERFURAÇÃO'!$B:$B,0)),"")</f>
        <v/>
      </c>
      <c r="M485" s="8">
        <f>IFERROR(INDEX('PROJETO PERFURAÇÃO'!$AN:$AN,MATCH(MEDIÇÃO!K485,'PROJETO PERFURAÇÃO'!$B:$B,0)),"")</f>
        <v>0</v>
      </c>
      <c r="N485" s="3"/>
      <c r="O485" s="3"/>
      <c r="P485" s="3" t="str">
        <f>IFERROR(ROUND(INDEX('PROJETO PERFURAÇÃO'!$AB:$AB,MATCH(MEDIÇÃO!R485,'PROJETO PERFURAÇÃO'!$B:$B,0)),1)&amp;"''","")</f>
        <v>5''</v>
      </c>
      <c r="Q485" s="3" t="str">
        <f>IFERROR(IF(INDEX('PROJETO PERFURAÇÃO'!$P:$P,MATCH(MEDIÇÃO!R485,'PROJETO PERFURAÇÃO'!$B:$B,0))="Production","P",IF(INDEX('PROJETO PERFURAÇÃO'!$P:$P,MATCH(MEDIÇÃO!R485,'PROJETO PERFURAÇÃO'!$B:$B,0))="Buffer","B",IF(INDEX('PROJETO PERFURAÇÃO'!$P:$P,MATCH(MEDIÇÃO!R485,'PROJETO PERFURAÇÃO'!$B:$B,0))="Pre-Splitting","S"))),"")</f>
        <v>P</v>
      </c>
      <c r="R485" s="14">
        <f t="shared" si="47"/>
        <v>1097</v>
      </c>
      <c r="S485" s="4" t="str">
        <f>IFERROR(INDEX('LEV R&amp;D'!$D:$D,MATCH(MEDIÇÃO!R485,'LEV R&amp;D'!$A:$A,0))-INDEX('PROJETO PERFURAÇÃO'!$AH:$AH,MATCH(MEDIÇÃO!R485,'PROJETO PERFURAÇÃO'!$B:$B,0)),"")</f>
        <v/>
      </c>
      <c r="T485" s="8">
        <f>IFERROR(INDEX('PROJETO PERFURAÇÃO'!$AN:$AN,MATCH(MEDIÇÃO!R485,'PROJETO PERFURAÇÃO'!$B:$B,0)),"")</f>
        <v>0</v>
      </c>
      <c r="U485" s="3"/>
      <c r="V485" s="3"/>
    </row>
    <row r="486" spans="2:22" ht="45" customHeight="1" x14ac:dyDescent="0.25">
      <c r="B486" s="3" t="str">
        <f>IFERROR(ROUND(INDEX('PROJETO PERFURAÇÃO'!$AB:$AB,MATCH(MEDIÇÃO!D486,'PROJETO PERFURAÇÃO'!$B:$B,0)),1)&amp;"''","")</f>
        <v>5''</v>
      </c>
      <c r="C486" s="3" t="str">
        <f>IFERROR(IF(INDEX('PROJETO PERFURAÇÃO'!$P:$P,MATCH(MEDIÇÃO!D486,'PROJETO PERFURAÇÃO'!$B:$B,0))="Production","P",IF(INDEX('PROJETO PERFURAÇÃO'!$P:$P,MATCH(MEDIÇÃO!D486,'PROJETO PERFURAÇÃO'!$B:$B,0))="Buffer","B",IF(INDEX('PROJETO PERFURAÇÃO'!$P:$P,MATCH(MEDIÇÃO!D486,'PROJETO PERFURAÇÃO'!$B:$B,0))="Pre-Splitting","S"))),"")</f>
        <v>P</v>
      </c>
      <c r="D486" s="14">
        <f t="shared" si="45"/>
        <v>1052</v>
      </c>
      <c r="E486" s="4" t="str">
        <f>IFERROR(INDEX('LEV R&amp;D'!$D:$D,MATCH(MEDIÇÃO!D486,'LEV R&amp;D'!$A:$A,0))-INDEX('PROJETO PERFURAÇÃO'!$AH:$AH,MATCH(MEDIÇÃO!D486,'PROJETO PERFURAÇÃO'!$B:$B,0)),"")</f>
        <v/>
      </c>
      <c r="F486" s="8">
        <f>IFERROR(INDEX('PROJETO PERFURAÇÃO'!$AN:$AN,MATCH(MEDIÇÃO!D486,'PROJETO PERFURAÇÃO'!$B:$B,0)),"")</f>
        <v>0</v>
      </c>
      <c r="G486" s="3"/>
      <c r="H486" s="3"/>
      <c r="I486" s="3" t="str">
        <f>IFERROR(ROUND(INDEX('PROJETO PERFURAÇÃO'!$AB:$AB,MATCH(MEDIÇÃO!K486,'PROJETO PERFURAÇÃO'!$B:$B,0)),1)&amp;"''","")</f>
        <v>5''</v>
      </c>
      <c r="J486" s="3" t="str">
        <f>IFERROR(IF(INDEX('PROJETO PERFURAÇÃO'!$P:$P,MATCH(MEDIÇÃO!K486,'PROJETO PERFURAÇÃO'!$B:$B,0))="Production","P",IF(INDEX('PROJETO PERFURAÇÃO'!$P:$P,MATCH(MEDIÇÃO!K486,'PROJETO PERFURAÇÃO'!$B:$B,0))="Buffer","B",IF(INDEX('PROJETO PERFURAÇÃO'!$P:$P,MATCH(MEDIÇÃO!K486,'PROJETO PERFURAÇÃO'!$B:$B,0))="Pre-Splitting","S"))),"")</f>
        <v>P</v>
      </c>
      <c r="K486" s="14">
        <f t="shared" si="46"/>
        <v>1075</v>
      </c>
      <c r="L486" s="4" t="str">
        <f>IFERROR(INDEX('LEV R&amp;D'!$D:$D,MATCH(MEDIÇÃO!K486,'LEV R&amp;D'!$A:$A,0))-INDEX('PROJETO PERFURAÇÃO'!$AH:$AH,MATCH(MEDIÇÃO!K486,'PROJETO PERFURAÇÃO'!$B:$B,0)),"")</f>
        <v/>
      </c>
      <c r="M486" s="8">
        <f>IFERROR(INDEX('PROJETO PERFURAÇÃO'!$AN:$AN,MATCH(MEDIÇÃO!K486,'PROJETO PERFURAÇÃO'!$B:$B,0)),"")</f>
        <v>0</v>
      </c>
      <c r="N486" s="3"/>
      <c r="O486" s="3"/>
      <c r="P486" s="3" t="str">
        <f>IFERROR(ROUND(INDEX('PROJETO PERFURAÇÃO'!$AB:$AB,MATCH(MEDIÇÃO!R486,'PROJETO PERFURAÇÃO'!$B:$B,0)),1)&amp;"''","")</f>
        <v>5''</v>
      </c>
      <c r="Q486" s="3" t="str">
        <f>IFERROR(IF(INDEX('PROJETO PERFURAÇÃO'!$P:$P,MATCH(MEDIÇÃO!R486,'PROJETO PERFURAÇÃO'!$B:$B,0))="Production","P",IF(INDEX('PROJETO PERFURAÇÃO'!$P:$P,MATCH(MEDIÇÃO!R486,'PROJETO PERFURAÇÃO'!$B:$B,0))="Buffer","B",IF(INDEX('PROJETO PERFURAÇÃO'!$P:$P,MATCH(MEDIÇÃO!R486,'PROJETO PERFURAÇÃO'!$B:$B,0))="Pre-Splitting","S"))),"")</f>
        <v>P</v>
      </c>
      <c r="R486" s="14">
        <f t="shared" si="47"/>
        <v>1098</v>
      </c>
      <c r="S486" s="4" t="str">
        <f>IFERROR(INDEX('LEV R&amp;D'!$D:$D,MATCH(MEDIÇÃO!R486,'LEV R&amp;D'!$A:$A,0))-INDEX('PROJETO PERFURAÇÃO'!$AH:$AH,MATCH(MEDIÇÃO!R486,'PROJETO PERFURAÇÃO'!$B:$B,0)),"")</f>
        <v/>
      </c>
      <c r="T486" s="8">
        <f>IFERROR(INDEX('PROJETO PERFURAÇÃO'!$AN:$AN,MATCH(MEDIÇÃO!R486,'PROJETO PERFURAÇÃO'!$B:$B,0)),"")</f>
        <v>0</v>
      </c>
      <c r="U486" s="3"/>
      <c r="V486" s="3"/>
    </row>
    <row r="487" spans="2:22" ht="45" customHeight="1" x14ac:dyDescent="0.25">
      <c r="B487" s="3" t="str">
        <f>IFERROR(ROUND(INDEX('PROJETO PERFURAÇÃO'!$AB:$AB,MATCH(MEDIÇÃO!D487,'PROJETO PERFURAÇÃO'!$B:$B,0)),1)&amp;"''","")</f>
        <v>5''</v>
      </c>
      <c r="C487" s="3" t="str">
        <f>IFERROR(IF(INDEX('PROJETO PERFURAÇÃO'!$P:$P,MATCH(MEDIÇÃO!D487,'PROJETO PERFURAÇÃO'!$B:$B,0))="Production","P",IF(INDEX('PROJETO PERFURAÇÃO'!$P:$P,MATCH(MEDIÇÃO!D487,'PROJETO PERFURAÇÃO'!$B:$B,0))="Buffer","B",IF(INDEX('PROJETO PERFURAÇÃO'!$P:$P,MATCH(MEDIÇÃO!D487,'PROJETO PERFURAÇÃO'!$B:$B,0))="Pre-Splitting","S"))),"")</f>
        <v>P</v>
      </c>
      <c r="D487" s="14">
        <f t="shared" si="45"/>
        <v>1053</v>
      </c>
      <c r="E487" s="4" t="str">
        <f>IFERROR(INDEX('LEV R&amp;D'!$D:$D,MATCH(MEDIÇÃO!D487,'LEV R&amp;D'!$A:$A,0))-INDEX('PROJETO PERFURAÇÃO'!$AH:$AH,MATCH(MEDIÇÃO!D487,'PROJETO PERFURAÇÃO'!$B:$B,0)),"")</f>
        <v/>
      </c>
      <c r="F487" s="8">
        <f>IFERROR(INDEX('PROJETO PERFURAÇÃO'!$AN:$AN,MATCH(MEDIÇÃO!D487,'PROJETO PERFURAÇÃO'!$B:$B,0)),"")</f>
        <v>0</v>
      </c>
      <c r="G487" s="3"/>
      <c r="H487" s="3"/>
      <c r="I487" s="3" t="str">
        <f>IFERROR(ROUND(INDEX('PROJETO PERFURAÇÃO'!$AB:$AB,MATCH(MEDIÇÃO!K487,'PROJETO PERFURAÇÃO'!$B:$B,0)),1)&amp;"''","")</f>
        <v>5''</v>
      </c>
      <c r="J487" s="3" t="str">
        <f>IFERROR(IF(INDEX('PROJETO PERFURAÇÃO'!$P:$P,MATCH(MEDIÇÃO!K487,'PROJETO PERFURAÇÃO'!$B:$B,0))="Production","P",IF(INDEX('PROJETO PERFURAÇÃO'!$P:$P,MATCH(MEDIÇÃO!K487,'PROJETO PERFURAÇÃO'!$B:$B,0))="Buffer","B",IF(INDEX('PROJETO PERFURAÇÃO'!$P:$P,MATCH(MEDIÇÃO!K487,'PROJETO PERFURAÇÃO'!$B:$B,0))="Pre-Splitting","S"))),"")</f>
        <v>P</v>
      </c>
      <c r="K487" s="14">
        <f t="shared" si="46"/>
        <v>1076</v>
      </c>
      <c r="L487" s="4" t="str">
        <f>IFERROR(INDEX('LEV R&amp;D'!$D:$D,MATCH(MEDIÇÃO!K487,'LEV R&amp;D'!$A:$A,0))-INDEX('PROJETO PERFURAÇÃO'!$AH:$AH,MATCH(MEDIÇÃO!K487,'PROJETO PERFURAÇÃO'!$B:$B,0)),"")</f>
        <v/>
      </c>
      <c r="M487" s="8">
        <f>IFERROR(INDEX('PROJETO PERFURAÇÃO'!$AN:$AN,MATCH(MEDIÇÃO!K487,'PROJETO PERFURAÇÃO'!$B:$B,0)),"")</f>
        <v>0</v>
      </c>
      <c r="N487" s="3"/>
      <c r="O487" s="3"/>
      <c r="P487" s="3" t="str">
        <f>IFERROR(ROUND(INDEX('PROJETO PERFURAÇÃO'!$AB:$AB,MATCH(MEDIÇÃO!R487,'PROJETO PERFURAÇÃO'!$B:$B,0)),1)&amp;"''","")</f>
        <v>5''</v>
      </c>
      <c r="Q487" s="3" t="str">
        <f>IFERROR(IF(INDEX('PROJETO PERFURAÇÃO'!$P:$P,MATCH(MEDIÇÃO!R487,'PROJETO PERFURAÇÃO'!$B:$B,0))="Production","P",IF(INDEX('PROJETO PERFURAÇÃO'!$P:$P,MATCH(MEDIÇÃO!R487,'PROJETO PERFURAÇÃO'!$B:$B,0))="Buffer","B",IF(INDEX('PROJETO PERFURAÇÃO'!$P:$P,MATCH(MEDIÇÃO!R487,'PROJETO PERFURAÇÃO'!$B:$B,0))="Pre-Splitting","S"))),"")</f>
        <v>P</v>
      </c>
      <c r="R487" s="14">
        <f t="shared" si="47"/>
        <v>1099</v>
      </c>
      <c r="S487" s="4" t="str">
        <f>IFERROR(INDEX('LEV R&amp;D'!$D:$D,MATCH(MEDIÇÃO!R487,'LEV R&amp;D'!$A:$A,0))-INDEX('PROJETO PERFURAÇÃO'!$AH:$AH,MATCH(MEDIÇÃO!R487,'PROJETO PERFURAÇÃO'!$B:$B,0)),"")</f>
        <v/>
      </c>
      <c r="T487" s="8">
        <f>IFERROR(INDEX('PROJETO PERFURAÇÃO'!$AN:$AN,MATCH(MEDIÇÃO!R487,'PROJETO PERFURAÇÃO'!$B:$B,0)),"")</f>
        <v>0</v>
      </c>
      <c r="U487" s="3"/>
      <c r="V487" s="3"/>
    </row>
    <row r="488" spans="2:22" ht="45" customHeight="1" x14ac:dyDescent="0.25">
      <c r="B488" s="3" t="str">
        <f>IFERROR(ROUND(INDEX('PROJETO PERFURAÇÃO'!$AB:$AB,MATCH(MEDIÇÃO!D488,'PROJETO PERFURAÇÃO'!$B:$B,0)),1)&amp;"''","")</f>
        <v>5''</v>
      </c>
      <c r="C488" s="3" t="str">
        <f>IFERROR(IF(INDEX('PROJETO PERFURAÇÃO'!$P:$P,MATCH(MEDIÇÃO!D488,'PROJETO PERFURAÇÃO'!$B:$B,0))="Production","P",IF(INDEX('PROJETO PERFURAÇÃO'!$P:$P,MATCH(MEDIÇÃO!D488,'PROJETO PERFURAÇÃO'!$B:$B,0))="Buffer","B",IF(INDEX('PROJETO PERFURAÇÃO'!$P:$P,MATCH(MEDIÇÃO!D488,'PROJETO PERFURAÇÃO'!$B:$B,0))="Pre-Splitting","S"))),"")</f>
        <v>P</v>
      </c>
      <c r="D488" s="14">
        <f t="shared" si="45"/>
        <v>1054</v>
      </c>
      <c r="E488" s="4" t="str">
        <f>IFERROR(INDEX('LEV R&amp;D'!$D:$D,MATCH(MEDIÇÃO!D488,'LEV R&amp;D'!$A:$A,0))-INDEX('PROJETO PERFURAÇÃO'!$AH:$AH,MATCH(MEDIÇÃO!D488,'PROJETO PERFURAÇÃO'!$B:$B,0)),"")</f>
        <v/>
      </c>
      <c r="F488" s="8">
        <f>IFERROR(INDEX('PROJETO PERFURAÇÃO'!$AN:$AN,MATCH(MEDIÇÃO!D488,'PROJETO PERFURAÇÃO'!$B:$B,0)),"")</f>
        <v>0</v>
      </c>
      <c r="G488" s="3"/>
      <c r="H488" s="3"/>
      <c r="I488" s="3" t="str">
        <f>IFERROR(ROUND(INDEX('PROJETO PERFURAÇÃO'!$AB:$AB,MATCH(MEDIÇÃO!K488,'PROJETO PERFURAÇÃO'!$B:$B,0)),1)&amp;"''","")</f>
        <v>5''</v>
      </c>
      <c r="J488" s="3" t="str">
        <f>IFERROR(IF(INDEX('PROJETO PERFURAÇÃO'!$P:$P,MATCH(MEDIÇÃO!K488,'PROJETO PERFURAÇÃO'!$B:$B,0))="Production","P",IF(INDEX('PROJETO PERFURAÇÃO'!$P:$P,MATCH(MEDIÇÃO!K488,'PROJETO PERFURAÇÃO'!$B:$B,0))="Buffer","B",IF(INDEX('PROJETO PERFURAÇÃO'!$P:$P,MATCH(MEDIÇÃO!K488,'PROJETO PERFURAÇÃO'!$B:$B,0))="Pre-Splitting","S"))),"")</f>
        <v>P</v>
      </c>
      <c r="K488" s="14">
        <f t="shared" si="46"/>
        <v>1077</v>
      </c>
      <c r="L488" s="4" t="str">
        <f>IFERROR(INDEX('LEV R&amp;D'!$D:$D,MATCH(MEDIÇÃO!K488,'LEV R&amp;D'!$A:$A,0))-INDEX('PROJETO PERFURAÇÃO'!$AH:$AH,MATCH(MEDIÇÃO!K488,'PROJETO PERFURAÇÃO'!$B:$B,0)),"")</f>
        <v/>
      </c>
      <c r="M488" s="8">
        <f>IFERROR(INDEX('PROJETO PERFURAÇÃO'!$AN:$AN,MATCH(MEDIÇÃO!K488,'PROJETO PERFURAÇÃO'!$B:$B,0)),"")</f>
        <v>0</v>
      </c>
      <c r="N488" s="3"/>
      <c r="O488" s="3"/>
      <c r="P488" s="3" t="str">
        <f>IFERROR(ROUND(INDEX('PROJETO PERFURAÇÃO'!$AB:$AB,MATCH(MEDIÇÃO!R488,'PROJETO PERFURAÇÃO'!$B:$B,0)),1)&amp;"''","")</f>
        <v>5''</v>
      </c>
      <c r="Q488" s="3" t="str">
        <f>IFERROR(IF(INDEX('PROJETO PERFURAÇÃO'!$P:$P,MATCH(MEDIÇÃO!R488,'PROJETO PERFURAÇÃO'!$B:$B,0))="Production","P",IF(INDEX('PROJETO PERFURAÇÃO'!$P:$P,MATCH(MEDIÇÃO!R488,'PROJETO PERFURAÇÃO'!$B:$B,0))="Buffer","B",IF(INDEX('PROJETO PERFURAÇÃO'!$P:$P,MATCH(MEDIÇÃO!R488,'PROJETO PERFURAÇÃO'!$B:$B,0))="Pre-Splitting","S"))),"")</f>
        <v>P</v>
      </c>
      <c r="R488" s="14">
        <f t="shared" si="47"/>
        <v>1100</v>
      </c>
      <c r="S488" s="4" t="str">
        <f>IFERROR(INDEX('LEV R&amp;D'!$D:$D,MATCH(MEDIÇÃO!R488,'LEV R&amp;D'!$A:$A,0))-INDEX('PROJETO PERFURAÇÃO'!$AH:$AH,MATCH(MEDIÇÃO!R488,'PROJETO PERFURAÇÃO'!$B:$B,0)),"")</f>
        <v/>
      </c>
      <c r="T488" s="8">
        <f>IFERROR(INDEX('PROJETO PERFURAÇÃO'!$AN:$AN,MATCH(MEDIÇÃO!R488,'PROJETO PERFURAÇÃO'!$B:$B,0)),"")</f>
        <v>0</v>
      </c>
      <c r="U488" s="3"/>
      <c r="V488" s="3"/>
    </row>
    <row r="489" spans="2:22" ht="45" customHeight="1" x14ac:dyDescent="0.25">
      <c r="B489" s="3" t="str">
        <f>IFERROR(ROUND(INDEX('PROJETO PERFURAÇÃO'!$AB:$AB,MATCH(MEDIÇÃO!D489,'PROJETO PERFURAÇÃO'!$B:$B,0)),1)&amp;"''","")</f>
        <v>5''</v>
      </c>
      <c r="C489" s="3" t="str">
        <f>IFERROR(IF(INDEX('PROJETO PERFURAÇÃO'!$P:$P,MATCH(MEDIÇÃO!D489,'PROJETO PERFURAÇÃO'!$B:$B,0))="Production","P",IF(INDEX('PROJETO PERFURAÇÃO'!$P:$P,MATCH(MEDIÇÃO!D489,'PROJETO PERFURAÇÃO'!$B:$B,0))="Buffer","B",IF(INDEX('PROJETO PERFURAÇÃO'!$P:$P,MATCH(MEDIÇÃO!D489,'PROJETO PERFURAÇÃO'!$B:$B,0))="Pre-Splitting","S"))),"")</f>
        <v>P</v>
      </c>
      <c r="D489" s="14">
        <f t="shared" si="45"/>
        <v>1055</v>
      </c>
      <c r="E489" s="4" t="str">
        <f>IFERROR(INDEX('LEV R&amp;D'!$D:$D,MATCH(MEDIÇÃO!D489,'LEV R&amp;D'!$A:$A,0))-INDEX('PROJETO PERFURAÇÃO'!$AH:$AH,MATCH(MEDIÇÃO!D489,'PROJETO PERFURAÇÃO'!$B:$B,0)),"")</f>
        <v/>
      </c>
      <c r="F489" s="8">
        <f>IFERROR(INDEX('PROJETO PERFURAÇÃO'!$AN:$AN,MATCH(MEDIÇÃO!D489,'PROJETO PERFURAÇÃO'!$B:$B,0)),"")</f>
        <v>0</v>
      </c>
      <c r="G489" s="3"/>
      <c r="H489" s="3"/>
      <c r="I489" s="3" t="str">
        <f>IFERROR(ROUND(INDEX('PROJETO PERFURAÇÃO'!$AB:$AB,MATCH(MEDIÇÃO!K489,'PROJETO PERFURAÇÃO'!$B:$B,0)),1)&amp;"''","")</f>
        <v>5''</v>
      </c>
      <c r="J489" s="3" t="str">
        <f>IFERROR(IF(INDEX('PROJETO PERFURAÇÃO'!$P:$P,MATCH(MEDIÇÃO!K489,'PROJETO PERFURAÇÃO'!$B:$B,0))="Production","P",IF(INDEX('PROJETO PERFURAÇÃO'!$P:$P,MATCH(MEDIÇÃO!K489,'PROJETO PERFURAÇÃO'!$B:$B,0))="Buffer","B",IF(INDEX('PROJETO PERFURAÇÃO'!$P:$P,MATCH(MEDIÇÃO!K489,'PROJETO PERFURAÇÃO'!$B:$B,0))="Pre-Splitting","S"))),"")</f>
        <v>P</v>
      </c>
      <c r="K489" s="14">
        <f t="shared" si="46"/>
        <v>1078</v>
      </c>
      <c r="L489" s="4" t="str">
        <f>IFERROR(INDEX('LEV R&amp;D'!$D:$D,MATCH(MEDIÇÃO!K489,'LEV R&amp;D'!$A:$A,0))-INDEX('PROJETO PERFURAÇÃO'!$AH:$AH,MATCH(MEDIÇÃO!K489,'PROJETO PERFURAÇÃO'!$B:$B,0)),"")</f>
        <v/>
      </c>
      <c r="M489" s="8">
        <f>IFERROR(INDEX('PROJETO PERFURAÇÃO'!$AN:$AN,MATCH(MEDIÇÃO!K489,'PROJETO PERFURAÇÃO'!$B:$B,0)),"")</f>
        <v>0</v>
      </c>
      <c r="N489" s="3"/>
      <c r="O489" s="3"/>
      <c r="P489" s="3" t="str">
        <f>IFERROR(ROUND(INDEX('PROJETO PERFURAÇÃO'!$AB:$AB,MATCH(MEDIÇÃO!R489,'PROJETO PERFURAÇÃO'!$B:$B,0)),1)&amp;"''","")</f>
        <v>5''</v>
      </c>
      <c r="Q489" s="3" t="str">
        <f>IFERROR(IF(INDEX('PROJETO PERFURAÇÃO'!$P:$P,MATCH(MEDIÇÃO!R489,'PROJETO PERFURAÇÃO'!$B:$B,0))="Production","P",IF(INDEX('PROJETO PERFURAÇÃO'!$P:$P,MATCH(MEDIÇÃO!R489,'PROJETO PERFURAÇÃO'!$B:$B,0))="Buffer","B",IF(INDEX('PROJETO PERFURAÇÃO'!$P:$P,MATCH(MEDIÇÃO!R489,'PROJETO PERFURAÇÃO'!$B:$B,0))="Pre-Splitting","S"))),"")</f>
        <v>P</v>
      </c>
      <c r="R489" s="14">
        <f t="shared" si="47"/>
        <v>1101</v>
      </c>
      <c r="S489" s="4" t="str">
        <f>IFERROR(INDEX('LEV R&amp;D'!$D:$D,MATCH(MEDIÇÃO!R489,'LEV R&amp;D'!$A:$A,0))-INDEX('PROJETO PERFURAÇÃO'!$AH:$AH,MATCH(MEDIÇÃO!R489,'PROJETO PERFURAÇÃO'!$B:$B,0)),"")</f>
        <v/>
      </c>
      <c r="T489" s="8">
        <f>IFERROR(INDEX('PROJETO PERFURAÇÃO'!$AN:$AN,MATCH(MEDIÇÃO!R489,'PROJETO PERFURAÇÃO'!$B:$B,0)),"")</f>
        <v>0</v>
      </c>
      <c r="U489" s="3"/>
      <c r="V489" s="3"/>
    </row>
    <row r="490" spans="2:22" ht="45" customHeight="1" x14ac:dyDescent="0.25">
      <c r="B490" s="3" t="str">
        <f>IFERROR(ROUND(INDEX('PROJETO PERFURAÇÃO'!$AB:$AB,MATCH(MEDIÇÃO!D490,'PROJETO PERFURAÇÃO'!$B:$B,0)),1)&amp;"''","")</f>
        <v>5''</v>
      </c>
      <c r="C490" s="3" t="str">
        <f>IFERROR(IF(INDEX('PROJETO PERFURAÇÃO'!$P:$P,MATCH(MEDIÇÃO!D490,'PROJETO PERFURAÇÃO'!$B:$B,0))="Production","P",IF(INDEX('PROJETO PERFURAÇÃO'!$P:$P,MATCH(MEDIÇÃO!D490,'PROJETO PERFURAÇÃO'!$B:$B,0))="Buffer","B",IF(INDEX('PROJETO PERFURAÇÃO'!$P:$P,MATCH(MEDIÇÃO!D490,'PROJETO PERFURAÇÃO'!$B:$B,0))="Pre-Splitting","S"))),"")</f>
        <v>P</v>
      </c>
      <c r="D490" s="14">
        <f t="shared" si="45"/>
        <v>1056</v>
      </c>
      <c r="E490" s="4" t="str">
        <f>IFERROR(INDEX('LEV R&amp;D'!$D:$D,MATCH(MEDIÇÃO!D490,'LEV R&amp;D'!$A:$A,0))-INDEX('PROJETO PERFURAÇÃO'!$AH:$AH,MATCH(MEDIÇÃO!D490,'PROJETO PERFURAÇÃO'!$B:$B,0)),"")</f>
        <v/>
      </c>
      <c r="F490" s="8">
        <f>IFERROR(INDEX('PROJETO PERFURAÇÃO'!$AN:$AN,MATCH(MEDIÇÃO!D490,'PROJETO PERFURAÇÃO'!$B:$B,0)),"")</f>
        <v>0</v>
      </c>
      <c r="G490" s="3"/>
      <c r="H490" s="3"/>
      <c r="I490" s="3" t="str">
        <f>IFERROR(ROUND(INDEX('PROJETO PERFURAÇÃO'!$AB:$AB,MATCH(MEDIÇÃO!K490,'PROJETO PERFURAÇÃO'!$B:$B,0)),1)&amp;"''","")</f>
        <v>5''</v>
      </c>
      <c r="J490" s="3" t="str">
        <f>IFERROR(IF(INDEX('PROJETO PERFURAÇÃO'!$P:$P,MATCH(MEDIÇÃO!K490,'PROJETO PERFURAÇÃO'!$B:$B,0))="Production","P",IF(INDEX('PROJETO PERFURAÇÃO'!$P:$P,MATCH(MEDIÇÃO!K490,'PROJETO PERFURAÇÃO'!$B:$B,0))="Buffer","B",IF(INDEX('PROJETO PERFURAÇÃO'!$P:$P,MATCH(MEDIÇÃO!K490,'PROJETO PERFURAÇÃO'!$B:$B,0))="Pre-Splitting","S"))),"")</f>
        <v>P</v>
      </c>
      <c r="K490" s="14">
        <f t="shared" si="46"/>
        <v>1079</v>
      </c>
      <c r="L490" s="4" t="str">
        <f>IFERROR(INDEX('LEV R&amp;D'!$D:$D,MATCH(MEDIÇÃO!K490,'LEV R&amp;D'!$A:$A,0))-INDEX('PROJETO PERFURAÇÃO'!$AH:$AH,MATCH(MEDIÇÃO!K490,'PROJETO PERFURAÇÃO'!$B:$B,0)),"")</f>
        <v/>
      </c>
      <c r="M490" s="8">
        <f>IFERROR(INDEX('PROJETO PERFURAÇÃO'!$AN:$AN,MATCH(MEDIÇÃO!K490,'PROJETO PERFURAÇÃO'!$B:$B,0)),"")</f>
        <v>0</v>
      </c>
      <c r="N490" s="3"/>
      <c r="O490" s="3"/>
      <c r="P490" s="3" t="str">
        <f>IFERROR(ROUND(INDEX('PROJETO PERFURAÇÃO'!$AB:$AB,MATCH(MEDIÇÃO!R490,'PROJETO PERFURAÇÃO'!$B:$B,0)),1)&amp;"''","")</f>
        <v>5''</v>
      </c>
      <c r="Q490" s="3" t="str">
        <f>IFERROR(IF(INDEX('PROJETO PERFURAÇÃO'!$P:$P,MATCH(MEDIÇÃO!R490,'PROJETO PERFURAÇÃO'!$B:$B,0))="Production","P",IF(INDEX('PROJETO PERFURAÇÃO'!$P:$P,MATCH(MEDIÇÃO!R490,'PROJETO PERFURAÇÃO'!$B:$B,0))="Buffer","B",IF(INDEX('PROJETO PERFURAÇÃO'!$P:$P,MATCH(MEDIÇÃO!R490,'PROJETO PERFURAÇÃO'!$B:$B,0))="Pre-Splitting","S"))),"")</f>
        <v>P</v>
      </c>
      <c r="R490" s="14">
        <f t="shared" si="47"/>
        <v>1102</v>
      </c>
      <c r="S490" s="4" t="str">
        <f>IFERROR(INDEX('LEV R&amp;D'!$D:$D,MATCH(MEDIÇÃO!R490,'LEV R&amp;D'!$A:$A,0))-INDEX('PROJETO PERFURAÇÃO'!$AH:$AH,MATCH(MEDIÇÃO!R490,'PROJETO PERFURAÇÃO'!$B:$B,0)),"")</f>
        <v/>
      </c>
      <c r="T490" s="8">
        <f>IFERROR(INDEX('PROJETO PERFURAÇÃO'!$AN:$AN,MATCH(MEDIÇÃO!R490,'PROJETO PERFURAÇÃO'!$B:$B,0)),"")</f>
        <v>0</v>
      </c>
      <c r="U490" s="3"/>
      <c r="V490" s="3"/>
    </row>
    <row r="491" spans="2:22" ht="45" customHeight="1" x14ac:dyDescent="0.25">
      <c r="B491" s="3" t="str">
        <f>IFERROR(ROUND(INDEX('PROJETO PERFURAÇÃO'!$AB:$AB,MATCH(MEDIÇÃO!D491,'PROJETO PERFURAÇÃO'!$B:$B,0)),1)&amp;"''","")</f>
        <v>5''</v>
      </c>
      <c r="C491" s="3" t="str">
        <f>IFERROR(IF(INDEX('PROJETO PERFURAÇÃO'!$P:$P,MATCH(MEDIÇÃO!D491,'PROJETO PERFURAÇÃO'!$B:$B,0))="Production","P",IF(INDEX('PROJETO PERFURAÇÃO'!$P:$P,MATCH(MEDIÇÃO!D491,'PROJETO PERFURAÇÃO'!$B:$B,0))="Buffer","B",IF(INDEX('PROJETO PERFURAÇÃO'!$P:$P,MATCH(MEDIÇÃO!D491,'PROJETO PERFURAÇÃO'!$B:$B,0))="Pre-Splitting","S"))),"")</f>
        <v>P</v>
      </c>
      <c r="D491" s="14">
        <f t="shared" si="45"/>
        <v>1057</v>
      </c>
      <c r="E491" s="4" t="str">
        <f>IFERROR(INDEX('LEV R&amp;D'!$D:$D,MATCH(MEDIÇÃO!D491,'LEV R&amp;D'!$A:$A,0))-INDEX('PROJETO PERFURAÇÃO'!$AH:$AH,MATCH(MEDIÇÃO!D491,'PROJETO PERFURAÇÃO'!$B:$B,0)),"")</f>
        <v/>
      </c>
      <c r="F491" s="8">
        <f>IFERROR(INDEX('PROJETO PERFURAÇÃO'!$AN:$AN,MATCH(MEDIÇÃO!D491,'PROJETO PERFURAÇÃO'!$B:$B,0)),"")</f>
        <v>0</v>
      </c>
      <c r="G491" s="3"/>
      <c r="H491" s="3"/>
      <c r="I491" s="3" t="str">
        <f>IFERROR(ROUND(INDEX('PROJETO PERFURAÇÃO'!$AB:$AB,MATCH(MEDIÇÃO!K491,'PROJETO PERFURAÇÃO'!$B:$B,0)),1)&amp;"''","")</f>
        <v>5''</v>
      </c>
      <c r="J491" s="3" t="str">
        <f>IFERROR(IF(INDEX('PROJETO PERFURAÇÃO'!$P:$P,MATCH(MEDIÇÃO!K491,'PROJETO PERFURAÇÃO'!$B:$B,0))="Production","P",IF(INDEX('PROJETO PERFURAÇÃO'!$P:$P,MATCH(MEDIÇÃO!K491,'PROJETO PERFURAÇÃO'!$B:$B,0))="Buffer","B",IF(INDEX('PROJETO PERFURAÇÃO'!$P:$P,MATCH(MEDIÇÃO!K491,'PROJETO PERFURAÇÃO'!$B:$B,0))="Pre-Splitting","S"))),"")</f>
        <v>P</v>
      </c>
      <c r="K491" s="14">
        <f t="shared" si="46"/>
        <v>1080</v>
      </c>
      <c r="L491" s="4" t="str">
        <f>IFERROR(INDEX('LEV R&amp;D'!$D:$D,MATCH(MEDIÇÃO!K491,'LEV R&amp;D'!$A:$A,0))-INDEX('PROJETO PERFURAÇÃO'!$AH:$AH,MATCH(MEDIÇÃO!K491,'PROJETO PERFURAÇÃO'!$B:$B,0)),"")</f>
        <v/>
      </c>
      <c r="M491" s="8">
        <f>IFERROR(INDEX('PROJETO PERFURAÇÃO'!$AN:$AN,MATCH(MEDIÇÃO!K491,'PROJETO PERFURAÇÃO'!$B:$B,0)),"")</f>
        <v>0</v>
      </c>
      <c r="N491" s="3"/>
      <c r="O491" s="3"/>
      <c r="P491" s="3" t="str">
        <f>IFERROR(ROUND(INDEX('PROJETO PERFURAÇÃO'!$AB:$AB,MATCH(MEDIÇÃO!R491,'PROJETO PERFURAÇÃO'!$B:$B,0)),1)&amp;"''","")</f>
        <v>5''</v>
      </c>
      <c r="Q491" s="3" t="str">
        <f>IFERROR(IF(INDEX('PROJETO PERFURAÇÃO'!$P:$P,MATCH(MEDIÇÃO!R491,'PROJETO PERFURAÇÃO'!$B:$B,0))="Production","P",IF(INDEX('PROJETO PERFURAÇÃO'!$P:$P,MATCH(MEDIÇÃO!R491,'PROJETO PERFURAÇÃO'!$B:$B,0))="Buffer","B",IF(INDEX('PROJETO PERFURAÇÃO'!$P:$P,MATCH(MEDIÇÃO!R491,'PROJETO PERFURAÇÃO'!$B:$B,0))="Pre-Splitting","S"))),"")</f>
        <v>P</v>
      </c>
      <c r="R491" s="14">
        <f t="shared" si="47"/>
        <v>1103</v>
      </c>
      <c r="S491" s="4" t="str">
        <f>IFERROR(INDEX('LEV R&amp;D'!$D:$D,MATCH(MEDIÇÃO!R491,'LEV R&amp;D'!$A:$A,0))-INDEX('PROJETO PERFURAÇÃO'!$AH:$AH,MATCH(MEDIÇÃO!R491,'PROJETO PERFURAÇÃO'!$B:$B,0)),"")</f>
        <v/>
      </c>
      <c r="T491" s="8">
        <f>IFERROR(INDEX('PROJETO PERFURAÇÃO'!$AN:$AN,MATCH(MEDIÇÃO!R491,'PROJETO PERFURAÇÃO'!$B:$B,0)),"")</f>
        <v>5</v>
      </c>
      <c r="U491" s="3"/>
      <c r="V491" s="3"/>
    </row>
    <row r="492" spans="2:22" ht="45" customHeight="1" x14ac:dyDescent="0.25">
      <c r="B492" s="3" t="str">
        <f>IFERROR(ROUND(INDEX('PROJETO PERFURAÇÃO'!$AB:$AB,MATCH(MEDIÇÃO!D492,'PROJETO PERFURAÇÃO'!$B:$B,0)),1)&amp;"''","")</f>
        <v>5''</v>
      </c>
      <c r="C492" s="3" t="str">
        <f>IFERROR(IF(INDEX('PROJETO PERFURAÇÃO'!$P:$P,MATCH(MEDIÇÃO!D492,'PROJETO PERFURAÇÃO'!$B:$B,0))="Production","P",IF(INDEX('PROJETO PERFURAÇÃO'!$P:$P,MATCH(MEDIÇÃO!D492,'PROJETO PERFURAÇÃO'!$B:$B,0))="Buffer","B",IF(INDEX('PROJETO PERFURAÇÃO'!$P:$P,MATCH(MEDIÇÃO!D492,'PROJETO PERFURAÇÃO'!$B:$B,0))="Pre-Splitting","S"))),"")</f>
        <v>P</v>
      </c>
      <c r="D492" s="14">
        <f>D491+1</f>
        <v>1058</v>
      </c>
      <c r="E492" s="4" t="str">
        <f>IFERROR(INDEX('LEV R&amp;D'!$D:$D,MATCH(MEDIÇÃO!D492,'LEV R&amp;D'!$A:$A,0))-INDEX('PROJETO PERFURAÇÃO'!$AH:$AH,MATCH(MEDIÇÃO!D492,'PROJETO PERFURAÇÃO'!$B:$B,0)),"")</f>
        <v/>
      </c>
      <c r="F492" s="8">
        <f>IFERROR(INDEX('PROJETO PERFURAÇÃO'!$AN:$AN,MATCH(MEDIÇÃO!D492,'PROJETO PERFURAÇÃO'!$B:$B,0)),"")</f>
        <v>0</v>
      </c>
      <c r="G492" s="3"/>
      <c r="H492" s="3"/>
      <c r="I492" s="3" t="str">
        <f>IFERROR(ROUND(INDEX('PROJETO PERFURAÇÃO'!$AB:$AB,MATCH(MEDIÇÃO!K492,'PROJETO PERFURAÇÃO'!$B:$B,0)),1)&amp;"''","")</f>
        <v>5''</v>
      </c>
      <c r="J492" s="3" t="str">
        <f>IFERROR(IF(INDEX('PROJETO PERFURAÇÃO'!$P:$P,MATCH(MEDIÇÃO!K492,'PROJETO PERFURAÇÃO'!$B:$B,0))="Production","P",IF(INDEX('PROJETO PERFURAÇÃO'!$P:$P,MATCH(MEDIÇÃO!K492,'PROJETO PERFURAÇÃO'!$B:$B,0))="Buffer","B",IF(INDEX('PROJETO PERFURAÇÃO'!$P:$P,MATCH(MEDIÇÃO!K492,'PROJETO PERFURAÇÃO'!$B:$B,0))="Pre-Splitting","S"))),"")</f>
        <v>P</v>
      </c>
      <c r="K492" s="14">
        <f>K491+1</f>
        <v>1081</v>
      </c>
      <c r="L492" s="4" t="str">
        <f>IFERROR(INDEX('LEV R&amp;D'!$D:$D,MATCH(MEDIÇÃO!K492,'LEV R&amp;D'!$A:$A,0))-INDEX('PROJETO PERFURAÇÃO'!$AH:$AH,MATCH(MEDIÇÃO!K492,'PROJETO PERFURAÇÃO'!$B:$B,0)),"")</f>
        <v/>
      </c>
      <c r="M492" s="8">
        <f>IFERROR(INDEX('PROJETO PERFURAÇÃO'!$AN:$AN,MATCH(MEDIÇÃO!K492,'PROJETO PERFURAÇÃO'!$B:$B,0)),"")</f>
        <v>0</v>
      </c>
      <c r="N492" s="3"/>
      <c r="O492" s="3"/>
      <c r="P492" s="3" t="str">
        <f>IFERROR(ROUND(INDEX('PROJETO PERFURAÇÃO'!$AB:$AB,MATCH(MEDIÇÃO!R492,'PROJETO PERFURAÇÃO'!$B:$B,0)),1)&amp;"''","")</f>
        <v>5''</v>
      </c>
      <c r="Q492" s="3" t="str">
        <f>IFERROR(IF(INDEX('PROJETO PERFURAÇÃO'!$P:$P,MATCH(MEDIÇÃO!R492,'PROJETO PERFURAÇÃO'!$B:$B,0))="Production","P",IF(INDEX('PROJETO PERFURAÇÃO'!$P:$P,MATCH(MEDIÇÃO!R492,'PROJETO PERFURAÇÃO'!$B:$B,0))="Buffer","B",IF(INDEX('PROJETO PERFURAÇÃO'!$P:$P,MATCH(MEDIÇÃO!R492,'PROJETO PERFURAÇÃO'!$B:$B,0))="Pre-Splitting","S"))),"")</f>
        <v>P</v>
      </c>
      <c r="R492" s="14">
        <f>R491+1</f>
        <v>1104</v>
      </c>
      <c r="S492" s="4" t="str">
        <f>IFERROR(INDEX('LEV R&amp;D'!$D:$D,MATCH(MEDIÇÃO!R492,'LEV R&amp;D'!$A:$A,0))-INDEX('PROJETO PERFURAÇÃO'!$AH:$AH,MATCH(MEDIÇÃO!R492,'PROJETO PERFURAÇÃO'!$B:$B,0)),"")</f>
        <v/>
      </c>
      <c r="T492" s="8">
        <f>IFERROR(INDEX('PROJETO PERFURAÇÃO'!$AN:$AN,MATCH(MEDIÇÃO!R492,'PROJETO PERFURAÇÃO'!$B:$B,0)),"")</f>
        <v>0</v>
      </c>
      <c r="U492" s="3"/>
      <c r="V492" s="3"/>
    </row>
    <row r="493" spans="2:22" ht="30" customHeight="1" x14ac:dyDescent="0.25">
      <c r="B493" s="1"/>
      <c r="C493" s="1"/>
      <c r="D493" s="15"/>
      <c r="E493" s="2"/>
      <c r="F493" s="16"/>
      <c r="G493" s="1"/>
      <c r="H493" s="1"/>
      <c r="I493" s="1"/>
      <c r="J493" s="1"/>
      <c r="K493" s="15"/>
      <c r="L493" s="2"/>
      <c r="M493" s="16"/>
      <c r="N493" s="1"/>
      <c r="O493" s="1"/>
      <c r="P493" s="1"/>
      <c r="Q493" s="1"/>
      <c r="R493" s="15"/>
      <c r="S493" s="2"/>
      <c r="T493" s="16"/>
      <c r="U493" s="1"/>
      <c r="V493" s="1"/>
    </row>
    <row r="494" spans="2:22" ht="30" customHeight="1" x14ac:dyDescent="0.25">
      <c r="C494" s="20"/>
      <c r="D494" s="20"/>
      <c r="E494" s="20"/>
      <c r="F494" s="20"/>
      <c r="G494" s="20"/>
      <c r="H494" s="20"/>
      <c r="I494" s="20"/>
      <c r="J494" s="20"/>
      <c r="K494" s="20"/>
      <c r="M494" s="20"/>
      <c r="N494" s="20"/>
      <c r="O494" s="20"/>
      <c r="P494" s="20"/>
      <c r="Q494" s="20"/>
      <c r="R494" s="20"/>
      <c r="S494" s="20"/>
      <c r="T494" s="20"/>
      <c r="U494" s="20"/>
    </row>
    <row r="495" spans="2:22" ht="30" customHeight="1" x14ac:dyDescent="0.25">
      <c r="C495" s="21" t="s">
        <v>40</v>
      </c>
      <c r="D495" s="21"/>
      <c r="E495" s="21"/>
      <c r="F495" s="21"/>
      <c r="G495" s="21"/>
      <c r="H495" s="21"/>
      <c r="I495" s="21"/>
      <c r="J495" s="21"/>
      <c r="K495" s="21"/>
      <c r="L495" s="9"/>
      <c r="M495" s="21" t="s">
        <v>40</v>
      </c>
      <c r="N495" s="21"/>
      <c r="O495" s="21"/>
      <c r="P495" s="21"/>
      <c r="Q495" s="21"/>
      <c r="R495" s="21"/>
      <c r="S495" s="21"/>
      <c r="T495" s="21"/>
      <c r="U495" s="21"/>
      <c r="V495" s="9"/>
    </row>
    <row r="496" spans="2:22" ht="30" customHeight="1" x14ac:dyDescent="0.25">
      <c r="D496" s="9"/>
      <c r="E496" s="9"/>
      <c r="F496" s="9"/>
      <c r="G496" s="9"/>
      <c r="H496" s="9"/>
      <c r="I496" s="9"/>
      <c r="J496" s="9"/>
      <c r="K496" s="9"/>
      <c r="L496" s="9"/>
      <c r="M496" s="9"/>
      <c r="N496" s="9"/>
      <c r="Q496" s="9"/>
      <c r="R496" s="9"/>
      <c r="S496" s="9"/>
      <c r="T496" s="9"/>
      <c r="U496" s="9"/>
      <c r="V496" s="9"/>
    </row>
    <row r="497" spans="1:23" ht="30" customHeight="1" x14ac:dyDescent="0.25">
      <c r="B497" s="19" t="str">
        <f>'PROJETO PERFURAÇÃO'!$C$2&amp;" - "&amp;'PROJETO PERFURAÇÃO'!$H$2</f>
        <v>LIB065 - PP0651026</v>
      </c>
      <c r="C497" s="19"/>
      <c r="D497" s="19"/>
      <c r="E497" s="19"/>
      <c r="F497" s="19"/>
      <c r="G497" s="19"/>
      <c r="H497" s="19"/>
      <c r="I497" s="11" t="s">
        <v>34</v>
      </c>
      <c r="J497" s="10" t="s">
        <v>37</v>
      </c>
    </row>
    <row r="498" spans="1:23" ht="30" customHeight="1" x14ac:dyDescent="0.25">
      <c r="B498" s="19"/>
      <c r="C498" s="19"/>
      <c r="D498" s="19"/>
      <c r="E498" s="19"/>
      <c r="F498" s="19"/>
      <c r="G498" s="19"/>
      <c r="H498" s="19"/>
      <c r="I498" s="12" t="s">
        <v>35</v>
      </c>
      <c r="J498" s="10" t="s">
        <v>38</v>
      </c>
      <c r="K498" s="9"/>
      <c r="L498" s="9"/>
      <c r="M498" s="9"/>
      <c r="N498" s="9"/>
      <c r="O498" s="9"/>
      <c r="P498" s="9"/>
      <c r="Q498" s="9"/>
      <c r="R498" s="9"/>
      <c r="S498" s="9"/>
      <c r="T498" s="9"/>
      <c r="U498" s="9"/>
      <c r="V498" s="9"/>
    </row>
    <row r="499" spans="1:23" ht="30" customHeight="1" x14ac:dyDescent="0.25">
      <c r="B499" s="19"/>
      <c r="C499" s="19"/>
      <c r="D499" s="19"/>
      <c r="E499" s="19"/>
      <c r="F499" s="19"/>
      <c r="G499" s="19"/>
      <c r="H499" s="19"/>
      <c r="I499" s="13" t="s">
        <v>36</v>
      </c>
      <c r="J499" s="10" t="s">
        <v>39</v>
      </c>
    </row>
    <row r="500" spans="1:23" ht="30" customHeight="1" x14ac:dyDescent="0.25">
      <c r="A500" s="1"/>
      <c r="B500" s="6" t="s">
        <v>33</v>
      </c>
      <c r="C500" s="6" t="s">
        <v>13</v>
      </c>
      <c r="D500" s="7" t="s">
        <v>1</v>
      </c>
      <c r="E500" s="7" t="s">
        <v>29</v>
      </c>
      <c r="F500" s="7" t="s">
        <v>30</v>
      </c>
      <c r="G500" s="7" t="s">
        <v>31</v>
      </c>
      <c r="H500" s="7" t="s">
        <v>32</v>
      </c>
      <c r="I500" s="6" t="s">
        <v>33</v>
      </c>
      <c r="J500" s="6" t="s">
        <v>13</v>
      </c>
      <c r="K500" s="7" t="s">
        <v>1</v>
      </c>
      <c r="L500" s="7" t="s">
        <v>29</v>
      </c>
      <c r="M500" s="7" t="s">
        <v>30</v>
      </c>
      <c r="N500" s="7" t="s">
        <v>31</v>
      </c>
      <c r="O500" s="7" t="s">
        <v>32</v>
      </c>
      <c r="P500" s="6" t="s">
        <v>33</v>
      </c>
      <c r="Q500" s="6" t="s">
        <v>13</v>
      </c>
      <c r="R500" s="7" t="s">
        <v>1</v>
      </c>
      <c r="S500" s="7" t="s">
        <v>29</v>
      </c>
      <c r="T500" s="7" t="s">
        <v>30</v>
      </c>
      <c r="U500" s="7" t="s">
        <v>31</v>
      </c>
      <c r="V500" s="7" t="s">
        <v>32</v>
      </c>
      <c r="W500" s="1"/>
    </row>
    <row r="501" spans="1:23" ht="45" customHeight="1" x14ac:dyDescent="0.25">
      <c r="B501" s="3" t="str">
        <f>IFERROR(ROUND(INDEX('PROJETO PERFURAÇÃO'!$AB:$AB,MATCH(MEDIÇÃO!D501,'PROJETO PERFURAÇÃO'!$B:$B,0)),1)&amp;"''","")</f>
        <v/>
      </c>
      <c r="C501" s="3" t="str">
        <f>IFERROR(IF(INDEX('PROJETO PERFURAÇÃO'!$P:$P,MATCH(MEDIÇÃO!D501,'PROJETO PERFURAÇÃO'!$B:$B,0))="Production","P",IF(INDEX('PROJETO PERFURAÇÃO'!$P:$P,MATCH(MEDIÇÃO!D501,'PROJETO PERFURAÇÃO'!$B:$B,0))="Buffer","B",IF(INDEX('PROJETO PERFURAÇÃO'!$P:$P,MATCH(MEDIÇÃO!D501,'PROJETO PERFURAÇÃO'!$B:$B,0))="Pre-Splitting","S"))),"")</f>
        <v/>
      </c>
      <c r="D501" s="14">
        <f>R492+1</f>
        <v>1105</v>
      </c>
      <c r="E501" s="4" t="str">
        <f>IFERROR(INDEX('LEV R&amp;D'!$D:$D,MATCH(MEDIÇÃO!D501,'LEV R&amp;D'!$A:$A,0))-INDEX('PROJETO PERFURAÇÃO'!$AH:$AH,MATCH(MEDIÇÃO!D501,'PROJETO PERFURAÇÃO'!$B:$B,0)),"")</f>
        <v/>
      </c>
      <c r="F501" s="8" t="str">
        <f>IFERROR(INDEX('PROJETO PERFURAÇÃO'!$AN:$AN,MATCH(MEDIÇÃO!D501,'PROJETO PERFURAÇÃO'!$B:$B,0)),"")</f>
        <v/>
      </c>
      <c r="G501" s="3"/>
      <c r="H501" s="3"/>
      <c r="I501" s="3" t="str">
        <f>IFERROR(ROUND(INDEX('PROJETO PERFURAÇÃO'!$AB:$AB,MATCH(MEDIÇÃO!K501,'PROJETO PERFURAÇÃO'!$B:$B,0)),1)&amp;"''","")</f>
        <v/>
      </c>
      <c r="J501" s="3" t="str">
        <f>IFERROR(IF(INDEX('PROJETO PERFURAÇÃO'!$P:$P,MATCH(MEDIÇÃO!K501,'PROJETO PERFURAÇÃO'!$B:$B,0))="Production","P",IF(INDEX('PROJETO PERFURAÇÃO'!$P:$P,MATCH(MEDIÇÃO!K501,'PROJETO PERFURAÇÃO'!$B:$B,0))="Buffer","B",IF(INDEX('PROJETO PERFURAÇÃO'!$P:$P,MATCH(MEDIÇÃO!K501,'PROJETO PERFURAÇÃO'!$B:$B,0))="Pre-Splitting","S"))),"")</f>
        <v/>
      </c>
      <c r="K501" s="14">
        <f>D523+1</f>
        <v>1128</v>
      </c>
      <c r="L501" s="4" t="str">
        <f>IFERROR(INDEX('LEV R&amp;D'!$D:$D,MATCH(MEDIÇÃO!K501,'LEV R&amp;D'!$A:$A,0))-INDEX('PROJETO PERFURAÇÃO'!$AH:$AH,MATCH(MEDIÇÃO!K501,'PROJETO PERFURAÇÃO'!$B:$B,0)),"")</f>
        <v/>
      </c>
      <c r="M501" s="8" t="str">
        <f>IFERROR(INDEX('PROJETO PERFURAÇÃO'!$AN:$AN,MATCH(MEDIÇÃO!K501,'PROJETO PERFURAÇÃO'!$B:$B,0)),"")</f>
        <v/>
      </c>
      <c r="N501" s="3"/>
      <c r="O501" s="3"/>
      <c r="P501" s="3" t="str">
        <f>IFERROR(ROUND(INDEX('PROJETO PERFURAÇÃO'!$AB:$AB,MATCH(MEDIÇÃO!R501,'PROJETO PERFURAÇÃO'!$B:$B,0)),1)&amp;"''","")</f>
        <v/>
      </c>
      <c r="Q501" s="3" t="str">
        <f>IFERROR(IF(INDEX('PROJETO PERFURAÇÃO'!$P:$P,MATCH(MEDIÇÃO!R501,'PROJETO PERFURAÇÃO'!$B:$B,0))="Production","P",IF(INDEX('PROJETO PERFURAÇÃO'!$P:$P,MATCH(MEDIÇÃO!R501,'PROJETO PERFURAÇÃO'!$B:$B,0))="Buffer","B",IF(INDEX('PROJETO PERFURAÇÃO'!$P:$P,MATCH(MEDIÇÃO!R501,'PROJETO PERFURAÇÃO'!$B:$B,0))="Pre-Splitting","S"))),"")</f>
        <v/>
      </c>
      <c r="R501" s="14">
        <f>K523+1</f>
        <v>1151</v>
      </c>
      <c r="S501" s="4" t="str">
        <f>IFERROR(INDEX('LEV R&amp;D'!$D:$D,MATCH(MEDIÇÃO!R501,'LEV R&amp;D'!$A:$A,0))-INDEX('PROJETO PERFURAÇÃO'!$AH:$AH,MATCH(MEDIÇÃO!R501,'PROJETO PERFURAÇÃO'!$B:$B,0)),"")</f>
        <v/>
      </c>
      <c r="T501" s="8" t="str">
        <f>IFERROR(INDEX('PROJETO PERFURAÇÃO'!$AN:$AN,MATCH(MEDIÇÃO!R501,'PROJETO PERFURAÇÃO'!$B:$B,0)),"")</f>
        <v/>
      </c>
      <c r="U501" s="3"/>
      <c r="V501" s="3"/>
    </row>
    <row r="502" spans="1:23" ht="45" customHeight="1" x14ac:dyDescent="0.25">
      <c r="B502" s="3" t="str">
        <f>IFERROR(ROUND(INDEX('PROJETO PERFURAÇÃO'!$AB:$AB,MATCH(MEDIÇÃO!D502,'PROJETO PERFURAÇÃO'!$B:$B,0)),1)&amp;"''","")</f>
        <v/>
      </c>
      <c r="C502" s="3" t="str">
        <f>IFERROR(IF(INDEX('PROJETO PERFURAÇÃO'!$P:$P,MATCH(MEDIÇÃO!D502,'PROJETO PERFURAÇÃO'!$B:$B,0))="Production","P",IF(INDEX('PROJETO PERFURAÇÃO'!$P:$P,MATCH(MEDIÇÃO!D502,'PROJETO PERFURAÇÃO'!$B:$B,0))="Buffer","B",IF(INDEX('PROJETO PERFURAÇÃO'!$P:$P,MATCH(MEDIÇÃO!D502,'PROJETO PERFURAÇÃO'!$B:$B,0))="Pre-Splitting","S"))),"")</f>
        <v/>
      </c>
      <c r="D502" s="14">
        <f>D501+1</f>
        <v>1106</v>
      </c>
      <c r="E502" s="4" t="str">
        <f>IFERROR(INDEX('LEV R&amp;D'!$D:$D,MATCH(MEDIÇÃO!D502,'LEV R&amp;D'!$A:$A,0))-INDEX('PROJETO PERFURAÇÃO'!$AH:$AH,MATCH(MEDIÇÃO!D502,'PROJETO PERFURAÇÃO'!$B:$B,0)),"")</f>
        <v/>
      </c>
      <c r="F502" s="8" t="str">
        <f>IFERROR(INDEX('PROJETO PERFURAÇÃO'!$AN:$AN,MATCH(MEDIÇÃO!D502,'PROJETO PERFURAÇÃO'!$B:$B,0)),"")</f>
        <v/>
      </c>
      <c r="G502" s="3"/>
      <c r="H502" s="3"/>
      <c r="I502" s="3" t="str">
        <f>IFERROR(ROUND(INDEX('PROJETO PERFURAÇÃO'!$AB:$AB,MATCH(MEDIÇÃO!K502,'PROJETO PERFURAÇÃO'!$B:$B,0)),1)&amp;"''","")</f>
        <v/>
      </c>
      <c r="J502" s="3" t="str">
        <f>IFERROR(IF(INDEX('PROJETO PERFURAÇÃO'!$P:$P,MATCH(MEDIÇÃO!K502,'PROJETO PERFURAÇÃO'!$B:$B,0))="Production","P",IF(INDEX('PROJETO PERFURAÇÃO'!$P:$P,MATCH(MEDIÇÃO!K502,'PROJETO PERFURAÇÃO'!$B:$B,0))="Buffer","B",IF(INDEX('PROJETO PERFURAÇÃO'!$P:$P,MATCH(MEDIÇÃO!K502,'PROJETO PERFURAÇÃO'!$B:$B,0))="Pre-Splitting","S"))),"")</f>
        <v/>
      </c>
      <c r="K502" s="14">
        <f>K501+1</f>
        <v>1129</v>
      </c>
      <c r="L502" s="4" t="str">
        <f>IFERROR(INDEX('LEV R&amp;D'!$D:$D,MATCH(MEDIÇÃO!K502,'LEV R&amp;D'!$A:$A,0))-INDEX('PROJETO PERFURAÇÃO'!$AH:$AH,MATCH(MEDIÇÃO!K502,'PROJETO PERFURAÇÃO'!$B:$B,0)),"")</f>
        <v/>
      </c>
      <c r="M502" s="8" t="str">
        <f>IFERROR(INDEX('PROJETO PERFURAÇÃO'!$AN:$AN,MATCH(MEDIÇÃO!K502,'PROJETO PERFURAÇÃO'!$B:$B,0)),"")</f>
        <v/>
      </c>
      <c r="N502" s="3"/>
      <c r="O502" s="3"/>
      <c r="P502" s="3" t="str">
        <f>IFERROR(ROUND(INDEX('PROJETO PERFURAÇÃO'!$AB:$AB,MATCH(MEDIÇÃO!R502,'PROJETO PERFURAÇÃO'!$B:$B,0)),1)&amp;"''","")</f>
        <v/>
      </c>
      <c r="Q502" s="3" t="str">
        <f>IFERROR(IF(INDEX('PROJETO PERFURAÇÃO'!$P:$P,MATCH(MEDIÇÃO!R502,'PROJETO PERFURAÇÃO'!$B:$B,0))="Production","P",IF(INDEX('PROJETO PERFURAÇÃO'!$P:$P,MATCH(MEDIÇÃO!R502,'PROJETO PERFURAÇÃO'!$B:$B,0))="Buffer","B",IF(INDEX('PROJETO PERFURAÇÃO'!$P:$P,MATCH(MEDIÇÃO!R502,'PROJETO PERFURAÇÃO'!$B:$B,0))="Pre-Splitting","S"))),"")</f>
        <v/>
      </c>
      <c r="R502" s="14">
        <f>R501+1</f>
        <v>1152</v>
      </c>
      <c r="S502" s="4" t="str">
        <f>IFERROR(INDEX('LEV R&amp;D'!$D:$D,MATCH(MEDIÇÃO!R502,'LEV R&amp;D'!$A:$A,0))-INDEX('PROJETO PERFURAÇÃO'!$AH:$AH,MATCH(MEDIÇÃO!R502,'PROJETO PERFURAÇÃO'!$B:$B,0)),"")</f>
        <v/>
      </c>
      <c r="T502" s="8" t="str">
        <f>IFERROR(INDEX('PROJETO PERFURAÇÃO'!$AN:$AN,MATCH(MEDIÇÃO!R502,'PROJETO PERFURAÇÃO'!$B:$B,0)),"")</f>
        <v/>
      </c>
      <c r="U502" s="3"/>
      <c r="V502" s="3"/>
    </row>
    <row r="503" spans="1:23" ht="45" customHeight="1" x14ac:dyDescent="0.25">
      <c r="B503" s="3" t="str">
        <f>IFERROR(ROUND(INDEX('PROJETO PERFURAÇÃO'!$AB:$AB,MATCH(MEDIÇÃO!D503,'PROJETO PERFURAÇÃO'!$B:$B,0)),1)&amp;"''","")</f>
        <v/>
      </c>
      <c r="C503" s="3" t="str">
        <f>IFERROR(IF(INDEX('PROJETO PERFURAÇÃO'!$P:$P,MATCH(MEDIÇÃO!D503,'PROJETO PERFURAÇÃO'!$B:$B,0))="Production","P",IF(INDEX('PROJETO PERFURAÇÃO'!$P:$P,MATCH(MEDIÇÃO!D503,'PROJETO PERFURAÇÃO'!$B:$B,0))="Buffer","B",IF(INDEX('PROJETO PERFURAÇÃO'!$P:$P,MATCH(MEDIÇÃO!D503,'PROJETO PERFURAÇÃO'!$B:$B,0))="Pre-Splitting","S"))),"")</f>
        <v/>
      </c>
      <c r="D503" s="14">
        <f t="shared" ref="D503:D522" si="48">D502+1</f>
        <v>1107</v>
      </c>
      <c r="E503" s="4" t="str">
        <f>IFERROR(INDEX('LEV R&amp;D'!$D:$D,MATCH(MEDIÇÃO!D503,'LEV R&amp;D'!$A:$A,0))-INDEX('PROJETO PERFURAÇÃO'!$AH:$AH,MATCH(MEDIÇÃO!D503,'PROJETO PERFURAÇÃO'!$B:$B,0)),"")</f>
        <v/>
      </c>
      <c r="F503" s="8" t="str">
        <f>IFERROR(INDEX('PROJETO PERFURAÇÃO'!$AN:$AN,MATCH(MEDIÇÃO!D503,'PROJETO PERFURAÇÃO'!$B:$B,0)),"")</f>
        <v/>
      </c>
      <c r="G503" s="3"/>
      <c r="H503" s="3"/>
      <c r="I503" s="3" t="str">
        <f>IFERROR(ROUND(INDEX('PROJETO PERFURAÇÃO'!$AB:$AB,MATCH(MEDIÇÃO!K503,'PROJETO PERFURAÇÃO'!$B:$B,0)),1)&amp;"''","")</f>
        <v/>
      </c>
      <c r="J503" s="3" t="str">
        <f>IFERROR(IF(INDEX('PROJETO PERFURAÇÃO'!$P:$P,MATCH(MEDIÇÃO!K503,'PROJETO PERFURAÇÃO'!$B:$B,0))="Production","P",IF(INDEX('PROJETO PERFURAÇÃO'!$P:$P,MATCH(MEDIÇÃO!K503,'PROJETO PERFURAÇÃO'!$B:$B,0))="Buffer","B",IF(INDEX('PROJETO PERFURAÇÃO'!$P:$P,MATCH(MEDIÇÃO!K503,'PROJETO PERFURAÇÃO'!$B:$B,0))="Pre-Splitting","S"))),"")</f>
        <v/>
      </c>
      <c r="K503" s="14">
        <f t="shared" ref="K503:K522" si="49">K502+1</f>
        <v>1130</v>
      </c>
      <c r="L503" s="4" t="str">
        <f>IFERROR(INDEX('LEV R&amp;D'!$D:$D,MATCH(MEDIÇÃO!K503,'LEV R&amp;D'!$A:$A,0))-INDEX('PROJETO PERFURAÇÃO'!$AH:$AH,MATCH(MEDIÇÃO!K503,'PROJETO PERFURAÇÃO'!$B:$B,0)),"")</f>
        <v/>
      </c>
      <c r="M503" s="8" t="str">
        <f>IFERROR(INDEX('PROJETO PERFURAÇÃO'!$AN:$AN,MATCH(MEDIÇÃO!K503,'PROJETO PERFURAÇÃO'!$B:$B,0)),"")</f>
        <v/>
      </c>
      <c r="N503" s="3"/>
      <c r="O503" s="3"/>
      <c r="P503" s="3" t="str">
        <f>IFERROR(ROUND(INDEX('PROJETO PERFURAÇÃO'!$AB:$AB,MATCH(MEDIÇÃO!R503,'PROJETO PERFURAÇÃO'!$B:$B,0)),1)&amp;"''","")</f>
        <v/>
      </c>
      <c r="Q503" s="3" t="str">
        <f>IFERROR(IF(INDEX('PROJETO PERFURAÇÃO'!$P:$P,MATCH(MEDIÇÃO!R503,'PROJETO PERFURAÇÃO'!$B:$B,0))="Production","P",IF(INDEX('PROJETO PERFURAÇÃO'!$P:$P,MATCH(MEDIÇÃO!R503,'PROJETO PERFURAÇÃO'!$B:$B,0))="Buffer","B",IF(INDEX('PROJETO PERFURAÇÃO'!$P:$P,MATCH(MEDIÇÃO!R503,'PROJETO PERFURAÇÃO'!$B:$B,0))="Pre-Splitting","S"))),"")</f>
        <v/>
      </c>
      <c r="R503" s="14">
        <f t="shared" ref="R503:R522" si="50">R502+1</f>
        <v>1153</v>
      </c>
      <c r="S503" s="4" t="str">
        <f>IFERROR(INDEX('LEV R&amp;D'!$D:$D,MATCH(MEDIÇÃO!R503,'LEV R&amp;D'!$A:$A,0))-INDEX('PROJETO PERFURAÇÃO'!$AH:$AH,MATCH(MEDIÇÃO!R503,'PROJETO PERFURAÇÃO'!$B:$B,0)),"")</f>
        <v/>
      </c>
      <c r="T503" s="8" t="str">
        <f>IFERROR(INDEX('PROJETO PERFURAÇÃO'!$AN:$AN,MATCH(MEDIÇÃO!R503,'PROJETO PERFURAÇÃO'!$B:$B,0)),"")</f>
        <v/>
      </c>
      <c r="U503" s="3"/>
      <c r="V503" s="3"/>
    </row>
    <row r="504" spans="1:23" ht="45" customHeight="1" x14ac:dyDescent="0.25">
      <c r="B504" s="3" t="str">
        <f>IFERROR(ROUND(INDEX('PROJETO PERFURAÇÃO'!$AB:$AB,MATCH(MEDIÇÃO!D504,'PROJETO PERFURAÇÃO'!$B:$B,0)),1)&amp;"''","")</f>
        <v/>
      </c>
      <c r="C504" s="3" t="str">
        <f>IFERROR(IF(INDEX('PROJETO PERFURAÇÃO'!$P:$P,MATCH(MEDIÇÃO!D504,'PROJETO PERFURAÇÃO'!$B:$B,0))="Production","P",IF(INDEX('PROJETO PERFURAÇÃO'!$P:$P,MATCH(MEDIÇÃO!D504,'PROJETO PERFURAÇÃO'!$B:$B,0))="Buffer","B",IF(INDEX('PROJETO PERFURAÇÃO'!$P:$P,MATCH(MEDIÇÃO!D504,'PROJETO PERFURAÇÃO'!$B:$B,0))="Pre-Splitting","S"))),"")</f>
        <v/>
      </c>
      <c r="D504" s="14">
        <f t="shared" si="48"/>
        <v>1108</v>
      </c>
      <c r="E504" s="4" t="str">
        <f>IFERROR(INDEX('LEV R&amp;D'!$D:$D,MATCH(MEDIÇÃO!D504,'LEV R&amp;D'!$A:$A,0))-INDEX('PROJETO PERFURAÇÃO'!$AH:$AH,MATCH(MEDIÇÃO!D504,'PROJETO PERFURAÇÃO'!$B:$B,0)),"")</f>
        <v/>
      </c>
      <c r="F504" s="8" t="str">
        <f>IFERROR(INDEX('PROJETO PERFURAÇÃO'!$AN:$AN,MATCH(MEDIÇÃO!D504,'PROJETO PERFURAÇÃO'!$B:$B,0)),"")</f>
        <v/>
      </c>
      <c r="G504" s="3"/>
      <c r="H504" s="3"/>
      <c r="I504" s="3" t="str">
        <f>IFERROR(ROUND(INDEX('PROJETO PERFURAÇÃO'!$AB:$AB,MATCH(MEDIÇÃO!K504,'PROJETO PERFURAÇÃO'!$B:$B,0)),1)&amp;"''","")</f>
        <v/>
      </c>
      <c r="J504" s="3" t="str">
        <f>IFERROR(IF(INDEX('PROJETO PERFURAÇÃO'!$P:$P,MATCH(MEDIÇÃO!K504,'PROJETO PERFURAÇÃO'!$B:$B,0))="Production","P",IF(INDEX('PROJETO PERFURAÇÃO'!$P:$P,MATCH(MEDIÇÃO!K504,'PROJETO PERFURAÇÃO'!$B:$B,0))="Buffer","B",IF(INDEX('PROJETO PERFURAÇÃO'!$P:$P,MATCH(MEDIÇÃO!K504,'PROJETO PERFURAÇÃO'!$B:$B,0))="Pre-Splitting","S"))),"")</f>
        <v/>
      </c>
      <c r="K504" s="14">
        <f t="shared" si="49"/>
        <v>1131</v>
      </c>
      <c r="L504" s="4" t="str">
        <f>IFERROR(INDEX('LEV R&amp;D'!$D:$D,MATCH(MEDIÇÃO!K504,'LEV R&amp;D'!$A:$A,0))-INDEX('PROJETO PERFURAÇÃO'!$AH:$AH,MATCH(MEDIÇÃO!K504,'PROJETO PERFURAÇÃO'!$B:$B,0)),"")</f>
        <v/>
      </c>
      <c r="M504" s="8" t="str">
        <f>IFERROR(INDEX('PROJETO PERFURAÇÃO'!$AN:$AN,MATCH(MEDIÇÃO!K504,'PROJETO PERFURAÇÃO'!$B:$B,0)),"")</f>
        <v/>
      </c>
      <c r="N504" s="3"/>
      <c r="O504" s="3"/>
      <c r="P504" s="3" t="str">
        <f>IFERROR(ROUND(INDEX('PROJETO PERFURAÇÃO'!$AB:$AB,MATCH(MEDIÇÃO!R504,'PROJETO PERFURAÇÃO'!$B:$B,0)),1)&amp;"''","")</f>
        <v/>
      </c>
      <c r="Q504" s="3" t="str">
        <f>IFERROR(IF(INDEX('PROJETO PERFURAÇÃO'!$P:$P,MATCH(MEDIÇÃO!R504,'PROJETO PERFURAÇÃO'!$B:$B,0))="Production","P",IF(INDEX('PROJETO PERFURAÇÃO'!$P:$P,MATCH(MEDIÇÃO!R504,'PROJETO PERFURAÇÃO'!$B:$B,0))="Buffer","B",IF(INDEX('PROJETO PERFURAÇÃO'!$P:$P,MATCH(MEDIÇÃO!R504,'PROJETO PERFURAÇÃO'!$B:$B,0))="Pre-Splitting","S"))),"")</f>
        <v/>
      </c>
      <c r="R504" s="14">
        <f t="shared" si="50"/>
        <v>1154</v>
      </c>
      <c r="S504" s="4" t="str">
        <f>IFERROR(INDEX('LEV R&amp;D'!$D:$D,MATCH(MEDIÇÃO!R504,'LEV R&amp;D'!$A:$A,0))-INDEX('PROJETO PERFURAÇÃO'!$AH:$AH,MATCH(MEDIÇÃO!R504,'PROJETO PERFURAÇÃO'!$B:$B,0)),"")</f>
        <v/>
      </c>
      <c r="T504" s="8" t="str">
        <f>IFERROR(INDEX('PROJETO PERFURAÇÃO'!$AN:$AN,MATCH(MEDIÇÃO!R504,'PROJETO PERFURAÇÃO'!$B:$B,0)),"")</f>
        <v/>
      </c>
      <c r="U504" s="3"/>
      <c r="V504" s="3"/>
    </row>
    <row r="505" spans="1:23" ht="45" customHeight="1" x14ac:dyDescent="0.25">
      <c r="B505" s="3" t="str">
        <f>IFERROR(ROUND(INDEX('PROJETO PERFURAÇÃO'!$AB:$AB,MATCH(MEDIÇÃO!D505,'PROJETO PERFURAÇÃO'!$B:$B,0)),1)&amp;"''","")</f>
        <v/>
      </c>
      <c r="C505" s="3" t="str">
        <f>IFERROR(IF(INDEX('PROJETO PERFURAÇÃO'!$P:$P,MATCH(MEDIÇÃO!D505,'PROJETO PERFURAÇÃO'!$B:$B,0))="Production","P",IF(INDEX('PROJETO PERFURAÇÃO'!$P:$P,MATCH(MEDIÇÃO!D505,'PROJETO PERFURAÇÃO'!$B:$B,0))="Buffer","B",IF(INDEX('PROJETO PERFURAÇÃO'!$P:$P,MATCH(MEDIÇÃO!D505,'PROJETO PERFURAÇÃO'!$B:$B,0))="Pre-Splitting","S"))),"")</f>
        <v/>
      </c>
      <c r="D505" s="14">
        <f t="shared" si="48"/>
        <v>1109</v>
      </c>
      <c r="E505" s="4" t="str">
        <f>IFERROR(INDEX('LEV R&amp;D'!$D:$D,MATCH(MEDIÇÃO!D505,'LEV R&amp;D'!$A:$A,0))-INDEX('PROJETO PERFURAÇÃO'!$AH:$AH,MATCH(MEDIÇÃO!D505,'PROJETO PERFURAÇÃO'!$B:$B,0)),"")</f>
        <v/>
      </c>
      <c r="F505" s="8" t="str">
        <f>IFERROR(INDEX('PROJETO PERFURAÇÃO'!$AN:$AN,MATCH(MEDIÇÃO!D505,'PROJETO PERFURAÇÃO'!$B:$B,0)),"")</f>
        <v/>
      </c>
      <c r="G505" s="3"/>
      <c r="H505" s="3"/>
      <c r="I505" s="3" t="str">
        <f>IFERROR(ROUND(INDEX('PROJETO PERFURAÇÃO'!$AB:$AB,MATCH(MEDIÇÃO!K505,'PROJETO PERFURAÇÃO'!$B:$B,0)),1)&amp;"''","")</f>
        <v/>
      </c>
      <c r="J505" s="3" t="str">
        <f>IFERROR(IF(INDEX('PROJETO PERFURAÇÃO'!$P:$P,MATCH(MEDIÇÃO!K505,'PROJETO PERFURAÇÃO'!$B:$B,0))="Production","P",IF(INDEX('PROJETO PERFURAÇÃO'!$P:$P,MATCH(MEDIÇÃO!K505,'PROJETO PERFURAÇÃO'!$B:$B,0))="Buffer","B",IF(INDEX('PROJETO PERFURAÇÃO'!$P:$P,MATCH(MEDIÇÃO!K505,'PROJETO PERFURAÇÃO'!$B:$B,0))="Pre-Splitting","S"))),"")</f>
        <v/>
      </c>
      <c r="K505" s="14">
        <f t="shared" si="49"/>
        <v>1132</v>
      </c>
      <c r="L505" s="4" t="str">
        <f>IFERROR(INDEX('LEV R&amp;D'!$D:$D,MATCH(MEDIÇÃO!K505,'LEV R&amp;D'!$A:$A,0))-INDEX('PROJETO PERFURAÇÃO'!$AH:$AH,MATCH(MEDIÇÃO!K505,'PROJETO PERFURAÇÃO'!$B:$B,0)),"")</f>
        <v/>
      </c>
      <c r="M505" s="8" t="str">
        <f>IFERROR(INDEX('PROJETO PERFURAÇÃO'!$AN:$AN,MATCH(MEDIÇÃO!K505,'PROJETO PERFURAÇÃO'!$B:$B,0)),"")</f>
        <v/>
      </c>
      <c r="N505" s="3"/>
      <c r="O505" s="3"/>
      <c r="P505" s="3" t="str">
        <f>IFERROR(ROUND(INDEX('PROJETO PERFURAÇÃO'!$AB:$AB,MATCH(MEDIÇÃO!R505,'PROJETO PERFURAÇÃO'!$B:$B,0)),1)&amp;"''","")</f>
        <v/>
      </c>
      <c r="Q505" s="3" t="str">
        <f>IFERROR(IF(INDEX('PROJETO PERFURAÇÃO'!$P:$P,MATCH(MEDIÇÃO!R505,'PROJETO PERFURAÇÃO'!$B:$B,0))="Production","P",IF(INDEX('PROJETO PERFURAÇÃO'!$P:$P,MATCH(MEDIÇÃO!R505,'PROJETO PERFURAÇÃO'!$B:$B,0))="Buffer","B",IF(INDEX('PROJETO PERFURAÇÃO'!$P:$P,MATCH(MEDIÇÃO!R505,'PROJETO PERFURAÇÃO'!$B:$B,0))="Pre-Splitting","S"))),"")</f>
        <v/>
      </c>
      <c r="R505" s="14">
        <f t="shared" si="50"/>
        <v>1155</v>
      </c>
      <c r="S505" s="4" t="str">
        <f>IFERROR(INDEX('LEV R&amp;D'!$D:$D,MATCH(MEDIÇÃO!R505,'LEV R&amp;D'!$A:$A,0))-INDEX('PROJETO PERFURAÇÃO'!$AH:$AH,MATCH(MEDIÇÃO!R505,'PROJETO PERFURAÇÃO'!$B:$B,0)),"")</f>
        <v/>
      </c>
      <c r="T505" s="8" t="str">
        <f>IFERROR(INDEX('PROJETO PERFURAÇÃO'!$AN:$AN,MATCH(MEDIÇÃO!R505,'PROJETO PERFURAÇÃO'!$B:$B,0)),"")</f>
        <v/>
      </c>
      <c r="U505" s="3"/>
      <c r="V505" s="3"/>
    </row>
    <row r="506" spans="1:23" ht="45" customHeight="1" x14ac:dyDescent="0.25">
      <c r="B506" s="3" t="str">
        <f>IFERROR(ROUND(INDEX('PROJETO PERFURAÇÃO'!$AB:$AB,MATCH(MEDIÇÃO!D506,'PROJETO PERFURAÇÃO'!$B:$B,0)),1)&amp;"''","")</f>
        <v/>
      </c>
      <c r="C506" s="3" t="str">
        <f>IFERROR(IF(INDEX('PROJETO PERFURAÇÃO'!$P:$P,MATCH(MEDIÇÃO!D506,'PROJETO PERFURAÇÃO'!$B:$B,0))="Production","P",IF(INDEX('PROJETO PERFURAÇÃO'!$P:$P,MATCH(MEDIÇÃO!D506,'PROJETO PERFURAÇÃO'!$B:$B,0))="Buffer","B",IF(INDEX('PROJETO PERFURAÇÃO'!$P:$P,MATCH(MEDIÇÃO!D506,'PROJETO PERFURAÇÃO'!$B:$B,0))="Pre-Splitting","S"))),"")</f>
        <v/>
      </c>
      <c r="D506" s="14">
        <f t="shared" si="48"/>
        <v>1110</v>
      </c>
      <c r="E506" s="4" t="str">
        <f>IFERROR(INDEX('LEV R&amp;D'!$D:$D,MATCH(MEDIÇÃO!D506,'LEV R&amp;D'!$A:$A,0))-INDEX('PROJETO PERFURAÇÃO'!$AH:$AH,MATCH(MEDIÇÃO!D506,'PROJETO PERFURAÇÃO'!$B:$B,0)),"")</f>
        <v/>
      </c>
      <c r="F506" s="8" t="str">
        <f>IFERROR(INDEX('PROJETO PERFURAÇÃO'!$AN:$AN,MATCH(MEDIÇÃO!D506,'PROJETO PERFURAÇÃO'!$B:$B,0)),"")</f>
        <v/>
      </c>
      <c r="G506" s="3"/>
      <c r="H506" s="3"/>
      <c r="I506" s="3" t="str">
        <f>IFERROR(ROUND(INDEX('PROJETO PERFURAÇÃO'!$AB:$AB,MATCH(MEDIÇÃO!K506,'PROJETO PERFURAÇÃO'!$B:$B,0)),1)&amp;"''","")</f>
        <v/>
      </c>
      <c r="J506" s="3" t="str">
        <f>IFERROR(IF(INDEX('PROJETO PERFURAÇÃO'!$P:$P,MATCH(MEDIÇÃO!K506,'PROJETO PERFURAÇÃO'!$B:$B,0))="Production","P",IF(INDEX('PROJETO PERFURAÇÃO'!$P:$P,MATCH(MEDIÇÃO!K506,'PROJETO PERFURAÇÃO'!$B:$B,0))="Buffer","B",IF(INDEX('PROJETO PERFURAÇÃO'!$P:$P,MATCH(MEDIÇÃO!K506,'PROJETO PERFURAÇÃO'!$B:$B,0))="Pre-Splitting","S"))),"")</f>
        <v/>
      </c>
      <c r="K506" s="14">
        <f t="shared" si="49"/>
        <v>1133</v>
      </c>
      <c r="L506" s="4" t="str">
        <f>IFERROR(INDEX('LEV R&amp;D'!$D:$D,MATCH(MEDIÇÃO!K506,'LEV R&amp;D'!$A:$A,0))-INDEX('PROJETO PERFURAÇÃO'!$AH:$AH,MATCH(MEDIÇÃO!K506,'PROJETO PERFURAÇÃO'!$B:$B,0)),"")</f>
        <v/>
      </c>
      <c r="M506" s="8" t="str">
        <f>IFERROR(INDEX('PROJETO PERFURAÇÃO'!$AN:$AN,MATCH(MEDIÇÃO!K506,'PROJETO PERFURAÇÃO'!$B:$B,0)),"")</f>
        <v/>
      </c>
      <c r="N506" s="3"/>
      <c r="O506" s="3"/>
      <c r="P506" s="3" t="str">
        <f>IFERROR(ROUND(INDEX('PROJETO PERFURAÇÃO'!$AB:$AB,MATCH(MEDIÇÃO!R506,'PROJETO PERFURAÇÃO'!$B:$B,0)),1)&amp;"''","")</f>
        <v/>
      </c>
      <c r="Q506" s="3" t="str">
        <f>IFERROR(IF(INDEX('PROJETO PERFURAÇÃO'!$P:$P,MATCH(MEDIÇÃO!R506,'PROJETO PERFURAÇÃO'!$B:$B,0))="Production","P",IF(INDEX('PROJETO PERFURAÇÃO'!$P:$P,MATCH(MEDIÇÃO!R506,'PROJETO PERFURAÇÃO'!$B:$B,0))="Buffer","B",IF(INDEX('PROJETO PERFURAÇÃO'!$P:$P,MATCH(MEDIÇÃO!R506,'PROJETO PERFURAÇÃO'!$B:$B,0))="Pre-Splitting","S"))),"")</f>
        <v/>
      </c>
      <c r="R506" s="14">
        <f t="shared" si="50"/>
        <v>1156</v>
      </c>
      <c r="S506" s="4" t="str">
        <f>IFERROR(INDEX('LEV R&amp;D'!$D:$D,MATCH(MEDIÇÃO!R506,'LEV R&amp;D'!$A:$A,0))-INDEX('PROJETO PERFURAÇÃO'!$AH:$AH,MATCH(MEDIÇÃO!R506,'PROJETO PERFURAÇÃO'!$B:$B,0)),"")</f>
        <v/>
      </c>
      <c r="T506" s="8" t="str">
        <f>IFERROR(INDEX('PROJETO PERFURAÇÃO'!$AN:$AN,MATCH(MEDIÇÃO!R506,'PROJETO PERFURAÇÃO'!$B:$B,0)),"")</f>
        <v/>
      </c>
      <c r="U506" s="3"/>
      <c r="V506" s="3"/>
    </row>
    <row r="507" spans="1:23" ht="45" customHeight="1" x14ac:dyDescent="0.25">
      <c r="B507" s="3" t="str">
        <f>IFERROR(ROUND(INDEX('PROJETO PERFURAÇÃO'!$AB:$AB,MATCH(MEDIÇÃO!D507,'PROJETO PERFURAÇÃO'!$B:$B,0)),1)&amp;"''","")</f>
        <v/>
      </c>
      <c r="C507" s="3" t="str">
        <f>IFERROR(IF(INDEX('PROJETO PERFURAÇÃO'!$P:$P,MATCH(MEDIÇÃO!D507,'PROJETO PERFURAÇÃO'!$B:$B,0))="Production","P",IF(INDEX('PROJETO PERFURAÇÃO'!$P:$P,MATCH(MEDIÇÃO!D507,'PROJETO PERFURAÇÃO'!$B:$B,0))="Buffer","B",IF(INDEX('PROJETO PERFURAÇÃO'!$P:$P,MATCH(MEDIÇÃO!D507,'PROJETO PERFURAÇÃO'!$B:$B,0))="Pre-Splitting","S"))),"")</f>
        <v/>
      </c>
      <c r="D507" s="14">
        <f t="shared" si="48"/>
        <v>1111</v>
      </c>
      <c r="E507" s="4" t="str">
        <f>IFERROR(INDEX('LEV R&amp;D'!$D:$D,MATCH(MEDIÇÃO!D507,'LEV R&amp;D'!$A:$A,0))-INDEX('PROJETO PERFURAÇÃO'!$AH:$AH,MATCH(MEDIÇÃO!D507,'PROJETO PERFURAÇÃO'!$B:$B,0)),"")</f>
        <v/>
      </c>
      <c r="F507" s="8" t="str">
        <f>IFERROR(INDEX('PROJETO PERFURAÇÃO'!$AN:$AN,MATCH(MEDIÇÃO!D507,'PROJETO PERFURAÇÃO'!$B:$B,0)),"")</f>
        <v/>
      </c>
      <c r="G507" s="3"/>
      <c r="H507" s="3"/>
      <c r="I507" s="3" t="str">
        <f>IFERROR(ROUND(INDEX('PROJETO PERFURAÇÃO'!$AB:$AB,MATCH(MEDIÇÃO!K507,'PROJETO PERFURAÇÃO'!$B:$B,0)),1)&amp;"''","")</f>
        <v/>
      </c>
      <c r="J507" s="3" t="str">
        <f>IFERROR(IF(INDEX('PROJETO PERFURAÇÃO'!$P:$P,MATCH(MEDIÇÃO!K507,'PROJETO PERFURAÇÃO'!$B:$B,0))="Production","P",IF(INDEX('PROJETO PERFURAÇÃO'!$P:$P,MATCH(MEDIÇÃO!K507,'PROJETO PERFURAÇÃO'!$B:$B,0))="Buffer","B",IF(INDEX('PROJETO PERFURAÇÃO'!$P:$P,MATCH(MEDIÇÃO!K507,'PROJETO PERFURAÇÃO'!$B:$B,0))="Pre-Splitting","S"))),"")</f>
        <v/>
      </c>
      <c r="K507" s="14">
        <f t="shared" si="49"/>
        <v>1134</v>
      </c>
      <c r="L507" s="4" t="str">
        <f>IFERROR(INDEX('LEV R&amp;D'!$D:$D,MATCH(MEDIÇÃO!K507,'LEV R&amp;D'!$A:$A,0))-INDEX('PROJETO PERFURAÇÃO'!$AH:$AH,MATCH(MEDIÇÃO!K507,'PROJETO PERFURAÇÃO'!$B:$B,0)),"")</f>
        <v/>
      </c>
      <c r="M507" s="8" t="str">
        <f>IFERROR(INDEX('PROJETO PERFURAÇÃO'!$AN:$AN,MATCH(MEDIÇÃO!K507,'PROJETO PERFURAÇÃO'!$B:$B,0)),"")</f>
        <v/>
      </c>
      <c r="N507" s="3"/>
      <c r="O507" s="3"/>
      <c r="P507" s="3" t="str">
        <f>IFERROR(ROUND(INDEX('PROJETO PERFURAÇÃO'!$AB:$AB,MATCH(MEDIÇÃO!R507,'PROJETO PERFURAÇÃO'!$B:$B,0)),1)&amp;"''","")</f>
        <v/>
      </c>
      <c r="Q507" s="3" t="str">
        <f>IFERROR(IF(INDEX('PROJETO PERFURAÇÃO'!$P:$P,MATCH(MEDIÇÃO!R507,'PROJETO PERFURAÇÃO'!$B:$B,0))="Production","P",IF(INDEX('PROJETO PERFURAÇÃO'!$P:$P,MATCH(MEDIÇÃO!R507,'PROJETO PERFURAÇÃO'!$B:$B,0))="Buffer","B",IF(INDEX('PROJETO PERFURAÇÃO'!$P:$P,MATCH(MEDIÇÃO!R507,'PROJETO PERFURAÇÃO'!$B:$B,0))="Pre-Splitting","S"))),"")</f>
        <v/>
      </c>
      <c r="R507" s="14">
        <f t="shared" si="50"/>
        <v>1157</v>
      </c>
      <c r="S507" s="4" t="str">
        <f>IFERROR(INDEX('LEV R&amp;D'!$D:$D,MATCH(MEDIÇÃO!R507,'LEV R&amp;D'!$A:$A,0))-INDEX('PROJETO PERFURAÇÃO'!$AH:$AH,MATCH(MEDIÇÃO!R507,'PROJETO PERFURAÇÃO'!$B:$B,0)),"")</f>
        <v/>
      </c>
      <c r="T507" s="8" t="str">
        <f>IFERROR(INDEX('PROJETO PERFURAÇÃO'!$AN:$AN,MATCH(MEDIÇÃO!R507,'PROJETO PERFURAÇÃO'!$B:$B,0)),"")</f>
        <v/>
      </c>
      <c r="U507" s="3"/>
      <c r="V507" s="3"/>
    </row>
    <row r="508" spans="1:23" ht="45" customHeight="1" x14ac:dyDescent="0.25">
      <c r="B508" s="3" t="str">
        <f>IFERROR(ROUND(INDEX('PROJETO PERFURAÇÃO'!$AB:$AB,MATCH(MEDIÇÃO!D508,'PROJETO PERFURAÇÃO'!$B:$B,0)),1)&amp;"''","")</f>
        <v/>
      </c>
      <c r="C508" s="3" t="str">
        <f>IFERROR(IF(INDEX('PROJETO PERFURAÇÃO'!$P:$P,MATCH(MEDIÇÃO!D508,'PROJETO PERFURAÇÃO'!$B:$B,0))="Production","P",IF(INDEX('PROJETO PERFURAÇÃO'!$P:$P,MATCH(MEDIÇÃO!D508,'PROJETO PERFURAÇÃO'!$B:$B,0))="Buffer","B",IF(INDEX('PROJETO PERFURAÇÃO'!$P:$P,MATCH(MEDIÇÃO!D508,'PROJETO PERFURAÇÃO'!$B:$B,0))="Pre-Splitting","S"))),"")</f>
        <v/>
      </c>
      <c r="D508" s="14">
        <f t="shared" si="48"/>
        <v>1112</v>
      </c>
      <c r="E508" s="4" t="str">
        <f>IFERROR(INDEX('LEV R&amp;D'!$D:$D,MATCH(MEDIÇÃO!D508,'LEV R&amp;D'!$A:$A,0))-INDEX('PROJETO PERFURAÇÃO'!$AH:$AH,MATCH(MEDIÇÃO!D508,'PROJETO PERFURAÇÃO'!$B:$B,0)),"")</f>
        <v/>
      </c>
      <c r="F508" s="8" t="str">
        <f>IFERROR(INDEX('PROJETO PERFURAÇÃO'!$AN:$AN,MATCH(MEDIÇÃO!D508,'PROJETO PERFURAÇÃO'!$B:$B,0)),"")</f>
        <v/>
      </c>
      <c r="G508" s="3"/>
      <c r="H508" s="3"/>
      <c r="I508" s="3" t="str">
        <f>IFERROR(ROUND(INDEX('PROJETO PERFURAÇÃO'!$AB:$AB,MATCH(MEDIÇÃO!K508,'PROJETO PERFURAÇÃO'!$B:$B,0)),1)&amp;"''","")</f>
        <v/>
      </c>
      <c r="J508" s="3" t="str">
        <f>IFERROR(IF(INDEX('PROJETO PERFURAÇÃO'!$P:$P,MATCH(MEDIÇÃO!K508,'PROJETO PERFURAÇÃO'!$B:$B,0))="Production","P",IF(INDEX('PROJETO PERFURAÇÃO'!$P:$P,MATCH(MEDIÇÃO!K508,'PROJETO PERFURAÇÃO'!$B:$B,0))="Buffer","B",IF(INDEX('PROJETO PERFURAÇÃO'!$P:$P,MATCH(MEDIÇÃO!K508,'PROJETO PERFURAÇÃO'!$B:$B,0))="Pre-Splitting","S"))),"")</f>
        <v/>
      </c>
      <c r="K508" s="14">
        <f t="shared" si="49"/>
        <v>1135</v>
      </c>
      <c r="L508" s="4" t="str">
        <f>IFERROR(INDEX('LEV R&amp;D'!$D:$D,MATCH(MEDIÇÃO!K508,'LEV R&amp;D'!$A:$A,0))-INDEX('PROJETO PERFURAÇÃO'!$AH:$AH,MATCH(MEDIÇÃO!K508,'PROJETO PERFURAÇÃO'!$B:$B,0)),"")</f>
        <v/>
      </c>
      <c r="M508" s="8" t="str">
        <f>IFERROR(INDEX('PROJETO PERFURAÇÃO'!$AN:$AN,MATCH(MEDIÇÃO!K508,'PROJETO PERFURAÇÃO'!$B:$B,0)),"")</f>
        <v/>
      </c>
      <c r="N508" s="3"/>
      <c r="O508" s="3"/>
      <c r="P508" s="3" t="str">
        <f>IFERROR(ROUND(INDEX('PROJETO PERFURAÇÃO'!$AB:$AB,MATCH(MEDIÇÃO!R508,'PROJETO PERFURAÇÃO'!$B:$B,0)),1)&amp;"''","")</f>
        <v/>
      </c>
      <c r="Q508" s="3" t="str">
        <f>IFERROR(IF(INDEX('PROJETO PERFURAÇÃO'!$P:$P,MATCH(MEDIÇÃO!R508,'PROJETO PERFURAÇÃO'!$B:$B,0))="Production","P",IF(INDEX('PROJETO PERFURAÇÃO'!$P:$P,MATCH(MEDIÇÃO!R508,'PROJETO PERFURAÇÃO'!$B:$B,0))="Buffer","B",IF(INDEX('PROJETO PERFURAÇÃO'!$P:$P,MATCH(MEDIÇÃO!R508,'PROJETO PERFURAÇÃO'!$B:$B,0))="Pre-Splitting","S"))),"")</f>
        <v/>
      </c>
      <c r="R508" s="14">
        <f t="shared" si="50"/>
        <v>1158</v>
      </c>
      <c r="S508" s="4" t="str">
        <f>IFERROR(INDEX('LEV R&amp;D'!$D:$D,MATCH(MEDIÇÃO!R508,'LEV R&amp;D'!$A:$A,0))-INDEX('PROJETO PERFURAÇÃO'!$AH:$AH,MATCH(MEDIÇÃO!R508,'PROJETO PERFURAÇÃO'!$B:$B,0)),"")</f>
        <v/>
      </c>
      <c r="T508" s="8" t="str">
        <f>IFERROR(INDEX('PROJETO PERFURAÇÃO'!$AN:$AN,MATCH(MEDIÇÃO!R508,'PROJETO PERFURAÇÃO'!$B:$B,0)),"")</f>
        <v/>
      </c>
      <c r="U508" s="3"/>
      <c r="V508" s="3"/>
    </row>
    <row r="509" spans="1:23" ht="45" customHeight="1" x14ac:dyDescent="0.25">
      <c r="B509" s="3" t="str">
        <f>IFERROR(ROUND(INDEX('PROJETO PERFURAÇÃO'!$AB:$AB,MATCH(MEDIÇÃO!D509,'PROJETO PERFURAÇÃO'!$B:$B,0)),1)&amp;"''","")</f>
        <v/>
      </c>
      <c r="C509" s="3" t="str">
        <f>IFERROR(IF(INDEX('PROJETO PERFURAÇÃO'!$P:$P,MATCH(MEDIÇÃO!D509,'PROJETO PERFURAÇÃO'!$B:$B,0))="Production","P",IF(INDEX('PROJETO PERFURAÇÃO'!$P:$P,MATCH(MEDIÇÃO!D509,'PROJETO PERFURAÇÃO'!$B:$B,0))="Buffer","B",IF(INDEX('PROJETO PERFURAÇÃO'!$P:$P,MATCH(MEDIÇÃO!D509,'PROJETO PERFURAÇÃO'!$B:$B,0))="Pre-Splitting","S"))),"")</f>
        <v/>
      </c>
      <c r="D509" s="14">
        <f t="shared" si="48"/>
        <v>1113</v>
      </c>
      <c r="E509" s="4" t="str">
        <f>IFERROR(INDEX('LEV R&amp;D'!$D:$D,MATCH(MEDIÇÃO!D509,'LEV R&amp;D'!$A:$A,0))-INDEX('PROJETO PERFURAÇÃO'!$AH:$AH,MATCH(MEDIÇÃO!D509,'PROJETO PERFURAÇÃO'!$B:$B,0)),"")</f>
        <v/>
      </c>
      <c r="F509" s="8" t="str">
        <f>IFERROR(INDEX('PROJETO PERFURAÇÃO'!$AN:$AN,MATCH(MEDIÇÃO!D509,'PROJETO PERFURAÇÃO'!$B:$B,0)),"")</f>
        <v/>
      </c>
      <c r="G509" s="3"/>
      <c r="H509" s="3"/>
      <c r="I509" s="3" t="str">
        <f>IFERROR(ROUND(INDEX('PROJETO PERFURAÇÃO'!$AB:$AB,MATCH(MEDIÇÃO!K509,'PROJETO PERFURAÇÃO'!$B:$B,0)),1)&amp;"''","")</f>
        <v/>
      </c>
      <c r="J509" s="3" t="str">
        <f>IFERROR(IF(INDEX('PROJETO PERFURAÇÃO'!$P:$P,MATCH(MEDIÇÃO!K509,'PROJETO PERFURAÇÃO'!$B:$B,0))="Production","P",IF(INDEX('PROJETO PERFURAÇÃO'!$P:$P,MATCH(MEDIÇÃO!K509,'PROJETO PERFURAÇÃO'!$B:$B,0))="Buffer","B",IF(INDEX('PROJETO PERFURAÇÃO'!$P:$P,MATCH(MEDIÇÃO!K509,'PROJETO PERFURAÇÃO'!$B:$B,0))="Pre-Splitting","S"))),"")</f>
        <v/>
      </c>
      <c r="K509" s="14">
        <f t="shared" si="49"/>
        <v>1136</v>
      </c>
      <c r="L509" s="4" t="str">
        <f>IFERROR(INDEX('LEV R&amp;D'!$D:$D,MATCH(MEDIÇÃO!K509,'LEV R&amp;D'!$A:$A,0))-INDEX('PROJETO PERFURAÇÃO'!$AH:$AH,MATCH(MEDIÇÃO!K509,'PROJETO PERFURAÇÃO'!$B:$B,0)),"")</f>
        <v/>
      </c>
      <c r="M509" s="8" t="str">
        <f>IFERROR(INDEX('PROJETO PERFURAÇÃO'!$AN:$AN,MATCH(MEDIÇÃO!K509,'PROJETO PERFURAÇÃO'!$B:$B,0)),"")</f>
        <v/>
      </c>
      <c r="N509" s="3"/>
      <c r="O509" s="3"/>
      <c r="P509" s="3" t="str">
        <f>IFERROR(ROUND(INDEX('PROJETO PERFURAÇÃO'!$AB:$AB,MATCH(MEDIÇÃO!R509,'PROJETO PERFURAÇÃO'!$B:$B,0)),1)&amp;"''","")</f>
        <v/>
      </c>
      <c r="Q509" s="3" t="str">
        <f>IFERROR(IF(INDEX('PROJETO PERFURAÇÃO'!$P:$P,MATCH(MEDIÇÃO!R509,'PROJETO PERFURAÇÃO'!$B:$B,0))="Production","P",IF(INDEX('PROJETO PERFURAÇÃO'!$P:$P,MATCH(MEDIÇÃO!R509,'PROJETO PERFURAÇÃO'!$B:$B,0))="Buffer","B",IF(INDEX('PROJETO PERFURAÇÃO'!$P:$P,MATCH(MEDIÇÃO!R509,'PROJETO PERFURAÇÃO'!$B:$B,0))="Pre-Splitting","S"))),"")</f>
        <v/>
      </c>
      <c r="R509" s="14">
        <f t="shared" si="50"/>
        <v>1159</v>
      </c>
      <c r="S509" s="4" t="str">
        <f>IFERROR(INDEX('LEV R&amp;D'!$D:$D,MATCH(MEDIÇÃO!R509,'LEV R&amp;D'!$A:$A,0))-INDEX('PROJETO PERFURAÇÃO'!$AH:$AH,MATCH(MEDIÇÃO!R509,'PROJETO PERFURAÇÃO'!$B:$B,0)),"")</f>
        <v/>
      </c>
      <c r="T509" s="8" t="str">
        <f>IFERROR(INDEX('PROJETO PERFURAÇÃO'!$AN:$AN,MATCH(MEDIÇÃO!R509,'PROJETO PERFURAÇÃO'!$B:$B,0)),"")</f>
        <v/>
      </c>
      <c r="U509" s="3"/>
      <c r="V509" s="3"/>
    </row>
    <row r="510" spans="1:23" ht="45" customHeight="1" x14ac:dyDescent="0.25">
      <c r="B510" s="3" t="str">
        <f>IFERROR(ROUND(INDEX('PROJETO PERFURAÇÃO'!$AB:$AB,MATCH(MEDIÇÃO!D510,'PROJETO PERFURAÇÃO'!$B:$B,0)),1)&amp;"''","")</f>
        <v/>
      </c>
      <c r="C510" s="3" t="str">
        <f>IFERROR(IF(INDEX('PROJETO PERFURAÇÃO'!$P:$P,MATCH(MEDIÇÃO!D510,'PROJETO PERFURAÇÃO'!$B:$B,0))="Production","P",IF(INDEX('PROJETO PERFURAÇÃO'!$P:$P,MATCH(MEDIÇÃO!D510,'PROJETO PERFURAÇÃO'!$B:$B,0))="Buffer","B",IF(INDEX('PROJETO PERFURAÇÃO'!$P:$P,MATCH(MEDIÇÃO!D510,'PROJETO PERFURAÇÃO'!$B:$B,0))="Pre-Splitting","S"))),"")</f>
        <v/>
      </c>
      <c r="D510" s="14">
        <f t="shared" si="48"/>
        <v>1114</v>
      </c>
      <c r="E510" s="4" t="str">
        <f>IFERROR(INDEX('LEV R&amp;D'!$D:$D,MATCH(MEDIÇÃO!D510,'LEV R&amp;D'!$A:$A,0))-INDEX('PROJETO PERFURAÇÃO'!$AH:$AH,MATCH(MEDIÇÃO!D510,'PROJETO PERFURAÇÃO'!$B:$B,0)),"")</f>
        <v/>
      </c>
      <c r="F510" s="8" t="str">
        <f>IFERROR(INDEX('PROJETO PERFURAÇÃO'!$AN:$AN,MATCH(MEDIÇÃO!D510,'PROJETO PERFURAÇÃO'!$B:$B,0)),"")</f>
        <v/>
      </c>
      <c r="G510" s="3"/>
      <c r="H510" s="3"/>
      <c r="I510" s="3" t="str">
        <f>IFERROR(ROUND(INDEX('PROJETO PERFURAÇÃO'!$AB:$AB,MATCH(MEDIÇÃO!K510,'PROJETO PERFURAÇÃO'!$B:$B,0)),1)&amp;"''","")</f>
        <v/>
      </c>
      <c r="J510" s="3" t="str">
        <f>IFERROR(IF(INDEX('PROJETO PERFURAÇÃO'!$P:$P,MATCH(MEDIÇÃO!K510,'PROJETO PERFURAÇÃO'!$B:$B,0))="Production","P",IF(INDEX('PROJETO PERFURAÇÃO'!$P:$P,MATCH(MEDIÇÃO!K510,'PROJETO PERFURAÇÃO'!$B:$B,0))="Buffer","B",IF(INDEX('PROJETO PERFURAÇÃO'!$P:$P,MATCH(MEDIÇÃO!K510,'PROJETO PERFURAÇÃO'!$B:$B,0))="Pre-Splitting","S"))),"")</f>
        <v/>
      </c>
      <c r="K510" s="14">
        <f t="shared" si="49"/>
        <v>1137</v>
      </c>
      <c r="L510" s="4" t="str">
        <f>IFERROR(INDEX('LEV R&amp;D'!$D:$D,MATCH(MEDIÇÃO!K510,'LEV R&amp;D'!$A:$A,0))-INDEX('PROJETO PERFURAÇÃO'!$AH:$AH,MATCH(MEDIÇÃO!K510,'PROJETO PERFURAÇÃO'!$B:$B,0)),"")</f>
        <v/>
      </c>
      <c r="M510" s="8" t="str">
        <f>IFERROR(INDEX('PROJETO PERFURAÇÃO'!$AN:$AN,MATCH(MEDIÇÃO!K510,'PROJETO PERFURAÇÃO'!$B:$B,0)),"")</f>
        <v/>
      </c>
      <c r="N510" s="3"/>
      <c r="O510" s="3"/>
      <c r="P510" s="3" t="str">
        <f>IFERROR(ROUND(INDEX('PROJETO PERFURAÇÃO'!$AB:$AB,MATCH(MEDIÇÃO!R510,'PROJETO PERFURAÇÃO'!$B:$B,0)),1)&amp;"''","")</f>
        <v/>
      </c>
      <c r="Q510" s="3" t="str">
        <f>IFERROR(IF(INDEX('PROJETO PERFURAÇÃO'!$P:$P,MATCH(MEDIÇÃO!R510,'PROJETO PERFURAÇÃO'!$B:$B,0))="Production","P",IF(INDEX('PROJETO PERFURAÇÃO'!$P:$P,MATCH(MEDIÇÃO!R510,'PROJETO PERFURAÇÃO'!$B:$B,0))="Buffer","B",IF(INDEX('PROJETO PERFURAÇÃO'!$P:$P,MATCH(MEDIÇÃO!R510,'PROJETO PERFURAÇÃO'!$B:$B,0))="Pre-Splitting","S"))),"")</f>
        <v/>
      </c>
      <c r="R510" s="14">
        <f t="shared" si="50"/>
        <v>1160</v>
      </c>
      <c r="S510" s="4" t="str">
        <f>IFERROR(INDEX('LEV R&amp;D'!$D:$D,MATCH(MEDIÇÃO!R510,'LEV R&amp;D'!$A:$A,0))-INDEX('PROJETO PERFURAÇÃO'!$AH:$AH,MATCH(MEDIÇÃO!R510,'PROJETO PERFURAÇÃO'!$B:$B,0)),"")</f>
        <v/>
      </c>
      <c r="T510" s="8" t="str">
        <f>IFERROR(INDEX('PROJETO PERFURAÇÃO'!$AN:$AN,MATCH(MEDIÇÃO!R510,'PROJETO PERFURAÇÃO'!$B:$B,0)),"")</f>
        <v/>
      </c>
      <c r="U510" s="3"/>
      <c r="V510" s="3"/>
    </row>
    <row r="511" spans="1:23" ht="45" customHeight="1" x14ac:dyDescent="0.25">
      <c r="B511" s="3" t="str">
        <f>IFERROR(ROUND(INDEX('PROJETO PERFURAÇÃO'!$AB:$AB,MATCH(MEDIÇÃO!D511,'PROJETO PERFURAÇÃO'!$B:$B,0)),1)&amp;"''","")</f>
        <v/>
      </c>
      <c r="C511" s="3" t="str">
        <f>IFERROR(IF(INDEX('PROJETO PERFURAÇÃO'!$P:$P,MATCH(MEDIÇÃO!D511,'PROJETO PERFURAÇÃO'!$B:$B,0))="Production","P",IF(INDEX('PROJETO PERFURAÇÃO'!$P:$P,MATCH(MEDIÇÃO!D511,'PROJETO PERFURAÇÃO'!$B:$B,0))="Buffer","B",IF(INDEX('PROJETO PERFURAÇÃO'!$P:$P,MATCH(MEDIÇÃO!D511,'PROJETO PERFURAÇÃO'!$B:$B,0))="Pre-Splitting","S"))),"")</f>
        <v/>
      </c>
      <c r="D511" s="14">
        <f t="shared" si="48"/>
        <v>1115</v>
      </c>
      <c r="E511" s="4" t="str">
        <f>IFERROR(INDEX('LEV R&amp;D'!$D:$D,MATCH(MEDIÇÃO!D511,'LEV R&amp;D'!$A:$A,0))-INDEX('PROJETO PERFURAÇÃO'!$AH:$AH,MATCH(MEDIÇÃO!D511,'PROJETO PERFURAÇÃO'!$B:$B,0)),"")</f>
        <v/>
      </c>
      <c r="F511" s="8" t="str">
        <f>IFERROR(INDEX('PROJETO PERFURAÇÃO'!$AN:$AN,MATCH(MEDIÇÃO!D511,'PROJETO PERFURAÇÃO'!$B:$B,0)),"")</f>
        <v/>
      </c>
      <c r="G511" s="3"/>
      <c r="H511" s="3"/>
      <c r="I511" s="3" t="str">
        <f>IFERROR(ROUND(INDEX('PROJETO PERFURAÇÃO'!$AB:$AB,MATCH(MEDIÇÃO!K511,'PROJETO PERFURAÇÃO'!$B:$B,0)),1)&amp;"''","")</f>
        <v/>
      </c>
      <c r="J511" s="3" t="str">
        <f>IFERROR(IF(INDEX('PROJETO PERFURAÇÃO'!$P:$P,MATCH(MEDIÇÃO!K511,'PROJETO PERFURAÇÃO'!$B:$B,0))="Production","P",IF(INDEX('PROJETO PERFURAÇÃO'!$P:$P,MATCH(MEDIÇÃO!K511,'PROJETO PERFURAÇÃO'!$B:$B,0))="Buffer","B",IF(INDEX('PROJETO PERFURAÇÃO'!$P:$P,MATCH(MEDIÇÃO!K511,'PROJETO PERFURAÇÃO'!$B:$B,0))="Pre-Splitting","S"))),"")</f>
        <v/>
      </c>
      <c r="K511" s="14">
        <f t="shared" si="49"/>
        <v>1138</v>
      </c>
      <c r="L511" s="4" t="str">
        <f>IFERROR(INDEX('LEV R&amp;D'!$D:$D,MATCH(MEDIÇÃO!K511,'LEV R&amp;D'!$A:$A,0))-INDEX('PROJETO PERFURAÇÃO'!$AH:$AH,MATCH(MEDIÇÃO!K511,'PROJETO PERFURAÇÃO'!$B:$B,0)),"")</f>
        <v/>
      </c>
      <c r="M511" s="8" t="str">
        <f>IFERROR(INDEX('PROJETO PERFURAÇÃO'!$AN:$AN,MATCH(MEDIÇÃO!K511,'PROJETO PERFURAÇÃO'!$B:$B,0)),"")</f>
        <v/>
      </c>
      <c r="N511" s="3"/>
      <c r="O511" s="3"/>
      <c r="P511" s="3" t="str">
        <f>IFERROR(ROUND(INDEX('PROJETO PERFURAÇÃO'!$AB:$AB,MATCH(MEDIÇÃO!R511,'PROJETO PERFURAÇÃO'!$B:$B,0)),1)&amp;"''","")</f>
        <v/>
      </c>
      <c r="Q511" s="3" t="str">
        <f>IFERROR(IF(INDEX('PROJETO PERFURAÇÃO'!$P:$P,MATCH(MEDIÇÃO!R511,'PROJETO PERFURAÇÃO'!$B:$B,0))="Production","P",IF(INDEX('PROJETO PERFURAÇÃO'!$P:$P,MATCH(MEDIÇÃO!R511,'PROJETO PERFURAÇÃO'!$B:$B,0))="Buffer","B",IF(INDEX('PROJETO PERFURAÇÃO'!$P:$P,MATCH(MEDIÇÃO!R511,'PROJETO PERFURAÇÃO'!$B:$B,0))="Pre-Splitting","S"))),"")</f>
        <v/>
      </c>
      <c r="R511" s="14">
        <f t="shared" si="50"/>
        <v>1161</v>
      </c>
      <c r="S511" s="4" t="str">
        <f>IFERROR(INDEX('LEV R&amp;D'!$D:$D,MATCH(MEDIÇÃO!R511,'LEV R&amp;D'!$A:$A,0))-INDEX('PROJETO PERFURAÇÃO'!$AH:$AH,MATCH(MEDIÇÃO!R511,'PROJETO PERFURAÇÃO'!$B:$B,0)),"")</f>
        <v/>
      </c>
      <c r="T511" s="8" t="str">
        <f>IFERROR(INDEX('PROJETO PERFURAÇÃO'!$AN:$AN,MATCH(MEDIÇÃO!R511,'PROJETO PERFURAÇÃO'!$B:$B,0)),"")</f>
        <v/>
      </c>
      <c r="U511" s="3"/>
      <c r="V511" s="3"/>
    </row>
    <row r="512" spans="1:23" ht="45" customHeight="1" x14ac:dyDescent="0.25">
      <c r="B512" s="3" t="str">
        <f>IFERROR(ROUND(INDEX('PROJETO PERFURAÇÃO'!$AB:$AB,MATCH(MEDIÇÃO!D512,'PROJETO PERFURAÇÃO'!$B:$B,0)),1)&amp;"''","")</f>
        <v/>
      </c>
      <c r="C512" s="3" t="str">
        <f>IFERROR(IF(INDEX('PROJETO PERFURAÇÃO'!$P:$P,MATCH(MEDIÇÃO!D512,'PROJETO PERFURAÇÃO'!$B:$B,0))="Production","P",IF(INDEX('PROJETO PERFURAÇÃO'!$P:$P,MATCH(MEDIÇÃO!D512,'PROJETO PERFURAÇÃO'!$B:$B,0))="Buffer","B",IF(INDEX('PROJETO PERFURAÇÃO'!$P:$P,MATCH(MEDIÇÃO!D512,'PROJETO PERFURAÇÃO'!$B:$B,0))="Pre-Splitting","S"))),"")</f>
        <v/>
      </c>
      <c r="D512" s="14">
        <f t="shared" si="48"/>
        <v>1116</v>
      </c>
      <c r="E512" s="4" t="str">
        <f>IFERROR(INDEX('LEV R&amp;D'!$D:$D,MATCH(MEDIÇÃO!D512,'LEV R&amp;D'!$A:$A,0))-INDEX('PROJETO PERFURAÇÃO'!$AH:$AH,MATCH(MEDIÇÃO!D512,'PROJETO PERFURAÇÃO'!$B:$B,0)),"")</f>
        <v/>
      </c>
      <c r="F512" s="8" t="str">
        <f>IFERROR(INDEX('PROJETO PERFURAÇÃO'!$AN:$AN,MATCH(MEDIÇÃO!D512,'PROJETO PERFURAÇÃO'!$B:$B,0)),"")</f>
        <v/>
      </c>
      <c r="G512" s="3"/>
      <c r="H512" s="3"/>
      <c r="I512" s="3" t="str">
        <f>IFERROR(ROUND(INDEX('PROJETO PERFURAÇÃO'!$AB:$AB,MATCH(MEDIÇÃO!K512,'PROJETO PERFURAÇÃO'!$B:$B,0)),1)&amp;"''","")</f>
        <v/>
      </c>
      <c r="J512" s="3" t="str">
        <f>IFERROR(IF(INDEX('PROJETO PERFURAÇÃO'!$P:$P,MATCH(MEDIÇÃO!K512,'PROJETO PERFURAÇÃO'!$B:$B,0))="Production","P",IF(INDEX('PROJETO PERFURAÇÃO'!$P:$P,MATCH(MEDIÇÃO!K512,'PROJETO PERFURAÇÃO'!$B:$B,0))="Buffer","B",IF(INDEX('PROJETO PERFURAÇÃO'!$P:$P,MATCH(MEDIÇÃO!K512,'PROJETO PERFURAÇÃO'!$B:$B,0))="Pre-Splitting","S"))),"")</f>
        <v/>
      </c>
      <c r="K512" s="14">
        <f t="shared" si="49"/>
        <v>1139</v>
      </c>
      <c r="L512" s="4" t="str">
        <f>IFERROR(INDEX('LEV R&amp;D'!$D:$D,MATCH(MEDIÇÃO!K512,'LEV R&amp;D'!$A:$A,0))-INDEX('PROJETO PERFURAÇÃO'!$AH:$AH,MATCH(MEDIÇÃO!K512,'PROJETO PERFURAÇÃO'!$B:$B,0)),"")</f>
        <v/>
      </c>
      <c r="M512" s="8" t="str">
        <f>IFERROR(INDEX('PROJETO PERFURAÇÃO'!$AN:$AN,MATCH(MEDIÇÃO!K512,'PROJETO PERFURAÇÃO'!$B:$B,0)),"")</f>
        <v/>
      </c>
      <c r="N512" s="3"/>
      <c r="O512" s="3"/>
      <c r="P512" s="3" t="str">
        <f>IFERROR(ROUND(INDEX('PROJETO PERFURAÇÃO'!$AB:$AB,MATCH(MEDIÇÃO!R512,'PROJETO PERFURAÇÃO'!$B:$B,0)),1)&amp;"''","")</f>
        <v/>
      </c>
      <c r="Q512" s="3" t="str">
        <f>IFERROR(IF(INDEX('PROJETO PERFURAÇÃO'!$P:$P,MATCH(MEDIÇÃO!R512,'PROJETO PERFURAÇÃO'!$B:$B,0))="Production","P",IF(INDEX('PROJETO PERFURAÇÃO'!$P:$P,MATCH(MEDIÇÃO!R512,'PROJETO PERFURAÇÃO'!$B:$B,0))="Buffer","B",IF(INDEX('PROJETO PERFURAÇÃO'!$P:$P,MATCH(MEDIÇÃO!R512,'PROJETO PERFURAÇÃO'!$B:$B,0))="Pre-Splitting","S"))),"")</f>
        <v/>
      </c>
      <c r="R512" s="14">
        <f t="shared" si="50"/>
        <v>1162</v>
      </c>
      <c r="S512" s="4" t="str">
        <f>IFERROR(INDEX('LEV R&amp;D'!$D:$D,MATCH(MEDIÇÃO!R512,'LEV R&amp;D'!$A:$A,0))-INDEX('PROJETO PERFURAÇÃO'!$AH:$AH,MATCH(MEDIÇÃO!R512,'PROJETO PERFURAÇÃO'!$B:$B,0)),"")</f>
        <v/>
      </c>
      <c r="T512" s="8" t="str">
        <f>IFERROR(INDEX('PROJETO PERFURAÇÃO'!$AN:$AN,MATCH(MEDIÇÃO!R512,'PROJETO PERFURAÇÃO'!$B:$B,0)),"")</f>
        <v/>
      </c>
      <c r="U512" s="3"/>
      <c r="V512" s="3"/>
    </row>
    <row r="513" spans="2:22" ht="45" customHeight="1" x14ac:dyDescent="0.25">
      <c r="B513" s="3" t="str">
        <f>IFERROR(ROUND(INDEX('PROJETO PERFURAÇÃO'!$AB:$AB,MATCH(MEDIÇÃO!D513,'PROJETO PERFURAÇÃO'!$B:$B,0)),1)&amp;"''","")</f>
        <v/>
      </c>
      <c r="C513" s="3" t="str">
        <f>IFERROR(IF(INDEX('PROJETO PERFURAÇÃO'!$P:$P,MATCH(MEDIÇÃO!D513,'PROJETO PERFURAÇÃO'!$B:$B,0))="Production","P",IF(INDEX('PROJETO PERFURAÇÃO'!$P:$P,MATCH(MEDIÇÃO!D513,'PROJETO PERFURAÇÃO'!$B:$B,0))="Buffer","B",IF(INDEX('PROJETO PERFURAÇÃO'!$P:$P,MATCH(MEDIÇÃO!D513,'PROJETO PERFURAÇÃO'!$B:$B,0))="Pre-Splitting","S"))),"")</f>
        <v/>
      </c>
      <c r="D513" s="14">
        <f t="shared" si="48"/>
        <v>1117</v>
      </c>
      <c r="E513" s="4" t="str">
        <f>IFERROR(INDEX('LEV R&amp;D'!$D:$D,MATCH(MEDIÇÃO!D513,'LEV R&amp;D'!$A:$A,0))-INDEX('PROJETO PERFURAÇÃO'!$AH:$AH,MATCH(MEDIÇÃO!D513,'PROJETO PERFURAÇÃO'!$B:$B,0)),"")</f>
        <v/>
      </c>
      <c r="F513" s="8" t="str">
        <f>IFERROR(INDEX('PROJETO PERFURAÇÃO'!$AN:$AN,MATCH(MEDIÇÃO!D513,'PROJETO PERFURAÇÃO'!$B:$B,0)),"")</f>
        <v/>
      </c>
      <c r="G513" s="3"/>
      <c r="H513" s="3"/>
      <c r="I513" s="3" t="str">
        <f>IFERROR(ROUND(INDEX('PROJETO PERFURAÇÃO'!$AB:$AB,MATCH(MEDIÇÃO!K513,'PROJETO PERFURAÇÃO'!$B:$B,0)),1)&amp;"''","")</f>
        <v/>
      </c>
      <c r="J513" s="3" t="str">
        <f>IFERROR(IF(INDEX('PROJETO PERFURAÇÃO'!$P:$P,MATCH(MEDIÇÃO!K513,'PROJETO PERFURAÇÃO'!$B:$B,0))="Production","P",IF(INDEX('PROJETO PERFURAÇÃO'!$P:$P,MATCH(MEDIÇÃO!K513,'PROJETO PERFURAÇÃO'!$B:$B,0))="Buffer","B",IF(INDEX('PROJETO PERFURAÇÃO'!$P:$P,MATCH(MEDIÇÃO!K513,'PROJETO PERFURAÇÃO'!$B:$B,0))="Pre-Splitting","S"))),"")</f>
        <v/>
      </c>
      <c r="K513" s="14">
        <f t="shared" si="49"/>
        <v>1140</v>
      </c>
      <c r="L513" s="4" t="str">
        <f>IFERROR(INDEX('LEV R&amp;D'!$D:$D,MATCH(MEDIÇÃO!K513,'LEV R&amp;D'!$A:$A,0))-INDEX('PROJETO PERFURAÇÃO'!$AH:$AH,MATCH(MEDIÇÃO!K513,'PROJETO PERFURAÇÃO'!$B:$B,0)),"")</f>
        <v/>
      </c>
      <c r="M513" s="8" t="str">
        <f>IFERROR(INDEX('PROJETO PERFURAÇÃO'!$AN:$AN,MATCH(MEDIÇÃO!K513,'PROJETO PERFURAÇÃO'!$B:$B,0)),"")</f>
        <v/>
      </c>
      <c r="N513" s="3"/>
      <c r="O513" s="3"/>
      <c r="P513" s="3" t="str">
        <f>IFERROR(ROUND(INDEX('PROJETO PERFURAÇÃO'!$AB:$AB,MATCH(MEDIÇÃO!R513,'PROJETO PERFURAÇÃO'!$B:$B,0)),1)&amp;"''","")</f>
        <v/>
      </c>
      <c r="Q513" s="3" t="str">
        <f>IFERROR(IF(INDEX('PROJETO PERFURAÇÃO'!$P:$P,MATCH(MEDIÇÃO!R513,'PROJETO PERFURAÇÃO'!$B:$B,0))="Production","P",IF(INDEX('PROJETO PERFURAÇÃO'!$P:$P,MATCH(MEDIÇÃO!R513,'PROJETO PERFURAÇÃO'!$B:$B,0))="Buffer","B",IF(INDEX('PROJETO PERFURAÇÃO'!$P:$P,MATCH(MEDIÇÃO!R513,'PROJETO PERFURAÇÃO'!$B:$B,0))="Pre-Splitting","S"))),"")</f>
        <v/>
      </c>
      <c r="R513" s="14">
        <f t="shared" si="50"/>
        <v>1163</v>
      </c>
      <c r="S513" s="4" t="str">
        <f>IFERROR(INDEX('LEV R&amp;D'!$D:$D,MATCH(MEDIÇÃO!R513,'LEV R&amp;D'!$A:$A,0))-INDEX('PROJETO PERFURAÇÃO'!$AH:$AH,MATCH(MEDIÇÃO!R513,'PROJETO PERFURAÇÃO'!$B:$B,0)),"")</f>
        <v/>
      </c>
      <c r="T513" s="8" t="str">
        <f>IFERROR(INDEX('PROJETO PERFURAÇÃO'!$AN:$AN,MATCH(MEDIÇÃO!R513,'PROJETO PERFURAÇÃO'!$B:$B,0)),"")</f>
        <v/>
      </c>
      <c r="U513" s="3"/>
      <c r="V513" s="3"/>
    </row>
    <row r="514" spans="2:22" ht="45" customHeight="1" x14ac:dyDescent="0.25">
      <c r="B514" s="3" t="str">
        <f>IFERROR(ROUND(INDEX('PROJETO PERFURAÇÃO'!$AB:$AB,MATCH(MEDIÇÃO!D514,'PROJETO PERFURAÇÃO'!$B:$B,0)),1)&amp;"''","")</f>
        <v/>
      </c>
      <c r="C514" s="3" t="str">
        <f>IFERROR(IF(INDEX('PROJETO PERFURAÇÃO'!$P:$P,MATCH(MEDIÇÃO!D514,'PROJETO PERFURAÇÃO'!$B:$B,0))="Production","P",IF(INDEX('PROJETO PERFURAÇÃO'!$P:$P,MATCH(MEDIÇÃO!D514,'PROJETO PERFURAÇÃO'!$B:$B,0))="Buffer","B",IF(INDEX('PROJETO PERFURAÇÃO'!$P:$P,MATCH(MEDIÇÃO!D514,'PROJETO PERFURAÇÃO'!$B:$B,0))="Pre-Splitting","S"))),"")</f>
        <v/>
      </c>
      <c r="D514" s="14">
        <f t="shared" si="48"/>
        <v>1118</v>
      </c>
      <c r="E514" s="4" t="str">
        <f>IFERROR(INDEX('LEV R&amp;D'!$D:$D,MATCH(MEDIÇÃO!D514,'LEV R&amp;D'!$A:$A,0))-INDEX('PROJETO PERFURAÇÃO'!$AH:$AH,MATCH(MEDIÇÃO!D514,'PROJETO PERFURAÇÃO'!$B:$B,0)),"")</f>
        <v/>
      </c>
      <c r="F514" s="8" t="str">
        <f>IFERROR(INDEX('PROJETO PERFURAÇÃO'!$AN:$AN,MATCH(MEDIÇÃO!D514,'PROJETO PERFURAÇÃO'!$B:$B,0)),"")</f>
        <v/>
      </c>
      <c r="G514" s="3"/>
      <c r="H514" s="3"/>
      <c r="I514" s="3" t="str">
        <f>IFERROR(ROUND(INDEX('PROJETO PERFURAÇÃO'!$AB:$AB,MATCH(MEDIÇÃO!K514,'PROJETO PERFURAÇÃO'!$B:$B,0)),1)&amp;"''","")</f>
        <v/>
      </c>
      <c r="J514" s="3" t="str">
        <f>IFERROR(IF(INDEX('PROJETO PERFURAÇÃO'!$P:$P,MATCH(MEDIÇÃO!K514,'PROJETO PERFURAÇÃO'!$B:$B,0))="Production","P",IF(INDEX('PROJETO PERFURAÇÃO'!$P:$P,MATCH(MEDIÇÃO!K514,'PROJETO PERFURAÇÃO'!$B:$B,0))="Buffer","B",IF(INDEX('PROJETO PERFURAÇÃO'!$P:$P,MATCH(MEDIÇÃO!K514,'PROJETO PERFURAÇÃO'!$B:$B,0))="Pre-Splitting","S"))),"")</f>
        <v/>
      </c>
      <c r="K514" s="14">
        <f t="shared" si="49"/>
        <v>1141</v>
      </c>
      <c r="L514" s="4" t="str">
        <f>IFERROR(INDEX('LEV R&amp;D'!$D:$D,MATCH(MEDIÇÃO!K514,'LEV R&amp;D'!$A:$A,0))-INDEX('PROJETO PERFURAÇÃO'!$AH:$AH,MATCH(MEDIÇÃO!K514,'PROJETO PERFURAÇÃO'!$B:$B,0)),"")</f>
        <v/>
      </c>
      <c r="M514" s="8" t="str">
        <f>IFERROR(INDEX('PROJETO PERFURAÇÃO'!$AN:$AN,MATCH(MEDIÇÃO!K514,'PROJETO PERFURAÇÃO'!$B:$B,0)),"")</f>
        <v/>
      </c>
      <c r="N514" s="3"/>
      <c r="O514" s="3"/>
      <c r="P514" s="3" t="str">
        <f>IFERROR(ROUND(INDEX('PROJETO PERFURAÇÃO'!$AB:$AB,MATCH(MEDIÇÃO!R514,'PROJETO PERFURAÇÃO'!$B:$B,0)),1)&amp;"''","")</f>
        <v/>
      </c>
      <c r="Q514" s="3" t="str">
        <f>IFERROR(IF(INDEX('PROJETO PERFURAÇÃO'!$P:$P,MATCH(MEDIÇÃO!R514,'PROJETO PERFURAÇÃO'!$B:$B,0))="Production","P",IF(INDEX('PROJETO PERFURAÇÃO'!$P:$P,MATCH(MEDIÇÃO!R514,'PROJETO PERFURAÇÃO'!$B:$B,0))="Buffer","B",IF(INDEX('PROJETO PERFURAÇÃO'!$P:$P,MATCH(MEDIÇÃO!R514,'PROJETO PERFURAÇÃO'!$B:$B,0))="Pre-Splitting","S"))),"")</f>
        <v/>
      </c>
      <c r="R514" s="14">
        <f t="shared" si="50"/>
        <v>1164</v>
      </c>
      <c r="S514" s="4" t="str">
        <f>IFERROR(INDEX('LEV R&amp;D'!$D:$D,MATCH(MEDIÇÃO!R514,'LEV R&amp;D'!$A:$A,0))-INDEX('PROJETO PERFURAÇÃO'!$AH:$AH,MATCH(MEDIÇÃO!R514,'PROJETO PERFURAÇÃO'!$B:$B,0)),"")</f>
        <v/>
      </c>
      <c r="T514" s="8" t="str">
        <f>IFERROR(INDEX('PROJETO PERFURAÇÃO'!$AN:$AN,MATCH(MEDIÇÃO!R514,'PROJETO PERFURAÇÃO'!$B:$B,0)),"")</f>
        <v/>
      </c>
      <c r="U514" s="3"/>
      <c r="V514" s="3"/>
    </row>
    <row r="515" spans="2:22" ht="45" customHeight="1" x14ac:dyDescent="0.25">
      <c r="B515" s="3" t="str">
        <f>IFERROR(ROUND(INDEX('PROJETO PERFURAÇÃO'!$AB:$AB,MATCH(MEDIÇÃO!D515,'PROJETO PERFURAÇÃO'!$B:$B,0)),1)&amp;"''","")</f>
        <v/>
      </c>
      <c r="C515" s="3" t="str">
        <f>IFERROR(IF(INDEX('PROJETO PERFURAÇÃO'!$P:$P,MATCH(MEDIÇÃO!D515,'PROJETO PERFURAÇÃO'!$B:$B,0))="Production","P",IF(INDEX('PROJETO PERFURAÇÃO'!$P:$P,MATCH(MEDIÇÃO!D515,'PROJETO PERFURAÇÃO'!$B:$B,0))="Buffer","B",IF(INDEX('PROJETO PERFURAÇÃO'!$P:$P,MATCH(MEDIÇÃO!D515,'PROJETO PERFURAÇÃO'!$B:$B,0))="Pre-Splitting","S"))),"")</f>
        <v/>
      </c>
      <c r="D515" s="14">
        <f t="shared" si="48"/>
        <v>1119</v>
      </c>
      <c r="E515" s="4" t="str">
        <f>IFERROR(INDEX('LEV R&amp;D'!$D:$D,MATCH(MEDIÇÃO!D515,'LEV R&amp;D'!$A:$A,0))-INDEX('PROJETO PERFURAÇÃO'!$AH:$AH,MATCH(MEDIÇÃO!D515,'PROJETO PERFURAÇÃO'!$B:$B,0)),"")</f>
        <v/>
      </c>
      <c r="F515" s="8" t="str">
        <f>IFERROR(INDEX('PROJETO PERFURAÇÃO'!$AN:$AN,MATCH(MEDIÇÃO!D515,'PROJETO PERFURAÇÃO'!$B:$B,0)),"")</f>
        <v/>
      </c>
      <c r="G515" s="3"/>
      <c r="H515" s="3"/>
      <c r="I515" s="3" t="str">
        <f>IFERROR(ROUND(INDEX('PROJETO PERFURAÇÃO'!$AB:$AB,MATCH(MEDIÇÃO!K515,'PROJETO PERFURAÇÃO'!$B:$B,0)),1)&amp;"''","")</f>
        <v/>
      </c>
      <c r="J515" s="3" t="str">
        <f>IFERROR(IF(INDEX('PROJETO PERFURAÇÃO'!$P:$P,MATCH(MEDIÇÃO!K515,'PROJETO PERFURAÇÃO'!$B:$B,0))="Production","P",IF(INDEX('PROJETO PERFURAÇÃO'!$P:$P,MATCH(MEDIÇÃO!K515,'PROJETO PERFURAÇÃO'!$B:$B,0))="Buffer","B",IF(INDEX('PROJETO PERFURAÇÃO'!$P:$P,MATCH(MEDIÇÃO!K515,'PROJETO PERFURAÇÃO'!$B:$B,0))="Pre-Splitting","S"))),"")</f>
        <v/>
      </c>
      <c r="K515" s="14">
        <f t="shared" si="49"/>
        <v>1142</v>
      </c>
      <c r="L515" s="4" t="str">
        <f>IFERROR(INDEX('LEV R&amp;D'!$D:$D,MATCH(MEDIÇÃO!K515,'LEV R&amp;D'!$A:$A,0))-INDEX('PROJETO PERFURAÇÃO'!$AH:$AH,MATCH(MEDIÇÃO!K515,'PROJETO PERFURAÇÃO'!$B:$B,0)),"")</f>
        <v/>
      </c>
      <c r="M515" s="8" t="str">
        <f>IFERROR(INDEX('PROJETO PERFURAÇÃO'!$AN:$AN,MATCH(MEDIÇÃO!K515,'PROJETO PERFURAÇÃO'!$B:$B,0)),"")</f>
        <v/>
      </c>
      <c r="N515" s="3"/>
      <c r="O515" s="3"/>
      <c r="P515" s="3" t="str">
        <f>IFERROR(ROUND(INDEX('PROJETO PERFURAÇÃO'!$AB:$AB,MATCH(MEDIÇÃO!R515,'PROJETO PERFURAÇÃO'!$B:$B,0)),1)&amp;"''","")</f>
        <v/>
      </c>
      <c r="Q515" s="3" t="str">
        <f>IFERROR(IF(INDEX('PROJETO PERFURAÇÃO'!$P:$P,MATCH(MEDIÇÃO!R515,'PROJETO PERFURAÇÃO'!$B:$B,0))="Production","P",IF(INDEX('PROJETO PERFURAÇÃO'!$P:$P,MATCH(MEDIÇÃO!R515,'PROJETO PERFURAÇÃO'!$B:$B,0))="Buffer","B",IF(INDEX('PROJETO PERFURAÇÃO'!$P:$P,MATCH(MEDIÇÃO!R515,'PROJETO PERFURAÇÃO'!$B:$B,0))="Pre-Splitting","S"))),"")</f>
        <v/>
      </c>
      <c r="R515" s="14">
        <f t="shared" si="50"/>
        <v>1165</v>
      </c>
      <c r="S515" s="4" t="str">
        <f>IFERROR(INDEX('LEV R&amp;D'!$D:$D,MATCH(MEDIÇÃO!R515,'LEV R&amp;D'!$A:$A,0))-INDEX('PROJETO PERFURAÇÃO'!$AH:$AH,MATCH(MEDIÇÃO!R515,'PROJETO PERFURAÇÃO'!$B:$B,0)),"")</f>
        <v/>
      </c>
      <c r="T515" s="8" t="str">
        <f>IFERROR(INDEX('PROJETO PERFURAÇÃO'!$AN:$AN,MATCH(MEDIÇÃO!R515,'PROJETO PERFURAÇÃO'!$B:$B,0)),"")</f>
        <v/>
      </c>
      <c r="U515" s="3"/>
      <c r="V515" s="3"/>
    </row>
    <row r="516" spans="2:22" ht="45" customHeight="1" x14ac:dyDescent="0.25">
      <c r="B516" s="3" t="str">
        <f>IFERROR(ROUND(INDEX('PROJETO PERFURAÇÃO'!$AB:$AB,MATCH(MEDIÇÃO!D516,'PROJETO PERFURAÇÃO'!$B:$B,0)),1)&amp;"''","")</f>
        <v/>
      </c>
      <c r="C516" s="3" t="str">
        <f>IFERROR(IF(INDEX('PROJETO PERFURAÇÃO'!$P:$P,MATCH(MEDIÇÃO!D516,'PROJETO PERFURAÇÃO'!$B:$B,0))="Production","P",IF(INDEX('PROJETO PERFURAÇÃO'!$P:$P,MATCH(MEDIÇÃO!D516,'PROJETO PERFURAÇÃO'!$B:$B,0))="Buffer","B",IF(INDEX('PROJETO PERFURAÇÃO'!$P:$P,MATCH(MEDIÇÃO!D516,'PROJETO PERFURAÇÃO'!$B:$B,0))="Pre-Splitting","S"))),"")</f>
        <v/>
      </c>
      <c r="D516" s="14">
        <f t="shared" si="48"/>
        <v>1120</v>
      </c>
      <c r="E516" s="4" t="str">
        <f>IFERROR(INDEX('LEV R&amp;D'!$D:$D,MATCH(MEDIÇÃO!D516,'LEV R&amp;D'!$A:$A,0))-INDEX('PROJETO PERFURAÇÃO'!$AH:$AH,MATCH(MEDIÇÃO!D516,'PROJETO PERFURAÇÃO'!$B:$B,0)),"")</f>
        <v/>
      </c>
      <c r="F516" s="8" t="str">
        <f>IFERROR(INDEX('PROJETO PERFURAÇÃO'!$AN:$AN,MATCH(MEDIÇÃO!D516,'PROJETO PERFURAÇÃO'!$B:$B,0)),"")</f>
        <v/>
      </c>
      <c r="G516" s="3"/>
      <c r="H516" s="3"/>
      <c r="I516" s="3" t="str">
        <f>IFERROR(ROUND(INDEX('PROJETO PERFURAÇÃO'!$AB:$AB,MATCH(MEDIÇÃO!K516,'PROJETO PERFURAÇÃO'!$B:$B,0)),1)&amp;"''","")</f>
        <v/>
      </c>
      <c r="J516" s="3" t="str">
        <f>IFERROR(IF(INDEX('PROJETO PERFURAÇÃO'!$P:$P,MATCH(MEDIÇÃO!K516,'PROJETO PERFURAÇÃO'!$B:$B,0))="Production","P",IF(INDEX('PROJETO PERFURAÇÃO'!$P:$P,MATCH(MEDIÇÃO!K516,'PROJETO PERFURAÇÃO'!$B:$B,0))="Buffer","B",IF(INDEX('PROJETO PERFURAÇÃO'!$P:$P,MATCH(MEDIÇÃO!K516,'PROJETO PERFURAÇÃO'!$B:$B,0))="Pre-Splitting","S"))),"")</f>
        <v/>
      </c>
      <c r="K516" s="14">
        <f t="shared" si="49"/>
        <v>1143</v>
      </c>
      <c r="L516" s="4" t="str">
        <f>IFERROR(INDEX('LEV R&amp;D'!$D:$D,MATCH(MEDIÇÃO!K516,'LEV R&amp;D'!$A:$A,0))-INDEX('PROJETO PERFURAÇÃO'!$AH:$AH,MATCH(MEDIÇÃO!K516,'PROJETO PERFURAÇÃO'!$B:$B,0)),"")</f>
        <v/>
      </c>
      <c r="M516" s="8" t="str">
        <f>IFERROR(INDEX('PROJETO PERFURAÇÃO'!$AN:$AN,MATCH(MEDIÇÃO!K516,'PROJETO PERFURAÇÃO'!$B:$B,0)),"")</f>
        <v/>
      </c>
      <c r="N516" s="3"/>
      <c r="O516" s="3"/>
      <c r="P516" s="3" t="str">
        <f>IFERROR(ROUND(INDEX('PROJETO PERFURAÇÃO'!$AB:$AB,MATCH(MEDIÇÃO!R516,'PROJETO PERFURAÇÃO'!$B:$B,0)),1)&amp;"''","")</f>
        <v/>
      </c>
      <c r="Q516" s="3" t="str">
        <f>IFERROR(IF(INDEX('PROJETO PERFURAÇÃO'!$P:$P,MATCH(MEDIÇÃO!R516,'PROJETO PERFURAÇÃO'!$B:$B,0))="Production","P",IF(INDEX('PROJETO PERFURAÇÃO'!$P:$P,MATCH(MEDIÇÃO!R516,'PROJETO PERFURAÇÃO'!$B:$B,0))="Buffer","B",IF(INDEX('PROJETO PERFURAÇÃO'!$P:$P,MATCH(MEDIÇÃO!R516,'PROJETO PERFURAÇÃO'!$B:$B,0))="Pre-Splitting","S"))),"")</f>
        <v/>
      </c>
      <c r="R516" s="14">
        <f t="shared" si="50"/>
        <v>1166</v>
      </c>
      <c r="S516" s="4" t="str">
        <f>IFERROR(INDEX('LEV R&amp;D'!$D:$D,MATCH(MEDIÇÃO!R516,'LEV R&amp;D'!$A:$A,0))-INDEX('PROJETO PERFURAÇÃO'!$AH:$AH,MATCH(MEDIÇÃO!R516,'PROJETO PERFURAÇÃO'!$B:$B,0)),"")</f>
        <v/>
      </c>
      <c r="T516" s="8" t="str">
        <f>IFERROR(INDEX('PROJETO PERFURAÇÃO'!$AN:$AN,MATCH(MEDIÇÃO!R516,'PROJETO PERFURAÇÃO'!$B:$B,0)),"")</f>
        <v/>
      </c>
      <c r="U516" s="3"/>
      <c r="V516" s="3"/>
    </row>
    <row r="517" spans="2:22" ht="45" customHeight="1" x14ac:dyDescent="0.25">
      <c r="B517" s="3" t="str">
        <f>IFERROR(ROUND(INDEX('PROJETO PERFURAÇÃO'!$AB:$AB,MATCH(MEDIÇÃO!D517,'PROJETO PERFURAÇÃO'!$B:$B,0)),1)&amp;"''","")</f>
        <v/>
      </c>
      <c r="C517" s="3" t="str">
        <f>IFERROR(IF(INDEX('PROJETO PERFURAÇÃO'!$P:$P,MATCH(MEDIÇÃO!D517,'PROJETO PERFURAÇÃO'!$B:$B,0))="Production","P",IF(INDEX('PROJETO PERFURAÇÃO'!$P:$P,MATCH(MEDIÇÃO!D517,'PROJETO PERFURAÇÃO'!$B:$B,0))="Buffer","B",IF(INDEX('PROJETO PERFURAÇÃO'!$P:$P,MATCH(MEDIÇÃO!D517,'PROJETO PERFURAÇÃO'!$B:$B,0))="Pre-Splitting","S"))),"")</f>
        <v/>
      </c>
      <c r="D517" s="14">
        <f t="shared" si="48"/>
        <v>1121</v>
      </c>
      <c r="E517" s="4" t="str">
        <f>IFERROR(INDEX('LEV R&amp;D'!$D:$D,MATCH(MEDIÇÃO!D517,'LEV R&amp;D'!$A:$A,0))-INDEX('PROJETO PERFURAÇÃO'!$AH:$AH,MATCH(MEDIÇÃO!D517,'PROJETO PERFURAÇÃO'!$B:$B,0)),"")</f>
        <v/>
      </c>
      <c r="F517" s="8" t="str">
        <f>IFERROR(INDEX('PROJETO PERFURAÇÃO'!$AN:$AN,MATCH(MEDIÇÃO!D517,'PROJETO PERFURAÇÃO'!$B:$B,0)),"")</f>
        <v/>
      </c>
      <c r="G517" s="3"/>
      <c r="H517" s="3"/>
      <c r="I517" s="3" t="str">
        <f>IFERROR(ROUND(INDEX('PROJETO PERFURAÇÃO'!$AB:$AB,MATCH(MEDIÇÃO!K517,'PROJETO PERFURAÇÃO'!$B:$B,0)),1)&amp;"''","")</f>
        <v/>
      </c>
      <c r="J517" s="3" t="str">
        <f>IFERROR(IF(INDEX('PROJETO PERFURAÇÃO'!$P:$P,MATCH(MEDIÇÃO!K517,'PROJETO PERFURAÇÃO'!$B:$B,0))="Production","P",IF(INDEX('PROJETO PERFURAÇÃO'!$P:$P,MATCH(MEDIÇÃO!K517,'PROJETO PERFURAÇÃO'!$B:$B,0))="Buffer","B",IF(INDEX('PROJETO PERFURAÇÃO'!$P:$P,MATCH(MEDIÇÃO!K517,'PROJETO PERFURAÇÃO'!$B:$B,0))="Pre-Splitting","S"))),"")</f>
        <v/>
      </c>
      <c r="K517" s="14">
        <f t="shared" si="49"/>
        <v>1144</v>
      </c>
      <c r="L517" s="4" t="str">
        <f>IFERROR(INDEX('LEV R&amp;D'!$D:$D,MATCH(MEDIÇÃO!K517,'LEV R&amp;D'!$A:$A,0))-INDEX('PROJETO PERFURAÇÃO'!$AH:$AH,MATCH(MEDIÇÃO!K517,'PROJETO PERFURAÇÃO'!$B:$B,0)),"")</f>
        <v/>
      </c>
      <c r="M517" s="8" t="str">
        <f>IFERROR(INDEX('PROJETO PERFURAÇÃO'!$AN:$AN,MATCH(MEDIÇÃO!K517,'PROJETO PERFURAÇÃO'!$B:$B,0)),"")</f>
        <v/>
      </c>
      <c r="N517" s="3"/>
      <c r="O517" s="3"/>
      <c r="P517" s="3" t="str">
        <f>IFERROR(ROUND(INDEX('PROJETO PERFURAÇÃO'!$AB:$AB,MATCH(MEDIÇÃO!R517,'PROJETO PERFURAÇÃO'!$B:$B,0)),1)&amp;"''","")</f>
        <v/>
      </c>
      <c r="Q517" s="3" t="str">
        <f>IFERROR(IF(INDEX('PROJETO PERFURAÇÃO'!$P:$P,MATCH(MEDIÇÃO!R517,'PROJETO PERFURAÇÃO'!$B:$B,0))="Production","P",IF(INDEX('PROJETO PERFURAÇÃO'!$P:$P,MATCH(MEDIÇÃO!R517,'PROJETO PERFURAÇÃO'!$B:$B,0))="Buffer","B",IF(INDEX('PROJETO PERFURAÇÃO'!$P:$P,MATCH(MEDIÇÃO!R517,'PROJETO PERFURAÇÃO'!$B:$B,0))="Pre-Splitting","S"))),"")</f>
        <v/>
      </c>
      <c r="R517" s="14">
        <f t="shared" si="50"/>
        <v>1167</v>
      </c>
      <c r="S517" s="4" t="str">
        <f>IFERROR(INDEX('LEV R&amp;D'!$D:$D,MATCH(MEDIÇÃO!R517,'LEV R&amp;D'!$A:$A,0))-INDEX('PROJETO PERFURAÇÃO'!$AH:$AH,MATCH(MEDIÇÃO!R517,'PROJETO PERFURAÇÃO'!$B:$B,0)),"")</f>
        <v/>
      </c>
      <c r="T517" s="8" t="str">
        <f>IFERROR(INDEX('PROJETO PERFURAÇÃO'!$AN:$AN,MATCH(MEDIÇÃO!R517,'PROJETO PERFURAÇÃO'!$B:$B,0)),"")</f>
        <v/>
      </c>
      <c r="U517" s="3"/>
      <c r="V517" s="3"/>
    </row>
    <row r="518" spans="2:22" ht="45" customHeight="1" x14ac:dyDescent="0.25">
      <c r="B518" s="3" t="str">
        <f>IFERROR(ROUND(INDEX('PROJETO PERFURAÇÃO'!$AB:$AB,MATCH(MEDIÇÃO!D518,'PROJETO PERFURAÇÃO'!$B:$B,0)),1)&amp;"''","")</f>
        <v/>
      </c>
      <c r="C518" s="3" t="str">
        <f>IFERROR(IF(INDEX('PROJETO PERFURAÇÃO'!$P:$P,MATCH(MEDIÇÃO!D518,'PROJETO PERFURAÇÃO'!$B:$B,0))="Production","P",IF(INDEX('PROJETO PERFURAÇÃO'!$P:$P,MATCH(MEDIÇÃO!D518,'PROJETO PERFURAÇÃO'!$B:$B,0))="Buffer","B",IF(INDEX('PROJETO PERFURAÇÃO'!$P:$P,MATCH(MEDIÇÃO!D518,'PROJETO PERFURAÇÃO'!$B:$B,0))="Pre-Splitting","S"))),"")</f>
        <v/>
      </c>
      <c r="D518" s="14">
        <f t="shared" si="48"/>
        <v>1122</v>
      </c>
      <c r="E518" s="4" t="str">
        <f>IFERROR(INDEX('LEV R&amp;D'!$D:$D,MATCH(MEDIÇÃO!D518,'LEV R&amp;D'!$A:$A,0))-INDEX('PROJETO PERFURAÇÃO'!$AH:$AH,MATCH(MEDIÇÃO!D518,'PROJETO PERFURAÇÃO'!$B:$B,0)),"")</f>
        <v/>
      </c>
      <c r="F518" s="8" t="str">
        <f>IFERROR(INDEX('PROJETO PERFURAÇÃO'!$AN:$AN,MATCH(MEDIÇÃO!D518,'PROJETO PERFURAÇÃO'!$B:$B,0)),"")</f>
        <v/>
      </c>
      <c r="G518" s="3"/>
      <c r="H518" s="3"/>
      <c r="I518" s="3" t="str">
        <f>IFERROR(ROUND(INDEX('PROJETO PERFURAÇÃO'!$AB:$AB,MATCH(MEDIÇÃO!K518,'PROJETO PERFURAÇÃO'!$B:$B,0)),1)&amp;"''","")</f>
        <v/>
      </c>
      <c r="J518" s="3" t="str">
        <f>IFERROR(IF(INDEX('PROJETO PERFURAÇÃO'!$P:$P,MATCH(MEDIÇÃO!K518,'PROJETO PERFURAÇÃO'!$B:$B,0))="Production","P",IF(INDEX('PROJETO PERFURAÇÃO'!$P:$P,MATCH(MEDIÇÃO!K518,'PROJETO PERFURAÇÃO'!$B:$B,0))="Buffer","B",IF(INDEX('PROJETO PERFURAÇÃO'!$P:$P,MATCH(MEDIÇÃO!K518,'PROJETO PERFURAÇÃO'!$B:$B,0))="Pre-Splitting","S"))),"")</f>
        <v/>
      </c>
      <c r="K518" s="14">
        <f t="shared" si="49"/>
        <v>1145</v>
      </c>
      <c r="L518" s="4" t="str">
        <f>IFERROR(INDEX('LEV R&amp;D'!$D:$D,MATCH(MEDIÇÃO!K518,'LEV R&amp;D'!$A:$A,0))-INDEX('PROJETO PERFURAÇÃO'!$AH:$AH,MATCH(MEDIÇÃO!K518,'PROJETO PERFURAÇÃO'!$B:$B,0)),"")</f>
        <v/>
      </c>
      <c r="M518" s="8" t="str">
        <f>IFERROR(INDEX('PROJETO PERFURAÇÃO'!$AN:$AN,MATCH(MEDIÇÃO!K518,'PROJETO PERFURAÇÃO'!$B:$B,0)),"")</f>
        <v/>
      </c>
      <c r="N518" s="3"/>
      <c r="O518" s="3"/>
      <c r="P518" s="3" t="str">
        <f>IFERROR(ROUND(INDEX('PROJETO PERFURAÇÃO'!$AB:$AB,MATCH(MEDIÇÃO!R518,'PROJETO PERFURAÇÃO'!$B:$B,0)),1)&amp;"''","")</f>
        <v/>
      </c>
      <c r="Q518" s="3" t="str">
        <f>IFERROR(IF(INDEX('PROJETO PERFURAÇÃO'!$P:$P,MATCH(MEDIÇÃO!R518,'PROJETO PERFURAÇÃO'!$B:$B,0))="Production","P",IF(INDEX('PROJETO PERFURAÇÃO'!$P:$P,MATCH(MEDIÇÃO!R518,'PROJETO PERFURAÇÃO'!$B:$B,0))="Buffer","B",IF(INDEX('PROJETO PERFURAÇÃO'!$P:$P,MATCH(MEDIÇÃO!R518,'PROJETO PERFURAÇÃO'!$B:$B,0))="Pre-Splitting","S"))),"")</f>
        <v/>
      </c>
      <c r="R518" s="14">
        <f t="shared" si="50"/>
        <v>1168</v>
      </c>
      <c r="S518" s="4" t="str">
        <f>IFERROR(INDEX('LEV R&amp;D'!$D:$D,MATCH(MEDIÇÃO!R518,'LEV R&amp;D'!$A:$A,0))-INDEX('PROJETO PERFURAÇÃO'!$AH:$AH,MATCH(MEDIÇÃO!R518,'PROJETO PERFURAÇÃO'!$B:$B,0)),"")</f>
        <v/>
      </c>
      <c r="T518" s="8" t="str">
        <f>IFERROR(INDEX('PROJETO PERFURAÇÃO'!$AN:$AN,MATCH(MEDIÇÃO!R518,'PROJETO PERFURAÇÃO'!$B:$B,0)),"")</f>
        <v/>
      </c>
      <c r="U518" s="3"/>
      <c r="V518" s="3"/>
    </row>
    <row r="519" spans="2:22" ht="45" customHeight="1" x14ac:dyDescent="0.25">
      <c r="B519" s="3" t="str">
        <f>IFERROR(ROUND(INDEX('PROJETO PERFURAÇÃO'!$AB:$AB,MATCH(MEDIÇÃO!D519,'PROJETO PERFURAÇÃO'!$B:$B,0)),1)&amp;"''","")</f>
        <v/>
      </c>
      <c r="C519" s="3" t="str">
        <f>IFERROR(IF(INDEX('PROJETO PERFURAÇÃO'!$P:$P,MATCH(MEDIÇÃO!D519,'PROJETO PERFURAÇÃO'!$B:$B,0))="Production","P",IF(INDEX('PROJETO PERFURAÇÃO'!$P:$P,MATCH(MEDIÇÃO!D519,'PROJETO PERFURAÇÃO'!$B:$B,0))="Buffer","B",IF(INDEX('PROJETO PERFURAÇÃO'!$P:$P,MATCH(MEDIÇÃO!D519,'PROJETO PERFURAÇÃO'!$B:$B,0))="Pre-Splitting","S"))),"")</f>
        <v/>
      </c>
      <c r="D519" s="14">
        <f t="shared" si="48"/>
        <v>1123</v>
      </c>
      <c r="E519" s="4" t="str">
        <f>IFERROR(INDEX('LEV R&amp;D'!$D:$D,MATCH(MEDIÇÃO!D519,'LEV R&amp;D'!$A:$A,0))-INDEX('PROJETO PERFURAÇÃO'!$AH:$AH,MATCH(MEDIÇÃO!D519,'PROJETO PERFURAÇÃO'!$B:$B,0)),"")</f>
        <v/>
      </c>
      <c r="F519" s="8" t="str">
        <f>IFERROR(INDEX('PROJETO PERFURAÇÃO'!$AN:$AN,MATCH(MEDIÇÃO!D519,'PROJETO PERFURAÇÃO'!$B:$B,0)),"")</f>
        <v/>
      </c>
      <c r="G519" s="3"/>
      <c r="H519" s="3"/>
      <c r="I519" s="3" t="str">
        <f>IFERROR(ROUND(INDEX('PROJETO PERFURAÇÃO'!$AB:$AB,MATCH(MEDIÇÃO!K519,'PROJETO PERFURAÇÃO'!$B:$B,0)),1)&amp;"''","")</f>
        <v/>
      </c>
      <c r="J519" s="3" t="str">
        <f>IFERROR(IF(INDEX('PROJETO PERFURAÇÃO'!$P:$P,MATCH(MEDIÇÃO!K519,'PROJETO PERFURAÇÃO'!$B:$B,0))="Production","P",IF(INDEX('PROJETO PERFURAÇÃO'!$P:$P,MATCH(MEDIÇÃO!K519,'PROJETO PERFURAÇÃO'!$B:$B,0))="Buffer","B",IF(INDEX('PROJETO PERFURAÇÃO'!$P:$P,MATCH(MEDIÇÃO!K519,'PROJETO PERFURAÇÃO'!$B:$B,0))="Pre-Splitting","S"))),"")</f>
        <v/>
      </c>
      <c r="K519" s="14">
        <f t="shared" si="49"/>
        <v>1146</v>
      </c>
      <c r="L519" s="4" t="str">
        <f>IFERROR(INDEX('LEV R&amp;D'!$D:$D,MATCH(MEDIÇÃO!K519,'LEV R&amp;D'!$A:$A,0))-INDEX('PROJETO PERFURAÇÃO'!$AH:$AH,MATCH(MEDIÇÃO!K519,'PROJETO PERFURAÇÃO'!$B:$B,0)),"")</f>
        <v/>
      </c>
      <c r="M519" s="8" t="str">
        <f>IFERROR(INDEX('PROJETO PERFURAÇÃO'!$AN:$AN,MATCH(MEDIÇÃO!K519,'PROJETO PERFURAÇÃO'!$B:$B,0)),"")</f>
        <v/>
      </c>
      <c r="N519" s="3"/>
      <c r="O519" s="3"/>
      <c r="P519" s="3" t="str">
        <f>IFERROR(ROUND(INDEX('PROJETO PERFURAÇÃO'!$AB:$AB,MATCH(MEDIÇÃO!R519,'PROJETO PERFURAÇÃO'!$B:$B,0)),1)&amp;"''","")</f>
        <v/>
      </c>
      <c r="Q519" s="3" t="str">
        <f>IFERROR(IF(INDEX('PROJETO PERFURAÇÃO'!$P:$P,MATCH(MEDIÇÃO!R519,'PROJETO PERFURAÇÃO'!$B:$B,0))="Production","P",IF(INDEX('PROJETO PERFURAÇÃO'!$P:$P,MATCH(MEDIÇÃO!R519,'PROJETO PERFURAÇÃO'!$B:$B,0))="Buffer","B",IF(INDEX('PROJETO PERFURAÇÃO'!$P:$P,MATCH(MEDIÇÃO!R519,'PROJETO PERFURAÇÃO'!$B:$B,0))="Pre-Splitting","S"))),"")</f>
        <v/>
      </c>
      <c r="R519" s="14">
        <f t="shared" si="50"/>
        <v>1169</v>
      </c>
      <c r="S519" s="4" t="str">
        <f>IFERROR(INDEX('LEV R&amp;D'!$D:$D,MATCH(MEDIÇÃO!R519,'LEV R&amp;D'!$A:$A,0))-INDEX('PROJETO PERFURAÇÃO'!$AH:$AH,MATCH(MEDIÇÃO!R519,'PROJETO PERFURAÇÃO'!$B:$B,0)),"")</f>
        <v/>
      </c>
      <c r="T519" s="8" t="str">
        <f>IFERROR(INDEX('PROJETO PERFURAÇÃO'!$AN:$AN,MATCH(MEDIÇÃO!R519,'PROJETO PERFURAÇÃO'!$B:$B,0)),"")</f>
        <v/>
      </c>
      <c r="U519" s="3"/>
      <c r="V519" s="3"/>
    </row>
    <row r="520" spans="2:22" ht="45" customHeight="1" x14ac:dyDescent="0.25">
      <c r="B520" s="3" t="str">
        <f>IFERROR(ROUND(INDEX('PROJETO PERFURAÇÃO'!$AB:$AB,MATCH(MEDIÇÃO!D520,'PROJETO PERFURAÇÃO'!$B:$B,0)),1)&amp;"''","")</f>
        <v/>
      </c>
      <c r="C520" s="3" t="str">
        <f>IFERROR(IF(INDEX('PROJETO PERFURAÇÃO'!$P:$P,MATCH(MEDIÇÃO!D520,'PROJETO PERFURAÇÃO'!$B:$B,0))="Production","P",IF(INDEX('PROJETO PERFURAÇÃO'!$P:$P,MATCH(MEDIÇÃO!D520,'PROJETO PERFURAÇÃO'!$B:$B,0))="Buffer","B",IF(INDEX('PROJETO PERFURAÇÃO'!$P:$P,MATCH(MEDIÇÃO!D520,'PROJETO PERFURAÇÃO'!$B:$B,0))="Pre-Splitting","S"))),"")</f>
        <v/>
      </c>
      <c r="D520" s="14">
        <f t="shared" si="48"/>
        <v>1124</v>
      </c>
      <c r="E520" s="4" t="str">
        <f>IFERROR(INDEX('LEV R&amp;D'!$D:$D,MATCH(MEDIÇÃO!D520,'LEV R&amp;D'!$A:$A,0))-INDEX('PROJETO PERFURAÇÃO'!$AH:$AH,MATCH(MEDIÇÃO!D520,'PROJETO PERFURAÇÃO'!$B:$B,0)),"")</f>
        <v/>
      </c>
      <c r="F520" s="8" t="str">
        <f>IFERROR(INDEX('PROJETO PERFURAÇÃO'!$AN:$AN,MATCH(MEDIÇÃO!D520,'PROJETO PERFURAÇÃO'!$B:$B,0)),"")</f>
        <v/>
      </c>
      <c r="G520" s="3"/>
      <c r="H520" s="3"/>
      <c r="I520" s="3" t="str">
        <f>IFERROR(ROUND(INDEX('PROJETO PERFURAÇÃO'!$AB:$AB,MATCH(MEDIÇÃO!K520,'PROJETO PERFURAÇÃO'!$B:$B,0)),1)&amp;"''","")</f>
        <v/>
      </c>
      <c r="J520" s="3" t="str">
        <f>IFERROR(IF(INDEX('PROJETO PERFURAÇÃO'!$P:$P,MATCH(MEDIÇÃO!K520,'PROJETO PERFURAÇÃO'!$B:$B,0))="Production","P",IF(INDEX('PROJETO PERFURAÇÃO'!$P:$P,MATCH(MEDIÇÃO!K520,'PROJETO PERFURAÇÃO'!$B:$B,0))="Buffer","B",IF(INDEX('PROJETO PERFURAÇÃO'!$P:$P,MATCH(MEDIÇÃO!K520,'PROJETO PERFURAÇÃO'!$B:$B,0))="Pre-Splitting","S"))),"")</f>
        <v/>
      </c>
      <c r="K520" s="14">
        <f t="shared" si="49"/>
        <v>1147</v>
      </c>
      <c r="L520" s="4" t="str">
        <f>IFERROR(INDEX('LEV R&amp;D'!$D:$D,MATCH(MEDIÇÃO!K520,'LEV R&amp;D'!$A:$A,0))-INDEX('PROJETO PERFURAÇÃO'!$AH:$AH,MATCH(MEDIÇÃO!K520,'PROJETO PERFURAÇÃO'!$B:$B,0)),"")</f>
        <v/>
      </c>
      <c r="M520" s="8" t="str">
        <f>IFERROR(INDEX('PROJETO PERFURAÇÃO'!$AN:$AN,MATCH(MEDIÇÃO!K520,'PROJETO PERFURAÇÃO'!$B:$B,0)),"")</f>
        <v/>
      </c>
      <c r="N520" s="3"/>
      <c r="O520" s="3"/>
      <c r="P520" s="3" t="str">
        <f>IFERROR(ROUND(INDEX('PROJETO PERFURAÇÃO'!$AB:$AB,MATCH(MEDIÇÃO!R520,'PROJETO PERFURAÇÃO'!$B:$B,0)),1)&amp;"''","")</f>
        <v/>
      </c>
      <c r="Q520" s="3" t="str">
        <f>IFERROR(IF(INDEX('PROJETO PERFURAÇÃO'!$P:$P,MATCH(MEDIÇÃO!R520,'PROJETO PERFURAÇÃO'!$B:$B,0))="Production","P",IF(INDEX('PROJETO PERFURAÇÃO'!$P:$P,MATCH(MEDIÇÃO!R520,'PROJETO PERFURAÇÃO'!$B:$B,0))="Buffer","B",IF(INDEX('PROJETO PERFURAÇÃO'!$P:$P,MATCH(MEDIÇÃO!R520,'PROJETO PERFURAÇÃO'!$B:$B,0))="Pre-Splitting","S"))),"")</f>
        <v/>
      </c>
      <c r="R520" s="14">
        <f t="shared" si="50"/>
        <v>1170</v>
      </c>
      <c r="S520" s="4" t="str">
        <f>IFERROR(INDEX('LEV R&amp;D'!$D:$D,MATCH(MEDIÇÃO!R520,'LEV R&amp;D'!$A:$A,0))-INDEX('PROJETO PERFURAÇÃO'!$AH:$AH,MATCH(MEDIÇÃO!R520,'PROJETO PERFURAÇÃO'!$B:$B,0)),"")</f>
        <v/>
      </c>
      <c r="T520" s="8" t="str">
        <f>IFERROR(INDEX('PROJETO PERFURAÇÃO'!$AN:$AN,MATCH(MEDIÇÃO!R520,'PROJETO PERFURAÇÃO'!$B:$B,0)),"")</f>
        <v/>
      </c>
      <c r="U520" s="3"/>
      <c r="V520" s="3"/>
    </row>
    <row r="521" spans="2:22" ht="45" customHeight="1" x14ac:dyDescent="0.25">
      <c r="B521" s="3" t="str">
        <f>IFERROR(ROUND(INDEX('PROJETO PERFURAÇÃO'!$AB:$AB,MATCH(MEDIÇÃO!D521,'PROJETO PERFURAÇÃO'!$B:$B,0)),1)&amp;"''","")</f>
        <v/>
      </c>
      <c r="C521" s="3" t="str">
        <f>IFERROR(IF(INDEX('PROJETO PERFURAÇÃO'!$P:$P,MATCH(MEDIÇÃO!D521,'PROJETO PERFURAÇÃO'!$B:$B,0))="Production","P",IF(INDEX('PROJETO PERFURAÇÃO'!$P:$P,MATCH(MEDIÇÃO!D521,'PROJETO PERFURAÇÃO'!$B:$B,0))="Buffer","B",IF(INDEX('PROJETO PERFURAÇÃO'!$P:$P,MATCH(MEDIÇÃO!D521,'PROJETO PERFURAÇÃO'!$B:$B,0))="Pre-Splitting","S"))),"")</f>
        <v/>
      </c>
      <c r="D521" s="14">
        <f t="shared" si="48"/>
        <v>1125</v>
      </c>
      <c r="E521" s="4" t="str">
        <f>IFERROR(INDEX('LEV R&amp;D'!$D:$D,MATCH(MEDIÇÃO!D521,'LEV R&amp;D'!$A:$A,0))-INDEX('PROJETO PERFURAÇÃO'!$AH:$AH,MATCH(MEDIÇÃO!D521,'PROJETO PERFURAÇÃO'!$B:$B,0)),"")</f>
        <v/>
      </c>
      <c r="F521" s="8" t="str">
        <f>IFERROR(INDEX('PROJETO PERFURAÇÃO'!$AN:$AN,MATCH(MEDIÇÃO!D521,'PROJETO PERFURAÇÃO'!$B:$B,0)),"")</f>
        <v/>
      </c>
      <c r="G521" s="3"/>
      <c r="H521" s="3"/>
      <c r="I521" s="3" t="str">
        <f>IFERROR(ROUND(INDEX('PROJETO PERFURAÇÃO'!$AB:$AB,MATCH(MEDIÇÃO!K521,'PROJETO PERFURAÇÃO'!$B:$B,0)),1)&amp;"''","")</f>
        <v/>
      </c>
      <c r="J521" s="3" t="str">
        <f>IFERROR(IF(INDEX('PROJETO PERFURAÇÃO'!$P:$P,MATCH(MEDIÇÃO!K521,'PROJETO PERFURAÇÃO'!$B:$B,0))="Production","P",IF(INDEX('PROJETO PERFURAÇÃO'!$P:$P,MATCH(MEDIÇÃO!K521,'PROJETO PERFURAÇÃO'!$B:$B,0))="Buffer","B",IF(INDEX('PROJETO PERFURAÇÃO'!$P:$P,MATCH(MEDIÇÃO!K521,'PROJETO PERFURAÇÃO'!$B:$B,0))="Pre-Splitting","S"))),"")</f>
        <v/>
      </c>
      <c r="K521" s="14">
        <f t="shared" si="49"/>
        <v>1148</v>
      </c>
      <c r="L521" s="4" t="str">
        <f>IFERROR(INDEX('LEV R&amp;D'!$D:$D,MATCH(MEDIÇÃO!K521,'LEV R&amp;D'!$A:$A,0))-INDEX('PROJETO PERFURAÇÃO'!$AH:$AH,MATCH(MEDIÇÃO!K521,'PROJETO PERFURAÇÃO'!$B:$B,0)),"")</f>
        <v/>
      </c>
      <c r="M521" s="8" t="str">
        <f>IFERROR(INDEX('PROJETO PERFURAÇÃO'!$AN:$AN,MATCH(MEDIÇÃO!K521,'PROJETO PERFURAÇÃO'!$B:$B,0)),"")</f>
        <v/>
      </c>
      <c r="N521" s="3"/>
      <c r="O521" s="3"/>
      <c r="P521" s="3" t="str">
        <f>IFERROR(ROUND(INDEX('PROJETO PERFURAÇÃO'!$AB:$AB,MATCH(MEDIÇÃO!R521,'PROJETO PERFURAÇÃO'!$B:$B,0)),1)&amp;"''","")</f>
        <v/>
      </c>
      <c r="Q521" s="3" t="str">
        <f>IFERROR(IF(INDEX('PROJETO PERFURAÇÃO'!$P:$P,MATCH(MEDIÇÃO!R521,'PROJETO PERFURAÇÃO'!$B:$B,0))="Production","P",IF(INDEX('PROJETO PERFURAÇÃO'!$P:$P,MATCH(MEDIÇÃO!R521,'PROJETO PERFURAÇÃO'!$B:$B,0))="Buffer","B",IF(INDEX('PROJETO PERFURAÇÃO'!$P:$P,MATCH(MEDIÇÃO!R521,'PROJETO PERFURAÇÃO'!$B:$B,0))="Pre-Splitting","S"))),"")</f>
        <v/>
      </c>
      <c r="R521" s="14">
        <f t="shared" si="50"/>
        <v>1171</v>
      </c>
      <c r="S521" s="4" t="str">
        <f>IFERROR(INDEX('LEV R&amp;D'!$D:$D,MATCH(MEDIÇÃO!R521,'LEV R&amp;D'!$A:$A,0))-INDEX('PROJETO PERFURAÇÃO'!$AH:$AH,MATCH(MEDIÇÃO!R521,'PROJETO PERFURAÇÃO'!$B:$B,0)),"")</f>
        <v/>
      </c>
      <c r="T521" s="8" t="str">
        <f>IFERROR(INDEX('PROJETO PERFURAÇÃO'!$AN:$AN,MATCH(MEDIÇÃO!R521,'PROJETO PERFURAÇÃO'!$B:$B,0)),"")</f>
        <v/>
      </c>
      <c r="U521" s="3"/>
      <c r="V521" s="3"/>
    </row>
    <row r="522" spans="2:22" ht="45" customHeight="1" x14ac:dyDescent="0.25">
      <c r="B522" s="3" t="str">
        <f>IFERROR(ROUND(INDEX('PROJETO PERFURAÇÃO'!$AB:$AB,MATCH(MEDIÇÃO!D522,'PROJETO PERFURAÇÃO'!$B:$B,0)),1)&amp;"''","")</f>
        <v/>
      </c>
      <c r="C522" s="3" t="str">
        <f>IFERROR(IF(INDEX('PROJETO PERFURAÇÃO'!$P:$P,MATCH(MEDIÇÃO!D522,'PROJETO PERFURAÇÃO'!$B:$B,0))="Production","P",IF(INDEX('PROJETO PERFURAÇÃO'!$P:$P,MATCH(MEDIÇÃO!D522,'PROJETO PERFURAÇÃO'!$B:$B,0))="Buffer","B",IF(INDEX('PROJETO PERFURAÇÃO'!$P:$P,MATCH(MEDIÇÃO!D522,'PROJETO PERFURAÇÃO'!$B:$B,0))="Pre-Splitting","S"))),"")</f>
        <v/>
      </c>
      <c r="D522" s="14">
        <f t="shared" si="48"/>
        <v>1126</v>
      </c>
      <c r="E522" s="4" t="str">
        <f>IFERROR(INDEX('LEV R&amp;D'!$D:$D,MATCH(MEDIÇÃO!D522,'LEV R&amp;D'!$A:$A,0))-INDEX('PROJETO PERFURAÇÃO'!$AH:$AH,MATCH(MEDIÇÃO!D522,'PROJETO PERFURAÇÃO'!$B:$B,0)),"")</f>
        <v/>
      </c>
      <c r="F522" s="8" t="str">
        <f>IFERROR(INDEX('PROJETO PERFURAÇÃO'!$AN:$AN,MATCH(MEDIÇÃO!D522,'PROJETO PERFURAÇÃO'!$B:$B,0)),"")</f>
        <v/>
      </c>
      <c r="G522" s="3"/>
      <c r="H522" s="3"/>
      <c r="I522" s="3" t="str">
        <f>IFERROR(ROUND(INDEX('PROJETO PERFURAÇÃO'!$AB:$AB,MATCH(MEDIÇÃO!K522,'PROJETO PERFURAÇÃO'!$B:$B,0)),1)&amp;"''","")</f>
        <v/>
      </c>
      <c r="J522" s="3" t="str">
        <f>IFERROR(IF(INDEX('PROJETO PERFURAÇÃO'!$P:$P,MATCH(MEDIÇÃO!K522,'PROJETO PERFURAÇÃO'!$B:$B,0))="Production","P",IF(INDEX('PROJETO PERFURAÇÃO'!$P:$P,MATCH(MEDIÇÃO!K522,'PROJETO PERFURAÇÃO'!$B:$B,0))="Buffer","B",IF(INDEX('PROJETO PERFURAÇÃO'!$P:$P,MATCH(MEDIÇÃO!K522,'PROJETO PERFURAÇÃO'!$B:$B,0))="Pre-Splitting","S"))),"")</f>
        <v/>
      </c>
      <c r="K522" s="14">
        <f t="shared" si="49"/>
        <v>1149</v>
      </c>
      <c r="L522" s="4" t="str">
        <f>IFERROR(INDEX('LEV R&amp;D'!$D:$D,MATCH(MEDIÇÃO!K522,'LEV R&amp;D'!$A:$A,0))-INDEX('PROJETO PERFURAÇÃO'!$AH:$AH,MATCH(MEDIÇÃO!K522,'PROJETO PERFURAÇÃO'!$B:$B,0)),"")</f>
        <v/>
      </c>
      <c r="M522" s="8" t="str">
        <f>IFERROR(INDEX('PROJETO PERFURAÇÃO'!$AN:$AN,MATCH(MEDIÇÃO!K522,'PROJETO PERFURAÇÃO'!$B:$B,0)),"")</f>
        <v/>
      </c>
      <c r="N522" s="3"/>
      <c r="O522" s="3"/>
      <c r="P522" s="3" t="str">
        <f>IFERROR(ROUND(INDEX('PROJETO PERFURAÇÃO'!$AB:$AB,MATCH(MEDIÇÃO!R522,'PROJETO PERFURAÇÃO'!$B:$B,0)),1)&amp;"''","")</f>
        <v/>
      </c>
      <c r="Q522" s="3" t="str">
        <f>IFERROR(IF(INDEX('PROJETO PERFURAÇÃO'!$P:$P,MATCH(MEDIÇÃO!R522,'PROJETO PERFURAÇÃO'!$B:$B,0))="Production","P",IF(INDEX('PROJETO PERFURAÇÃO'!$P:$P,MATCH(MEDIÇÃO!R522,'PROJETO PERFURAÇÃO'!$B:$B,0))="Buffer","B",IF(INDEX('PROJETO PERFURAÇÃO'!$P:$P,MATCH(MEDIÇÃO!R522,'PROJETO PERFURAÇÃO'!$B:$B,0))="Pre-Splitting","S"))),"")</f>
        <v/>
      </c>
      <c r="R522" s="14">
        <f t="shared" si="50"/>
        <v>1172</v>
      </c>
      <c r="S522" s="4" t="str">
        <f>IFERROR(INDEX('LEV R&amp;D'!$D:$D,MATCH(MEDIÇÃO!R522,'LEV R&amp;D'!$A:$A,0))-INDEX('PROJETO PERFURAÇÃO'!$AH:$AH,MATCH(MEDIÇÃO!R522,'PROJETO PERFURAÇÃO'!$B:$B,0)),"")</f>
        <v/>
      </c>
      <c r="T522" s="8" t="str">
        <f>IFERROR(INDEX('PROJETO PERFURAÇÃO'!$AN:$AN,MATCH(MEDIÇÃO!R522,'PROJETO PERFURAÇÃO'!$B:$B,0)),"")</f>
        <v/>
      </c>
      <c r="U522" s="3"/>
      <c r="V522" s="3"/>
    </row>
    <row r="523" spans="2:22" ht="45" customHeight="1" x14ac:dyDescent="0.25">
      <c r="B523" s="3" t="str">
        <f>IFERROR(ROUND(INDEX('PROJETO PERFURAÇÃO'!$AB:$AB,MATCH(MEDIÇÃO!D523,'PROJETO PERFURAÇÃO'!$B:$B,0)),1)&amp;"''","")</f>
        <v/>
      </c>
      <c r="C523" s="3" t="str">
        <f>IFERROR(IF(INDEX('PROJETO PERFURAÇÃO'!$P:$P,MATCH(MEDIÇÃO!D523,'PROJETO PERFURAÇÃO'!$B:$B,0))="Production","P",IF(INDEX('PROJETO PERFURAÇÃO'!$P:$P,MATCH(MEDIÇÃO!D523,'PROJETO PERFURAÇÃO'!$B:$B,0))="Buffer","B",IF(INDEX('PROJETO PERFURAÇÃO'!$P:$P,MATCH(MEDIÇÃO!D523,'PROJETO PERFURAÇÃO'!$B:$B,0))="Pre-Splitting","S"))),"")</f>
        <v/>
      </c>
      <c r="D523" s="14">
        <f>D522+1</f>
        <v>1127</v>
      </c>
      <c r="E523" s="4" t="str">
        <f>IFERROR(INDEX('LEV R&amp;D'!$D:$D,MATCH(MEDIÇÃO!D523,'LEV R&amp;D'!$A:$A,0))-INDEX('PROJETO PERFURAÇÃO'!$AH:$AH,MATCH(MEDIÇÃO!D523,'PROJETO PERFURAÇÃO'!$B:$B,0)),"")</f>
        <v/>
      </c>
      <c r="F523" s="8" t="str">
        <f>IFERROR(INDEX('PROJETO PERFURAÇÃO'!$AN:$AN,MATCH(MEDIÇÃO!D523,'PROJETO PERFURAÇÃO'!$B:$B,0)),"")</f>
        <v/>
      </c>
      <c r="G523" s="3"/>
      <c r="H523" s="3"/>
      <c r="I523" s="3" t="str">
        <f>IFERROR(ROUND(INDEX('PROJETO PERFURAÇÃO'!$AB:$AB,MATCH(MEDIÇÃO!K523,'PROJETO PERFURAÇÃO'!$B:$B,0)),1)&amp;"''","")</f>
        <v/>
      </c>
      <c r="J523" s="3" t="str">
        <f>IFERROR(IF(INDEX('PROJETO PERFURAÇÃO'!$P:$P,MATCH(MEDIÇÃO!K523,'PROJETO PERFURAÇÃO'!$B:$B,0))="Production","P",IF(INDEX('PROJETO PERFURAÇÃO'!$P:$P,MATCH(MEDIÇÃO!K523,'PROJETO PERFURAÇÃO'!$B:$B,0))="Buffer","B",IF(INDEX('PROJETO PERFURAÇÃO'!$P:$P,MATCH(MEDIÇÃO!K523,'PROJETO PERFURAÇÃO'!$B:$B,0))="Pre-Splitting","S"))),"")</f>
        <v/>
      </c>
      <c r="K523" s="14">
        <f>K522+1</f>
        <v>1150</v>
      </c>
      <c r="L523" s="4" t="str">
        <f>IFERROR(INDEX('LEV R&amp;D'!$D:$D,MATCH(MEDIÇÃO!K523,'LEV R&amp;D'!$A:$A,0))-INDEX('PROJETO PERFURAÇÃO'!$AH:$AH,MATCH(MEDIÇÃO!K523,'PROJETO PERFURAÇÃO'!$B:$B,0)),"")</f>
        <v/>
      </c>
      <c r="M523" s="8" t="str">
        <f>IFERROR(INDEX('PROJETO PERFURAÇÃO'!$AN:$AN,MATCH(MEDIÇÃO!K523,'PROJETO PERFURAÇÃO'!$B:$B,0)),"")</f>
        <v/>
      </c>
      <c r="N523" s="3"/>
      <c r="O523" s="3"/>
      <c r="P523" s="3" t="str">
        <f>IFERROR(ROUND(INDEX('PROJETO PERFURAÇÃO'!$AB:$AB,MATCH(MEDIÇÃO!R523,'PROJETO PERFURAÇÃO'!$B:$B,0)),1)&amp;"''","")</f>
        <v/>
      </c>
      <c r="Q523" s="3" t="str">
        <f>IFERROR(IF(INDEX('PROJETO PERFURAÇÃO'!$P:$P,MATCH(MEDIÇÃO!R523,'PROJETO PERFURAÇÃO'!$B:$B,0))="Production","P",IF(INDEX('PROJETO PERFURAÇÃO'!$P:$P,MATCH(MEDIÇÃO!R523,'PROJETO PERFURAÇÃO'!$B:$B,0))="Buffer","B",IF(INDEX('PROJETO PERFURAÇÃO'!$P:$P,MATCH(MEDIÇÃO!R523,'PROJETO PERFURAÇÃO'!$B:$B,0))="Pre-Splitting","S"))),"")</f>
        <v/>
      </c>
      <c r="R523" s="14">
        <f>R522+1</f>
        <v>1173</v>
      </c>
      <c r="S523" s="4" t="str">
        <f>IFERROR(INDEX('LEV R&amp;D'!$D:$D,MATCH(MEDIÇÃO!R523,'LEV R&amp;D'!$A:$A,0))-INDEX('PROJETO PERFURAÇÃO'!$AH:$AH,MATCH(MEDIÇÃO!R523,'PROJETO PERFURAÇÃO'!$B:$B,0)),"")</f>
        <v/>
      </c>
      <c r="T523" s="8" t="str">
        <f>IFERROR(INDEX('PROJETO PERFURAÇÃO'!$AN:$AN,MATCH(MEDIÇÃO!R523,'PROJETO PERFURAÇÃO'!$B:$B,0)),"")</f>
        <v/>
      </c>
      <c r="U523" s="3"/>
      <c r="V523" s="3"/>
    </row>
    <row r="524" spans="2:22" ht="30" customHeight="1" x14ac:dyDescent="0.25">
      <c r="B524" s="1"/>
      <c r="C524" s="1"/>
      <c r="D524" s="15"/>
      <c r="E524" s="2"/>
      <c r="F524" s="16"/>
      <c r="G524" s="1"/>
      <c r="H524" s="1"/>
      <c r="I524" s="1"/>
      <c r="J524" s="1"/>
      <c r="K524" s="15"/>
      <c r="L524" s="2"/>
      <c r="M524" s="16"/>
      <c r="N524" s="1"/>
      <c r="O524" s="1"/>
      <c r="P524" s="1"/>
      <c r="Q524" s="1"/>
      <c r="R524" s="15"/>
      <c r="S524" s="2"/>
      <c r="T524" s="16"/>
      <c r="U524" s="1"/>
      <c r="V524" s="1"/>
    </row>
    <row r="525" spans="2:22" ht="30" customHeight="1" x14ac:dyDescent="0.25">
      <c r="C525" s="20"/>
      <c r="D525" s="20"/>
      <c r="E525" s="20"/>
      <c r="F525" s="20"/>
      <c r="G525" s="20"/>
      <c r="H525" s="20"/>
      <c r="I525" s="20"/>
      <c r="J525" s="20"/>
      <c r="K525" s="20"/>
      <c r="M525" s="20"/>
      <c r="N525" s="20"/>
      <c r="O525" s="20"/>
      <c r="P525" s="20"/>
      <c r="Q525" s="20"/>
      <c r="R525" s="20"/>
      <c r="S525" s="20"/>
      <c r="T525" s="20"/>
      <c r="U525" s="20"/>
    </row>
    <row r="526" spans="2:22" ht="30" customHeight="1" x14ac:dyDescent="0.25">
      <c r="C526" s="21" t="s">
        <v>40</v>
      </c>
      <c r="D526" s="21"/>
      <c r="E526" s="21"/>
      <c r="F526" s="21"/>
      <c r="G526" s="21"/>
      <c r="H526" s="21"/>
      <c r="I526" s="21"/>
      <c r="J526" s="21"/>
      <c r="K526" s="21"/>
      <c r="L526" s="9"/>
      <c r="M526" s="21" t="s">
        <v>40</v>
      </c>
      <c r="N526" s="21"/>
      <c r="O526" s="21"/>
      <c r="P526" s="21"/>
      <c r="Q526" s="21"/>
      <c r="R526" s="21"/>
      <c r="S526" s="21"/>
      <c r="T526" s="21"/>
      <c r="U526" s="21"/>
      <c r="V526" s="9"/>
    </row>
    <row r="527" spans="2:22" ht="30" customHeight="1" x14ac:dyDescent="0.25">
      <c r="D527" s="9"/>
      <c r="E527" s="9"/>
      <c r="F527" s="9"/>
      <c r="G527" s="9"/>
      <c r="H527" s="9"/>
      <c r="I527" s="9"/>
      <c r="J527" s="9"/>
      <c r="K527" s="9"/>
      <c r="L527" s="9"/>
      <c r="M527" s="9"/>
      <c r="N527" s="9"/>
      <c r="Q527" s="9"/>
      <c r="R527" s="9"/>
      <c r="S527" s="9"/>
      <c r="T527" s="9"/>
      <c r="U527" s="9"/>
      <c r="V527" s="9"/>
    </row>
    <row r="528" spans="2:22" ht="30" customHeight="1" x14ac:dyDescent="0.25">
      <c r="B528" s="19" t="str">
        <f>'PROJETO PERFURAÇÃO'!$C$2&amp;" - "&amp;'PROJETO PERFURAÇÃO'!$H$2</f>
        <v>LIB065 - PP0651026</v>
      </c>
      <c r="C528" s="19"/>
      <c r="D528" s="19"/>
      <c r="E528" s="19"/>
      <c r="F528" s="19"/>
      <c r="G528" s="19"/>
      <c r="H528" s="19"/>
      <c r="I528" s="11" t="s">
        <v>34</v>
      </c>
      <c r="J528" s="10" t="s">
        <v>37</v>
      </c>
    </row>
    <row r="529" spans="1:23" ht="30" customHeight="1" x14ac:dyDescent="0.25">
      <c r="B529" s="19"/>
      <c r="C529" s="19"/>
      <c r="D529" s="19"/>
      <c r="E529" s="19"/>
      <c r="F529" s="19"/>
      <c r="G529" s="19"/>
      <c r="H529" s="19"/>
      <c r="I529" s="12" t="s">
        <v>35</v>
      </c>
      <c r="J529" s="10" t="s">
        <v>38</v>
      </c>
      <c r="K529" s="9"/>
      <c r="L529" s="9"/>
      <c r="M529" s="9"/>
      <c r="N529" s="9"/>
      <c r="O529" s="9"/>
      <c r="P529" s="9"/>
      <c r="Q529" s="9"/>
      <c r="R529" s="9"/>
      <c r="S529" s="9"/>
      <c r="T529" s="9"/>
      <c r="U529" s="9"/>
      <c r="V529" s="9"/>
    </row>
    <row r="530" spans="1:23" ht="30" customHeight="1" x14ac:dyDescent="0.25">
      <c r="B530" s="19"/>
      <c r="C530" s="19"/>
      <c r="D530" s="19"/>
      <c r="E530" s="19"/>
      <c r="F530" s="19"/>
      <c r="G530" s="19"/>
      <c r="H530" s="19"/>
      <c r="I530" s="13" t="s">
        <v>36</v>
      </c>
      <c r="J530" s="10" t="s">
        <v>39</v>
      </c>
    </row>
    <row r="531" spans="1:23" ht="30" customHeight="1" x14ac:dyDescent="0.25">
      <c r="A531" s="1"/>
      <c r="B531" s="6" t="s">
        <v>33</v>
      </c>
      <c r="C531" s="6" t="s">
        <v>13</v>
      </c>
      <c r="D531" s="7" t="s">
        <v>1</v>
      </c>
      <c r="E531" s="7" t="s">
        <v>29</v>
      </c>
      <c r="F531" s="7" t="s">
        <v>30</v>
      </c>
      <c r="G531" s="7" t="s">
        <v>31</v>
      </c>
      <c r="H531" s="7" t="s">
        <v>32</v>
      </c>
      <c r="I531" s="6" t="s">
        <v>33</v>
      </c>
      <c r="J531" s="6" t="s">
        <v>13</v>
      </c>
      <c r="K531" s="7" t="s">
        <v>1</v>
      </c>
      <c r="L531" s="7" t="s">
        <v>29</v>
      </c>
      <c r="M531" s="7" t="s">
        <v>30</v>
      </c>
      <c r="N531" s="7" t="s">
        <v>31</v>
      </c>
      <c r="O531" s="7" t="s">
        <v>32</v>
      </c>
      <c r="P531" s="6" t="s">
        <v>33</v>
      </c>
      <c r="Q531" s="6" t="s">
        <v>13</v>
      </c>
      <c r="R531" s="7" t="s">
        <v>1</v>
      </c>
      <c r="S531" s="7" t="s">
        <v>29</v>
      </c>
      <c r="T531" s="7" t="s">
        <v>30</v>
      </c>
      <c r="U531" s="7" t="s">
        <v>31</v>
      </c>
      <c r="V531" s="7" t="s">
        <v>32</v>
      </c>
      <c r="W531" s="1"/>
    </row>
    <row r="532" spans="1:23" ht="45" customHeight="1" x14ac:dyDescent="0.25">
      <c r="B532" s="3" t="str">
        <f>IFERROR(ROUND(INDEX('PROJETO PERFURAÇÃO'!$AB:$AB,MATCH(MEDIÇÃO!D532,'PROJETO PERFURAÇÃO'!$B:$B,0)),1)&amp;"''","")</f>
        <v/>
      </c>
      <c r="C532" s="3" t="str">
        <f>IFERROR(IF(INDEX('PROJETO PERFURAÇÃO'!$P:$P,MATCH(MEDIÇÃO!D532,'PROJETO PERFURAÇÃO'!$B:$B,0))="Production","P",IF(INDEX('PROJETO PERFURAÇÃO'!$P:$P,MATCH(MEDIÇÃO!D532,'PROJETO PERFURAÇÃO'!$B:$B,0))="Buffer","B",IF(INDEX('PROJETO PERFURAÇÃO'!$P:$P,MATCH(MEDIÇÃO!D532,'PROJETO PERFURAÇÃO'!$B:$B,0))="Pre-Splitting","S"))),"")</f>
        <v/>
      </c>
      <c r="D532" s="14">
        <f>R523+1</f>
        <v>1174</v>
      </c>
      <c r="E532" s="4" t="str">
        <f>IFERROR(INDEX('LEV R&amp;D'!$D:$D,MATCH(MEDIÇÃO!D532,'LEV R&amp;D'!$A:$A,0))-INDEX('PROJETO PERFURAÇÃO'!$AH:$AH,MATCH(MEDIÇÃO!D532,'PROJETO PERFURAÇÃO'!$B:$B,0)),"")</f>
        <v/>
      </c>
      <c r="F532" s="8" t="str">
        <f>IFERROR(INDEX('PROJETO PERFURAÇÃO'!$AN:$AN,MATCH(MEDIÇÃO!D532,'PROJETO PERFURAÇÃO'!$B:$B,0)),"")</f>
        <v/>
      </c>
      <c r="G532" s="3"/>
      <c r="H532" s="3"/>
      <c r="I532" s="3" t="str">
        <f>IFERROR(ROUND(INDEX('PROJETO PERFURAÇÃO'!$AB:$AB,MATCH(MEDIÇÃO!K532,'PROJETO PERFURAÇÃO'!$B:$B,0)),1)&amp;"''","")</f>
        <v/>
      </c>
      <c r="J532" s="3" t="str">
        <f>IFERROR(IF(INDEX('PROJETO PERFURAÇÃO'!$P:$P,MATCH(MEDIÇÃO!K532,'PROJETO PERFURAÇÃO'!$B:$B,0))="Production","P",IF(INDEX('PROJETO PERFURAÇÃO'!$P:$P,MATCH(MEDIÇÃO!K532,'PROJETO PERFURAÇÃO'!$B:$B,0))="Buffer","B",IF(INDEX('PROJETO PERFURAÇÃO'!$P:$P,MATCH(MEDIÇÃO!K532,'PROJETO PERFURAÇÃO'!$B:$B,0))="Pre-Splitting","S"))),"")</f>
        <v/>
      </c>
      <c r="K532" s="14">
        <f>D554+1</f>
        <v>1197</v>
      </c>
      <c r="L532" s="4" t="str">
        <f>IFERROR(INDEX('LEV R&amp;D'!$D:$D,MATCH(MEDIÇÃO!K532,'LEV R&amp;D'!$A:$A,0))-INDEX('PROJETO PERFURAÇÃO'!$AH:$AH,MATCH(MEDIÇÃO!K532,'PROJETO PERFURAÇÃO'!$B:$B,0)),"")</f>
        <v/>
      </c>
      <c r="M532" s="8" t="str">
        <f>IFERROR(INDEX('PROJETO PERFURAÇÃO'!$AN:$AN,MATCH(MEDIÇÃO!K532,'PROJETO PERFURAÇÃO'!$B:$B,0)),"")</f>
        <v/>
      </c>
      <c r="N532" s="3"/>
      <c r="O532" s="3"/>
      <c r="P532" s="3" t="str">
        <f>IFERROR(ROUND(INDEX('PROJETO PERFURAÇÃO'!$AB:$AB,MATCH(MEDIÇÃO!R532,'PROJETO PERFURAÇÃO'!$B:$B,0)),1)&amp;"''","")</f>
        <v/>
      </c>
      <c r="Q532" s="3" t="str">
        <f>IFERROR(IF(INDEX('PROJETO PERFURAÇÃO'!$P:$P,MATCH(MEDIÇÃO!R532,'PROJETO PERFURAÇÃO'!$B:$B,0))="Production","P",IF(INDEX('PROJETO PERFURAÇÃO'!$P:$P,MATCH(MEDIÇÃO!R532,'PROJETO PERFURAÇÃO'!$B:$B,0))="Buffer","B",IF(INDEX('PROJETO PERFURAÇÃO'!$P:$P,MATCH(MEDIÇÃO!R532,'PROJETO PERFURAÇÃO'!$B:$B,0))="Pre-Splitting","S"))),"")</f>
        <v/>
      </c>
      <c r="R532" s="14">
        <f>K554+1</f>
        <v>1220</v>
      </c>
      <c r="S532" s="4" t="str">
        <f>IFERROR(INDEX('LEV R&amp;D'!$D:$D,MATCH(MEDIÇÃO!R532,'LEV R&amp;D'!$A:$A,0))-INDEX('PROJETO PERFURAÇÃO'!$AH:$AH,MATCH(MEDIÇÃO!R532,'PROJETO PERFURAÇÃO'!$B:$B,0)),"")</f>
        <v/>
      </c>
      <c r="T532" s="8" t="str">
        <f>IFERROR(INDEX('PROJETO PERFURAÇÃO'!$AN:$AN,MATCH(MEDIÇÃO!R532,'PROJETO PERFURAÇÃO'!$B:$B,0)),"")</f>
        <v/>
      </c>
      <c r="U532" s="3"/>
      <c r="V532" s="3"/>
    </row>
    <row r="533" spans="1:23" ht="45" customHeight="1" x14ac:dyDescent="0.25">
      <c r="B533" s="3" t="str">
        <f>IFERROR(ROUND(INDEX('PROJETO PERFURAÇÃO'!$AB:$AB,MATCH(MEDIÇÃO!D533,'PROJETO PERFURAÇÃO'!$B:$B,0)),1)&amp;"''","")</f>
        <v/>
      </c>
      <c r="C533" s="3" t="str">
        <f>IFERROR(IF(INDEX('PROJETO PERFURAÇÃO'!$P:$P,MATCH(MEDIÇÃO!D533,'PROJETO PERFURAÇÃO'!$B:$B,0))="Production","P",IF(INDEX('PROJETO PERFURAÇÃO'!$P:$P,MATCH(MEDIÇÃO!D533,'PROJETO PERFURAÇÃO'!$B:$B,0))="Buffer","B",IF(INDEX('PROJETO PERFURAÇÃO'!$P:$P,MATCH(MEDIÇÃO!D533,'PROJETO PERFURAÇÃO'!$B:$B,0))="Pre-Splitting","S"))),"")</f>
        <v/>
      </c>
      <c r="D533" s="14">
        <f>D532+1</f>
        <v>1175</v>
      </c>
      <c r="E533" s="4" t="str">
        <f>IFERROR(INDEX('LEV R&amp;D'!$D:$D,MATCH(MEDIÇÃO!D533,'LEV R&amp;D'!$A:$A,0))-INDEX('PROJETO PERFURAÇÃO'!$AH:$AH,MATCH(MEDIÇÃO!D533,'PROJETO PERFURAÇÃO'!$B:$B,0)),"")</f>
        <v/>
      </c>
      <c r="F533" s="8" t="str">
        <f>IFERROR(INDEX('PROJETO PERFURAÇÃO'!$AN:$AN,MATCH(MEDIÇÃO!D533,'PROJETO PERFURAÇÃO'!$B:$B,0)),"")</f>
        <v/>
      </c>
      <c r="G533" s="3"/>
      <c r="H533" s="3"/>
      <c r="I533" s="3" t="str">
        <f>IFERROR(ROUND(INDEX('PROJETO PERFURAÇÃO'!$AB:$AB,MATCH(MEDIÇÃO!K533,'PROJETO PERFURAÇÃO'!$B:$B,0)),1)&amp;"''","")</f>
        <v/>
      </c>
      <c r="J533" s="3" t="str">
        <f>IFERROR(IF(INDEX('PROJETO PERFURAÇÃO'!$P:$P,MATCH(MEDIÇÃO!K533,'PROJETO PERFURAÇÃO'!$B:$B,0))="Production","P",IF(INDEX('PROJETO PERFURAÇÃO'!$P:$P,MATCH(MEDIÇÃO!K533,'PROJETO PERFURAÇÃO'!$B:$B,0))="Buffer","B",IF(INDEX('PROJETO PERFURAÇÃO'!$P:$P,MATCH(MEDIÇÃO!K533,'PROJETO PERFURAÇÃO'!$B:$B,0))="Pre-Splitting","S"))),"")</f>
        <v/>
      </c>
      <c r="K533" s="14">
        <f>K532+1</f>
        <v>1198</v>
      </c>
      <c r="L533" s="4" t="str">
        <f>IFERROR(INDEX('LEV R&amp;D'!$D:$D,MATCH(MEDIÇÃO!K533,'LEV R&amp;D'!$A:$A,0))-INDEX('PROJETO PERFURAÇÃO'!$AH:$AH,MATCH(MEDIÇÃO!K533,'PROJETO PERFURAÇÃO'!$B:$B,0)),"")</f>
        <v/>
      </c>
      <c r="M533" s="8" t="str">
        <f>IFERROR(INDEX('PROJETO PERFURAÇÃO'!$AN:$AN,MATCH(MEDIÇÃO!K533,'PROJETO PERFURAÇÃO'!$B:$B,0)),"")</f>
        <v/>
      </c>
      <c r="N533" s="3"/>
      <c r="O533" s="3"/>
      <c r="P533" s="3" t="str">
        <f>IFERROR(ROUND(INDEX('PROJETO PERFURAÇÃO'!$AB:$AB,MATCH(MEDIÇÃO!R533,'PROJETO PERFURAÇÃO'!$B:$B,0)),1)&amp;"''","")</f>
        <v/>
      </c>
      <c r="Q533" s="3" t="str">
        <f>IFERROR(IF(INDEX('PROJETO PERFURAÇÃO'!$P:$P,MATCH(MEDIÇÃO!R533,'PROJETO PERFURAÇÃO'!$B:$B,0))="Production","P",IF(INDEX('PROJETO PERFURAÇÃO'!$P:$P,MATCH(MEDIÇÃO!R533,'PROJETO PERFURAÇÃO'!$B:$B,0))="Buffer","B",IF(INDEX('PROJETO PERFURAÇÃO'!$P:$P,MATCH(MEDIÇÃO!R533,'PROJETO PERFURAÇÃO'!$B:$B,0))="Pre-Splitting","S"))),"")</f>
        <v/>
      </c>
      <c r="R533" s="14">
        <f>R532+1</f>
        <v>1221</v>
      </c>
      <c r="S533" s="4" t="str">
        <f>IFERROR(INDEX('LEV R&amp;D'!$D:$D,MATCH(MEDIÇÃO!R533,'LEV R&amp;D'!$A:$A,0))-INDEX('PROJETO PERFURAÇÃO'!$AH:$AH,MATCH(MEDIÇÃO!R533,'PROJETO PERFURAÇÃO'!$B:$B,0)),"")</f>
        <v/>
      </c>
      <c r="T533" s="8" t="str">
        <f>IFERROR(INDEX('PROJETO PERFURAÇÃO'!$AN:$AN,MATCH(MEDIÇÃO!R533,'PROJETO PERFURAÇÃO'!$B:$B,0)),"")</f>
        <v/>
      </c>
      <c r="U533" s="3"/>
      <c r="V533" s="3"/>
    </row>
    <row r="534" spans="1:23" ht="45" customHeight="1" x14ac:dyDescent="0.25">
      <c r="B534" s="3" t="str">
        <f>IFERROR(ROUND(INDEX('PROJETO PERFURAÇÃO'!$AB:$AB,MATCH(MEDIÇÃO!D534,'PROJETO PERFURAÇÃO'!$B:$B,0)),1)&amp;"''","")</f>
        <v/>
      </c>
      <c r="C534" s="3" t="str">
        <f>IFERROR(IF(INDEX('PROJETO PERFURAÇÃO'!$P:$P,MATCH(MEDIÇÃO!D534,'PROJETO PERFURAÇÃO'!$B:$B,0))="Production","P",IF(INDEX('PROJETO PERFURAÇÃO'!$P:$P,MATCH(MEDIÇÃO!D534,'PROJETO PERFURAÇÃO'!$B:$B,0))="Buffer","B",IF(INDEX('PROJETO PERFURAÇÃO'!$P:$P,MATCH(MEDIÇÃO!D534,'PROJETO PERFURAÇÃO'!$B:$B,0))="Pre-Splitting","S"))),"")</f>
        <v/>
      </c>
      <c r="D534" s="14">
        <f t="shared" ref="D534:D554" si="51">D533+1</f>
        <v>1176</v>
      </c>
      <c r="E534" s="4" t="str">
        <f>IFERROR(INDEX('LEV R&amp;D'!$D:$D,MATCH(MEDIÇÃO!D534,'LEV R&amp;D'!$A:$A,0))-INDEX('PROJETO PERFURAÇÃO'!$AH:$AH,MATCH(MEDIÇÃO!D534,'PROJETO PERFURAÇÃO'!$B:$B,0)),"")</f>
        <v/>
      </c>
      <c r="F534" s="8" t="str">
        <f>IFERROR(INDEX('PROJETO PERFURAÇÃO'!$AN:$AN,MATCH(MEDIÇÃO!D534,'PROJETO PERFURAÇÃO'!$B:$B,0)),"")</f>
        <v/>
      </c>
      <c r="G534" s="3"/>
      <c r="H534" s="3"/>
      <c r="I534" s="3" t="str">
        <f>IFERROR(ROUND(INDEX('PROJETO PERFURAÇÃO'!$AB:$AB,MATCH(MEDIÇÃO!K534,'PROJETO PERFURAÇÃO'!$B:$B,0)),1)&amp;"''","")</f>
        <v/>
      </c>
      <c r="J534" s="3" t="str">
        <f>IFERROR(IF(INDEX('PROJETO PERFURAÇÃO'!$P:$P,MATCH(MEDIÇÃO!K534,'PROJETO PERFURAÇÃO'!$B:$B,0))="Production","P",IF(INDEX('PROJETO PERFURAÇÃO'!$P:$P,MATCH(MEDIÇÃO!K534,'PROJETO PERFURAÇÃO'!$B:$B,0))="Buffer","B",IF(INDEX('PROJETO PERFURAÇÃO'!$P:$P,MATCH(MEDIÇÃO!K534,'PROJETO PERFURAÇÃO'!$B:$B,0))="Pre-Splitting","S"))),"")</f>
        <v/>
      </c>
      <c r="K534" s="14">
        <f t="shared" ref="K534:K553" si="52">K533+1</f>
        <v>1199</v>
      </c>
      <c r="L534" s="4" t="str">
        <f>IFERROR(INDEX('LEV R&amp;D'!$D:$D,MATCH(MEDIÇÃO!K534,'LEV R&amp;D'!$A:$A,0))-INDEX('PROJETO PERFURAÇÃO'!$AH:$AH,MATCH(MEDIÇÃO!K534,'PROJETO PERFURAÇÃO'!$B:$B,0)),"")</f>
        <v/>
      </c>
      <c r="M534" s="8" t="str">
        <f>IFERROR(INDEX('PROJETO PERFURAÇÃO'!$AN:$AN,MATCH(MEDIÇÃO!K534,'PROJETO PERFURAÇÃO'!$B:$B,0)),"")</f>
        <v/>
      </c>
      <c r="N534" s="3"/>
      <c r="O534" s="3"/>
      <c r="P534" s="3" t="str">
        <f>IFERROR(ROUND(INDEX('PROJETO PERFURAÇÃO'!$AB:$AB,MATCH(MEDIÇÃO!R534,'PROJETO PERFURAÇÃO'!$B:$B,0)),1)&amp;"''","")</f>
        <v/>
      </c>
      <c r="Q534" s="3" t="str">
        <f>IFERROR(IF(INDEX('PROJETO PERFURAÇÃO'!$P:$P,MATCH(MEDIÇÃO!R534,'PROJETO PERFURAÇÃO'!$B:$B,0))="Production","P",IF(INDEX('PROJETO PERFURAÇÃO'!$P:$P,MATCH(MEDIÇÃO!R534,'PROJETO PERFURAÇÃO'!$B:$B,0))="Buffer","B",IF(INDEX('PROJETO PERFURAÇÃO'!$P:$P,MATCH(MEDIÇÃO!R534,'PROJETO PERFURAÇÃO'!$B:$B,0))="Pre-Splitting","S"))),"")</f>
        <v/>
      </c>
      <c r="R534" s="14">
        <f t="shared" ref="R534:R553" si="53">R533+1</f>
        <v>1222</v>
      </c>
      <c r="S534" s="4" t="str">
        <f>IFERROR(INDEX('LEV R&amp;D'!$D:$D,MATCH(MEDIÇÃO!R534,'LEV R&amp;D'!$A:$A,0))-INDEX('PROJETO PERFURAÇÃO'!$AH:$AH,MATCH(MEDIÇÃO!R534,'PROJETO PERFURAÇÃO'!$B:$B,0)),"")</f>
        <v/>
      </c>
      <c r="T534" s="8" t="str">
        <f>IFERROR(INDEX('PROJETO PERFURAÇÃO'!$AN:$AN,MATCH(MEDIÇÃO!R534,'PROJETO PERFURAÇÃO'!$B:$B,0)),"")</f>
        <v/>
      </c>
      <c r="U534" s="3"/>
      <c r="V534" s="3"/>
    </row>
    <row r="535" spans="1:23" ht="45" customHeight="1" x14ac:dyDescent="0.25">
      <c r="B535" s="3" t="str">
        <f>IFERROR(ROUND(INDEX('PROJETO PERFURAÇÃO'!$AB:$AB,MATCH(MEDIÇÃO!D535,'PROJETO PERFURAÇÃO'!$B:$B,0)),1)&amp;"''","")</f>
        <v/>
      </c>
      <c r="C535" s="3" t="str">
        <f>IFERROR(IF(INDEX('PROJETO PERFURAÇÃO'!$P:$P,MATCH(MEDIÇÃO!D535,'PROJETO PERFURAÇÃO'!$B:$B,0))="Production","P",IF(INDEX('PROJETO PERFURAÇÃO'!$P:$P,MATCH(MEDIÇÃO!D535,'PROJETO PERFURAÇÃO'!$B:$B,0))="Buffer","B",IF(INDEX('PROJETO PERFURAÇÃO'!$P:$P,MATCH(MEDIÇÃO!D535,'PROJETO PERFURAÇÃO'!$B:$B,0))="Pre-Splitting","S"))),"")</f>
        <v/>
      </c>
      <c r="D535" s="14">
        <f t="shared" si="51"/>
        <v>1177</v>
      </c>
      <c r="E535" s="4" t="str">
        <f>IFERROR(INDEX('LEV R&amp;D'!$D:$D,MATCH(MEDIÇÃO!D535,'LEV R&amp;D'!$A:$A,0))-INDEX('PROJETO PERFURAÇÃO'!$AH:$AH,MATCH(MEDIÇÃO!D535,'PROJETO PERFURAÇÃO'!$B:$B,0)),"")</f>
        <v/>
      </c>
      <c r="F535" s="8" t="str">
        <f>IFERROR(INDEX('PROJETO PERFURAÇÃO'!$AN:$AN,MATCH(MEDIÇÃO!D535,'PROJETO PERFURAÇÃO'!$B:$B,0)),"")</f>
        <v/>
      </c>
      <c r="G535" s="3"/>
      <c r="H535" s="3"/>
      <c r="I535" s="3" t="str">
        <f>IFERROR(ROUND(INDEX('PROJETO PERFURAÇÃO'!$AB:$AB,MATCH(MEDIÇÃO!K535,'PROJETO PERFURAÇÃO'!$B:$B,0)),1)&amp;"''","")</f>
        <v/>
      </c>
      <c r="J535" s="3" t="str">
        <f>IFERROR(IF(INDEX('PROJETO PERFURAÇÃO'!$P:$P,MATCH(MEDIÇÃO!K535,'PROJETO PERFURAÇÃO'!$B:$B,0))="Production","P",IF(INDEX('PROJETO PERFURAÇÃO'!$P:$P,MATCH(MEDIÇÃO!K535,'PROJETO PERFURAÇÃO'!$B:$B,0))="Buffer","B",IF(INDEX('PROJETO PERFURAÇÃO'!$P:$P,MATCH(MEDIÇÃO!K535,'PROJETO PERFURAÇÃO'!$B:$B,0))="Pre-Splitting","S"))),"")</f>
        <v/>
      </c>
      <c r="K535" s="14">
        <f t="shared" si="52"/>
        <v>1200</v>
      </c>
      <c r="L535" s="4" t="str">
        <f>IFERROR(INDEX('LEV R&amp;D'!$D:$D,MATCH(MEDIÇÃO!K535,'LEV R&amp;D'!$A:$A,0))-INDEX('PROJETO PERFURAÇÃO'!$AH:$AH,MATCH(MEDIÇÃO!K535,'PROJETO PERFURAÇÃO'!$B:$B,0)),"")</f>
        <v/>
      </c>
      <c r="M535" s="8" t="str">
        <f>IFERROR(INDEX('PROJETO PERFURAÇÃO'!$AN:$AN,MATCH(MEDIÇÃO!K535,'PROJETO PERFURAÇÃO'!$B:$B,0)),"")</f>
        <v/>
      </c>
      <c r="N535" s="3"/>
      <c r="O535" s="3"/>
      <c r="P535" s="3" t="str">
        <f>IFERROR(ROUND(INDEX('PROJETO PERFURAÇÃO'!$AB:$AB,MATCH(MEDIÇÃO!R535,'PROJETO PERFURAÇÃO'!$B:$B,0)),1)&amp;"''","")</f>
        <v/>
      </c>
      <c r="Q535" s="3" t="str">
        <f>IFERROR(IF(INDEX('PROJETO PERFURAÇÃO'!$P:$P,MATCH(MEDIÇÃO!R535,'PROJETO PERFURAÇÃO'!$B:$B,0))="Production","P",IF(INDEX('PROJETO PERFURAÇÃO'!$P:$P,MATCH(MEDIÇÃO!R535,'PROJETO PERFURAÇÃO'!$B:$B,0))="Buffer","B",IF(INDEX('PROJETO PERFURAÇÃO'!$P:$P,MATCH(MEDIÇÃO!R535,'PROJETO PERFURAÇÃO'!$B:$B,0))="Pre-Splitting","S"))),"")</f>
        <v/>
      </c>
      <c r="R535" s="14">
        <f t="shared" si="53"/>
        <v>1223</v>
      </c>
      <c r="S535" s="4" t="str">
        <f>IFERROR(INDEX('LEV R&amp;D'!$D:$D,MATCH(MEDIÇÃO!R535,'LEV R&amp;D'!$A:$A,0))-INDEX('PROJETO PERFURAÇÃO'!$AH:$AH,MATCH(MEDIÇÃO!R535,'PROJETO PERFURAÇÃO'!$B:$B,0)),"")</f>
        <v/>
      </c>
      <c r="T535" s="8" t="str">
        <f>IFERROR(INDEX('PROJETO PERFURAÇÃO'!$AN:$AN,MATCH(MEDIÇÃO!R535,'PROJETO PERFURAÇÃO'!$B:$B,0)),"")</f>
        <v/>
      </c>
      <c r="U535" s="3"/>
      <c r="V535" s="3"/>
    </row>
    <row r="536" spans="1:23" ht="45" customHeight="1" x14ac:dyDescent="0.25">
      <c r="B536" s="3" t="str">
        <f>IFERROR(ROUND(INDEX('PROJETO PERFURAÇÃO'!$AB:$AB,MATCH(MEDIÇÃO!D536,'PROJETO PERFURAÇÃO'!$B:$B,0)),1)&amp;"''","")</f>
        <v/>
      </c>
      <c r="C536" s="3" t="str">
        <f>IFERROR(IF(INDEX('PROJETO PERFURAÇÃO'!$P:$P,MATCH(MEDIÇÃO!D536,'PROJETO PERFURAÇÃO'!$B:$B,0))="Production","P",IF(INDEX('PROJETO PERFURAÇÃO'!$P:$P,MATCH(MEDIÇÃO!D536,'PROJETO PERFURAÇÃO'!$B:$B,0))="Buffer","B",IF(INDEX('PROJETO PERFURAÇÃO'!$P:$P,MATCH(MEDIÇÃO!D536,'PROJETO PERFURAÇÃO'!$B:$B,0))="Pre-Splitting","S"))),"")</f>
        <v/>
      </c>
      <c r="D536" s="14">
        <f t="shared" si="51"/>
        <v>1178</v>
      </c>
      <c r="E536" s="4" t="str">
        <f>IFERROR(INDEX('LEV R&amp;D'!$D:$D,MATCH(MEDIÇÃO!D536,'LEV R&amp;D'!$A:$A,0))-INDEX('PROJETO PERFURAÇÃO'!$AH:$AH,MATCH(MEDIÇÃO!D536,'PROJETO PERFURAÇÃO'!$B:$B,0)),"")</f>
        <v/>
      </c>
      <c r="F536" s="8" t="str">
        <f>IFERROR(INDEX('PROJETO PERFURAÇÃO'!$AN:$AN,MATCH(MEDIÇÃO!D536,'PROJETO PERFURAÇÃO'!$B:$B,0)),"")</f>
        <v/>
      </c>
      <c r="G536" s="3"/>
      <c r="H536" s="3"/>
      <c r="I536" s="3" t="str">
        <f>IFERROR(ROUND(INDEX('PROJETO PERFURAÇÃO'!$AB:$AB,MATCH(MEDIÇÃO!K536,'PROJETO PERFURAÇÃO'!$B:$B,0)),1)&amp;"''","")</f>
        <v/>
      </c>
      <c r="J536" s="3" t="str">
        <f>IFERROR(IF(INDEX('PROJETO PERFURAÇÃO'!$P:$P,MATCH(MEDIÇÃO!K536,'PROJETO PERFURAÇÃO'!$B:$B,0))="Production","P",IF(INDEX('PROJETO PERFURAÇÃO'!$P:$P,MATCH(MEDIÇÃO!K536,'PROJETO PERFURAÇÃO'!$B:$B,0))="Buffer","B",IF(INDEX('PROJETO PERFURAÇÃO'!$P:$P,MATCH(MEDIÇÃO!K536,'PROJETO PERFURAÇÃO'!$B:$B,0))="Pre-Splitting","S"))),"")</f>
        <v/>
      </c>
      <c r="K536" s="14">
        <f t="shared" si="52"/>
        <v>1201</v>
      </c>
      <c r="L536" s="4" t="str">
        <f>IFERROR(INDEX('LEV R&amp;D'!$D:$D,MATCH(MEDIÇÃO!K536,'LEV R&amp;D'!$A:$A,0))-INDEX('PROJETO PERFURAÇÃO'!$AH:$AH,MATCH(MEDIÇÃO!K536,'PROJETO PERFURAÇÃO'!$B:$B,0)),"")</f>
        <v/>
      </c>
      <c r="M536" s="8" t="str">
        <f>IFERROR(INDEX('PROJETO PERFURAÇÃO'!$AN:$AN,MATCH(MEDIÇÃO!K536,'PROJETO PERFURAÇÃO'!$B:$B,0)),"")</f>
        <v/>
      </c>
      <c r="N536" s="3"/>
      <c r="O536" s="3"/>
      <c r="P536" s="3" t="str">
        <f>IFERROR(ROUND(INDEX('PROJETO PERFURAÇÃO'!$AB:$AB,MATCH(MEDIÇÃO!R536,'PROJETO PERFURAÇÃO'!$B:$B,0)),1)&amp;"''","")</f>
        <v/>
      </c>
      <c r="Q536" s="3" t="str">
        <f>IFERROR(IF(INDEX('PROJETO PERFURAÇÃO'!$P:$P,MATCH(MEDIÇÃO!R536,'PROJETO PERFURAÇÃO'!$B:$B,0))="Production","P",IF(INDEX('PROJETO PERFURAÇÃO'!$P:$P,MATCH(MEDIÇÃO!R536,'PROJETO PERFURAÇÃO'!$B:$B,0))="Buffer","B",IF(INDEX('PROJETO PERFURAÇÃO'!$P:$P,MATCH(MEDIÇÃO!R536,'PROJETO PERFURAÇÃO'!$B:$B,0))="Pre-Splitting","S"))),"")</f>
        <v/>
      </c>
      <c r="R536" s="14">
        <f t="shared" si="53"/>
        <v>1224</v>
      </c>
      <c r="S536" s="4" t="str">
        <f>IFERROR(INDEX('LEV R&amp;D'!$D:$D,MATCH(MEDIÇÃO!R536,'LEV R&amp;D'!$A:$A,0))-INDEX('PROJETO PERFURAÇÃO'!$AH:$AH,MATCH(MEDIÇÃO!R536,'PROJETO PERFURAÇÃO'!$B:$B,0)),"")</f>
        <v/>
      </c>
      <c r="T536" s="8" t="str">
        <f>IFERROR(INDEX('PROJETO PERFURAÇÃO'!$AN:$AN,MATCH(MEDIÇÃO!R536,'PROJETO PERFURAÇÃO'!$B:$B,0)),"")</f>
        <v/>
      </c>
      <c r="U536" s="3"/>
      <c r="V536" s="3"/>
    </row>
    <row r="537" spans="1:23" ht="45" customHeight="1" x14ac:dyDescent="0.25">
      <c r="B537" s="3" t="str">
        <f>IFERROR(ROUND(INDEX('PROJETO PERFURAÇÃO'!$AB:$AB,MATCH(MEDIÇÃO!D537,'PROJETO PERFURAÇÃO'!$B:$B,0)),1)&amp;"''","")</f>
        <v/>
      </c>
      <c r="C537" s="3" t="str">
        <f>IFERROR(IF(INDEX('PROJETO PERFURAÇÃO'!$P:$P,MATCH(MEDIÇÃO!D537,'PROJETO PERFURAÇÃO'!$B:$B,0))="Production","P",IF(INDEX('PROJETO PERFURAÇÃO'!$P:$P,MATCH(MEDIÇÃO!D537,'PROJETO PERFURAÇÃO'!$B:$B,0))="Buffer","B",IF(INDEX('PROJETO PERFURAÇÃO'!$P:$P,MATCH(MEDIÇÃO!D537,'PROJETO PERFURAÇÃO'!$B:$B,0))="Pre-Splitting","S"))),"")</f>
        <v/>
      </c>
      <c r="D537" s="14">
        <f t="shared" si="51"/>
        <v>1179</v>
      </c>
      <c r="E537" s="4" t="str">
        <f>IFERROR(INDEX('LEV R&amp;D'!$D:$D,MATCH(MEDIÇÃO!D537,'LEV R&amp;D'!$A:$A,0))-INDEX('PROJETO PERFURAÇÃO'!$AH:$AH,MATCH(MEDIÇÃO!D537,'PROJETO PERFURAÇÃO'!$B:$B,0)),"")</f>
        <v/>
      </c>
      <c r="F537" s="8" t="str">
        <f>IFERROR(INDEX('PROJETO PERFURAÇÃO'!$AN:$AN,MATCH(MEDIÇÃO!D537,'PROJETO PERFURAÇÃO'!$B:$B,0)),"")</f>
        <v/>
      </c>
      <c r="G537" s="3"/>
      <c r="H537" s="3"/>
      <c r="I537" s="3" t="str">
        <f>IFERROR(ROUND(INDEX('PROJETO PERFURAÇÃO'!$AB:$AB,MATCH(MEDIÇÃO!K537,'PROJETO PERFURAÇÃO'!$B:$B,0)),1)&amp;"''","")</f>
        <v/>
      </c>
      <c r="J537" s="3" t="str">
        <f>IFERROR(IF(INDEX('PROJETO PERFURAÇÃO'!$P:$P,MATCH(MEDIÇÃO!K537,'PROJETO PERFURAÇÃO'!$B:$B,0))="Production","P",IF(INDEX('PROJETO PERFURAÇÃO'!$P:$P,MATCH(MEDIÇÃO!K537,'PROJETO PERFURAÇÃO'!$B:$B,0))="Buffer","B",IF(INDEX('PROJETO PERFURAÇÃO'!$P:$P,MATCH(MEDIÇÃO!K537,'PROJETO PERFURAÇÃO'!$B:$B,0))="Pre-Splitting","S"))),"")</f>
        <v/>
      </c>
      <c r="K537" s="14">
        <f t="shared" si="52"/>
        <v>1202</v>
      </c>
      <c r="L537" s="4" t="str">
        <f>IFERROR(INDEX('LEV R&amp;D'!$D:$D,MATCH(MEDIÇÃO!K537,'LEV R&amp;D'!$A:$A,0))-INDEX('PROJETO PERFURAÇÃO'!$AH:$AH,MATCH(MEDIÇÃO!K537,'PROJETO PERFURAÇÃO'!$B:$B,0)),"")</f>
        <v/>
      </c>
      <c r="M537" s="8" t="str">
        <f>IFERROR(INDEX('PROJETO PERFURAÇÃO'!$AN:$AN,MATCH(MEDIÇÃO!K537,'PROJETO PERFURAÇÃO'!$B:$B,0)),"")</f>
        <v/>
      </c>
      <c r="N537" s="3"/>
      <c r="O537" s="3"/>
      <c r="P537" s="3" t="str">
        <f>IFERROR(ROUND(INDEX('PROJETO PERFURAÇÃO'!$AB:$AB,MATCH(MEDIÇÃO!R537,'PROJETO PERFURAÇÃO'!$B:$B,0)),1)&amp;"''","")</f>
        <v/>
      </c>
      <c r="Q537" s="3" t="str">
        <f>IFERROR(IF(INDEX('PROJETO PERFURAÇÃO'!$P:$P,MATCH(MEDIÇÃO!R537,'PROJETO PERFURAÇÃO'!$B:$B,0))="Production","P",IF(INDEX('PROJETO PERFURAÇÃO'!$P:$P,MATCH(MEDIÇÃO!R537,'PROJETO PERFURAÇÃO'!$B:$B,0))="Buffer","B",IF(INDEX('PROJETO PERFURAÇÃO'!$P:$P,MATCH(MEDIÇÃO!R537,'PROJETO PERFURAÇÃO'!$B:$B,0))="Pre-Splitting","S"))),"")</f>
        <v/>
      </c>
      <c r="R537" s="14">
        <f t="shared" si="53"/>
        <v>1225</v>
      </c>
      <c r="S537" s="4" t="str">
        <f>IFERROR(INDEX('LEV R&amp;D'!$D:$D,MATCH(MEDIÇÃO!R537,'LEV R&amp;D'!$A:$A,0))-INDEX('PROJETO PERFURAÇÃO'!$AH:$AH,MATCH(MEDIÇÃO!R537,'PROJETO PERFURAÇÃO'!$B:$B,0)),"")</f>
        <v/>
      </c>
      <c r="T537" s="8" t="str">
        <f>IFERROR(INDEX('PROJETO PERFURAÇÃO'!$AN:$AN,MATCH(MEDIÇÃO!R537,'PROJETO PERFURAÇÃO'!$B:$B,0)),"")</f>
        <v/>
      </c>
      <c r="U537" s="3"/>
      <c r="V537" s="3"/>
    </row>
    <row r="538" spans="1:23" ht="45" customHeight="1" x14ac:dyDescent="0.25">
      <c r="B538" s="3" t="str">
        <f>IFERROR(ROUND(INDEX('PROJETO PERFURAÇÃO'!$AB:$AB,MATCH(MEDIÇÃO!D538,'PROJETO PERFURAÇÃO'!$B:$B,0)),1)&amp;"''","")</f>
        <v/>
      </c>
      <c r="C538" s="3" t="str">
        <f>IFERROR(IF(INDEX('PROJETO PERFURAÇÃO'!$P:$P,MATCH(MEDIÇÃO!D538,'PROJETO PERFURAÇÃO'!$B:$B,0))="Production","P",IF(INDEX('PROJETO PERFURAÇÃO'!$P:$P,MATCH(MEDIÇÃO!D538,'PROJETO PERFURAÇÃO'!$B:$B,0))="Buffer","B",IF(INDEX('PROJETO PERFURAÇÃO'!$P:$P,MATCH(MEDIÇÃO!D538,'PROJETO PERFURAÇÃO'!$B:$B,0))="Pre-Splitting","S"))),"")</f>
        <v/>
      </c>
      <c r="D538" s="14">
        <f t="shared" si="51"/>
        <v>1180</v>
      </c>
      <c r="E538" s="4" t="str">
        <f>IFERROR(INDEX('LEV R&amp;D'!$D:$D,MATCH(MEDIÇÃO!D538,'LEV R&amp;D'!$A:$A,0))-INDEX('PROJETO PERFURAÇÃO'!$AH:$AH,MATCH(MEDIÇÃO!D538,'PROJETO PERFURAÇÃO'!$B:$B,0)),"")</f>
        <v/>
      </c>
      <c r="F538" s="8" t="str">
        <f>IFERROR(INDEX('PROJETO PERFURAÇÃO'!$AN:$AN,MATCH(MEDIÇÃO!D538,'PROJETO PERFURAÇÃO'!$B:$B,0)),"")</f>
        <v/>
      </c>
      <c r="G538" s="3"/>
      <c r="H538" s="3"/>
      <c r="I538" s="3" t="str">
        <f>IFERROR(ROUND(INDEX('PROJETO PERFURAÇÃO'!$AB:$AB,MATCH(MEDIÇÃO!K538,'PROJETO PERFURAÇÃO'!$B:$B,0)),1)&amp;"''","")</f>
        <v/>
      </c>
      <c r="J538" s="3" t="str">
        <f>IFERROR(IF(INDEX('PROJETO PERFURAÇÃO'!$P:$P,MATCH(MEDIÇÃO!K538,'PROJETO PERFURAÇÃO'!$B:$B,0))="Production","P",IF(INDEX('PROJETO PERFURAÇÃO'!$P:$P,MATCH(MEDIÇÃO!K538,'PROJETO PERFURAÇÃO'!$B:$B,0))="Buffer","B",IF(INDEX('PROJETO PERFURAÇÃO'!$P:$P,MATCH(MEDIÇÃO!K538,'PROJETO PERFURAÇÃO'!$B:$B,0))="Pre-Splitting","S"))),"")</f>
        <v/>
      </c>
      <c r="K538" s="14">
        <f t="shared" si="52"/>
        <v>1203</v>
      </c>
      <c r="L538" s="4" t="str">
        <f>IFERROR(INDEX('LEV R&amp;D'!$D:$D,MATCH(MEDIÇÃO!K538,'LEV R&amp;D'!$A:$A,0))-INDEX('PROJETO PERFURAÇÃO'!$AH:$AH,MATCH(MEDIÇÃO!K538,'PROJETO PERFURAÇÃO'!$B:$B,0)),"")</f>
        <v/>
      </c>
      <c r="M538" s="8" t="str">
        <f>IFERROR(INDEX('PROJETO PERFURAÇÃO'!$AN:$AN,MATCH(MEDIÇÃO!K538,'PROJETO PERFURAÇÃO'!$B:$B,0)),"")</f>
        <v/>
      </c>
      <c r="N538" s="3"/>
      <c r="O538" s="3"/>
      <c r="P538" s="3" t="str">
        <f>IFERROR(ROUND(INDEX('PROJETO PERFURAÇÃO'!$AB:$AB,MATCH(MEDIÇÃO!R538,'PROJETO PERFURAÇÃO'!$B:$B,0)),1)&amp;"''","")</f>
        <v/>
      </c>
      <c r="Q538" s="3" t="str">
        <f>IFERROR(IF(INDEX('PROJETO PERFURAÇÃO'!$P:$P,MATCH(MEDIÇÃO!R538,'PROJETO PERFURAÇÃO'!$B:$B,0))="Production","P",IF(INDEX('PROJETO PERFURAÇÃO'!$P:$P,MATCH(MEDIÇÃO!R538,'PROJETO PERFURAÇÃO'!$B:$B,0))="Buffer","B",IF(INDEX('PROJETO PERFURAÇÃO'!$P:$P,MATCH(MEDIÇÃO!R538,'PROJETO PERFURAÇÃO'!$B:$B,0))="Pre-Splitting","S"))),"")</f>
        <v/>
      </c>
      <c r="R538" s="14">
        <f t="shared" si="53"/>
        <v>1226</v>
      </c>
      <c r="S538" s="4" t="str">
        <f>IFERROR(INDEX('LEV R&amp;D'!$D:$D,MATCH(MEDIÇÃO!R538,'LEV R&amp;D'!$A:$A,0))-INDEX('PROJETO PERFURAÇÃO'!$AH:$AH,MATCH(MEDIÇÃO!R538,'PROJETO PERFURAÇÃO'!$B:$B,0)),"")</f>
        <v/>
      </c>
      <c r="T538" s="8" t="str">
        <f>IFERROR(INDEX('PROJETO PERFURAÇÃO'!$AN:$AN,MATCH(MEDIÇÃO!R538,'PROJETO PERFURAÇÃO'!$B:$B,0)),"")</f>
        <v/>
      </c>
      <c r="U538" s="3"/>
      <c r="V538" s="3"/>
    </row>
    <row r="539" spans="1:23" ht="45" customHeight="1" x14ac:dyDescent="0.25">
      <c r="B539" s="3" t="str">
        <f>IFERROR(ROUND(INDEX('PROJETO PERFURAÇÃO'!$AB:$AB,MATCH(MEDIÇÃO!D539,'PROJETO PERFURAÇÃO'!$B:$B,0)),1)&amp;"''","")</f>
        <v/>
      </c>
      <c r="C539" s="3" t="str">
        <f>IFERROR(IF(INDEX('PROJETO PERFURAÇÃO'!$P:$P,MATCH(MEDIÇÃO!D539,'PROJETO PERFURAÇÃO'!$B:$B,0))="Production","P",IF(INDEX('PROJETO PERFURAÇÃO'!$P:$P,MATCH(MEDIÇÃO!D539,'PROJETO PERFURAÇÃO'!$B:$B,0))="Buffer","B",IF(INDEX('PROJETO PERFURAÇÃO'!$P:$P,MATCH(MEDIÇÃO!D539,'PROJETO PERFURAÇÃO'!$B:$B,0))="Pre-Splitting","S"))),"")</f>
        <v/>
      </c>
      <c r="D539" s="14">
        <f t="shared" si="51"/>
        <v>1181</v>
      </c>
      <c r="E539" s="4" t="str">
        <f>IFERROR(INDEX('LEV R&amp;D'!$D:$D,MATCH(MEDIÇÃO!D539,'LEV R&amp;D'!$A:$A,0))-INDEX('PROJETO PERFURAÇÃO'!$AH:$AH,MATCH(MEDIÇÃO!D539,'PROJETO PERFURAÇÃO'!$B:$B,0)),"")</f>
        <v/>
      </c>
      <c r="F539" s="8" t="str">
        <f>IFERROR(INDEX('PROJETO PERFURAÇÃO'!$AN:$AN,MATCH(MEDIÇÃO!D539,'PROJETO PERFURAÇÃO'!$B:$B,0)),"")</f>
        <v/>
      </c>
      <c r="G539" s="3"/>
      <c r="H539" s="3"/>
      <c r="I539" s="3" t="str">
        <f>IFERROR(ROUND(INDEX('PROJETO PERFURAÇÃO'!$AB:$AB,MATCH(MEDIÇÃO!K539,'PROJETO PERFURAÇÃO'!$B:$B,0)),1)&amp;"''","")</f>
        <v/>
      </c>
      <c r="J539" s="3" t="str">
        <f>IFERROR(IF(INDEX('PROJETO PERFURAÇÃO'!$P:$P,MATCH(MEDIÇÃO!K539,'PROJETO PERFURAÇÃO'!$B:$B,0))="Production","P",IF(INDEX('PROJETO PERFURAÇÃO'!$P:$P,MATCH(MEDIÇÃO!K539,'PROJETO PERFURAÇÃO'!$B:$B,0))="Buffer","B",IF(INDEX('PROJETO PERFURAÇÃO'!$P:$P,MATCH(MEDIÇÃO!K539,'PROJETO PERFURAÇÃO'!$B:$B,0))="Pre-Splitting","S"))),"")</f>
        <v/>
      </c>
      <c r="K539" s="14">
        <f t="shared" si="52"/>
        <v>1204</v>
      </c>
      <c r="L539" s="4" t="str">
        <f>IFERROR(INDEX('LEV R&amp;D'!$D:$D,MATCH(MEDIÇÃO!K539,'LEV R&amp;D'!$A:$A,0))-INDEX('PROJETO PERFURAÇÃO'!$AH:$AH,MATCH(MEDIÇÃO!K539,'PROJETO PERFURAÇÃO'!$B:$B,0)),"")</f>
        <v/>
      </c>
      <c r="M539" s="8" t="str">
        <f>IFERROR(INDEX('PROJETO PERFURAÇÃO'!$AN:$AN,MATCH(MEDIÇÃO!K539,'PROJETO PERFURAÇÃO'!$B:$B,0)),"")</f>
        <v/>
      </c>
      <c r="N539" s="3"/>
      <c r="O539" s="3"/>
      <c r="P539" s="3" t="str">
        <f>IFERROR(ROUND(INDEX('PROJETO PERFURAÇÃO'!$AB:$AB,MATCH(MEDIÇÃO!R539,'PROJETO PERFURAÇÃO'!$B:$B,0)),1)&amp;"''","")</f>
        <v/>
      </c>
      <c r="Q539" s="3" t="str">
        <f>IFERROR(IF(INDEX('PROJETO PERFURAÇÃO'!$P:$P,MATCH(MEDIÇÃO!R539,'PROJETO PERFURAÇÃO'!$B:$B,0))="Production","P",IF(INDEX('PROJETO PERFURAÇÃO'!$P:$P,MATCH(MEDIÇÃO!R539,'PROJETO PERFURAÇÃO'!$B:$B,0))="Buffer","B",IF(INDEX('PROJETO PERFURAÇÃO'!$P:$P,MATCH(MEDIÇÃO!R539,'PROJETO PERFURAÇÃO'!$B:$B,0))="Pre-Splitting","S"))),"")</f>
        <v/>
      </c>
      <c r="R539" s="14">
        <f t="shared" si="53"/>
        <v>1227</v>
      </c>
      <c r="S539" s="4" t="str">
        <f>IFERROR(INDEX('LEV R&amp;D'!$D:$D,MATCH(MEDIÇÃO!R539,'LEV R&amp;D'!$A:$A,0))-INDEX('PROJETO PERFURAÇÃO'!$AH:$AH,MATCH(MEDIÇÃO!R539,'PROJETO PERFURAÇÃO'!$B:$B,0)),"")</f>
        <v/>
      </c>
      <c r="T539" s="8" t="str">
        <f>IFERROR(INDEX('PROJETO PERFURAÇÃO'!$AN:$AN,MATCH(MEDIÇÃO!R539,'PROJETO PERFURAÇÃO'!$B:$B,0)),"")</f>
        <v/>
      </c>
      <c r="U539" s="3"/>
      <c r="V539" s="3"/>
    </row>
    <row r="540" spans="1:23" ht="45" customHeight="1" x14ac:dyDescent="0.25">
      <c r="B540" s="3" t="str">
        <f>IFERROR(ROUND(INDEX('PROJETO PERFURAÇÃO'!$AB:$AB,MATCH(MEDIÇÃO!D540,'PROJETO PERFURAÇÃO'!$B:$B,0)),1)&amp;"''","")</f>
        <v/>
      </c>
      <c r="C540" s="3" t="str">
        <f>IFERROR(IF(INDEX('PROJETO PERFURAÇÃO'!$P:$P,MATCH(MEDIÇÃO!D540,'PROJETO PERFURAÇÃO'!$B:$B,0))="Production","P",IF(INDEX('PROJETO PERFURAÇÃO'!$P:$P,MATCH(MEDIÇÃO!D540,'PROJETO PERFURAÇÃO'!$B:$B,0))="Buffer","B",IF(INDEX('PROJETO PERFURAÇÃO'!$P:$P,MATCH(MEDIÇÃO!D540,'PROJETO PERFURAÇÃO'!$B:$B,0))="Pre-Splitting","S"))),"")</f>
        <v/>
      </c>
      <c r="D540" s="14">
        <f t="shared" si="51"/>
        <v>1182</v>
      </c>
      <c r="E540" s="4" t="str">
        <f>IFERROR(INDEX('LEV R&amp;D'!$D:$D,MATCH(MEDIÇÃO!D540,'LEV R&amp;D'!$A:$A,0))-INDEX('PROJETO PERFURAÇÃO'!$AH:$AH,MATCH(MEDIÇÃO!D540,'PROJETO PERFURAÇÃO'!$B:$B,0)),"")</f>
        <v/>
      </c>
      <c r="F540" s="8" t="str">
        <f>IFERROR(INDEX('PROJETO PERFURAÇÃO'!$AN:$AN,MATCH(MEDIÇÃO!D540,'PROJETO PERFURAÇÃO'!$B:$B,0)),"")</f>
        <v/>
      </c>
      <c r="G540" s="3"/>
      <c r="H540" s="3"/>
      <c r="I540" s="3" t="str">
        <f>IFERROR(ROUND(INDEX('PROJETO PERFURAÇÃO'!$AB:$AB,MATCH(MEDIÇÃO!K540,'PROJETO PERFURAÇÃO'!$B:$B,0)),1)&amp;"''","")</f>
        <v/>
      </c>
      <c r="J540" s="3" t="str">
        <f>IFERROR(IF(INDEX('PROJETO PERFURAÇÃO'!$P:$P,MATCH(MEDIÇÃO!K540,'PROJETO PERFURAÇÃO'!$B:$B,0))="Production","P",IF(INDEX('PROJETO PERFURAÇÃO'!$P:$P,MATCH(MEDIÇÃO!K540,'PROJETO PERFURAÇÃO'!$B:$B,0))="Buffer","B",IF(INDEX('PROJETO PERFURAÇÃO'!$P:$P,MATCH(MEDIÇÃO!K540,'PROJETO PERFURAÇÃO'!$B:$B,0))="Pre-Splitting","S"))),"")</f>
        <v/>
      </c>
      <c r="K540" s="14">
        <f t="shared" si="52"/>
        <v>1205</v>
      </c>
      <c r="L540" s="4" t="str">
        <f>IFERROR(INDEX('LEV R&amp;D'!$D:$D,MATCH(MEDIÇÃO!K540,'LEV R&amp;D'!$A:$A,0))-INDEX('PROJETO PERFURAÇÃO'!$AH:$AH,MATCH(MEDIÇÃO!K540,'PROJETO PERFURAÇÃO'!$B:$B,0)),"")</f>
        <v/>
      </c>
      <c r="M540" s="8" t="str">
        <f>IFERROR(INDEX('PROJETO PERFURAÇÃO'!$AN:$AN,MATCH(MEDIÇÃO!K540,'PROJETO PERFURAÇÃO'!$B:$B,0)),"")</f>
        <v/>
      </c>
      <c r="N540" s="3"/>
      <c r="O540" s="3"/>
      <c r="P540" s="3" t="str">
        <f>IFERROR(ROUND(INDEX('PROJETO PERFURAÇÃO'!$AB:$AB,MATCH(MEDIÇÃO!R540,'PROJETO PERFURAÇÃO'!$B:$B,0)),1)&amp;"''","")</f>
        <v/>
      </c>
      <c r="Q540" s="3" t="str">
        <f>IFERROR(IF(INDEX('PROJETO PERFURAÇÃO'!$P:$P,MATCH(MEDIÇÃO!R540,'PROJETO PERFURAÇÃO'!$B:$B,0))="Production","P",IF(INDEX('PROJETO PERFURAÇÃO'!$P:$P,MATCH(MEDIÇÃO!R540,'PROJETO PERFURAÇÃO'!$B:$B,0))="Buffer","B",IF(INDEX('PROJETO PERFURAÇÃO'!$P:$P,MATCH(MEDIÇÃO!R540,'PROJETO PERFURAÇÃO'!$B:$B,0))="Pre-Splitting","S"))),"")</f>
        <v/>
      </c>
      <c r="R540" s="14">
        <f t="shared" si="53"/>
        <v>1228</v>
      </c>
      <c r="S540" s="4" t="str">
        <f>IFERROR(INDEX('LEV R&amp;D'!$D:$D,MATCH(MEDIÇÃO!R540,'LEV R&amp;D'!$A:$A,0))-INDEX('PROJETO PERFURAÇÃO'!$AH:$AH,MATCH(MEDIÇÃO!R540,'PROJETO PERFURAÇÃO'!$B:$B,0)),"")</f>
        <v/>
      </c>
      <c r="T540" s="8" t="str">
        <f>IFERROR(INDEX('PROJETO PERFURAÇÃO'!$AN:$AN,MATCH(MEDIÇÃO!R540,'PROJETO PERFURAÇÃO'!$B:$B,0)),"")</f>
        <v/>
      </c>
      <c r="U540" s="3"/>
      <c r="V540" s="3"/>
    </row>
    <row r="541" spans="1:23" ht="45" customHeight="1" x14ac:dyDescent="0.25">
      <c r="B541" s="3" t="str">
        <f>IFERROR(ROUND(INDEX('PROJETO PERFURAÇÃO'!$AB:$AB,MATCH(MEDIÇÃO!D541,'PROJETO PERFURAÇÃO'!$B:$B,0)),1)&amp;"''","")</f>
        <v/>
      </c>
      <c r="C541" s="3" t="str">
        <f>IFERROR(IF(INDEX('PROJETO PERFURAÇÃO'!$P:$P,MATCH(MEDIÇÃO!D541,'PROJETO PERFURAÇÃO'!$B:$B,0))="Production","P",IF(INDEX('PROJETO PERFURAÇÃO'!$P:$P,MATCH(MEDIÇÃO!D541,'PROJETO PERFURAÇÃO'!$B:$B,0))="Buffer","B",IF(INDEX('PROJETO PERFURAÇÃO'!$P:$P,MATCH(MEDIÇÃO!D541,'PROJETO PERFURAÇÃO'!$B:$B,0))="Pre-Splitting","S"))),"")</f>
        <v/>
      </c>
      <c r="D541" s="14">
        <f t="shared" si="51"/>
        <v>1183</v>
      </c>
      <c r="E541" s="4" t="str">
        <f>IFERROR(INDEX('LEV R&amp;D'!$D:$D,MATCH(MEDIÇÃO!D541,'LEV R&amp;D'!$A:$A,0))-INDEX('PROJETO PERFURAÇÃO'!$AH:$AH,MATCH(MEDIÇÃO!D541,'PROJETO PERFURAÇÃO'!$B:$B,0)),"")</f>
        <v/>
      </c>
      <c r="F541" s="8" t="str">
        <f>IFERROR(INDEX('PROJETO PERFURAÇÃO'!$AN:$AN,MATCH(MEDIÇÃO!D541,'PROJETO PERFURAÇÃO'!$B:$B,0)),"")</f>
        <v/>
      </c>
      <c r="G541" s="3"/>
      <c r="H541" s="3"/>
      <c r="I541" s="3" t="str">
        <f>IFERROR(ROUND(INDEX('PROJETO PERFURAÇÃO'!$AB:$AB,MATCH(MEDIÇÃO!K541,'PROJETO PERFURAÇÃO'!$B:$B,0)),1)&amp;"''","")</f>
        <v/>
      </c>
      <c r="J541" s="3" t="str">
        <f>IFERROR(IF(INDEX('PROJETO PERFURAÇÃO'!$P:$P,MATCH(MEDIÇÃO!K541,'PROJETO PERFURAÇÃO'!$B:$B,0))="Production","P",IF(INDEX('PROJETO PERFURAÇÃO'!$P:$P,MATCH(MEDIÇÃO!K541,'PROJETO PERFURAÇÃO'!$B:$B,0))="Buffer","B",IF(INDEX('PROJETO PERFURAÇÃO'!$P:$P,MATCH(MEDIÇÃO!K541,'PROJETO PERFURAÇÃO'!$B:$B,0))="Pre-Splitting","S"))),"")</f>
        <v/>
      </c>
      <c r="K541" s="14">
        <f t="shared" si="52"/>
        <v>1206</v>
      </c>
      <c r="L541" s="4" t="str">
        <f>IFERROR(INDEX('LEV R&amp;D'!$D:$D,MATCH(MEDIÇÃO!K541,'LEV R&amp;D'!$A:$A,0))-INDEX('PROJETO PERFURAÇÃO'!$AH:$AH,MATCH(MEDIÇÃO!K541,'PROJETO PERFURAÇÃO'!$B:$B,0)),"")</f>
        <v/>
      </c>
      <c r="M541" s="8" t="str">
        <f>IFERROR(INDEX('PROJETO PERFURAÇÃO'!$AN:$AN,MATCH(MEDIÇÃO!K541,'PROJETO PERFURAÇÃO'!$B:$B,0)),"")</f>
        <v/>
      </c>
      <c r="N541" s="3"/>
      <c r="O541" s="3"/>
      <c r="P541" s="3" t="str">
        <f>IFERROR(ROUND(INDEX('PROJETO PERFURAÇÃO'!$AB:$AB,MATCH(MEDIÇÃO!R541,'PROJETO PERFURAÇÃO'!$B:$B,0)),1)&amp;"''","")</f>
        <v/>
      </c>
      <c r="Q541" s="3" t="str">
        <f>IFERROR(IF(INDEX('PROJETO PERFURAÇÃO'!$P:$P,MATCH(MEDIÇÃO!R541,'PROJETO PERFURAÇÃO'!$B:$B,0))="Production","P",IF(INDEX('PROJETO PERFURAÇÃO'!$P:$P,MATCH(MEDIÇÃO!R541,'PROJETO PERFURAÇÃO'!$B:$B,0))="Buffer","B",IF(INDEX('PROJETO PERFURAÇÃO'!$P:$P,MATCH(MEDIÇÃO!R541,'PROJETO PERFURAÇÃO'!$B:$B,0))="Pre-Splitting","S"))),"")</f>
        <v/>
      </c>
      <c r="R541" s="14">
        <f t="shared" si="53"/>
        <v>1229</v>
      </c>
      <c r="S541" s="4" t="str">
        <f>IFERROR(INDEX('LEV R&amp;D'!$D:$D,MATCH(MEDIÇÃO!R541,'LEV R&amp;D'!$A:$A,0))-INDEX('PROJETO PERFURAÇÃO'!$AH:$AH,MATCH(MEDIÇÃO!R541,'PROJETO PERFURAÇÃO'!$B:$B,0)),"")</f>
        <v/>
      </c>
      <c r="T541" s="8" t="str">
        <f>IFERROR(INDEX('PROJETO PERFURAÇÃO'!$AN:$AN,MATCH(MEDIÇÃO!R541,'PROJETO PERFURAÇÃO'!$B:$B,0)),"")</f>
        <v/>
      </c>
      <c r="U541" s="3"/>
      <c r="V541" s="3"/>
    </row>
    <row r="542" spans="1:23" ht="45" customHeight="1" x14ac:dyDescent="0.25">
      <c r="B542" s="3" t="str">
        <f>IFERROR(ROUND(INDEX('PROJETO PERFURAÇÃO'!$AB:$AB,MATCH(MEDIÇÃO!D542,'PROJETO PERFURAÇÃO'!$B:$B,0)),1)&amp;"''","")</f>
        <v/>
      </c>
      <c r="C542" s="3" t="str">
        <f>IFERROR(IF(INDEX('PROJETO PERFURAÇÃO'!$P:$P,MATCH(MEDIÇÃO!D542,'PROJETO PERFURAÇÃO'!$B:$B,0))="Production","P",IF(INDEX('PROJETO PERFURAÇÃO'!$P:$P,MATCH(MEDIÇÃO!D542,'PROJETO PERFURAÇÃO'!$B:$B,0))="Buffer","B",IF(INDEX('PROJETO PERFURAÇÃO'!$P:$P,MATCH(MEDIÇÃO!D542,'PROJETO PERFURAÇÃO'!$B:$B,0))="Pre-Splitting","S"))),"")</f>
        <v/>
      </c>
      <c r="D542" s="14">
        <f t="shared" si="51"/>
        <v>1184</v>
      </c>
      <c r="E542" s="4" t="str">
        <f>IFERROR(INDEX('LEV R&amp;D'!$D:$D,MATCH(MEDIÇÃO!D542,'LEV R&amp;D'!$A:$A,0))-INDEX('PROJETO PERFURAÇÃO'!$AH:$AH,MATCH(MEDIÇÃO!D542,'PROJETO PERFURAÇÃO'!$B:$B,0)),"")</f>
        <v/>
      </c>
      <c r="F542" s="8" t="str">
        <f>IFERROR(INDEX('PROJETO PERFURAÇÃO'!$AN:$AN,MATCH(MEDIÇÃO!D542,'PROJETO PERFURAÇÃO'!$B:$B,0)),"")</f>
        <v/>
      </c>
      <c r="G542" s="3"/>
      <c r="H542" s="3"/>
      <c r="I542" s="3" t="str">
        <f>IFERROR(ROUND(INDEX('PROJETO PERFURAÇÃO'!$AB:$AB,MATCH(MEDIÇÃO!K542,'PROJETO PERFURAÇÃO'!$B:$B,0)),1)&amp;"''","")</f>
        <v/>
      </c>
      <c r="J542" s="3" t="str">
        <f>IFERROR(IF(INDEX('PROJETO PERFURAÇÃO'!$P:$P,MATCH(MEDIÇÃO!K542,'PROJETO PERFURAÇÃO'!$B:$B,0))="Production","P",IF(INDEX('PROJETO PERFURAÇÃO'!$P:$P,MATCH(MEDIÇÃO!K542,'PROJETO PERFURAÇÃO'!$B:$B,0))="Buffer","B",IF(INDEX('PROJETO PERFURAÇÃO'!$P:$P,MATCH(MEDIÇÃO!K542,'PROJETO PERFURAÇÃO'!$B:$B,0))="Pre-Splitting","S"))),"")</f>
        <v/>
      </c>
      <c r="K542" s="14">
        <f t="shared" si="52"/>
        <v>1207</v>
      </c>
      <c r="L542" s="4" t="str">
        <f>IFERROR(INDEX('LEV R&amp;D'!$D:$D,MATCH(MEDIÇÃO!K542,'LEV R&amp;D'!$A:$A,0))-INDEX('PROJETO PERFURAÇÃO'!$AH:$AH,MATCH(MEDIÇÃO!K542,'PROJETO PERFURAÇÃO'!$B:$B,0)),"")</f>
        <v/>
      </c>
      <c r="M542" s="8" t="str">
        <f>IFERROR(INDEX('PROJETO PERFURAÇÃO'!$AN:$AN,MATCH(MEDIÇÃO!K542,'PROJETO PERFURAÇÃO'!$B:$B,0)),"")</f>
        <v/>
      </c>
      <c r="N542" s="3"/>
      <c r="O542" s="3"/>
      <c r="P542" s="3" t="str">
        <f>IFERROR(ROUND(INDEX('PROJETO PERFURAÇÃO'!$AB:$AB,MATCH(MEDIÇÃO!R542,'PROJETO PERFURAÇÃO'!$B:$B,0)),1)&amp;"''","")</f>
        <v/>
      </c>
      <c r="Q542" s="3" t="str">
        <f>IFERROR(IF(INDEX('PROJETO PERFURAÇÃO'!$P:$P,MATCH(MEDIÇÃO!R542,'PROJETO PERFURAÇÃO'!$B:$B,0))="Production","P",IF(INDEX('PROJETO PERFURAÇÃO'!$P:$P,MATCH(MEDIÇÃO!R542,'PROJETO PERFURAÇÃO'!$B:$B,0))="Buffer","B",IF(INDEX('PROJETO PERFURAÇÃO'!$P:$P,MATCH(MEDIÇÃO!R542,'PROJETO PERFURAÇÃO'!$B:$B,0))="Pre-Splitting","S"))),"")</f>
        <v/>
      </c>
      <c r="R542" s="14">
        <f t="shared" si="53"/>
        <v>1230</v>
      </c>
      <c r="S542" s="4" t="str">
        <f>IFERROR(INDEX('LEV R&amp;D'!$D:$D,MATCH(MEDIÇÃO!R542,'LEV R&amp;D'!$A:$A,0))-INDEX('PROJETO PERFURAÇÃO'!$AH:$AH,MATCH(MEDIÇÃO!R542,'PROJETO PERFURAÇÃO'!$B:$B,0)),"")</f>
        <v/>
      </c>
      <c r="T542" s="8" t="str">
        <f>IFERROR(INDEX('PROJETO PERFURAÇÃO'!$AN:$AN,MATCH(MEDIÇÃO!R542,'PROJETO PERFURAÇÃO'!$B:$B,0)),"")</f>
        <v/>
      </c>
      <c r="U542" s="3"/>
      <c r="V542" s="3"/>
    </row>
    <row r="543" spans="1:23" ht="45" customHeight="1" x14ac:dyDescent="0.25">
      <c r="B543" s="3" t="str">
        <f>IFERROR(ROUND(INDEX('PROJETO PERFURAÇÃO'!$AB:$AB,MATCH(MEDIÇÃO!D543,'PROJETO PERFURAÇÃO'!$B:$B,0)),1)&amp;"''","")</f>
        <v/>
      </c>
      <c r="C543" s="3" t="str">
        <f>IFERROR(IF(INDEX('PROJETO PERFURAÇÃO'!$P:$P,MATCH(MEDIÇÃO!D543,'PROJETO PERFURAÇÃO'!$B:$B,0))="Production","P",IF(INDEX('PROJETO PERFURAÇÃO'!$P:$P,MATCH(MEDIÇÃO!D543,'PROJETO PERFURAÇÃO'!$B:$B,0))="Buffer","B",IF(INDEX('PROJETO PERFURAÇÃO'!$P:$P,MATCH(MEDIÇÃO!D543,'PROJETO PERFURAÇÃO'!$B:$B,0))="Pre-Splitting","S"))),"")</f>
        <v/>
      </c>
      <c r="D543" s="14">
        <f t="shared" si="51"/>
        <v>1185</v>
      </c>
      <c r="E543" s="4" t="str">
        <f>IFERROR(INDEX('LEV R&amp;D'!$D:$D,MATCH(MEDIÇÃO!D543,'LEV R&amp;D'!$A:$A,0))-INDEX('PROJETO PERFURAÇÃO'!$AH:$AH,MATCH(MEDIÇÃO!D543,'PROJETO PERFURAÇÃO'!$B:$B,0)),"")</f>
        <v/>
      </c>
      <c r="F543" s="8" t="str">
        <f>IFERROR(INDEX('PROJETO PERFURAÇÃO'!$AN:$AN,MATCH(MEDIÇÃO!D543,'PROJETO PERFURAÇÃO'!$B:$B,0)),"")</f>
        <v/>
      </c>
      <c r="G543" s="3"/>
      <c r="H543" s="3"/>
      <c r="I543" s="3" t="str">
        <f>IFERROR(ROUND(INDEX('PROJETO PERFURAÇÃO'!$AB:$AB,MATCH(MEDIÇÃO!K543,'PROJETO PERFURAÇÃO'!$B:$B,0)),1)&amp;"''","")</f>
        <v/>
      </c>
      <c r="J543" s="3" t="str">
        <f>IFERROR(IF(INDEX('PROJETO PERFURAÇÃO'!$P:$P,MATCH(MEDIÇÃO!K543,'PROJETO PERFURAÇÃO'!$B:$B,0))="Production","P",IF(INDEX('PROJETO PERFURAÇÃO'!$P:$P,MATCH(MEDIÇÃO!K543,'PROJETO PERFURAÇÃO'!$B:$B,0))="Buffer","B",IF(INDEX('PROJETO PERFURAÇÃO'!$P:$P,MATCH(MEDIÇÃO!K543,'PROJETO PERFURAÇÃO'!$B:$B,0))="Pre-Splitting","S"))),"")</f>
        <v/>
      </c>
      <c r="K543" s="14">
        <f t="shared" si="52"/>
        <v>1208</v>
      </c>
      <c r="L543" s="4" t="str">
        <f>IFERROR(INDEX('LEV R&amp;D'!$D:$D,MATCH(MEDIÇÃO!K543,'LEV R&amp;D'!$A:$A,0))-INDEX('PROJETO PERFURAÇÃO'!$AH:$AH,MATCH(MEDIÇÃO!K543,'PROJETO PERFURAÇÃO'!$B:$B,0)),"")</f>
        <v/>
      </c>
      <c r="M543" s="8" t="str">
        <f>IFERROR(INDEX('PROJETO PERFURAÇÃO'!$AN:$AN,MATCH(MEDIÇÃO!K543,'PROJETO PERFURAÇÃO'!$B:$B,0)),"")</f>
        <v/>
      </c>
      <c r="N543" s="3"/>
      <c r="O543" s="3"/>
      <c r="P543" s="3" t="str">
        <f>IFERROR(ROUND(INDEX('PROJETO PERFURAÇÃO'!$AB:$AB,MATCH(MEDIÇÃO!R543,'PROJETO PERFURAÇÃO'!$B:$B,0)),1)&amp;"''","")</f>
        <v/>
      </c>
      <c r="Q543" s="3" t="str">
        <f>IFERROR(IF(INDEX('PROJETO PERFURAÇÃO'!$P:$P,MATCH(MEDIÇÃO!R543,'PROJETO PERFURAÇÃO'!$B:$B,0))="Production","P",IF(INDEX('PROJETO PERFURAÇÃO'!$P:$P,MATCH(MEDIÇÃO!R543,'PROJETO PERFURAÇÃO'!$B:$B,0))="Buffer","B",IF(INDEX('PROJETO PERFURAÇÃO'!$P:$P,MATCH(MEDIÇÃO!R543,'PROJETO PERFURAÇÃO'!$B:$B,0))="Pre-Splitting","S"))),"")</f>
        <v/>
      </c>
      <c r="R543" s="14">
        <f t="shared" si="53"/>
        <v>1231</v>
      </c>
      <c r="S543" s="4" t="str">
        <f>IFERROR(INDEX('LEV R&amp;D'!$D:$D,MATCH(MEDIÇÃO!R543,'LEV R&amp;D'!$A:$A,0))-INDEX('PROJETO PERFURAÇÃO'!$AH:$AH,MATCH(MEDIÇÃO!R543,'PROJETO PERFURAÇÃO'!$B:$B,0)),"")</f>
        <v/>
      </c>
      <c r="T543" s="8" t="str">
        <f>IFERROR(INDEX('PROJETO PERFURAÇÃO'!$AN:$AN,MATCH(MEDIÇÃO!R543,'PROJETO PERFURAÇÃO'!$B:$B,0)),"")</f>
        <v/>
      </c>
      <c r="U543" s="3"/>
      <c r="V543" s="3"/>
    </row>
    <row r="544" spans="1:23" ht="45" customHeight="1" x14ac:dyDescent="0.25">
      <c r="B544" s="3" t="str">
        <f>IFERROR(ROUND(INDEX('PROJETO PERFURAÇÃO'!$AB:$AB,MATCH(MEDIÇÃO!D544,'PROJETO PERFURAÇÃO'!$B:$B,0)),1)&amp;"''","")</f>
        <v/>
      </c>
      <c r="C544" s="3" t="str">
        <f>IFERROR(IF(INDEX('PROJETO PERFURAÇÃO'!$P:$P,MATCH(MEDIÇÃO!D544,'PROJETO PERFURAÇÃO'!$B:$B,0))="Production","P",IF(INDEX('PROJETO PERFURAÇÃO'!$P:$P,MATCH(MEDIÇÃO!D544,'PROJETO PERFURAÇÃO'!$B:$B,0))="Buffer","B",IF(INDEX('PROJETO PERFURAÇÃO'!$P:$P,MATCH(MEDIÇÃO!D544,'PROJETO PERFURAÇÃO'!$B:$B,0))="Pre-Splitting","S"))),"")</f>
        <v/>
      </c>
      <c r="D544" s="14">
        <f t="shared" si="51"/>
        <v>1186</v>
      </c>
      <c r="E544" s="4" t="str">
        <f>IFERROR(INDEX('LEV R&amp;D'!$D:$D,MATCH(MEDIÇÃO!D544,'LEV R&amp;D'!$A:$A,0))-INDEX('PROJETO PERFURAÇÃO'!$AH:$AH,MATCH(MEDIÇÃO!D544,'PROJETO PERFURAÇÃO'!$B:$B,0)),"")</f>
        <v/>
      </c>
      <c r="F544" s="8" t="str">
        <f>IFERROR(INDEX('PROJETO PERFURAÇÃO'!$AN:$AN,MATCH(MEDIÇÃO!D544,'PROJETO PERFURAÇÃO'!$B:$B,0)),"")</f>
        <v/>
      </c>
      <c r="G544" s="3"/>
      <c r="H544" s="3"/>
      <c r="I544" s="3" t="str">
        <f>IFERROR(ROUND(INDEX('PROJETO PERFURAÇÃO'!$AB:$AB,MATCH(MEDIÇÃO!K544,'PROJETO PERFURAÇÃO'!$B:$B,0)),1)&amp;"''","")</f>
        <v/>
      </c>
      <c r="J544" s="3" t="str">
        <f>IFERROR(IF(INDEX('PROJETO PERFURAÇÃO'!$P:$P,MATCH(MEDIÇÃO!K544,'PROJETO PERFURAÇÃO'!$B:$B,0))="Production","P",IF(INDEX('PROJETO PERFURAÇÃO'!$P:$P,MATCH(MEDIÇÃO!K544,'PROJETO PERFURAÇÃO'!$B:$B,0))="Buffer","B",IF(INDEX('PROJETO PERFURAÇÃO'!$P:$P,MATCH(MEDIÇÃO!K544,'PROJETO PERFURAÇÃO'!$B:$B,0))="Pre-Splitting","S"))),"")</f>
        <v/>
      </c>
      <c r="K544" s="14">
        <f t="shared" si="52"/>
        <v>1209</v>
      </c>
      <c r="L544" s="4" t="str">
        <f>IFERROR(INDEX('LEV R&amp;D'!$D:$D,MATCH(MEDIÇÃO!K544,'LEV R&amp;D'!$A:$A,0))-INDEX('PROJETO PERFURAÇÃO'!$AH:$AH,MATCH(MEDIÇÃO!K544,'PROJETO PERFURAÇÃO'!$B:$B,0)),"")</f>
        <v/>
      </c>
      <c r="M544" s="8" t="str">
        <f>IFERROR(INDEX('PROJETO PERFURAÇÃO'!$AN:$AN,MATCH(MEDIÇÃO!K544,'PROJETO PERFURAÇÃO'!$B:$B,0)),"")</f>
        <v/>
      </c>
      <c r="N544" s="3"/>
      <c r="O544" s="3"/>
      <c r="P544" s="3" t="str">
        <f>IFERROR(ROUND(INDEX('PROJETO PERFURAÇÃO'!$AB:$AB,MATCH(MEDIÇÃO!R544,'PROJETO PERFURAÇÃO'!$B:$B,0)),1)&amp;"''","")</f>
        <v/>
      </c>
      <c r="Q544" s="3" t="str">
        <f>IFERROR(IF(INDEX('PROJETO PERFURAÇÃO'!$P:$P,MATCH(MEDIÇÃO!R544,'PROJETO PERFURAÇÃO'!$B:$B,0))="Production","P",IF(INDEX('PROJETO PERFURAÇÃO'!$P:$P,MATCH(MEDIÇÃO!R544,'PROJETO PERFURAÇÃO'!$B:$B,0))="Buffer","B",IF(INDEX('PROJETO PERFURAÇÃO'!$P:$P,MATCH(MEDIÇÃO!R544,'PROJETO PERFURAÇÃO'!$B:$B,0))="Pre-Splitting","S"))),"")</f>
        <v/>
      </c>
      <c r="R544" s="14">
        <f t="shared" si="53"/>
        <v>1232</v>
      </c>
      <c r="S544" s="4" t="str">
        <f>IFERROR(INDEX('LEV R&amp;D'!$D:$D,MATCH(MEDIÇÃO!R544,'LEV R&amp;D'!$A:$A,0))-INDEX('PROJETO PERFURAÇÃO'!$AH:$AH,MATCH(MEDIÇÃO!R544,'PROJETO PERFURAÇÃO'!$B:$B,0)),"")</f>
        <v/>
      </c>
      <c r="T544" s="8" t="str">
        <f>IFERROR(INDEX('PROJETO PERFURAÇÃO'!$AN:$AN,MATCH(MEDIÇÃO!R544,'PROJETO PERFURAÇÃO'!$B:$B,0)),"")</f>
        <v/>
      </c>
      <c r="U544" s="3"/>
      <c r="V544" s="3"/>
    </row>
    <row r="545" spans="2:22" ht="45" customHeight="1" x14ac:dyDescent="0.25">
      <c r="B545" s="3" t="str">
        <f>IFERROR(ROUND(INDEX('PROJETO PERFURAÇÃO'!$AB:$AB,MATCH(MEDIÇÃO!D545,'PROJETO PERFURAÇÃO'!$B:$B,0)),1)&amp;"''","")</f>
        <v/>
      </c>
      <c r="C545" s="3" t="str">
        <f>IFERROR(IF(INDEX('PROJETO PERFURAÇÃO'!$P:$P,MATCH(MEDIÇÃO!D545,'PROJETO PERFURAÇÃO'!$B:$B,0))="Production","P",IF(INDEX('PROJETO PERFURAÇÃO'!$P:$P,MATCH(MEDIÇÃO!D545,'PROJETO PERFURAÇÃO'!$B:$B,0))="Buffer","B",IF(INDEX('PROJETO PERFURAÇÃO'!$P:$P,MATCH(MEDIÇÃO!D545,'PROJETO PERFURAÇÃO'!$B:$B,0))="Pre-Splitting","S"))),"")</f>
        <v/>
      </c>
      <c r="D545" s="14">
        <f t="shared" si="51"/>
        <v>1187</v>
      </c>
      <c r="E545" s="4" t="str">
        <f>IFERROR(INDEX('LEV R&amp;D'!$D:$D,MATCH(MEDIÇÃO!D545,'LEV R&amp;D'!$A:$A,0))-INDEX('PROJETO PERFURAÇÃO'!$AH:$AH,MATCH(MEDIÇÃO!D545,'PROJETO PERFURAÇÃO'!$B:$B,0)),"")</f>
        <v/>
      </c>
      <c r="F545" s="8" t="str">
        <f>IFERROR(INDEX('PROJETO PERFURAÇÃO'!$AN:$AN,MATCH(MEDIÇÃO!D545,'PROJETO PERFURAÇÃO'!$B:$B,0)),"")</f>
        <v/>
      </c>
      <c r="G545" s="3"/>
      <c r="H545" s="3"/>
      <c r="I545" s="3" t="str">
        <f>IFERROR(ROUND(INDEX('PROJETO PERFURAÇÃO'!$AB:$AB,MATCH(MEDIÇÃO!K545,'PROJETO PERFURAÇÃO'!$B:$B,0)),1)&amp;"''","")</f>
        <v/>
      </c>
      <c r="J545" s="3" t="str">
        <f>IFERROR(IF(INDEX('PROJETO PERFURAÇÃO'!$P:$P,MATCH(MEDIÇÃO!K545,'PROJETO PERFURAÇÃO'!$B:$B,0))="Production","P",IF(INDEX('PROJETO PERFURAÇÃO'!$P:$P,MATCH(MEDIÇÃO!K545,'PROJETO PERFURAÇÃO'!$B:$B,0))="Buffer","B",IF(INDEX('PROJETO PERFURAÇÃO'!$P:$P,MATCH(MEDIÇÃO!K545,'PROJETO PERFURAÇÃO'!$B:$B,0))="Pre-Splitting","S"))),"")</f>
        <v/>
      </c>
      <c r="K545" s="14">
        <f t="shared" si="52"/>
        <v>1210</v>
      </c>
      <c r="L545" s="4" t="str">
        <f>IFERROR(INDEX('LEV R&amp;D'!$D:$D,MATCH(MEDIÇÃO!K545,'LEV R&amp;D'!$A:$A,0))-INDEX('PROJETO PERFURAÇÃO'!$AH:$AH,MATCH(MEDIÇÃO!K545,'PROJETO PERFURAÇÃO'!$B:$B,0)),"")</f>
        <v/>
      </c>
      <c r="M545" s="8" t="str">
        <f>IFERROR(INDEX('PROJETO PERFURAÇÃO'!$AN:$AN,MATCH(MEDIÇÃO!K545,'PROJETO PERFURAÇÃO'!$B:$B,0)),"")</f>
        <v/>
      </c>
      <c r="N545" s="3"/>
      <c r="O545" s="3"/>
      <c r="P545" s="3" t="str">
        <f>IFERROR(ROUND(INDEX('PROJETO PERFURAÇÃO'!$AB:$AB,MATCH(MEDIÇÃO!R545,'PROJETO PERFURAÇÃO'!$B:$B,0)),1)&amp;"''","")</f>
        <v/>
      </c>
      <c r="Q545" s="3" t="str">
        <f>IFERROR(IF(INDEX('PROJETO PERFURAÇÃO'!$P:$P,MATCH(MEDIÇÃO!R545,'PROJETO PERFURAÇÃO'!$B:$B,0))="Production","P",IF(INDEX('PROJETO PERFURAÇÃO'!$P:$P,MATCH(MEDIÇÃO!R545,'PROJETO PERFURAÇÃO'!$B:$B,0))="Buffer","B",IF(INDEX('PROJETO PERFURAÇÃO'!$P:$P,MATCH(MEDIÇÃO!R545,'PROJETO PERFURAÇÃO'!$B:$B,0))="Pre-Splitting","S"))),"")</f>
        <v/>
      </c>
      <c r="R545" s="14">
        <f t="shared" si="53"/>
        <v>1233</v>
      </c>
      <c r="S545" s="4" t="str">
        <f>IFERROR(INDEX('LEV R&amp;D'!$D:$D,MATCH(MEDIÇÃO!R545,'LEV R&amp;D'!$A:$A,0))-INDEX('PROJETO PERFURAÇÃO'!$AH:$AH,MATCH(MEDIÇÃO!R545,'PROJETO PERFURAÇÃO'!$B:$B,0)),"")</f>
        <v/>
      </c>
      <c r="T545" s="8" t="str">
        <f>IFERROR(INDEX('PROJETO PERFURAÇÃO'!$AN:$AN,MATCH(MEDIÇÃO!R545,'PROJETO PERFURAÇÃO'!$B:$B,0)),"")</f>
        <v/>
      </c>
      <c r="U545" s="3"/>
      <c r="V545" s="3"/>
    </row>
    <row r="546" spans="2:22" ht="45" customHeight="1" x14ac:dyDescent="0.25">
      <c r="B546" s="3" t="str">
        <f>IFERROR(ROUND(INDEX('PROJETO PERFURAÇÃO'!$AB:$AB,MATCH(MEDIÇÃO!D546,'PROJETO PERFURAÇÃO'!$B:$B,0)),1)&amp;"''","")</f>
        <v/>
      </c>
      <c r="C546" s="3" t="str">
        <f>IFERROR(IF(INDEX('PROJETO PERFURAÇÃO'!$P:$P,MATCH(MEDIÇÃO!D546,'PROJETO PERFURAÇÃO'!$B:$B,0))="Production","P",IF(INDEX('PROJETO PERFURAÇÃO'!$P:$P,MATCH(MEDIÇÃO!D546,'PROJETO PERFURAÇÃO'!$B:$B,0))="Buffer","B",IF(INDEX('PROJETO PERFURAÇÃO'!$P:$P,MATCH(MEDIÇÃO!D546,'PROJETO PERFURAÇÃO'!$B:$B,0))="Pre-Splitting","S"))),"")</f>
        <v/>
      </c>
      <c r="D546" s="14">
        <f t="shared" si="51"/>
        <v>1188</v>
      </c>
      <c r="E546" s="4" t="str">
        <f>IFERROR(INDEX('LEV R&amp;D'!$D:$D,MATCH(MEDIÇÃO!D546,'LEV R&amp;D'!$A:$A,0))-INDEX('PROJETO PERFURAÇÃO'!$AH:$AH,MATCH(MEDIÇÃO!D546,'PROJETO PERFURAÇÃO'!$B:$B,0)),"")</f>
        <v/>
      </c>
      <c r="F546" s="8" t="str">
        <f>IFERROR(INDEX('PROJETO PERFURAÇÃO'!$AN:$AN,MATCH(MEDIÇÃO!D546,'PROJETO PERFURAÇÃO'!$B:$B,0)),"")</f>
        <v/>
      </c>
      <c r="G546" s="3"/>
      <c r="H546" s="3"/>
      <c r="I546" s="3" t="str">
        <f>IFERROR(ROUND(INDEX('PROJETO PERFURAÇÃO'!$AB:$AB,MATCH(MEDIÇÃO!K546,'PROJETO PERFURAÇÃO'!$B:$B,0)),1)&amp;"''","")</f>
        <v/>
      </c>
      <c r="J546" s="3" t="str">
        <f>IFERROR(IF(INDEX('PROJETO PERFURAÇÃO'!$P:$P,MATCH(MEDIÇÃO!K546,'PROJETO PERFURAÇÃO'!$B:$B,0))="Production","P",IF(INDEX('PROJETO PERFURAÇÃO'!$P:$P,MATCH(MEDIÇÃO!K546,'PROJETO PERFURAÇÃO'!$B:$B,0))="Buffer","B",IF(INDEX('PROJETO PERFURAÇÃO'!$P:$P,MATCH(MEDIÇÃO!K546,'PROJETO PERFURAÇÃO'!$B:$B,0))="Pre-Splitting","S"))),"")</f>
        <v/>
      </c>
      <c r="K546" s="14">
        <f t="shared" si="52"/>
        <v>1211</v>
      </c>
      <c r="L546" s="4" t="str">
        <f>IFERROR(INDEX('LEV R&amp;D'!$D:$D,MATCH(MEDIÇÃO!K546,'LEV R&amp;D'!$A:$A,0))-INDEX('PROJETO PERFURAÇÃO'!$AH:$AH,MATCH(MEDIÇÃO!K546,'PROJETO PERFURAÇÃO'!$B:$B,0)),"")</f>
        <v/>
      </c>
      <c r="M546" s="8" t="str">
        <f>IFERROR(INDEX('PROJETO PERFURAÇÃO'!$AN:$AN,MATCH(MEDIÇÃO!K546,'PROJETO PERFURAÇÃO'!$B:$B,0)),"")</f>
        <v/>
      </c>
      <c r="N546" s="3"/>
      <c r="O546" s="3"/>
      <c r="P546" s="3" t="str">
        <f>IFERROR(ROUND(INDEX('PROJETO PERFURAÇÃO'!$AB:$AB,MATCH(MEDIÇÃO!R546,'PROJETO PERFURAÇÃO'!$B:$B,0)),1)&amp;"''","")</f>
        <v/>
      </c>
      <c r="Q546" s="3" t="str">
        <f>IFERROR(IF(INDEX('PROJETO PERFURAÇÃO'!$P:$P,MATCH(MEDIÇÃO!R546,'PROJETO PERFURAÇÃO'!$B:$B,0))="Production","P",IF(INDEX('PROJETO PERFURAÇÃO'!$P:$P,MATCH(MEDIÇÃO!R546,'PROJETO PERFURAÇÃO'!$B:$B,0))="Buffer","B",IF(INDEX('PROJETO PERFURAÇÃO'!$P:$P,MATCH(MEDIÇÃO!R546,'PROJETO PERFURAÇÃO'!$B:$B,0))="Pre-Splitting","S"))),"")</f>
        <v/>
      </c>
      <c r="R546" s="14">
        <f t="shared" si="53"/>
        <v>1234</v>
      </c>
      <c r="S546" s="4" t="str">
        <f>IFERROR(INDEX('LEV R&amp;D'!$D:$D,MATCH(MEDIÇÃO!R546,'LEV R&amp;D'!$A:$A,0))-INDEX('PROJETO PERFURAÇÃO'!$AH:$AH,MATCH(MEDIÇÃO!R546,'PROJETO PERFURAÇÃO'!$B:$B,0)),"")</f>
        <v/>
      </c>
      <c r="T546" s="8" t="str">
        <f>IFERROR(INDEX('PROJETO PERFURAÇÃO'!$AN:$AN,MATCH(MEDIÇÃO!R546,'PROJETO PERFURAÇÃO'!$B:$B,0)),"")</f>
        <v/>
      </c>
      <c r="U546" s="3"/>
      <c r="V546" s="3"/>
    </row>
    <row r="547" spans="2:22" ht="45" customHeight="1" x14ac:dyDescent="0.25">
      <c r="B547" s="3" t="str">
        <f>IFERROR(ROUND(INDEX('PROJETO PERFURAÇÃO'!$AB:$AB,MATCH(MEDIÇÃO!D547,'PROJETO PERFURAÇÃO'!$B:$B,0)),1)&amp;"''","")</f>
        <v/>
      </c>
      <c r="C547" s="3" t="str">
        <f>IFERROR(IF(INDEX('PROJETO PERFURAÇÃO'!$P:$P,MATCH(MEDIÇÃO!D547,'PROJETO PERFURAÇÃO'!$B:$B,0))="Production","P",IF(INDEX('PROJETO PERFURAÇÃO'!$P:$P,MATCH(MEDIÇÃO!D547,'PROJETO PERFURAÇÃO'!$B:$B,0))="Buffer","B",IF(INDEX('PROJETO PERFURAÇÃO'!$P:$P,MATCH(MEDIÇÃO!D547,'PROJETO PERFURAÇÃO'!$B:$B,0))="Pre-Splitting","S"))),"")</f>
        <v/>
      </c>
      <c r="D547" s="14">
        <f t="shared" si="51"/>
        <v>1189</v>
      </c>
      <c r="E547" s="4" t="str">
        <f>IFERROR(INDEX('LEV R&amp;D'!$D:$D,MATCH(MEDIÇÃO!D547,'LEV R&amp;D'!$A:$A,0))-INDEX('PROJETO PERFURAÇÃO'!$AH:$AH,MATCH(MEDIÇÃO!D547,'PROJETO PERFURAÇÃO'!$B:$B,0)),"")</f>
        <v/>
      </c>
      <c r="F547" s="8" t="str">
        <f>IFERROR(INDEX('PROJETO PERFURAÇÃO'!$AN:$AN,MATCH(MEDIÇÃO!D547,'PROJETO PERFURAÇÃO'!$B:$B,0)),"")</f>
        <v/>
      </c>
      <c r="G547" s="3"/>
      <c r="H547" s="3"/>
      <c r="I547" s="3" t="str">
        <f>IFERROR(ROUND(INDEX('PROJETO PERFURAÇÃO'!$AB:$AB,MATCH(MEDIÇÃO!K547,'PROJETO PERFURAÇÃO'!$B:$B,0)),1)&amp;"''","")</f>
        <v/>
      </c>
      <c r="J547" s="3" t="str">
        <f>IFERROR(IF(INDEX('PROJETO PERFURAÇÃO'!$P:$P,MATCH(MEDIÇÃO!K547,'PROJETO PERFURAÇÃO'!$B:$B,0))="Production","P",IF(INDEX('PROJETO PERFURAÇÃO'!$P:$P,MATCH(MEDIÇÃO!K547,'PROJETO PERFURAÇÃO'!$B:$B,0))="Buffer","B",IF(INDEX('PROJETO PERFURAÇÃO'!$P:$P,MATCH(MEDIÇÃO!K547,'PROJETO PERFURAÇÃO'!$B:$B,0))="Pre-Splitting","S"))),"")</f>
        <v/>
      </c>
      <c r="K547" s="14">
        <f t="shared" si="52"/>
        <v>1212</v>
      </c>
      <c r="L547" s="4" t="str">
        <f>IFERROR(INDEX('LEV R&amp;D'!$D:$D,MATCH(MEDIÇÃO!K547,'LEV R&amp;D'!$A:$A,0))-INDEX('PROJETO PERFURAÇÃO'!$AH:$AH,MATCH(MEDIÇÃO!K547,'PROJETO PERFURAÇÃO'!$B:$B,0)),"")</f>
        <v/>
      </c>
      <c r="M547" s="8" t="str">
        <f>IFERROR(INDEX('PROJETO PERFURAÇÃO'!$AN:$AN,MATCH(MEDIÇÃO!K547,'PROJETO PERFURAÇÃO'!$B:$B,0)),"")</f>
        <v/>
      </c>
      <c r="N547" s="3"/>
      <c r="O547" s="3"/>
      <c r="P547" s="3" t="str">
        <f>IFERROR(ROUND(INDEX('PROJETO PERFURAÇÃO'!$AB:$AB,MATCH(MEDIÇÃO!R547,'PROJETO PERFURAÇÃO'!$B:$B,0)),1)&amp;"''","")</f>
        <v/>
      </c>
      <c r="Q547" s="3" t="str">
        <f>IFERROR(IF(INDEX('PROJETO PERFURAÇÃO'!$P:$P,MATCH(MEDIÇÃO!R547,'PROJETO PERFURAÇÃO'!$B:$B,0))="Production","P",IF(INDEX('PROJETO PERFURAÇÃO'!$P:$P,MATCH(MEDIÇÃO!R547,'PROJETO PERFURAÇÃO'!$B:$B,0))="Buffer","B",IF(INDEX('PROJETO PERFURAÇÃO'!$P:$P,MATCH(MEDIÇÃO!R547,'PROJETO PERFURAÇÃO'!$B:$B,0))="Pre-Splitting","S"))),"")</f>
        <v/>
      </c>
      <c r="R547" s="14">
        <f t="shared" si="53"/>
        <v>1235</v>
      </c>
      <c r="S547" s="4" t="str">
        <f>IFERROR(INDEX('LEV R&amp;D'!$D:$D,MATCH(MEDIÇÃO!R547,'LEV R&amp;D'!$A:$A,0))-INDEX('PROJETO PERFURAÇÃO'!$AH:$AH,MATCH(MEDIÇÃO!R547,'PROJETO PERFURAÇÃO'!$B:$B,0)),"")</f>
        <v/>
      </c>
      <c r="T547" s="8" t="str">
        <f>IFERROR(INDEX('PROJETO PERFURAÇÃO'!$AN:$AN,MATCH(MEDIÇÃO!R547,'PROJETO PERFURAÇÃO'!$B:$B,0)),"")</f>
        <v/>
      </c>
      <c r="U547" s="3"/>
      <c r="V547" s="3"/>
    </row>
    <row r="548" spans="2:22" ht="45" customHeight="1" x14ac:dyDescent="0.25">
      <c r="B548" s="3" t="str">
        <f>IFERROR(ROUND(INDEX('PROJETO PERFURAÇÃO'!$AB:$AB,MATCH(MEDIÇÃO!D548,'PROJETO PERFURAÇÃO'!$B:$B,0)),1)&amp;"''","")</f>
        <v/>
      </c>
      <c r="C548" s="3" t="str">
        <f>IFERROR(IF(INDEX('PROJETO PERFURAÇÃO'!$P:$P,MATCH(MEDIÇÃO!D548,'PROJETO PERFURAÇÃO'!$B:$B,0))="Production","P",IF(INDEX('PROJETO PERFURAÇÃO'!$P:$P,MATCH(MEDIÇÃO!D548,'PROJETO PERFURAÇÃO'!$B:$B,0))="Buffer","B",IF(INDEX('PROJETO PERFURAÇÃO'!$P:$P,MATCH(MEDIÇÃO!D548,'PROJETO PERFURAÇÃO'!$B:$B,0))="Pre-Splitting","S"))),"")</f>
        <v/>
      </c>
      <c r="D548" s="14">
        <f t="shared" si="51"/>
        <v>1190</v>
      </c>
      <c r="E548" s="4" t="str">
        <f>IFERROR(INDEX('LEV R&amp;D'!$D:$D,MATCH(MEDIÇÃO!D548,'LEV R&amp;D'!$A:$A,0))-INDEX('PROJETO PERFURAÇÃO'!$AH:$AH,MATCH(MEDIÇÃO!D548,'PROJETO PERFURAÇÃO'!$B:$B,0)),"")</f>
        <v/>
      </c>
      <c r="F548" s="8" t="str">
        <f>IFERROR(INDEX('PROJETO PERFURAÇÃO'!$AN:$AN,MATCH(MEDIÇÃO!D548,'PROJETO PERFURAÇÃO'!$B:$B,0)),"")</f>
        <v/>
      </c>
      <c r="G548" s="3"/>
      <c r="H548" s="3"/>
      <c r="I548" s="3" t="str">
        <f>IFERROR(ROUND(INDEX('PROJETO PERFURAÇÃO'!$AB:$AB,MATCH(MEDIÇÃO!K548,'PROJETO PERFURAÇÃO'!$B:$B,0)),1)&amp;"''","")</f>
        <v/>
      </c>
      <c r="J548" s="3" t="str">
        <f>IFERROR(IF(INDEX('PROJETO PERFURAÇÃO'!$P:$P,MATCH(MEDIÇÃO!K548,'PROJETO PERFURAÇÃO'!$B:$B,0))="Production","P",IF(INDEX('PROJETO PERFURAÇÃO'!$P:$P,MATCH(MEDIÇÃO!K548,'PROJETO PERFURAÇÃO'!$B:$B,0))="Buffer","B",IF(INDEX('PROJETO PERFURAÇÃO'!$P:$P,MATCH(MEDIÇÃO!K548,'PROJETO PERFURAÇÃO'!$B:$B,0))="Pre-Splitting","S"))),"")</f>
        <v/>
      </c>
      <c r="K548" s="14">
        <f t="shared" si="52"/>
        <v>1213</v>
      </c>
      <c r="L548" s="4" t="str">
        <f>IFERROR(INDEX('LEV R&amp;D'!$D:$D,MATCH(MEDIÇÃO!K548,'LEV R&amp;D'!$A:$A,0))-INDEX('PROJETO PERFURAÇÃO'!$AH:$AH,MATCH(MEDIÇÃO!K548,'PROJETO PERFURAÇÃO'!$B:$B,0)),"")</f>
        <v/>
      </c>
      <c r="M548" s="8" t="str">
        <f>IFERROR(INDEX('PROJETO PERFURAÇÃO'!$AN:$AN,MATCH(MEDIÇÃO!K548,'PROJETO PERFURAÇÃO'!$B:$B,0)),"")</f>
        <v/>
      </c>
      <c r="N548" s="3"/>
      <c r="O548" s="3"/>
      <c r="P548" s="3" t="str">
        <f>IFERROR(ROUND(INDEX('PROJETO PERFURAÇÃO'!$AB:$AB,MATCH(MEDIÇÃO!R548,'PROJETO PERFURAÇÃO'!$B:$B,0)),1)&amp;"''","")</f>
        <v/>
      </c>
      <c r="Q548" s="3" t="str">
        <f>IFERROR(IF(INDEX('PROJETO PERFURAÇÃO'!$P:$P,MATCH(MEDIÇÃO!R548,'PROJETO PERFURAÇÃO'!$B:$B,0))="Production","P",IF(INDEX('PROJETO PERFURAÇÃO'!$P:$P,MATCH(MEDIÇÃO!R548,'PROJETO PERFURAÇÃO'!$B:$B,0))="Buffer","B",IF(INDEX('PROJETO PERFURAÇÃO'!$P:$P,MATCH(MEDIÇÃO!R548,'PROJETO PERFURAÇÃO'!$B:$B,0))="Pre-Splitting","S"))),"")</f>
        <v/>
      </c>
      <c r="R548" s="14">
        <f t="shared" si="53"/>
        <v>1236</v>
      </c>
      <c r="S548" s="4" t="str">
        <f>IFERROR(INDEX('LEV R&amp;D'!$D:$D,MATCH(MEDIÇÃO!R548,'LEV R&amp;D'!$A:$A,0))-INDEX('PROJETO PERFURAÇÃO'!$AH:$AH,MATCH(MEDIÇÃO!R548,'PROJETO PERFURAÇÃO'!$B:$B,0)),"")</f>
        <v/>
      </c>
      <c r="T548" s="8" t="str">
        <f>IFERROR(INDEX('PROJETO PERFURAÇÃO'!$AN:$AN,MATCH(MEDIÇÃO!R548,'PROJETO PERFURAÇÃO'!$B:$B,0)),"")</f>
        <v/>
      </c>
      <c r="U548" s="3"/>
      <c r="V548" s="3"/>
    </row>
    <row r="549" spans="2:22" ht="45" customHeight="1" x14ac:dyDescent="0.25">
      <c r="B549" s="3" t="str">
        <f>IFERROR(ROUND(INDEX('PROJETO PERFURAÇÃO'!$AB:$AB,MATCH(MEDIÇÃO!D549,'PROJETO PERFURAÇÃO'!$B:$B,0)),1)&amp;"''","")</f>
        <v/>
      </c>
      <c r="C549" s="3" t="str">
        <f>IFERROR(IF(INDEX('PROJETO PERFURAÇÃO'!$P:$P,MATCH(MEDIÇÃO!D549,'PROJETO PERFURAÇÃO'!$B:$B,0))="Production","P",IF(INDEX('PROJETO PERFURAÇÃO'!$P:$P,MATCH(MEDIÇÃO!D549,'PROJETO PERFURAÇÃO'!$B:$B,0))="Buffer","B",IF(INDEX('PROJETO PERFURAÇÃO'!$P:$P,MATCH(MEDIÇÃO!D549,'PROJETO PERFURAÇÃO'!$B:$B,0))="Pre-Splitting","S"))),"")</f>
        <v/>
      </c>
      <c r="D549" s="14">
        <f t="shared" si="51"/>
        <v>1191</v>
      </c>
      <c r="E549" s="4" t="str">
        <f>IFERROR(INDEX('LEV R&amp;D'!$D:$D,MATCH(MEDIÇÃO!D549,'LEV R&amp;D'!$A:$A,0))-INDEX('PROJETO PERFURAÇÃO'!$AH:$AH,MATCH(MEDIÇÃO!D549,'PROJETO PERFURAÇÃO'!$B:$B,0)),"")</f>
        <v/>
      </c>
      <c r="F549" s="8" t="str">
        <f>IFERROR(INDEX('PROJETO PERFURAÇÃO'!$AN:$AN,MATCH(MEDIÇÃO!D549,'PROJETO PERFURAÇÃO'!$B:$B,0)),"")</f>
        <v/>
      </c>
      <c r="G549" s="3"/>
      <c r="H549" s="3"/>
      <c r="I549" s="3" t="str">
        <f>IFERROR(ROUND(INDEX('PROJETO PERFURAÇÃO'!$AB:$AB,MATCH(MEDIÇÃO!K549,'PROJETO PERFURAÇÃO'!$B:$B,0)),1)&amp;"''","")</f>
        <v/>
      </c>
      <c r="J549" s="3" t="str">
        <f>IFERROR(IF(INDEX('PROJETO PERFURAÇÃO'!$P:$P,MATCH(MEDIÇÃO!K549,'PROJETO PERFURAÇÃO'!$B:$B,0))="Production","P",IF(INDEX('PROJETO PERFURAÇÃO'!$P:$P,MATCH(MEDIÇÃO!K549,'PROJETO PERFURAÇÃO'!$B:$B,0))="Buffer","B",IF(INDEX('PROJETO PERFURAÇÃO'!$P:$P,MATCH(MEDIÇÃO!K549,'PROJETO PERFURAÇÃO'!$B:$B,0))="Pre-Splitting","S"))),"")</f>
        <v/>
      </c>
      <c r="K549" s="14">
        <f t="shared" si="52"/>
        <v>1214</v>
      </c>
      <c r="L549" s="4" t="str">
        <f>IFERROR(INDEX('LEV R&amp;D'!$D:$D,MATCH(MEDIÇÃO!K549,'LEV R&amp;D'!$A:$A,0))-INDEX('PROJETO PERFURAÇÃO'!$AH:$AH,MATCH(MEDIÇÃO!K549,'PROJETO PERFURAÇÃO'!$B:$B,0)),"")</f>
        <v/>
      </c>
      <c r="M549" s="8" t="str">
        <f>IFERROR(INDEX('PROJETO PERFURAÇÃO'!$AN:$AN,MATCH(MEDIÇÃO!K549,'PROJETO PERFURAÇÃO'!$B:$B,0)),"")</f>
        <v/>
      </c>
      <c r="N549" s="3"/>
      <c r="O549" s="3"/>
      <c r="P549" s="3" t="str">
        <f>IFERROR(ROUND(INDEX('PROJETO PERFURAÇÃO'!$AB:$AB,MATCH(MEDIÇÃO!R549,'PROJETO PERFURAÇÃO'!$B:$B,0)),1)&amp;"''","")</f>
        <v/>
      </c>
      <c r="Q549" s="3" t="str">
        <f>IFERROR(IF(INDEX('PROJETO PERFURAÇÃO'!$P:$P,MATCH(MEDIÇÃO!R549,'PROJETO PERFURAÇÃO'!$B:$B,0))="Production","P",IF(INDEX('PROJETO PERFURAÇÃO'!$P:$P,MATCH(MEDIÇÃO!R549,'PROJETO PERFURAÇÃO'!$B:$B,0))="Buffer","B",IF(INDEX('PROJETO PERFURAÇÃO'!$P:$P,MATCH(MEDIÇÃO!R549,'PROJETO PERFURAÇÃO'!$B:$B,0))="Pre-Splitting","S"))),"")</f>
        <v/>
      </c>
      <c r="R549" s="14">
        <f t="shared" si="53"/>
        <v>1237</v>
      </c>
      <c r="S549" s="4" t="str">
        <f>IFERROR(INDEX('LEV R&amp;D'!$D:$D,MATCH(MEDIÇÃO!R549,'LEV R&amp;D'!$A:$A,0))-INDEX('PROJETO PERFURAÇÃO'!$AH:$AH,MATCH(MEDIÇÃO!R549,'PROJETO PERFURAÇÃO'!$B:$B,0)),"")</f>
        <v/>
      </c>
      <c r="T549" s="8" t="str">
        <f>IFERROR(INDEX('PROJETO PERFURAÇÃO'!$AN:$AN,MATCH(MEDIÇÃO!R549,'PROJETO PERFURAÇÃO'!$B:$B,0)),"")</f>
        <v/>
      </c>
      <c r="U549" s="3"/>
      <c r="V549" s="3"/>
    </row>
    <row r="550" spans="2:22" ht="45" customHeight="1" x14ac:dyDescent="0.25">
      <c r="B550" s="3" t="str">
        <f>IFERROR(ROUND(INDEX('PROJETO PERFURAÇÃO'!$AB:$AB,MATCH(MEDIÇÃO!D550,'PROJETO PERFURAÇÃO'!$B:$B,0)),1)&amp;"''","")</f>
        <v/>
      </c>
      <c r="C550" s="3" t="str">
        <f>IFERROR(IF(INDEX('PROJETO PERFURAÇÃO'!$P:$P,MATCH(MEDIÇÃO!D550,'PROJETO PERFURAÇÃO'!$B:$B,0))="Production","P",IF(INDEX('PROJETO PERFURAÇÃO'!$P:$P,MATCH(MEDIÇÃO!D550,'PROJETO PERFURAÇÃO'!$B:$B,0))="Buffer","B",IF(INDEX('PROJETO PERFURAÇÃO'!$P:$P,MATCH(MEDIÇÃO!D550,'PROJETO PERFURAÇÃO'!$B:$B,0))="Pre-Splitting","S"))),"")</f>
        <v/>
      </c>
      <c r="D550" s="14">
        <f t="shared" si="51"/>
        <v>1192</v>
      </c>
      <c r="E550" s="4" t="str">
        <f>IFERROR(INDEX('LEV R&amp;D'!$D:$D,MATCH(MEDIÇÃO!D550,'LEV R&amp;D'!$A:$A,0))-INDEX('PROJETO PERFURAÇÃO'!$AH:$AH,MATCH(MEDIÇÃO!D550,'PROJETO PERFURAÇÃO'!$B:$B,0)),"")</f>
        <v/>
      </c>
      <c r="F550" s="8" t="str">
        <f>IFERROR(INDEX('PROJETO PERFURAÇÃO'!$AN:$AN,MATCH(MEDIÇÃO!D550,'PROJETO PERFURAÇÃO'!$B:$B,0)),"")</f>
        <v/>
      </c>
      <c r="G550" s="3"/>
      <c r="H550" s="3"/>
      <c r="I550" s="3" t="str">
        <f>IFERROR(ROUND(INDEX('PROJETO PERFURAÇÃO'!$AB:$AB,MATCH(MEDIÇÃO!K550,'PROJETO PERFURAÇÃO'!$B:$B,0)),1)&amp;"''","")</f>
        <v/>
      </c>
      <c r="J550" s="3" t="str">
        <f>IFERROR(IF(INDEX('PROJETO PERFURAÇÃO'!$P:$P,MATCH(MEDIÇÃO!K550,'PROJETO PERFURAÇÃO'!$B:$B,0))="Production","P",IF(INDEX('PROJETO PERFURAÇÃO'!$P:$P,MATCH(MEDIÇÃO!K550,'PROJETO PERFURAÇÃO'!$B:$B,0))="Buffer","B",IF(INDEX('PROJETO PERFURAÇÃO'!$P:$P,MATCH(MEDIÇÃO!K550,'PROJETO PERFURAÇÃO'!$B:$B,0))="Pre-Splitting","S"))),"")</f>
        <v/>
      </c>
      <c r="K550" s="14">
        <f t="shared" si="52"/>
        <v>1215</v>
      </c>
      <c r="L550" s="4" t="str">
        <f>IFERROR(INDEX('LEV R&amp;D'!$D:$D,MATCH(MEDIÇÃO!K550,'LEV R&amp;D'!$A:$A,0))-INDEX('PROJETO PERFURAÇÃO'!$AH:$AH,MATCH(MEDIÇÃO!K550,'PROJETO PERFURAÇÃO'!$B:$B,0)),"")</f>
        <v/>
      </c>
      <c r="M550" s="8" t="str">
        <f>IFERROR(INDEX('PROJETO PERFURAÇÃO'!$AN:$AN,MATCH(MEDIÇÃO!K550,'PROJETO PERFURAÇÃO'!$B:$B,0)),"")</f>
        <v/>
      </c>
      <c r="N550" s="3"/>
      <c r="O550" s="3"/>
      <c r="P550" s="3" t="str">
        <f>IFERROR(ROUND(INDEX('PROJETO PERFURAÇÃO'!$AB:$AB,MATCH(MEDIÇÃO!R550,'PROJETO PERFURAÇÃO'!$B:$B,0)),1)&amp;"''","")</f>
        <v/>
      </c>
      <c r="Q550" s="3" t="str">
        <f>IFERROR(IF(INDEX('PROJETO PERFURAÇÃO'!$P:$P,MATCH(MEDIÇÃO!R550,'PROJETO PERFURAÇÃO'!$B:$B,0))="Production","P",IF(INDEX('PROJETO PERFURAÇÃO'!$P:$P,MATCH(MEDIÇÃO!R550,'PROJETO PERFURAÇÃO'!$B:$B,0))="Buffer","B",IF(INDEX('PROJETO PERFURAÇÃO'!$P:$P,MATCH(MEDIÇÃO!R550,'PROJETO PERFURAÇÃO'!$B:$B,0))="Pre-Splitting","S"))),"")</f>
        <v/>
      </c>
      <c r="R550" s="14">
        <f t="shared" si="53"/>
        <v>1238</v>
      </c>
      <c r="S550" s="4" t="str">
        <f>IFERROR(INDEX('LEV R&amp;D'!$D:$D,MATCH(MEDIÇÃO!R550,'LEV R&amp;D'!$A:$A,0))-INDEX('PROJETO PERFURAÇÃO'!$AH:$AH,MATCH(MEDIÇÃO!R550,'PROJETO PERFURAÇÃO'!$B:$B,0)),"")</f>
        <v/>
      </c>
      <c r="T550" s="8" t="str">
        <f>IFERROR(INDEX('PROJETO PERFURAÇÃO'!$AN:$AN,MATCH(MEDIÇÃO!R550,'PROJETO PERFURAÇÃO'!$B:$B,0)),"")</f>
        <v/>
      </c>
      <c r="U550" s="3"/>
      <c r="V550" s="3"/>
    </row>
    <row r="551" spans="2:22" ht="45" customHeight="1" x14ac:dyDescent="0.25">
      <c r="B551" s="3" t="str">
        <f>IFERROR(ROUND(INDEX('PROJETO PERFURAÇÃO'!$AB:$AB,MATCH(MEDIÇÃO!D551,'PROJETO PERFURAÇÃO'!$B:$B,0)),1)&amp;"''","")</f>
        <v/>
      </c>
      <c r="C551" s="3" t="str">
        <f>IFERROR(IF(INDEX('PROJETO PERFURAÇÃO'!$P:$P,MATCH(MEDIÇÃO!D551,'PROJETO PERFURAÇÃO'!$B:$B,0))="Production","P",IF(INDEX('PROJETO PERFURAÇÃO'!$P:$P,MATCH(MEDIÇÃO!D551,'PROJETO PERFURAÇÃO'!$B:$B,0))="Buffer","B",IF(INDEX('PROJETO PERFURAÇÃO'!$P:$P,MATCH(MEDIÇÃO!D551,'PROJETO PERFURAÇÃO'!$B:$B,0))="Pre-Splitting","S"))),"")</f>
        <v/>
      </c>
      <c r="D551" s="14">
        <f t="shared" si="51"/>
        <v>1193</v>
      </c>
      <c r="E551" s="4" t="str">
        <f>IFERROR(INDEX('LEV R&amp;D'!$D:$D,MATCH(MEDIÇÃO!D551,'LEV R&amp;D'!$A:$A,0))-INDEX('PROJETO PERFURAÇÃO'!$AH:$AH,MATCH(MEDIÇÃO!D551,'PROJETO PERFURAÇÃO'!$B:$B,0)),"")</f>
        <v/>
      </c>
      <c r="F551" s="8" t="str">
        <f>IFERROR(INDEX('PROJETO PERFURAÇÃO'!$AN:$AN,MATCH(MEDIÇÃO!D551,'PROJETO PERFURAÇÃO'!$B:$B,0)),"")</f>
        <v/>
      </c>
      <c r="G551" s="3"/>
      <c r="H551" s="3"/>
      <c r="I551" s="3" t="str">
        <f>IFERROR(ROUND(INDEX('PROJETO PERFURAÇÃO'!$AB:$AB,MATCH(MEDIÇÃO!K551,'PROJETO PERFURAÇÃO'!$B:$B,0)),1)&amp;"''","")</f>
        <v/>
      </c>
      <c r="J551" s="3" t="str">
        <f>IFERROR(IF(INDEX('PROJETO PERFURAÇÃO'!$P:$P,MATCH(MEDIÇÃO!K551,'PROJETO PERFURAÇÃO'!$B:$B,0))="Production","P",IF(INDEX('PROJETO PERFURAÇÃO'!$P:$P,MATCH(MEDIÇÃO!K551,'PROJETO PERFURAÇÃO'!$B:$B,0))="Buffer","B",IF(INDEX('PROJETO PERFURAÇÃO'!$P:$P,MATCH(MEDIÇÃO!K551,'PROJETO PERFURAÇÃO'!$B:$B,0))="Pre-Splitting","S"))),"")</f>
        <v/>
      </c>
      <c r="K551" s="14">
        <f t="shared" si="52"/>
        <v>1216</v>
      </c>
      <c r="L551" s="4" t="str">
        <f>IFERROR(INDEX('LEV R&amp;D'!$D:$D,MATCH(MEDIÇÃO!K551,'LEV R&amp;D'!$A:$A,0))-INDEX('PROJETO PERFURAÇÃO'!$AH:$AH,MATCH(MEDIÇÃO!K551,'PROJETO PERFURAÇÃO'!$B:$B,0)),"")</f>
        <v/>
      </c>
      <c r="M551" s="8" t="str">
        <f>IFERROR(INDEX('PROJETO PERFURAÇÃO'!$AN:$AN,MATCH(MEDIÇÃO!K551,'PROJETO PERFURAÇÃO'!$B:$B,0)),"")</f>
        <v/>
      </c>
      <c r="N551" s="3"/>
      <c r="O551" s="3"/>
      <c r="P551" s="3" t="str">
        <f>IFERROR(ROUND(INDEX('PROJETO PERFURAÇÃO'!$AB:$AB,MATCH(MEDIÇÃO!R551,'PROJETO PERFURAÇÃO'!$B:$B,0)),1)&amp;"''","")</f>
        <v/>
      </c>
      <c r="Q551" s="3" t="str">
        <f>IFERROR(IF(INDEX('PROJETO PERFURAÇÃO'!$P:$P,MATCH(MEDIÇÃO!R551,'PROJETO PERFURAÇÃO'!$B:$B,0))="Production","P",IF(INDEX('PROJETO PERFURAÇÃO'!$P:$P,MATCH(MEDIÇÃO!R551,'PROJETO PERFURAÇÃO'!$B:$B,0))="Buffer","B",IF(INDEX('PROJETO PERFURAÇÃO'!$P:$P,MATCH(MEDIÇÃO!R551,'PROJETO PERFURAÇÃO'!$B:$B,0))="Pre-Splitting","S"))),"")</f>
        <v/>
      </c>
      <c r="R551" s="14">
        <f t="shared" si="53"/>
        <v>1239</v>
      </c>
      <c r="S551" s="4" t="str">
        <f>IFERROR(INDEX('LEV R&amp;D'!$D:$D,MATCH(MEDIÇÃO!R551,'LEV R&amp;D'!$A:$A,0))-INDEX('PROJETO PERFURAÇÃO'!$AH:$AH,MATCH(MEDIÇÃO!R551,'PROJETO PERFURAÇÃO'!$B:$B,0)),"")</f>
        <v/>
      </c>
      <c r="T551" s="8" t="str">
        <f>IFERROR(INDEX('PROJETO PERFURAÇÃO'!$AN:$AN,MATCH(MEDIÇÃO!R551,'PROJETO PERFURAÇÃO'!$B:$B,0)),"")</f>
        <v/>
      </c>
      <c r="U551" s="3"/>
      <c r="V551" s="3"/>
    </row>
    <row r="552" spans="2:22" ht="45" customHeight="1" x14ac:dyDescent="0.25">
      <c r="B552" s="3" t="str">
        <f>IFERROR(ROUND(INDEX('PROJETO PERFURAÇÃO'!$AB:$AB,MATCH(MEDIÇÃO!D552,'PROJETO PERFURAÇÃO'!$B:$B,0)),1)&amp;"''","")</f>
        <v/>
      </c>
      <c r="C552" s="3" t="str">
        <f>IFERROR(IF(INDEX('PROJETO PERFURAÇÃO'!$P:$P,MATCH(MEDIÇÃO!D552,'PROJETO PERFURAÇÃO'!$B:$B,0))="Production","P",IF(INDEX('PROJETO PERFURAÇÃO'!$P:$P,MATCH(MEDIÇÃO!D552,'PROJETO PERFURAÇÃO'!$B:$B,0))="Buffer","B",IF(INDEX('PROJETO PERFURAÇÃO'!$P:$P,MATCH(MEDIÇÃO!D552,'PROJETO PERFURAÇÃO'!$B:$B,0))="Pre-Splitting","S"))),"")</f>
        <v/>
      </c>
      <c r="D552" s="14">
        <f t="shared" si="51"/>
        <v>1194</v>
      </c>
      <c r="E552" s="4" t="str">
        <f>IFERROR(INDEX('LEV R&amp;D'!$D:$D,MATCH(MEDIÇÃO!D552,'LEV R&amp;D'!$A:$A,0))-INDEX('PROJETO PERFURAÇÃO'!$AH:$AH,MATCH(MEDIÇÃO!D552,'PROJETO PERFURAÇÃO'!$B:$B,0)),"")</f>
        <v/>
      </c>
      <c r="F552" s="8" t="str">
        <f>IFERROR(INDEX('PROJETO PERFURAÇÃO'!$AN:$AN,MATCH(MEDIÇÃO!D552,'PROJETO PERFURAÇÃO'!$B:$B,0)),"")</f>
        <v/>
      </c>
      <c r="G552" s="3"/>
      <c r="H552" s="3"/>
      <c r="I552" s="3" t="str">
        <f>IFERROR(ROUND(INDEX('PROJETO PERFURAÇÃO'!$AB:$AB,MATCH(MEDIÇÃO!K552,'PROJETO PERFURAÇÃO'!$B:$B,0)),1)&amp;"''","")</f>
        <v/>
      </c>
      <c r="J552" s="3" t="str">
        <f>IFERROR(IF(INDEX('PROJETO PERFURAÇÃO'!$P:$P,MATCH(MEDIÇÃO!K552,'PROJETO PERFURAÇÃO'!$B:$B,0))="Production","P",IF(INDEX('PROJETO PERFURAÇÃO'!$P:$P,MATCH(MEDIÇÃO!K552,'PROJETO PERFURAÇÃO'!$B:$B,0))="Buffer","B",IF(INDEX('PROJETO PERFURAÇÃO'!$P:$P,MATCH(MEDIÇÃO!K552,'PROJETO PERFURAÇÃO'!$B:$B,0))="Pre-Splitting","S"))),"")</f>
        <v/>
      </c>
      <c r="K552" s="14">
        <f t="shared" si="52"/>
        <v>1217</v>
      </c>
      <c r="L552" s="4" t="str">
        <f>IFERROR(INDEX('LEV R&amp;D'!$D:$D,MATCH(MEDIÇÃO!K552,'LEV R&amp;D'!$A:$A,0))-INDEX('PROJETO PERFURAÇÃO'!$AH:$AH,MATCH(MEDIÇÃO!K552,'PROJETO PERFURAÇÃO'!$B:$B,0)),"")</f>
        <v/>
      </c>
      <c r="M552" s="8" t="str">
        <f>IFERROR(INDEX('PROJETO PERFURAÇÃO'!$AN:$AN,MATCH(MEDIÇÃO!K552,'PROJETO PERFURAÇÃO'!$B:$B,0)),"")</f>
        <v/>
      </c>
      <c r="N552" s="3"/>
      <c r="O552" s="3"/>
      <c r="P552" s="3" t="str">
        <f>IFERROR(ROUND(INDEX('PROJETO PERFURAÇÃO'!$AB:$AB,MATCH(MEDIÇÃO!R552,'PROJETO PERFURAÇÃO'!$B:$B,0)),1)&amp;"''","")</f>
        <v/>
      </c>
      <c r="Q552" s="3" t="str">
        <f>IFERROR(IF(INDEX('PROJETO PERFURAÇÃO'!$P:$P,MATCH(MEDIÇÃO!R552,'PROJETO PERFURAÇÃO'!$B:$B,0))="Production","P",IF(INDEX('PROJETO PERFURAÇÃO'!$P:$P,MATCH(MEDIÇÃO!R552,'PROJETO PERFURAÇÃO'!$B:$B,0))="Buffer","B",IF(INDEX('PROJETO PERFURAÇÃO'!$P:$P,MATCH(MEDIÇÃO!R552,'PROJETO PERFURAÇÃO'!$B:$B,0))="Pre-Splitting","S"))),"")</f>
        <v/>
      </c>
      <c r="R552" s="14">
        <f t="shared" si="53"/>
        <v>1240</v>
      </c>
      <c r="S552" s="4" t="str">
        <f>IFERROR(INDEX('LEV R&amp;D'!$D:$D,MATCH(MEDIÇÃO!R552,'LEV R&amp;D'!$A:$A,0))-INDEX('PROJETO PERFURAÇÃO'!$AH:$AH,MATCH(MEDIÇÃO!R552,'PROJETO PERFURAÇÃO'!$B:$B,0)),"")</f>
        <v/>
      </c>
      <c r="T552" s="8" t="str">
        <f>IFERROR(INDEX('PROJETO PERFURAÇÃO'!$AN:$AN,MATCH(MEDIÇÃO!R552,'PROJETO PERFURAÇÃO'!$B:$B,0)),"")</f>
        <v/>
      </c>
      <c r="U552" s="3"/>
      <c r="V552" s="3"/>
    </row>
    <row r="553" spans="2:22" ht="45" customHeight="1" x14ac:dyDescent="0.25">
      <c r="B553" s="3" t="str">
        <f>IFERROR(ROUND(INDEX('PROJETO PERFURAÇÃO'!$AB:$AB,MATCH(MEDIÇÃO!D553,'PROJETO PERFURAÇÃO'!$B:$B,0)),1)&amp;"''","")</f>
        <v/>
      </c>
      <c r="C553" s="3" t="str">
        <f>IFERROR(IF(INDEX('PROJETO PERFURAÇÃO'!$P:$P,MATCH(MEDIÇÃO!D553,'PROJETO PERFURAÇÃO'!$B:$B,0))="Production","P",IF(INDEX('PROJETO PERFURAÇÃO'!$P:$P,MATCH(MEDIÇÃO!D553,'PROJETO PERFURAÇÃO'!$B:$B,0))="Buffer","B",IF(INDEX('PROJETO PERFURAÇÃO'!$P:$P,MATCH(MEDIÇÃO!D553,'PROJETO PERFURAÇÃO'!$B:$B,0))="Pre-Splitting","S"))),"")</f>
        <v/>
      </c>
      <c r="D553" s="14">
        <f t="shared" si="51"/>
        <v>1195</v>
      </c>
      <c r="E553" s="4" t="str">
        <f>IFERROR(INDEX('LEV R&amp;D'!$D:$D,MATCH(MEDIÇÃO!D553,'LEV R&amp;D'!$A:$A,0))-INDEX('PROJETO PERFURAÇÃO'!$AH:$AH,MATCH(MEDIÇÃO!D553,'PROJETO PERFURAÇÃO'!$B:$B,0)),"")</f>
        <v/>
      </c>
      <c r="F553" s="8" t="str">
        <f>IFERROR(INDEX('PROJETO PERFURAÇÃO'!$AN:$AN,MATCH(MEDIÇÃO!D553,'PROJETO PERFURAÇÃO'!$B:$B,0)),"")</f>
        <v/>
      </c>
      <c r="G553" s="3"/>
      <c r="H553" s="3"/>
      <c r="I553" s="3" t="str">
        <f>IFERROR(ROUND(INDEX('PROJETO PERFURAÇÃO'!$AB:$AB,MATCH(MEDIÇÃO!K553,'PROJETO PERFURAÇÃO'!$B:$B,0)),1)&amp;"''","")</f>
        <v/>
      </c>
      <c r="J553" s="3" t="str">
        <f>IFERROR(IF(INDEX('PROJETO PERFURAÇÃO'!$P:$P,MATCH(MEDIÇÃO!K553,'PROJETO PERFURAÇÃO'!$B:$B,0))="Production","P",IF(INDEX('PROJETO PERFURAÇÃO'!$P:$P,MATCH(MEDIÇÃO!K553,'PROJETO PERFURAÇÃO'!$B:$B,0))="Buffer","B",IF(INDEX('PROJETO PERFURAÇÃO'!$P:$P,MATCH(MEDIÇÃO!K553,'PROJETO PERFURAÇÃO'!$B:$B,0))="Pre-Splitting","S"))),"")</f>
        <v/>
      </c>
      <c r="K553" s="14">
        <f t="shared" si="52"/>
        <v>1218</v>
      </c>
      <c r="L553" s="4" t="str">
        <f>IFERROR(INDEX('LEV R&amp;D'!$D:$D,MATCH(MEDIÇÃO!K553,'LEV R&amp;D'!$A:$A,0))-INDEX('PROJETO PERFURAÇÃO'!$AH:$AH,MATCH(MEDIÇÃO!K553,'PROJETO PERFURAÇÃO'!$B:$B,0)),"")</f>
        <v/>
      </c>
      <c r="M553" s="8" t="str">
        <f>IFERROR(INDEX('PROJETO PERFURAÇÃO'!$AN:$AN,MATCH(MEDIÇÃO!K553,'PROJETO PERFURAÇÃO'!$B:$B,0)),"")</f>
        <v/>
      </c>
      <c r="N553" s="3"/>
      <c r="O553" s="3"/>
      <c r="P553" s="3" t="str">
        <f>IFERROR(ROUND(INDEX('PROJETO PERFURAÇÃO'!$AB:$AB,MATCH(MEDIÇÃO!R553,'PROJETO PERFURAÇÃO'!$B:$B,0)),1)&amp;"''","")</f>
        <v/>
      </c>
      <c r="Q553" s="3" t="str">
        <f>IFERROR(IF(INDEX('PROJETO PERFURAÇÃO'!$P:$P,MATCH(MEDIÇÃO!R553,'PROJETO PERFURAÇÃO'!$B:$B,0))="Production","P",IF(INDEX('PROJETO PERFURAÇÃO'!$P:$P,MATCH(MEDIÇÃO!R553,'PROJETO PERFURAÇÃO'!$B:$B,0))="Buffer","B",IF(INDEX('PROJETO PERFURAÇÃO'!$P:$P,MATCH(MEDIÇÃO!R553,'PROJETO PERFURAÇÃO'!$B:$B,0))="Pre-Splitting","S"))),"")</f>
        <v/>
      </c>
      <c r="R553" s="14">
        <f t="shared" si="53"/>
        <v>1241</v>
      </c>
      <c r="S553" s="4" t="str">
        <f>IFERROR(INDEX('LEV R&amp;D'!$D:$D,MATCH(MEDIÇÃO!R553,'LEV R&amp;D'!$A:$A,0))-INDEX('PROJETO PERFURAÇÃO'!$AH:$AH,MATCH(MEDIÇÃO!R553,'PROJETO PERFURAÇÃO'!$B:$B,0)),"")</f>
        <v/>
      </c>
      <c r="T553" s="8" t="str">
        <f>IFERROR(INDEX('PROJETO PERFURAÇÃO'!$AN:$AN,MATCH(MEDIÇÃO!R553,'PROJETO PERFURAÇÃO'!$B:$B,0)),"")</f>
        <v/>
      </c>
      <c r="U553" s="3"/>
      <c r="V553" s="3"/>
    </row>
    <row r="554" spans="2:22" ht="45" customHeight="1" x14ac:dyDescent="0.25">
      <c r="B554" s="3" t="str">
        <f>IFERROR(ROUND(INDEX('PROJETO PERFURAÇÃO'!$AB:$AB,MATCH(MEDIÇÃO!D554,'PROJETO PERFURAÇÃO'!$B:$B,0)),1)&amp;"''","")</f>
        <v/>
      </c>
      <c r="C554" s="3" t="str">
        <f>IFERROR(IF(INDEX('PROJETO PERFURAÇÃO'!$P:$P,MATCH(MEDIÇÃO!D554,'PROJETO PERFURAÇÃO'!$B:$B,0))="Production","P",IF(INDEX('PROJETO PERFURAÇÃO'!$P:$P,MATCH(MEDIÇÃO!D554,'PROJETO PERFURAÇÃO'!$B:$B,0))="Buffer","B",IF(INDEX('PROJETO PERFURAÇÃO'!$P:$P,MATCH(MEDIÇÃO!D554,'PROJETO PERFURAÇÃO'!$B:$B,0))="Pre-Splitting","S"))),"")</f>
        <v/>
      </c>
      <c r="D554" s="14">
        <f t="shared" si="51"/>
        <v>1196</v>
      </c>
      <c r="E554" s="4" t="str">
        <f>IFERROR(INDEX('LEV R&amp;D'!$D:$D,MATCH(MEDIÇÃO!D554,'LEV R&amp;D'!$A:$A,0))-INDEX('PROJETO PERFURAÇÃO'!$AH:$AH,MATCH(MEDIÇÃO!D554,'PROJETO PERFURAÇÃO'!$B:$B,0)),"")</f>
        <v/>
      </c>
      <c r="F554" s="8" t="str">
        <f>IFERROR(INDEX('PROJETO PERFURAÇÃO'!$AN:$AN,MATCH(MEDIÇÃO!D554,'PROJETO PERFURAÇÃO'!$B:$B,0)),"")</f>
        <v/>
      </c>
      <c r="G554" s="3"/>
      <c r="H554" s="3"/>
      <c r="I554" s="3" t="str">
        <f>IFERROR(ROUND(INDEX('PROJETO PERFURAÇÃO'!$AB:$AB,MATCH(MEDIÇÃO!K554,'PROJETO PERFURAÇÃO'!$B:$B,0)),1)&amp;"''","")</f>
        <v/>
      </c>
      <c r="J554" s="3" t="str">
        <f>IFERROR(IF(INDEX('PROJETO PERFURAÇÃO'!$P:$P,MATCH(MEDIÇÃO!K554,'PROJETO PERFURAÇÃO'!$B:$B,0))="Production","P",IF(INDEX('PROJETO PERFURAÇÃO'!$P:$P,MATCH(MEDIÇÃO!K554,'PROJETO PERFURAÇÃO'!$B:$B,0))="Buffer","B",IF(INDEX('PROJETO PERFURAÇÃO'!$P:$P,MATCH(MEDIÇÃO!K554,'PROJETO PERFURAÇÃO'!$B:$B,0))="Pre-Splitting","S"))),"")</f>
        <v/>
      </c>
      <c r="K554" s="14">
        <f>K553+1</f>
        <v>1219</v>
      </c>
      <c r="L554" s="4" t="str">
        <f>IFERROR(INDEX('LEV R&amp;D'!$D:$D,MATCH(MEDIÇÃO!K554,'LEV R&amp;D'!$A:$A,0))-INDEX('PROJETO PERFURAÇÃO'!$AH:$AH,MATCH(MEDIÇÃO!K554,'PROJETO PERFURAÇÃO'!$B:$B,0)),"")</f>
        <v/>
      </c>
      <c r="M554" s="8" t="str">
        <f>IFERROR(INDEX('PROJETO PERFURAÇÃO'!$AN:$AN,MATCH(MEDIÇÃO!K554,'PROJETO PERFURAÇÃO'!$B:$B,0)),"")</f>
        <v/>
      </c>
      <c r="N554" s="3"/>
      <c r="O554" s="3"/>
      <c r="P554" s="3" t="str">
        <f>IFERROR(ROUND(INDEX('PROJETO PERFURAÇÃO'!$AB:$AB,MATCH(MEDIÇÃO!R554,'PROJETO PERFURAÇÃO'!$B:$B,0)),1)&amp;"''","")</f>
        <v/>
      </c>
      <c r="Q554" s="3" t="str">
        <f>IFERROR(IF(INDEX('PROJETO PERFURAÇÃO'!$P:$P,MATCH(MEDIÇÃO!R554,'PROJETO PERFURAÇÃO'!$B:$B,0))="Production","P",IF(INDEX('PROJETO PERFURAÇÃO'!$P:$P,MATCH(MEDIÇÃO!R554,'PROJETO PERFURAÇÃO'!$B:$B,0))="Buffer","B",IF(INDEX('PROJETO PERFURAÇÃO'!$P:$P,MATCH(MEDIÇÃO!R554,'PROJETO PERFURAÇÃO'!$B:$B,0))="Pre-Splitting","S"))),"")</f>
        <v/>
      </c>
      <c r="R554" s="14">
        <f>R553+1</f>
        <v>1242</v>
      </c>
      <c r="S554" s="4" t="str">
        <f>IFERROR(INDEX('LEV R&amp;D'!$D:$D,MATCH(MEDIÇÃO!R554,'LEV R&amp;D'!$A:$A,0))-INDEX('PROJETO PERFURAÇÃO'!$AH:$AH,MATCH(MEDIÇÃO!R554,'PROJETO PERFURAÇÃO'!$B:$B,0)),"")</f>
        <v/>
      </c>
      <c r="T554" s="8" t="str">
        <f>IFERROR(INDEX('PROJETO PERFURAÇÃO'!$AN:$AN,MATCH(MEDIÇÃO!R554,'PROJETO PERFURAÇÃO'!$B:$B,0)),"")</f>
        <v/>
      </c>
      <c r="U554" s="3"/>
      <c r="V554" s="3"/>
    </row>
    <row r="555" spans="2:22" ht="30" customHeight="1" x14ac:dyDescent="0.25">
      <c r="B555" s="1"/>
      <c r="C555" s="1"/>
      <c r="D555" s="15"/>
      <c r="E555" s="2"/>
      <c r="F555" s="16"/>
      <c r="G555" s="1"/>
      <c r="H555" s="1"/>
      <c r="I555" s="1"/>
      <c r="J555" s="1"/>
      <c r="K555" s="15"/>
      <c r="L555" s="2"/>
      <c r="M555" s="16"/>
      <c r="N555" s="1"/>
      <c r="O555" s="1"/>
      <c r="P555" s="1"/>
      <c r="Q555" s="1"/>
      <c r="R555" s="15"/>
      <c r="S555" s="2"/>
      <c r="T555" s="16"/>
      <c r="U555" s="1"/>
      <c r="V555" s="1"/>
    </row>
    <row r="556" spans="2:22" ht="30" customHeight="1" x14ac:dyDescent="0.25">
      <c r="C556" s="20"/>
      <c r="D556" s="20"/>
      <c r="E556" s="20"/>
      <c r="F556" s="20"/>
      <c r="G556" s="20"/>
      <c r="H556" s="20"/>
      <c r="I556" s="20"/>
      <c r="J556" s="20"/>
      <c r="K556" s="20"/>
      <c r="M556" s="20"/>
      <c r="N556" s="20"/>
      <c r="O556" s="20"/>
      <c r="P556" s="20"/>
      <c r="Q556" s="20"/>
      <c r="R556" s="20"/>
      <c r="S556" s="20"/>
      <c r="T556" s="20"/>
      <c r="U556" s="20"/>
    </row>
    <row r="557" spans="2:22" ht="30" customHeight="1" x14ac:dyDescent="0.25">
      <c r="C557" s="21" t="s">
        <v>40</v>
      </c>
      <c r="D557" s="21"/>
      <c r="E557" s="21"/>
      <c r="F557" s="21"/>
      <c r="G557" s="21"/>
      <c r="H557" s="21"/>
      <c r="I557" s="21"/>
      <c r="J557" s="21"/>
      <c r="K557" s="21"/>
      <c r="L557" s="9"/>
      <c r="M557" s="21" t="s">
        <v>40</v>
      </c>
      <c r="N557" s="21"/>
      <c r="O557" s="21"/>
      <c r="P557" s="21"/>
      <c r="Q557" s="21"/>
      <c r="R557" s="21"/>
      <c r="S557" s="21"/>
      <c r="T557" s="21"/>
      <c r="U557" s="21"/>
      <c r="V557" s="9"/>
    </row>
    <row r="558" spans="2:22" ht="30" customHeight="1" x14ac:dyDescent="0.25">
      <c r="D558" s="9"/>
      <c r="E558" s="9"/>
      <c r="F558" s="9"/>
      <c r="G558" s="9"/>
      <c r="H558" s="9"/>
      <c r="I558" s="9"/>
      <c r="J558" s="9"/>
      <c r="K558" s="9"/>
      <c r="L558" s="9"/>
      <c r="M558" s="9"/>
      <c r="N558" s="9"/>
      <c r="Q558" s="9"/>
      <c r="R558" s="9"/>
      <c r="S558" s="9"/>
      <c r="T558" s="9"/>
      <c r="U558" s="9"/>
      <c r="V558" s="9"/>
    </row>
    <row r="559" spans="2:22" ht="30" customHeight="1" x14ac:dyDescent="0.25">
      <c r="B559" s="19" t="str">
        <f>'PROJETO PERFURAÇÃO'!$C$2&amp;" - "&amp;'PROJETO PERFURAÇÃO'!$H$2</f>
        <v>LIB065 - PP0651026</v>
      </c>
      <c r="C559" s="19"/>
      <c r="D559" s="19"/>
      <c r="E559" s="19"/>
      <c r="F559" s="19"/>
      <c r="G559" s="19"/>
      <c r="H559" s="19"/>
      <c r="I559" s="11" t="s">
        <v>34</v>
      </c>
      <c r="J559" s="10" t="s">
        <v>37</v>
      </c>
    </row>
    <row r="560" spans="2:22" ht="30" customHeight="1" x14ac:dyDescent="0.25">
      <c r="B560" s="19"/>
      <c r="C560" s="19"/>
      <c r="D560" s="19"/>
      <c r="E560" s="19"/>
      <c r="F560" s="19"/>
      <c r="G560" s="19"/>
      <c r="H560" s="19"/>
      <c r="I560" s="12" t="s">
        <v>35</v>
      </c>
      <c r="J560" s="10" t="s">
        <v>38</v>
      </c>
      <c r="K560" s="9"/>
      <c r="L560" s="9"/>
      <c r="M560" s="9"/>
      <c r="N560" s="9"/>
      <c r="O560" s="9"/>
      <c r="P560" s="9"/>
      <c r="Q560" s="9"/>
      <c r="R560" s="9"/>
      <c r="S560" s="9"/>
      <c r="T560" s="9"/>
      <c r="U560" s="9"/>
      <c r="V560" s="9"/>
    </row>
    <row r="561" spans="1:23" ht="30" customHeight="1" x14ac:dyDescent="0.25">
      <c r="B561" s="19"/>
      <c r="C561" s="19"/>
      <c r="D561" s="19"/>
      <c r="E561" s="19"/>
      <c r="F561" s="19"/>
      <c r="G561" s="19"/>
      <c r="H561" s="19"/>
      <c r="I561" s="13" t="s">
        <v>36</v>
      </c>
      <c r="J561" s="10" t="s">
        <v>39</v>
      </c>
    </row>
    <row r="562" spans="1:23" ht="30" customHeight="1" x14ac:dyDescent="0.25">
      <c r="A562" s="1"/>
      <c r="B562" s="6" t="s">
        <v>33</v>
      </c>
      <c r="C562" s="6" t="s">
        <v>13</v>
      </c>
      <c r="D562" s="7" t="s">
        <v>1</v>
      </c>
      <c r="E562" s="7" t="s">
        <v>29</v>
      </c>
      <c r="F562" s="7" t="s">
        <v>30</v>
      </c>
      <c r="G562" s="7" t="s">
        <v>31</v>
      </c>
      <c r="H562" s="7" t="s">
        <v>32</v>
      </c>
      <c r="I562" s="6" t="s">
        <v>33</v>
      </c>
      <c r="J562" s="6" t="s">
        <v>13</v>
      </c>
      <c r="K562" s="7" t="s">
        <v>1</v>
      </c>
      <c r="L562" s="7" t="s">
        <v>29</v>
      </c>
      <c r="M562" s="7" t="s">
        <v>30</v>
      </c>
      <c r="N562" s="7" t="s">
        <v>31</v>
      </c>
      <c r="O562" s="7" t="s">
        <v>32</v>
      </c>
      <c r="P562" s="6" t="s">
        <v>33</v>
      </c>
      <c r="Q562" s="6" t="s">
        <v>13</v>
      </c>
      <c r="R562" s="7" t="s">
        <v>1</v>
      </c>
      <c r="S562" s="7" t="s">
        <v>29</v>
      </c>
      <c r="T562" s="7" t="s">
        <v>30</v>
      </c>
      <c r="U562" s="7" t="s">
        <v>31</v>
      </c>
      <c r="V562" s="7" t="s">
        <v>32</v>
      </c>
      <c r="W562" s="1"/>
    </row>
    <row r="563" spans="1:23" ht="45" customHeight="1" x14ac:dyDescent="0.25">
      <c r="B563" s="3" t="str">
        <f>IFERROR(ROUND(INDEX('PROJETO PERFURAÇÃO'!$AB:$AB,MATCH(MEDIÇÃO!D563,'PROJETO PERFURAÇÃO'!$B:$B,0)),1)&amp;"''","")</f>
        <v/>
      </c>
      <c r="C563" s="3" t="str">
        <f>IFERROR(IF(INDEX('PROJETO PERFURAÇÃO'!$P:$P,MATCH(MEDIÇÃO!D563,'PROJETO PERFURAÇÃO'!$B:$B,0))="Production","P",IF(INDEX('PROJETO PERFURAÇÃO'!$P:$P,MATCH(MEDIÇÃO!D563,'PROJETO PERFURAÇÃO'!$B:$B,0))="Buffer","B",IF(INDEX('PROJETO PERFURAÇÃO'!$P:$P,MATCH(MEDIÇÃO!D563,'PROJETO PERFURAÇÃO'!$B:$B,0))="Pre-Splitting","S"))),"")</f>
        <v/>
      </c>
      <c r="D563" s="14">
        <f>R554+1</f>
        <v>1243</v>
      </c>
      <c r="E563" s="4" t="str">
        <f>IFERROR(INDEX('LEV R&amp;D'!$D:$D,MATCH(MEDIÇÃO!D563,'LEV R&amp;D'!$A:$A,0))-INDEX('PROJETO PERFURAÇÃO'!$AH:$AH,MATCH(MEDIÇÃO!D563,'PROJETO PERFURAÇÃO'!$B:$B,0)),"")</f>
        <v/>
      </c>
      <c r="F563" s="8" t="str">
        <f>IFERROR(INDEX('PROJETO PERFURAÇÃO'!$AN:$AN,MATCH(MEDIÇÃO!D563,'PROJETO PERFURAÇÃO'!$B:$B,0)),"")</f>
        <v/>
      </c>
      <c r="G563" s="3"/>
      <c r="H563" s="3"/>
      <c r="I563" s="3" t="str">
        <f>IFERROR(ROUND(INDEX('PROJETO PERFURAÇÃO'!$AB:$AB,MATCH(MEDIÇÃO!K563,'PROJETO PERFURAÇÃO'!$B:$B,0)),1)&amp;"''","")</f>
        <v/>
      </c>
      <c r="J563" s="3" t="str">
        <f>IFERROR(IF(INDEX('PROJETO PERFURAÇÃO'!$P:$P,MATCH(MEDIÇÃO!K563,'PROJETO PERFURAÇÃO'!$B:$B,0))="Production","P",IF(INDEX('PROJETO PERFURAÇÃO'!$P:$P,MATCH(MEDIÇÃO!K563,'PROJETO PERFURAÇÃO'!$B:$B,0))="Buffer","B",IF(INDEX('PROJETO PERFURAÇÃO'!$P:$P,MATCH(MEDIÇÃO!K563,'PROJETO PERFURAÇÃO'!$B:$B,0))="Pre-Splitting","S"))),"")</f>
        <v/>
      </c>
      <c r="K563" s="14">
        <f>D585+1</f>
        <v>1266</v>
      </c>
      <c r="L563" s="4" t="str">
        <f>IFERROR(INDEX('LEV R&amp;D'!$D:$D,MATCH(MEDIÇÃO!K563,'LEV R&amp;D'!$A:$A,0))-INDEX('PROJETO PERFURAÇÃO'!$AH:$AH,MATCH(MEDIÇÃO!K563,'PROJETO PERFURAÇÃO'!$B:$B,0)),"")</f>
        <v/>
      </c>
      <c r="M563" s="8" t="str">
        <f>IFERROR(INDEX('PROJETO PERFURAÇÃO'!$AN:$AN,MATCH(MEDIÇÃO!K563,'PROJETO PERFURAÇÃO'!$B:$B,0)),"")</f>
        <v/>
      </c>
      <c r="N563" s="3"/>
      <c r="O563" s="3"/>
      <c r="P563" s="3" t="str">
        <f>IFERROR(ROUND(INDEX('PROJETO PERFURAÇÃO'!$AB:$AB,MATCH(MEDIÇÃO!R563,'PROJETO PERFURAÇÃO'!$B:$B,0)),1)&amp;"''","")</f>
        <v/>
      </c>
      <c r="Q563" s="3" t="str">
        <f>IFERROR(IF(INDEX('PROJETO PERFURAÇÃO'!$P:$P,MATCH(MEDIÇÃO!R563,'PROJETO PERFURAÇÃO'!$B:$B,0))="Production","P",IF(INDEX('PROJETO PERFURAÇÃO'!$P:$P,MATCH(MEDIÇÃO!R563,'PROJETO PERFURAÇÃO'!$B:$B,0))="Buffer","B",IF(INDEX('PROJETO PERFURAÇÃO'!$P:$P,MATCH(MEDIÇÃO!R563,'PROJETO PERFURAÇÃO'!$B:$B,0))="Pre-Splitting","S"))),"")</f>
        <v/>
      </c>
      <c r="R563" s="14">
        <f>K585+1</f>
        <v>1289</v>
      </c>
      <c r="S563" s="4" t="str">
        <f>IFERROR(INDEX('LEV R&amp;D'!$D:$D,MATCH(MEDIÇÃO!R563,'LEV R&amp;D'!$A:$A,0))-INDEX('PROJETO PERFURAÇÃO'!$AH:$AH,MATCH(MEDIÇÃO!R563,'PROJETO PERFURAÇÃO'!$B:$B,0)),"")</f>
        <v/>
      </c>
      <c r="T563" s="8" t="str">
        <f>IFERROR(INDEX('PROJETO PERFURAÇÃO'!$AN:$AN,MATCH(MEDIÇÃO!R563,'PROJETO PERFURAÇÃO'!$B:$B,0)),"")</f>
        <v/>
      </c>
      <c r="U563" s="3"/>
      <c r="V563" s="3"/>
    </row>
    <row r="564" spans="1:23" ht="45" customHeight="1" x14ac:dyDescent="0.25">
      <c r="B564" s="3" t="str">
        <f>IFERROR(ROUND(INDEX('PROJETO PERFURAÇÃO'!$AB:$AB,MATCH(MEDIÇÃO!D564,'PROJETO PERFURAÇÃO'!$B:$B,0)),1)&amp;"''","")</f>
        <v/>
      </c>
      <c r="C564" s="3" t="str">
        <f>IFERROR(IF(INDEX('PROJETO PERFURAÇÃO'!$P:$P,MATCH(MEDIÇÃO!D564,'PROJETO PERFURAÇÃO'!$B:$B,0))="Production","P",IF(INDEX('PROJETO PERFURAÇÃO'!$P:$P,MATCH(MEDIÇÃO!D564,'PROJETO PERFURAÇÃO'!$B:$B,0))="Buffer","B",IF(INDEX('PROJETO PERFURAÇÃO'!$P:$P,MATCH(MEDIÇÃO!D564,'PROJETO PERFURAÇÃO'!$B:$B,0))="Pre-Splitting","S"))),"")</f>
        <v/>
      </c>
      <c r="D564" s="14">
        <f>D563+1</f>
        <v>1244</v>
      </c>
      <c r="E564" s="4" t="str">
        <f>IFERROR(INDEX('LEV R&amp;D'!$D:$D,MATCH(MEDIÇÃO!D564,'LEV R&amp;D'!$A:$A,0))-INDEX('PROJETO PERFURAÇÃO'!$AH:$AH,MATCH(MEDIÇÃO!D564,'PROJETO PERFURAÇÃO'!$B:$B,0)),"")</f>
        <v/>
      </c>
      <c r="F564" s="8" t="str">
        <f>IFERROR(INDEX('PROJETO PERFURAÇÃO'!$AN:$AN,MATCH(MEDIÇÃO!D564,'PROJETO PERFURAÇÃO'!$B:$B,0)),"")</f>
        <v/>
      </c>
      <c r="G564" s="3"/>
      <c r="H564" s="3"/>
      <c r="I564" s="3" t="str">
        <f>IFERROR(ROUND(INDEX('PROJETO PERFURAÇÃO'!$AB:$AB,MATCH(MEDIÇÃO!K564,'PROJETO PERFURAÇÃO'!$B:$B,0)),1)&amp;"''","")</f>
        <v/>
      </c>
      <c r="J564" s="3" t="str">
        <f>IFERROR(IF(INDEX('PROJETO PERFURAÇÃO'!$P:$P,MATCH(MEDIÇÃO!K564,'PROJETO PERFURAÇÃO'!$B:$B,0))="Production","P",IF(INDEX('PROJETO PERFURAÇÃO'!$P:$P,MATCH(MEDIÇÃO!K564,'PROJETO PERFURAÇÃO'!$B:$B,0))="Buffer","B",IF(INDEX('PROJETO PERFURAÇÃO'!$P:$P,MATCH(MEDIÇÃO!K564,'PROJETO PERFURAÇÃO'!$B:$B,0))="Pre-Splitting","S"))),"")</f>
        <v/>
      </c>
      <c r="K564" s="14">
        <f>K563+1</f>
        <v>1267</v>
      </c>
      <c r="L564" s="4" t="str">
        <f>IFERROR(INDEX('LEV R&amp;D'!$D:$D,MATCH(MEDIÇÃO!K564,'LEV R&amp;D'!$A:$A,0))-INDEX('PROJETO PERFURAÇÃO'!$AH:$AH,MATCH(MEDIÇÃO!K564,'PROJETO PERFURAÇÃO'!$B:$B,0)),"")</f>
        <v/>
      </c>
      <c r="M564" s="8" t="str">
        <f>IFERROR(INDEX('PROJETO PERFURAÇÃO'!$AN:$AN,MATCH(MEDIÇÃO!K564,'PROJETO PERFURAÇÃO'!$B:$B,0)),"")</f>
        <v/>
      </c>
      <c r="N564" s="3"/>
      <c r="O564" s="3"/>
      <c r="P564" s="3" t="str">
        <f>IFERROR(ROUND(INDEX('PROJETO PERFURAÇÃO'!$AB:$AB,MATCH(MEDIÇÃO!R564,'PROJETO PERFURAÇÃO'!$B:$B,0)),1)&amp;"''","")</f>
        <v/>
      </c>
      <c r="Q564" s="3" t="str">
        <f>IFERROR(IF(INDEX('PROJETO PERFURAÇÃO'!$P:$P,MATCH(MEDIÇÃO!R564,'PROJETO PERFURAÇÃO'!$B:$B,0))="Production","P",IF(INDEX('PROJETO PERFURAÇÃO'!$P:$P,MATCH(MEDIÇÃO!R564,'PROJETO PERFURAÇÃO'!$B:$B,0))="Buffer","B",IF(INDEX('PROJETO PERFURAÇÃO'!$P:$P,MATCH(MEDIÇÃO!R564,'PROJETO PERFURAÇÃO'!$B:$B,0))="Pre-Splitting","S"))),"")</f>
        <v/>
      </c>
      <c r="R564" s="14">
        <f>R563+1</f>
        <v>1290</v>
      </c>
      <c r="S564" s="4" t="str">
        <f>IFERROR(INDEX('LEV R&amp;D'!$D:$D,MATCH(MEDIÇÃO!R564,'LEV R&amp;D'!$A:$A,0))-INDEX('PROJETO PERFURAÇÃO'!$AH:$AH,MATCH(MEDIÇÃO!R564,'PROJETO PERFURAÇÃO'!$B:$B,0)),"")</f>
        <v/>
      </c>
      <c r="T564" s="8" t="str">
        <f>IFERROR(INDEX('PROJETO PERFURAÇÃO'!$AN:$AN,MATCH(MEDIÇÃO!R564,'PROJETO PERFURAÇÃO'!$B:$B,0)),"")</f>
        <v/>
      </c>
      <c r="U564" s="3"/>
      <c r="V564" s="3"/>
    </row>
    <row r="565" spans="1:23" ht="45" customHeight="1" x14ac:dyDescent="0.25">
      <c r="B565" s="3" t="str">
        <f>IFERROR(ROUND(INDEX('PROJETO PERFURAÇÃO'!$AB:$AB,MATCH(MEDIÇÃO!D565,'PROJETO PERFURAÇÃO'!$B:$B,0)),1)&amp;"''","")</f>
        <v/>
      </c>
      <c r="C565" s="3" t="str">
        <f>IFERROR(IF(INDEX('PROJETO PERFURAÇÃO'!$P:$P,MATCH(MEDIÇÃO!D565,'PROJETO PERFURAÇÃO'!$B:$B,0))="Production","P",IF(INDEX('PROJETO PERFURAÇÃO'!$P:$P,MATCH(MEDIÇÃO!D565,'PROJETO PERFURAÇÃO'!$B:$B,0))="Buffer","B",IF(INDEX('PROJETO PERFURAÇÃO'!$P:$P,MATCH(MEDIÇÃO!D565,'PROJETO PERFURAÇÃO'!$B:$B,0))="Pre-Splitting","S"))),"")</f>
        <v/>
      </c>
      <c r="D565" s="14">
        <f t="shared" ref="D565:D585" si="54">D564+1</f>
        <v>1245</v>
      </c>
      <c r="E565" s="4" t="str">
        <f>IFERROR(INDEX('LEV R&amp;D'!$D:$D,MATCH(MEDIÇÃO!D565,'LEV R&amp;D'!$A:$A,0))-INDEX('PROJETO PERFURAÇÃO'!$AH:$AH,MATCH(MEDIÇÃO!D565,'PROJETO PERFURAÇÃO'!$B:$B,0)),"")</f>
        <v/>
      </c>
      <c r="F565" s="8" t="str">
        <f>IFERROR(INDEX('PROJETO PERFURAÇÃO'!$AN:$AN,MATCH(MEDIÇÃO!D565,'PROJETO PERFURAÇÃO'!$B:$B,0)),"")</f>
        <v/>
      </c>
      <c r="G565" s="3"/>
      <c r="H565" s="3"/>
      <c r="I565" s="3" t="str">
        <f>IFERROR(ROUND(INDEX('PROJETO PERFURAÇÃO'!$AB:$AB,MATCH(MEDIÇÃO!K565,'PROJETO PERFURAÇÃO'!$B:$B,0)),1)&amp;"''","")</f>
        <v/>
      </c>
      <c r="J565" s="3" t="str">
        <f>IFERROR(IF(INDEX('PROJETO PERFURAÇÃO'!$P:$P,MATCH(MEDIÇÃO!K565,'PROJETO PERFURAÇÃO'!$B:$B,0))="Production","P",IF(INDEX('PROJETO PERFURAÇÃO'!$P:$P,MATCH(MEDIÇÃO!K565,'PROJETO PERFURAÇÃO'!$B:$B,0))="Buffer","B",IF(INDEX('PROJETO PERFURAÇÃO'!$P:$P,MATCH(MEDIÇÃO!K565,'PROJETO PERFURAÇÃO'!$B:$B,0))="Pre-Splitting","S"))),"")</f>
        <v/>
      </c>
      <c r="K565" s="14">
        <f t="shared" ref="K565:K584" si="55">K564+1</f>
        <v>1268</v>
      </c>
      <c r="L565" s="4" t="str">
        <f>IFERROR(INDEX('LEV R&amp;D'!$D:$D,MATCH(MEDIÇÃO!K565,'LEV R&amp;D'!$A:$A,0))-INDEX('PROJETO PERFURAÇÃO'!$AH:$AH,MATCH(MEDIÇÃO!K565,'PROJETO PERFURAÇÃO'!$B:$B,0)),"")</f>
        <v/>
      </c>
      <c r="M565" s="8" t="str">
        <f>IFERROR(INDEX('PROJETO PERFURAÇÃO'!$AN:$AN,MATCH(MEDIÇÃO!K565,'PROJETO PERFURAÇÃO'!$B:$B,0)),"")</f>
        <v/>
      </c>
      <c r="N565" s="3"/>
      <c r="O565" s="3"/>
      <c r="P565" s="3" t="str">
        <f>IFERROR(ROUND(INDEX('PROJETO PERFURAÇÃO'!$AB:$AB,MATCH(MEDIÇÃO!R565,'PROJETO PERFURAÇÃO'!$B:$B,0)),1)&amp;"''","")</f>
        <v/>
      </c>
      <c r="Q565" s="3" t="str">
        <f>IFERROR(IF(INDEX('PROJETO PERFURAÇÃO'!$P:$P,MATCH(MEDIÇÃO!R565,'PROJETO PERFURAÇÃO'!$B:$B,0))="Production","P",IF(INDEX('PROJETO PERFURAÇÃO'!$P:$P,MATCH(MEDIÇÃO!R565,'PROJETO PERFURAÇÃO'!$B:$B,0))="Buffer","B",IF(INDEX('PROJETO PERFURAÇÃO'!$P:$P,MATCH(MEDIÇÃO!R565,'PROJETO PERFURAÇÃO'!$B:$B,0))="Pre-Splitting","S"))),"")</f>
        <v/>
      </c>
      <c r="R565" s="14">
        <f t="shared" ref="R565:R584" si="56">R564+1</f>
        <v>1291</v>
      </c>
      <c r="S565" s="4" t="str">
        <f>IFERROR(INDEX('LEV R&amp;D'!$D:$D,MATCH(MEDIÇÃO!R565,'LEV R&amp;D'!$A:$A,0))-INDEX('PROJETO PERFURAÇÃO'!$AH:$AH,MATCH(MEDIÇÃO!R565,'PROJETO PERFURAÇÃO'!$B:$B,0)),"")</f>
        <v/>
      </c>
      <c r="T565" s="8" t="str">
        <f>IFERROR(INDEX('PROJETO PERFURAÇÃO'!$AN:$AN,MATCH(MEDIÇÃO!R565,'PROJETO PERFURAÇÃO'!$B:$B,0)),"")</f>
        <v/>
      </c>
      <c r="U565" s="3"/>
      <c r="V565" s="3"/>
    </row>
    <row r="566" spans="1:23" ht="45" customHeight="1" x14ac:dyDescent="0.25">
      <c r="B566" s="3" t="str">
        <f>IFERROR(ROUND(INDEX('PROJETO PERFURAÇÃO'!$AB:$AB,MATCH(MEDIÇÃO!D566,'PROJETO PERFURAÇÃO'!$B:$B,0)),1)&amp;"''","")</f>
        <v/>
      </c>
      <c r="C566" s="3" t="str">
        <f>IFERROR(IF(INDEX('PROJETO PERFURAÇÃO'!$P:$P,MATCH(MEDIÇÃO!D566,'PROJETO PERFURAÇÃO'!$B:$B,0))="Production","P",IF(INDEX('PROJETO PERFURAÇÃO'!$P:$P,MATCH(MEDIÇÃO!D566,'PROJETO PERFURAÇÃO'!$B:$B,0))="Buffer","B",IF(INDEX('PROJETO PERFURAÇÃO'!$P:$P,MATCH(MEDIÇÃO!D566,'PROJETO PERFURAÇÃO'!$B:$B,0))="Pre-Splitting","S"))),"")</f>
        <v/>
      </c>
      <c r="D566" s="14">
        <f t="shared" si="54"/>
        <v>1246</v>
      </c>
      <c r="E566" s="4" t="str">
        <f>IFERROR(INDEX('LEV R&amp;D'!$D:$D,MATCH(MEDIÇÃO!D566,'LEV R&amp;D'!$A:$A,0))-INDEX('PROJETO PERFURAÇÃO'!$AH:$AH,MATCH(MEDIÇÃO!D566,'PROJETO PERFURAÇÃO'!$B:$B,0)),"")</f>
        <v/>
      </c>
      <c r="F566" s="8" t="str">
        <f>IFERROR(INDEX('PROJETO PERFURAÇÃO'!$AN:$AN,MATCH(MEDIÇÃO!D566,'PROJETO PERFURAÇÃO'!$B:$B,0)),"")</f>
        <v/>
      </c>
      <c r="G566" s="3"/>
      <c r="H566" s="3"/>
      <c r="I566" s="3" t="str">
        <f>IFERROR(ROUND(INDEX('PROJETO PERFURAÇÃO'!$AB:$AB,MATCH(MEDIÇÃO!K566,'PROJETO PERFURAÇÃO'!$B:$B,0)),1)&amp;"''","")</f>
        <v/>
      </c>
      <c r="J566" s="3" t="str">
        <f>IFERROR(IF(INDEX('PROJETO PERFURAÇÃO'!$P:$P,MATCH(MEDIÇÃO!K566,'PROJETO PERFURAÇÃO'!$B:$B,0))="Production","P",IF(INDEX('PROJETO PERFURAÇÃO'!$P:$P,MATCH(MEDIÇÃO!K566,'PROJETO PERFURAÇÃO'!$B:$B,0))="Buffer","B",IF(INDEX('PROJETO PERFURAÇÃO'!$P:$P,MATCH(MEDIÇÃO!K566,'PROJETO PERFURAÇÃO'!$B:$B,0))="Pre-Splitting","S"))),"")</f>
        <v/>
      </c>
      <c r="K566" s="14">
        <f t="shared" si="55"/>
        <v>1269</v>
      </c>
      <c r="L566" s="4" t="str">
        <f>IFERROR(INDEX('LEV R&amp;D'!$D:$D,MATCH(MEDIÇÃO!K566,'LEV R&amp;D'!$A:$A,0))-INDEX('PROJETO PERFURAÇÃO'!$AH:$AH,MATCH(MEDIÇÃO!K566,'PROJETO PERFURAÇÃO'!$B:$B,0)),"")</f>
        <v/>
      </c>
      <c r="M566" s="8" t="str">
        <f>IFERROR(INDEX('PROJETO PERFURAÇÃO'!$AN:$AN,MATCH(MEDIÇÃO!K566,'PROJETO PERFURAÇÃO'!$B:$B,0)),"")</f>
        <v/>
      </c>
      <c r="N566" s="3"/>
      <c r="O566" s="3"/>
      <c r="P566" s="3" t="str">
        <f>IFERROR(ROUND(INDEX('PROJETO PERFURAÇÃO'!$AB:$AB,MATCH(MEDIÇÃO!R566,'PROJETO PERFURAÇÃO'!$B:$B,0)),1)&amp;"''","")</f>
        <v/>
      </c>
      <c r="Q566" s="3" t="str">
        <f>IFERROR(IF(INDEX('PROJETO PERFURAÇÃO'!$P:$P,MATCH(MEDIÇÃO!R566,'PROJETO PERFURAÇÃO'!$B:$B,0))="Production","P",IF(INDEX('PROJETO PERFURAÇÃO'!$P:$P,MATCH(MEDIÇÃO!R566,'PROJETO PERFURAÇÃO'!$B:$B,0))="Buffer","B",IF(INDEX('PROJETO PERFURAÇÃO'!$P:$P,MATCH(MEDIÇÃO!R566,'PROJETO PERFURAÇÃO'!$B:$B,0))="Pre-Splitting","S"))),"")</f>
        <v/>
      </c>
      <c r="R566" s="14">
        <f t="shared" si="56"/>
        <v>1292</v>
      </c>
      <c r="S566" s="4" t="str">
        <f>IFERROR(INDEX('LEV R&amp;D'!$D:$D,MATCH(MEDIÇÃO!R566,'LEV R&amp;D'!$A:$A,0))-INDEX('PROJETO PERFURAÇÃO'!$AH:$AH,MATCH(MEDIÇÃO!R566,'PROJETO PERFURAÇÃO'!$B:$B,0)),"")</f>
        <v/>
      </c>
      <c r="T566" s="8" t="str">
        <f>IFERROR(INDEX('PROJETO PERFURAÇÃO'!$AN:$AN,MATCH(MEDIÇÃO!R566,'PROJETO PERFURAÇÃO'!$B:$B,0)),"")</f>
        <v/>
      </c>
      <c r="U566" s="3"/>
      <c r="V566" s="3"/>
    </row>
    <row r="567" spans="1:23" ht="45" customHeight="1" x14ac:dyDescent="0.25">
      <c r="B567" s="3" t="str">
        <f>IFERROR(ROUND(INDEX('PROJETO PERFURAÇÃO'!$AB:$AB,MATCH(MEDIÇÃO!D567,'PROJETO PERFURAÇÃO'!$B:$B,0)),1)&amp;"''","")</f>
        <v/>
      </c>
      <c r="C567" s="3" t="str">
        <f>IFERROR(IF(INDEX('PROJETO PERFURAÇÃO'!$P:$P,MATCH(MEDIÇÃO!D567,'PROJETO PERFURAÇÃO'!$B:$B,0))="Production","P",IF(INDEX('PROJETO PERFURAÇÃO'!$P:$P,MATCH(MEDIÇÃO!D567,'PROJETO PERFURAÇÃO'!$B:$B,0))="Buffer","B",IF(INDEX('PROJETO PERFURAÇÃO'!$P:$P,MATCH(MEDIÇÃO!D567,'PROJETO PERFURAÇÃO'!$B:$B,0))="Pre-Splitting","S"))),"")</f>
        <v/>
      </c>
      <c r="D567" s="14">
        <f t="shared" si="54"/>
        <v>1247</v>
      </c>
      <c r="E567" s="4" t="str">
        <f>IFERROR(INDEX('LEV R&amp;D'!$D:$D,MATCH(MEDIÇÃO!D567,'LEV R&amp;D'!$A:$A,0))-INDEX('PROJETO PERFURAÇÃO'!$AH:$AH,MATCH(MEDIÇÃO!D567,'PROJETO PERFURAÇÃO'!$B:$B,0)),"")</f>
        <v/>
      </c>
      <c r="F567" s="8" t="str">
        <f>IFERROR(INDEX('PROJETO PERFURAÇÃO'!$AN:$AN,MATCH(MEDIÇÃO!D567,'PROJETO PERFURAÇÃO'!$B:$B,0)),"")</f>
        <v/>
      </c>
      <c r="G567" s="3"/>
      <c r="H567" s="3"/>
      <c r="I567" s="3" t="str">
        <f>IFERROR(ROUND(INDEX('PROJETO PERFURAÇÃO'!$AB:$AB,MATCH(MEDIÇÃO!K567,'PROJETO PERFURAÇÃO'!$B:$B,0)),1)&amp;"''","")</f>
        <v/>
      </c>
      <c r="J567" s="3" t="str">
        <f>IFERROR(IF(INDEX('PROJETO PERFURAÇÃO'!$P:$P,MATCH(MEDIÇÃO!K567,'PROJETO PERFURAÇÃO'!$B:$B,0))="Production","P",IF(INDEX('PROJETO PERFURAÇÃO'!$P:$P,MATCH(MEDIÇÃO!K567,'PROJETO PERFURAÇÃO'!$B:$B,0))="Buffer","B",IF(INDEX('PROJETO PERFURAÇÃO'!$P:$P,MATCH(MEDIÇÃO!K567,'PROJETO PERFURAÇÃO'!$B:$B,0))="Pre-Splitting","S"))),"")</f>
        <v/>
      </c>
      <c r="K567" s="14">
        <f t="shared" si="55"/>
        <v>1270</v>
      </c>
      <c r="L567" s="4" t="str">
        <f>IFERROR(INDEX('LEV R&amp;D'!$D:$D,MATCH(MEDIÇÃO!K567,'LEV R&amp;D'!$A:$A,0))-INDEX('PROJETO PERFURAÇÃO'!$AH:$AH,MATCH(MEDIÇÃO!K567,'PROJETO PERFURAÇÃO'!$B:$B,0)),"")</f>
        <v/>
      </c>
      <c r="M567" s="8" t="str">
        <f>IFERROR(INDEX('PROJETO PERFURAÇÃO'!$AN:$AN,MATCH(MEDIÇÃO!K567,'PROJETO PERFURAÇÃO'!$B:$B,0)),"")</f>
        <v/>
      </c>
      <c r="N567" s="3"/>
      <c r="O567" s="3"/>
      <c r="P567" s="3" t="str">
        <f>IFERROR(ROUND(INDEX('PROJETO PERFURAÇÃO'!$AB:$AB,MATCH(MEDIÇÃO!R567,'PROJETO PERFURAÇÃO'!$B:$B,0)),1)&amp;"''","")</f>
        <v/>
      </c>
      <c r="Q567" s="3" t="str">
        <f>IFERROR(IF(INDEX('PROJETO PERFURAÇÃO'!$P:$P,MATCH(MEDIÇÃO!R567,'PROJETO PERFURAÇÃO'!$B:$B,0))="Production","P",IF(INDEX('PROJETO PERFURAÇÃO'!$P:$P,MATCH(MEDIÇÃO!R567,'PROJETO PERFURAÇÃO'!$B:$B,0))="Buffer","B",IF(INDEX('PROJETO PERFURAÇÃO'!$P:$P,MATCH(MEDIÇÃO!R567,'PROJETO PERFURAÇÃO'!$B:$B,0))="Pre-Splitting","S"))),"")</f>
        <v/>
      </c>
      <c r="R567" s="14">
        <f t="shared" si="56"/>
        <v>1293</v>
      </c>
      <c r="S567" s="4" t="str">
        <f>IFERROR(INDEX('LEV R&amp;D'!$D:$D,MATCH(MEDIÇÃO!R567,'LEV R&amp;D'!$A:$A,0))-INDEX('PROJETO PERFURAÇÃO'!$AH:$AH,MATCH(MEDIÇÃO!R567,'PROJETO PERFURAÇÃO'!$B:$B,0)),"")</f>
        <v/>
      </c>
      <c r="T567" s="8" t="str">
        <f>IFERROR(INDEX('PROJETO PERFURAÇÃO'!$AN:$AN,MATCH(MEDIÇÃO!R567,'PROJETO PERFURAÇÃO'!$B:$B,0)),"")</f>
        <v/>
      </c>
      <c r="U567" s="3"/>
      <c r="V567" s="3"/>
    </row>
    <row r="568" spans="1:23" ht="45" customHeight="1" x14ac:dyDescent="0.25">
      <c r="B568" s="3" t="str">
        <f>IFERROR(ROUND(INDEX('PROJETO PERFURAÇÃO'!$AB:$AB,MATCH(MEDIÇÃO!D568,'PROJETO PERFURAÇÃO'!$B:$B,0)),1)&amp;"''","")</f>
        <v/>
      </c>
      <c r="C568" s="3" t="str">
        <f>IFERROR(IF(INDEX('PROJETO PERFURAÇÃO'!$P:$P,MATCH(MEDIÇÃO!D568,'PROJETO PERFURAÇÃO'!$B:$B,0))="Production","P",IF(INDEX('PROJETO PERFURAÇÃO'!$P:$P,MATCH(MEDIÇÃO!D568,'PROJETO PERFURAÇÃO'!$B:$B,0))="Buffer","B",IF(INDEX('PROJETO PERFURAÇÃO'!$P:$P,MATCH(MEDIÇÃO!D568,'PROJETO PERFURAÇÃO'!$B:$B,0))="Pre-Splitting","S"))),"")</f>
        <v/>
      </c>
      <c r="D568" s="14">
        <f t="shared" si="54"/>
        <v>1248</v>
      </c>
      <c r="E568" s="4" t="str">
        <f>IFERROR(INDEX('LEV R&amp;D'!$D:$D,MATCH(MEDIÇÃO!D568,'LEV R&amp;D'!$A:$A,0))-INDEX('PROJETO PERFURAÇÃO'!$AH:$AH,MATCH(MEDIÇÃO!D568,'PROJETO PERFURAÇÃO'!$B:$B,0)),"")</f>
        <v/>
      </c>
      <c r="F568" s="8" t="str">
        <f>IFERROR(INDEX('PROJETO PERFURAÇÃO'!$AN:$AN,MATCH(MEDIÇÃO!D568,'PROJETO PERFURAÇÃO'!$B:$B,0)),"")</f>
        <v/>
      </c>
      <c r="G568" s="3"/>
      <c r="H568" s="3"/>
      <c r="I568" s="3" t="str">
        <f>IFERROR(ROUND(INDEX('PROJETO PERFURAÇÃO'!$AB:$AB,MATCH(MEDIÇÃO!K568,'PROJETO PERFURAÇÃO'!$B:$B,0)),1)&amp;"''","")</f>
        <v/>
      </c>
      <c r="J568" s="3" t="str">
        <f>IFERROR(IF(INDEX('PROJETO PERFURAÇÃO'!$P:$P,MATCH(MEDIÇÃO!K568,'PROJETO PERFURAÇÃO'!$B:$B,0))="Production","P",IF(INDEX('PROJETO PERFURAÇÃO'!$P:$P,MATCH(MEDIÇÃO!K568,'PROJETO PERFURAÇÃO'!$B:$B,0))="Buffer","B",IF(INDEX('PROJETO PERFURAÇÃO'!$P:$P,MATCH(MEDIÇÃO!K568,'PROJETO PERFURAÇÃO'!$B:$B,0))="Pre-Splitting","S"))),"")</f>
        <v/>
      </c>
      <c r="K568" s="14">
        <f t="shared" si="55"/>
        <v>1271</v>
      </c>
      <c r="L568" s="4" t="str">
        <f>IFERROR(INDEX('LEV R&amp;D'!$D:$D,MATCH(MEDIÇÃO!K568,'LEV R&amp;D'!$A:$A,0))-INDEX('PROJETO PERFURAÇÃO'!$AH:$AH,MATCH(MEDIÇÃO!K568,'PROJETO PERFURAÇÃO'!$B:$B,0)),"")</f>
        <v/>
      </c>
      <c r="M568" s="8" t="str">
        <f>IFERROR(INDEX('PROJETO PERFURAÇÃO'!$AN:$AN,MATCH(MEDIÇÃO!K568,'PROJETO PERFURAÇÃO'!$B:$B,0)),"")</f>
        <v/>
      </c>
      <c r="N568" s="3"/>
      <c r="O568" s="3"/>
      <c r="P568" s="3" t="str">
        <f>IFERROR(ROUND(INDEX('PROJETO PERFURAÇÃO'!$AB:$AB,MATCH(MEDIÇÃO!R568,'PROJETO PERFURAÇÃO'!$B:$B,0)),1)&amp;"''","")</f>
        <v/>
      </c>
      <c r="Q568" s="3" t="str">
        <f>IFERROR(IF(INDEX('PROJETO PERFURAÇÃO'!$P:$P,MATCH(MEDIÇÃO!R568,'PROJETO PERFURAÇÃO'!$B:$B,0))="Production","P",IF(INDEX('PROJETO PERFURAÇÃO'!$P:$P,MATCH(MEDIÇÃO!R568,'PROJETO PERFURAÇÃO'!$B:$B,0))="Buffer","B",IF(INDEX('PROJETO PERFURAÇÃO'!$P:$P,MATCH(MEDIÇÃO!R568,'PROJETO PERFURAÇÃO'!$B:$B,0))="Pre-Splitting","S"))),"")</f>
        <v/>
      </c>
      <c r="R568" s="14">
        <f t="shared" si="56"/>
        <v>1294</v>
      </c>
      <c r="S568" s="4" t="str">
        <f>IFERROR(INDEX('LEV R&amp;D'!$D:$D,MATCH(MEDIÇÃO!R568,'LEV R&amp;D'!$A:$A,0))-INDEX('PROJETO PERFURAÇÃO'!$AH:$AH,MATCH(MEDIÇÃO!R568,'PROJETO PERFURAÇÃO'!$B:$B,0)),"")</f>
        <v/>
      </c>
      <c r="T568" s="8" t="str">
        <f>IFERROR(INDEX('PROJETO PERFURAÇÃO'!$AN:$AN,MATCH(MEDIÇÃO!R568,'PROJETO PERFURAÇÃO'!$B:$B,0)),"")</f>
        <v/>
      </c>
      <c r="U568" s="3"/>
      <c r="V568" s="3"/>
    </row>
    <row r="569" spans="1:23" ht="45" customHeight="1" x14ac:dyDescent="0.25">
      <c r="B569" s="3" t="str">
        <f>IFERROR(ROUND(INDEX('PROJETO PERFURAÇÃO'!$AB:$AB,MATCH(MEDIÇÃO!D569,'PROJETO PERFURAÇÃO'!$B:$B,0)),1)&amp;"''","")</f>
        <v/>
      </c>
      <c r="C569" s="3" t="str">
        <f>IFERROR(IF(INDEX('PROJETO PERFURAÇÃO'!$P:$P,MATCH(MEDIÇÃO!D569,'PROJETO PERFURAÇÃO'!$B:$B,0))="Production","P",IF(INDEX('PROJETO PERFURAÇÃO'!$P:$P,MATCH(MEDIÇÃO!D569,'PROJETO PERFURAÇÃO'!$B:$B,0))="Buffer","B",IF(INDEX('PROJETO PERFURAÇÃO'!$P:$P,MATCH(MEDIÇÃO!D569,'PROJETO PERFURAÇÃO'!$B:$B,0))="Pre-Splitting","S"))),"")</f>
        <v/>
      </c>
      <c r="D569" s="14">
        <f t="shared" si="54"/>
        <v>1249</v>
      </c>
      <c r="E569" s="4" t="str">
        <f>IFERROR(INDEX('LEV R&amp;D'!$D:$D,MATCH(MEDIÇÃO!D569,'LEV R&amp;D'!$A:$A,0))-INDEX('PROJETO PERFURAÇÃO'!$AH:$AH,MATCH(MEDIÇÃO!D569,'PROJETO PERFURAÇÃO'!$B:$B,0)),"")</f>
        <v/>
      </c>
      <c r="F569" s="8" t="str">
        <f>IFERROR(INDEX('PROJETO PERFURAÇÃO'!$AN:$AN,MATCH(MEDIÇÃO!D569,'PROJETO PERFURAÇÃO'!$B:$B,0)),"")</f>
        <v/>
      </c>
      <c r="G569" s="3"/>
      <c r="H569" s="3"/>
      <c r="I569" s="3" t="str">
        <f>IFERROR(ROUND(INDEX('PROJETO PERFURAÇÃO'!$AB:$AB,MATCH(MEDIÇÃO!K569,'PROJETO PERFURAÇÃO'!$B:$B,0)),1)&amp;"''","")</f>
        <v/>
      </c>
      <c r="J569" s="3" t="str">
        <f>IFERROR(IF(INDEX('PROJETO PERFURAÇÃO'!$P:$P,MATCH(MEDIÇÃO!K569,'PROJETO PERFURAÇÃO'!$B:$B,0))="Production","P",IF(INDEX('PROJETO PERFURAÇÃO'!$P:$P,MATCH(MEDIÇÃO!K569,'PROJETO PERFURAÇÃO'!$B:$B,0))="Buffer","B",IF(INDEX('PROJETO PERFURAÇÃO'!$P:$P,MATCH(MEDIÇÃO!K569,'PROJETO PERFURAÇÃO'!$B:$B,0))="Pre-Splitting","S"))),"")</f>
        <v/>
      </c>
      <c r="K569" s="14">
        <f t="shared" si="55"/>
        <v>1272</v>
      </c>
      <c r="L569" s="4" t="str">
        <f>IFERROR(INDEX('LEV R&amp;D'!$D:$D,MATCH(MEDIÇÃO!K569,'LEV R&amp;D'!$A:$A,0))-INDEX('PROJETO PERFURAÇÃO'!$AH:$AH,MATCH(MEDIÇÃO!K569,'PROJETO PERFURAÇÃO'!$B:$B,0)),"")</f>
        <v/>
      </c>
      <c r="M569" s="8" t="str">
        <f>IFERROR(INDEX('PROJETO PERFURAÇÃO'!$AN:$AN,MATCH(MEDIÇÃO!K569,'PROJETO PERFURAÇÃO'!$B:$B,0)),"")</f>
        <v/>
      </c>
      <c r="N569" s="3"/>
      <c r="O569" s="3"/>
      <c r="P569" s="3" t="str">
        <f>IFERROR(ROUND(INDEX('PROJETO PERFURAÇÃO'!$AB:$AB,MATCH(MEDIÇÃO!R569,'PROJETO PERFURAÇÃO'!$B:$B,0)),1)&amp;"''","")</f>
        <v/>
      </c>
      <c r="Q569" s="3" t="str">
        <f>IFERROR(IF(INDEX('PROJETO PERFURAÇÃO'!$P:$P,MATCH(MEDIÇÃO!R569,'PROJETO PERFURAÇÃO'!$B:$B,0))="Production","P",IF(INDEX('PROJETO PERFURAÇÃO'!$P:$P,MATCH(MEDIÇÃO!R569,'PROJETO PERFURAÇÃO'!$B:$B,0))="Buffer","B",IF(INDEX('PROJETO PERFURAÇÃO'!$P:$P,MATCH(MEDIÇÃO!R569,'PROJETO PERFURAÇÃO'!$B:$B,0))="Pre-Splitting","S"))),"")</f>
        <v/>
      </c>
      <c r="R569" s="14">
        <f t="shared" si="56"/>
        <v>1295</v>
      </c>
      <c r="S569" s="4" t="str">
        <f>IFERROR(INDEX('LEV R&amp;D'!$D:$D,MATCH(MEDIÇÃO!R569,'LEV R&amp;D'!$A:$A,0))-INDEX('PROJETO PERFURAÇÃO'!$AH:$AH,MATCH(MEDIÇÃO!R569,'PROJETO PERFURAÇÃO'!$B:$B,0)),"")</f>
        <v/>
      </c>
      <c r="T569" s="8" t="str">
        <f>IFERROR(INDEX('PROJETO PERFURAÇÃO'!$AN:$AN,MATCH(MEDIÇÃO!R569,'PROJETO PERFURAÇÃO'!$B:$B,0)),"")</f>
        <v/>
      </c>
      <c r="U569" s="3"/>
      <c r="V569" s="3"/>
    </row>
    <row r="570" spans="1:23" ht="45" customHeight="1" x14ac:dyDescent="0.25">
      <c r="B570" s="3" t="str">
        <f>IFERROR(ROUND(INDEX('PROJETO PERFURAÇÃO'!$AB:$AB,MATCH(MEDIÇÃO!D570,'PROJETO PERFURAÇÃO'!$B:$B,0)),1)&amp;"''","")</f>
        <v/>
      </c>
      <c r="C570" s="3" t="str">
        <f>IFERROR(IF(INDEX('PROJETO PERFURAÇÃO'!$P:$P,MATCH(MEDIÇÃO!D570,'PROJETO PERFURAÇÃO'!$B:$B,0))="Production","P",IF(INDEX('PROJETO PERFURAÇÃO'!$P:$P,MATCH(MEDIÇÃO!D570,'PROJETO PERFURAÇÃO'!$B:$B,0))="Buffer","B",IF(INDEX('PROJETO PERFURAÇÃO'!$P:$P,MATCH(MEDIÇÃO!D570,'PROJETO PERFURAÇÃO'!$B:$B,0))="Pre-Splitting","S"))),"")</f>
        <v/>
      </c>
      <c r="D570" s="14">
        <f t="shared" si="54"/>
        <v>1250</v>
      </c>
      <c r="E570" s="4" t="str">
        <f>IFERROR(INDEX('LEV R&amp;D'!$D:$D,MATCH(MEDIÇÃO!D570,'LEV R&amp;D'!$A:$A,0))-INDEX('PROJETO PERFURAÇÃO'!$AH:$AH,MATCH(MEDIÇÃO!D570,'PROJETO PERFURAÇÃO'!$B:$B,0)),"")</f>
        <v/>
      </c>
      <c r="F570" s="8" t="str">
        <f>IFERROR(INDEX('PROJETO PERFURAÇÃO'!$AN:$AN,MATCH(MEDIÇÃO!D570,'PROJETO PERFURAÇÃO'!$B:$B,0)),"")</f>
        <v/>
      </c>
      <c r="G570" s="3"/>
      <c r="H570" s="3"/>
      <c r="I570" s="3" t="str">
        <f>IFERROR(ROUND(INDEX('PROJETO PERFURAÇÃO'!$AB:$AB,MATCH(MEDIÇÃO!K570,'PROJETO PERFURAÇÃO'!$B:$B,0)),1)&amp;"''","")</f>
        <v/>
      </c>
      <c r="J570" s="3" t="str">
        <f>IFERROR(IF(INDEX('PROJETO PERFURAÇÃO'!$P:$P,MATCH(MEDIÇÃO!K570,'PROJETO PERFURAÇÃO'!$B:$B,0))="Production","P",IF(INDEX('PROJETO PERFURAÇÃO'!$P:$P,MATCH(MEDIÇÃO!K570,'PROJETO PERFURAÇÃO'!$B:$B,0))="Buffer","B",IF(INDEX('PROJETO PERFURAÇÃO'!$P:$P,MATCH(MEDIÇÃO!K570,'PROJETO PERFURAÇÃO'!$B:$B,0))="Pre-Splitting","S"))),"")</f>
        <v/>
      </c>
      <c r="K570" s="14">
        <f t="shared" si="55"/>
        <v>1273</v>
      </c>
      <c r="L570" s="4" t="str">
        <f>IFERROR(INDEX('LEV R&amp;D'!$D:$D,MATCH(MEDIÇÃO!K570,'LEV R&amp;D'!$A:$A,0))-INDEX('PROJETO PERFURAÇÃO'!$AH:$AH,MATCH(MEDIÇÃO!K570,'PROJETO PERFURAÇÃO'!$B:$B,0)),"")</f>
        <v/>
      </c>
      <c r="M570" s="8" t="str">
        <f>IFERROR(INDEX('PROJETO PERFURAÇÃO'!$AN:$AN,MATCH(MEDIÇÃO!K570,'PROJETO PERFURAÇÃO'!$B:$B,0)),"")</f>
        <v/>
      </c>
      <c r="N570" s="3"/>
      <c r="O570" s="3"/>
      <c r="P570" s="3" t="str">
        <f>IFERROR(ROUND(INDEX('PROJETO PERFURAÇÃO'!$AB:$AB,MATCH(MEDIÇÃO!R570,'PROJETO PERFURAÇÃO'!$B:$B,0)),1)&amp;"''","")</f>
        <v/>
      </c>
      <c r="Q570" s="3" t="str">
        <f>IFERROR(IF(INDEX('PROJETO PERFURAÇÃO'!$P:$P,MATCH(MEDIÇÃO!R570,'PROJETO PERFURAÇÃO'!$B:$B,0))="Production","P",IF(INDEX('PROJETO PERFURAÇÃO'!$P:$P,MATCH(MEDIÇÃO!R570,'PROJETO PERFURAÇÃO'!$B:$B,0))="Buffer","B",IF(INDEX('PROJETO PERFURAÇÃO'!$P:$P,MATCH(MEDIÇÃO!R570,'PROJETO PERFURAÇÃO'!$B:$B,0))="Pre-Splitting","S"))),"")</f>
        <v/>
      </c>
      <c r="R570" s="14">
        <f t="shared" si="56"/>
        <v>1296</v>
      </c>
      <c r="S570" s="4" t="str">
        <f>IFERROR(INDEX('LEV R&amp;D'!$D:$D,MATCH(MEDIÇÃO!R570,'LEV R&amp;D'!$A:$A,0))-INDEX('PROJETO PERFURAÇÃO'!$AH:$AH,MATCH(MEDIÇÃO!R570,'PROJETO PERFURAÇÃO'!$B:$B,0)),"")</f>
        <v/>
      </c>
      <c r="T570" s="8" t="str">
        <f>IFERROR(INDEX('PROJETO PERFURAÇÃO'!$AN:$AN,MATCH(MEDIÇÃO!R570,'PROJETO PERFURAÇÃO'!$B:$B,0)),"")</f>
        <v/>
      </c>
      <c r="U570" s="3"/>
      <c r="V570" s="3"/>
    </row>
    <row r="571" spans="1:23" ht="45" customHeight="1" x14ac:dyDescent="0.25">
      <c r="B571" s="3" t="str">
        <f>IFERROR(ROUND(INDEX('PROJETO PERFURAÇÃO'!$AB:$AB,MATCH(MEDIÇÃO!D571,'PROJETO PERFURAÇÃO'!$B:$B,0)),1)&amp;"''","")</f>
        <v/>
      </c>
      <c r="C571" s="3" t="str">
        <f>IFERROR(IF(INDEX('PROJETO PERFURAÇÃO'!$P:$P,MATCH(MEDIÇÃO!D571,'PROJETO PERFURAÇÃO'!$B:$B,0))="Production","P",IF(INDEX('PROJETO PERFURAÇÃO'!$P:$P,MATCH(MEDIÇÃO!D571,'PROJETO PERFURAÇÃO'!$B:$B,0))="Buffer","B",IF(INDEX('PROJETO PERFURAÇÃO'!$P:$P,MATCH(MEDIÇÃO!D571,'PROJETO PERFURAÇÃO'!$B:$B,0))="Pre-Splitting","S"))),"")</f>
        <v/>
      </c>
      <c r="D571" s="14">
        <f t="shared" si="54"/>
        <v>1251</v>
      </c>
      <c r="E571" s="4" t="str">
        <f>IFERROR(INDEX('LEV R&amp;D'!$D:$D,MATCH(MEDIÇÃO!D571,'LEV R&amp;D'!$A:$A,0))-INDEX('PROJETO PERFURAÇÃO'!$AH:$AH,MATCH(MEDIÇÃO!D571,'PROJETO PERFURAÇÃO'!$B:$B,0)),"")</f>
        <v/>
      </c>
      <c r="F571" s="8" t="str">
        <f>IFERROR(INDEX('PROJETO PERFURAÇÃO'!$AN:$AN,MATCH(MEDIÇÃO!D571,'PROJETO PERFURAÇÃO'!$B:$B,0)),"")</f>
        <v/>
      </c>
      <c r="G571" s="3"/>
      <c r="H571" s="3"/>
      <c r="I571" s="3" t="str">
        <f>IFERROR(ROUND(INDEX('PROJETO PERFURAÇÃO'!$AB:$AB,MATCH(MEDIÇÃO!K571,'PROJETO PERFURAÇÃO'!$B:$B,0)),1)&amp;"''","")</f>
        <v/>
      </c>
      <c r="J571" s="3" t="str">
        <f>IFERROR(IF(INDEX('PROJETO PERFURAÇÃO'!$P:$P,MATCH(MEDIÇÃO!K571,'PROJETO PERFURAÇÃO'!$B:$B,0))="Production","P",IF(INDEX('PROJETO PERFURAÇÃO'!$P:$P,MATCH(MEDIÇÃO!K571,'PROJETO PERFURAÇÃO'!$B:$B,0))="Buffer","B",IF(INDEX('PROJETO PERFURAÇÃO'!$P:$P,MATCH(MEDIÇÃO!K571,'PROJETO PERFURAÇÃO'!$B:$B,0))="Pre-Splitting","S"))),"")</f>
        <v/>
      </c>
      <c r="K571" s="14">
        <f t="shared" si="55"/>
        <v>1274</v>
      </c>
      <c r="L571" s="4" t="str">
        <f>IFERROR(INDEX('LEV R&amp;D'!$D:$D,MATCH(MEDIÇÃO!K571,'LEV R&amp;D'!$A:$A,0))-INDEX('PROJETO PERFURAÇÃO'!$AH:$AH,MATCH(MEDIÇÃO!K571,'PROJETO PERFURAÇÃO'!$B:$B,0)),"")</f>
        <v/>
      </c>
      <c r="M571" s="8" t="str">
        <f>IFERROR(INDEX('PROJETO PERFURAÇÃO'!$AN:$AN,MATCH(MEDIÇÃO!K571,'PROJETO PERFURAÇÃO'!$B:$B,0)),"")</f>
        <v/>
      </c>
      <c r="N571" s="3"/>
      <c r="O571" s="3"/>
      <c r="P571" s="3" t="str">
        <f>IFERROR(ROUND(INDEX('PROJETO PERFURAÇÃO'!$AB:$AB,MATCH(MEDIÇÃO!R571,'PROJETO PERFURAÇÃO'!$B:$B,0)),1)&amp;"''","")</f>
        <v/>
      </c>
      <c r="Q571" s="3" t="str">
        <f>IFERROR(IF(INDEX('PROJETO PERFURAÇÃO'!$P:$P,MATCH(MEDIÇÃO!R571,'PROJETO PERFURAÇÃO'!$B:$B,0))="Production","P",IF(INDEX('PROJETO PERFURAÇÃO'!$P:$P,MATCH(MEDIÇÃO!R571,'PROJETO PERFURAÇÃO'!$B:$B,0))="Buffer","B",IF(INDEX('PROJETO PERFURAÇÃO'!$P:$P,MATCH(MEDIÇÃO!R571,'PROJETO PERFURAÇÃO'!$B:$B,0))="Pre-Splitting","S"))),"")</f>
        <v/>
      </c>
      <c r="R571" s="14">
        <f t="shared" si="56"/>
        <v>1297</v>
      </c>
      <c r="S571" s="4" t="str">
        <f>IFERROR(INDEX('LEV R&amp;D'!$D:$D,MATCH(MEDIÇÃO!R571,'LEV R&amp;D'!$A:$A,0))-INDEX('PROJETO PERFURAÇÃO'!$AH:$AH,MATCH(MEDIÇÃO!R571,'PROJETO PERFURAÇÃO'!$B:$B,0)),"")</f>
        <v/>
      </c>
      <c r="T571" s="8" t="str">
        <f>IFERROR(INDEX('PROJETO PERFURAÇÃO'!$AN:$AN,MATCH(MEDIÇÃO!R571,'PROJETO PERFURAÇÃO'!$B:$B,0)),"")</f>
        <v/>
      </c>
      <c r="U571" s="3"/>
      <c r="V571" s="3"/>
    </row>
    <row r="572" spans="1:23" ht="45" customHeight="1" x14ac:dyDescent="0.25">
      <c r="B572" s="3" t="str">
        <f>IFERROR(ROUND(INDEX('PROJETO PERFURAÇÃO'!$AB:$AB,MATCH(MEDIÇÃO!D572,'PROJETO PERFURAÇÃO'!$B:$B,0)),1)&amp;"''","")</f>
        <v/>
      </c>
      <c r="C572" s="3" t="str">
        <f>IFERROR(IF(INDEX('PROJETO PERFURAÇÃO'!$P:$P,MATCH(MEDIÇÃO!D572,'PROJETO PERFURAÇÃO'!$B:$B,0))="Production","P",IF(INDEX('PROJETO PERFURAÇÃO'!$P:$P,MATCH(MEDIÇÃO!D572,'PROJETO PERFURAÇÃO'!$B:$B,0))="Buffer","B",IF(INDEX('PROJETO PERFURAÇÃO'!$P:$P,MATCH(MEDIÇÃO!D572,'PROJETO PERFURAÇÃO'!$B:$B,0))="Pre-Splitting","S"))),"")</f>
        <v/>
      </c>
      <c r="D572" s="14">
        <f t="shared" si="54"/>
        <v>1252</v>
      </c>
      <c r="E572" s="4" t="str">
        <f>IFERROR(INDEX('LEV R&amp;D'!$D:$D,MATCH(MEDIÇÃO!D572,'LEV R&amp;D'!$A:$A,0))-INDEX('PROJETO PERFURAÇÃO'!$AH:$AH,MATCH(MEDIÇÃO!D572,'PROJETO PERFURAÇÃO'!$B:$B,0)),"")</f>
        <v/>
      </c>
      <c r="F572" s="8" t="str">
        <f>IFERROR(INDEX('PROJETO PERFURAÇÃO'!$AN:$AN,MATCH(MEDIÇÃO!D572,'PROJETO PERFURAÇÃO'!$B:$B,0)),"")</f>
        <v/>
      </c>
      <c r="G572" s="3"/>
      <c r="H572" s="3"/>
      <c r="I572" s="3" t="str">
        <f>IFERROR(ROUND(INDEX('PROJETO PERFURAÇÃO'!$AB:$AB,MATCH(MEDIÇÃO!K572,'PROJETO PERFURAÇÃO'!$B:$B,0)),1)&amp;"''","")</f>
        <v/>
      </c>
      <c r="J572" s="3" t="str">
        <f>IFERROR(IF(INDEX('PROJETO PERFURAÇÃO'!$P:$P,MATCH(MEDIÇÃO!K572,'PROJETO PERFURAÇÃO'!$B:$B,0))="Production","P",IF(INDEX('PROJETO PERFURAÇÃO'!$P:$P,MATCH(MEDIÇÃO!K572,'PROJETO PERFURAÇÃO'!$B:$B,0))="Buffer","B",IF(INDEX('PROJETO PERFURAÇÃO'!$P:$P,MATCH(MEDIÇÃO!K572,'PROJETO PERFURAÇÃO'!$B:$B,0))="Pre-Splitting","S"))),"")</f>
        <v/>
      </c>
      <c r="K572" s="14">
        <f t="shared" si="55"/>
        <v>1275</v>
      </c>
      <c r="L572" s="4" t="str">
        <f>IFERROR(INDEX('LEV R&amp;D'!$D:$D,MATCH(MEDIÇÃO!K572,'LEV R&amp;D'!$A:$A,0))-INDEX('PROJETO PERFURAÇÃO'!$AH:$AH,MATCH(MEDIÇÃO!K572,'PROJETO PERFURAÇÃO'!$B:$B,0)),"")</f>
        <v/>
      </c>
      <c r="M572" s="8" t="str">
        <f>IFERROR(INDEX('PROJETO PERFURAÇÃO'!$AN:$AN,MATCH(MEDIÇÃO!K572,'PROJETO PERFURAÇÃO'!$B:$B,0)),"")</f>
        <v/>
      </c>
      <c r="N572" s="3"/>
      <c r="O572" s="3"/>
      <c r="P572" s="3" t="str">
        <f>IFERROR(ROUND(INDEX('PROJETO PERFURAÇÃO'!$AB:$AB,MATCH(MEDIÇÃO!R572,'PROJETO PERFURAÇÃO'!$B:$B,0)),1)&amp;"''","")</f>
        <v/>
      </c>
      <c r="Q572" s="3" t="str">
        <f>IFERROR(IF(INDEX('PROJETO PERFURAÇÃO'!$P:$P,MATCH(MEDIÇÃO!R572,'PROJETO PERFURAÇÃO'!$B:$B,0))="Production","P",IF(INDEX('PROJETO PERFURAÇÃO'!$P:$P,MATCH(MEDIÇÃO!R572,'PROJETO PERFURAÇÃO'!$B:$B,0))="Buffer","B",IF(INDEX('PROJETO PERFURAÇÃO'!$P:$P,MATCH(MEDIÇÃO!R572,'PROJETO PERFURAÇÃO'!$B:$B,0))="Pre-Splitting","S"))),"")</f>
        <v/>
      </c>
      <c r="R572" s="14">
        <f t="shared" si="56"/>
        <v>1298</v>
      </c>
      <c r="S572" s="4" t="str">
        <f>IFERROR(INDEX('LEV R&amp;D'!$D:$D,MATCH(MEDIÇÃO!R572,'LEV R&amp;D'!$A:$A,0))-INDEX('PROJETO PERFURAÇÃO'!$AH:$AH,MATCH(MEDIÇÃO!R572,'PROJETO PERFURAÇÃO'!$B:$B,0)),"")</f>
        <v/>
      </c>
      <c r="T572" s="8" t="str">
        <f>IFERROR(INDEX('PROJETO PERFURAÇÃO'!$AN:$AN,MATCH(MEDIÇÃO!R572,'PROJETO PERFURAÇÃO'!$B:$B,0)),"")</f>
        <v/>
      </c>
      <c r="U572" s="3"/>
      <c r="V572" s="3"/>
    </row>
    <row r="573" spans="1:23" ht="45" customHeight="1" x14ac:dyDescent="0.25">
      <c r="B573" s="3" t="str">
        <f>IFERROR(ROUND(INDEX('PROJETO PERFURAÇÃO'!$AB:$AB,MATCH(MEDIÇÃO!D573,'PROJETO PERFURAÇÃO'!$B:$B,0)),1)&amp;"''","")</f>
        <v/>
      </c>
      <c r="C573" s="3" t="str">
        <f>IFERROR(IF(INDEX('PROJETO PERFURAÇÃO'!$P:$P,MATCH(MEDIÇÃO!D573,'PROJETO PERFURAÇÃO'!$B:$B,0))="Production","P",IF(INDEX('PROJETO PERFURAÇÃO'!$P:$P,MATCH(MEDIÇÃO!D573,'PROJETO PERFURAÇÃO'!$B:$B,0))="Buffer","B",IF(INDEX('PROJETO PERFURAÇÃO'!$P:$P,MATCH(MEDIÇÃO!D573,'PROJETO PERFURAÇÃO'!$B:$B,0))="Pre-Splitting","S"))),"")</f>
        <v/>
      </c>
      <c r="D573" s="14">
        <f t="shared" si="54"/>
        <v>1253</v>
      </c>
      <c r="E573" s="4" t="str">
        <f>IFERROR(INDEX('LEV R&amp;D'!$D:$D,MATCH(MEDIÇÃO!D573,'LEV R&amp;D'!$A:$A,0))-INDEX('PROJETO PERFURAÇÃO'!$AH:$AH,MATCH(MEDIÇÃO!D573,'PROJETO PERFURAÇÃO'!$B:$B,0)),"")</f>
        <v/>
      </c>
      <c r="F573" s="8" t="str">
        <f>IFERROR(INDEX('PROJETO PERFURAÇÃO'!$AN:$AN,MATCH(MEDIÇÃO!D573,'PROJETO PERFURAÇÃO'!$B:$B,0)),"")</f>
        <v/>
      </c>
      <c r="G573" s="3"/>
      <c r="H573" s="3"/>
      <c r="I573" s="3" t="str">
        <f>IFERROR(ROUND(INDEX('PROJETO PERFURAÇÃO'!$AB:$AB,MATCH(MEDIÇÃO!K573,'PROJETO PERFURAÇÃO'!$B:$B,0)),1)&amp;"''","")</f>
        <v/>
      </c>
      <c r="J573" s="3" t="str">
        <f>IFERROR(IF(INDEX('PROJETO PERFURAÇÃO'!$P:$P,MATCH(MEDIÇÃO!K573,'PROJETO PERFURAÇÃO'!$B:$B,0))="Production","P",IF(INDEX('PROJETO PERFURAÇÃO'!$P:$P,MATCH(MEDIÇÃO!K573,'PROJETO PERFURAÇÃO'!$B:$B,0))="Buffer","B",IF(INDEX('PROJETO PERFURAÇÃO'!$P:$P,MATCH(MEDIÇÃO!K573,'PROJETO PERFURAÇÃO'!$B:$B,0))="Pre-Splitting","S"))),"")</f>
        <v/>
      </c>
      <c r="K573" s="14">
        <f t="shared" si="55"/>
        <v>1276</v>
      </c>
      <c r="L573" s="4" t="str">
        <f>IFERROR(INDEX('LEV R&amp;D'!$D:$D,MATCH(MEDIÇÃO!K573,'LEV R&amp;D'!$A:$A,0))-INDEX('PROJETO PERFURAÇÃO'!$AH:$AH,MATCH(MEDIÇÃO!K573,'PROJETO PERFURAÇÃO'!$B:$B,0)),"")</f>
        <v/>
      </c>
      <c r="M573" s="8" t="str">
        <f>IFERROR(INDEX('PROJETO PERFURAÇÃO'!$AN:$AN,MATCH(MEDIÇÃO!K573,'PROJETO PERFURAÇÃO'!$B:$B,0)),"")</f>
        <v/>
      </c>
      <c r="N573" s="3"/>
      <c r="O573" s="3"/>
      <c r="P573" s="3" t="str">
        <f>IFERROR(ROUND(INDEX('PROJETO PERFURAÇÃO'!$AB:$AB,MATCH(MEDIÇÃO!R573,'PROJETO PERFURAÇÃO'!$B:$B,0)),1)&amp;"''","")</f>
        <v/>
      </c>
      <c r="Q573" s="3" t="str">
        <f>IFERROR(IF(INDEX('PROJETO PERFURAÇÃO'!$P:$P,MATCH(MEDIÇÃO!R573,'PROJETO PERFURAÇÃO'!$B:$B,0))="Production","P",IF(INDEX('PROJETO PERFURAÇÃO'!$P:$P,MATCH(MEDIÇÃO!R573,'PROJETO PERFURAÇÃO'!$B:$B,0))="Buffer","B",IF(INDEX('PROJETO PERFURAÇÃO'!$P:$P,MATCH(MEDIÇÃO!R573,'PROJETO PERFURAÇÃO'!$B:$B,0))="Pre-Splitting","S"))),"")</f>
        <v/>
      </c>
      <c r="R573" s="14">
        <f t="shared" si="56"/>
        <v>1299</v>
      </c>
      <c r="S573" s="4" t="str">
        <f>IFERROR(INDEX('LEV R&amp;D'!$D:$D,MATCH(MEDIÇÃO!R573,'LEV R&amp;D'!$A:$A,0))-INDEX('PROJETO PERFURAÇÃO'!$AH:$AH,MATCH(MEDIÇÃO!R573,'PROJETO PERFURAÇÃO'!$B:$B,0)),"")</f>
        <v/>
      </c>
      <c r="T573" s="8" t="str">
        <f>IFERROR(INDEX('PROJETO PERFURAÇÃO'!$AN:$AN,MATCH(MEDIÇÃO!R573,'PROJETO PERFURAÇÃO'!$B:$B,0)),"")</f>
        <v/>
      </c>
      <c r="U573" s="3"/>
      <c r="V573" s="3"/>
    </row>
    <row r="574" spans="1:23" ht="45" customHeight="1" x14ac:dyDescent="0.25">
      <c r="B574" s="3" t="str">
        <f>IFERROR(ROUND(INDEX('PROJETO PERFURAÇÃO'!$AB:$AB,MATCH(MEDIÇÃO!D574,'PROJETO PERFURAÇÃO'!$B:$B,0)),1)&amp;"''","")</f>
        <v/>
      </c>
      <c r="C574" s="3" t="str">
        <f>IFERROR(IF(INDEX('PROJETO PERFURAÇÃO'!$P:$P,MATCH(MEDIÇÃO!D574,'PROJETO PERFURAÇÃO'!$B:$B,0))="Production","P",IF(INDEX('PROJETO PERFURAÇÃO'!$P:$P,MATCH(MEDIÇÃO!D574,'PROJETO PERFURAÇÃO'!$B:$B,0))="Buffer","B",IF(INDEX('PROJETO PERFURAÇÃO'!$P:$P,MATCH(MEDIÇÃO!D574,'PROJETO PERFURAÇÃO'!$B:$B,0))="Pre-Splitting","S"))),"")</f>
        <v/>
      </c>
      <c r="D574" s="14">
        <f t="shared" si="54"/>
        <v>1254</v>
      </c>
      <c r="E574" s="4" t="str">
        <f>IFERROR(INDEX('LEV R&amp;D'!$D:$D,MATCH(MEDIÇÃO!D574,'LEV R&amp;D'!$A:$A,0))-INDEX('PROJETO PERFURAÇÃO'!$AH:$AH,MATCH(MEDIÇÃO!D574,'PROJETO PERFURAÇÃO'!$B:$B,0)),"")</f>
        <v/>
      </c>
      <c r="F574" s="8" t="str">
        <f>IFERROR(INDEX('PROJETO PERFURAÇÃO'!$AN:$AN,MATCH(MEDIÇÃO!D574,'PROJETO PERFURAÇÃO'!$B:$B,0)),"")</f>
        <v/>
      </c>
      <c r="G574" s="3"/>
      <c r="H574" s="3"/>
      <c r="I574" s="3" t="str">
        <f>IFERROR(ROUND(INDEX('PROJETO PERFURAÇÃO'!$AB:$AB,MATCH(MEDIÇÃO!K574,'PROJETO PERFURAÇÃO'!$B:$B,0)),1)&amp;"''","")</f>
        <v/>
      </c>
      <c r="J574" s="3" t="str">
        <f>IFERROR(IF(INDEX('PROJETO PERFURAÇÃO'!$P:$P,MATCH(MEDIÇÃO!K574,'PROJETO PERFURAÇÃO'!$B:$B,0))="Production","P",IF(INDEX('PROJETO PERFURAÇÃO'!$P:$P,MATCH(MEDIÇÃO!K574,'PROJETO PERFURAÇÃO'!$B:$B,0))="Buffer","B",IF(INDEX('PROJETO PERFURAÇÃO'!$P:$P,MATCH(MEDIÇÃO!K574,'PROJETO PERFURAÇÃO'!$B:$B,0))="Pre-Splitting","S"))),"")</f>
        <v/>
      </c>
      <c r="K574" s="14">
        <f t="shared" si="55"/>
        <v>1277</v>
      </c>
      <c r="L574" s="4" t="str">
        <f>IFERROR(INDEX('LEV R&amp;D'!$D:$D,MATCH(MEDIÇÃO!K574,'LEV R&amp;D'!$A:$A,0))-INDEX('PROJETO PERFURAÇÃO'!$AH:$AH,MATCH(MEDIÇÃO!K574,'PROJETO PERFURAÇÃO'!$B:$B,0)),"")</f>
        <v/>
      </c>
      <c r="M574" s="8" t="str">
        <f>IFERROR(INDEX('PROJETO PERFURAÇÃO'!$AN:$AN,MATCH(MEDIÇÃO!K574,'PROJETO PERFURAÇÃO'!$B:$B,0)),"")</f>
        <v/>
      </c>
      <c r="N574" s="3"/>
      <c r="O574" s="3"/>
      <c r="P574" s="3" t="str">
        <f>IFERROR(ROUND(INDEX('PROJETO PERFURAÇÃO'!$AB:$AB,MATCH(MEDIÇÃO!R574,'PROJETO PERFURAÇÃO'!$B:$B,0)),1)&amp;"''","")</f>
        <v/>
      </c>
      <c r="Q574" s="3" t="str">
        <f>IFERROR(IF(INDEX('PROJETO PERFURAÇÃO'!$P:$P,MATCH(MEDIÇÃO!R574,'PROJETO PERFURAÇÃO'!$B:$B,0))="Production","P",IF(INDEX('PROJETO PERFURAÇÃO'!$P:$P,MATCH(MEDIÇÃO!R574,'PROJETO PERFURAÇÃO'!$B:$B,0))="Buffer","B",IF(INDEX('PROJETO PERFURAÇÃO'!$P:$P,MATCH(MEDIÇÃO!R574,'PROJETO PERFURAÇÃO'!$B:$B,0))="Pre-Splitting","S"))),"")</f>
        <v/>
      </c>
      <c r="R574" s="14">
        <f t="shared" si="56"/>
        <v>1300</v>
      </c>
      <c r="S574" s="4" t="str">
        <f>IFERROR(INDEX('LEV R&amp;D'!$D:$D,MATCH(MEDIÇÃO!R574,'LEV R&amp;D'!$A:$A,0))-INDEX('PROJETO PERFURAÇÃO'!$AH:$AH,MATCH(MEDIÇÃO!R574,'PROJETO PERFURAÇÃO'!$B:$B,0)),"")</f>
        <v/>
      </c>
      <c r="T574" s="8" t="str">
        <f>IFERROR(INDEX('PROJETO PERFURAÇÃO'!$AN:$AN,MATCH(MEDIÇÃO!R574,'PROJETO PERFURAÇÃO'!$B:$B,0)),"")</f>
        <v/>
      </c>
      <c r="U574" s="3"/>
      <c r="V574" s="3"/>
    </row>
    <row r="575" spans="1:23" ht="45" customHeight="1" x14ac:dyDescent="0.25">
      <c r="B575" s="3" t="str">
        <f>IFERROR(ROUND(INDEX('PROJETO PERFURAÇÃO'!$AB:$AB,MATCH(MEDIÇÃO!D575,'PROJETO PERFURAÇÃO'!$B:$B,0)),1)&amp;"''","")</f>
        <v/>
      </c>
      <c r="C575" s="3" t="str">
        <f>IFERROR(IF(INDEX('PROJETO PERFURAÇÃO'!$P:$P,MATCH(MEDIÇÃO!D575,'PROJETO PERFURAÇÃO'!$B:$B,0))="Production","P",IF(INDEX('PROJETO PERFURAÇÃO'!$P:$P,MATCH(MEDIÇÃO!D575,'PROJETO PERFURAÇÃO'!$B:$B,0))="Buffer","B",IF(INDEX('PROJETO PERFURAÇÃO'!$P:$P,MATCH(MEDIÇÃO!D575,'PROJETO PERFURAÇÃO'!$B:$B,0))="Pre-Splitting","S"))),"")</f>
        <v/>
      </c>
      <c r="D575" s="14">
        <f t="shared" si="54"/>
        <v>1255</v>
      </c>
      <c r="E575" s="4" t="str">
        <f>IFERROR(INDEX('LEV R&amp;D'!$D:$D,MATCH(MEDIÇÃO!D575,'LEV R&amp;D'!$A:$A,0))-INDEX('PROJETO PERFURAÇÃO'!$AH:$AH,MATCH(MEDIÇÃO!D575,'PROJETO PERFURAÇÃO'!$B:$B,0)),"")</f>
        <v/>
      </c>
      <c r="F575" s="8" t="str">
        <f>IFERROR(INDEX('PROJETO PERFURAÇÃO'!$AN:$AN,MATCH(MEDIÇÃO!D575,'PROJETO PERFURAÇÃO'!$B:$B,0)),"")</f>
        <v/>
      </c>
      <c r="G575" s="3"/>
      <c r="H575" s="3"/>
      <c r="I575" s="3" t="str">
        <f>IFERROR(ROUND(INDEX('PROJETO PERFURAÇÃO'!$AB:$AB,MATCH(MEDIÇÃO!K575,'PROJETO PERFURAÇÃO'!$B:$B,0)),1)&amp;"''","")</f>
        <v/>
      </c>
      <c r="J575" s="3" t="str">
        <f>IFERROR(IF(INDEX('PROJETO PERFURAÇÃO'!$P:$P,MATCH(MEDIÇÃO!K575,'PROJETO PERFURAÇÃO'!$B:$B,0))="Production","P",IF(INDEX('PROJETO PERFURAÇÃO'!$P:$P,MATCH(MEDIÇÃO!K575,'PROJETO PERFURAÇÃO'!$B:$B,0))="Buffer","B",IF(INDEX('PROJETO PERFURAÇÃO'!$P:$P,MATCH(MEDIÇÃO!K575,'PROJETO PERFURAÇÃO'!$B:$B,0))="Pre-Splitting","S"))),"")</f>
        <v/>
      </c>
      <c r="K575" s="14">
        <f t="shared" si="55"/>
        <v>1278</v>
      </c>
      <c r="L575" s="4" t="str">
        <f>IFERROR(INDEX('LEV R&amp;D'!$D:$D,MATCH(MEDIÇÃO!K575,'LEV R&amp;D'!$A:$A,0))-INDEX('PROJETO PERFURAÇÃO'!$AH:$AH,MATCH(MEDIÇÃO!K575,'PROJETO PERFURAÇÃO'!$B:$B,0)),"")</f>
        <v/>
      </c>
      <c r="M575" s="8" t="str">
        <f>IFERROR(INDEX('PROJETO PERFURAÇÃO'!$AN:$AN,MATCH(MEDIÇÃO!K575,'PROJETO PERFURAÇÃO'!$B:$B,0)),"")</f>
        <v/>
      </c>
      <c r="N575" s="3"/>
      <c r="O575" s="3"/>
      <c r="P575" s="3" t="str">
        <f>IFERROR(ROUND(INDEX('PROJETO PERFURAÇÃO'!$AB:$AB,MATCH(MEDIÇÃO!R575,'PROJETO PERFURAÇÃO'!$B:$B,0)),1)&amp;"''","")</f>
        <v/>
      </c>
      <c r="Q575" s="3" t="str">
        <f>IFERROR(IF(INDEX('PROJETO PERFURAÇÃO'!$P:$P,MATCH(MEDIÇÃO!R575,'PROJETO PERFURAÇÃO'!$B:$B,0))="Production","P",IF(INDEX('PROJETO PERFURAÇÃO'!$P:$P,MATCH(MEDIÇÃO!R575,'PROJETO PERFURAÇÃO'!$B:$B,0))="Buffer","B",IF(INDEX('PROJETO PERFURAÇÃO'!$P:$P,MATCH(MEDIÇÃO!R575,'PROJETO PERFURAÇÃO'!$B:$B,0))="Pre-Splitting","S"))),"")</f>
        <v/>
      </c>
      <c r="R575" s="14">
        <f t="shared" si="56"/>
        <v>1301</v>
      </c>
      <c r="S575" s="4" t="str">
        <f>IFERROR(INDEX('LEV R&amp;D'!$D:$D,MATCH(MEDIÇÃO!R575,'LEV R&amp;D'!$A:$A,0))-INDEX('PROJETO PERFURAÇÃO'!$AH:$AH,MATCH(MEDIÇÃO!R575,'PROJETO PERFURAÇÃO'!$B:$B,0)),"")</f>
        <v/>
      </c>
      <c r="T575" s="8" t="str">
        <f>IFERROR(INDEX('PROJETO PERFURAÇÃO'!$AN:$AN,MATCH(MEDIÇÃO!R575,'PROJETO PERFURAÇÃO'!$B:$B,0)),"")</f>
        <v/>
      </c>
      <c r="U575" s="3"/>
      <c r="V575" s="3"/>
    </row>
    <row r="576" spans="1:23" ht="45" customHeight="1" x14ac:dyDescent="0.25">
      <c r="B576" s="3" t="str">
        <f>IFERROR(ROUND(INDEX('PROJETO PERFURAÇÃO'!$AB:$AB,MATCH(MEDIÇÃO!D576,'PROJETO PERFURAÇÃO'!$B:$B,0)),1)&amp;"''","")</f>
        <v/>
      </c>
      <c r="C576" s="3" t="str">
        <f>IFERROR(IF(INDEX('PROJETO PERFURAÇÃO'!$P:$P,MATCH(MEDIÇÃO!D576,'PROJETO PERFURAÇÃO'!$B:$B,0))="Production","P",IF(INDEX('PROJETO PERFURAÇÃO'!$P:$P,MATCH(MEDIÇÃO!D576,'PROJETO PERFURAÇÃO'!$B:$B,0))="Buffer","B",IF(INDEX('PROJETO PERFURAÇÃO'!$P:$P,MATCH(MEDIÇÃO!D576,'PROJETO PERFURAÇÃO'!$B:$B,0))="Pre-Splitting","S"))),"")</f>
        <v/>
      </c>
      <c r="D576" s="14">
        <f t="shared" si="54"/>
        <v>1256</v>
      </c>
      <c r="E576" s="4" t="str">
        <f>IFERROR(INDEX('LEV R&amp;D'!$D:$D,MATCH(MEDIÇÃO!D576,'LEV R&amp;D'!$A:$A,0))-INDEX('PROJETO PERFURAÇÃO'!$AH:$AH,MATCH(MEDIÇÃO!D576,'PROJETO PERFURAÇÃO'!$B:$B,0)),"")</f>
        <v/>
      </c>
      <c r="F576" s="8" t="str">
        <f>IFERROR(INDEX('PROJETO PERFURAÇÃO'!$AN:$AN,MATCH(MEDIÇÃO!D576,'PROJETO PERFURAÇÃO'!$B:$B,0)),"")</f>
        <v/>
      </c>
      <c r="G576" s="3"/>
      <c r="H576" s="3"/>
      <c r="I576" s="3" t="str">
        <f>IFERROR(ROUND(INDEX('PROJETO PERFURAÇÃO'!$AB:$AB,MATCH(MEDIÇÃO!K576,'PROJETO PERFURAÇÃO'!$B:$B,0)),1)&amp;"''","")</f>
        <v/>
      </c>
      <c r="J576" s="3" t="str">
        <f>IFERROR(IF(INDEX('PROJETO PERFURAÇÃO'!$P:$P,MATCH(MEDIÇÃO!K576,'PROJETO PERFURAÇÃO'!$B:$B,0))="Production","P",IF(INDEX('PROJETO PERFURAÇÃO'!$P:$P,MATCH(MEDIÇÃO!K576,'PROJETO PERFURAÇÃO'!$B:$B,0))="Buffer","B",IF(INDEX('PROJETO PERFURAÇÃO'!$P:$P,MATCH(MEDIÇÃO!K576,'PROJETO PERFURAÇÃO'!$B:$B,0))="Pre-Splitting","S"))),"")</f>
        <v/>
      </c>
      <c r="K576" s="14">
        <f t="shared" si="55"/>
        <v>1279</v>
      </c>
      <c r="L576" s="4" t="str">
        <f>IFERROR(INDEX('LEV R&amp;D'!$D:$D,MATCH(MEDIÇÃO!K576,'LEV R&amp;D'!$A:$A,0))-INDEX('PROJETO PERFURAÇÃO'!$AH:$AH,MATCH(MEDIÇÃO!K576,'PROJETO PERFURAÇÃO'!$B:$B,0)),"")</f>
        <v/>
      </c>
      <c r="M576" s="8" t="str">
        <f>IFERROR(INDEX('PROJETO PERFURAÇÃO'!$AN:$AN,MATCH(MEDIÇÃO!K576,'PROJETO PERFURAÇÃO'!$B:$B,0)),"")</f>
        <v/>
      </c>
      <c r="N576" s="3"/>
      <c r="O576" s="3"/>
      <c r="P576" s="3" t="str">
        <f>IFERROR(ROUND(INDEX('PROJETO PERFURAÇÃO'!$AB:$AB,MATCH(MEDIÇÃO!R576,'PROJETO PERFURAÇÃO'!$B:$B,0)),1)&amp;"''","")</f>
        <v/>
      </c>
      <c r="Q576" s="3" t="str">
        <f>IFERROR(IF(INDEX('PROJETO PERFURAÇÃO'!$P:$P,MATCH(MEDIÇÃO!R576,'PROJETO PERFURAÇÃO'!$B:$B,0))="Production","P",IF(INDEX('PROJETO PERFURAÇÃO'!$P:$P,MATCH(MEDIÇÃO!R576,'PROJETO PERFURAÇÃO'!$B:$B,0))="Buffer","B",IF(INDEX('PROJETO PERFURAÇÃO'!$P:$P,MATCH(MEDIÇÃO!R576,'PROJETO PERFURAÇÃO'!$B:$B,0))="Pre-Splitting","S"))),"")</f>
        <v/>
      </c>
      <c r="R576" s="14">
        <f t="shared" si="56"/>
        <v>1302</v>
      </c>
      <c r="S576" s="4" t="str">
        <f>IFERROR(INDEX('LEV R&amp;D'!$D:$D,MATCH(MEDIÇÃO!R576,'LEV R&amp;D'!$A:$A,0))-INDEX('PROJETO PERFURAÇÃO'!$AH:$AH,MATCH(MEDIÇÃO!R576,'PROJETO PERFURAÇÃO'!$B:$B,0)),"")</f>
        <v/>
      </c>
      <c r="T576" s="8" t="str">
        <f>IFERROR(INDEX('PROJETO PERFURAÇÃO'!$AN:$AN,MATCH(MEDIÇÃO!R576,'PROJETO PERFURAÇÃO'!$B:$B,0)),"")</f>
        <v/>
      </c>
      <c r="U576" s="3"/>
      <c r="V576" s="3"/>
    </row>
    <row r="577" spans="2:22" ht="45" customHeight="1" x14ac:dyDescent="0.25">
      <c r="B577" s="3" t="str">
        <f>IFERROR(ROUND(INDEX('PROJETO PERFURAÇÃO'!$AB:$AB,MATCH(MEDIÇÃO!D577,'PROJETO PERFURAÇÃO'!$B:$B,0)),1)&amp;"''","")</f>
        <v/>
      </c>
      <c r="C577" s="3" t="str">
        <f>IFERROR(IF(INDEX('PROJETO PERFURAÇÃO'!$P:$P,MATCH(MEDIÇÃO!D577,'PROJETO PERFURAÇÃO'!$B:$B,0))="Production","P",IF(INDEX('PROJETO PERFURAÇÃO'!$P:$P,MATCH(MEDIÇÃO!D577,'PROJETO PERFURAÇÃO'!$B:$B,0))="Buffer","B",IF(INDEX('PROJETO PERFURAÇÃO'!$P:$P,MATCH(MEDIÇÃO!D577,'PROJETO PERFURAÇÃO'!$B:$B,0))="Pre-Splitting","S"))),"")</f>
        <v/>
      </c>
      <c r="D577" s="14">
        <f t="shared" si="54"/>
        <v>1257</v>
      </c>
      <c r="E577" s="4" t="str">
        <f>IFERROR(INDEX('LEV R&amp;D'!$D:$D,MATCH(MEDIÇÃO!D577,'LEV R&amp;D'!$A:$A,0))-INDEX('PROJETO PERFURAÇÃO'!$AH:$AH,MATCH(MEDIÇÃO!D577,'PROJETO PERFURAÇÃO'!$B:$B,0)),"")</f>
        <v/>
      </c>
      <c r="F577" s="8" t="str">
        <f>IFERROR(INDEX('PROJETO PERFURAÇÃO'!$AN:$AN,MATCH(MEDIÇÃO!D577,'PROJETO PERFURAÇÃO'!$B:$B,0)),"")</f>
        <v/>
      </c>
      <c r="G577" s="3"/>
      <c r="H577" s="3"/>
      <c r="I577" s="3" t="str">
        <f>IFERROR(ROUND(INDEX('PROJETO PERFURAÇÃO'!$AB:$AB,MATCH(MEDIÇÃO!K577,'PROJETO PERFURAÇÃO'!$B:$B,0)),1)&amp;"''","")</f>
        <v/>
      </c>
      <c r="J577" s="3" t="str">
        <f>IFERROR(IF(INDEX('PROJETO PERFURAÇÃO'!$P:$P,MATCH(MEDIÇÃO!K577,'PROJETO PERFURAÇÃO'!$B:$B,0))="Production","P",IF(INDEX('PROJETO PERFURAÇÃO'!$P:$P,MATCH(MEDIÇÃO!K577,'PROJETO PERFURAÇÃO'!$B:$B,0))="Buffer","B",IF(INDEX('PROJETO PERFURAÇÃO'!$P:$P,MATCH(MEDIÇÃO!K577,'PROJETO PERFURAÇÃO'!$B:$B,0))="Pre-Splitting","S"))),"")</f>
        <v/>
      </c>
      <c r="K577" s="14">
        <f t="shared" si="55"/>
        <v>1280</v>
      </c>
      <c r="L577" s="4" t="str">
        <f>IFERROR(INDEX('LEV R&amp;D'!$D:$D,MATCH(MEDIÇÃO!K577,'LEV R&amp;D'!$A:$A,0))-INDEX('PROJETO PERFURAÇÃO'!$AH:$AH,MATCH(MEDIÇÃO!K577,'PROJETO PERFURAÇÃO'!$B:$B,0)),"")</f>
        <v/>
      </c>
      <c r="M577" s="8" t="str">
        <f>IFERROR(INDEX('PROJETO PERFURAÇÃO'!$AN:$AN,MATCH(MEDIÇÃO!K577,'PROJETO PERFURAÇÃO'!$B:$B,0)),"")</f>
        <v/>
      </c>
      <c r="N577" s="3"/>
      <c r="O577" s="3"/>
      <c r="P577" s="3" t="str">
        <f>IFERROR(ROUND(INDEX('PROJETO PERFURAÇÃO'!$AB:$AB,MATCH(MEDIÇÃO!R577,'PROJETO PERFURAÇÃO'!$B:$B,0)),1)&amp;"''","")</f>
        <v/>
      </c>
      <c r="Q577" s="3" t="str">
        <f>IFERROR(IF(INDEX('PROJETO PERFURAÇÃO'!$P:$P,MATCH(MEDIÇÃO!R577,'PROJETO PERFURAÇÃO'!$B:$B,0))="Production","P",IF(INDEX('PROJETO PERFURAÇÃO'!$P:$P,MATCH(MEDIÇÃO!R577,'PROJETO PERFURAÇÃO'!$B:$B,0))="Buffer","B",IF(INDEX('PROJETO PERFURAÇÃO'!$P:$P,MATCH(MEDIÇÃO!R577,'PROJETO PERFURAÇÃO'!$B:$B,0))="Pre-Splitting","S"))),"")</f>
        <v/>
      </c>
      <c r="R577" s="14">
        <f t="shared" si="56"/>
        <v>1303</v>
      </c>
      <c r="S577" s="4" t="str">
        <f>IFERROR(INDEX('LEV R&amp;D'!$D:$D,MATCH(MEDIÇÃO!R577,'LEV R&amp;D'!$A:$A,0))-INDEX('PROJETO PERFURAÇÃO'!$AH:$AH,MATCH(MEDIÇÃO!R577,'PROJETO PERFURAÇÃO'!$B:$B,0)),"")</f>
        <v/>
      </c>
      <c r="T577" s="8" t="str">
        <f>IFERROR(INDEX('PROJETO PERFURAÇÃO'!$AN:$AN,MATCH(MEDIÇÃO!R577,'PROJETO PERFURAÇÃO'!$B:$B,0)),"")</f>
        <v/>
      </c>
      <c r="U577" s="3"/>
      <c r="V577" s="3"/>
    </row>
    <row r="578" spans="2:22" ht="45" customHeight="1" x14ac:dyDescent="0.25">
      <c r="B578" s="3" t="str">
        <f>IFERROR(ROUND(INDEX('PROJETO PERFURAÇÃO'!$AB:$AB,MATCH(MEDIÇÃO!D578,'PROJETO PERFURAÇÃO'!$B:$B,0)),1)&amp;"''","")</f>
        <v/>
      </c>
      <c r="C578" s="3" t="str">
        <f>IFERROR(IF(INDEX('PROJETO PERFURAÇÃO'!$P:$P,MATCH(MEDIÇÃO!D578,'PROJETO PERFURAÇÃO'!$B:$B,0))="Production","P",IF(INDEX('PROJETO PERFURAÇÃO'!$P:$P,MATCH(MEDIÇÃO!D578,'PROJETO PERFURAÇÃO'!$B:$B,0))="Buffer","B",IF(INDEX('PROJETO PERFURAÇÃO'!$P:$P,MATCH(MEDIÇÃO!D578,'PROJETO PERFURAÇÃO'!$B:$B,0))="Pre-Splitting","S"))),"")</f>
        <v/>
      </c>
      <c r="D578" s="14">
        <f t="shared" si="54"/>
        <v>1258</v>
      </c>
      <c r="E578" s="4" t="str">
        <f>IFERROR(INDEX('LEV R&amp;D'!$D:$D,MATCH(MEDIÇÃO!D578,'LEV R&amp;D'!$A:$A,0))-INDEX('PROJETO PERFURAÇÃO'!$AH:$AH,MATCH(MEDIÇÃO!D578,'PROJETO PERFURAÇÃO'!$B:$B,0)),"")</f>
        <v/>
      </c>
      <c r="F578" s="8" t="str">
        <f>IFERROR(INDEX('PROJETO PERFURAÇÃO'!$AN:$AN,MATCH(MEDIÇÃO!D578,'PROJETO PERFURAÇÃO'!$B:$B,0)),"")</f>
        <v/>
      </c>
      <c r="G578" s="3"/>
      <c r="H578" s="3"/>
      <c r="I578" s="3" t="str">
        <f>IFERROR(ROUND(INDEX('PROJETO PERFURAÇÃO'!$AB:$AB,MATCH(MEDIÇÃO!K578,'PROJETO PERFURAÇÃO'!$B:$B,0)),1)&amp;"''","")</f>
        <v/>
      </c>
      <c r="J578" s="3" t="str">
        <f>IFERROR(IF(INDEX('PROJETO PERFURAÇÃO'!$P:$P,MATCH(MEDIÇÃO!K578,'PROJETO PERFURAÇÃO'!$B:$B,0))="Production","P",IF(INDEX('PROJETO PERFURAÇÃO'!$P:$P,MATCH(MEDIÇÃO!K578,'PROJETO PERFURAÇÃO'!$B:$B,0))="Buffer","B",IF(INDEX('PROJETO PERFURAÇÃO'!$P:$P,MATCH(MEDIÇÃO!K578,'PROJETO PERFURAÇÃO'!$B:$B,0))="Pre-Splitting","S"))),"")</f>
        <v/>
      </c>
      <c r="K578" s="14">
        <f t="shared" si="55"/>
        <v>1281</v>
      </c>
      <c r="L578" s="4" t="str">
        <f>IFERROR(INDEX('LEV R&amp;D'!$D:$D,MATCH(MEDIÇÃO!K578,'LEV R&amp;D'!$A:$A,0))-INDEX('PROJETO PERFURAÇÃO'!$AH:$AH,MATCH(MEDIÇÃO!K578,'PROJETO PERFURAÇÃO'!$B:$B,0)),"")</f>
        <v/>
      </c>
      <c r="M578" s="8" t="str">
        <f>IFERROR(INDEX('PROJETO PERFURAÇÃO'!$AN:$AN,MATCH(MEDIÇÃO!K578,'PROJETO PERFURAÇÃO'!$B:$B,0)),"")</f>
        <v/>
      </c>
      <c r="N578" s="3"/>
      <c r="O578" s="3"/>
      <c r="P578" s="3" t="str">
        <f>IFERROR(ROUND(INDEX('PROJETO PERFURAÇÃO'!$AB:$AB,MATCH(MEDIÇÃO!R578,'PROJETO PERFURAÇÃO'!$B:$B,0)),1)&amp;"''","")</f>
        <v/>
      </c>
      <c r="Q578" s="3" t="str">
        <f>IFERROR(IF(INDEX('PROJETO PERFURAÇÃO'!$P:$P,MATCH(MEDIÇÃO!R578,'PROJETO PERFURAÇÃO'!$B:$B,0))="Production","P",IF(INDEX('PROJETO PERFURAÇÃO'!$P:$P,MATCH(MEDIÇÃO!R578,'PROJETO PERFURAÇÃO'!$B:$B,0))="Buffer","B",IF(INDEX('PROJETO PERFURAÇÃO'!$P:$P,MATCH(MEDIÇÃO!R578,'PROJETO PERFURAÇÃO'!$B:$B,0))="Pre-Splitting","S"))),"")</f>
        <v/>
      </c>
      <c r="R578" s="14">
        <f t="shared" si="56"/>
        <v>1304</v>
      </c>
      <c r="S578" s="4" t="str">
        <f>IFERROR(INDEX('LEV R&amp;D'!$D:$D,MATCH(MEDIÇÃO!R578,'LEV R&amp;D'!$A:$A,0))-INDEX('PROJETO PERFURAÇÃO'!$AH:$AH,MATCH(MEDIÇÃO!R578,'PROJETO PERFURAÇÃO'!$B:$B,0)),"")</f>
        <v/>
      </c>
      <c r="T578" s="8" t="str">
        <f>IFERROR(INDEX('PROJETO PERFURAÇÃO'!$AN:$AN,MATCH(MEDIÇÃO!R578,'PROJETO PERFURAÇÃO'!$B:$B,0)),"")</f>
        <v/>
      </c>
      <c r="U578" s="3"/>
      <c r="V578" s="3"/>
    </row>
    <row r="579" spans="2:22" ht="45" customHeight="1" x14ac:dyDescent="0.25">
      <c r="B579" s="3" t="str">
        <f>IFERROR(ROUND(INDEX('PROJETO PERFURAÇÃO'!$AB:$AB,MATCH(MEDIÇÃO!D579,'PROJETO PERFURAÇÃO'!$B:$B,0)),1)&amp;"''","")</f>
        <v/>
      </c>
      <c r="C579" s="3" t="str">
        <f>IFERROR(IF(INDEX('PROJETO PERFURAÇÃO'!$P:$P,MATCH(MEDIÇÃO!D579,'PROJETO PERFURAÇÃO'!$B:$B,0))="Production","P",IF(INDEX('PROJETO PERFURAÇÃO'!$P:$P,MATCH(MEDIÇÃO!D579,'PROJETO PERFURAÇÃO'!$B:$B,0))="Buffer","B",IF(INDEX('PROJETO PERFURAÇÃO'!$P:$P,MATCH(MEDIÇÃO!D579,'PROJETO PERFURAÇÃO'!$B:$B,0))="Pre-Splitting","S"))),"")</f>
        <v/>
      </c>
      <c r="D579" s="14">
        <f t="shared" si="54"/>
        <v>1259</v>
      </c>
      <c r="E579" s="4" t="str">
        <f>IFERROR(INDEX('LEV R&amp;D'!$D:$D,MATCH(MEDIÇÃO!D579,'LEV R&amp;D'!$A:$A,0))-INDEX('PROJETO PERFURAÇÃO'!$AH:$AH,MATCH(MEDIÇÃO!D579,'PROJETO PERFURAÇÃO'!$B:$B,0)),"")</f>
        <v/>
      </c>
      <c r="F579" s="8" t="str">
        <f>IFERROR(INDEX('PROJETO PERFURAÇÃO'!$AN:$AN,MATCH(MEDIÇÃO!D579,'PROJETO PERFURAÇÃO'!$B:$B,0)),"")</f>
        <v/>
      </c>
      <c r="G579" s="3"/>
      <c r="H579" s="3"/>
      <c r="I579" s="3" t="str">
        <f>IFERROR(ROUND(INDEX('PROJETO PERFURAÇÃO'!$AB:$AB,MATCH(MEDIÇÃO!K579,'PROJETO PERFURAÇÃO'!$B:$B,0)),1)&amp;"''","")</f>
        <v/>
      </c>
      <c r="J579" s="3" t="str">
        <f>IFERROR(IF(INDEX('PROJETO PERFURAÇÃO'!$P:$P,MATCH(MEDIÇÃO!K579,'PROJETO PERFURAÇÃO'!$B:$B,0))="Production","P",IF(INDEX('PROJETO PERFURAÇÃO'!$P:$P,MATCH(MEDIÇÃO!K579,'PROJETO PERFURAÇÃO'!$B:$B,0))="Buffer","B",IF(INDEX('PROJETO PERFURAÇÃO'!$P:$P,MATCH(MEDIÇÃO!K579,'PROJETO PERFURAÇÃO'!$B:$B,0))="Pre-Splitting","S"))),"")</f>
        <v/>
      </c>
      <c r="K579" s="14">
        <f t="shared" si="55"/>
        <v>1282</v>
      </c>
      <c r="L579" s="4" t="str">
        <f>IFERROR(INDEX('LEV R&amp;D'!$D:$D,MATCH(MEDIÇÃO!K579,'LEV R&amp;D'!$A:$A,0))-INDEX('PROJETO PERFURAÇÃO'!$AH:$AH,MATCH(MEDIÇÃO!K579,'PROJETO PERFURAÇÃO'!$B:$B,0)),"")</f>
        <v/>
      </c>
      <c r="M579" s="8" t="str">
        <f>IFERROR(INDEX('PROJETO PERFURAÇÃO'!$AN:$AN,MATCH(MEDIÇÃO!K579,'PROJETO PERFURAÇÃO'!$B:$B,0)),"")</f>
        <v/>
      </c>
      <c r="N579" s="3"/>
      <c r="O579" s="3"/>
      <c r="P579" s="3" t="str">
        <f>IFERROR(ROUND(INDEX('PROJETO PERFURAÇÃO'!$AB:$AB,MATCH(MEDIÇÃO!R579,'PROJETO PERFURAÇÃO'!$B:$B,0)),1)&amp;"''","")</f>
        <v/>
      </c>
      <c r="Q579" s="3" t="str">
        <f>IFERROR(IF(INDEX('PROJETO PERFURAÇÃO'!$P:$P,MATCH(MEDIÇÃO!R579,'PROJETO PERFURAÇÃO'!$B:$B,0))="Production","P",IF(INDEX('PROJETO PERFURAÇÃO'!$P:$P,MATCH(MEDIÇÃO!R579,'PROJETO PERFURAÇÃO'!$B:$B,0))="Buffer","B",IF(INDEX('PROJETO PERFURAÇÃO'!$P:$P,MATCH(MEDIÇÃO!R579,'PROJETO PERFURAÇÃO'!$B:$B,0))="Pre-Splitting","S"))),"")</f>
        <v/>
      </c>
      <c r="R579" s="14">
        <f t="shared" si="56"/>
        <v>1305</v>
      </c>
      <c r="S579" s="4" t="str">
        <f>IFERROR(INDEX('LEV R&amp;D'!$D:$D,MATCH(MEDIÇÃO!R579,'LEV R&amp;D'!$A:$A,0))-INDEX('PROJETO PERFURAÇÃO'!$AH:$AH,MATCH(MEDIÇÃO!R579,'PROJETO PERFURAÇÃO'!$B:$B,0)),"")</f>
        <v/>
      </c>
      <c r="T579" s="8" t="str">
        <f>IFERROR(INDEX('PROJETO PERFURAÇÃO'!$AN:$AN,MATCH(MEDIÇÃO!R579,'PROJETO PERFURAÇÃO'!$B:$B,0)),"")</f>
        <v/>
      </c>
      <c r="U579" s="3"/>
      <c r="V579" s="3"/>
    </row>
    <row r="580" spans="2:22" ht="45" customHeight="1" x14ac:dyDescent="0.25">
      <c r="B580" s="3" t="str">
        <f>IFERROR(ROUND(INDEX('PROJETO PERFURAÇÃO'!$AB:$AB,MATCH(MEDIÇÃO!D580,'PROJETO PERFURAÇÃO'!$B:$B,0)),1)&amp;"''","")</f>
        <v/>
      </c>
      <c r="C580" s="3" t="str">
        <f>IFERROR(IF(INDEX('PROJETO PERFURAÇÃO'!$P:$P,MATCH(MEDIÇÃO!D580,'PROJETO PERFURAÇÃO'!$B:$B,0))="Production","P",IF(INDEX('PROJETO PERFURAÇÃO'!$P:$P,MATCH(MEDIÇÃO!D580,'PROJETO PERFURAÇÃO'!$B:$B,0))="Buffer","B",IF(INDEX('PROJETO PERFURAÇÃO'!$P:$P,MATCH(MEDIÇÃO!D580,'PROJETO PERFURAÇÃO'!$B:$B,0))="Pre-Splitting","S"))),"")</f>
        <v/>
      </c>
      <c r="D580" s="14">
        <f t="shared" si="54"/>
        <v>1260</v>
      </c>
      <c r="E580" s="4" t="str">
        <f>IFERROR(INDEX('LEV R&amp;D'!$D:$D,MATCH(MEDIÇÃO!D580,'LEV R&amp;D'!$A:$A,0))-INDEX('PROJETO PERFURAÇÃO'!$AH:$AH,MATCH(MEDIÇÃO!D580,'PROJETO PERFURAÇÃO'!$B:$B,0)),"")</f>
        <v/>
      </c>
      <c r="F580" s="8" t="str">
        <f>IFERROR(INDEX('PROJETO PERFURAÇÃO'!$AN:$AN,MATCH(MEDIÇÃO!D580,'PROJETO PERFURAÇÃO'!$B:$B,0)),"")</f>
        <v/>
      </c>
      <c r="G580" s="3"/>
      <c r="H580" s="3"/>
      <c r="I580" s="3" t="str">
        <f>IFERROR(ROUND(INDEX('PROJETO PERFURAÇÃO'!$AB:$AB,MATCH(MEDIÇÃO!K580,'PROJETO PERFURAÇÃO'!$B:$B,0)),1)&amp;"''","")</f>
        <v/>
      </c>
      <c r="J580" s="3" t="str">
        <f>IFERROR(IF(INDEX('PROJETO PERFURAÇÃO'!$P:$P,MATCH(MEDIÇÃO!K580,'PROJETO PERFURAÇÃO'!$B:$B,0))="Production","P",IF(INDEX('PROJETO PERFURAÇÃO'!$P:$P,MATCH(MEDIÇÃO!K580,'PROJETO PERFURAÇÃO'!$B:$B,0))="Buffer","B",IF(INDEX('PROJETO PERFURAÇÃO'!$P:$P,MATCH(MEDIÇÃO!K580,'PROJETO PERFURAÇÃO'!$B:$B,0))="Pre-Splitting","S"))),"")</f>
        <v/>
      </c>
      <c r="K580" s="14">
        <f t="shared" si="55"/>
        <v>1283</v>
      </c>
      <c r="L580" s="4" t="str">
        <f>IFERROR(INDEX('LEV R&amp;D'!$D:$D,MATCH(MEDIÇÃO!K580,'LEV R&amp;D'!$A:$A,0))-INDEX('PROJETO PERFURAÇÃO'!$AH:$AH,MATCH(MEDIÇÃO!K580,'PROJETO PERFURAÇÃO'!$B:$B,0)),"")</f>
        <v/>
      </c>
      <c r="M580" s="8" t="str">
        <f>IFERROR(INDEX('PROJETO PERFURAÇÃO'!$AN:$AN,MATCH(MEDIÇÃO!K580,'PROJETO PERFURAÇÃO'!$B:$B,0)),"")</f>
        <v/>
      </c>
      <c r="N580" s="3"/>
      <c r="O580" s="3"/>
      <c r="P580" s="3" t="str">
        <f>IFERROR(ROUND(INDEX('PROJETO PERFURAÇÃO'!$AB:$AB,MATCH(MEDIÇÃO!R580,'PROJETO PERFURAÇÃO'!$B:$B,0)),1)&amp;"''","")</f>
        <v/>
      </c>
      <c r="Q580" s="3" t="str">
        <f>IFERROR(IF(INDEX('PROJETO PERFURAÇÃO'!$P:$P,MATCH(MEDIÇÃO!R580,'PROJETO PERFURAÇÃO'!$B:$B,0))="Production","P",IF(INDEX('PROJETO PERFURAÇÃO'!$P:$P,MATCH(MEDIÇÃO!R580,'PROJETO PERFURAÇÃO'!$B:$B,0))="Buffer","B",IF(INDEX('PROJETO PERFURAÇÃO'!$P:$P,MATCH(MEDIÇÃO!R580,'PROJETO PERFURAÇÃO'!$B:$B,0))="Pre-Splitting","S"))),"")</f>
        <v/>
      </c>
      <c r="R580" s="14">
        <f t="shared" si="56"/>
        <v>1306</v>
      </c>
      <c r="S580" s="4" t="str">
        <f>IFERROR(INDEX('LEV R&amp;D'!$D:$D,MATCH(MEDIÇÃO!R580,'LEV R&amp;D'!$A:$A,0))-INDEX('PROJETO PERFURAÇÃO'!$AH:$AH,MATCH(MEDIÇÃO!R580,'PROJETO PERFURAÇÃO'!$B:$B,0)),"")</f>
        <v/>
      </c>
      <c r="T580" s="8" t="str">
        <f>IFERROR(INDEX('PROJETO PERFURAÇÃO'!$AN:$AN,MATCH(MEDIÇÃO!R580,'PROJETO PERFURAÇÃO'!$B:$B,0)),"")</f>
        <v/>
      </c>
      <c r="U580" s="3"/>
      <c r="V580" s="3"/>
    </row>
    <row r="581" spans="2:22" ht="45" customHeight="1" x14ac:dyDescent="0.25">
      <c r="B581" s="3" t="str">
        <f>IFERROR(ROUND(INDEX('PROJETO PERFURAÇÃO'!$AB:$AB,MATCH(MEDIÇÃO!D581,'PROJETO PERFURAÇÃO'!$B:$B,0)),1)&amp;"''","")</f>
        <v/>
      </c>
      <c r="C581" s="3" t="str">
        <f>IFERROR(IF(INDEX('PROJETO PERFURAÇÃO'!$P:$P,MATCH(MEDIÇÃO!D581,'PROJETO PERFURAÇÃO'!$B:$B,0))="Production","P",IF(INDEX('PROJETO PERFURAÇÃO'!$P:$P,MATCH(MEDIÇÃO!D581,'PROJETO PERFURAÇÃO'!$B:$B,0))="Buffer","B",IF(INDEX('PROJETO PERFURAÇÃO'!$P:$P,MATCH(MEDIÇÃO!D581,'PROJETO PERFURAÇÃO'!$B:$B,0))="Pre-Splitting","S"))),"")</f>
        <v/>
      </c>
      <c r="D581" s="14">
        <f t="shared" si="54"/>
        <v>1261</v>
      </c>
      <c r="E581" s="4" t="str">
        <f>IFERROR(INDEX('LEV R&amp;D'!$D:$D,MATCH(MEDIÇÃO!D581,'LEV R&amp;D'!$A:$A,0))-INDEX('PROJETO PERFURAÇÃO'!$AH:$AH,MATCH(MEDIÇÃO!D581,'PROJETO PERFURAÇÃO'!$B:$B,0)),"")</f>
        <v/>
      </c>
      <c r="F581" s="8" t="str">
        <f>IFERROR(INDEX('PROJETO PERFURAÇÃO'!$AN:$AN,MATCH(MEDIÇÃO!D581,'PROJETO PERFURAÇÃO'!$B:$B,0)),"")</f>
        <v/>
      </c>
      <c r="G581" s="3"/>
      <c r="H581" s="3"/>
      <c r="I581" s="3" t="str">
        <f>IFERROR(ROUND(INDEX('PROJETO PERFURAÇÃO'!$AB:$AB,MATCH(MEDIÇÃO!K581,'PROJETO PERFURAÇÃO'!$B:$B,0)),1)&amp;"''","")</f>
        <v/>
      </c>
      <c r="J581" s="3" t="str">
        <f>IFERROR(IF(INDEX('PROJETO PERFURAÇÃO'!$P:$P,MATCH(MEDIÇÃO!K581,'PROJETO PERFURAÇÃO'!$B:$B,0))="Production","P",IF(INDEX('PROJETO PERFURAÇÃO'!$P:$P,MATCH(MEDIÇÃO!K581,'PROJETO PERFURAÇÃO'!$B:$B,0))="Buffer","B",IF(INDEX('PROJETO PERFURAÇÃO'!$P:$P,MATCH(MEDIÇÃO!K581,'PROJETO PERFURAÇÃO'!$B:$B,0))="Pre-Splitting","S"))),"")</f>
        <v/>
      </c>
      <c r="K581" s="14">
        <f t="shared" si="55"/>
        <v>1284</v>
      </c>
      <c r="L581" s="4" t="str">
        <f>IFERROR(INDEX('LEV R&amp;D'!$D:$D,MATCH(MEDIÇÃO!K581,'LEV R&amp;D'!$A:$A,0))-INDEX('PROJETO PERFURAÇÃO'!$AH:$AH,MATCH(MEDIÇÃO!K581,'PROJETO PERFURAÇÃO'!$B:$B,0)),"")</f>
        <v/>
      </c>
      <c r="M581" s="8" t="str">
        <f>IFERROR(INDEX('PROJETO PERFURAÇÃO'!$AN:$AN,MATCH(MEDIÇÃO!K581,'PROJETO PERFURAÇÃO'!$B:$B,0)),"")</f>
        <v/>
      </c>
      <c r="N581" s="3"/>
      <c r="O581" s="3"/>
      <c r="P581" s="3" t="str">
        <f>IFERROR(ROUND(INDEX('PROJETO PERFURAÇÃO'!$AB:$AB,MATCH(MEDIÇÃO!R581,'PROJETO PERFURAÇÃO'!$B:$B,0)),1)&amp;"''","")</f>
        <v/>
      </c>
      <c r="Q581" s="3" t="str">
        <f>IFERROR(IF(INDEX('PROJETO PERFURAÇÃO'!$P:$P,MATCH(MEDIÇÃO!R581,'PROJETO PERFURAÇÃO'!$B:$B,0))="Production","P",IF(INDEX('PROJETO PERFURAÇÃO'!$P:$P,MATCH(MEDIÇÃO!R581,'PROJETO PERFURAÇÃO'!$B:$B,0))="Buffer","B",IF(INDEX('PROJETO PERFURAÇÃO'!$P:$P,MATCH(MEDIÇÃO!R581,'PROJETO PERFURAÇÃO'!$B:$B,0))="Pre-Splitting","S"))),"")</f>
        <v/>
      </c>
      <c r="R581" s="14">
        <f t="shared" si="56"/>
        <v>1307</v>
      </c>
      <c r="S581" s="4" t="str">
        <f>IFERROR(INDEX('LEV R&amp;D'!$D:$D,MATCH(MEDIÇÃO!R581,'LEV R&amp;D'!$A:$A,0))-INDEX('PROJETO PERFURAÇÃO'!$AH:$AH,MATCH(MEDIÇÃO!R581,'PROJETO PERFURAÇÃO'!$B:$B,0)),"")</f>
        <v/>
      </c>
      <c r="T581" s="8" t="str">
        <f>IFERROR(INDEX('PROJETO PERFURAÇÃO'!$AN:$AN,MATCH(MEDIÇÃO!R581,'PROJETO PERFURAÇÃO'!$B:$B,0)),"")</f>
        <v/>
      </c>
      <c r="U581" s="3"/>
      <c r="V581" s="3"/>
    </row>
    <row r="582" spans="2:22" ht="45" customHeight="1" x14ac:dyDescent="0.25">
      <c r="B582" s="3" t="str">
        <f>IFERROR(ROUND(INDEX('PROJETO PERFURAÇÃO'!$AB:$AB,MATCH(MEDIÇÃO!D582,'PROJETO PERFURAÇÃO'!$B:$B,0)),1)&amp;"''","")</f>
        <v/>
      </c>
      <c r="C582" s="3" t="str">
        <f>IFERROR(IF(INDEX('PROJETO PERFURAÇÃO'!$P:$P,MATCH(MEDIÇÃO!D582,'PROJETO PERFURAÇÃO'!$B:$B,0))="Production","P",IF(INDEX('PROJETO PERFURAÇÃO'!$P:$P,MATCH(MEDIÇÃO!D582,'PROJETO PERFURAÇÃO'!$B:$B,0))="Buffer","B",IF(INDEX('PROJETO PERFURAÇÃO'!$P:$P,MATCH(MEDIÇÃO!D582,'PROJETO PERFURAÇÃO'!$B:$B,0))="Pre-Splitting","S"))),"")</f>
        <v/>
      </c>
      <c r="D582" s="14">
        <f t="shared" si="54"/>
        <v>1262</v>
      </c>
      <c r="E582" s="4" t="str">
        <f>IFERROR(INDEX('LEV R&amp;D'!$D:$D,MATCH(MEDIÇÃO!D582,'LEV R&amp;D'!$A:$A,0))-INDEX('PROJETO PERFURAÇÃO'!$AH:$AH,MATCH(MEDIÇÃO!D582,'PROJETO PERFURAÇÃO'!$B:$B,0)),"")</f>
        <v/>
      </c>
      <c r="F582" s="8" t="str">
        <f>IFERROR(INDEX('PROJETO PERFURAÇÃO'!$AN:$AN,MATCH(MEDIÇÃO!D582,'PROJETO PERFURAÇÃO'!$B:$B,0)),"")</f>
        <v/>
      </c>
      <c r="G582" s="3"/>
      <c r="H582" s="3"/>
      <c r="I582" s="3" t="str">
        <f>IFERROR(ROUND(INDEX('PROJETO PERFURAÇÃO'!$AB:$AB,MATCH(MEDIÇÃO!K582,'PROJETO PERFURAÇÃO'!$B:$B,0)),1)&amp;"''","")</f>
        <v/>
      </c>
      <c r="J582" s="3" t="str">
        <f>IFERROR(IF(INDEX('PROJETO PERFURAÇÃO'!$P:$P,MATCH(MEDIÇÃO!K582,'PROJETO PERFURAÇÃO'!$B:$B,0))="Production","P",IF(INDEX('PROJETO PERFURAÇÃO'!$P:$P,MATCH(MEDIÇÃO!K582,'PROJETO PERFURAÇÃO'!$B:$B,0))="Buffer","B",IF(INDEX('PROJETO PERFURAÇÃO'!$P:$P,MATCH(MEDIÇÃO!K582,'PROJETO PERFURAÇÃO'!$B:$B,0))="Pre-Splitting","S"))),"")</f>
        <v/>
      </c>
      <c r="K582" s="14">
        <f t="shared" si="55"/>
        <v>1285</v>
      </c>
      <c r="L582" s="4" t="str">
        <f>IFERROR(INDEX('LEV R&amp;D'!$D:$D,MATCH(MEDIÇÃO!K582,'LEV R&amp;D'!$A:$A,0))-INDEX('PROJETO PERFURAÇÃO'!$AH:$AH,MATCH(MEDIÇÃO!K582,'PROJETO PERFURAÇÃO'!$B:$B,0)),"")</f>
        <v/>
      </c>
      <c r="M582" s="8" t="str">
        <f>IFERROR(INDEX('PROJETO PERFURAÇÃO'!$AN:$AN,MATCH(MEDIÇÃO!K582,'PROJETO PERFURAÇÃO'!$B:$B,0)),"")</f>
        <v/>
      </c>
      <c r="N582" s="3"/>
      <c r="O582" s="3"/>
      <c r="P582" s="3" t="str">
        <f>IFERROR(ROUND(INDEX('PROJETO PERFURAÇÃO'!$AB:$AB,MATCH(MEDIÇÃO!R582,'PROJETO PERFURAÇÃO'!$B:$B,0)),1)&amp;"''","")</f>
        <v/>
      </c>
      <c r="Q582" s="3" t="str">
        <f>IFERROR(IF(INDEX('PROJETO PERFURAÇÃO'!$P:$P,MATCH(MEDIÇÃO!R582,'PROJETO PERFURAÇÃO'!$B:$B,0))="Production","P",IF(INDEX('PROJETO PERFURAÇÃO'!$P:$P,MATCH(MEDIÇÃO!R582,'PROJETO PERFURAÇÃO'!$B:$B,0))="Buffer","B",IF(INDEX('PROJETO PERFURAÇÃO'!$P:$P,MATCH(MEDIÇÃO!R582,'PROJETO PERFURAÇÃO'!$B:$B,0))="Pre-Splitting","S"))),"")</f>
        <v/>
      </c>
      <c r="R582" s="14">
        <f t="shared" si="56"/>
        <v>1308</v>
      </c>
      <c r="S582" s="4" t="str">
        <f>IFERROR(INDEX('LEV R&amp;D'!$D:$D,MATCH(MEDIÇÃO!R582,'LEV R&amp;D'!$A:$A,0))-INDEX('PROJETO PERFURAÇÃO'!$AH:$AH,MATCH(MEDIÇÃO!R582,'PROJETO PERFURAÇÃO'!$B:$B,0)),"")</f>
        <v/>
      </c>
      <c r="T582" s="8" t="str">
        <f>IFERROR(INDEX('PROJETO PERFURAÇÃO'!$AN:$AN,MATCH(MEDIÇÃO!R582,'PROJETO PERFURAÇÃO'!$B:$B,0)),"")</f>
        <v/>
      </c>
      <c r="U582" s="3"/>
      <c r="V582" s="3"/>
    </row>
    <row r="583" spans="2:22" ht="45" customHeight="1" x14ac:dyDescent="0.25">
      <c r="B583" s="3" t="str">
        <f>IFERROR(ROUND(INDEX('PROJETO PERFURAÇÃO'!$AB:$AB,MATCH(MEDIÇÃO!D583,'PROJETO PERFURAÇÃO'!$B:$B,0)),1)&amp;"''","")</f>
        <v/>
      </c>
      <c r="C583" s="3" t="str">
        <f>IFERROR(IF(INDEX('PROJETO PERFURAÇÃO'!$P:$P,MATCH(MEDIÇÃO!D583,'PROJETO PERFURAÇÃO'!$B:$B,0))="Production","P",IF(INDEX('PROJETO PERFURAÇÃO'!$P:$P,MATCH(MEDIÇÃO!D583,'PROJETO PERFURAÇÃO'!$B:$B,0))="Buffer","B",IF(INDEX('PROJETO PERFURAÇÃO'!$P:$P,MATCH(MEDIÇÃO!D583,'PROJETO PERFURAÇÃO'!$B:$B,0))="Pre-Splitting","S"))),"")</f>
        <v/>
      </c>
      <c r="D583" s="14">
        <f t="shared" si="54"/>
        <v>1263</v>
      </c>
      <c r="E583" s="4" t="str">
        <f>IFERROR(INDEX('LEV R&amp;D'!$D:$D,MATCH(MEDIÇÃO!D583,'LEV R&amp;D'!$A:$A,0))-INDEX('PROJETO PERFURAÇÃO'!$AH:$AH,MATCH(MEDIÇÃO!D583,'PROJETO PERFURAÇÃO'!$B:$B,0)),"")</f>
        <v/>
      </c>
      <c r="F583" s="8" t="str">
        <f>IFERROR(INDEX('PROJETO PERFURAÇÃO'!$AN:$AN,MATCH(MEDIÇÃO!D583,'PROJETO PERFURAÇÃO'!$B:$B,0)),"")</f>
        <v/>
      </c>
      <c r="G583" s="3"/>
      <c r="H583" s="3"/>
      <c r="I583" s="3" t="str">
        <f>IFERROR(ROUND(INDEX('PROJETO PERFURAÇÃO'!$AB:$AB,MATCH(MEDIÇÃO!K583,'PROJETO PERFURAÇÃO'!$B:$B,0)),1)&amp;"''","")</f>
        <v/>
      </c>
      <c r="J583" s="3" t="str">
        <f>IFERROR(IF(INDEX('PROJETO PERFURAÇÃO'!$P:$P,MATCH(MEDIÇÃO!K583,'PROJETO PERFURAÇÃO'!$B:$B,0))="Production","P",IF(INDEX('PROJETO PERFURAÇÃO'!$P:$P,MATCH(MEDIÇÃO!K583,'PROJETO PERFURAÇÃO'!$B:$B,0))="Buffer","B",IF(INDEX('PROJETO PERFURAÇÃO'!$P:$P,MATCH(MEDIÇÃO!K583,'PROJETO PERFURAÇÃO'!$B:$B,0))="Pre-Splitting","S"))),"")</f>
        <v/>
      </c>
      <c r="K583" s="14">
        <f t="shared" si="55"/>
        <v>1286</v>
      </c>
      <c r="L583" s="4" t="str">
        <f>IFERROR(INDEX('LEV R&amp;D'!$D:$D,MATCH(MEDIÇÃO!K583,'LEV R&amp;D'!$A:$A,0))-INDEX('PROJETO PERFURAÇÃO'!$AH:$AH,MATCH(MEDIÇÃO!K583,'PROJETO PERFURAÇÃO'!$B:$B,0)),"")</f>
        <v/>
      </c>
      <c r="M583" s="8" t="str">
        <f>IFERROR(INDEX('PROJETO PERFURAÇÃO'!$AN:$AN,MATCH(MEDIÇÃO!K583,'PROJETO PERFURAÇÃO'!$B:$B,0)),"")</f>
        <v/>
      </c>
      <c r="N583" s="3"/>
      <c r="O583" s="3"/>
      <c r="P583" s="3" t="str">
        <f>IFERROR(ROUND(INDEX('PROJETO PERFURAÇÃO'!$AB:$AB,MATCH(MEDIÇÃO!R583,'PROJETO PERFURAÇÃO'!$B:$B,0)),1)&amp;"''","")</f>
        <v/>
      </c>
      <c r="Q583" s="3" t="str">
        <f>IFERROR(IF(INDEX('PROJETO PERFURAÇÃO'!$P:$P,MATCH(MEDIÇÃO!R583,'PROJETO PERFURAÇÃO'!$B:$B,0))="Production","P",IF(INDEX('PROJETO PERFURAÇÃO'!$P:$P,MATCH(MEDIÇÃO!R583,'PROJETO PERFURAÇÃO'!$B:$B,0))="Buffer","B",IF(INDEX('PROJETO PERFURAÇÃO'!$P:$P,MATCH(MEDIÇÃO!R583,'PROJETO PERFURAÇÃO'!$B:$B,0))="Pre-Splitting","S"))),"")</f>
        <v/>
      </c>
      <c r="R583" s="14">
        <f t="shared" si="56"/>
        <v>1309</v>
      </c>
      <c r="S583" s="4" t="str">
        <f>IFERROR(INDEX('LEV R&amp;D'!$D:$D,MATCH(MEDIÇÃO!R583,'LEV R&amp;D'!$A:$A,0))-INDEX('PROJETO PERFURAÇÃO'!$AH:$AH,MATCH(MEDIÇÃO!R583,'PROJETO PERFURAÇÃO'!$B:$B,0)),"")</f>
        <v/>
      </c>
      <c r="T583" s="8" t="str">
        <f>IFERROR(INDEX('PROJETO PERFURAÇÃO'!$AN:$AN,MATCH(MEDIÇÃO!R583,'PROJETO PERFURAÇÃO'!$B:$B,0)),"")</f>
        <v/>
      </c>
      <c r="U583" s="3"/>
      <c r="V583" s="3"/>
    </row>
    <row r="584" spans="2:22" ht="45" customHeight="1" x14ac:dyDescent="0.25">
      <c r="B584" s="3" t="str">
        <f>IFERROR(ROUND(INDEX('PROJETO PERFURAÇÃO'!$AB:$AB,MATCH(MEDIÇÃO!D584,'PROJETO PERFURAÇÃO'!$B:$B,0)),1)&amp;"''","")</f>
        <v/>
      </c>
      <c r="C584" s="3" t="str">
        <f>IFERROR(IF(INDEX('PROJETO PERFURAÇÃO'!$P:$P,MATCH(MEDIÇÃO!D584,'PROJETO PERFURAÇÃO'!$B:$B,0))="Production","P",IF(INDEX('PROJETO PERFURAÇÃO'!$P:$P,MATCH(MEDIÇÃO!D584,'PROJETO PERFURAÇÃO'!$B:$B,0))="Buffer","B",IF(INDEX('PROJETO PERFURAÇÃO'!$P:$P,MATCH(MEDIÇÃO!D584,'PROJETO PERFURAÇÃO'!$B:$B,0))="Pre-Splitting","S"))),"")</f>
        <v/>
      </c>
      <c r="D584" s="14">
        <f t="shared" si="54"/>
        <v>1264</v>
      </c>
      <c r="E584" s="4" t="str">
        <f>IFERROR(INDEX('LEV R&amp;D'!$D:$D,MATCH(MEDIÇÃO!D584,'LEV R&amp;D'!$A:$A,0))-INDEX('PROJETO PERFURAÇÃO'!$AH:$AH,MATCH(MEDIÇÃO!D584,'PROJETO PERFURAÇÃO'!$B:$B,0)),"")</f>
        <v/>
      </c>
      <c r="F584" s="8" t="str">
        <f>IFERROR(INDEX('PROJETO PERFURAÇÃO'!$AN:$AN,MATCH(MEDIÇÃO!D584,'PROJETO PERFURAÇÃO'!$B:$B,0)),"")</f>
        <v/>
      </c>
      <c r="G584" s="3"/>
      <c r="H584" s="3"/>
      <c r="I584" s="3" t="str">
        <f>IFERROR(ROUND(INDEX('PROJETO PERFURAÇÃO'!$AB:$AB,MATCH(MEDIÇÃO!K584,'PROJETO PERFURAÇÃO'!$B:$B,0)),1)&amp;"''","")</f>
        <v/>
      </c>
      <c r="J584" s="3" t="str">
        <f>IFERROR(IF(INDEX('PROJETO PERFURAÇÃO'!$P:$P,MATCH(MEDIÇÃO!K584,'PROJETO PERFURAÇÃO'!$B:$B,0))="Production","P",IF(INDEX('PROJETO PERFURAÇÃO'!$P:$P,MATCH(MEDIÇÃO!K584,'PROJETO PERFURAÇÃO'!$B:$B,0))="Buffer","B",IF(INDEX('PROJETO PERFURAÇÃO'!$P:$P,MATCH(MEDIÇÃO!K584,'PROJETO PERFURAÇÃO'!$B:$B,0))="Pre-Splitting","S"))),"")</f>
        <v/>
      </c>
      <c r="K584" s="14">
        <f t="shared" si="55"/>
        <v>1287</v>
      </c>
      <c r="L584" s="4" t="str">
        <f>IFERROR(INDEX('LEV R&amp;D'!$D:$D,MATCH(MEDIÇÃO!K584,'LEV R&amp;D'!$A:$A,0))-INDEX('PROJETO PERFURAÇÃO'!$AH:$AH,MATCH(MEDIÇÃO!K584,'PROJETO PERFURAÇÃO'!$B:$B,0)),"")</f>
        <v/>
      </c>
      <c r="M584" s="8" t="str">
        <f>IFERROR(INDEX('PROJETO PERFURAÇÃO'!$AN:$AN,MATCH(MEDIÇÃO!K584,'PROJETO PERFURAÇÃO'!$B:$B,0)),"")</f>
        <v/>
      </c>
      <c r="N584" s="3"/>
      <c r="O584" s="3"/>
      <c r="P584" s="3" t="str">
        <f>IFERROR(ROUND(INDEX('PROJETO PERFURAÇÃO'!$AB:$AB,MATCH(MEDIÇÃO!R584,'PROJETO PERFURAÇÃO'!$B:$B,0)),1)&amp;"''","")</f>
        <v/>
      </c>
      <c r="Q584" s="3" t="str">
        <f>IFERROR(IF(INDEX('PROJETO PERFURAÇÃO'!$P:$P,MATCH(MEDIÇÃO!R584,'PROJETO PERFURAÇÃO'!$B:$B,0))="Production","P",IF(INDEX('PROJETO PERFURAÇÃO'!$P:$P,MATCH(MEDIÇÃO!R584,'PROJETO PERFURAÇÃO'!$B:$B,0))="Buffer","B",IF(INDEX('PROJETO PERFURAÇÃO'!$P:$P,MATCH(MEDIÇÃO!R584,'PROJETO PERFURAÇÃO'!$B:$B,0))="Pre-Splitting","S"))),"")</f>
        <v/>
      </c>
      <c r="R584" s="14">
        <f t="shared" si="56"/>
        <v>1310</v>
      </c>
      <c r="S584" s="4" t="str">
        <f>IFERROR(INDEX('LEV R&amp;D'!$D:$D,MATCH(MEDIÇÃO!R584,'LEV R&amp;D'!$A:$A,0))-INDEX('PROJETO PERFURAÇÃO'!$AH:$AH,MATCH(MEDIÇÃO!R584,'PROJETO PERFURAÇÃO'!$B:$B,0)),"")</f>
        <v/>
      </c>
      <c r="T584" s="8" t="str">
        <f>IFERROR(INDEX('PROJETO PERFURAÇÃO'!$AN:$AN,MATCH(MEDIÇÃO!R584,'PROJETO PERFURAÇÃO'!$B:$B,0)),"")</f>
        <v/>
      </c>
      <c r="U584" s="3"/>
      <c r="V584" s="3"/>
    </row>
    <row r="585" spans="2:22" ht="45" customHeight="1" x14ac:dyDescent="0.25">
      <c r="B585" s="3" t="str">
        <f>IFERROR(ROUND(INDEX('PROJETO PERFURAÇÃO'!$AB:$AB,MATCH(MEDIÇÃO!D585,'PROJETO PERFURAÇÃO'!$B:$B,0)),1)&amp;"''","")</f>
        <v/>
      </c>
      <c r="C585" s="3" t="str">
        <f>IFERROR(IF(INDEX('PROJETO PERFURAÇÃO'!$P:$P,MATCH(MEDIÇÃO!D585,'PROJETO PERFURAÇÃO'!$B:$B,0))="Production","P",IF(INDEX('PROJETO PERFURAÇÃO'!$P:$P,MATCH(MEDIÇÃO!D585,'PROJETO PERFURAÇÃO'!$B:$B,0))="Buffer","B",IF(INDEX('PROJETO PERFURAÇÃO'!$P:$P,MATCH(MEDIÇÃO!D585,'PROJETO PERFURAÇÃO'!$B:$B,0))="Pre-Splitting","S"))),"")</f>
        <v/>
      </c>
      <c r="D585" s="14">
        <f t="shared" si="54"/>
        <v>1265</v>
      </c>
      <c r="E585" s="4" t="str">
        <f>IFERROR(INDEX('LEV R&amp;D'!$D:$D,MATCH(MEDIÇÃO!D585,'LEV R&amp;D'!$A:$A,0))-INDEX('PROJETO PERFURAÇÃO'!$AH:$AH,MATCH(MEDIÇÃO!D585,'PROJETO PERFURAÇÃO'!$B:$B,0)),"")</f>
        <v/>
      </c>
      <c r="F585" s="8" t="str">
        <f>IFERROR(INDEX('PROJETO PERFURAÇÃO'!$AN:$AN,MATCH(MEDIÇÃO!D585,'PROJETO PERFURAÇÃO'!$B:$B,0)),"")</f>
        <v/>
      </c>
      <c r="G585" s="3"/>
      <c r="H585" s="3"/>
      <c r="I585" s="3" t="str">
        <f>IFERROR(ROUND(INDEX('PROJETO PERFURAÇÃO'!$AB:$AB,MATCH(MEDIÇÃO!K585,'PROJETO PERFURAÇÃO'!$B:$B,0)),1)&amp;"''","")</f>
        <v/>
      </c>
      <c r="J585" s="3" t="str">
        <f>IFERROR(IF(INDEX('PROJETO PERFURAÇÃO'!$P:$P,MATCH(MEDIÇÃO!K585,'PROJETO PERFURAÇÃO'!$B:$B,0))="Production","P",IF(INDEX('PROJETO PERFURAÇÃO'!$P:$P,MATCH(MEDIÇÃO!K585,'PROJETO PERFURAÇÃO'!$B:$B,0))="Buffer","B",IF(INDEX('PROJETO PERFURAÇÃO'!$P:$P,MATCH(MEDIÇÃO!K585,'PROJETO PERFURAÇÃO'!$B:$B,0))="Pre-Splitting","S"))),"")</f>
        <v/>
      </c>
      <c r="K585" s="14">
        <f>K584+1</f>
        <v>1288</v>
      </c>
      <c r="L585" s="4" t="str">
        <f>IFERROR(INDEX('LEV R&amp;D'!$D:$D,MATCH(MEDIÇÃO!K585,'LEV R&amp;D'!$A:$A,0))-INDEX('PROJETO PERFURAÇÃO'!$AH:$AH,MATCH(MEDIÇÃO!K585,'PROJETO PERFURAÇÃO'!$B:$B,0)),"")</f>
        <v/>
      </c>
      <c r="M585" s="8" t="str">
        <f>IFERROR(INDEX('PROJETO PERFURAÇÃO'!$AN:$AN,MATCH(MEDIÇÃO!K585,'PROJETO PERFURAÇÃO'!$B:$B,0)),"")</f>
        <v/>
      </c>
      <c r="N585" s="3"/>
      <c r="O585" s="3"/>
      <c r="P585" s="3" t="str">
        <f>IFERROR(ROUND(INDEX('PROJETO PERFURAÇÃO'!$AB:$AB,MATCH(MEDIÇÃO!R585,'PROJETO PERFURAÇÃO'!$B:$B,0)),1)&amp;"''","")</f>
        <v/>
      </c>
      <c r="Q585" s="3" t="str">
        <f>IFERROR(IF(INDEX('PROJETO PERFURAÇÃO'!$P:$P,MATCH(MEDIÇÃO!R585,'PROJETO PERFURAÇÃO'!$B:$B,0))="Production","P",IF(INDEX('PROJETO PERFURAÇÃO'!$P:$P,MATCH(MEDIÇÃO!R585,'PROJETO PERFURAÇÃO'!$B:$B,0))="Buffer","B",IF(INDEX('PROJETO PERFURAÇÃO'!$P:$P,MATCH(MEDIÇÃO!R585,'PROJETO PERFURAÇÃO'!$B:$B,0))="Pre-Splitting","S"))),"")</f>
        <v/>
      </c>
      <c r="R585" s="14">
        <f>R584+1</f>
        <v>1311</v>
      </c>
      <c r="S585" s="4" t="str">
        <f>IFERROR(INDEX('LEV R&amp;D'!$D:$D,MATCH(MEDIÇÃO!R585,'LEV R&amp;D'!$A:$A,0))-INDEX('PROJETO PERFURAÇÃO'!$AH:$AH,MATCH(MEDIÇÃO!R585,'PROJETO PERFURAÇÃO'!$B:$B,0)),"")</f>
        <v/>
      </c>
      <c r="T585" s="8" t="str">
        <f>IFERROR(INDEX('PROJETO PERFURAÇÃO'!$AN:$AN,MATCH(MEDIÇÃO!R585,'PROJETO PERFURAÇÃO'!$B:$B,0)),"")</f>
        <v/>
      </c>
      <c r="U585" s="3"/>
      <c r="V585" s="3"/>
    </row>
    <row r="586" spans="2:22" ht="30" customHeight="1" x14ac:dyDescent="0.25">
      <c r="B586" s="1"/>
      <c r="C586" s="1"/>
      <c r="D586" s="15"/>
      <c r="E586" s="2"/>
      <c r="F586" s="16"/>
      <c r="G586" s="1"/>
      <c r="H586" s="1"/>
      <c r="I586" s="1"/>
      <c r="J586" s="1"/>
      <c r="K586" s="15"/>
      <c r="L586" s="2"/>
      <c r="M586" s="16"/>
      <c r="N586" s="1"/>
      <c r="O586" s="1"/>
      <c r="P586" s="1"/>
      <c r="Q586" s="1"/>
      <c r="R586" s="15"/>
      <c r="S586" s="2"/>
      <c r="T586" s="16"/>
      <c r="U586" s="1"/>
      <c r="V586" s="1"/>
    </row>
    <row r="587" spans="2:22" ht="30" customHeight="1" x14ac:dyDescent="0.25">
      <c r="C587" s="20"/>
      <c r="D587" s="20"/>
      <c r="E587" s="20"/>
      <c r="F587" s="20"/>
      <c r="G587" s="20"/>
      <c r="H587" s="20"/>
      <c r="I587" s="20"/>
      <c r="J587" s="20"/>
      <c r="K587" s="20"/>
      <c r="M587" s="20"/>
      <c r="N587" s="20"/>
      <c r="O587" s="20"/>
      <c r="P587" s="20"/>
      <c r="Q587" s="20"/>
      <c r="R587" s="20"/>
      <c r="S587" s="20"/>
      <c r="T587" s="20"/>
      <c r="U587" s="20"/>
    </row>
    <row r="588" spans="2:22" ht="30" customHeight="1" x14ac:dyDescent="0.25">
      <c r="C588" s="21" t="s">
        <v>40</v>
      </c>
      <c r="D588" s="21"/>
      <c r="E588" s="21"/>
      <c r="F588" s="21"/>
      <c r="G588" s="21"/>
      <c r="H588" s="21"/>
      <c r="I588" s="21"/>
      <c r="J588" s="21"/>
      <c r="K588" s="21"/>
      <c r="L588" s="9"/>
      <c r="M588" s="21" t="s">
        <v>40</v>
      </c>
      <c r="N588" s="21"/>
      <c r="O588" s="21"/>
      <c r="P588" s="21"/>
      <c r="Q588" s="21"/>
      <c r="R588" s="21"/>
      <c r="S588" s="21"/>
      <c r="T588" s="21"/>
      <c r="U588" s="21"/>
      <c r="V588" s="9"/>
    </row>
    <row r="589" spans="2:22" ht="30" customHeight="1" x14ac:dyDescent="0.25">
      <c r="D589" s="9"/>
      <c r="E589" s="9"/>
      <c r="F589" s="9"/>
      <c r="G589" s="9"/>
      <c r="H589" s="9"/>
      <c r="I589" s="9"/>
      <c r="J589" s="9"/>
      <c r="K589" s="9"/>
      <c r="L589" s="9"/>
      <c r="M589" s="9"/>
      <c r="N589" s="9"/>
      <c r="Q589" s="9"/>
      <c r="R589" s="9"/>
      <c r="S589" s="9"/>
      <c r="T589" s="9"/>
      <c r="U589" s="9"/>
      <c r="V589" s="9"/>
    </row>
    <row r="590" spans="2:22" ht="30" customHeight="1" x14ac:dyDescent="0.25">
      <c r="B590" s="19" t="str">
        <f>'PROJETO PERFURAÇÃO'!$C$2&amp;" - "&amp;'PROJETO PERFURAÇÃO'!$H$2</f>
        <v>LIB065 - PP0651026</v>
      </c>
      <c r="C590" s="19"/>
      <c r="D590" s="19"/>
      <c r="E590" s="19"/>
      <c r="F590" s="19"/>
      <c r="G590" s="19"/>
      <c r="H590" s="19"/>
      <c r="I590" s="11" t="s">
        <v>34</v>
      </c>
      <c r="J590" s="10" t="s">
        <v>37</v>
      </c>
    </row>
    <row r="591" spans="2:22" ht="30" customHeight="1" x14ac:dyDescent="0.25">
      <c r="B591" s="19"/>
      <c r="C591" s="19"/>
      <c r="D591" s="19"/>
      <c r="E591" s="19"/>
      <c r="F591" s="19"/>
      <c r="G591" s="19"/>
      <c r="H591" s="19"/>
      <c r="I591" s="12" t="s">
        <v>35</v>
      </c>
      <c r="J591" s="10" t="s">
        <v>38</v>
      </c>
      <c r="K591" s="9"/>
      <c r="L591" s="9"/>
      <c r="M591" s="9"/>
      <c r="N591" s="9"/>
      <c r="O591" s="9"/>
      <c r="P591" s="9"/>
      <c r="Q591" s="9"/>
      <c r="R591" s="9"/>
      <c r="S591" s="9"/>
      <c r="T591" s="9"/>
      <c r="U591" s="9"/>
      <c r="V591" s="9"/>
    </row>
    <row r="592" spans="2:22" ht="30" customHeight="1" x14ac:dyDescent="0.25">
      <c r="B592" s="19"/>
      <c r="C592" s="19"/>
      <c r="D592" s="19"/>
      <c r="E592" s="19"/>
      <c r="F592" s="19"/>
      <c r="G592" s="19"/>
      <c r="H592" s="19"/>
      <c r="I592" s="13" t="s">
        <v>36</v>
      </c>
      <c r="J592" s="10" t="s">
        <v>39</v>
      </c>
    </row>
    <row r="593" spans="1:23" ht="30" customHeight="1" x14ac:dyDescent="0.25">
      <c r="A593" s="1"/>
      <c r="B593" s="6" t="s">
        <v>33</v>
      </c>
      <c r="C593" s="6" t="s">
        <v>13</v>
      </c>
      <c r="D593" s="7" t="s">
        <v>1</v>
      </c>
      <c r="E593" s="7" t="s">
        <v>29</v>
      </c>
      <c r="F593" s="7" t="s">
        <v>30</v>
      </c>
      <c r="G593" s="7" t="s">
        <v>31</v>
      </c>
      <c r="H593" s="7" t="s">
        <v>32</v>
      </c>
      <c r="I593" s="6" t="s">
        <v>33</v>
      </c>
      <c r="J593" s="6" t="s">
        <v>13</v>
      </c>
      <c r="K593" s="7" t="s">
        <v>1</v>
      </c>
      <c r="L593" s="7" t="s">
        <v>29</v>
      </c>
      <c r="M593" s="7" t="s">
        <v>30</v>
      </c>
      <c r="N593" s="7" t="s">
        <v>31</v>
      </c>
      <c r="O593" s="7" t="s">
        <v>32</v>
      </c>
      <c r="P593" s="6" t="s">
        <v>33</v>
      </c>
      <c r="Q593" s="6" t="s">
        <v>13</v>
      </c>
      <c r="R593" s="7" t="s">
        <v>1</v>
      </c>
      <c r="S593" s="7" t="s">
        <v>29</v>
      </c>
      <c r="T593" s="7" t="s">
        <v>30</v>
      </c>
      <c r="U593" s="7" t="s">
        <v>31</v>
      </c>
      <c r="V593" s="7" t="s">
        <v>32</v>
      </c>
      <c r="W593" s="1"/>
    </row>
    <row r="594" spans="1:23" ht="45" customHeight="1" x14ac:dyDescent="0.25">
      <c r="B594" s="3" t="str">
        <f>IFERROR(ROUND(INDEX('PROJETO PERFURAÇÃO'!$AB:$AB,MATCH(MEDIÇÃO!D594,'PROJETO PERFURAÇÃO'!$B:$B,0)),1)&amp;"''","")</f>
        <v/>
      </c>
      <c r="C594" s="3" t="str">
        <f>IFERROR(IF(INDEX('PROJETO PERFURAÇÃO'!$P:$P,MATCH(MEDIÇÃO!D594,'PROJETO PERFURAÇÃO'!$B:$B,0))="Production","P",IF(INDEX('PROJETO PERFURAÇÃO'!$P:$P,MATCH(MEDIÇÃO!D594,'PROJETO PERFURAÇÃO'!$B:$B,0))="Buffer","B",IF(INDEX('PROJETO PERFURAÇÃO'!$P:$P,MATCH(MEDIÇÃO!D594,'PROJETO PERFURAÇÃO'!$B:$B,0))="Pre-Splitting","S"))),"")</f>
        <v/>
      </c>
      <c r="D594" s="14">
        <f>R585+1</f>
        <v>1312</v>
      </c>
      <c r="E594" s="4" t="str">
        <f>IFERROR(INDEX('LEV R&amp;D'!$D:$D,MATCH(MEDIÇÃO!D594,'LEV R&amp;D'!$A:$A,0))-INDEX('PROJETO PERFURAÇÃO'!$AH:$AH,MATCH(MEDIÇÃO!D594,'PROJETO PERFURAÇÃO'!$B:$B,0)),"")</f>
        <v/>
      </c>
      <c r="F594" s="8" t="str">
        <f>IFERROR(INDEX('PROJETO PERFURAÇÃO'!$AN:$AN,MATCH(MEDIÇÃO!D594,'PROJETO PERFURAÇÃO'!$B:$B,0)),"")</f>
        <v/>
      </c>
      <c r="G594" s="3"/>
      <c r="H594" s="3"/>
      <c r="I594" s="3" t="str">
        <f>IFERROR(ROUND(INDEX('PROJETO PERFURAÇÃO'!$AB:$AB,MATCH(MEDIÇÃO!K594,'PROJETO PERFURAÇÃO'!$B:$B,0)),1)&amp;"''","")</f>
        <v/>
      </c>
      <c r="J594" s="3" t="str">
        <f>IFERROR(IF(INDEX('PROJETO PERFURAÇÃO'!$P:$P,MATCH(MEDIÇÃO!K594,'PROJETO PERFURAÇÃO'!$B:$B,0))="Production","P",IF(INDEX('PROJETO PERFURAÇÃO'!$P:$P,MATCH(MEDIÇÃO!K594,'PROJETO PERFURAÇÃO'!$B:$B,0))="Buffer","B",IF(INDEX('PROJETO PERFURAÇÃO'!$P:$P,MATCH(MEDIÇÃO!K594,'PROJETO PERFURAÇÃO'!$B:$B,0))="Pre-Splitting","S"))),"")</f>
        <v/>
      </c>
      <c r="K594" s="14">
        <f>D616+1</f>
        <v>1335</v>
      </c>
      <c r="L594" s="4" t="str">
        <f>IFERROR(INDEX('LEV R&amp;D'!$D:$D,MATCH(MEDIÇÃO!K594,'LEV R&amp;D'!$A:$A,0))-INDEX('PROJETO PERFURAÇÃO'!$AH:$AH,MATCH(MEDIÇÃO!K594,'PROJETO PERFURAÇÃO'!$B:$B,0)),"")</f>
        <v/>
      </c>
      <c r="M594" s="8" t="str">
        <f>IFERROR(INDEX('PROJETO PERFURAÇÃO'!$AN:$AN,MATCH(MEDIÇÃO!K594,'PROJETO PERFURAÇÃO'!$B:$B,0)),"")</f>
        <v/>
      </c>
      <c r="N594" s="3"/>
      <c r="O594" s="3"/>
      <c r="P594" s="3" t="str">
        <f>IFERROR(ROUND(INDEX('PROJETO PERFURAÇÃO'!$AB:$AB,MATCH(MEDIÇÃO!R594,'PROJETO PERFURAÇÃO'!$B:$B,0)),1)&amp;"''","")</f>
        <v/>
      </c>
      <c r="Q594" s="3" t="str">
        <f>IFERROR(IF(INDEX('PROJETO PERFURAÇÃO'!$P:$P,MATCH(MEDIÇÃO!R594,'PROJETO PERFURAÇÃO'!$B:$B,0))="Production","P",IF(INDEX('PROJETO PERFURAÇÃO'!$P:$P,MATCH(MEDIÇÃO!R594,'PROJETO PERFURAÇÃO'!$B:$B,0))="Buffer","B",IF(INDEX('PROJETO PERFURAÇÃO'!$P:$P,MATCH(MEDIÇÃO!R594,'PROJETO PERFURAÇÃO'!$B:$B,0))="Pre-Splitting","S"))),"")</f>
        <v/>
      </c>
      <c r="R594" s="14">
        <f>K616+1</f>
        <v>1358</v>
      </c>
      <c r="S594" s="4" t="str">
        <f>IFERROR(INDEX('LEV R&amp;D'!$D:$D,MATCH(MEDIÇÃO!R594,'LEV R&amp;D'!$A:$A,0))-INDEX('PROJETO PERFURAÇÃO'!$AH:$AH,MATCH(MEDIÇÃO!R594,'PROJETO PERFURAÇÃO'!$B:$B,0)),"")</f>
        <v/>
      </c>
      <c r="T594" s="8" t="str">
        <f>IFERROR(INDEX('PROJETO PERFURAÇÃO'!$AN:$AN,MATCH(MEDIÇÃO!R594,'PROJETO PERFURAÇÃO'!$B:$B,0)),"")</f>
        <v/>
      </c>
      <c r="U594" s="3"/>
      <c r="V594" s="3"/>
    </row>
    <row r="595" spans="1:23" ht="45" customHeight="1" x14ac:dyDescent="0.25">
      <c r="B595" s="3" t="str">
        <f>IFERROR(ROUND(INDEX('PROJETO PERFURAÇÃO'!$AB:$AB,MATCH(MEDIÇÃO!D595,'PROJETO PERFURAÇÃO'!$B:$B,0)),1)&amp;"''","")</f>
        <v/>
      </c>
      <c r="C595" s="3" t="str">
        <f>IFERROR(IF(INDEX('PROJETO PERFURAÇÃO'!$P:$P,MATCH(MEDIÇÃO!D595,'PROJETO PERFURAÇÃO'!$B:$B,0))="Production","P",IF(INDEX('PROJETO PERFURAÇÃO'!$P:$P,MATCH(MEDIÇÃO!D595,'PROJETO PERFURAÇÃO'!$B:$B,0))="Buffer","B",IF(INDEX('PROJETO PERFURAÇÃO'!$P:$P,MATCH(MEDIÇÃO!D595,'PROJETO PERFURAÇÃO'!$B:$B,0))="Pre-Splitting","S"))),"")</f>
        <v/>
      </c>
      <c r="D595" s="14">
        <f>D594+1</f>
        <v>1313</v>
      </c>
      <c r="E595" s="4" t="str">
        <f>IFERROR(INDEX('LEV R&amp;D'!$D:$D,MATCH(MEDIÇÃO!D595,'LEV R&amp;D'!$A:$A,0))-INDEX('PROJETO PERFURAÇÃO'!$AH:$AH,MATCH(MEDIÇÃO!D595,'PROJETO PERFURAÇÃO'!$B:$B,0)),"")</f>
        <v/>
      </c>
      <c r="F595" s="8" t="str">
        <f>IFERROR(INDEX('PROJETO PERFURAÇÃO'!$AN:$AN,MATCH(MEDIÇÃO!D595,'PROJETO PERFURAÇÃO'!$B:$B,0)),"")</f>
        <v/>
      </c>
      <c r="G595" s="3"/>
      <c r="H595" s="3"/>
      <c r="I595" s="3" t="str">
        <f>IFERROR(ROUND(INDEX('PROJETO PERFURAÇÃO'!$AB:$AB,MATCH(MEDIÇÃO!K595,'PROJETO PERFURAÇÃO'!$B:$B,0)),1)&amp;"''","")</f>
        <v/>
      </c>
      <c r="J595" s="3" t="str">
        <f>IFERROR(IF(INDEX('PROJETO PERFURAÇÃO'!$P:$P,MATCH(MEDIÇÃO!K595,'PROJETO PERFURAÇÃO'!$B:$B,0))="Production","P",IF(INDEX('PROJETO PERFURAÇÃO'!$P:$P,MATCH(MEDIÇÃO!K595,'PROJETO PERFURAÇÃO'!$B:$B,0))="Buffer","B",IF(INDEX('PROJETO PERFURAÇÃO'!$P:$P,MATCH(MEDIÇÃO!K595,'PROJETO PERFURAÇÃO'!$B:$B,0))="Pre-Splitting","S"))),"")</f>
        <v/>
      </c>
      <c r="K595" s="14">
        <f>K594+1</f>
        <v>1336</v>
      </c>
      <c r="L595" s="4" t="str">
        <f>IFERROR(INDEX('LEV R&amp;D'!$D:$D,MATCH(MEDIÇÃO!K595,'LEV R&amp;D'!$A:$A,0))-INDEX('PROJETO PERFURAÇÃO'!$AH:$AH,MATCH(MEDIÇÃO!K595,'PROJETO PERFURAÇÃO'!$B:$B,0)),"")</f>
        <v/>
      </c>
      <c r="M595" s="8" t="str">
        <f>IFERROR(INDEX('PROJETO PERFURAÇÃO'!$AN:$AN,MATCH(MEDIÇÃO!K595,'PROJETO PERFURAÇÃO'!$B:$B,0)),"")</f>
        <v/>
      </c>
      <c r="N595" s="3"/>
      <c r="O595" s="3"/>
      <c r="P595" s="3" t="str">
        <f>IFERROR(ROUND(INDEX('PROJETO PERFURAÇÃO'!$AB:$AB,MATCH(MEDIÇÃO!R595,'PROJETO PERFURAÇÃO'!$B:$B,0)),1)&amp;"''","")</f>
        <v/>
      </c>
      <c r="Q595" s="3" t="str">
        <f>IFERROR(IF(INDEX('PROJETO PERFURAÇÃO'!$P:$P,MATCH(MEDIÇÃO!R595,'PROJETO PERFURAÇÃO'!$B:$B,0))="Production","P",IF(INDEX('PROJETO PERFURAÇÃO'!$P:$P,MATCH(MEDIÇÃO!R595,'PROJETO PERFURAÇÃO'!$B:$B,0))="Buffer","B",IF(INDEX('PROJETO PERFURAÇÃO'!$P:$P,MATCH(MEDIÇÃO!R595,'PROJETO PERFURAÇÃO'!$B:$B,0))="Pre-Splitting","S"))),"")</f>
        <v/>
      </c>
      <c r="R595" s="14">
        <f>R594+1</f>
        <v>1359</v>
      </c>
      <c r="S595" s="4" t="str">
        <f>IFERROR(INDEX('LEV R&amp;D'!$D:$D,MATCH(MEDIÇÃO!R595,'LEV R&amp;D'!$A:$A,0))-INDEX('PROJETO PERFURAÇÃO'!$AH:$AH,MATCH(MEDIÇÃO!R595,'PROJETO PERFURAÇÃO'!$B:$B,0)),"")</f>
        <v/>
      </c>
      <c r="T595" s="8" t="str">
        <f>IFERROR(INDEX('PROJETO PERFURAÇÃO'!$AN:$AN,MATCH(MEDIÇÃO!R595,'PROJETO PERFURAÇÃO'!$B:$B,0)),"")</f>
        <v/>
      </c>
      <c r="U595" s="3"/>
      <c r="V595" s="3"/>
    </row>
    <row r="596" spans="1:23" ht="45" customHeight="1" x14ac:dyDescent="0.25">
      <c r="B596" s="3" t="str">
        <f>IFERROR(ROUND(INDEX('PROJETO PERFURAÇÃO'!$AB:$AB,MATCH(MEDIÇÃO!D596,'PROJETO PERFURAÇÃO'!$B:$B,0)),1)&amp;"''","")</f>
        <v/>
      </c>
      <c r="C596" s="3" t="str">
        <f>IFERROR(IF(INDEX('PROJETO PERFURAÇÃO'!$P:$P,MATCH(MEDIÇÃO!D596,'PROJETO PERFURAÇÃO'!$B:$B,0))="Production","P",IF(INDEX('PROJETO PERFURAÇÃO'!$P:$P,MATCH(MEDIÇÃO!D596,'PROJETO PERFURAÇÃO'!$B:$B,0))="Buffer","B",IF(INDEX('PROJETO PERFURAÇÃO'!$P:$P,MATCH(MEDIÇÃO!D596,'PROJETO PERFURAÇÃO'!$B:$B,0))="Pre-Splitting","S"))),"")</f>
        <v/>
      </c>
      <c r="D596" s="14">
        <f t="shared" ref="D596:D616" si="57">D595+1</f>
        <v>1314</v>
      </c>
      <c r="E596" s="4" t="str">
        <f>IFERROR(INDEX('LEV R&amp;D'!$D:$D,MATCH(MEDIÇÃO!D596,'LEV R&amp;D'!$A:$A,0))-INDEX('PROJETO PERFURAÇÃO'!$AH:$AH,MATCH(MEDIÇÃO!D596,'PROJETO PERFURAÇÃO'!$B:$B,0)),"")</f>
        <v/>
      </c>
      <c r="F596" s="8" t="str">
        <f>IFERROR(INDEX('PROJETO PERFURAÇÃO'!$AN:$AN,MATCH(MEDIÇÃO!D596,'PROJETO PERFURAÇÃO'!$B:$B,0)),"")</f>
        <v/>
      </c>
      <c r="G596" s="3"/>
      <c r="H596" s="3"/>
      <c r="I596" s="3" t="str">
        <f>IFERROR(ROUND(INDEX('PROJETO PERFURAÇÃO'!$AB:$AB,MATCH(MEDIÇÃO!K596,'PROJETO PERFURAÇÃO'!$B:$B,0)),1)&amp;"''","")</f>
        <v/>
      </c>
      <c r="J596" s="3" t="str">
        <f>IFERROR(IF(INDEX('PROJETO PERFURAÇÃO'!$P:$P,MATCH(MEDIÇÃO!K596,'PROJETO PERFURAÇÃO'!$B:$B,0))="Production","P",IF(INDEX('PROJETO PERFURAÇÃO'!$P:$P,MATCH(MEDIÇÃO!K596,'PROJETO PERFURAÇÃO'!$B:$B,0))="Buffer","B",IF(INDEX('PROJETO PERFURAÇÃO'!$P:$P,MATCH(MEDIÇÃO!K596,'PROJETO PERFURAÇÃO'!$B:$B,0))="Pre-Splitting","S"))),"")</f>
        <v/>
      </c>
      <c r="K596" s="14">
        <f t="shared" ref="K596:K615" si="58">K595+1</f>
        <v>1337</v>
      </c>
      <c r="L596" s="4" t="str">
        <f>IFERROR(INDEX('LEV R&amp;D'!$D:$D,MATCH(MEDIÇÃO!K596,'LEV R&amp;D'!$A:$A,0))-INDEX('PROJETO PERFURAÇÃO'!$AH:$AH,MATCH(MEDIÇÃO!K596,'PROJETO PERFURAÇÃO'!$B:$B,0)),"")</f>
        <v/>
      </c>
      <c r="M596" s="8" t="str">
        <f>IFERROR(INDEX('PROJETO PERFURAÇÃO'!$AN:$AN,MATCH(MEDIÇÃO!K596,'PROJETO PERFURAÇÃO'!$B:$B,0)),"")</f>
        <v/>
      </c>
      <c r="N596" s="3"/>
      <c r="O596" s="3"/>
      <c r="P596" s="3" t="str">
        <f>IFERROR(ROUND(INDEX('PROJETO PERFURAÇÃO'!$AB:$AB,MATCH(MEDIÇÃO!R596,'PROJETO PERFURAÇÃO'!$B:$B,0)),1)&amp;"''","")</f>
        <v/>
      </c>
      <c r="Q596" s="3" t="str">
        <f>IFERROR(IF(INDEX('PROJETO PERFURAÇÃO'!$P:$P,MATCH(MEDIÇÃO!R596,'PROJETO PERFURAÇÃO'!$B:$B,0))="Production","P",IF(INDEX('PROJETO PERFURAÇÃO'!$P:$P,MATCH(MEDIÇÃO!R596,'PROJETO PERFURAÇÃO'!$B:$B,0))="Buffer","B",IF(INDEX('PROJETO PERFURAÇÃO'!$P:$P,MATCH(MEDIÇÃO!R596,'PROJETO PERFURAÇÃO'!$B:$B,0))="Pre-Splitting","S"))),"")</f>
        <v/>
      </c>
      <c r="R596" s="14">
        <f t="shared" ref="R596:R615" si="59">R595+1</f>
        <v>1360</v>
      </c>
      <c r="S596" s="4" t="str">
        <f>IFERROR(INDEX('LEV R&amp;D'!$D:$D,MATCH(MEDIÇÃO!R596,'LEV R&amp;D'!$A:$A,0))-INDEX('PROJETO PERFURAÇÃO'!$AH:$AH,MATCH(MEDIÇÃO!R596,'PROJETO PERFURAÇÃO'!$B:$B,0)),"")</f>
        <v/>
      </c>
      <c r="T596" s="8" t="str">
        <f>IFERROR(INDEX('PROJETO PERFURAÇÃO'!$AN:$AN,MATCH(MEDIÇÃO!R596,'PROJETO PERFURAÇÃO'!$B:$B,0)),"")</f>
        <v/>
      </c>
      <c r="U596" s="3"/>
      <c r="V596" s="3"/>
    </row>
    <row r="597" spans="1:23" ht="45" customHeight="1" x14ac:dyDescent="0.25">
      <c r="B597" s="3" t="str">
        <f>IFERROR(ROUND(INDEX('PROJETO PERFURAÇÃO'!$AB:$AB,MATCH(MEDIÇÃO!D597,'PROJETO PERFURAÇÃO'!$B:$B,0)),1)&amp;"''","")</f>
        <v/>
      </c>
      <c r="C597" s="3" t="str">
        <f>IFERROR(IF(INDEX('PROJETO PERFURAÇÃO'!$P:$P,MATCH(MEDIÇÃO!D597,'PROJETO PERFURAÇÃO'!$B:$B,0))="Production","P",IF(INDEX('PROJETO PERFURAÇÃO'!$P:$P,MATCH(MEDIÇÃO!D597,'PROJETO PERFURAÇÃO'!$B:$B,0))="Buffer","B",IF(INDEX('PROJETO PERFURAÇÃO'!$P:$P,MATCH(MEDIÇÃO!D597,'PROJETO PERFURAÇÃO'!$B:$B,0))="Pre-Splitting","S"))),"")</f>
        <v/>
      </c>
      <c r="D597" s="14">
        <f t="shared" si="57"/>
        <v>1315</v>
      </c>
      <c r="E597" s="4" t="str">
        <f>IFERROR(INDEX('LEV R&amp;D'!$D:$D,MATCH(MEDIÇÃO!D597,'LEV R&amp;D'!$A:$A,0))-INDEX('PROJETO PERFURAÇÃO'!$AH:$AH,MATCH(MEDIÇÃO!D597,'PROJETO PERFURAÇÃO'!$B:$B,0)),"")</f>
        <v/>
      </c>
      <c r="F597" s="8" t="str">
        <f>IFERROR(INDEX('PROJETO PERFURAÇÃO'!$AN:$AN,MATCH(MEDIÇÃO!D597,'PROJETO PERFURAÇÃO'!$B:$B,0)),"")</f>
        <v/>
      </c>
      <c r="G597" s="3"/>
      <c r="H597" s="3"/>
      <c r="I597" s="3" t="str">
        <f>IFERROR(ROUND(INDEX('PROJETO PERFURAÇÃO'!$AB:$AB,MATCH(MEDIÇÃO!K597,'PROJETO PERFURAÇÃO'!$B:$B,0)),1)&amp;"''","")</f>
        <v/>
      </c>
      <c r="J597" s="3" t="str">
        <f>IFERROR(IF(INDEX('PROJETO PERFURAÇÃO'!$P:$P,MATCH(MEDIÇÃO!K597,'PROJETO PERFURAÇÃO'!$B:$B,0))="Production","P",IF(INDEX('PROJETO PERFURAÇÃO'!$P:$P,MATCH(MEDIÇÃO!K597,'PROJETO PERFURAÇÃO'!$B:$B,0))="Buffer","B",IF(INDEX('PROJETO PERFURAÇÃO'!$P:$P,MATCH(MEDIÇÃO!K597,'PROJETO PERFURAÇÃO'!$B:$B,0))="Pre-Splitting","S"))),"")</f>
        <v/>
      </c>
      <c r="K597" s="14">
        <f t="shared" si="58"/>
        <v>1338</v>
      </c>
      <c r="L597" s="4" t="str">
        <f>IFERROR(INDEX('LEV R&amp;D'!$D:$D,MATCH(MEDIÇÃO!K597,'LEV R&amp;D'!$A:$A,0))-INDEX('PROJETO PERFURAÇÃO'!$AH:$AH,MATCH(MEDIÇÃO!K597,'PROJETO PERFURAÇÃO'!$B:$B,0)),"")</f>
        <v/>
      </c>
      <c r="M597" s="8" t="str">
        <f>IFERROR(INDEX('PROJETO PERFURAÇÃO'!$AN:$AN,MATCH(MEDIÇÃO!K597,'PROJETO PERFURAÇÃO'!$B:$B,0)),"")</f>
        <v/>
      </c>
      <c r="N597" s="3"/>
      <c r="O597" s="3"/>
      <c r="P597" s="3" t="str">
        <f>IFERROR(ROUND(INDEX('PROJETO PERFURAÇÃO'!$AB:$AB,MATCH(MEDIÇÃO!R597,'PROJETO PERFURAÇÃO'!$B:$B,0)),1)&amp;"''","")</f>
        <v/>
      </c>
      <c r="Q597" s="3" t="str">
        <f>IFERROR(IF(INDEX('PROJETO PERFURAÇÃO'!$P:$P,MATCH(MEDIÇÃO!R597,'PROJETO PERFURAÇÃO'!$B:$B,0))="Production","P",IF(INDEX('PROJETO PERFURAÇÃO'!$P:$P,MATCH(MEDIÇÃO!R597,'PROJETO PERFURAÇÃO'!$B:$B,0))="Buffer","B",IF(INDEX('PROJETO PERFURAÇÃO'!$P:$P,MATCH(MEDIÇÃO!R597,'PROJETO PERFURAÇÃO'!$B:$B,0))="Pre-Splitting","S"))),"")</f>
        <v/>
      </c>
      <c r="R597" s="14">
        <f t="shared" si="59"/>
        <v>1361</v>
      </c>
      <c r="S597" s="4" t="str">
        <f>IFERROR(INDEX('LEV R&amp;D'!$D:$D,MATCH(MEDIÇÃO!R597,'LEV R&amp;D'!$A:$A,0))-INDEX('PROJETO PERFURAÇÃO'!$AH:$AH,MATCH(MEDIÇÃO!R597,'PROJETO PERFURAÇÃO'!$B:$B,0)),"")</f>
        <v/>
      </c>
      <c r="T597" s="8" t="str">
        <f>IFERROR(INDEX('PROJETO PERFURAÇÃO'!$AN:$AN,MATCH(MEDIÇÃO!R597,'PROJETO PERFURAÇÃO'!$B:$B,0)),"")</f>
        <v/>
      </c>
      <c r="U597" s="3"/>
      <c r="V597" s="3"/>
    </row>
    <row r="598" spans="1:23" ht="45" customHeight="1" x14ac:dyDescent="0.25">
      <c r="B598" s="3" t="str">
        <f>IFERROR(ROUND(INDEX('PROJETO PERFURAÇÃO'!$AB:$AB,MATCH(MEDIÇÃO!D598,'PROJETO PERFURAÇÃO'!$B:$B,0)),1)&amp;"''","")</f>
        <v/>
      </c>
      <c r="C598" s="3" t="str">
        <f>IFERROR(IF(INDEX('PROJETO PERFURAÇÃO'!$P:$P,MATCH(MEDIÇÃO!D598,'PROJETO PERFURAÇÃO'!$B:$B,0))="Production","P",IF(INDEX('PROJETO PERFURAÇÃO'!$P:$P,MATCH(MEDIÇÃO!D598,'PROJETO PERFURAÇÃO'!$B:$B,0))="Buffer","B",IF(INDEX('PROJETO PERFURAÇÃO'!$P:$P,MATCH(MEDIÇÃO!D598,'PROJETO PERFURAÇÃO'!$B:$B,0))="Pre-Splitting","S"))),"")</f>
        <v/>
      </c>
      <c r="D598" s="14">
        <f t="shared" si="57"/>
        <v>1316</v>
      </c>
      <c r="E598" s="4" t="str">
        <f>IFERROR(INDEX('LEV R&amp;D'!$D:$D,MATCH(MEDIÇÃO!D598,'LEV R&amp;D'!$A:$A,0))-INDEX('PROJETO PERFURAÇÃO'!$AH:$AH,MATCH(MEDIÇÃO!D598,'PROJETO PERFURAÇÃO'!$B:$B,0)),"")</f>
        <v/>
      </c>
      <c r="F598" s="8" t="str">
        <f>IFERROR(INDEX('PROJETO PERFURAÇÃO'!$AN:$AN,MATCH(MEDIÇÃO!D598,'PROJETO PERFURAÇÃO'!$B:$B,0)),"")</f>
        <v/>
      </c>
      <c r="G598" s="3"/>
      <c r="H598" s="3"/>
      <c r="I598" s="3" t="str">
        <f>IFERROR(ROUND(INDEX('PROJETO PERFURAÇÃO'!$AB:$AB,MATCH(MEDIÇÃO!K598,'PROJETO PERFURAÇÃO'!$B:$B,0)),1)&amp;"''","")</f>
        <v/>
      </c>
      <c r="J598" s="3" t="str">
        <f>IFERROR(IF(INDEX('PROJETO PERFURAÇÃO'!$P:$P,MATCH(MEDIÇÃO!K598,'PROJETO PERFURAÇÃO'!$B:$B,0))="Production","P",IF(INDEX('PROJETO PERFURAÇÃO'!$P:$P,MATCH(MEDIÇÃO!K598,'PROJETO PERFURAÇÃO'!$B:$B,0))="Buffer","B",IF(INDEX('PROJETO PERFURAÇÃO'!$P:$P,MATCH(MEDIÇÃO!K598,'PROJETO PERFURAÇÃO'!$B:$B,0))="Pre-Splitting","S"))),"")</f>
        <v/>
      </c>
      <c r="K598" s="14">
        <f t="shared" si="58"/>
        <v>1339</v>
      </c>
      <c r="L598" s="4" t="str">
        <f>IFERROR(INDEX('LEV R&amp;D'!$D:$D,MATCH(MEDIÇÃO!K598,'LEV R&amp;D'!$A:$A,0))-INDEX('PROJETO PERFURAÇÃO'!$AH:$AH,MATCH(MEDIÇÃO!K598,'PROJETO PERFURAÇÃO'!$B:$B,0)),"")</f>
        <v/>
      </c>
      <c r="M598" s="8" t="str">
        <f>IFERROR(INDEX('PROJETO PERFURAÇÃO'!$AN:$AN,MATCH(MEDIÇÃO!K598,'PROJETO PERFURAÇÃO'!$B:$B,0)),"")</f>
        <v/>
      </c>
      <c r="N598" s="3"/>
      <c r="O598" s="3"/>
      <c r="P598" s="3" t="str">
        <f>IFERROR(ROUND(INDEX('PROJETO PERFURAÇÃO'!$AB:$AB,MATCH(MEDIÇÃO!R598,'PROJETO PERFURAÇÃO'!$B:$B,0)),1)&amp;"''","")</f>
        <v/>
      </c>
      <c r="Q598" s="3" t="str">
        <f>IFERROR(IF(INDEX('PROJETO PERFURAÇÃO'!$P:$P,MATCH(MEDIÇÃO!R598,'PROJETO PERFURAÇÃO'!$B:$B,0))="Production","P",IF(INDEX('PROJETO PERFURAÇÃO'!$P:$P,MATCH(MEDIÇÃO!R598,'PROJETO PERFURAÇÃO'!$B:$B,0))="Buffer","B",IF(INDEX('PROJETO PERFURAÇÃO'!$P:$P,MATCH(MEDIÇÃO!R598,'PROJETO PERFURAÇÃO'!$B:$B,0))="Pre-Splitting","S"))),"")</f>
        <v/>
      </c>
      <c r="R598" s="14">
        <f t="shared" si="59"/>
        <v>1362</v>
      </c>
      <c r="S598" s="4" t="str">
        <f>IFERROR(INDEX('LEV R&amp;D'!$D:$D,MATCH(MEDIÇÃO!R598,'LEV R&amp;D'!$A:$A,0))-INDEX('PROJETO PERFURAÇÃO'!$AH:$AH,MATCH(MEDIÇÃO!R598,'PROJETO PERFURAÇÃO'!$B:$B,0)),"")</f>
        <v/>
      </c>
      <c r="T598" s="8" t="str">
        <f>IFERROR(INDEX('PROJETO PERFURAÇÃO'!$AN:$AN,MATCH(MEDIÇÃO!R598,'PROJETO PERFURAÇÃO'!$B:$B,0)),"")</f>
        <v/>
      </c>
      <c r="U598" s="3"/>
      <c r="V598" s="3"/>
    </row>
    <row r="599" spans="1:23" ht="45" customHeight="1" x14ac:dyDescent="0.25">
      <c r="B599" s="3" t="str">
        <f>IFERROR(ROUND(INDEX('PROJETO PERFURAÇÃO'!$AB:$AB,MATCH(MEDIÇÃO!D599,'PROJETO PERFURAÇÃO'!$B:$B,0)),1)&amp;"''","")</f>
        <v/>
      </c>
      <c r="C599" s="3" t="str">
        <f>IFERROR(IF(INDEX('PROJETO PERFURAÇÃO'!$P:$P,MATCH(MEDIÇÃO!D599,'PROJETO PERFURAÇÃO'!$B:$B,0))="Production","P",IF(INDEX('PROJETO PERFURAÇÃO'!$P:$P,MATCH(MEDIÇÃO!D599,'PROJETO PERFURAÇÃO'!$B:$B,0))="Buffer","B",IF(INDEX('PROJETO PERFURAÇÃO'!$P:$P,MATCH(MEDIÇÃO!D599,'PROJETO PERFURAÇÃO'!$B:$B,0))="Pre-Splitting","S"))),"")</f>
        <v/>
      </c>
      <c r="D599" s="14">
        <f t="shared" si="57"/>
        <v>1317</v>
      </c>
      <c r="E599" s="4" t="str">
        <f>IFERROR(INDEX('LEV R&amp;D'!$D:$D,MATCH(MEDIÇÃO!D599,'LEV R&amp;D'!$A:$A,0))-INDEX('PROJETO PERFURAÇÃO'!$AH:$AH,MATCH(MEDIÇÃO!D599,'PROJETO PERFURAÇÃO'!$B:$B,0)),"")</f>
        <v/>
      </c>
      <c r="F599" s="8" t="str">
        <f>IFERROR(INDEX('PROJETO PERFURAÇÃO'!$AN:$AN,MATCH(MEDIÇÃO!D599,'PROJETO PERFURAÇÃO'!$B:$B,0)),"")</f>
        <v/>
      </c>
      <c r="G599" s="3"/>
      <c r="H599" s="3"/>
      <c r="I599" s="3" t="str">
        <f>IFERROR(ROUND(INDEX('PROJETO PERFURAÇÃO'!$AB:$AB,MATCH(MEDIÇÃO!K599,'PROJETO PERFURAÇÃO'!$B:$B,0)),1)&amp;"''","")</f>
        <v/>
      </c>
      <c r="J599" s="3" t="str">
        <f>IFERROR(IF(INDEX('PROJETO PERFURAÇÃO'!$P:$P,MATCH(MEDIÇÃO!K599,'PROJETO PERFURAÇÃO'!$B:$B,0))="Production","P",IF(INDEX('PROJETO PERFURAÇÃO'!$P:$P,MATCH(MEDIÇÃO!K599,'PROJETO PERFURAÇÃO'!$B:$B,0))="Buffer","B",IF(INDEX('PROJETO PERFURAÇÃO'!$P:$P,MATCH(MEDIÇÃO!K599,'PROJETO PERFURAÇÃO'!$B:$B,0))="Pre-Splitting","S"))),"")</f>
        <v/>
      </c>
      <c r="K599" s="14">
        <f t="shared" si="58"/>
        <v>1340</v>
      </c>
      <c r="L599" s="4" t="str">
        <f>IFERROR(INDEX('LEV R&amp;D'!$D:$D,MATCH(MEDIÇÃO!K599,'LEV R&amp;D'!$A:$A,0))-INDEX('PROJETO PERFURAÇÃO'!$AH:$AH,MATCH(MEDIÇÃO!K599,'PROJETO PERFURAÇÃO'!$B:$B,0)),"")</f>
        <v/>
      </c>
      <c r="M599" s="8" t="str">
        <f>IFERROR(INDEX('PROJETO PERFURAÇÃO'!$AN:$AN,MATCH(MEDIÇÃO!K599,'PROJETO PERFURAÇÃO'!$B:$B,0)),"")</f>
        <v/>
      </c>
      <c r="N599" s="3"/>
      <c r="O599" s="3"/>
      <c r="P599" s="3" t="str">
        <f>IFERROR(ROUND(INDEX('PROJETO PERFURAÇÃO'!$AB:$AB,MATCH(MEDIÇÃO!R599,'PROJETO PERFURAÇÃO'!$B:$B,0)),1)&amp;"''","")</f>
        <v/>
      </c>
      <c r="Q599" s="3" t="str">
        <f>IFERROR(IF(INDEX('PROJETO PERFURAÇÃO'!$P:$P,MATCH(MEDIÇÃO!R599,'PROJETO PERFURAÇÃO'!$B:$B,0))="Production","P",IF(INDEX('PROJETO PERFURAÇÃO'!$P:$P,MATCH(MEDIÇÃO!R599,'PROJETO PERFURAÇÃO'!$B:$B,0))="Buffer","B",IF(INDEX('PROJETO PERFURAÇÃO'!$P:$P,MATCH(MEDIÇÃO!R599,'PROJETO PERFURAÇÃO'!$B:$B,0))="Pre-Splitting","S"))),"")</f>
        <v/>
      </c>
      <c r="R599" s="14">
        <f t="shared" si="59"/>
        <v>1363</v>
      </c>
      <c r="S599" s="4" t="str">
        <f>IFERROR(INDEX('LEV R&amp;D'!$D:$D,MATCH(MEDIÇÃO!R599,'LEV R&amp;D'!$A:$A,0))-INDEX('PROJETO PERFURAÇÃO'!$AH:$AH,MATCH(MEDIÇÃO!R599,'PROJETO PERFURAÇÃO'!$B:$B,0)),"")</f>
        <v/>
      </c>
      <c r="T599" s="8" t="str">
        <f>IFERROR(INDEX('PROJETO PERFURAÇÃO'!$AN:$AN,MATCH(MEDIÇÃO!R599,'PROJETO PERFURAÇÃO'!$B:$B,0)),"")</f>
        <v/>
      </c>
      <c r="U599" s="3"/>
      <c r="V599" s="3"/>
    </row>
    <row r="600" spans="1:23" ht="45" customHeight="1" x14ac:dyDescent="0.25">
      <c r="B600" s="3" t="str">
        <f>IFERROR(ROUND(INDEX('PROJETO PERFURAÇÃO'!$AB:$AB,MATCH(MEDIÇÃO!D600,'PROJETO PERFURAÇÃO'!$B:$B,0)),1)&amp;"''","")</f>
        <v/>
      </c>
      <c r="C600" s="3" t="str">
        <f>IFERROR(IF(INDEX('PROJETO PERFURAÇÃO'!$P:$P,MATCH(MEDIÇÃO!D600,'PROJETO PERFURAÇÃO'!$B:$B,0))="Production","P",IF(INDEX('PROJETO PERFURAÇÃO'!$P:$P,MATCH(MEDIÇÃO!D600,'PROJETO PERFURAÇÃO'!$B:$B,0))="Buffer","B",IF(INDEX('PROJETO PERFURAÇÃO'!$P:$P,MATCH(MEDIÇÃO!D600,'PROJETO PERFURAÇÃO'!$B:$B,0))="Pre-Splitting","S"))),"")</f>
        <v/>
      </c>
      <c r="D600" s="14">
        <f t="shared" si="57"/>
        <v>1318</v>
      </c>
      <c r="E600" s="4" t="str">
        <f>IFERROR(INDEX('LEV R&amp;D'!$D:$D,MATCH(MEDIÇÃO!D600,'LEV R&amp;D'!$A:$A,0))-INDEX('PROJETO PERFURAÇÃO'!$AH:$AH,MATCH(MEDIÇÃO!D600,'PROJETO PERFURAÇÃO'!$B:$B,0)),"")</f>
        <v/>
      </c>
      <c r="F600" s="8" t="str">
        <f>IFERROR(INDEX('PROJETO PERFURAÇÃO'!$AN:$AN,MATCH(MEDIÇÃO!D600,'PROJETO PERFURAÇÃO'!$B:$B,0)),"")</f>
        <v/>
      </c>
      <c r="G600" s="3"/>
      <c r="H600" s="3"/>
      <c r="I600" s="3" t="str">
        <f>IFERROR(ROUND(INDEX('PROJETO PERFURAÇÃO'!$AB:$AB,MATCH(MEDIÇÃO!K600,'PROJETO PERFURAÇÃO'!$B:$B,0)),1)&amp;"''","")</f>
        <v/>
      </c>
      <c r="J600" s="3" t="str">
        <f>IFERROR(IF(INDEX('PROJETO PERFURAÇÃO'!$P:$P,MATCH(MEDIÇÃO!K600,'PROJETO PERFURAÇÃO'!$B:$B,0))="Production","P",IF(INDEX('PROJETO PERFURAÇÃO'!$P:$P,MATCH(MEDIÇÃO!K600,'PROJETO PERFURAÇÃO'!$B:$B,0))="Buffer","B",IF(INDEX('PROJETO PERFURAÇÃO'!$P:$P,MATCH(MEDIÇÃO!K600,'PROJETO PERFURAÇÃO'!$B:$B,0))="Pre-Splitting","S"))),"")</f>
        <v/>
      </c>
      <c r="K600" s="14">
        <f t="shared" si="58"/>
        <v>1341</v>
      </c>
      <c r="L600" s="4" t="str">
        <f>IFERROR(INDEX('LEV R&amp;D'!$D:$D,MATCH(MEDIÇÃO!K600,'LEV R&amp;D'!$A:$A,0))-INDEX('PROJETO PERFURAÇÃO'!$AH:$AH,MATCH(MEDIÇÃO!K600,'PROJETO PERFURAÇÃO'!$B:$B,0)),"")</f>
        <v/>
      </c>
      <c r="M600" s="8" t="str">
        <f>IFERROR(INDEX('PROJETO PERFURAÇÃO'!$AN:$AN,MATCH(MEDIÇÃO!K600,'PROJETO PERFURAÇÃO'!$B:$B,0)),"")</f>
        <v/>
      </c>
      <c r="N600" s="3"/>
      <c r="O600" s="3"/>
      <c r="P600" s="3" t="str">
        <f>IFERROR(ROUND(INDEX('PROJETO PERFURAÇÃO'!$AB:$AB,MATCH(MEDIÇÃO!R600,'PROJETO PERFURAÇÃO'!$B:$B,0)),1)&amp;"''","")</f>
        <v/>
      </c>
      <c r="Q600" s="3" t="str">
        <f>IFERROR(IF(INDEX('PROJETO PERFURAÇÃO'!$P:$P,MATCH(MEDIÇÃO!R600,'PROJETO PERFURAÇÃO'!$B:$B,0))="Production","P",IF(INDEX('PROJETO PERFURAÇÃO'!$P:$P,MATCH(MEDIÇÃO!R600,'PROJETO PERFURAÇÃO'!$B:$B,0))="Buffer","B",IF(INDEX('PROJETO PERFURAÇÃO'!$P:$P,MATCH(MEDIÇÃO!R600,'PROJETO PERFURAÇÃO'!$B:$B,0))="Pre-Splitting","S"))),"")</f>
        <v/>
      </c>
      <c r="R600" s="14">
        <f t="shared" si="59"/>
        <v>1364</v>
      </c>
      <c r="S600" s="4" t="str">
        <f>IFERROR(INDEX('LEV R&amp;D'!$D:$D,MATCH(MEDIÇÃO!R600,'LEV R&amp;D'!$A:$A,0))-INDEX('PROJETO PERFURAÇÃO'!$AH:$AH,MATCH(MEDIÇÃO!R600,'PROJETO PERFURAÇÃO'!$B:$B,0)),"")</f>
        <v/>
      </c>
      <c r="T600" s="8" t="str">
        <f>IFERROR(INDEX('PROJETO PERFURAÇÃO'!$AN:$AN,MATCH(MEDIÇÃO!R600,'PROJETO PERFURAÇÃO'!$B:$B,0)),"")</f>
        <v/>
      </c>
      <c r="U600" s="3"/>
      <c r="V600" s="3"/>
    </row>
    <row r="601" spans="1:23" ht="45" customHeight="1" x14ac:dyDescent="0.25">
      <c r="B601" s="3" t="str">
        <f>IFERROR(ROUND(INDEX('PROJETO PERFURAÇÃO'!$AB:$AB,MATCH(MEDIÇÃO!D601,'PROJETO PERFURAÇÃO'!$B:$B,0)),1)&amp;"''","")</f>
        <v/>
      </c>
      <c r="C601" s="3" t="str">
        <f>IFERROR(IF(INDEX('PROJETO PERFURAÇÃO'!$P:$P,MATCH(MEDIÇÃO!D601,'PROJETO PERFURAÇÃO'!$B:$B,0))="Production","P",IF(INDEX('PROJETO PERFURAÇÃO'!$P:$P,MATCH(MEDIÇÃO!D601,'PROJETO PERFURAÇÃO'!$B:$B,0))="Buffer","B",IF(INDEX('PROJETO PERFURAÇÃO'!$P:$P,MATCH(MEDIÇÃO!D601,'PROJETO PERFURAÇÃO'!$B:$B,0))="Pre-Splitting","S"))),"")</f>
        <v/>
      </c>
      <c r="D601" s="14">
        <f t="shared" si="57"/>
        <v>1319</v>
      </c>
      <c r="E601" s="4" t="str">
        <f>IFERROR(INDEX('LEV R&amp;D'!$D:$D,MATCH(MEDIÇÃO!D601,'LEV R&amp;D'!$A:$A,0))-INDEX('PROJETO PERFURAÇÃO'!$AH:$AH,MATCH(MEDIÇÃO!D601,'PROJETO PERFURAÇÃO'!$B:$B,0)),"")</f>
        <v/>
      </c>
      <c r="F601" s="8" t="str">
        <f>IFERROR(INDEX('PROJETO PERFURAÇÃO'!$AN:$AN,MATCH(MEDIÇÃO!D601,'PROJETO PERFURAÇÃO'!$B:$B,0)),"")</f>
        <v/>
      </c>
      <c r="G601" s="3"/>
      <c r="H601" s="3"/>
      <c r="I601" s="3" t="str">
        <f>IFERROR(ROUND(INDEX('PROJETO PERFURAÇÃO'!$AB:$AB,MATCH(MEDIÇÃO!K601,'PROJETO PERFURAÇÃO'!$B:$B,0)),1)&amp;"''","")</f>
        <v/>
      </c>
      <c r="J601" s="3" t="str">
        <f>IFERROR(IF(INDEX('PROJETO PERFURAÇÃO'!$P:$P,MATCH(MEDIÇÃO!K601,'PROJETO PERFURAÇÃO'!$B:$B,0))="Production","P",IF(INDEX('PROJETO PERFURAÇÃO'!$P:$P,MATCH(MEDIÇÃO!K601,'PROJETO PERFURAÇÃO'!$B:$B,0))="Buffer","B",IF(INDEX('PROJETO PERFURAÇÃO'!$P:$P,MATCH(MEDIÇÃO!K601,'PROJETO PERFURAÇÃO'!$B:$B,0))="Pre-Splitting","S"))),"")</f>
        <v/>
      </c>
      <c r="K601" s="14">
        <f t="shared" si="58"/>
        <v>1342</v>
      </c>
      <c r="L601" s="4" t="str">
        <f>IFERROR(INDEX('LEV R&amp;D'!$D:$D,MATCH(MEDIÇÃO!K601,'LEV R&amp;D'!$A:$A,0))-INDEX('PROJETO PERFURAÇÃO'!$AH:$AH,MATCH(MEDIÇÃO!K601,'PROJETO PERFURAÇÃO'!$B:$B,0)),"")</f>
        <v/>
      </c>
      <c r="M601" s="8" t="str">
        <f>IFERROR(INDEX('PROJETO PERFURAÇÃO'!$AN:$AN,MATCH(MEDIÇÃO!K601,'PROJETO PERFURAÇÃO'!$B:$B,0)),"")</f>
        <v/>
      </c>
      <c r="N601" s="3"/>
      <c r="O601" s="3"/>
      <c r="P601" s="3" t="str">
        <f>IFERROR(ROUND(INDEX('PROJETO PERFURAÇÃO'!$AB:$AB,MATCH(MEDIÇÃO!R601,'PROJETO PERFURAÇÃO'!$B:$B,0)),1)&amp;"''","")</f>
        <v/>
      </c>
      <c r="Q601" s="3" t="str">
        <f>IFERROR(IF(INDEX('PROJETO PERFURAÇÃO'!$P:$P,MATCH(MEDIÇÃO!R601,'PROJETO PERFURAÇÃO'!$B:$B,0))="Production","P",IF(INDEX('PROJETO PERFURAÇÃO'!$P:$P,MATCH(MEDIÇÃO!R601,'PROJETO PERFURAÇÃO'!$B:$B,0))="Buffer","B",IF(INDEX('PROJETO PERFURAÇÃO'!$P:$P,MATCH(MEDIÇÃO!R601,'PROJETO PERFURAÇÃO'!$B:$B,0))="Pre-Splitting","S"))),"")</f>
        <v/>
      </c>
      <c r="R601" s="14">
        <f t="shared" si="59"/>
        <v>1365</v>
      </c>
      <c r="S601" s="4" t="str">
        <f>IFERROR(INDEX('LEV R&amp;D'!$D:$D,MATCH(MEDIÇÃO!R601,'LEV R&amp;D'!$A:$A,0))-INDEX('PROJETO PERFURAÇÃO'!$AH:$AH,MATCH(MEDIÇÃO!R601,'PROJETO PERFURAÇÃO'!$B:$B,0)),"")</f>
        <v/>
      </c>
      <c r="T601" s="8" t="str">
        <f>IFERROR(INDEX('PROJETO PERFURAÇÃO'!$AN:$AN,MATCH(MEDIÇÃO!R601,'PROJETO PERFURAÇÃO'!$B:$B,0)),"")</f>
        <v/>
      </c>
      <c r="U601" s="3"/>
      <c r="V601" s="3"/>
    </row>
    <row r="602" spans="1:23" ht="45" customHeight="1" x14ac:dyDescent="0.25">
      <c r="B602" s="3" t="str">
        <f>IFERROR(ROUND(INDEX('PROJETO PERFURAÇÃO'!$AB:$AB,MATCH(MEDIÇÃO!D602,'PROJETO PERFURAÇÃO'!$B:$B,0)),1)&amp;"''","")</f>
        <v/>
      </c>
      <c r="C602" s="3" t="str">
        <f>IFERROR(IF(INDEX('PROJETO PERFURAÇÃO'!$P:$P,MATCH(MEDIÇÃO!D602,'PROJETO PERFURAÇÃO'!$B:$B,0))="Production","P",IF(INDEX('PROJETO PERFURAÇÃO'!$P:$P,MATCH(MEDIÇÃO!D602,'PROJETO PERFURAÇÃO'!$B:$B,0))="Buffer","B",IF(INDEX('PROJETO PERFURAÇÃO'!$P:$P,MATCH(MEDIÇÃO!D602,'PROJETO PERFURAÇÃO'!$B:$B,0))="Pre-Splitting","S"))),"")</f>
        <v/>
      </c>
      <c r="D602" s="14">
        <f t="shared" si="57"/>
        <v>1320</v>
      </c>
      <c r="E602" s="4" t="str">
        <f>IFERROR(INDEX('LEV R&amp;D'!$D:$D,MATCH(MEDIÇÃO!D602,'LEV R&amp;D'!$A:$A,0))-INDEX('PROJETO PERFURAÇÃO'!$AH:$AH,MATCH(MEDIÇÃO!D602,'PROJETO PERFURAÇÃO'!$B:$B,0)),"")</f>
        <v/>
      </c>
      <c r="F602" s="8" t="str">
        <f>IFERROR(INDEX('PROJETO PERFURAÇÃO'!$AN:$AN,MATCH(MEDIÇÃO!D602,'PROJETO PERFURAÇÃO'!$B:$B,0)),"")</f>
        <v/>
      </c>
      <c r="G602" s="3"/>
      <c r="H602" s="3"/>
      <c r="I602" s="3" t="str">
        <f>IFERROR(ROUND(INDEX('PROJETO PERFURAÇÃO'!$AB:$AB,MATCH(MEDIÇÃO!K602,'PROJETO PERFURAÇÃO'!$B:$B,0)),1)&amp;"''","")</f>
        <v/>
      </c>
      <c r="J602" s="3" t="str">
        <f>IFERROR(IF(INDEX('PROJETO PERFURAÇÃO'!$P:$P,MATCH(MEDIÇÃO!K602,'PROJETO PERFURAÇÃO'!$B:$B,0))="Production","P",IF(INDEX('PROJETO PERFURAÇÃO'!$P:$P,MATCH(MEDIÇÃO!K602,'PROJETO PERFURAÇÃO'!$B:$B,0))="Buffer","B",IF(INDEX('PROJETO PERFURAÇÃO'!$P:$P,MATCH(MEDIÇÃO!K602,'PROJETO PERFURAÇÃO'!$B:$B,0))="Pre-Splitting","S"))),"")</f>
        <v/>
      </c>
      <c r="K602" s="14">
        <f t="shared" si="58"/>
        <v>1343</v>
      </c>
      <c r="L602" s="4" t="str">
        <f>IFERROR(INDEX('LEV R&amp;D'!$D:$D,MATCH(MEDIÇÃO!K602,'LEV R&amp;D'!$A:$A,0))-INDEX('PROJETO PERFURAÇÃO'!$AH:$AH,MATCH(MEDIÇÃO!K602,'PROJETO PERFURAÇÃO'!$B:$B,0)),"")</f>
        <v/>
      </c>
      <c r="M602" s="8" t="str">
        <f>IFERROR(INDEX('PROJETO PERFURAÇÃO'!$AN:$AN,MATCH(MEDIÇÃO!K602,'PROJETO PERFURAÇÃO'!$B:$B,0)),"")</f>
        <v/>
      </c>
      <c r="N602" s="3"/>
      <c r="O602" s="3"/>
      <c r="P602" s="3" t="str">
        <f>IFERROR(ROUND(INDEX('PROJETO PERFURAÇÃO'!$AB:$AB,MATCH(MEDIÇÃO!R602,'PROJETO PERFURAÇÃO'!$B:$B,0)),1)&amp;"''","")</f>
        <v/>
      </c>
      <c r="Q602" s="3" t="str">
        <f>IFERROR(IF(INDEX('PROJETO PERFURAÇÃO'!$P:$P,MATCH(MEDIÇÃO!R602,'PROJETO PERFURAÇÃO'!$B:$B,0))="Production","P",IF(INDEX('PROJETO PERFURAÇÃO'!$P:$P,MATCH(MEDIÇÃO!R602,'PROJETO PERFURAÇÃO'!$B:$B,0))="Buffer","B",IF(INDEX('PROJETO PERFURAÇÃO'!$P:$P,MATCH(MEDIÇÃO!R602,'PROJETO PERFURAÇÃO'!$B:$B,0))="Pre-Splitting","S"))),"")</f>
        <v/>
      </c>
      <c r="R602" s="14">
        <f t="shared" si="59"/>
        <v>1366</v>
      </c>
      <c r="S602" s="4" t="str">
        <f>IFERROR(INDEX('LEV R&amp;D'!$D:$D,MATCH(MEDIÇÃO!R602,'LEV R&amp;D'!$A:$A,0))-INDEX('PROJETO PERFURAÇÃO'!$AH:$AH,MATCH(MEDIÇÃO!R602,'PROJETO PERFURAÇÃO'!$B:$B,0)),"")</f>
        <v/>
      </c>
      <c r="T602" s="8" t="str">
        <f>IFERROR(INDEX('PROJETO PERFURAÇÃO'!$AN:$AN,MATCH(MEDIÇÃO!R602,'PROJETO PERFURAÇÃO'!$B:$B,0)),"")</f>
        <v/>
      </c>
      <c r="U602" s="3"/>
      <c r="V602" s="3"/>
    </row>
    <row r="603" spans="1:23" ht="45" customHeight="1" x14ac:dyDescent="0.25">
      <c r="B603" s="3" t="str">
        <f>IFERROR(ROUND(INDEX('PROJETO PERFURAÇÃO'!$AB:$AB,MATCH(MEDIÇÃO!D603,'PROJETO PERFURAÇÃO'!$B:$B,0)),1)&amp;"''","")</f>
        <v/>
      </c>
      <c r="C603" s="3" t="str">
        <f>IFERROR(IF(INDEX('PROJETO PERFURAÇÃO'!$P:$P,MATCH(MEDIÇÃO!D603,'PROJETO PERFURAÇÃO'!$B:$B,0))="Production","P",IF(INDEX('PROJETO PERFURAÇÃO'!$P:$P,MATCH(MEDIÇÃO!D603,'PROJETO PERFURAÇÃO'!$B:$B,0))="Buffer","B",IF(INDEX('PROJETO PERFURAÇÃO'!$P:$P,MATCH(MEDIÇÃO!D603,'PROJETO PERFURAÇÃO'!$B:$B,0))="Pre-Splitting","S"))),"")</f>
        <v/>
      </c>
      <c r="D603" s="14">
        <f t="shared" si="57"/>
        <v>1321</v>
      </c>
      <c r="E603" s="4" t="str">
        <f>IFERROR(INDEX('LEV R&amp;D'!$D:$D,MATCH(MEDIÇÃO!D603,'LEV R&amp;D'!$A:$A,0))-INDEX('PROJETO PERFURAÇÃO'!$AH:$AH,MATCH(MEDIÇÃO!D603,'PROJETO PERFURAÇÃO'!$B:$B,0)),"")</f>
        <v/>
      </c>
      <c r="F603" s="8" t="str">
        <f>IFERROR(INDEX('PROJETO PERFURAÇÃO'!$AN:$AN,MATCH(MEDIÇÃO!D603,'PROJETO PERFURAÇÃO'!$B:$B,0)),"")</f>
        <v/>
      </c>
      <c r="G603" s="3"/>
      <c r="H603" s="3"/>
      <c r="I603" s="3" t="str">
        <f>IFERROR(ROUND(INDEX('PROJETO PERFURAÇÃO'!$AB:$AB,MATCH(MEDIÇÃO!K603,'PROJETO PERFURAÇÃO'!$B:$B,0)),1)&amp;"''","")</f>
        <v/>
      </c>
      <c r="J603" s="3" t="str">
        <f>IFERROR(IF(INDEX('PROJETO PERFURAÇÃO'!$P:$P,MATCH(MEDIÇÃO!K603,'PROJETO PERFURAÇÃO'!$B:$B,0))="Production","P",IF(INDEX('PROJETO PERFURAÇÃO'!$P:$P,MATCH(MEDIÇÃO!K603,'PROJETO PERFURAÇÃO'!$B:$B,0))="Buffer","B",IF(INDEX('PROJETO PERFURAÇÃO'!$P:$P,MATCH(MEDIÇÃO!K603,'PROJETO PERFURAÇÃO'!$B:$B,0))="Pre-Splitting","S"))),"")</f>
        <v/>
      </c>
      <c r="K603" s="14">
        <f t="shared" si="58"/>
        <v>1344</v>
      </c>
      <c r="L603" s="4" t="str">
        <f>IFERROR(INDEX('LEV R&amp;D'!$D:$D,MATCH(MEDIÇÃO!K603,'LEV R&amp;D'!$A:$A,0))-INDEX('PROJETO PERFURAÇÃO'!$AH:$AH,MATCH(MEDIÇÃO!K603,'PROJETO PERFURAÇÃO'!$B:$B,0)),"")</f>
        <v/>
      </c>
      <c r="M603" s="8" t="str">
        <f>IFERROR(INDEX('PROJETO PERFURAÇÃO'!$AN:$AN,MATCH(MEDIÇÃO!K603,'PROJETO PERFURAÇÃO'!$B:$B,0)),"")</f>
        <v/>
      </c>
      <c r="N603" s="3"/>
      <c r="O603" s="3"/>
      <c r="P603" s="3" t="str">
        <f>IFERROR(ROUND(INDEX('PROJETO PERFURAÇÃO'!$AB:$AB,MATCH(MEDIÇÃO!R603,'PROJETO PERFURAÇÃO'!$B:$B,0)),1)&amp;"''","")</f>
        <v/>
      </c>
      <c r="Q603" s="3" t="str">
        <f>IFERROR(IF(INDEX('PROJETO PERFURAÇÃO'!$P:$P,MATCH(MEDIÇÃO!R603,'PROJETO PERFURAÇÃO'!$B:$B,0))="Production","P",IF(INDEX('PROJETO PERFURAÇÃO'!$P:$P,MATCH(MEDIÇÃO!R603,'PROJETO PERFURAÇÃO'!$B:$B,0))="Buffer","B",IF(INDEX('PROJETO PERFURAÇÃO'!$P:$P,MATCH(MEDIÇÃO!R603,'PROJETO PERFURAÇÃO'!$B:$B,0))="Pre-Splitting","S"))),"")</f>
        <v/>
      </c>
      <c r="R603" s="14">
        <f t="shared" si="59"/>
        <v>1367</v>
      </c>
      <c r="S603" s="4" t="str">
        <f>IFERROR(INDEX('LEV R&amp;D'!$D:$D,MATCH(MEDIÇÃO!R603,'LEV R&amp;D'!$A:$A,0))-INDEX('PROJETO PERFURAÇÃO'!$AH:$AH,MATCH(MEDIÇÃO!R603,'PROJETO PERFURAÇÃO'!$B:$B,0)),"")</f>
        <v/>
      </c>
      <c r="T603" s="8" t="str">
        <f>IFERROR(INDEX('PROJETO PERFURAÇÃO'!$AN:$AN,MATCH(MEDIÇÃO!R603,'PROJETO PERFURAÇÃO'!$B:$B,0)),"")</f>
        <v/>
      </c>
      <c r="U603" s="3"/>
      <c r="V603" s="3"/>
    </row>
    <row r="604" spans="1:23" ht="45" customHeight="1" x14ac:dyDescent="0.25">
      <c r="B604" s="3" t="str">
        <f>IFERROR(ROUND(INDEX('PROJETO PERFURAÇÃO'!$AB:$AB,MATCH(MEDIÇÃO!D604,'PROJETO PERFURAÇÃO'!$B:$B,0)),1)&amp;"''","")</f>
        <v/>
      </c>
      <c r="C604" s="3" t="str">
        <f>IFERROR(IF(INDEX('PROJETO PERFURAÇÃO'!$P:$P,MATCH(MEDIÇÃO!D604,'PROJETO PERFURAÇÃO'!$B:$B,0))="Production","P",IF(INDEX('PROJETO PERFURAÇÃO'!$P:$P,MATCH(MEDIÇÃO!D604,'PROJETO PERFURAÇÃO'!$B:$B,0))="Buffer","B",IF(INDEX('PROJETO PERFURAÇÃO'!$P:$P,MATCH(MEDIÇÃO!D604,'PROJETO PERFURAÇÃO'!$B:$B,0))="Pre-Splitting","S"))),"")</f>
        <v/>
      </c>
      <c r="D604" s="14">
        <f t="shared" si="57"/>
        <v>1322</v>
      </c>
      <c r="E604" s="4" t="str">
        <f>IFERROR(INDEX('LEV R&amp;D'!$D:$D,MATCH(MEDIÇÃO!D604,'LEV R&amp;D'!$A:$A,0))-INDEX('PROJETO PERFURAÇÃO'!$AH:$AH,MATCH(MEDIÇÃO!D604,'PROJETO PERFURAÇÃO'!$B:$B,0)),"")</f>
        <v/>
      </c>
      <c r="F604" s="8" t="str">
        <f>IFERROR(INDEX('PROJETO PERFURAÇÃO'!$AN:$AN,MATCH(MEDIÇÃO!D604,'PROJETO PERFURAÇÃO'!$B:$B,0)),"")</f>
        <v/>
      </c>
      <c r="G604" s="3"/>
      <c r="H604" s="3"/>
      <c r="I604" s="3" t="str">
        <f>IFERROR(ROUND(INDEX('PROJETO PERFURAÇÃO'!$AB:$AB,MATCH(MEDIÇÃO!K604,'PROJETO PERFURAÇÃO'!$B:$B,0)),1)&amp;"''","")</f>
        <v/>
      </c>
      <c r="J604" s="3" t="str">
        <f>IFERROR(IF(INDEX('PROJETO PERFURAÇÃO'!$P:$P,MATCH(MEDIÇÃO!K604,'PROJETO PERFURAÇÃO'!$B:$B,0))="Production","P",IF(INDEX('PROJETO PERFURAÇÃO'!$P:$P,MATCH(MEDIÇÃO!K604,'PROJETO PERFURAÇÃO'!$B:$B,0))="Buffer","B",IF(INDEX('PROJETO PERFURAÇÃO'!$P:$P,MATCH(MEDIÇÃO!K604,'PROJETO PERFURAÇÃO'!$B:$B,0))="Pre-Splitting","S"))),"")</f>
        <v/>
      </c>
      <c r="K604" s="14">
        <f t="shared" si="58"/>
        <v>1345</v>
      </c>
      <c r="L604" s="4" t="str">
        <f>IFERROR(INDEX('LEV R&amp;D'!$D:$D,MATCH(MEDIÇÃO!K604,'LEV R&amp;D'!$A:$A,0))-INDEX('PROJETO PERFURAÇÃO'!$AH:$AH,MATCH(MEDIÇÃO!K604,'PROJETO PERFURAÇÃO'!$B:$B,0)),"")</f>
        <v/>
      </c>
      <c r="M604" s="8" t="str">
        <f>IFERROR(INDEX('PROJETO PERFURAÇÃO'!$AN:$AN,MATCH(MEDIÇÃO!K604,'PROJETO PERFURAÇÃO'!$B:$B,0)),"")</f>
        <v/>
      </c>
      <c r="N604" s="3"/>
      <c r="O604" s="3"/>
      <c r="P604" s="3" t="str">
        <f>IFERROR(ROUND(INDEX('PROJETO PERFURAÇÃO'!$AB:$AB,MATCH(MEDIÇÃO!R604,'PROJETO PERFURAÇÃO'!$B:$B,0)),1)&amp;"''","")</f>
        <v/>
      </c>
      <c r="Q604" s="3" t="str">
        <f>IFERROR(IF(INDEX('PROJETO PERFURAÇÃO'!$P:$P,MATCH(MEDIÇÃO!R604,'PROJETO PERFURAÇÃO'!$B:$B,0))="Production","P",IF(INDEX('PROJETO PERFURAÇÃO'!$P:$P,MATCH(MEDIÇÃO!R604,'PROJETO PERFURAÇÃO'!$B:$B,0))="Buffer","B",IF(INDEX('PROJETO PERFURAÇÃO'!$P:$P,MATCH(MEDIÇÃO!R604,'PROJETO PERFURAÇÃO'!$B:$B,0))="Pre-Splitting","S"))),"")</f>
        <v/>
      </c>
      <c r="R604" s="14">
        <f t="shared" si="59"/>
        <v>1368</v>
      </c>
      <c r="S604" s="4" t="str">
        <f>IFERROR(INDEX('LEV R&amp;D'!$D:$D,MATCH(MEDIÇÃO!R604,'LEV R&amp;D'!$A:$A,0))-INDEX('PROJETO PERFURAÇÃO'!$AH:$AH,MATCH(MEDIÇÃO!R604,'PROJETO PERFURAÇÃO'!$B:$B,0)),"")</f>
        <v/>
      </c>
      <c r="T604" s="8" t="str">
        <f>IFERROR(INDEX('PROJETO PERFURAÇÃO'!$AN:$AN,MATCH(MEDIÇÃO!R604,'PROJETO PERFURAÇÃO'!$B:$B,0)),"")</f>
        <v/>
      </c>
      <c r="U604" s="3"/>
      <c r="V604" s="3"/>
    </row>
    <row r="605" spans="1:23" ht="45" customHeight="1" x14ac:dyDescent="0.25">
      <c r="B605" s="3" t="str">
        <f>IFERROR(ROUND(INDEX('PROJETO PERFURAÇÃO'!$AB:$AB,MATCH(MEDIÇÃO!D605,'PROJETO PERFURAÇÃO'!$B:$B,0)),1)&amp;"''","")</f>
        <v/>
      </c>
      <c r="C605" s="3" t="str">
        <f>IFERROR(IF(INDEX('PROJETO PERFURAÇÃO'!$P:$P,MATCH(MEDIÇÃO!D605,'PROJETO PERFURAÇÃO'!$B:$B,0))="Production","P",IF(INDEX('PROJETO PERFURAÇÃO'!$P:$P,MATCH(MEDIÇÃO!D605,'PROJETO PERFURAÇÃO'!$B:$B,0))="Buffer","B",IF(INDEX('PROJETO PERFURAÇÃO'!$P:$P,MATCH(MEDIÇÃO!D605,'PROJETO PERFURAÇÃO'!$B:$B,0))="Pre-Splitting","S"))),"")</f>
        <v/>
      </c>
      <c r="D605" s="14">
        <f t="shared" si="57"/>
        <v>1323</v>
      </c>
      <c r="E605" s="4" t="str">
        <f>IFERROR(INDEX('LEV R&amp;D'!$D:$D,MATCH(MEDIÇÃO!D605,'LEV R&amp;D'!$A:$A,0))-INDEX('PROJETO PERFURAÇÃO'!$AH:$AH,MATCH(MEDIÇÃO!D605,'PROJETO PERFURAÇÃO'!$B:$B,0)),"")</f>
        <v/>
      </c>
      <c r="F605" s="8" t="str">
        <f>IFERROR(INDEX('PROJETO PERFURAÇÃO'!$AN:$AN,MATCH(MEDIÇÃO!D605,'PROJETO PERFURAÇÃO'!$B:$B,0)),"")</f>
        <v/>
      </c>
      <c r="G605" s="3"/>
      <c r="H605" s="3"/>
      <c r="I605" s="3" t="str">
        <f>IFERROR(ROUND(INDEX('PROJETO PERFURAÇÃO'!$AB:$AB,MATCH(MEDIÇÃO!K605,'PROJETO PERFURAÇÃO'!$B:$B,0)),1)&amp;"''","")</f>
        <v/>
      </c>
      <c r="J605" s="3" t="str">
        <f>IFERROR(IF(INDEX('PROJETO PERFURAÇÃO'!$P:$P,MATCH(MEDIÇÃO!K605,'PROJETO PERFURAÇÃO'!$B:$B,0))="Production","P",IF(INDEX('PROJETO PERFURAÇÃO'!$P:$P,MATCH(MEDIÇÃO!K605,'PROJETO PERFURAÇÃO'!$B:$B,0))="Buffer","B",IF(INDEX('PROJETO PERFURAÇÃO'!$P:$P,MATCH(MEDIÇÃO!K605,'PROJETO PERFURAÇÃO'!$B:$B,0))="Pre-Splitting","S"))),"")</f>
        <v/>
      </c>
      <c r="K605" s="14">
        <f t="shared" si="58"/>
        <v>1346</v>
      </c>
      <c r="L605" s="4" t="str">
        <f>IFERROR(INDEX('LEV R&amp;D'!$D:$D,MATCH(MEDIÇÃO!K605,'LEV R&amp;D'!$A:$A,0))-INDEX('PROJETO PERFURAÇÃO'!$AH:$AH,MATCH(MEDIÇÃO!K605,'PROJETO PERFURAÇÃO'!$B:$B,0)),"")</f>
        <v/>
      </c>
      <c r="M605" s="8" t="str">
        <f>IFERROR(INDEX('PROJETO PERFURAÇÃO'!$AN:$AN,MATCH(MEDIÇÃO!K605,'PROJETO PERFURAÇÃO'!$B:$B,0)),"")</f>
        <v/>
      </c>
      <c r="N605" s="3"/>
      <c r="O605" s="3"/>
      <c r="P605" s="3" t="str">
        <f>IFERROR(ROUND(INDEX('PROJETO PERFURAÇÃO'!$AB:$AB,MATCH(MEDIÇÃO!R605,'PROJETO PERFURAÇÃO'!$B:$B,0)),1)&amp;"''","")</f>
        <v/>
      </c>
      <c r="Q605" s="3" t="str">
        <f>IFERROR(IF(INDEX('PROJETO PERFURAÇÃO'!$P:$P,MATCH(MEDIÇÃO!R605,'PROJETO PERFURAÇÃO'!$B:$B,0))="Production","P",IF(INDEX('PROJETO PERFURAÇÃO'!$P:$P,MATCH(MEDIÇÃO!R605,'PROJETO PERFURAÇÃO'!$B:$B,0))="Buffer","B",IF(INDEX('PROJETO PERFURAÇÃO'!$P:$P,MATCH(MEDIÇÃO!R605,'PROJETO PERFURAÇÃO'!$B:$B,0))="Pre-Splitting","S"))),"")</f>
        <v/>
      </c>
      <c r="R605" s="14">
        <f t="shared" si="59"/>
        <v>1369</v>
      </c>
      <c r="S605" s="4" t="str">
        <f>IFERROR(INDEX('LEV R&amp;D'!$D:$D,MATCH(MEDIÇÃO!R605,'LEV R&amp;D'!$A:$A,0))-INDEX('PROJETO PERFURAÇÃO'!$AH:$AH,MATCH(MEDIÇÃO!R605,'PROJETO PERFURAÇÃO'!$B:$B,0)),"")</f>
        <v/>
      </c>
      <c r="T605" s="8" t="str">
        <f>IFERROR(INDEX('PROJETO PERFURAÇÃO'!$AN:$AN,MATCH(MEDIÇÃO!R605,'PROJETO PERFURAÇÃO'!$B:$B,0)),"")</f>
        <v/>
      </c>
      <c r="U605" s="3"/>
      <c r="V605" s="3"/>
    </row>
    <row r="606" spans="1:23" ht="45" customHeight="1" x14ac:dyDescent="0.25">
      <c r="B606" s="3" t="str">
        <f>IFERROR(ROUND(INDEX('PROJETO PERFURAÇÃO'!$AB:$AB,MATCH(MEDIÇÃO!D606,'PROJETO PERFURAÇÃO'!$B:$B,0)),1)&amp;"''","")</f>
        <v/>
      </c>
      <c r="C606" s="3" t="str">
        <f>IFERROR(IF(INDEX('PROJETO PERFURAÇÃO'!$P:$P,MATCH(MEDIÇÃO!D606,'PROJETO PERFURAÇÃO'!$B:$B,0))="Production","P",IF(INDEX('PROJETO PERFURAÇÃO'!$P:$P,MATCH(MEDIÇÃO!D606,'PROJETO PERFURAÇÃO'!$B:$B,0))="Buffer","B",IF(INDEX('PROJETO PERFURAÇÃO'!$P:$P,MATCH(MEDIÇÃO!D606,'PROJETO PERFURAÇÃO'!$B:$B,0))="Pre-Splitting","S"))),"")</f>
        <v/>
      </c>
      <c r="D606" s="14">
        <f t="shared" si="57"/>
        <v>1324</v>
      </c>
      <c r="E606" s="4" t="str">
        <f>IFERROR(INDEX('LEV R&amp;D'!$D:$D,MATCH(MEDIÇÃO!D606,'LEV R&amp;D'!$A:$A,0))-INDEX('PROJETO PERFURAÇÃO'!$AH:$AH,MATCH(MEDIÇÃO!D606,'PROJETO PERFURAÇÃO'!$B:$B,0)),"")</f>
        <v/>
      </c>
      <c r="F606" s="8" t="str">
        <f>IFERROR(INDEX('PROJETO PERFURAÇÃO'!$AN:$AN,MATCH(MEDIÇÃO!D606,'PROJETO PERFURAÇÃO'!$B:$B,0)),"")</f>
        <v/>
      </c>
      <c r="G606" s="3"/>
      <c r="H606" s="3"/>
      <c r="I606" s="3" t="str">
        <f>IFERROR(ROUND(INDEX('PROJETO PERFURAÇÃO'!$AB:$AB,MATCH(MEDIÇÃO!K606,'PROJETO PERFURAÇÃO'!$B:$B,0)),1)&amp;"''","")</f>
        <v/>
      </c>
      <c r="J606" s="3" t="str">
        <f>IFERROR(IF(INDEX('PROJETO PERFURAÇÃO'!$P:$P,MATCH(MEDIÇÃO!K606,'PROJETO PERFURAÇÃO'!$B:$B,0))="Production","P",IF(INDEX('PROJETO PERFURAÇÃO'!$P:$P,MATCH(MEDIÇÃO!K606,'PROJETO PERFURAÇÃO'!$B:$B,0))="Buffer","B",IF(INDEX('PROJETO PERFURAÇÃO'!$P:$P,MATCH(MEDIÇÃO!K606,'PROJETO PERFURAÇÃO'!$B:$B,0))="Pre-Splitting","S"))),"")</f>
        <v/>
      </c>
      <c r="K606" s="14">
        <f t="shared" si="58"/>
        <v>1347</v>
      </c>
      <c r="L606" s="4" t="str">
        <f>IFERROR(INDEX('LEV R&amp;D'!$D:$D,MATCH(MEDIÇÃO!K606,'LEV R&amp;D'!$A:$A,0))-INDEX('PROJETO PERFURAÇÃO'!$AH:$AH,MATCH(MEDIÇÃO!K606,'PROJETO PERFURAÇÃO'!$B:$B,0)),"")</f>
        <v/>
      </c>
      <c r="M606" s="8" t="str">
        <f>IFERROR(INDEX('PROJETO PERFURAÇÃO'!$AN:$AN,MATCH(MEDIÇÃO!K606,'PROJETO PERFURAÇÃO'!$B:$B,0)),"")</f>
        <v/>
      </c>
      <c r="N606" s="3"/>
      <c r="O606" s="3"/>
      <c r="P606" s="3" t="str">
        <f>IFERROR(ROUND(INDEX('PROJETO PERFURAÇÃO'!$AB:$AB,MATCH(MEDIÇÃO!R606,'PROJETO PERFURAÇÃO'!$B:$B,0)),1)&amp;"''","")</f>
        <v/>
      </c>
      <c r="Q606" s="3" t="str">
        <f>IFERROR(IF(INDEX('PROJETO PERFURAÇÃO'!$P:$P,MATCH(MEDIÇÃO!R606,'PROJETO PERFURAÇÃO'!$B:$B,0))="Production","P",IF(INDEX('PROJETO PERFURAÇÃO'!$P:$P,MATCH(MEDIÇÃO!R606,'PROJETO PERFURAÇÃO'!$B:$B,0))="Buffer","B",IF(INDEX('PROJETO PERFURAÇÃO'!$P:$P,MATCH(MEDIÇÃO!R606,'PROJETO PERFURAÇÃO'!$B:$B,0))="Pre-Splitting","S"))),"")</f>
        <v/>
      </c>
      <c r="R606" s="14">
        <f t="shared" si="59"/>
        <v>1370</v>
      </c>
      <c r="S606" s="4" t="str">
        <f>IFERROR(INDEX('LEV R&amp;D'!$D:$D,MATCH(MEDIÇÃO!R606,'LEV R&amp;D'!$A:$A,0))-INDEX('PROJETO PERFURAÇÃO'!$AH:$AH,MATCH(MEDIÇÃO!R606,'PROJETO PERFURAÇÃO'!$B:$B,0)),"")</f>
        <v/>
      </c>
      <c r="T606" s="8" t="str">
        <f>IFERROR(INDEX('PROJETO PERFURAÇÃO'!$AN:$AN,MATCH(MEDIÇÃO!R606,'PROJETO PERFURAÇÃO'!$B:$B,0)),"")</f>
        <v/>
      </c>
      <c r="U606" s="3"/>
      <c r="V606" s="3"/>
    </row>
    <row r="607" spans="1:23" ht="45" customHeight="1" x14ac:dyDescent="0.25">
      <c r="B607" s="3" t="str">
        <f>IFERROR(ROUND(INDEX('PROJETO PERFURAÇÃO'!$AB:$AB,MATCH(MEDIÇÃO!D607,'PROJETO PERFURAÇÃO'!$B:$B,0)),1)&amp;"''","")</f>
        <v/>
      </c>
      <c r="C607" s="3" t="str">
        <f>IFERROR(IF(INDEX('PROJETO PERFURAÇÃO'!$P:$P,MATCH(MEDIÇÃO!D607,'PROJETO PERFURAÇÃO'!$B:$B,0))="Production","P",IF(INDEX('PROJETO PERFURAÇÃO'!$P:$P,MATCH(MEDIÇÃO!D607,'PROJETO PERFURAÇÃO'!$B:$B,0))="Buffer","B",IF(INDEX('PROJETO PERFURAÇÃO'!$P:$P,MATCH(MEDIÇÃO!D607,'PROJETO PERFURAÇÃO'!$B:$B,0))="Pre-Splitting","S"))),"")</f>
        <v/>
      </c>
      <c r="D607" s="14">
        <f t="shared" si="57"/>
        <v>1325</v>
      </c>
      <c r="E607" s="4" t="str">
        <f>IFERROR(INDEX('LEV R&amp;D'!$D:$D,MATCH(MEDIÇÃO!D607,'LEV R&amp;D'!$A:$A,0))-INDEX('PROJETO PERFURAÇÃO'!$AH:$AH,MATCH(MEDIÇÃO!D607,'PROJETO PERFURAÇÃO'!$B:$B,0)),"")</f>
        <v/>
      </c>
      <c r="F607" s="8" t="str">
        <f>IFERROR(INDEX('PROJETO PERFURAÇÃO'!$AN:$AN,MATCH(MEDIÇÃO!D607,'PROJETO PERFURAÇÃO'!$B:$B,0)),"")</f>
        <v/>
      </c>
      <c r="G607" s="3"/>
      <c r="H607" s="3"/>
      <c r="I607" s="3" t="str">
        <f>IFERROR(ROUND(INDEX('PROJETO PERFURAÇÃO'!$AB:$AB,MATCH(MEDIÇÃO!K607,'PROJETO PERFURAÇÃO'!$B:$B,0)),1)&amp;"''","")</f>
        <v/>
      </c>
      <c r="J607" s="3" t="str">
        <f>IFERROR(IF(INDEX('PROJETO PERFURAÇÃO'!$P:$P,MATCH(MEDIÇÃO!K607,'PROJETO PERFURAÇÃO'!$B:$B,0))="Production","P",IF(INDEX('PROJETO PERFURAÇÃO'!$P:$P,MATCH(MEDIÇÃO!K607,'PROJETO PERFURAÇÃO'!$B:$B,0))="Buffer","B",IF(INDEX('PROJETO PERFURAÇÃO'!$P:$P,MATCH(MEDIÇÃO!K607,'PROJETO PERFURAÇÃO'!$B:$B,0))="Pre-Splitting","S"))),"")</f>
        <v/>
      </c>
      <c r="K607" s="14">
        <f t="shared" si="58"/>
        <v>1348</v>
      </c>
      <c r="L607" s="4" t="str">
        <f>IFERROR(INDEX('LEV R&amp;D'!$D:$D,MATCH(MEDIÇÃO!K607,'LEV R&amp;D'!$A:$A,0))-INDEX('PROJETO PERFURAÇÃO'!$AH:$AH,MATCH(MEDIÇÃO!K607,'PROJETO PERFURAÇÃO'!$B:$B,0)),"")</f>
        <v/>
      </c>
      <c r="M607" s="8" t="str">
        <f>IFERROR(INDEX('PROJETO PERFURAÇÃO'!$AN:$AN,MATCH(MEDIÇÃO!K607,'PROJETO PERFURAÇÃO'!$B:$B,0)),"")</f>
        <v/>
      </c>
      <c r="N607" s="3"/>
      <c r="O607" s="3"/>
      <c r="P607" s="3" t="str">
        <f>IFERROR(ROUND(INDEX('PROJETO PERFURAÇÃO'!$AB:$AB,MATCH(MEDIÇÃO!R607,'PROJETO PERFURAÇÃO'!$B:$B,0)),1)&amp;"''","")</f>
        <v/>
      </c>
      <c r="Q607" s="3" t="str">
        <f>IFERROR(IF(INDEX('PROJETO PERFURAÇÃO'!$P:$P,MATCH(MEDIÇÃO!R607,'PROJETO PERFURAÇÃO'!$B:$B,0))="Production","P",IF(INDEX('PROJETO PERFURAÇÃO'!$P:$P,MATCH(MEDIÇÃO!R607,'PROJETO PERFURAÇÃO'!$B:$B,0))="Buffer","B",IF(INDEX('PROJETO PERFURAÇÃO'!$P:$P,MATCH(MEDIÇÃO!R607,'PROJETO PERFURAÇÃO'!$B:$B,0))="Pre-Splitting","S"))),"")</f>
        <v/>
      </c>
      <c r="R607" s="14">
        <f t="shared" si="59"/>
        <v>1371</v>
      </c>
      <c r="S607" s="4" t="str">
        <f>IFERROR(INDEX('LEV R&amp;D'!$D:$D,MATCH(MEDIÇÃO!R607,'LEV R&amp;D'!$A:$A,0))-INDEX('PROJETO PERFURAÇÃO'!$AH:$AH,MATCH(MEDIÇÃO!R607,'PROJETO PERFURAÇÃO'!$B:$B,0)),"")</f>
        <v/>
      </c>
      <c r="T607" s="8" t="str">
        <f>IFERROR(INDEX('PROJETO PERFURAÇÃO'!$AN:$AN,MATCH(MEDIÇÃO!R607,'PROJETO PERFURAÇÃO'!$B:$B,0)),"")</f>
        <v/>
      </c>
      <c r="U607" s="3"/>
      <c r="V607" s="3"/>
    </row>
    <row r="608" spans="1:23" ht="45" customHeight="1" x14ac:dyDescent="0.25">
      <c r="B608" s="3" t="str">
        <f>IFERROR(ROUND(INDEX('PROJETO PERFURAÇÃO'!$AB:$AB,MATCH(MEDIÇÃO!D608,'PROJETO PERFURAÇÃO'!$B:$B,0)),1)&amp;"''","")</f>
        <v/>
      </c>
      <c r="C608" s="3" t="str">
        <f>IFERROR(IF(INDEX('PROJETO PERFURAÇÃO'!$P:$P,MATCH(MEDIÇÃO!D608,'PROJETO PERFURAÇÃO'!$B:$B,0))="Production","P",IF(INDEX('PROJETO PERFURAÇÃO'!$P:$P,MATCH(MEDIÇÃO!D608,'PROJETO PERFURAÇÃO'!$B:$B,0))="Buffer","B",IF(INDEX('PROJETO PERFURAÇÃO'!$P:$P,MATCH(MEDIÇÃO!D608,'PROJETO PERFURAÇÃO'!$B:$B,0))="Pre-Splitting","S"))),"")</f>
        <v/>
      </c>
      <c r="D608" s="14">
        <f t="shared" si="57"/>
        <v>1326</v>
      </c>
      <c r="E608" s="4" t="str">
        <f>IFERROR(INDEX('LEV R&amp;D'!$D:$D,MATCH(MEDIÇÃO!D608,'LEV R&amp;D'!$A:$A,0))-INDEX('PROJETO PERFURAÇÃO'!$AH:$AH,MATCH(MEDIÇÃO!D608,'PROJETO PERFURAÇÃO'!$B:$B,0)),"")</f>
        <v/>
      </c>
      <c r="F608" s="8" t="str">
        <f>IFERROR(INDEX('PROJETO PERFURAÇÃO'!$AN:$AN,MATCH(MEDIÇÃO!D608,'PROJETO PERFURAÇÃO'!$B:$B,0)),"")</f>
        <v/>
      </c>
      <c r="G608" s="3"/>
      <c r="H608" s="3"/>
      <c r="I608" s="3" t="str">
        <f>IFERROR(ROUND(INDEX('PROJETO PERFURAÇÃO'!$AB:$AB,MATCH(MEDIÇÃO!K608,'PROJETO PERFURAÇÃO'!$B:$B,0)),1)&amp;"''","")</f>
        <v/>
      </c>
      <c r="J608" s="3" t="str">
        <f>IFERROR(IF(INDEX('PROJETO PERFURAÇÃO'!$P:$P,MATCH(MEDIÇÃO!K608,'PROJETO PERFURAÇÃO'!$B:$B,0))="Production","P",IF(INDEX('PROJETO PERFURAÇÃO'!$P:$P,MATCH(MEDIÇÃO!K608,'PROJETO PERFURAÇÃO'!$B:$B,0))="Buffer","B",IF(INDEX('PROJETO PERFURAÇÃO'!$P:$P,MATCH(MEDIÇÃO!K608,'PROJETO PERFURAÇÃO'!$B:$B,0))="Pre-Splitting","S"))),"")</f>
        <v/>
      </c>
      <c r="K608" s="14">
        <f t="shared" si="58"/>
        <v>1349</v>
      </c>
      <c r="L608" s="4" t="str">
        <f>IFERROR(INDEX('LEV R&amp;D'!$D:$D,MATCH(MEDIÇÃO!K608,'LEV R&amp;D'!$A:$A,0))-INDEX('PROJETO PERFURAÇÃO'!$AH:$AH,MATCH(MEDIÇÃO!K608,'PROJETO PERFURAÇÃO'!$B:$B,0)),"")</f>
        <v/>
      </c>
      <c r="M608" s="8" t="str">
        <f>IFERROR(INDEX('PROJETO PERFURAÇÃO'!$AN:$AN,MATCH(MEDIÇÃO!K608,'PROJETO PERFURAÇÃO'!$B:$B,0)),"")</f>
        <v/>
      </c>
      <c r="N608" s="3"/>
      <c r="O608" s="3"/>
      <c r="P608" s="3" t="str">
        <f>IFERROR(ROUND(INDEX('PROJETO PERFURAÇÃO'!$AB:$AB,MATCH(MEDIÇÃO!R608,'PROJETO PERFURAÇÃO'!$B:$B,0)),1)&amp;"''","")</f>
        <v/>
      </c>
      <c r="Q608" s="3" t="str">
        <f>IFERROR(IF(INDEX('PROJETO PERFURAÇÃO'!$P:$P,MATCH(MEDIÇÃO!R608,'PROJETO PERFURAÇÃO'!$B:$B,0))="Production","P",IF(INDEX('PROJETO PERFURAÇÃO'!$P:$P,MATCH(MEDIÇÃO!R608,'PROJETO PERFURAÇÃO'!$B:$B,0))="Buffer","B",IF(INDEX('PROJETO PERFURAÇÃO'!$P:$P,MATCH(MEDIÇÃO!R608,'PROJETO PERFURAÇÃO'!$B:$B,0))="Pre-Splitting","S"))),"")</f>
        <v/>
      </c>
      <c r="R608" s="14">
        <f t="shared" si="59"/>
        <v>1372</v>
      </c>
      <c r="S608" s="4" t="str">
        <f>IFERROR(INDEX('LEV R&amp;D'!$D:$D,MATCH(MEDIÇÃO!R608,'LEV R&amp;D'!$A:$A,0))-INDEX('PROJETO PERFURAÇÃO'!$AH:$AH,MATCH(MEDIÇÃO!R608,'PROJETO PERFURAÇÃO'!$B:$B,0)),"")</f>
        <v/>
      </c>
      <c r="T608" s="8" t="str">
        <f>IFERROR(INDEX('PROJETO PERFURAÇÃO'!$AN:$AN,MATCH(MEDIÇÃO!R608,'PROJETO PERFURAÇÃO'!$B:$B,0)),"")</f>
        <v/>
      </c>
      <c r="U608" s="3"/>
      <c r="V608" s="3"/>
    </row>
    <row r="609" spans="1:23" ht="45" customHeight="1" x14ac:dyDescent="0.25">
      <c r="B609" s="3" t="str">
        <f>IFERROR(ROUND(INDEX('PROJETO PERFURAÇÃO'!$AB:$AB,MATCH(MEDIÇÃO!D609,'PROJETO PERFURAÇÃO'!$B:$B,0)),1)&amp;"''","")</f>
        <v/>
      </c>
      <c r="C609" s="3" t="str">
        <f>IFERROR(IF(INDEX('PROJETO PERFURAÇÃO'!$P:$P,MATCH(MEDIÇÃO!D609,'PROJETO PERFURAÇÃO'!$B:$B,0))="Production","P",IF(INDEX('PROJETO PERFURAÇÃO'!$P:$P,MATCH(MEDIÇÃO!D609,'PROJETO PERFURAÇÃO'!$B:$B,0))="Buffer","B",IF(INDEX('PROJETO PERFURAÇÃO'!$P:$P,MATCH(MEDIÇÃO!D609,'PROJETO PERFURAÇÃO'!$B:$B,0))="Pre-Splitting","S"))),"")</f>
        <v/>
      </c>
      <c r="D609" s="14">
        <f t="shared" si="57"/>
        <v>1327</v>
      </c>
      <c r="E609" s="4" t="str">
        <f>IFERROR(INDEX('LEV R&amp;D'!$D:$D,MATCH(MEDIÇÃO!D609,'LEV R&amp;D'!$A:$A,0))-INDEX('PROJETO PERFURAÇÃO'!$AH:$AH,MATCH(MEDIÇÃO!D609,'PROJETO PERFURAÇÃO'!$B:$B,0)),"")</f>
        <v/>
      </c>
      <c r="F609" s="8" t="str">
        <f>IFERROR(INDEX('PROJETO PERFURAÇÃO'!$AN:$AN,MATCH(MEDIÇÃO!D609,'PROJETO PERFURAÇÃO'!$B:$B,0)),"")</f>
        <v/>
      </c>
      <c r="G609" s="3"/>
      <c r="H609" s="3"/>
      <c r="I609" s="3" t="str">
        <f>IFERROR(ROUND(INDEX('PROJETO PERFURAÇÃO'!$AB:$AB,MATCH(MEDIÇÃO!K609,'PROJETO PERFURAÇÃO'!$B:$B,0)),1)&amp;"''","")</f>
        <v/>
      </c>
      <c r="J609" s="3" t="str">
        <f>IFERROR(IF(INDEX('PROJETO PERFURAÇÃO'!$P:$P,MATCH(MEDIÇÃO!K609,'PROJETO PERFURAÇÃO'!$B:$B,0))="Production","P",IF(INDEX('PROJETO PERFURAÇÃO'!$P:$P,MATCH(MEDIÇÃO!K609,'PROJETO PERFURAÇÃO'!$B:$B,0))="Buffer","B",IF(INDEX('PROJETO PERFURAÇÃO'!$P:$P,MATCH(MEDIÇÃO!K609,'PROJETO PERFURAÇÃO'!$B:$B,0))="Pre-Splitting","S"))),"")</f>
        <v/>
      </c>
      <c r="K609" s="14">
        <f t="shared" si="58"/>
        <v>1350</v>
      </c>
      <c r="L609" s="4" t="str">
        <f>IFERROR(INDEX('LEV R&amp;D'!$D:$D,MATCH(MEDIÇÃO!K609,'LEV R&amp;D'!$A:$A,0))-INDEX('PROJETO PERFURAÇÃO'!$AH:$AH,MATCH(MEDIÇÃO!K609,'PROJETO PERFURAÇÃO'!$B:$B,0)),"")</f>
        <v/>
      </c>
      <c r="M609" s="8" t="str">
        <f>IFERROR(INDEX('PROJETO PERFURAÇÃO'!$AN:$AN,MATCH(MEDIÇÃO!K609,'PROJETO PERFURAÇÃO'!$B:$B,0)),"")</f>
        <v/>
      </c>
      <c r="N609" s="3"/>
      <c r="O609" s="3"/>
      <c r="P609" s="3" t="str">
        <f>IFERROR(ROUND(INDEX('PROJETO PERFURAÇÃO'!$AB:$AB,MATCH(MEDIÇÃO!R609,'PROJETO PERFURAÇÃO'!$B:$B,0)),1)&amp;"''","")</f>
        <v/>
      </c>
      <c r="Q609" s="3" t="str">
        <f>IFERROR(IF(INDEX('PROJETO PERFURAÇÃO'!$P:$P,MATCH(MEDIÇÃO!R609,'PROJETO PERFURAÇÃO'!$B:$B,0))="Production","P",IF(INDEX('PROJETO PERFURAÇÃO'!$P:$P,MATCH(MEDIÇÃO!R609,'PROJETO PERFURAÇÃO'!$B:$B,0))="Buffer","B",IF(INDEX('PROJETO PERFURAÇÃO'!$P:$P,MATCH(MEDIÇÃO!R609,'PROJETO PERFURAÇÃO'!$B:$B,0))="Pre-Splitting","S"))),"")</f>
        <v/>
      </c>
      <c r="R609" s="14">
        <f t="shared" si="59"/>
        <v>1373</v>
      </c>
      <c r="S609" s="4" t="str">
        <f>IFERROR(INDEX('LEV R&amp;D'!$D:$D,MATCH(MEDIÇÃO!R609,'LEV R&amp;D'!$A:$A,0))-INDEX('PROJETO PERFURAÇÃO'!$AH:$AH,MATCH(MEDIÇÃO!R609,'PROJETO PERFURAÇÃO'!$B:$B,0)),"")</f>
        <v/>
      </c>
      <c r="T609" s="8" t="str">
        <f>IFERROR(INDEX('PROJETO PERFURAÇÃO'!$AN:$AN,MATCH(MEDIÇÃO!R609,'PROJETO PERFURAÇÃO'!$B:$B,0)),"")</f>
        <v/>
      </c>
      <c r="U609" s="3"/>
      <c r="V609" s="3"/>
    </row>
    <row r="610" spans="1:23" ht="45" customHeight="1" x14ac:dyDescent="0.25">
      <c r="B610" s="3" t="str">
        <f>IFERROR(ROUND(INDEX('PROJETO PERFURAÇÃO'!$AB:$AB,MATCH(MEDIÇÃO!D610,'PROJETO PERFURAÇÃO'!$B:$B,0)),1)&amp;"''","")</f>
        <v/>
      </c>
      <c r="C610" s="3" t="str">
        <f>IFERROR(IF(INDEX('PROJETO PERFURAÇÃO'!$P:$P,MATCH(MEDIÇÃO!D610,'PROJETO PERFURAÇÃO'!$B:$B,0))="Production","P",IF(INDEX('PROJETO PERFURAÇÃO'!$P:$P,MATCH(MEDIÇÃO!D610,'PROJETO PERFURAÇÃO'!$B:$B,0))="Buffer","B",IF(INDEX('PROJETO PERFURAÇÃO'!$P:$P,MATCH(MEDIÇÃO!D610,'PROJETO PERFURAÇÃO'!$B:$B,0))="Pre-Splitting","S"))),"")</f>
        <v/>
      </c>
      <c r="D610" s="14">
        <f t="shared" si="57"/>
        <v>1328</v>
      </c>
      <c r="E610" s="4" t="str">
        <f>IFERROR(INDEX('LEV R&amp;D'!$D:$D,MATCH(MEDIÇÃO!D610,'LEV R&amp;D'!$A:$A,0))-INDEX('PROJETO PERFURAÇÃO'!$AH:$AH,MATCH(MEDIÇÃO!D610,'PROJETO PERFURAÇÃO'!$B:$B,0)),"")</f>
        <v/>
      </c>
      <c r="F610" s="8" t="str">
        <f>IFERROR(INDEX('PROJETO PERFURAÇÃO'!$AN:$AN,MATCH(MEDIÇÃO!D610,'PROJETO PERFURAÇÃO'!$B:$B,0)),"")</f>
        <v/>
      </c>
      <c r="G610" s="3"/>
      <c r="H610" s="3"/>
      <c r="I610" s="3" t="str">
        <f>IFERROR(ROUND(INDEX('PROJETO PERFURAÇÃO'!$AB:$AB,MATCH(MEDIÇÃO!K610,'PROJETO PERFURAÇÃO'!$B:$B,0)),1)&amp;"''","")</f>
        <v/>
      </c>
      <c r="J610" s="3" t="str">
        <f>IFERROR(IF(INDEX('PROJETO PERFURAÇÃO'!$P:$P,MATCH(MEDIÇÃO!K610,'PROJETO PERFURAÇÃO'!$B:$B,0))="Production","P",IF(INDEX('PROJETO PERFURAÇÃO'!$P:$P,MATCH(MEDIÇÃO!K610,'PROJETO PERFURAÇÃO'!$B:$B,0))="Buffer","B",IF(INDEX('PROJETO PERFURAÇÃO'!$P:$P,MATCH(MEDIÇÃO!K610,'PROJETO PERFURAÇÃO'!$B:$B,0))="Pre-Splitting","S"))),"")</f>
        <v/>
      </c>
      <c r="K610" s="14">
        <f t="shared" si="58"/>
        <v>1351</v>
      </c>
      <c r="L610" s="4" t="str">
        <f>IFERROR(INDEX('LEV R&amp;D'!$D:$D,MATCH(MEDIÇÃO!K610,'LEV R&amp;D'!$A:$A,0))-INDEX('PROJETO PERFURAÇÃO'!$AH:$AH,MATCH(MEDIÇÃO!K610,'PROJETO PERFURAÇÃO'!$B:$B,0)),"")</f>
        <v/>
      </c>
      <c r="M610" s="8" t="str">
        <f>IFERROR(INDEX('PROJETO PERFURAÇÃO'!$AN:$AN,MATCH(MEDIÇÃO!K610,'PROJETO PERFURAÇÃO'!$B:$B,0)),"")</f>
        <v/>
      </c>
      <c r="N610" s="3"/>
      <c r="O610" s="3"/>
      <c r="P610" s="3" t="str">
        <f>IFERROR(ROUND(INDEX('PROJETO PERFURAÇÃO'!$AB:$AB,MATCH(MEDIÇÃO!R610,'PROJETO PERFURAÇÃO'!$B:$B,0)),1)&amp;"''","")</f>
        <v/>
      </c>
      <c r="Q610" s="3" t="str">
        <f>IFERROR(IF(INDEX('PROJETO PERFURAÇÃO'!$P:$P,MATCH(MEDIÇÃO!R610,'PROJETO PERFURAÇÃO'!$B:$B,0))="Production","P",IF(INDEX('PROJETO PERFURAÇÃO'!$P:$P,MATCH(MEDIÇÃO!R610,'PROJETO PERFURAÇÃO'!$B:$B,0))="Buffer","B",IF(INDEX('PROJETO PERFURAÇÃO'!$P:$P,MATCH(MEDIÇÃO!R610,'PROJETO PERFURAÇÃO'!$B:$B,0))="Pre-Splitting","S"))),"")</f>
        <v/>
      </c>
      <c r="R610" s="14">
        <f t="shared" si="59"/>
        <v>1374</v>
      </c>
      <c r="S610" s="4" t="str">
        <f>IFERROR(INDEX('LEV R&amp;D'!$D:$D,MATCH(MEDIÇÃO!R610,'LEV R&amp;D'!$A:$A,0))-INDEX('PROJETO PERFURAÇÃO'!$AH:$AH,MATCH(MEDIÇÃO!R610,'PROJETO PERFURAÇÃO'!$B:$B,0)),"")</f>
        <v/>
      </c>
      <c r="T610" s="8" t="str">
        <f>IFERROR(INDEX('PROJETO PERFURAÇÃO'!$AN:$AN,MATCH(MEDIÇÃO!R610,'PROJETO PERFURAÇÃO'!$B:$B,0)),"")</f>
        <v/>
      </c>
      <c r="U610" s="3"/>
      <c r="V610" s="3"/>
    </row>
    <row r="611" spans="1:23" ht="45" customHeight="1" x14ac:dyDescent="0.25">
      <c r="B611" s="3" t="str">
        <f>IFERROR(ROUND(INDEX('PROJETO PERFURAÇÃO'!$AB:$AB,MATCH(MEDIÇÃO!D611,'PROJETO PERFURAÇÃO'!$B:$B,0)),1)&amp;"''","")</f>
        <v/>
      </c>
      <c r="C611" s="3" t="str">
        <f>IFERROR(IF(INDEX('PROJETO PERFURAÇÃO'!$P:$P,MATCH(MEDIÇÃO!D611,'PROJETO PERFURAÇÃO'!$B:$B,0))="Production","P",IF(INDEX('PROJETO PERFURAÇÃO'!$P:$P,MATCH(MEDIÇÃO!D611,'PROJETO PERFURAÇÃO'!$B:$B,0))="Buffer","B",IF(INDEX('PROJETO PERFURAÇÃO'!$P:$P,MATCH(MEDIÇÃO!D611,'PROJETO PERFURAÇÃO'!$B:$B,0))="Pre-Splitting","S"))),"")</f>
        <v/>
      </c>
      <c r="D611" s="14">
        <f t="shared" si="57"/>
        <v>1329</v>
      </c>
      <c r="E611" s="4" t="str">
        <f>IFERROR(INDEX('LEV R&amp;D'!$D:$D,MATCH(MEDIÇÃO!D611,'LEV R&amp;D'!$A:$A,0))-INDEX('PROJETO PERFURAÇÃO'!$AH:$AH,MATCH(MEDIÇÃO!D611,'PROJETO PERFURAÇÃO'!$B:$B,0)),"")</f>
        <v/>
      </c>
      <c r="F611" s="8" t="str">
        <f>IFERROR(INDEX('PROJETO PERFURAÇÃO'!$AN:$AN,MATCH(MEDIÇÃO!D611,'PROJETO PERFURAÇÃO'!$B:$B,0)),"")</f>
        <v/>
      </c>
      <c r="G611" s="3"/>
      <c r="H611" s="3"/>
      <c r="I611" s="3" t="str">
        <f>IFERROR(ROUND(INDEX('PROJETO PERFURAÇÃO'!$AB:$AB,MATCH(MEDIÇÃO!K611,'PROJETO PERFURAÇÃO'!$B:$B,0)),1)&amp;"''","")</f>
        <v/>
      </c>
      <c r="J611" s="3" t="str">
        <f>IFERROR(IF(INDEX('PROJETO PERFURAÇÃO'!$P:$P,MATCH(MEDIÇÃO!K611,'PROJETO PERFURAÇÃO'!$B:$B,0))="Production","P",IF(INDEX('PROJETO PERFURAÇÃO'!$P:$P,MATCH(MEDIÇÃO!K611,'PROJETO PERFURAÇÃO'!$B:$B,0))="Buffer","B",IF(INDEX('PROJETO PERFURAÇÃO'!$P:$P,MATCH(MEDIÇÃO!K611,'PROJETO PERFURAÇÃO'!$B:$B,0))="Pre-Splitting","S"))),"")</f>
        <v/>
      </c>
      <c r="K611" s="14">
        <f t="shared" si="58"/>
        <v>1352</v>
      </c>
      <c r="L611" s="4" t="str">
        <f>IFERROR(INDEX('LEV R&amp;D'!$D:$D,MATCH(MEDIÇÃO!K611,'LEV R&amp;D'!$A:$A,0))-INDEX('PROJETO PERFURAÇÃO'!$AH:$AH,MATCH(MEDIÇÃO!K611,'PROJETO PERFURAÇÃO'!$B:$B,0)),"")</f>
        <v/>
      </c>
      <c r="M611" s="8" t="str">
        <f>IFERROR(INDEX('PROJETO PERFURAÇÃO'!$AN:$AN,MATCH(MEDIÇÃO!K611,'PROJETO PERFURAÇÃO'!$B:$B,0)),"")</f>
        <v/>
      </c>
      <c r="N611" s="3"/>
      <c r="O611" s="3"/>
      <c r="P611" s="3" t="str">
        <f>IFERROR(ROUND(INDEX('PROJETO PERFURAÇÃO'!$AB:$AB,MATCH(MEDIÇÃO!R611,'PROJETO PERFURAÇÃO'!$B:$B,0)),1)&amp;"''","")</f>
        <v/>
      </c>
      <c r="Q611" s="3" t="str">
        <f>IFERROR(IF(INDEX('PROJETO PERFURAÇÃO'!$P:$P,MATCH(MEDIÇÃO!R611,'PROJETO PERFURAÇÃO'!$B:$B,0))="Production","P",IF(INDEX('PROJETO PERFURAÇÃO'!$P:$P,MATCH(MEDIÇÃO!R611,'PROJETO PERFURAÇÃO'!$B:$B,0))="Buffer","B",IF(INDEX('PROJETO PERFURAÇÃO'!$P:$P,MATCH(MEDIÇÃO!R611,'PROJETO PERFURAÇÃO'!$B:$B,0))="Pre-Splitting","S"))),"")</f>
        <v/>
      </c>
      <c r="R611" s="14">
        <f t="shared" si="59"/>
        <v>1375</v>
      </c>
      <c r="S611" s="4" t="str">
        <f>IFERROR(INDEX('LEV R&amp;D'!$D:$D,MATCH(MEDIÇÃO!R611,'LEV R&amp;D'!$A:$A,0))-INDEX('PROJETO PERFURAÇÃO'!$AH:$AH,MATCH(MEDIÇÃO!R611,'PROJETO PERFURAÇÃO'!$B:$B,0)),"")</f>
        <v/>
      </c>
      <c r="T611" s="8" t="str">
        <f>IFERROR(INDEX('PROJETO PERFURAÇÃO'!$AN:$AN,MATCH(MEDIÇÃO!R611,'PROJETO PERFURAÇÃO'!$B:$B,0)),"")</f>
        <v/>
      </c>
      <c r="U611" s="3"/>
      <c r="V611" s="3"/>
    </row>
    <row r="612" spans="1:23" ht="45" customHeight="1" x14ac:dyDescent="0.25">
      <c r="B612" s="3" t="str">
        <f>IFERROR(ROUND(INDEX('PROJETO PERFURAÇÃO'!$AB:$AB,MATCH(MEDIÇÃO!D612,'PROJETO PERFURAÇÃO'!$B:$B,0)),1)&amp;"''","")</f>
        <v/>
      </c>
      <c r="C612" s="3" t="str">
        <f>IFERROR(IF(INDEX('PROJETO PERFURAÇÃO'!$P:$P,MATCH(MEDIÇÃO!D612,'PROJETO PERFURAÇÃO'!$B:$B,0))="Production","P",IF(INDEX('PROJETO PERFURAÇÃO'!$P:$P,MATCH(MEDIÇÃO!D612,'PROJETO PERFURAÇÃO'!$B:$B,0))="Buffer","B",IF(INDEX('PROJETO PERFURAÇÃO'!$P:$P,MATCH(MEDIÇÃO!D612,'PROJETO PERFURAÇÃO'!$B:$B,0))="Pre-Splitting","S"))),"")</f>
        <v/>
      </c>
      <c r="D612" s="14">
        <f t="shared" si="57"/>
        <v>1330</v>
      </c>
      <c r="E612" s="4" t="str">
        <f>IFERROR(INDEX('LEV R&amp;D'!$D:$D,MATCH(MEDIÇÃO!D612,'LEV R&amp;D'!$A:$A,0))-INDEX('PROJETO PERFURAÇÃO'!$AH:$AH,MATCH(MEDIÇÃO!D612,'PROJETO PERFURAÇÃO'!$B:$B,0)),"")</f>
        <v/>
      </c>
      <c r="F612" s="8" t="str">
        <f>IFERROR(INDEX('PROJETO PERFURAÇÃO'!$AN:$AN,MATCH(MEDIÇÃO!D612,'PROJETO PERFURAÇÃO'!$B:$B,0)),"")</f>
        <v/>
      </c>
      <c r="G612" s="3"/>
      <c r="H612" s="3"/>
      <c r="I612" s="3" t="str">
        <f>IFERROR(ROUND(INDEX('PROJETO PERFURAÇÃO'!$AB:$AB,MATCH(MEDIÇÃO!K612,'PROJETO PERFURAÇÃO'!$B:$B,0)),1)&amp;"''","")</f>
        <v/>
      </c>
      <c r="J612" s="3" t="str">
        <f>IFERROR(IF(INDEX('PROJETO PERFURAÇÃO'!$P:$P,MATCH(MEDIÇÃO!K612,'PROJETO PERFURAÇÃO'!$B:$B,0))="Production","P",IF(INDEX('PROJETO PERFURAÇÃO'!$P:$P,MATCH(MEDIÇÃO!K612,'PROJETO PERFURAÇÃO'!$B:$B,0))="Buffer","B",IF(INDEX('PROJETO PERFURAÇÃO'!$P:$P,MATCH(MEDIÇÃO!K612,'PROJETO PERFURAÇÃO'!$B:$B,0))="Pre-Splitting","S"))),"")</f>
        <v/>
      </c>
      <c r="K612" s="14">
        <f t="shared" si="58"/>
        <v>1353</v>
      </c>
      <c r="L612" s="4" t="str">
        <f>IFERROR(INDEX('LEV R&amp;D'!$D:$D,MATCH(MEDIÇÃO!K612,'LEV R&amp;D'!$A:$A,0))-INDEX('PROJETO PERFURAÇÃO'!$AH:$AH,MATCH(MEDIÇÃO!K612,'PROJETO PERFURAÇÃO'!$B:$B,0)),"")</f>
        <v/>
      </c>
      <c r="M612" s="8" t="str">
        <f>IFERROR(INDEX('PROJETO PERFURAÇÃO'!$AN:$AN,MATCH(MEDIÇÃO!K612,'PROJETO PERFURAÇÃO'!$B:$B,0)),"")</f>
        <v/>
      </c>
      <c r="N612" s="3"/>
      <c r="O612" s="3"/>
      <c r="P612" s="3" t="str">
        <f>IFERROR(ROUND(INDEX('PROJETO PERFURAÇÃO'!$AB:$AB,MATCH(MEDIÇÃO!R612,'PROJETO PERFURAÇÃO'!$B:$B,0)),1)&amp;"''","")</f>
        <v/>
      </c>
      <c r="Q612" s="3" t="str">
        <f>IFERROR(IF(INDEX('PROJETO PERFURAÇÃO'!$P:$P,MATCH(MEDIÇÃO!R612,'PROJETO PERFURAÇÃO'!$B:$B,0))="Production","P",IF(INDEX('PROJETO PERFURAÇÃO'!$P:$P,MATCH(MEDIÇÃO!R612,'PROJETO PERFURAÇÃO'!$B:$B,0))="Buffer","B",IF(INDEX('PROJETO PERFURAÇÃO'!$P:$P,MATCH(MEDIÇÃO!R612,'PROJETO PERFURAÇÃO'!$B:$B,0))="Pre-Splitting","S"))),"")</f>
        <v/>
      </c>
      <c r="R612" s="14">
        <f t="shared" si="59"/>
        <v>1376</v>
      </c>
      <c r="S612" s="4" t="str">
        <f>IFERROR(INDEX('LEV R&amp;D'!$D:$D,MATCH(MEDIÇÃO!R612,'LEV R&amp;D'!$A:$A,0))-INDEX('PROJETO PERFURAÇÃO'!$AH:$AH,MATCH(MEDIÇÃO!R612,'PROJETO PERFURAÇÃO'!$B:$B,0)),"")</f>
        <v/>
      </c>
      <c r="T612" s="8" t="str">
        <f>IFERROR(INDEX('PROJETO PERFURAÇÃO'!$AN:$AN,MATCH(MEDIÇÃO!R612,'PROJETO PERFURAÇÃO'!$B:$B,0)),"")</f>
        <v/>
      </c>
      <c r="U612" s="3"/>
      <c r="V612" s="3"/>
    </row>
    <row r="613" spans="1:23" ht="45" customHeight="1" x14ac:dyDescent="0.25">
      <c r="B613" s="3" t="str">
        <f>IFERROR(ROUND(INDEX('PROJETO PERFURAÇÃO'!$AB:$AB,MATCH(MEDIÇÃO!D613,'PROJETO PERFURAÇÃO'!$B:$B,0)),1)&amp;"''","")</f>
        <v/>
      </c>
      <c r="C613" s="3" t="str">
        <f>IFERROR(IF(INDEX('PROJETO PERFURAÇÃO'!$P:$P,MATCH(MEDIÇÃO!D613,'PROJETO PERFURAÇÃO'!$B:$B,0))="Production","P",IF(INDEX('PROJETO PERFURAÇÃO'!$P:$P,MATCH(MEDIÇÃO!D613,'PROJETO PERFURAÇÃO'!$B:$B,0))="Buffer","B",IF(INDEX('PROJETO PERFURAÇÃO'!$P:$P,MATCH(MEDIÇÃO!D613,'PROJETO PERFURAÇÃO'!$B:$B,0))="Pre-Splitting","S"))),"")</f>
        <v/>
      </c>
      <c r="D613" s="14">
        <f t="shared" si="57"/>
        <v>1331</v>
      </c>
      <c r="E613" s="4" t="str">
        <f>IFERROR(INDEX('LEV R&amp;D'!$D:$D,MATCH(MEDIÇÃO!D613,'LEV R&amp;D'!$A:$A,0))-INDEX('PROJETO PERFURAÇÃO'!$AH:$AH,MATCH(MEDIÇÃO!D613,'PROJETO PERFURAÇÃO'!$B:$B,0)),"")</f>
        <v/>
      </c>
      <c r="F613" s="8" t="str">
        <f>IFERROR(INDEX('PROJETO PERFURAÇÃO'!$AN:$AN,MATCH(MEDIÇÃO!D613,'PROJETO PERFURAÇÃO'!$B:$B,0)),"")</f>
        <v/>
      </c>
      <c r="G613" s="3"/>
      <c r="H613" s="3"/>
      <c r="I613" s="3" t="str">
        <f>IFERROR(ROUND(INDEX('PROJETO PERFURAÇÃO'!$AB:$AB,MATCH(MEDIÇÃO!K613,'PROJETO PERFURAÇÃO'!$B:$B,0)),1)&amp;"''","")</f>
        <v/>
      </c>
      <c r="J613" s="3" t="str">
        <f>IFERROR(IF(INDEX('PROJETO PERFURAÇÃO'!$P:$P,MATCH(MEDIÇÃO!K613,'PROJETO PERFURAÇÃO'!$B:$B,0))="Production","P",IF(INDEX('PROJETO PERFURAÇÃO'!$P:$P,MATCH(MEDIÇÃO!K613,'PROJETO PERFURAÇÃO'!$B:$B,0))="Buffer","B",IF(INDEX('PROJETO PERFURAÇÃO'!$P:$P,MATCH(MEDIÇÃO!K613,'PROJETO PERFURAÇÃO'!$B:$B,0))="Pre-Splitting","S"))),"")</f>
        <v/>
      </c>
      <c r="K613" s="14">
        <f t="shared" si="58"/>
        <v>1354</v>
      </c>
      <c r="L613" s="4" t="str">
        <f>IFERROR(INDEX('LEV R&amp;D'!$D:$D,MATCH(MEDIÇÃO!K613,'LEV R&amp;D'!$A:$A,0))-INDEX('PROJETO PERFURAÇÃO'!$AH:$AH,MATCH(MEDIÇÃO!K613,'PROJETO PERFURAÇÃO'!$B:$B,0)),"")</f>
        <v/>
      </c>
      <c r="M613" s="8" t="str">
        <f>IFERROR(INDEX('PROJETO PERFURAÇÃO'!$AN:$AN,MATCH(MEDIÇÃO!K613,'PROJETO PERFURAÇÃO'!$B:$B,0)),"")</f>
        <v/>
      </c>
      <c r="N613" s="3"/>
      <c r="O613" s="3"/>
      <c r="P613" s="3" t="str">
        <f>IFERROR(ROUND(INDEX('PROJETO PERFURAÇÃO'!$AB:$AB,MATCH(MEDIÇÃO!R613,'PROJETO PERFURAÇÃO'!$B:$B,0)),1)&amp;"''","")</f>
        <v/>
      </c>
      <c r="Q613" s="3" t="str">
        <f>IFERROR(IF(INDEX('PROJETO PERFURAÇÃO'!$P:$P,MATCH(MEDIÇÃO!R613,'PROJETO PERFURAÇÃO'!$B:$B,0))="Production","P",IF(INDEX('PROJETO PERFURAÇÃO'!$P:$P,MATCH(MEDIÇÃO!R613,'PROJETO PERFURAÇÃO'!$B:$B,0))="Buffer","B",IF(INDEX('PROJETO PERFURAÇÃO'!$P:$P,MATCH(MEDIÇÃO!R613,'PROJETO PERFURAÇÃO'!$B:$B,0))="Pre-Splitting","S"))),"")</f>
        <v/>
      </c>
      <c r="R613" s="14">
        <f t="shared" si="59"/>
        <v>1377</v>
      </c>
      <c r="S613" s="4" t="str">
        <f>IFERROR(INDEX('LEV R&amp;D'!$D:$D,MATCH(MEDIÇÃO!R613,'LEV R&amp;D'!$A:$A,0))-INDEX('PROJETO PERFURAÇÃO'!$AH:$AH,MATCH(MEDIÇÃO!R613,'PROJETO PERFURAÇÃO'!$B:$B,0)),"")</f>
        <v/>
      </c>
      <c r="T613" s="8" t="str">
        <f>IFERROR(INDEX('PROJETO PERFURAÇÃO'!$AN:$AN,MATCH(MEDIÇÃO!R613,'PROJETO PERFURAÇÃO'!$B:$B,0)),"")</f>
        <v/>
      </c>
      <c r="U613" s="3"/>
      <c r="V613" s="3"/>
    </row>
    <row r="614" spans="1:23" ht="45" customHeight="1" x14ac:dyDescent="0.25">
      <c r="B614" s="3" t="str">
        <f>IFERROR(ROUND(INDEX('PROJETO PERFURAÇÃO'!$AB:$AB,MATCH(MEDIÇÃO!D614,'PROJETO PERFURAÇÃO'!$B:$B,0)),1)&amp;"''","")</f>
        <v/>
      </c>
      <c r="C614" s="3" t="str">
        <f>IFERROR(IF(INDEX('PROJETO PERFURAÇÃO'!$P:$P,MATCH(MEDIÇÃO!D614,'PROJETO PERFURAÇÃO'!$B:$B,0))="Production","P",IF(INDEX('PROJETO PERFURAÇÃO'!$P:$P,MATCH(MEDIÇÃO!D614,'PROJETO PERFURAÇÃO'!$B:$B,0))="Buffer","B",IF(INDEX('PROJETO PERFURAÇÃO'!$P:$P,MATCH(MEDIÇÃO!D614,'PROJETO PERFURAÇÃO'!$B:$B,0))="Pre-Splitting","S"))),"")</f>
        <v/>
      </c>
      <c r="D614" s="14">
        <f t="shared" si="57"/>
        <v>1332</v>
      </c>
      <c r="E614" s="4" t="str">
        <f>IFERROR(INDEX('LEV R&amp;D'!$D:$D,MATCH(MEDIÇÃO!D614,'LEV R&amp;D'!$A:$A,0))-INDEX('PROJETO PERFURAÇÃO'!$AH:$AH,MATCH(MEDIÇÃO!D614,'PROJETO PERFURAÇÃO'!$B:$B,0)),"")</f>
        <v/>
      </c>
      <c r="F614" s="8" t="str">
        <f>IFERROR(INDEX('PROJETO PERFURAÇÃO'!$AN:$AN,MATCH(MEDIÇÃO!D614,'PROJETO PERFURAÇÃO'!$B:$B,0)),"")</f>
        <v/>
      </c>
      <c r="G614" s="3"/>
      <c r="H614" s="3"/>
      <c r="I614" s="3" t="str">
        <f>IFERROR(ROUND(INDEX('PROJETO PERFURAÇÃO'!$AB:$AB,MATCH(MEDIÇÃO!K614,'PROJETO PERFURAÇÃO'!$B:$B,0)),1)&amp;"''","")</f>
        <v/>
      </c>
      <c r="J614" s="3" t="str">
        <f>IFERROR(IF(INDEX('PROJETO PERFURAÇÃO'!$P:$P,MATCH(MEDIÇÃO!K614,'PROJETO PERFURAÇÃO'!$B:$B,0))="Production","P",IF(INDEX('PROJETO PERFURAÇÃO'!$P:$P,MATCH(MEDIÇÃO!K614,'PROJETO PERFURAÇÃO'!$B:$B,0))="Buffer","B",IF(INDEX('PROJETO PERFURAÇÃO'!$P:$P,MATCH(MEDIÇÃO!K614,'PROJETO PERFURAÇÃO'!$B:$B,0))="Pre-Splitting","S"))),"")</f>
        <v/>
      </c>
      <c r="K614" s="14">
        <f t="shared" si="58"/>
        <v>1355</v>
      </c>
      <c r="L614" s="4" t="str">
        <f>IFERROR(INDEX('LEV R&amp;D'!$D:$D,MATCH(MEDIÇÃO!K614,'LEV R&amp;D'!$A:$A,0))-INDEX('PROJETO PERFURAÇÃO'!$AH:$AH,MATCH(MEDIÇÃO!K614,'PROJETO PERFURAÇÃO'!$B:$B,0)),"")</f>
        <v/>
      </c>
      <c r="M614" s="8" t="str">
        <f>IFERROR(INDEX('PROJETO PERFURAÇÃO'!$AN:$AN,MATCH(MEDIÇÃO!K614,'PROJETO PERFURAÇÃO'!$B:$B,0)),"")</f>
        <v/>
      </c>
      <c r="N614" s="3"/>
      <c r="O614" s="3"/>
      <c r="P614" s="3" t="str">
        <f>IFERROR(ROUND(INDEX('PROJETO PERFURAÇÃO'!$AB:$AB,MATCH(MEDIÇÃO!R614,'PROJETO PERFURAÇÃO'!$B:$B,0)),1)&amp;"''","")</f>
        <v/>
      </c>
      <c r="Q614" s="3" t="str">
        <f>IFERROR(IF(INDEX('PROJETO PERFURAÇÃO'!$P:$P,MATCH(MEDIÇÃO!R614,'PROJETO PERFURAÇÃO'!$B:$B,0))="Production","P",IF(INDEX('PROJETO PERFURAÇÃO'!$P:$P,MATCH(MEDIÇÃO!R614,'PROJETO PERFURAÇÃO'!$B:$B,0))="Buffer","B",IF(INDEX('PROJETO PERFURAÇÃO'!$P:$P,MATCH(MEDIÇÃO!R614,'PROJETO PERFURAÇÃO'!$B:$B,0))="Pre-Splitting","S"))),"")</f>
        <v/>
      </c>
      <c r="R614" s="14">
        <f t="shared" si="59"/>
        <v>1378</v>
      </c>
      <c r="S614" s="4" t="str">
        <f>IFERROR(INDEX('LEV R&amp;D'!$D:$D,MATCH(MEDIÇÃO!R614,'LEV R&amp;D'!$A:$A,0))-INDEX('PROJETO PERFURAÇÃO'!$AH:$AH,MATCH(MEDIÇÃO!R614,'PROJETO PERFURAÇÃO'!$B:$B,0)),"")</f>
        <v/>
      </c>
      <c r="T614" s="8" t="str">
        <f>IFERROR(INDEX('PROJETO PERFURAÇÃO'!$AN:$AN,MATCH(MEDIÇÃO!R614,'PROJETO PERFURAÇÃO'!$B:$B,0)),"")</f>
        <v/>
      </c>
      <c r="U614" s="3"/>
      <c r="V614" s="3"/>
    </row>
    <row r="615" spans="1:23" ht="45" customHeight="1" x14ac:dyDescent="0.25">
      <c r="B615" s="3" t="str">
        <f>IFERROR(ROUND(INDEX('PROJETO PERFURAÇÃO'!$AB:$AB,MATCH(MEDIÇÃO!D615,'PROJETO PERFURAÇÃO'!$B:$B,0)),1)&amp;"''","")</f>
        <v/>
      </c>
      <c r="C615" s="3" t="str">
        <f>IFERROR(IF(INDEX('PROJETO PERFURAÇÃO'!$P:$P,MATCH(MEDIÇÃO!D615,'PROJETO PERFURAÇÃO'!$B:$B,0))="Production","P",IF(INDEX('PROJETO PERFURAÇÃO'!$P:$P,MATCH(MEDIÇÃO!D615,'PROJETO PERFURAÇÃO'!$B:$B,0))="Buffer","B",IF(INDEX('PROJETO PERFURAÇÃO'!$P:$P,MATCH(MEDIÇÃO!D615,'PROJETO PERFURAÇÃO'!$B:$B,0))="Pre-Splitting","S"))),"")</f>
        <v/>
      </c>
      <c r="D615" s="14">
        <f t="shared" si="57"/>
        <v>1333</v>
      </c>
      <c r="E615" s="4" t="str">
        <f>IFERROR(INDEX('LEV R&amp;D'!$D:$D,MATCH(MEDIÇÃO!D615,'LEV R&amp;D'!$A:$A,0))-INDEX('PROJETO PERFURAÇÃO'!$AH:$AH,MATCH(MEDIÇÃO!D615,'PROJETO PERFURAÇÃO'!$B:$B,0)),"")</f>
        <v/>
      </c>
      <c r="F615" s="8" t="str">
        <f>IFERROR(INDEX('PROJETO PERFURAÇÃO'!$AN:$AN,MATCH(MEDIÇÃO!D615,'PROJETO PERFURAÇÃO'!$B:$B,0)),"")</f>
        <v/>
      </c>
      <c r="G615" s="3"/>
      <c r="H615" s="3"/>
      <c r="I615" s="3" t="str">
        <f>IFERROR(ROUND(INDEX('PROJETO PERFURAÇÃO'!$AB:$AB,MATCH(MEDIÇÃO!K615,'PROJETO PERFURAÇÃO'!$B:$B,0)),1)&amp;"''","")</f>
        <v/>
      </c>
      <c r="J615" s="3" t="str">
        <f>IFERROR(IF(INDEX('PROJETO PERFURAÇÃO'!$P:$P,MATCH(MEDIÇÃO!K615,'PROJETO PERFURAÇÃO'!$B:$B,0))="Production","P",IF(INDEX('PROJETO PERFURAÇÃO'!$P:$P,MATCH(MEDIÇÃO!K615,'PROJETO PERFURAÇÃO'!$B:$B,0))="Buffer","B",IF(INDEX('PROJETO PERFURAÇÃO'!$P:$P,MATCH(MEDIÇÃO!K615,'PROJETO PERFURAÇÃO'!$B:$B,0))="Pre-Splitting","S"))),"")</f>
        <v/>
      </c>
      <c r="K615" s="14">
        <f t="shared" si="58"/>
        <v>1356</v>
      </c>
      <c r="L615" s="4" t="str">
        <f>IFERROR(INDEX('LEV R&amp;D'!$D:$D,MATCH(MEDIÇÃO!K615,'LEV R&amp;D'!$A:$A,0))-INDEX('PROJETO PERFURAÇÃO'!$AH:$AH,MATCH(MEDIÇÃO!K615,'PROJETO PERFURAÇÃO'!$B:$B,0)),"")</f>
        <v/>
      </c>
      <c r="M615" s="8" t="str">
        <f>IFERROR(INDEX('PROJETO PERFURAÇÃO'!$AN:$AN,MATCH(MEDIÇÃO!K615,'PROJETO PERFURAÇÃO'!$B:$B,0)),"")</f>
        <v/>
      </c>
      <c r="N615" s="3"/>
      <c r="O615" s="3"/>
      <c r="P615" s="3" t="str">
        <f>IFERROR(ROUND(INDEX('PROJETO PERFURAÇÃO'!$AB:$AB,MATCH(MEDIÇÃO!R615,'PROJETO PERFURAÇÃO'!$B:$B,0)),1)&amp;"''","")</f>
        <v/>
      </c>
      <c r="Q615" s="3" t="str">
        <f>IFERROR(IF(INDEX('PROJETO PERFURAÇÃO'!$P:$P,MATCH(MEDIÇÃO!R615,'PROJETO PERFURAÇÃO'!$B:$B,0))="Production","P",IF(INDEX('PROJETO PERFURAÇÃO'!$P:$P,MATCH(MEDIÇÃO!R615,'PROJETO PERFURAÇÃO'!$B:$B,0))="Buffer","B",IF(INDEX('PROJETO PERFURAÇÃO'!$P:$P,MATCH(MEDIÇÃO!R615,'PROJETO PERFURAÇÃO'!$B:$B,0))="Pre-Splitting","S"))),"")</f>
        <v/>
      </c>
      <c r="R615" s="14">
        <f t="shared" si="59"/>
        <v>1379</v>
      </c>
      <c r="S615" s="4" t="str">
        <f>IFERROR(INDEX('LEV R&amp;D'!$D:$D,MATCH(MEDIÇÃO!R615,'LEV R&amp;D'!$A:$A,0))-INDEX('PROJETO PERFURAÇÃO'!$AH:$AH,MATCH(MEDIÇÃO!R615,'PROJETO PERFURAÇÃO'!$B:$B,0)),"")</f>
        <v/>
      </c>
      <c r="T615" s="8" t="str">
        <f>IFERROR(INDEX('PROJETO PERFURAÇÃO'!$AN:$AN,MATCH(MEDIÇÃO!R615,'PROJETO PERFURAÇÃO'!$B:$B,0)),"")</f>
        <v/>
      </c>
      <c r="U615" s="3"/>
      <c r="V615" s="3"/>
    </row>
    <row r="616" spans="1:23" ht="45" customHeight="1" x14ac:dyDescent="0.25">
      <c r="B616" s="3" t="str">
        <f>IFERROR(ROUND(INDEX('PROJETO PERFURAÇÃO'!$AB:$AB,MATCH(MEDIÇÃO!D616,'PROJETO PERFURAÇÃO'!$B:$B,0)),1)&amp;"''","")</f>
        <v/>
      </c>
      <c r="C616" s="3" t="str">
        <f>IFERROR(IF(INDEX('PROJETO PERFURAÇÃO'!$P:$P,MATCH(MEDIÇÃO!D616,'PROJETO PERFURAÇÃO'!$B:$B,0))="Production","P",IF(INDEX('PROJETO PERFURAÇÃO'!$P:$P,MATCH(MEDIÇÃO!D616,'PROJETO PERFURAÇÃO'!$B:$B,0))="Buffer","B",IF(INDEX('PROJETO PERFURAÇÃO'!$P:$P,MATCH(MEDIÇÃO!D616,'PROJETO PERFURAÇÃO'!$B:$B,0))="Pre-Splitting","S"))),"")</f>
        <v/>
      </c>
      <c r="D616" s="14">
        <f t="shared" si="57"/>
        <v>1334</v>
      </c>
      <c r="E616" s="4" t="str">
        <f>IFERROR(INDEX('LEV R&amp;D'!$D:$D,MATCH(MEDIÇÃO!D616,'LEV R&amp;D'!$A:$A,0))-INDEX('PROJETO PERFURAÇÃO'!$AH:$AH,MATCH(MEDIÇÃO!D616,'PROJETO PERFURAÇÃO'!$B:$B,0)),"")</f>
        <v/>
      </c>
      <c r="F616" s="8" t="str">
        <f>IFERROR(INDEX('PROJETO PERFURAÇÃO'!$AN:$AN,MATCH(MEDIÇÃO!D616,'PROJETO PERFURAÇÃO'!$B:$B,0)),"")</f>
        <v/>
      </c>
      <c r="G616" s="3"/>
      <c r="H616" s="3"/>
      <c r="I616" s="3" t="str">
        <f>IFERROR(ROUND(INDEX('PROJETO PERFURAÇÃO'!$AB:$AB,MATCH(MEDIÇÃO!K616,'PROJETO PERFURAÇÃO'!$B:$B,0)),1)&amp;"''","")</f>
        <v/>
      </c>
      <c r="J616" s="3" t="str">
        <f>IFERROR(IF(INDEX('PROJETO PERFURAÇÃO'!$P:$P,MATCH(MEDIÇÃO!K616,'PROJETO PERFURAÇÃO'!$B:$B,0))="Production","P",IF(INDEX('PROJETO PERFURAÇÃO'!$P:$P,MATCH(MEDIÇÃO!K616,'PROJETO PERFURAÇÃO'!$B:$B,0))="Buffer","B",IF(INDEX('PROJETO PERFURAÇÃO'!$P:$P,MATCH(MEDIÇÃO!K616,'PROJETO PERFURAÇÃO'!$B:$B,0))="Pre-Splitting","S"))),"")</f>
        <v/>
      </c>
      <c r="K616" s="14">
        <f>K615+1</f>
        <v>1357</v>
      </c>
      <c r="L616" s="4" t="str">
        <f>IFERROR(INDEX('LEV R&amp;D'!$D:$D,MATCH(MEDIÇÃO!K616,'LEV R&amp;D'!$A:$A,0))-INDEX('PROJETO PERFURAÇÃO'!$AH:$AH,MATCH(MEDIÇÃO!K616,'PROJETO PERFURAÇÃO'!$B:$B,0)),"")</f>
        <v/>
      </c>
      <c r="M616" s="8" t="str">
        <f>IFERROR(INDEX('PROJETO PERFURAÇÃO'!$AN:$AN,MATCH(MEDIÇÃO!K616,'PROJETO PERFURAÇÃO'!$B:$B,0)),"")</f>
        <v/>
      </c>
      <c r="N616" s="3"/>
      <c r="O616" s="3"/>
      <c r="P616" s="3" t="str">
        <f>IFERROR(ROUND(INDEX('PROJETO PERFURAÇÃO'!$AB:$AB,MATCH(MEDIÇÃO!R616,'PROJETO PERFURAÇÃO'!$B:$B,0)),1)&amp;"''","")</f>
        <v/>
      </c>
      <c r="Q616" s="3" t="str">
        <f>IFERROR(IF(INDEX('PROJETO PERFURAÇÃO'!$P:$P,MATCH(MEDIÇÃO!R616,'PROJETO PERFURAÇÃO'!$B:$B,0))="Production","P",IF(INDEX('PROJETO PERFURAÇÃO'!$P:$P,MATCH(MEDIÇÃO!R616,'PROJETO PERFURAÇÃO'!$B:$B,0))="Buffer","B",IF(INDEX('PROJETO PERFURAÇÃO'!$P:$P,MATCH(MEDIÇÃO!R616,'PROJETO PERFURAÇÃO'!$B:$B,0))="Pre-Splitting","S"))),"")</f>
        <v/>
      </c>
      <c r="R616" s="14">
        <f>R615+1</f>
        <v>1380</v>
      </c>
      <c r="S616" s="4" t="str">
        <f>IFERROR(INDEX('LEV R&amp;D'!$D:$D,MATCH(MEDIÇÃO!R616,'LEV R&amp;D'!$A:$A,0))-INDEX('PROJETO PERFURAÇÃO'!$AH:$AH,MATCH(MEDIÇÃO!R616,'PROJETO PERFURAÇÃO'!$B:$B,0)),"")</f>
        <v/>
      </c>
      <c r="T616" s="8" t="str">
        <f>IFERROR(INDEX('PROJETO PERFURAÇÃO'!$AN:$AN,MATCH(MEDIÇÃO!R616,'PROJETO PERFURAÇÃO'!$B:$B,0)),"")</f>
        <v/>
      </c>
      <c r="U616" s="3"/>
      <c r="V616" s="3"/>
    </row>
    <row r="617" spans="1:23" ht="30" customHeight="1" x14ac:dyDescent="0.25">
      <c r="B617" s="1"/>
      <c r="C617" s="1"/>
      <c r="D617" s="15"/>
      <c r="E617" s="2"/>
      <c r="F617" s="16"/>
      <c r="G617" s="1"/>
      <c r="H617" s="1"/>
      <c r="I617" s="1"/>
      <c r="J617" s="1"/>
      <c r="K617" s="15"/>
      <c r="L617" s="2"/>
      <c r="M617" s="16"/>
      <c r="N617" s="1"/>
      <c r="O617" s="1"/>
      <c r="P617" s="1"/>
      <c r="Q617" s="1"/>
      <c r="R617" s="15"/>
      <c r="S617" s="2"/>
      <c r="T617" s="16"/>
      <c r="U617" s="1"/>
      <c r="V617" s="1"/>
    </row>
    <row r="618" spans="1:23" ht="30" customHeight="1" x14ac:dyDescent="0.25">
      <c r="C618" s="20"/>
      <c r="D618" s="20"/>
      <c r="E618" s="20"/>
      <c r="F618" s="20"/>
      <c r="G618" s="20"/>
      <c r="H618" s="20"/>
      <c r="I618" s="20"/>
      <c r="J618" s="20"/>
      <c r="K618" s="20"/>
      <c r="M618" s="20"/>
      <c r="N618" s="20"/>
      <c r="O618" s="20"/>
      <c r="P618" s="20"/>
      <c r="Q618" s="20"/>
      <c r="R618" s="20"/>
      <c r="S618" s="20"/>
      <c r="T618" s="20"/>
      <c r="U618" s="20"/>
    </row>
    <row r="619" spans="1:23" ht="30" customHeight="1" x14ac:dyDescent="0.25">
      <c r="C619" s="21" t="s">
        <v>40</v>
      </c>
      <c r="D619" s="21"/>
      <c r="E619" s="21"/>
      <c r="F619" s="21"/>
      <c r="G619" s="21"/>
      <c r="H619" s="21"/>
      <c r="I619" s="21"/>
      <c r="J619" s="21"/>
      <c r="K619" s="21"/>
      <c r="L619" s="9"/>
      <c r="M619" s="21" t="s">
        <v>40</v>
      </c>
      <c r="N619" s="21"/>
      <c r="O619" s="21"/>
      <c r="P619" s="21"/>
      <c r="Q619" s="21"/>
      <c r="R619" s="21"/>
      <c r="S619" s="21"/>
      <c r="T619" s="21"/>
      <c r="U619" s="21"/>
      <c r="V619" s="9"/>
    </row>
    <row r="620" spans="1:23" ht="30" customHeight="1" x14ac:dyDescent="0.25">
      <c r="D620" s="9"/>
      <c r="E620" s="9"/>
      <c r="F620" s="9"/>
      <c r="G620" s="9"/>
      <c r="H620" s="9"/>
      <c r="I620" s="9"/>
      <c r="J620" s="9"/>
      <c r="K620" s="9"/>
      <c r="L620" s="9"/>
      <c r="M620" s="9"/>
      <c r="N620" s="9"/>
      <c r="Q620" s="9"/>
      <c r="R620" s="9"/>
      <c r="S620" s="9"/>
      <c r="T620" s="9"/>
      <c r="U620" s="9"/>
      <c r="V620" s="9"/>
    </row>
    <row r="621" spans="1:23" ht="30" customHeight="1" x14ac:dyDescent="0.25">
      <c r="B621" s="19" t="str">
        <f>'PROJETO PERFURAÇÃO'!$C$2&amp;" - "&amp;'PROJETO PERFURAÇÃO'!$H$2</f>
        <v>LIB065 - PP0651026</v>
      </c>
      <c r="C621" s="19"/>
      <c r="D621" s="19"/>
      <c r="E621" s="19"/>
      <c r="F621" s="19"/>
      <c r="G621" s="19"/>
      <c r="H621" s="19"/>
      <c r="I621" s="11" t="s">
        <v>34</v>
      </c>
      <c r="J621" s="10" t="s">
        <v>37</v>
      </c>
    </row>
    <row r="622" spans="1:23" ht="30" customHeight="1" x14ac:dyDescent="0.25">
      <c r="B622" s="19"/>
      <c r="C622" s="19"/>
      <c r="D622" s="19"/>
      <c r="E622" s="19"/>
      <c r="F622" s="19"/>
      <c r="G622" s="19"/>
      <c r="H622" s="19"/>
      <c r="I622" s="12" t="s">
        <v>35</v>
      </c>
      <c r="J622" s="10" t="s">
        <v>38</v>
      </c>
      <c r="K622" s="9"/>
      <c r="L622" s="9"/>
      <c r="M622" s="9"/>
      <c r="N622" s="9"/>
      <c r="O622" s="9"/>
      <c r="P622" s="9"/>
      <c r="Q622" s="9"/>
      <c r="R622" s="9"/>
      <c r="S622" s="9"/>
      <c r="T622" s="9"/>
      <c r="U622" s="9"/>
      <c r="V622" s="9"/>
    </row>
    <row r="623" spans="1:23" ht="30" customHeight="1" x14ac:dyDescent="0.25">
      <c r="B623" s="19"/>
      <c r="C623" s="19"/>
      <c r="D623" s="19"/>
      <c r="E623" s="19"/>
      <c r="F623" s="19"/>
      <c r="G623" s="19"/>
      <c r="H623" s="19"/>
      <c r="I623" s="13" t="s">
        <v>36</v>
      </c>
      <c r="J623" s="10" t="s">
        <v>39</v>
      </c>
    </row>
    <row r="624" spans="1:23" ht="30" customHeight="1" x14ac:dyDescent="0.25">
      <c r="A624" s="1"/>
      <c r="B624" s="6" t="s">
        <v>33</v>
      </c>
      <c r="C624" s="6" t="s">
        <v>13</v>
      </c>
      <c r="D624" s="7" t="s">
        <v>1</v>
      </c>
      <c r="E624" s="7" t="s">
        <v>29</v>
      </c>
      <c r="F624" s="7" t="s">
        <v>30</v>
      </c>
      <c r="G624" s="7" t="s">
        <v>31</v>
      </c>
      <c r="H624" s="7" t="s">
        <v>32</v>
      </c>
      <c r="I624" s="6" t="s">
        <v>33</v>
      </c>
      <c r="J624" s="6" t="s">
        <v>13</v>
      </c>
      <c r="K624" s="7" t="s">
        <v>1</v>
      </c>
      <c r="L624" s="7" t="s">
        <v>29</v>
      </c>
      <c r="M624" s="7" t="s">
        <v>30</v>
      </c>
      <c r="N624" s="7" t="s">
        <v>31</v>
      </c>
      <c r="O624" s="7" t="s">
        <v>32</v>
      </c>
      <c r="P624" s="6" t="s">
        <v>33</v>
      </c>
      <c r="Q624" s="6" t="s">
        <v>13</v>
      </c>
      <c r="R624" s="7" t="s">
        <v>1</v>
      </c>
      <c r="S624" s="7" t="s">
        <v>29</v>
      </c>
      <c r="T624" s="7" t="s">
        <v>30</v>
      </c>
      <c r="U624" s="7" t="s">
        <v>31</v>
      </c>
      <c r="V624" s="7" t="s">
        <v>32</v>
      </c>
      <c r="W624" s="1"/>
    </row>
    <row r="625" spans="2:22" ht="45" customHeight="1" x14ac:dyDescent="0.25">
      <c r="B625" s="3" t="str">
        <f>IFERROR(ROUND(INDEX('PROJETO PERFURAÇÃO'!$AB:$AB,MATCH(MEDIÇÃO!D625,'PROJETO PERFURAÇÃO'!$B:$B,0)),1)&amp;"''","")</f>
        <v/>
      </c>
      <c r="C625" s="3" t="str">
        <f>IFERROR(IF(INDEX('PROJETO PERFURAÇÃO'!$P:$P,MATCH(MEDIÇÃO!D625,'PROJETO PERFURAÇÃO'!$B:$B,0))="Production","P",IF(INDEX('PROJETO PERFURAÇÃO'!$P:$P,MATCH(MEDIÇÃO!D625,'PROJETO PERFURAÇÃO'!$B:$B,0))="Buffer","B",IF(INDEX('PROJETO PERFURAÇÃO'!$P:$P,MATCH(MEDIÇÃO!D625,'PROJETO PERFURAÇÃO'!$B:$B,0))="Pre-Splitting","S"))),"")</f>
        <v/>
      </c>
      <c r="D625" s="14">
        <f>R616+1</f>
        <v>1381</v>
      </c>
      <c r="E625" s="4" t="str">
        <f>IFERROR(INDEX('LEV R&amp;D'!$D:$D,MATCH(MEDIÇÃO!D625,'LEV R&amp;D'!$A:$A,0))-INDEX('PROJETO PERFURAÇÃO'!$AH:$AH,MATCH(MEDIÇÃO!D625,'PROJETO PERFURAÇÃO'!$B:$B,0)),"")</f>
        <v/>
      </c>
      <c r="F625" s="8" t="str">
        <f>IFERROR(INDEX('PROJETO PERFURAÇÃO'!$AN:$AN,MATCH(MEDIÇÃO!D625,'PROJETO PERFURAÇÃO'!$B:$B,0)),"")</f>
        <v/>
      </c>
      <c r="G625" s="3"/>
      <c r="H625" s="3"/>
      <c r="I625" s="3" t="str">
        <f>IFERROR(ROUND(INDEX('PROJETO PERFURAÇÃO'!$AB:$AB,MATCH(MEDIÇÃO!K625,'PROJETO PERFURAÇÃO'!$B:$B,0)),1)&amp;"''","")</f>
        <v/>
      </c>
      <c r="J625" s="3" t="str">
        <f>IFERROR(IF(INDEX('PROJETO PERFURAÇÃO'!$P:$P,MATCH(MEDIÇÃO!K625,'PROJETO PERFURAÇÃO'!$B:$B,0))="Production","P",IF(INDEX('PROJETO PERFURAÇÃO'!$P:$P,MATCH(MEDIÇÃO!K625,'PROJETO PERFURAÇÃO'!$B:$B,0))="Buffer","B",IF(INDEX('PROJETO PERFURAÇÃO'!$P:$P,MATCH(MEDIÇÃO!K625,'PROJETO PERFURAÇÃO'!$B:$B,0))="Pre-Splitting","S"))),"")</f>
        <v/>
      </c>
      <c r="K625" s="14">
        <f>D647+1</f>
        <v>1404</v>
      </c>
      <c r="L625" s="4" t="str">
        <f>IFERROR(INDEX('LEV R&amp;D'!$D:$D,MATCH(MEDIÇÃO!K625,'LEV R&amp;D'!$A:$A,0))-INDEX('PROJETO PERFURAÇÃO'!$AH:$AH,MATCH(MEDIÇÃO!K625,'PROJETO PERFURAÇÃO'!$B:$B,0)),"")</f>
        <v/>
      </c>
      <c r="M625" s="8" t="str">
        <f>IFERROR(INDEX('PROJETO PERFURAÇÃO'!$AN:$AN,MATCH(MEDIÇÃO!K625,'PROJETO PERFURAÇÃO'!$B:$B,0)),"")</f>
        <v/>
      </c>
      <c r="N625" s="3"/>
      <c r="O625" s="3"/>
      <c r="P625" s="3" t="str">
        <f>IFERROR(ROUND(INDEX('PROJETO PERFURAÇÃO'!$AB:$AB,MATCH(MEDIÇÃO!R625,'PROJETO PERFURAÇÃO'!$B:$B,0)),1)&amp;"''","")</f>
        <v/>
      </c>
      <c r="Q625" s="3" t="str">
        <f>IFERROR(IF(INDEX('PROJETO PERFURAÇÃO'!$P:$P,MATCH(MEDIÇÃO!R625,'PROJETO PERFURAÇÃO'!$B:$B,0))="Production","P",IF(INDEX('PROJETO PERFURAÇÃO'!$P:$P,MATCH(MEDIÇÃO!R625,'PROJETO PERFURAÇÃO'!$B:$B,0))="Buffer","B",IF(INDEX('PROJETO PERFURAÇÃO'!$P:$P,MATCH(MEDIÇÃO!R625,'PROJETO PERFURAÇÃO'!$B:$B,0))="Pre-Splitting","S"))),"")</f>
        <v/>
      </c>
      <c r="R625" s="14">
        <f>K647+1</f>
        <v>1427</v>
      </c>
      <c r="S625" s="4" t="str">
        <f>IFERROR(INDEX('LEV R&amp;D'!$D:$D,MATCH(MEDIÇÃO!R625,'LEV R&amp;D'!$A:$A,0))-INDEX('PROJETO PERFURAÇÃO'!$AH:$AH,MATCH(MEDIÇÃO!R625,'PROJETO PERFURAÇÃO'!$B:$B,0)),"")</f>
        <v/>
      </c>
      <c r="T625" s="8" t="str">
        <f>IFERROR(INDEX('PROJETO PERFURAÇÃO'!$AN:$AN,MATCH(MEDIÇÃO!R625,'PROJETO PERFURAÇÃO'!$B:$B,0)),"")</f>
        <v/>
      </c>
      <c r="U625" s="3"/>
      <c r="V625" s="3"/>
    </row>
    <row r="626" spans="2:22" ht="45" customHeight="1" x14ac:dyDescent="0.25">
      <c r="B626" s="3" t="str">
        <f>IFERROR(ROUND(INDEX('PROJETO PERFURAÇÃO'!$AB:$AB,MATCH(MEDIÇÃO!D626,'PROJETO PERFURAÇÃO'!$B:$B,0)),1)&amp;"''","")</f>
        <v/>
      </c>
      <c r="C626" s="3" t="str">
        <f>IFERROR(IF(INDEX('PROJETO PERFURAÇÃO'!$P:$P,MATCH(MEDIÇÃO!D626,'PROJETO PERFURAÇÃO'!$B:$B,0))="Production","P",IF(INDEX('PROJETO PERFURAÇÃO'!$P:$P,MATCH(MEDIÇÃO!D626,'PROJETO PERFURAÇÃO'!$B:$B,0))="Buffer","B",IF(INDEX('PROJETO PERFURAÇÃO'!$P:$P,MATCH(MEDIÇÃO!D626,'PROJETO PERFURAÇÃO'!$B:$B,0))="Pre-Splitting","S"))),"")</f>
        <v/>
      </c>
      <c r="D626" s="14">
        <f>D625+1</f>
        <v>1382</v>
      </c>
      <c r="E626" s="4" t="str">
        <f>IFERROR(INDEX('LEV R&amp;D'!$D:$D,MATCH(MEDIÇÃO!D626,'LEV R&amp;D'!$A:$A,0))-INDEX('PROJETO PERFURAÇÃO'!$AH:$AH,MATCH(MEDIÇÃO!D626,'PROJETO PERFURAÇÃO'!$B:$B,0)),"")</f>
        <v/>
      </c>
      <c r="F626" s="8" t="str">
        <f>IFERROR(INDEX('PROJETO PERFURAÇÃO'!$AN:$AN,MATCH(MEDIÇÃO!D626,'PROJETO PERFURAÇÃO'!$B:$B,0)),"")</f>
        <v/>
      </c>
      <c r="G626" s="3"/>
      <c r="H626" s="3"/>
      <c r="I626" s="3" t="str">
        <f>IFERROR(ROUND(INDEX('PROJETO PERFURAÇÃO'!$AB:$AB,MATCH(MEDIÇÃO!K626,'PROJETO PERFURAÇÃO'!$B:$B,0)),1)&amp;"''","")</f>
        <v/>
      </c>
      <c r="J626" s="3" t="str">
        <f>IFERROR(IF(INDEX('PROJETO PERFURAÇÃO'!$P:$P,MATCH(MEDIÇÃO!K626,'PROJETO PERFURAÇÃO'!$B:$B,0))="Production","P",IF(INDEX('PROJETO PERFURAÇÃO'!$P:$P,MATCH(MEDIÇÃO!K626,'PROJETO PERFURAÇÃO'!$B:$B,0))="Buffer","B",IF(INDEX('PROJETO PERFURAÇÃO'!$P:$P,MATCH(MEDIÇÃO!K626,'PROJETO PERFURAÇÃO'!$B:$B,0))="Pre-Splitting","S"))),"")</f>
        <v/>
      </c>
      <c r="K626" s="14">
        <f>K625+1</f>
        <v>1405</v>
      </c>
      <c r="L626" s="4" t="str">
        <f>IFERROR(INDEX('LEV R&amp;D'!$D:$D,MATCH(MEDIÇÃO!K626,'LEV R&amp;D'!$A:$A,0))-INDEX('PROJETO PERFURAÇÃO'!$AH:$AH,MATCH(MEDIÇÃO!K626,'PROJETO PERFURAÇÃO'!$B:$B,0)),"")</f>
        <v/>
      </c>
      <c r="M626" s="8" t="str">
        <f>IFERROR(INDEX('PROJETO PERFURAÇÃO'!$AN:$AN,MATCH(MEDIÇÃO!K626,'PROJETO PERFURAÇÃO'!$B:$B,0)),"")</f>
        <v/>
      </c>
      <c r="N626" s="3"/>
      <c r="O626" s="3"/>
      <c r="P626" s="3" t="str">
        <f>IFERROR(ROUND(INDEX('PROJETO PERFURAÇÃO'!$AB:$AB,MATCH(MEDIÇÃO!R626,'PROJETO PERFURAÇÃO'!$B:$B,0)),1)&amp;"''","")</f>
        <v/>
      </c>
      <c r="Q626" s="3" t="str">
        <f>IFERROR(IF(INDEX('PROJETO PERFURAÇÃO'!$P:$P,MATCH(MEDIÇÃO!R626,'PROJETO PERFURAÇÃO'!$B:$B,0))="Production","P",IF(INDEX('PROJETO PERFURAÇÃO'!$P:$P,MATCH(MEDIÇÃO!R626,'PROJETO PERFURAÇÃO'!$B:$B,0))="Buffer","B",IF(INDEX('PROJETO PERFURAÇÃO'!$P:$P,MATCH(MEDIÇÃO!R626,'PROJETO PERFURAÇÃO'!$B:$B,0))="Pre-Splitting","S"))),"")</f>
        <v/>
      </c>
      <c r="R626" s="14">
        <f>R625+1</f>
        <v>1428</v>
      </c>
      <c r="S626" s="4" t="str">
        <f>IFERROR(INDEX('LEV R&amp;D'!$D:$D,MATCH(MEDIÇÃO!R626,'LEV R&amp;D'!$A:$A,0))-INDEX('PROJETO PERFURAÇÃO'!$AH:$AH,MATCH(MEDIÇÃO!R626,'PROJETO PERFURAÇÃO'!$B:$B,0)),"")</f>
        <v/>
      </c>
      <c r="T626" s="8" t="str">
        <f>IFERROR(INDEX('PROJETO PERFURAÇÃO'!$AN:$AN,MATCH(MEDIÇÃO!R626,'PROJETO PERFURAÇÃO'!$B:$B,0)),"")</f>
        <v/>
      </c>
      <c r="U626" s="3"/>
      <c r="V626" s="3"/>
    </row>
    <row r="627" spans="2:22" ht="45" customHeight="1" x14ac:dyDescent="0.25">
      <c r="B627" s="3" t="str">
        <f>IFERROR(ROUND(INDEX('PROJETO PERFURAÇÃO'!$AB:$AB,MATCH(MEDIÇÃO!D627,'PROJETO PERFURAÇÃO'!$B:$B,0)),1)&amp;"''","")</f>
        <v/>
      </c>
      <c r="C627" s="3" t="str">
        <f>IFERROR(IF(INDEX('PROJETO PERFURAÇÃO'!$P:$P,MATCH(MEDIÇÃO!D627,'PROJETO PERFURAÇÃO'!$B:$B,0))="Production","P",IF(INDEX('PROJETO PERFURAÇÃO'!$P:$P,MATCH(MEDIÇÃO!D627,'PROJETO PERFURAÇÃO'!$B:$B,0))="Buffer","B",IF(INDEX('PROJETO PERFURAÇÃO'!$P:$P,MATCH(MEDIÇÃO!D627,'PROJETO PERFURAÇÃO'!$B:$B,0))="Pre-Splitting","S"))),"")</f>
        <v/>
      </c>
      <c r="D627" s="14">
        <f t="shared" ref="D627:D647" si="60">D626+1</f>
        <v>1383</v>
      </c>
      <c r="E627" s="4" t="str">
        <f>IFERROR(INDEX('LEV R&amp;D'!$D:$D,MATCH(MEDIÇÃO!D627,'LEV R&amp;D'!$A:$A,0))-INDEX('PROJETO PERFURAÇÃO'!$AH:$AH,MATCH(MEDIÇÃO!D627,'PROJETO PERFURAÇÃO'!$B:$B,0)),"")</f>
        <v/>
      </c>
      <c r="F627" s="8" t="str">
        <f>IFERROR(INDEX('PROJETO PERFURAÇÃO'!$AN:$AN,MATCH(MEDIÇÃO!D627,'PROJETO PERFURAÇÃO'!$B:$B,0)),"")</f>
        <v/>
      </c>
      <c r="G627" s="3"/>
      <c r="H627" s="3"/>
      <c r="I627" s="3" t="str">
        <f>IFERROR(ROUND(INDEX('PROJETO PERFURAÇÃO'!$AB:$AB,MATCH(MEDIÇÃO!K627,'PROJETO PERFURAÇÃO'!$B:$B,0)),1)&amp;"''","")</f>
        <v/>
      </c>
      <c r="J627" s="3" t="str">
        <f>IFERROR(IF(INDEX('PROJETO PERFURAÇÃO'!$P:$P,MATCH(MEDIÇÃO!K627,'PROJETO PERFURAÇÃO'!$B:$B,0))="Production","P",IF(INDEX('PROJETO PERFURAÇÃO'!$P:$P,MATCH(MEDIÇÃO!K627,'PROJETO PERFURAÇÃO'!$B:$B,0))="Buffer","B",IF(INDEX('PROJETO PERFURAÇÃO'!$P:$P,MATCH(MEDIÇÃO!K627,'PROJETO PERFURAÇÃO'!$B:$B,0))="Pre-Splitting","S"))),"")</f>
        <v/>
      </c>
      <c r="K627" s="14">
        <f t="shared" ref="K627:K646" si="61">K626+1</f>
        <v>1406</v>
      </c>
      <c r="L627" s="4" t="str">
        <f>IFERROR(INDEX('LEV R&amp;D'!$D:$D,MATCH(MEDIÇÃO!K627,'LEV R&amp;D'!$A:$A,0))-INDEX('PROJETO PERFURAÇÃO'!$AH:$AH,MATCH(MEDIÇÃO!K627,'PROJETO PERFURAÇÃO'!$B:$B,0)),"")</f>
        <v/>
      </c>
      <c r="M627" s="8" t="str">
        <f>IFERROR(INDEX('PROJETO PERFURAÇÃO'!$AN:$AN,MATCH(MEDIÇÃO!K627,'PROJETO PERFURAÇÃO'!$B:$B,0)),"")</f>
        <v/>
      </c>
      <c r="N627" s="3"/>
      <c r="O627" s="3"/>
      <c r="P627" s="3" t="str">
        <f>IFERROR(ROUND(INDEX('PROJETO PERFURAÇÃO'!$AB:$AB,MATCH(MEDIÇÃO!R627,'PROJETO PERFURAÇÃO'!$B:$B,0)),1)&amp;"''","")</f>
        <v/>
      </c>
      <c r="Q627" s="3" t="str">
        <f>IFERROR(IF(INDEX('PROJETO PERFURAÇÃO'!$P:$P,MATCH(MEDIÇÃO!R627,'PROJETO PERFURAÇÃO'!$B:$B,0))="Production","P",IF(INDEX('PROJETO PERFURAÇÃO'!$P:$P,MATCH(MEDIÇÃO!R627,'PROJETO PERFURAÇÃO'!$B:$B,0))="Buffer","B",IF(INDEX('PROJETO PERFURAÇÃO'!$P:$P,MATCH(MEDIÇÃO!R627,'PROJETO PERFURAÇÃO'!$B:$B,0))="Pre-Splitting","S"))),"")</f>
        <v/>
      </c>
      <c r="R627" s="14">
        <f t="shared" ref="R627:R646" si="62">R626+1</f>
        <v>1429</v>
      </c>
      <c r="S627" s="4" t="str">
        <f>IFERROR(INDEX('LEV R&amp;D'!$D:$D,MATCH(MEDIÇÃO!R627,'LEV R&amp;D'!$A:$A,0))-INDEX('PROJETO PERFURAÇÃO'!$AH:$AH,MATCH(MEDIÇÃO!R627,'PROJETO PERFURAÇÃO'!$B:$B,0)),"")</f>
        <v/>
      </c>
      <c r="T627" s="8" t="str">
        <f>IFERROR(INDEX('PROJETO PERFURAÇÃO'!$AN:$AN,MATCH(MEDIÇÃO!R627,'PROJETO PERFURAÇÃO'!$B:$B,0)),"")</f>
        <v/>
      </c>
      <c r="U627" s="3"/>
      <c r="V627" s="3"/>
    </row>
    <row r="628" spans="2:22" ht="45" customHeight="1" x14ac:dyDescent="0.25">
      <c r="B628" s="3" t="str">
        <f>IFERROR(ROUND(INDEX('PROJETO PERFURAÇÃO'!$AB:$AB,MATCH(MEDIÇÃO!D628,'PROJETO PERFURAÇÃO'!$B:$B,0)),1)&amp;"''","")</f>
        <v/>
      </c>
      <c r="C628" s="3" t="str">
        <f>IFERROR(IF(INDEX('PROJETO PERFURAÇÃO'!$P:$P,MATCH(MEDIÇÃO!D628,'PROJETO PERFURAÇÃO'!$B:$B,0))="Production","P",IF(INDEX('PROJETO PERFURAÇÃO'!$P:$P,MATCH(MEDIÇÃO!D628,'PROJETO PERFURAÇÃO'!$B:$B,0))="Buffer","B",IF(INDEX('PROJETO PERFURAÇÃO'!$P:$P,MATCH(MEDIÇÃO!D628,'PROJETO PERFURAÇÃO'!$B:$B,0))="Pre-Splitting","S"))),"")</f>
        <v/>
      </c>
      <c r="D628" s="14">
        <f t="shared" si="60"/>
        <v>1384</v>
      </c>
      <c r="E628" s="4" t="str">
        <f>IFERROR(INDEX('LEV R&amp;D'!$D:$D,MATCH(MEDIÇÃO!D628,'LEV R&amp;D'!$A:$A,0))-INDEX('PROJETO PERFURAÇÃO'!$AH:$AH,MATCH(MEDIÇÃO!D628,'PROJETO PERFURAÇÃO'!$B:$B,0)),"")</f>
        <v/>
      </c>
      <c r="F628" s="8" t="str">
        <f>IFERROR(INDEX('PROJETO PERFURAÇÃO'!$AN:$AN,MATCH(MEDIÇÃO!D628,'PROJETO PERFURAÇÃO'!$B:$B,0)),"")</f>
        <v/>
      </c>
      <c r="G628" s="3"/>
      <c r="H628" s="3"/>
      <c r="I628" s="3" t="str">
        <f>IFERROR(ROUND(INDEX('PROJETO PERFURAÇÃO'!$AB:$AB,MATCH(MEDIÇÃO!K628,'PROJETO PERFURAÇÃO'!$B:$B,0)),1)&amp;"''","")</f>
        <v/>
      </c>
      <c r="J628" s="3" t="str">
        <f>IFERROR(IF(INDEX('PROJETO PERFURAÇÃO'!$P:$P,MATCH(MEDIÇÃO!K628,'PROJETO PERFURAÇÃO'!$B:$B,0))="Production","P",IF(INDEX('PROJETO PERFURAÇÃO'!$P:$P,MATCH(MEDIÇÃO!K628,'PROJETO PERFURAÇÃO'!$B:$B,0))="Buffer","B",IF(INDEX('PROJETO PERFURAÇÃO'!$P:$P,MATCH(MEDIÇÃO!K628,'PROJETO PERFURAÇÃO'!$B:$B,0))="Pre-Splitting","S"))),"")</f>
        <v/>
      </c>
      <c r="K628" s="14">
        <f t="shared" si="61"/>
        <v>1407</v>
      </c>
      <c r="L628" s="4" t="str">
        <f>IFERROR(INDEX('LEV R&amp;D'!$D:$D,MATCH(MEDIÇÃO!K628,'LEV R&amp;D'!$A:$A,0))-INDEX('PROJETO PERFURAÇÃO'!$AH:$AH,MATCH(MEDIÇÃO!K628,'PROJETO PERFURAÇÃO'!$B:$B,0)),"")</f>
        <v/>
      </c>
      <c r="M628" s="8" t="str">
        <f>IFERROR(INDEX('PROJETO PERFURAÇÃO'!$AN:$AN,MATCH(MEDIÇÃO!K628,'PROJETO PERFURAÇÃO'!$B:$B,0)),"")</f>
        <v/>
      </c>
      <c r="N628" s="3"/>
      <c r="O628" s="3"/>
      <c r="P628" s="3" t="str">
        <f>IFERROR(ROUND(INDEX('PROJETO PERFURAÇÃO'!$AB:$AB,MATCH(MEDIÇÃO!R628,'PROJETO PERFURAÇÃO'!$B:$B,0)),1)&amp;"''","")</f>
        <v/>
      </c>
      <c r="Q628" s="3" t="str">
        <f>IFERROR(IF(INDEX('PROJETO PERFURAÇÃO'!$P:$P,MATCH(MEDIÇÃO!R628,'PROJETO PERFURAÇÃO'!$B:$B,0))="Production","P",IF(INDEX('PROJETO PERFURAÇÃO'!$P:$P,MATCH(MEDIÇÃO!R628,'PROJETO PERFURAÇÃO'!$B:$B,0))="Buffer","B",IF(INDEX('PROJETO PERFURAÇÃO'!$P:$P,MATCH(MEDIÇÃO!R628,'PROJETO PERFURAÇÃO'!$B:$B,0))="Pre-Splitting","S"))),"")</f>
        <v/>
      </c>
      <c r="R628" s="14">
        <f t="shared" si="62"/>
        <v>1430</v>
      </c>
      <c r="S628" s="4" t="str">
        <f>IFERROR(INDEX('LEV R&amp;D'!$D:$D,MATCH(MEDIÇÃO!R628,'LEV R&amp;D'!$A:$A,0))-INDEX('PROJETO PERFURAÇÃO'!$AH:$AH,MATCH(MEDIÇÃO!R628,'PROJETO PERFURAÇÃO'!$B:$B,0)),"")</f>
        <v/>
      </c>
      <c r="T628" s="8" t="str">
        <f>IFERROR(INDEX('PROJETO PERFURAÇÃO'!$AN:$AN,MATCH(MEDIÇÃO!R628,'PROJETO PERFURAÇÃO'!$B:$B,0)),"")</f>
        <v/>
      </c>
      <c r="U628" s="3"/>
      <c r="V628" s="3"/>
    </row>
    <row r="629" spans="2:22" ht="45" customHeight="1" x14ac:dyDescent="0.25">
      <c r="B629" s="3" t="str">
        <f>IFERROR(ROUND(INDEX('PROJETO PERFURAÇÃO'!$AB:$AB,MATCH(MEDIÇÃO!D629,'PROJETO PERFURAÇÃO'!$B:$B,0)),1)&amp;"''","")</f>
        <v/>
      </c>
      <c r="C629" s="3" t="str">
        <f>IFERROR(IF(INDEX('PROJETO PERFURAÇÃO'!$P:$P,MATCH(MEDIÇÃO!D629,'PROJETO PERFURAÇÃO'!$B:$B,0))="Production","P",IF(INDEX('PROJETO PERFURAÇÃO'!$P:$P,MATCH(MEDIÇÃO!D629,'PROJETO PERFURAÇÃO'!$B:$B,0))="Buffer","B",IF(INDEX('PROJETO PERFURAÇÃO'!$P:$P,MATCH(MEDIÇÃO!D629,'PROJETO PERFURAÇÃO'!$B:$B,0))="Pre-Splitting","S"))),"")</f>
        <v/>
      </c>
      <c r="D629" s="14">
        <f t="shared" si="60"/>
        <v>1385</v>
      </c>
      <c r="E629" s="4" t="str">
        <f>IFERROR(INDEX('LEV R&amp;D'!$D:$D,MATCH(MEDIÇÃO!D629,'LEV R&amp;D'!$A:$A,0))-INDEX('PROJETO PERFURAÇÃO'!$AH:$AH,MATCH(MEDIÇÃO!D629,'PROJETO PERFURAÇÃO'!$B:$B,0)),"")</f>
        <v/>
      </c>
      <c r="F629" s="8" t="str">
        <f>IFERROR(INDEX('PROJETO PERFURAÇÃO'!$AN:$AN,MATCH(MEDIÇÃO!D629,'PROJETO PERFURAÇÃO'!$B:$B,0)),"")</f>
        <v/>
      </c>
      <c r="G629" s="3"/>
      <c r="H629" s="3"/>
      <c r="I629" s="3" t="str">
        <f>IFERROR(ROUND(INDEX('PROJETO PERFURAÇÃO'!$AB:$AB,MATCH(MEDIÇÃO!K629,'PROJETO PERFURAÇÃO'!$B:$B,0)),1)&amp;"''","")</f>
        <v/>
      </c>
      <c r="J629" s="3" t="str">
        <f>IFERROR(IF(INDEX('PROJETO PERFURAÇÃO'!$P:$P,MATCH(MEDIÇÃO!K629,'PROJETO PERFURAÇÃO'!$B:$B,0))="Production","P",IF(INDEX('PROJETO PERFURAÇÃO'!$P:$P,MATCH(MEDIÇÃO!K629,'PROJETO PERFURAÇÃO'!$B:$B,0))="Buffer","B",IF(INDEX('PROJETO PERFURAÇÃO'!$P:$P,MATCH(MEDIÇÃO!K629,'PROJETO PERFURAÇÃO'!$B:$B,0))="Pre-Splitting","S"))),"")</f>
        <v/>
      </c>
      <c r="K629" s="14">
        <f t="shared" si="61"/>
        <v>1408</v>
      </c>
      <c r="L629" s="4" t="str">
        <f>IFERROR(INDEX('LEV R&amp;D'!$D:$D,MATCH(MEDIÇÃO!K629,'LEV R&amp;D'!$A:$A,0))-INDEX('PROJETO PERFURAÇÃO'!$AH:$AH,MATCH(MEDIÇÃO!K629,'PROJETO PERFURAÇÃO'!$B:$B,0)),"")</f>
        <v/>
      </c>
      <c r="M629" s="8" t="str">
        <f>IFERROR(INDEX('PROJETO PERFURAÇÃO'!$AN:$AN,MATCH(MEDIÇÃO!K629,'PROJETO PERFURAÇÃO'!$B:$B,0)),"")</f>
        <v/>
      </c>
      <c r="N629" s="3"/>
      <c r="O629" s="3"/>
      <c r="P629" s="3" t="str">
        <f>IFERROR(ROUND(INDEX('PROJETO PERFURAÇÃO'!$AB:$AB,MATCH(MEDIÇÃO!R629,'PROJETO PERFURAÇÃO'!$B:$B,0)),1)&amp;"''","")</f>
        <v/>
      </c>
      <c r="Q629" s="3" t="str">
        <f>IFERROR(IF(INDEX('PROJETO PERFURAÇÃO'!$P:$P,MATCH(MEDIÇÃO!R629,'PROJETO PERFURAÇÃO'!$B:$B,0))="Production","P",IF(INDEX('PROJETO PERFURAÇÃO'!$P:$P,MATCH(MEDIÇÃO!R629,'PROJETO PERFURAÇÃO'!$B:$B,0))="Buffer","B",IF(INDEX('PROJETO PERFURAÇÃO'!$P:$P,MATCH(MEDIÇÃO!R629,'PROJETO PERFURAÇÃO'!$B:$B,0))="Pre-Splitting","S"))),"")</f>
        <v/>
      </c>
      <c r="R629" s="14">
        <f t="shared" si="62"/>
        <v>1431</v>
      </c>
      <c r="S629" s="4" t="str">
        <f>IFERROR(INDEX('LEV R&amp;D'!$D:$D,MATCH(MEDIÇÃO!R629,'LEV R&amp;D'!$A:$A,0))-INDEX('PROJETO PERFURAÇÃO'!$AH:$AH,MATCH(MEDIÇÃO!R629,'PROJETO PERFURAÇÃO'!$B:$B,0)),"")</f>
        <v/>
      </c>
      <c r="T629" s="8" t="str">
        <f>IFERROR(INDEX('PROJETO PERFURAÇÃO'!$AN:$AN,MATCH(MEDIÇÃO!R629,'PROJETO PERFURAÇÃO'!$B:$B,0)),"")</f>
        <v/>
      </c>
      <c r="U629" s="3"/>
      <c r="V629" s="3"/>
    </row>
    <row r="630" spans="2:22" ht="45" customHeight="1" x14ac:dyDescent="0.25">
      <c r="B630" s="3" t="str">
        <f>IFERROR(ROUND(INDEX('PROJETO PERFURAÇÃO'!$AB:$AB,MATCH(MEDIÇÃO!D630,'PROJETO PERFURAÇÃO'!$B:$B,0)),1)&amp;"''","")</f>
        <v/>
      </c>
      <c r="C630" s="3" t="str">
        <f>IFERROR(IF(INDEX('PROJETO PERFURAÇÃO'!$P:$P,MATCH(MEDIÇÃO!D630,'PROJETO PERFURAÇÃO'!$B:$B,0))="Production","P",IF(INDEX('PROJETO PERFURAÇÃO'!$P:$P,MATCH(MEDIÇÃO!D630,'PROJETO PERFURAÇÃO'!$B:$B,0))="Buffer","B",IF(INDEX('PROJETO PERFURAÇÃO'!$P:$P,MATCH(MEDIÇÃO!D630,'PROJETO PERFURAÇÃO'!$B:$B,0))="Pre-Splitting","S"))),"")</f>
        <v/>
      </c>
      <c r="D630" s="14">
        <f t="shared" si="60"/>
        <v>1386</v>
      </c>
      <c r="E630" s="4" t="str">
        <f>IFERROR(INDEX('LEV R&amp;D'!$D:$D,MATCH(MEDIÇÃO!D630,'LEV R&amp;D'!$A:$A,0))-INDEX('PROJETO PERFURAÇÃO'!$AH:$AH,MATCH(MEDIÇÃO!D630,'PROJETO PERFURAÇÃO'!$B:$B,0)),"")</f>
        <v/>
      </c>
      <c r="F630" s="8" t="str">
        <f>IFERROR(INDEX('PROJETO PERFURAÇÃO'!$AN:$AN,MATCH(MEDIÇÃO!D630,'PROJETO PERFURAÇÃO'!$B:$B,0)),"")</f>
        <v/>
      </c>
      <c r="G630" s="3"/>
      <c r="H630" s="3"/>
      <c r="I630" s="3" t="str">
        <f>IFERROR(ROUND(INDEX('PROJETO PERFURAÇÃO'!$AB:$AB,MATCH(MEDIÇÃO!K630,'PROJETO PERFURAÇÃO'!$B:$B,0)),1)&amp;"''","")</f>
        <v/>
      </c>
      <c r="J630" s="3" t="str">
        <f>IFERROR(IF(INDEX('PROJETO PERFURAÇÃO'!$P:$P,MATCH(MEDIÇÃO!K630,'PROJETO PERFURAÇÃO'!$B:$B,0))="Production","P",IF(INDEX('PROJETO PERFURAÇÃO'!$P:$P,MATCH(MEDIÇÃO!K630,'PROJETO PERFURAÇÃO'!$B:$B,0))="Buffer","B",IF(INDEX('PROJETO PERFURAÇÃO'!$P:$P,MATCH(MEDIÇÃO!K630,'PROJETO PERFURAÇÃO'!$B:$B,0))="Pre-Splitting","S"))),"")</f>
        <v/>
      </c>
      <c r="K630" s="14">
        <f t="shared" si="61"/>
        <v>1409</v>
      </c>
      <c r="L630" s="4" t="str">
        <f>IFERROR(INDEX('LEV R&amp;D'!$D:$D,MATCH(MEDIÇÃO!K630,'LEV R&amp;D'!$A:$A,0))-INDEX('PROJETO PERFURAÇÃO'!$AH:$AH,MATCH(MEDIÇÃO!K630,'PROJETO PERFURAÇÃO'!$B:$B,0)),"")</f>
        <v/>
      </c>
      <c r="M630" s="8" t="str">
        <f>IFERROR(INDEX('PROJETO PERFURAÇÃO'!$AN:$AN,MATCH(MEDIÇÃO!K630,'PROJETO PERFURAÇÃO'!$B:$B,0)),"")</f>
        <v/>
      </c>
      <c r="N630" s="3"/>
      <c r="O630" s="3"/>
      <c r="P630" s="3" t="str">
        <f>IFERROR(ROUND(INDEX('PROJETO PERFURAÇÃO'!$AB:$AB,MATCH(MEDIÇÃO!R630,'PROJETO PERFURAÇÃO'!$B:$B,0)),1)&amp;"''","")</f>
        <v/>
      </c>
      <c r="Q630" s="3" t="str">
        <f>IFERROR(IF(INDEX('PROJETO PERFURAÇÃO'!$P:$P,MATCH(MEDIÇÃO!R630,'PROJETO PERFURAÇÃO'!$B:$B,0))="Production","P",IF(INDEX('PROJETO PERFURAÇÃO'!$P:$P,MATCH(MEDIÇÃO!R630,'PROJETO PERFURAÇÃO'!$B:$B,0))="Buffer","B",IF(INDEX('PROJETO PERFURAÇÃO'!$P:$P,MATCH(MEDIÇÃO!R630,'PROJETO PERFURAÇÃO'!$B:$B,0))="Pre-Splitting","S"))),"")</f>
        <v/>
      </c>
      <c r="R630" s="14">
        <f t="shared" si="62"/>
        <v>1432</v>
      </c>
      <c r="S630" s="4" t="str">
        <f>IFERROR(INDEX('LEV R&amp;D'!$D:$D,MATCH(MEDIÇÃO!R630,'LEV R&amp;D'!$A:$A,0))-INDEX('PROJETO PERFURAÇÃO'!$AH:$AH,MATCH(MEDIÇÃO!R630,'PROJETO PERFURAÇÃO'!$B:$B,0)),"")</f>
        <v/>
      </c>
      <c r="T630" s="8" t="str">
        <f>IFERROR(INDEX('PROJETO PERFURAÇÃO'!$AN:$AN,MATCH(MEDIÇÃO!R630,'PROJETO PERFURAÇÃO'!$B:$B,0)),"")</f>
        <v/>
      </c>
      <c r="U630" s="3"/>
      <c r="V630" s="3"/>
    </row>
    <row r="631" spans="2:22" ht="45" customHeight="1" x14ac:dyDescent="0.25">
      <c r="B631" s="3" t="str">
        <f>IFERROR(ROUND(INDEX('PROJETO PERFURAÇÃO'!$AB:$AB,MATCH(MEDIÇÃO!D631,'PROJETO PERFURAÇÃO'!$B:$B,0)),1)&amp;"''","")</f>
        <v/>
      </c>
      <c r="C631" s="3" t="str">
        <f>IFERROR(IF(INDEX('PROJETO PERFURAÇÃO'!$P:$P,MATCH(MEDIÇÃO!D631,'PROJETO PERFURAÇÃO'!$B:$B,0))="Production","P",IF(INDEX('PROJETO PERFURAÇÃO'!$P:$P,MATCH(MEDIÇÃO!D631,'PROJETO PERFURAÇÃO'!$B:$B,0))="Buffer","B",IF(INDEX('PROJETO PERFURAÇÃO'!$P:$P,MATCH(MEDIÇÃO!D631,'PROJETO PERFURAÇÃO'!$B:$B,0))="Pre-Splitting","S"))),"")</f>
        <v/>
      </c>
      <c r="D631" s="14">
        <f t="shared" si="60"/>
        <v>1387</v>
      </c>
      <c r="E631" s="4" t="str">
        <f>IFERROR(INDEX('LEV R&amp;D'!$D:$D,MATCH(MEDIÇÃO!D631,'LEV R&amp;D'!$A:$A,0))-INDEX('PROJETO PERFURAÇÃO'!$AH:$AH,MATCH(MEDIÇÃO!D631,'PROJETO PERFURAÇÃO'!$B:$B,0)),"")</f>
        <v/>
      </c>
      <c r="F631" s="8" t="str">
        <f>IFERROR(INDEX('PROJETO PERFURAÇÃO'!$AN:$AN,MATCH(MEDIÇÃO!D631,'PROJETO PERFURAÇÃO'!$B:$B,0)),"")</f>
        <v/>
      </c>
      <c r="G631" s="3"/>
      <c r="H631" s="3"/>
      <c r="I631" s="3" t="str">
        <f>IFERROR(ROUND(INDEX('PROJETO PERFURAÇÃO'!$AB:$AB,MATCH(MEDIÇÃO!K631,'PROJETO PERFURAÇÃO'!$B:$B,0)),1)&amp;"''","")</f>
        <v/>
      </c>
      <c r="J631" s="3" t="str">
        <f>IFERROR(IF(INDEX('PROJETO PERFURAÇÃO'!$P:$P,MATCH(MEDIÇÃO!K631,'PROJETO PERFURAÇÃO'!$B:$B,0))="Production","P",IF(INDEX('PROJETO PERFURAÇÃO'!$P:$P,MATCH(MEDIÇÃO!K631,'PROJETO PERFURAÇÃO'!$B:$B,0))="Buffer","B",IF(INDEX('PROJETO PERFURAÇÃO'!$P:$P,MATCH(MEDIÇÃO!K631,'PROJETO PERFURAÇÃO'!$B:$B,0))="Pre-Splitting","S"))),"")</f>
        <v/>
      </c>
      <c r="K631" s="14">
        <f t="shared" si="61"/>
        <v>1410</v>
      </c>
      <c r="L631" s="4" t="str">
        <f>IFERROR(INDEX('LEV R&amp;D'!$D:$D,MATCH(MEDIÇÃO!K631,'LEV R&amp;D'!$A:$A,0))-INDEX('PROJETO PERFURAÇÃO'!$AH:$AH,MATCH(MEDIÇÃO!K631,'PROJETO PERFURAÇÃO'!$B:$B,0)),"")</f>
        <v/>
      </c>
      <c r="M631" s="8" t="str">
        <f>IFERROR(INDEX('PROJETO PERFURAÇÃO'!$AN:$AN,MATCH(MEDIÇÃO!K631,'PROJETO PERFURAÇÃO'!$B:$B,0)),"")</f>
        <v/>
      </c>
      <c r="N631" s="3"/>
      <c r="O631" s="3"/>
      <c r="P631" s="3" t="str">
        <f>IFERROR(ROUND(INDEX('PROJETO PERFURAÇÃO'!$AB:$AB,MATCH(MEDIÇÃO!R631,'PROJETO PERFURAÇÃO'!$B:$B,0)),1)&amp;"''","")</f>
        <v/>
      </c>
      <c r="Q631" s="3" t="str">
        <f>IFERROR(IF(INDEX('PROJETO PERFURAÇÃO'!$P:$P,MATCH(MEDIÇÃO!R631,'PROJETO PERFURAÇÃO'!$B:$B,0))="Production","P",IF(INDEX('PROJETO PERFURAÇÃO'!$P:$P,MATCH(MEDIÇÃO!R631,'PROJETO PERFURAÇÃO'!$B:$B,0))="Buffer","B",IF(INDEX('PROJETO PERFURAÇÃO'!$P:$P,MATCH(MEDIÇÃO!R631,'PROJETO PERFURAÇÃO'!$B:$B,0))="Pre-Splitting","S"))),"")</f>
        <v/>
      </c>
      <c r="R631" s="14">
        <f t="shared" si="62"/>
        <v>1433</v>
      </c>
      <c r="S631" s="4" t="str">
        <f>IFERROR(INDEX('LEV R&amp;D'!$D:$D,MATCH(MEDIÇÃO!R631,'LEV R&amp;D'!$A:$A,0))-INDEX('PROJETO PERFURAÇÃO'!$AH:$AH,MATCH(MEDIÇÃO!R631,'PROJETO PERFURAÇÃO'!$B:$B,0)),"")</f>
        <v/>
      </c>
      <c r="T631" s="8" t="str">
        <f>IFERROR(INDEX('PROJETO PERFURAÇÃO'!$AN:$AN,MATCH(MEDIÇÃO!R631,'PROJETO PERFURAÇÃO'!$B:$B,0)),"")</f>
        <v/>
      </c>
      <c r="U631" s="3"/>
      <c r="V631" s="3"/>
    </row>
    <row r="632" spans="2:22" ht="45" customHeight="1" x14ac:dyDescent="0.25">
      <c r="B632" s="3" t="str">
        <f>IFERROR(ROUND(INDEX('PROJETO PERFURAÇÃO'!$AB:$AB,MATCH(MEDIÇÃO!D632,'PROJETO PERFURAÇÃO'!$B:$B,0)),1)&amp;"''","")</f>
        <v/>
      </c>
      <c r="C632" s="3" t="str">
        <f>IFERROR(IF(INDEX('PROJETO PERFURAÇÃO'!$P:$P,MATCH(MEDIÇÃO!D632,'PROJETO PERFURAÇÃO'!$B:$B,0))="Production","P",IF(INDEX('PROJETO PERFURAÇÃO'!$P:$P,MATCH(MEDIÇÃO!D632,'PROJETO PERFURAÇÃO'!$B:$B,0))="Buffer","B",IF(INDEX('PROJETO PERFURAÇÃO'!$P:$P,MATCH(MEDIÇÃO!D632,'PROJETO PERFURAÇÃO'!$B:$B,0))="Pre-Splitting","S"))),"")</f>
        <v/>
      </c>
      <c r="D632" s="14">
        <f t="shared" si="60"/>
        <v>1388</v>
      </c>
      <c r="E632" s="4" t="str">
        <f>IFERROR(INDEX('LEV R&amp;D'!$D:$D,MATCH(MEDIÇÃO!D632,'LEV R&amp;D'!$A:$A,0))-INDEX('PROJETO PERFURAÇÃO'!$AH:$AH,MATCH(MEDIÇÃO!D632,'PROJETO PERFURAÇÃO'!$B:$B,0)),"")</f>
        <v/>
      </c>
      <c r="F632" s="8" t="str">
        <f>IFERROR(INDEX('PROJETO PERFURAÇÃO'!$AN:$AN,MATCH(MEDIÇÃO!D632,'PROJETO PERFURAÇÃO'!$B:$B,0)),"")</f>
        <v/>
      </c>
      <c r="G632" s="3"/>
      <c r="H632" s="3"/>
      <c r="I632" s="3" t="str">
        <f>IFERROR(ROUND(INDEX('PROJETO PERFURAÇÃO'!$AB:$AB,MATCH(MEDIÇÃO!K632,'PROJETO PERFURAÇÃO'!$B:$B,0)),1)&amp;"''","")</f>
        <v/>
      </c>
      <c r="J632" s="3" t="str">
        <f>IFERROR(IF(INDEX('PROJETO PERFURAÇÃO'!$P:$P,MATCH(MEDIÇÃO!K632,'PROJETO PERFURAÇÃO'!$B:$B,0))="Production","P",IF(INDEX('PROJETO PERFURAÇÃO'!$P:$P,MATCH(MEDIÇÃO!K632,'PROJETO PERFURAÇÃO'!$B:$B,0))="Buffer","B",IF(INDEX('PROJETO PERFURAÇÃO'!$P:$P,MATCH(MEDIÇÃO!K632,'PROJETO PERFURAÇÃO'!$B:$B,0))="Pre-Splitting","S"))),"")</f>
        <v/>
      </c>
      <c r="K632" s="14">
        <f t="shared" si="61"/>
        <v>1411</v>
      </c>
      <c r="L632" s="4" t="str">
        <f>IFERROR(INDEX('LEV R&amp;D'!$D:$D,MATCH(MEDIÇÃO!K632,'LEV R&amp;D'!$A:$A,0))-INDEX('PROJETO PERFURAÇÃO'!$AH:$AH,MATCH(MEDIÇÃO!K632,'PROJETO PERFURAÇÃO'!$B:$B,0)),"")</f>
        <v/>
      </c>
      <c r="M632" s="8" t="str">
        <f>IFERROR(INDEX('PROJETO PERFURAÇÃO'!$AN:$AN,MATCH(MEDIÇÃO!K632,'PROJETO PERFURAÇÃO'!$B:$B,0)),"")</f>
        <v/>
      </c>
      <c r="N632" s="3"/>
      <c r="O632" s="3"/>
      <c r="P632" s="3" t="str">
        <f>IFERROR(ROUND(INDEX('PROJETO PERFURAÇÃO'!$AB:$AB,MATCH(MEDIÇÃO!R632,'PROJETO PERFURAÇÃO'!$B:$B,0)),1)&amp;"''","")</f>
        <v/>
      </c>
      <c r="Q632" s="3" t="str">
        <f>IFERROR(IF(INDEX('PROJETO PERFURAÇÃO'!$P:$P,MATCH(MEDIÇÃO!R632,'PROJETO PERFURAÇÃO'!$B:$B,0))="Production","P",IF(INDEX('PROJETO PERFURAÇÃO'!$P:$P,MATCH(MEDIÇÃO!R632,'PROJETO PERFURAÇÃO'!$B:$B,0))="Buffer","B",IF(INDEX('PROJETO PERFURAÇÃO'!$P:$P,MATCH(MEDIÇÃO!R632,'PROJETO PERFURAÇÃO'!$B:$B,0))="Pre-Splitting","S"))),"")</f>
        <v/>
      </c>
      <c r="R632" s="14">
        <f t="shared" si="62"/>
        <v>1434</v>
      </c>
      <c r="S632" s="4" t="str">
        <f>IFERROR(INDEX('LEV R&amp;D'!$D:$D,MATCH(MEDIÇÃO!R632,'LEV R&amp;D'!$A:$A,0))-INDEX('PROJETO PERFURAÇÃO'!$AH:$AH,MATCH(MEDIÇÃO!R632,'PROJETO PERFURAÇÃO'!$B:$B,0)),"")</f>
        <v/>
      </c>
      <c r="T632" s="8" t="str">
        <f>IFERROR(INDEX('PROJETO PERFURAÇÃO'!$AN:$AN,MATCH(MEDIÇÃO!R632,'PROJETO PERFURAÇÃO'!$B:$B,0)),"")</f>
        <v/>
      </c>
      <c r="U632" s="3"/>
      <c r="V632" s="3"/>
    </row>
    <row r="633" spans="2:22" ht="45" customHeight="1" x14ac:dyDescent="0.25">
      <c r="B633" s="3" t="str">
        <f>IFERROR(ROUND(INDEX('PROJETO PERFURAÇÃO'!$AB:$AB,MATCH(MEDIÇÃO!D633,'PROJETO PERFURAÇÃO'!$B:$B,0)),1)&amp;"''","")</f>
        <v/>
      </c>
      <c r="C633" s="3" t="str">
        <f>IFERROR(IF(INDEX('PROJETO PERFURAÇÃO'!$P:$P,MATCH(MEDIÇÃO!D633,'PROJETO PERFURAÇÃO'!$B:$B,0))="Production","P",IF(INDEX('PROJETO PERFURAÇÃO'!$P:$P,MATCH(MEDIÇÃO!D633,'PROJETO PERFURAÇÃO'!$B:$B,0))="Buffer","B",IF(INDEX('PROJETO PERFURAÇÃO'!$P:$P,MATCH(MEDIÇÃO!D633,'PROJETO PERFURAÇÃO'!$B:$B,0))="Pre-Splitting","S"))),"")</f>
        <v/>
      </c>
      <c r="D633" s="14">
        <f t="shared" si="60"/>
        <v>1389</v>
      </c>
      <c r="E633" s="4" t="str">
        <f>IFERROR(INDEX('LEV R&amp;D'!$D:$D,MATCH(MEDIÇÃO!D633,'LEV R&amp;D'!$A:$A,0))-INDEX('PROJETO PERFURAÇÃO'!$AH:$AH,MATCH(MEDIÇÃO!D633,'PROJETO PERFURAÇÃO'!$B:$B,0)),"")</f>
        <v/>
      </c>
      <c r="F633" s="8" t="str">
        <f>IFERROR(INDEX('PROJETO PERFURAÇÃO'!$AN:$AN,MATCH(MEDIÇÃO!D633,'PROJETO PERFURAÇÃO'!$B:$B,0)),"")</f>
        <v/>
      </c>
      <c r="G633" s="3"/>
      <c r="H633" s="3"/>
      <c r="I633" s="3" t="str">
        <f>IFERROR(ROUND(INDEX('PROJETO PERFURAÇÃO'!$AB:$AB,MATCH(MEDIÇÃO!K633,'PROJETO PERFURAÇÃO'!$B:$B,0)),1)&amp;"''","")</f>
        <v/>
      </c>
      <c r="J633" s="3" t="str">
        <f>IFERROR(IF(INDEX('PROJETO PERFURAÇÃO'!$P:$P,MATCH(MEDIÇÃO!K633,'PROJETO PERFURAÇÃO'!$B:$B,0))="Production","P",IF(INDEX('PROJETO PERFURAÇÃO'!$P:$P,MATCH(MEDIÇÃO!K633,'PROJETO PERFURAÇÃO'!$B:$B,0))="Buffer","B",IF(INDEX('PROJETO PERFURAÇÃO'!$P:$P,MATCH(MEDIÇÃO!K633,'PROJETO PERFURAÇÃO'!$B:$B,0))="Pre-Splitting","S"))),"")</f>
        <v/>
      </c>
      <c r="K633" s="14">
        <f t="shared" si="61"/>
        <v>1412</v>
      </c>
      <c r="L633" s="4" t="str">
        <f>IFERROR(INDEX('LEV R&amp;D'!$D:$D,MATCH(MEDIÇÃO!K633,'LEV R&amp;D'!$A:$A,0))-INDEX('PROJETO PERFURAÇÃO'!$AH:$AH,MATCH(MEDIÇÃO!K633,'PROJETO PERFURAÇÃO'!$B:$B,0)),"")</f>
        <v/>
      </c>
      <c r="M633" s="8" t="str">
        <f>IFERROR(INDEX('PROJETO PERFURAÇÃO'!$AN:$AN,MATCH(MEDIÇÃO!K633,'PROJETO PERFURAÇÃO'!$B:$B,0)),"")</f>
        <v/>
      </c>
      <c r="N633" s="3"/>
      <c r="O633" s="3"/>
      <c r="P633" s="3" t="str">
        <f>IFERROR(ROUND(INDEX('PROJETO PERFURAÇÃO'!$AB:$AB,MATCH(MEDIÇÃO!R633,'PROJETO PERFURAÇÃO'!$B:$B,0)),1)&amp;"''","")</f>
        <v/>
      </c>
      <c r="Q633" s="3" t="str">
        <f>IFERROR(IF(INDEX('PROJETO PERFURAÇÃO'!$P:$P,MATCH(MEDIÇÃO!R633,'PROJETO PERFURAÇÃO'!$B:$B,0))="Production","P",IF(INDEX('PROJETO PERFURAÇÃO'!$P:$P,MATCH(MEDIÇÃO!R633,'PROJETO PERFURAÇÃO'!$B:$B,0))="Buffer","B",IF(INDEX('PROJETO PERFURAÇÃO'!$P:$P,MATCH(MEDIÇÃO!R633,'PROJETO PERFURAÇÃO'!$B:$B,0))="Pre-Splitting","S"))),"")</f>
        <v/>
      </c>
      <c r="R633" s="14">
        <f t="shared" si="62"/>
        <v>1435</v>
      </c>
      <c r="S633" s="4" t="str">
        <f>IFERROR(INDEX('LEV R&amp;D'!$D:$D,MATCH(MEDIÇÃO!R633,'LEV R&amp;D'!$A:$A,0))-INDEX('PROJETO PERFURAÇÃO'!$AH:$AH,MATCH(MEDIÇÃO!R633,'PROJETO PERFURAÇÃO'!$B:$B,0)),"")</f>
        <v/>
      </c>
      <c r="T633" s="8" t="str">
        <f>IFERROR(INDEX('PROJETO PERFURAÇÃO'!$AN:$AN,MATCH(MEDIÇÃO!R633,'PROJETO PERFURAÇÃO'!$B:$B,0)),"")</f>
        <v/>
      </c>
      <c r="U633" s="3"/>
      <c r="V633" s="3"/>
    </row>
    <row r="634" spans="2:22" ht="45" customHeight="1" x14ac:dyDescent="0.25">
      <c r="B634" s="3" t="str">
        <f>IFERROR(ROUND(INDEX('PROJETO PERFURAÇÃO'!$AB:$AB,MATCH(MEDIÇÃO!D634,'PROJETO PERFURAÇÃO'!$B:$B,0)),1)&amp;"''","")</f>
        <v/>
      </c>
      <c r="C634" s="3" t="str">
        <f>IFERROR(IF(INDEX('PROJETO PERFURAÇÃO'!$P:$P,MATCH(MEDIÇÃO!D634,'PROJETO PERFURAÇÃO'!$B:$B,0))="Production","P",IF(INDEX('PROJETO PERFURAÇÃO'!$P:$P,MATCH(MEDIÇÃO!D634,'PROJETO PERFURAÇÃO'!$B:$B,0))="Buffer","B",IF(INDEX('PROJETO PERFURAÇÃO'!$P:$P,MATCH(MEDIÇÃO!D634,'PROJETO PERFURAÇÃO'!$B:$B,0))="Pre-Splitting","S"))),"")</f>
        <v/>
      </c>
      <c r="D634" s="14">
        <f t="shared" si="60"/>
        <v>1390</v>
      </c>
      <c r="E634" s="4" t="str">
        <f>IFERROR(INDEX('LEV R&amp;D'!$D:$D,MATCH(MEDIÇÃO!D634,'LEV R&amp;D'!$A:$A,0))-INDEX('PROJETO PERFURAÇÃO'!$AH:$AH,MATCH(MEDIÇÃO!D634,'PROJETO PERFURAÇÃO'!$B:$B,0)),"")</f>
        <v/>
      </c>
      <c r="F634" s="8" t="str">
        <f>IFERROR(INDEX('PROJETO PERFURAÇÃO'!$AN:$AN,MATCH(MEDIÇÃO!D634,'PROJETO PERFURAÇÃO'!$B:$B,0)),"")</f>
        <v/>
      </c>
      <c r="G634" s="3"/>
      <c r="H634" s="3"/>
      <c r="I634" s="3" t="str">
        <f>IFERROR(ROUND(INDEX('PROJETO PERFURAÇÃO'!$AB:$AB,MATCH(MEDIÇÃO!K634,'PROJETO PERFURAÇÃO'!$B:$B,0)),1)&amp;"''","")</f>
        <v/>
      </c>
      <c r="J634" s="3" t="str">
        <f>IFERROR(IF(INDEX('PROJETO PERFURAÇÃO'!$P:$P,MATCH(MEDIÇÃO!K634,'PROJETO PERFURAÇÃO'!$B:$B,0))="Production","P",IF(INDEX('PROJETO PERFURAÇÃO'!$P:$P,MATCH(MEDIÇÃO!K634,'PROJETO PERFURAÇÃO'!$B:$B,0))="Buffer","B",IF(INDEX('PROJETO PERFURAÇÃO'!$P:$P,MATCH(MEDIÇÃO!K634,'PROJETO PERFURAÇÃO'!$B:$B,0))="Pre-Splitting","S"))),"")</f>
        <v/>
      </c>
      <c r="K634" s="14">
        <f t="shared" si="61"/>
        <v>1413</v>
      </c>
      <c r="L634" s="4" t="str">
        <f>IFERROR(INDEX('LEV R&amp;D'!$D:$D,MATCH(MEDIÇÃO!K634,'LEV R&amp;D'!$A:$A,0))-INDEX('PROJETO PERFURAÇÃO'!$AH:$AH,MATCH(MEDIÇÃO!K634,'PROJETO PERFURAÇÃO'!$B:$B,0)),"")</f>
        <v/>
      </c>
      <c r="M634" s="8" t="str">
        <f>IFERROR(INDEX('PROJETO PERFURAÇÃO'!$AN:$AN,MATCH(MEDIÇÃO!K634,'PROJETO PERFURAÇÃO'!$B:$B,0)),"")</f>
        <v/>
      </c>
      <c r="N634" s="3"/>
      <c r="O634" s="3"/>
      <c r="P634" s="3" t="str">
        <f>IFERROR(ROUND(INDEX('PROJETO PERFURAÇÃO'!$AB:$AB,MATCH(MEDIÇÃO!R634,'PROJETO PERFURAÇÃO'!$B:$B,0)),1)&amp;"''","")</f>
        <v/>
      </c>
      <c r="Q634" s="3" t="str">
        <f>IFERROR(IF(INDEX('PROJETO PERFURAÇÃO'!$P:$P,MATCH(MEDIÇÃO!R634,'PROJETO PERFURAÇÃO'!$B:$B,0))="Production","P",IF(INDEX('PROJETO PERFURAÇÃO'!$P:$P,MATCH(MEDIÇÃO!R634,'PROJETO PERFURAÇÃO'!$B:$B,0))="Buffer","B",IF(INDEX('PROJETO PERFURAÇÃO'!$P:$P,MATCH(MEDIÇÃO!R634,'PROJETO PERFURAÇÃO'!$B:$B,0))="Pre-Splitting","S"))),"")</f>
        <v/>
      </c>
      <c r="R634" s="14">
        <f t="shared" si="62"/>
        <v>1436</v>
      </c>
      <c r="S634" s="4" t="str">
        <f>IFERROR(INDEX('LEV R&amp;D'!$D:$D,MATCH(MEDIÇÃO!R634,'LEV R&amp;D'!$A:$A,0))-INDEX('PROJETO PERFURAÇÃO'!$AH:$AH,MATCH(MEDIÇÃO!R634,'PROJETO PERFURAÇÃO'!$B:$B,0)),"")</f>
        <v/>
      </c>
      <c r="T634" s="8" t="str">
        <f>IFERROR(INDEX('PROJETO PERFURAÇÃO'!$AN:$AN,MATCH(MEDIÇÃO!R634,'PROJETO PERFURAÇÃO'!$B:$B,0)),"")</f>
        <v/>
      </c>
      <c r="U634" s="3"/>
      <c r="V634" s="3"/>
    </row>
    <row r="635" spans="2:22" ht="45" customHeight="1" x14ac:dyDescent="0.25">
      <c r="B635" s="3" t="str">
        <f>IFERROR(ROUND(INDEX('PROJETO PERFURAÇÃO'!$AB:$AB,MATCH(MEDIÇÃO!D635,'PROJETO PERFURAÇÃO'!$B:$B,0)),1)&amp;"''","")</f>
        <v/>
      </c>
      <c r="C635" s="3" t="str">
        <f>IFERROR(IF(INDEX('PROJETO PERFURAÇÃO'!$P:$P,MATCH(MEDIÇÃO!D635,'PROJETO PERFURAÇÃO'!$B:$B,0))="Production","P",IF(INDEX('PROJETO PERFURAÇÃO'!$P:$P,MATCH(MEDIÇÃO!D635,'PROJETO PERFURAÇÃO'!$B:$B,0))="Buffer","B",IF(INDEX('PROJETO PERFURAÇÃO'!$P:$P,MATCH(MEDIÇÃO!D635,'PROJETO PERFURAÇÃO'!$B:$B,0))="Pre-Splitting","S"))),"")</f>
        <v/>
      </c>
      <c r="D635" s="14">
        <f t="shared" si="60"/>
        <v>1391</v>
      </c>
      <c r="E635" s="4" t="str">
        <f>IFERROR(INDEX('LEV R&amp;D'!$D:$D,MATCH(MEDIÇÃO!D635,'LEV R&amp;D'!$A:$A,0))-INDEX('PROJETO PERFURAÇÃO'!$AH:$AH,MATCH(MEDIÇÃO!D635,'PROJETO PERFURAÇÃO'!$B:$B,0)),"")</f>
        <v/>
      </c>
      <c r="F635" s="8" t="str">
        <f>IFERROR(INDEX('PROJETO PERFURAÇÃO'!$AN:$AN,MATCH(MEDIÇÃO!D635,'PROJETO PERFURAÇÃO'!$B:$B,0)),"")</f>
        <v/>
      </c>
      <c r="G635" s="3"/>
      <c r="H635" s="3"/>
      <c r="I635" s="3" t="str">
        <f>IFERROR(ROUND(INDEX('PROJETO PERFURAÇÃO'!$AB:$AB,MATCH(MEDIÇÃO!K635,'PROJETO PERFURAÇÃO'!$B:$B,0)),1)&amp;"''","")</f>
        <v/>
      </c>
      <c r="J635" s="3" t="str">
        <f>IFERROR(IF(INDEX('PROJETO PERFURAÇÃO'!$P:$P,MATCH(MEDIÇÃO!K635,'PROJETO PERFURAÇÃO'!$B:$B,0))="Production","P",IF(INDEX('PROJETO PERFURAÇÃO'!$P:$P,MATCH(MEDIÇÃO!K635,'PROJETO PERFURAÇÃO'!$B:$B,0))="Buffer","B",IF(INDEX('PROJETO PERFURAÇÃO'!$P:$P,MATCH(MEDIÇÃO!K635,'PROJETO PERFURAÇÃO'!$B:$B,0))="Pre-Splitting","S"))),"")</f>
        <v/>
      </c>
      <c r="K635" s="14">
        <f t="shared" si="61"/>
        <v>1414</v>
      </c>
      <c r="L635" s="4" t="str">
        <f>IFERROR(INDEX('LEV R&amp;D'!$D:$D,MATCH(MEDIÇÃO!K635,'LEV R&amp;D'!$A:$A,0))-INDEX('PROJETO PERFURAÇÃO'!$AH:$AH,MATCH(MEDIÇÃO!K635,'PROJETO PERFURAÇÃO'!$B:$B,0)),"")</f>
        <v/>
      </c>
      <c r="M635" s="8" t="str">
        <f>IFERROR(INDEX('PROJETO PERFURAÇÃO'!$AN:$AN,MATCH(MEDIÇÃO!K635,'PROJETO PERFURAÇÃO'!$B:$B,0)),"")</f>
        <v/>
      </c>
      <c r="N635" s="3"/>
      <c r="O635" s="3"/>
      <c r="P635" s="3" t="str">
        <f>IFERROR(ROUND(INDEX('PROJETO PERFURAÇÃO'!$AB:$AB,MATCH(MEDIÇÃO!R635,'PROJETO PERFURAÇÃO'!$B:$B,0)),1)&amp;"''","")</f>
        <v/>
      </c>
      <c r="Q635" s="3" t="str">
        <f>IFERROR(IF(INDEX('PROJETO PERFURAÇÃO'!$P:$P,MATCH(MEDIÇÃO!R635,'PROJETO PERFURAÇÃO'!$B:$B,0))="Production","P",IF(INDEX('PROJETO PERFURAÇÃO'!$P:$P,MATCH(MEDIÇÃO!R635,'PROJETO PERFURAÇÃO'!$B:$B,0))="Buffer","B",IF(INDEX('PROJETO PERFURAÇÃO'!$P:$P,MATCH(MEDIÇÃO!R635,'PROJETO PERFURAÇÃO'!$B:$B,0))="Pre-Splitting","S"))),"")</f>
        <v/>
      </c>
      <c r="R635" s="14">
        <f t="shared" si="62"/>
        <v>1437</v>
      </c>
      <c r="S635" s="4" t="str">
        <f>IFERROR(INDEX('LEV R&amp;D'!$D:$D,MATCH(MEDIÇÃO!R635,'LEV R&amp;D'!$A:$A,0))-INDEX('PROJETO PERFURAÇÃO'!$AH:$AH,MATCH(MEDIÇÃO!R635,'PROJETO PERFURAÇÃO'!$B:$B,0)),"")</f>
        <v/>
      </c>
      <c r="T635" s="8" t="str">
        <f>IFERROR(INDEX('PROJETO PERFURAÇÃO'!$AN:$AN,MATCH(MEDIÇÃO!R635,'PROJETO PERFURAÇÃO'!$B:$B,0)),"")</f>
        <v/>
      </c>
      <c r="U635" s="3"/>
      <c r="V635" s="3"/>
    </row>
    <row r="636" spans="2:22" ht="45" customHeight="1" x14ac:dyDescent="0.25">
      <c r="B636" s="3" t="str">
        <f>IFERROR(ROUND(INDEX('PROJETO PERFURAÇÃO'!$AB:$AB,MATCH(MEDIÇÃO!D636,'PROJETO PERFURAÇÃO'!$B:$B,0)),1)&amp;"''","")</f>
        <v/>
      </c>
      <c r="C636" s="3" t="str">
        <f>IFERROR(IF(INDEX('PROJETO PERFURAÇÃO'!$P:$P,MATCH(MEDIÇÃO!D636,'PROJETO PERFURAÇÃO'!$B:$B,0))="Production","P",IF(INDEX('PROJETO PERFURAÇÃO'!$P:$P,MATCH(MEDIÇÃO!D636,'PROJETO PERFURAÇÃO'!$B:$B,0))="Buffer","B",IF(INDEX('PROJETO PERFURAÇÃO'!$P:$P,MATCH(MEDIÇÃO!D636,'PROJETO PERFURAÇÃO'!$B:$B,0))="Pre-Splitting","S"))),"")</f>
        <v/>
      </c>
      <c r="D636" s="14">
        <f t="shared" si="60"/>
        <v>1392</v>
      </c>
      <c r="E636" s="4" t="str">
        <f>IFERROR(INDEX('LEV R&amp;D'!$D:$D,MATCH(MEDIÇÃO!D636,'LEV R&amp;D'!$A:$A,0))-INDEX('PROJETO PERFURAÇÃO'!$AH:$AH,MATCH(MEDIÇÃO!D636,'PROJETO PERFURAÇÃO'!$B:$B,0)),"")</f>
        <v/>
      </c>
      <c r="F636" s="8" t="str">
        <f>IFERROR(INDEX('PROJETO PERFURAÇÃO'!$AN:$AN,MATCH(MEDIÇÃO!D636,'PROJETO PERFURAÇÃO'!$B:$B,0)),"")</f>
        <v/>
      </c>
      <c r="G636" s="3"/>
      <c r="H636" s="3"/>
      <c r="I636" s="3" t="str">
        <f>IFERROR(ROUND(INDEX('PROJETO PERFURAÇÃO'!$AB:$AB,MATCH(MEDIÇÃO!K636,'PROJETO PERFURAÇÃO'!$B:$B,0)),1)&amp;"''","")</f>
        <v/>
      </c>
      <c r="J636" s="3" t="str">
        <f>IFERROR(IF(INDEX('PROJETO PERFURAÇÃO'!$P:$P,MATCH(MEDIÇÃO!K636,'PROJETO PERFURAÇÃO'!$B:$B,0))="Production","P",IF(INDEX('PROJETO PERFURAÇÃO'!$P:$P,MATCH(MEDIÇÃO!K636,'PROJETO PERFURAÇÃO'!$B:$B,0))="Buffer","B",IF(INDEX('PROJETO PERFURAÇÃO'!$P:$P,MATCH(MEDIÇÃO!K636,'PROJETO PERFURAÇÃO'!$B:$B,0))="Pre-Splitting","S"))),"")</f>
        <v/>
      </c>
      <c r="K636" s="14">
        <f t="shared" si="61"/>
        <v>1415</v>
      </c>
      <c r="L636" s="4" t="str">
        <f>IFERROR(INDEX('LEV R&amp;D'!$D:$D,MATCH(MEDIÇÃO!K636,'LEV R&amp;D'!$A:$A,0))-INDEX('PROJETO PERFURAÇÃO'!$AH:$AH,MATCH(MEDIÇÃO!K636,'PROJETO PERFURAÇÃO'!$B:$B,0)),"")</f>
        <v/>
      </c>
      <c r="M636" s="8" t="str">
        <f>IFERROR(INDEX('PROJETO PERFURAÇÃO'!$AN:$AN,MATCH(MEDIÇÃO!K636,'PROJETO PERFURAÇÃO'!$B:$B,0)),"")</f>
        <v/>
      </c>
      <c r="N636" s="3"/>
      <c r="O636" s="3"/>
      <c r="P636" s="3" t="str">
        <f>IFERROR(ROUND(INDEX('PROJETO PERFURAÇÃO'!$AB:$AB,MATCH(MEDIÇÃO!R636,'PROJETO PERFURAÇÃO'!$B:$B,0)),1)&amp;"''","")</f>
        <v/>
      </c>
      <c r="Q636" s="3" t="str">
        <f>IFERROR(IF(INDEX('PROJETO PERFURAÇÃO'!$P:$P,MATCH(MEDIÇÃO!R636,'PROJETO PERFURAÇÃO'!$B:$B,0))="Production","P",IF(INDEX('PROJETO PERFURAÇÃO'!$P:$P,MATCH(MEDIÇÃO!R636,'PROJETO PERFURAÇÃO'!$B:$B,0))="Buffer","B",IF(INDEX('PROJETO PERFURAÇÃO'!$P:$P,MATCH(MEDIÇÃO!R636,'PROJETO PERFURAÇÃO'!$B:$B,0))="Pre-Splitting","S"))),"")</f>
        <v/>
      </c>
      <c r="R636" s="14">
        <f t="shared" si="62"/>
        <v>1438</v>
      </c>
      <c r="S636" s="4" t="str">
        <f>IFERROR(INDEX('LEV R&amp;D'!$D:$D,MATCH(MEDIÇÃO!R636,'LEV R&amp;D'!$A:$A,0))-INDEX('PROJETO PERFURAÇÃO'!$AH:$AH,MATCH(MEDIÇÃO!R636,'PROJETO PERFURAÇÃO'!$B:$B,0)),"")</f>
        <v/>
      </c>
      <c r="T636" s="8" t="str">
        <f>IFERROR(INDEX('PROJETO PERFURAÇÃO'!$AN:$AN,MATCH(MEDIÇÃO!R636,'PROJETO PERFURAÇÃO'!$B:$B,0)),"")</f>
        <v/>
      </c>
      <c r="U636" s="3"/>
      <c r="V636" s="3"/>
    </row>
    <row r="637" spans="2:22" ht="45" customHeight="1" x14ac:dyDescent="0.25">
      <c r="B637" s="3" t="str">
        <f>IFERROR(ROUND(INDEX('PROJETO PERFURAÇÃO'!$AB:$AB,MATCH(MEDIÇÃO!D637,'PROJETO PERFURAÇÃO'!$B:$B,0)),1)&amp;"''","")</f>
        <v/>
      </c>
      <c r="C637" s="3" t="str">
        <f>IFERROR(IF(INDEX('PROJETO PERFURAÇÃO'!$P:$P,MATCH(MEDIÇÃO!D637,'PROJETO PERFURAÇÃO'!$B:$B,0))="Production","P",IF(INDEX('PROJETO PERFURAÇÃO'!$P:$P,MATCH(MEDIÇÃO!D637,'PROJETO PERFURAÇÃO'!$B:$B,0))="Buffer","B",IF(INDEX('PROJETO PERFURAÇÃO'!$P:$P,MATCH(MEDIÇÃO!D637,'PROJETO PERFURAÇÃO'!$B:$B,0))="Pre-Splitting","S"))),"")</f>
        <v/>
      </c>
      <c r="D637" s="14">
        <f t="shared" si="60"/>
        <v>1393</v>
      </c>
      <c r="E637" s="4" t="str">
        <f>IFERROR(INDEX('LEV R&amp;D'!$D:$D,MATCH(MEDIÇÃO!D637,'LEV R&amp;D'!$A:$A,0))-INDEX('PROJETO PERFURAÇÃO'!$AH:$AH,MATCH(MEDIÇÃO!D637,'PROJETO PERFURAÇÃO'!$B:$B,0)),"")</f>
        <v/>
      </c>
      <c r="F637" s="8" t="str">
        <f>IFERROR(INDEX('PROJETO PERFURAÇÃO'!$AN:$AN,MATCH(MEDIÇÃO!D637,'PROJETO PERFURAÇÃO'!$B:$B,0)),"")</f>
        <v/>
      </c>
      <c r="G637" s="3"/>
      <c r="H637" s="3"/>
      <c r="I637" s="3" t="str">
        <f>IFERROR(ROUND(INDEX('PROJETO PERFURAÇÃO'!$AB:$AB,MATCH(MEDIÇÃO!K637,'PROJETO PERFURAÇÃO'!$B:$B,0)),1)&amp;"''","")</f>
        <v/>
      </c>
      <c r="J637" s="3" t="str">
        <f>IFERROR(IF(INDEX('PROJETO PERFURAÇÃO'!$P:$P,MATCH(MEDIÇÃO!K637,'PROJETO PERFURAÇÃO'!$B:$B,0))="Production","P",IF(INDEX('PROJETO PERFURAÇÃO'!$P:$P,MATCH(MEDIÇÃO!K637,'PROJETO PERFURAÇÃO'!$B:$B,0))="Buffer","B",IF(INDEX('PROJETO PERFURAÇÃO'!$P:$P,MATCH(MEDIÇÃO!K637,'PROJETO PERFURAÇÃO'!$B:$B,0))="Pre-Splitting","S"))),"")</f>
        <v/>
      </c>
      <c r="K637" s="14">
        <f t="shared" si="61"/>
        <v>1416</v>
      </c>
      <c r="L637" s="4" t="str">
        <f>IFERROR(INDEX('LEV R&amp;D'!$D:$D,MATCH(MEDIÇÃO!K637,'LEV R&amp;D'!$A:$A,0))-INDEX('PROJETO PERFURAÇÃO'!$AH:$AH,MATCH(MEDIÇÃO!K637,'PROJETO PERFURAÇÃO'!$B:$B,0)),"")</f>
        <v/>
      </c>
      <c r="M637" s="8" t="str">
        <f>IFERROR(INDEX('PROJETO PERFURAÇÃO'!$AN:$AN,MATCH(MEDIÇÃO!K637,'PROJETO PERFURAÇÃO'!$B:$B,0)),"")</f>
        <v/>
      </c>
      <c r="N637" s="3"/>
      <c r="O637" s="3"/>
      <c r="P637" s="3" t="str">
        <f>IFERROR(ROUND(INDEX('PROJETO PERFURAÇÃO'!$AB:$AB,MATCH(MEDIÇÃO!R637,'PROJETO PERFURAÇÃO'!$B:$B,0)),1)&amp;"''","")</f>
        <v/>
      </c>
      <c r="Q637" s="3" t="str">
        <f>IFERROR(IF(INDEX('PROJETO PERFURAÇÃO'!$P:$P,MATCH(MEDIÇÃO!R637,'PROJETO PERFURAÇÃO'!$B:$B,0))="Production","P",IF(INDEX('PROJETO PERFURAÇÃO'!$P:$P,MATCH(MEDIÇÃO!R637,'PROJETO PERFURAÇÃO'!$B:$B,0))="Buffer","B",IF(INDEX('PROJETO PERFURAÇÃO'!$P:$P,MATCH(MEDIÇÃO!R637,'PROJETO PERFURAÇÃO'!$B:$B,0))="Pre-Splitting","S"))),"")</f>
        <v/>
      </c>
      <c r="R637" s="14">
        <f t="shared" si="62"/>
        <v>1439</v>
      </c>
      <c r="S637" s="4" t="str">
        <f>IFERROR(INDEX('LEV R&amp;D'!$D:$D,MATCH(MEDIÇÃO!R637,'LEV R&amp;D'!$A:$A,0))-INDEX('PROJETO PERFURAÇÃO'!$AH:$AH,MATCH(MEDIÇÃO!R637,'PROJETO PERFURAÇÃO'!$B:$B,0)),"")</f>
        <v/>
      </c>
      <c r="T637" s="8" t="str">
        <f>IFERROR(INDEX('PROJETO PERFURAÇÃO'!$AN:$AN,MATCH(MEDIÇÃO!R637,'PROJETO PERFURAÇÃO'!$B:$B,0)),"")</f>
        <v/>
      </c>
      <c r="U637" s="3"/>
      <c r="V637" s="3"/>
    </row>
    <row r="638" spans="2:22" ht="45" customHeight="1" x14ac:dyDescent="0.25">
      <c r="B638" s="3" t="str">
        <f>IFERROR(ROUND(INDEX('PROJETO PERFURAÇÃO'!$AB:$AB,MATCH(MEDIÇÃO!D638,'PROJETO PERFURAÇÃO'!$B:$B,0)),1)&amp;"''","")</f>
        <v/>
      </c>
      <c r="C638" s="3" t="str">
        <f>IFERROR(IF(INDEX('PROJETO PERFURAÇÃO'!$P:$P,MATCH(MEDIÇÃO!D638,'PROJETO PERFURAÇÃO'!$B:$B,0))="Production","P",IF(INDEX('PROJETO PERFURAÇÃO'!$P:$P,MATCH(MEDIÇÃO!D638,'PROJETO PERFURAÇÃO'!$B:$B,0))="Buffer","B",IF(INDEX('PROJETO PERFURAÇÃO'!$P:$P,MATCH(MEDIÇÃO!D638,'PROJETO PERFURAÇÃO'!$B:$B,0))="Pre-Splitting","S"))),"")</f>
        <v/>
      </c>
      <c r="D638" s="14">
        <f t="shared" si="60"/>
        <v>1394</v>
      </c>
      <c r="E638" s="4" t="str">
        <f>IFERROR(INDEX('LEV R&amp;D'!$D:$D,MATCH(MEDIÇÃO!D638,'LEV R&amp;D'!$A:$A,0))-INDEX('PROJETO PERFURAÇÃO'!$AH:$AH,MATCH(MEDIÇÃO!D638,'PROJETO PERFURAÇÃO'!$B:$B,0)),"")</f>
        <v/>
      </c>
      <c r="F638" s="8" t="str">
        <f>IFERROR(INDEX('PROJETO PERFURAÇÃO'!$AN:$AN,MATCH(MEDIÇÃO!D638,'PROJETO PERFURAÇÃO'!$B:$B,0)),"")</f>
        <v/>
      </c>
      <c r="G638" s="3"/>
      <c r="H638" s="3"/>
      <c r="I638" s="3" t="str">
        <f>IFERROR(ROUND(INDEX('PROJETO PERFURAÇÃO'!$AB:$AB,MATCH(MEDIÇÃO!K638,'PROJETO PERFURAÇÃO'!$B:$B,0)),1)&amp;"''","")</f>
        <v/>
      </c>
      <c r="J638" s="3" t="str">
        <f>IFERROR(IF(INDEX('PROJETO PERFURAÇÃO'!$P:$P,MATCH(MEDIÇÃO!K638,'PROJETO PERFURAÇÃO'!$B:$B,0))="Production","P",IF(INDEX('PROJETO PERFURAÇÃO'!$P:$P,MATCH(MEDIÇÃO!K638,'PROJETO PERFURAÇÃO'!$B:$B,0))="Buffer","B",IF(INDEX('PROJETO PERFURAÇÃO'!$P:$P,MATCH(MEDIÇÃO!K638,'PROJETO PERFURAÇÃO'!$B:$B,0))="Pre-Splitting","S"))),"")</f>
        <v/>
      </c>
      <c r="K638" s="14">
        <f t="shared" si="61"/>
        <v>1417</v>
      </c>
      <c r="L638" s="4" t="str">
        <f>IFERROR(INDEX('LEV R&amp;D'!$D:$D,MATCH(MEDIÇÃO!K638,'LEV R&amp;D'!$A:$A,0))-INDEX('PROJETO PERFURAÇÃO'!$AH:$AH,MATCH(MEDIÇÃO!K638,'PROJETO PERFURAÇÃO'!$B:$B,0)),"")</f>
        <v/>
      </c>
      <c r="M638" s="8" t="str">
        <f>IFERROR(INDEX('PROJETO PERFURAÇÃO'!$AN:$AN,MATCH(MEDIÇÃO!K638,'PROJETO PERFURAÇÃO'!$B:$B,0)),"")</f>
        <v/>
      </c>
      <c r="N638" s="3"/>
      <c r="O638" s="3"/>
      <c r="P638" s="3" t="str">
        <f>IFERROR(ROUND(INDEX('PROJETO PERFURAÇÃO'!$AB:$AB,MATCH(MEDIÇÃO!R638,'PROJETO PERFURAÇÃO'!$B:$B,0)),1)&amp;"''","")</f>
        <v/>
      </c>
      <c r="Q638" s="3" t="str">
        <f>IFERROR(IF(INDEX('PROJETO PERFURAÇÃO'!$P:$P,MATCH(MEDIÇÃO!R638,'PROJETO PERFURAÇÃO'!$B:$B,0))="Production","P",IF(INDEX('PROJETO PERFURAÇÃO'!$P:$P,MATCH(MEDIÇÃO!R638,'PROJETO PERFURAÇÃO'!$B:$B,0))="Buffer","B",IF(INDEX('PROJETO PERFURAÇÃO'!$P:$P,MATCH(MEDIÇÃO!R638,'PROJETO PERFURAÇÃO'!$B:$B,0))="Pre-Splitting","S"))),"")</f>
        <v/>
      </c>
      <c r="R638" s="14">
        <f t="shared" si="62"/>
        <v>1440</v>
      </c>
      <c r="S638" s="4" t="str">
        <f>IFERROR(INDEX('LEV R&amp;D'!$D:$D,MATCH(MEDIÇÃO!R638,'LEV R&amp;D'!$A:$A,0))-INDEX('PROJETO PERFURAÇÃO'!$AH:$AH,MATCH(MEDIÇÃO!R638,'PROJETO PERFURAÇÃO'!$B:$B,0)),"")</f>
        <v/>
      </c>
      <c r="T638" s="8" t="str">
        <f>IFERROR(INDEX('PROJETO PERFURAÇÃO'!$AN:$AN,MATCH(MEDIÇÃO!R638,'PROJETO PERFURAÇÃO'!$B:$B,0)),"")</f>
        <v/>
      </c>
      <c r="U638" s="3"/>
      <c r="V638" s="3"/>
    </row>
    <row r="639" spans="2:22" ht="45" customHeight="1" x14ac:dyDescent="0.25">
      <c r="B639" s="3" t="str">
        <f>IFERROR(ROUND(INDEX('PROJETO PERFURAÇÃO'!$AB:$AB,MATCH(MEDIÇÃO!D639,'PROJETO PERFURAÇÃO'!$B:$B,0)),1)&amp;"''","")</f>
        <v/>
      </c>
      <c r="C639" s="3" t="str">
        <f>IFERROR(IF(INDEX('PROJETO PERFURAÇÃO'!$P:$P,MATCH(MEDIÇÃO!D639,'PROJETO PERFURAÇÃO'!$B:$B,0))="Production","P",IF(INDEX('PROJETO PERFURAÇÃO'!$P:$P,MATCH(MEDIÇÃO!D639,'PROJETO PERFURAÇÃO'!$B:$B,0))="Buffer","B",IF(INDEX('PROJETO PERFURAÇÃO'!$P:$P,MATCH(MEDIÇÃO!D639,'PROJETO PERFURAÇÃO'!$B:$B,0))="Pre-Splitting","S"))),"")</f>
        <v/>
      </c>
      <c r="D639" s="14">
        <f t="shared" si="60"/>
        <v>1395</v>
      </c>
      <c r="E639" s="4" t="str">
        <f>IFERROR(INDEX('LEV R&amp;D'!$D:$D,MATCH(MEDIÇÃO!D639,'LEV R&amp;D'!$A:$A,0))-INDEX('PROJETO PERFURAÇÃO'!$AH:$AH,MATCH(MEDIÇÃO!D639,'PROJETO PERFURAÇÃO'!$B:$B,0)),"")</f>
        <v/>
      </c>
      <c r="F639" s="8" t="str">
        <f>IFERROR(INDEX('PROJETO PERFURAÇÃO'!$AN:$AN,MATCH(MEDIÇÃO!D639,'PROJETO PERFURAÇÃO'!$B:$B,0)),"")</f>
        <v/>
      </c>
      <c r="G639" s="3"/>
      <c r="H639" s="3"/>
      <c r="I639" s="3" t="str">
        <f>IFERROR(ROUND(INDEX('PROJETO PERFURAÇÃO'!$AB:$AB,MATCH(MEDIÇÃO!K639,'PROJETO PERFURAÇÃO'!$B:$B,0)),1)&amp;"''","")</f>
        <v/>
      </c>
      <c r="J639" s="3" t="str">
        <f>IFERROR(IF(INDEX('PROJETO PERFURAÇÃO'!$P:$P,MATCH(MEDIÇÃO!K639,'PROJETO PERFURAÇÃO'!$B:$B,0))="Production","P",IF(INDEX('PROJETO PERFURAÇÃO'!$P:$P,MATCH(MEDIÇÃO!K639,'PROJETO PERFURAÇÃO'!$B:$B,0))="Buffer","B",IF(INDEX('PROJETO PERFURAÇÃO'!$P:$P,MATCH(MEDIÇÃO!K639,'PROJETO PERFURAÇÃO'!$B:$B,0))="Pre-Splitting","S"))),"")</f>
        <v/>
      </c>
      <c r="K639" s="14">
        <f t="shared" si="61"/>
        <v>1418</v>
      </c>
      <c r="L639" s="4" t="str">
        <f>IFERROR(INDEX('LEV R&amp;D'!$D:$D,MATCH(MEDIÇÃO!K639,'LEV R&amp;D'!$A:$A,0))-INDEX('PROJETO PERFURAÇÃO'!$AH:$AH,MATCH(MEDIÇÃO!K639,'PROJETO PERFURAÇÃO'!$B:$B,0)),"")</f>
        <v/>
      </c>
      <c r="M639" s="8" t="str">
        <f>IFERROR(INDEX('PROJETO PERFURAÇÃO'!$AN:$AN,MATCH(MEDIÇÃO!K639,'PROJETO PERFURAÇÃO'!$B:$B,0)),"")</f>
        <v/>
      </c>
      <c r="N639" s="3"/>
      <c r="O639" s="3"/>
      <c r="P639" s="3" t="str">
        <f>IFERROR(ROUND(INDEX('PROJETO PERFURAÇÃO'!$AB:$AB,MATCH(MEDIÇÃO!R639,'PROJETO PERFURAÇÃO'!$B:$B,0)),1)&amp;"''","")</f>
        <v/>
      </c>
      <c r="Q639" s="3" t="str">
        <f>IFERROR(IF(INDEX('PROJETO PERFURAÇÃO'!$P:$P,MATCH(MEDIÇÃO!R639,'PROJETO PERFURAÇÃO'!$B:$B,0))="Production","P",IF(INDEX('PROJETO PERFURAÇÃO'!$P:$P,MATCH(MEDIÇÃO!R639,'PROJETO PERFURAÇÃO'!$B:$B,0))="Buffer","B",IF(INDEX('PROJETO PERFURAÇÃO'!$P:$P,MATCH(MEDIÇÃO!R639,'PROJETO PERFURAÇÃO'!$B:$B,0))="Pre-Splitting","S"))),"")</f>
        <v/>
      </c>
      <c r="R639" s="14">
        <f t="shared" si="62"/>
        <v>1441</v>
      </c>
      <c r="S639" s="4" t="str">
        <f>IFERROR(INDEX('LEV R&amp;D'!$D:$D,MATCH(MEDIÇÃO!R639,'LEV R&amp;D'!$A:$A,0))-INDEX('PROJETO PERFURAÇÃO'!$AH:$AH,MATCH(MEDIÇÃO!R639,'PROJETO PERFURAÇÃO'!$B:$B,0)),"")</f>
        <v/>
      </c>
      <c r="T639" s="8" t="str">
        <f>IFERROR(INDEX('PROJETO PERFURAÇÃO'!$AN:$AN,MATCH(MEDIÇÃO!R639,'PROJETO PERFURAÇÃO'!$B:$B,0)),"")</f>
        <v/>
      </c>
      <c r="U639" s="3"/>
      <c r="V639" s="3"/>
    </row>
    <row r="640" spans="2:22" ht="45" customHeight="1" x14ac:dyDescent="0.25">
      <c r="B640" s="3" t="str">
        <f>IFERROR(ROUND(INDEX('PROJETO PERFURAÇÃO'!$AB:$AB,MATCH(MEDIÇÃO!D640,'PROJETO PERFURAÇÃO'!$B:$B,0)),1)&amp;"''","")</f>
        <v/>
      </c>
      <c r="C640" s="3" t="str">
        <f>IFERROR(IF(INDEX('PROJETO PERFURAÇÃO'!$P:$P,MATCH(MEDIÇÃO!D640,'PROJETO PERFURAÇÃO'!$B:$B,0))="Production","P",IF(INDEX('PROJETO PERFURAÇÃO'!$P:$P,MATCH(MEDIÇÃO!D640,'PROJETO PERFURAÇÃO'!$B:$B,0))="Buffer","B",IF(INDEX('PROJETO PERFURAÇÃO'!$P:$P,MATCH(MEDIÇÃO!D640,'PROJETO PERFURAÇÃO'!$B:$B,0))="Pre-Splitting","S"))),"")</f>
        <v/>
      </c>
      <c r="D640" s="14">
        <f t="shared" si="60"/>
        <v>1396</v>
      </c>
      <c r="E640" s="4" t="str">
        <f>IFERROR(INDEX('LEV R&amp;D'!$D:$D,MATCH(MEDIÇÃO!D640,'LEV R&amp;D'!$A:$A,0))-INDEX('PROJETO PERFURAÇÃO'!$AH:$AH,MATCH(MEDIÇÃO!D640,'PROJETO PERFURAÇÃO'!$B:$B,0)),"")</f>
        <v/>
      </c>
      <c r="F640" s="8" t="str">
        <f>IFERROR(INDEX('PROJETO PERFURAÇÃO'!$AN:$AN,MATCH(MEDIÇÃO!D640,'PROJETO PERFURAÇÃO'!$B:$B,0)),"")</f>
        <v/>
      </c>
      <c r="G640" s="3"/>
      <c r="H640" s="3"/>
      <c r="I640" s="3" t="str">
        <f>IFERROR(ROUND(INDEX('PROJETO PERFURAÇÃO'!$AB:$AB,MATCH(MEDIÇÃO!K640,'PROJETO PERFURAÇÃO'!$B:$B,0)),1)&amp;"''","")</f>
        <v/>
      </c>
      <c r="J640" s="3" t="str">
        <f>IFERROR(IF(INDEX('PROJETO PERFURAÇÃO'!$P:$P,MATCH(MEDIÇÃO!K640,'PROJETO PERFURAÇÃO'!$B:$B,0))="Production","P",IF(INDEX('PROJETO PERFURAÇÃO'!$P:$P,MATCH(MEDIÇÃO!K640,'PROJETO PERFURAÇÃO'!$B:$B,0))="Buffer","B",IF(INDEX('PROJETO PERFURAÇÃO'!$P:$P,MATCH(MEDIÇÃO!K640,'PROJETO PERFURAÇÃO'!$B:$B,0))="Pre-Splitting","S"))),"")</f>
        <v/>
      </c>
      <c r="K640" s="14">
        <f t="shared" si="61"/>
        <v>1419</v>
      </c>
      <c r="L640" s="4" t="str">
        <f>IFERROR(INDEX('LEV R&amp;D'!$D:$D,MATCH(MEDIÇÃO!K640,'LEV R&amp;D'!$A:$A,0))-INDEX('PROJETO PERFURAÇÃO'!$AH:$AH,MATCH(MEDIÇÃO!K640,'PROJETO PERFURAÇÃO'!$B:$B,0)),"")</f>
        <v/>
      </c>
      <c r="M640" s="8" t="str">
        <f>IFERROR(INDEX('PROJETO PERFURAÇÃO'!$AN:$AN,MATCH(MEDIÇÃO!K640,'PROJETO PERFURAÇÃO'!$B:$B,0)),"")</f>
        <v/>
      </c>
      <c r="N640" s="3"/>
      <c r="O640" s="3"/>
      <c r="P640" s="3" t="str">
        <f>IFERROR(ROUND(INDEX('PROJETO PERFURAÇÃO'!$AB:$AB,MATCH(MEDIÇÃO!R640,'PROJETO PERFURAÇÃO'!$B:$B,0)),1)&amp;"''","")</f>
        <v/>
      </c>
      <c r="Q640" s="3" t="str">
        <f>IFERROR(IF(INDEX('PROJETO PERFURAÇÃO'!$P:$P,MATCH(MEDIÇÃO!R640,'PROJETO PERFURAÇÃO'!$B:$B,0))="Production","P",IF(INDEX('PROJETO PERFURAÇÃO'!$P:$P,MATCH(MEDIÇÃO!R640,'PROJETO PERFURAÇÃO'!$B:$B,0))="Buffer","B",IF(INDEX('PROJETO PERFURAÇÃO'!$P:$P,MATCH(MEDIÇÃO!R640,'PROJETO PERFURAÇÃO'!$B:$B,0))="Pre-Splitting","S"))),"")</f>
        <v/>
      </c>
      <c r="R640" s="14">
        <f t="shared" si="62"/>
        <v>1442</v>
      </c>
      <c r="S640" s="4" t="str">
        <f>IFERROR(INDEX('LEV R&amp;D'!$D:$D,MATCH(MEDIÇÃO!R640,'LEV R&amp;D'!$A:$A,0))-INDEX('PROJETO PERFURAÇÃO'!$AH:$AH,MATCH(MEDIÇÃO!R640,'PROJETO PERFURAÇÃO'!$B:$B,0)),"")</f>
        <v/>
      </c>
      <c r="T640" s="8" t="str">
        <f>IFERROR(INDEX('PROJETO PERFURAÇÃO'!$AN:$AN,MATCH(MEDIÇÃO!R640,'PROJETO PERFURAÇÃO'!$B:$B,0)),"")</f>
        <v/>
      </c>
      <c r="U640" s="3"/>
      <c r="V640" s="3"/>
    </row>
    <row r="641" spans="1:23" ht="45" customHeight="1" x14ac:dyDescent="0.25">
      <c r="B641" s="3" t="str">
        <f>IFERROR(ROUND(INDEX('PROJETO PERFURAÇÃO'!$AB:$AB,MATCH(MEDIÇÃO!D641,'PROJETO PERFURAÇÃO'!$B:$B,0)),1)&amp;"''","")</f>
        <v/>
      </c>
      <c r="C641" s="3" t="str">
        <f>IFERROR(IF(INDEX('PROJETO PERFURAÇÃO'!$P:$P,MATCH(MEDIÇÃO!D641,'PROJETO PERFURAÇÃO'!$B:$B,0))="Production","P",IF(INDEX('PROJETO PERFURAÇÃO'!$P:$P,MATCH(MEDIÇÃO!D641,'PROJETO PERFURAÇÃO'!$B:$B,0))="Buffer","B",IF(INDEX('PROJETO PERFURAÇÃO'!$P:$P,MATCH(MEDIÇÃO!D641,'PROJETO PERFURAÇÃO'!$B:$B,0))="Pre-Splitting","S"))),"")</f>
        <v/>
      </c>
      <c r="D641" s="14">
        <f t="shared" si="60"/>
        <v>1397</v>
      </c>
      <c r="E641" s="4" t="str">
        <f>IFERROR(INDEX('LEV R&amp;D'!$D:$D,MATCH(MEDIÇÃO!D641,'LEV R&amp;D'!$A:$A,0))-INDEX('PROJETO PERFURAÇÃO'!$AH:$AH,MATCH(MEDIÇÃO!D641,'PROJETO PERFURAÇÃO'!$B:$B,0)),"")</f>
        <v/>
      </c>
      <c r="F641" s="8" t="str">
        <f>IFERROR(INDEX('PROJETO PERFURAÇÃO'!$AN:$AN,MATCH(MEDIÇÃO!D641,'PROJETO PERFURAÇÃO'!$B:$B,0)),"")</f>
        <v/>
      </c>
      <c r="G641" s="3"/>
      <c r="H641" s="3"/>
      <c r="I641" s="3" t="str">
        <f>IFERROR(ROUND(INDEX('PROJETO PERFURAÇÃO'!$AB:$AB,MATCH(MEDIÇÃO!K641,'PROJETO PERFURAÇÃO'!$B:$B,0)),1)&amp;"''","")</f>
        <v/>
      </c>
      <c r="J641" s="3" t="str">
        <f>IFERROR(IF(INDEX('PROJETO PERFURAÇÃO'!$P:$P,MATCH(MEDIÇÃO!K641,'PROJETO PERFURAÇÃO'!$B:$B,0))="Production","P",IF(INDEX('PROJETO PERFURAÇÃO'!$P:$P,MATCH(MEDIÇÃO!K641,'PROJETO PERFURAÇÃO'!$B:$B,0))="Buffer","B",IF(INDEX('PROJETO PERFURAÇÃO'!$P:$P,MATCH(MEDIÇÃO!K641,'PROJETO PERFURAÇÃO'!$B:$B,0))="Pre-Splitting","S"))),"")</f>
        <v/>
      </c>
      <c r="K641" s="14">
        <f t="shared" si="61"/>
        <v>1420</v>
      </c>
      <c r="L641" s="4" t="str">
        <f>IFERROR(INDEX('LEV R&amp;D'!$D:$D,MATCH(MEDIÇÃO!K641,'LEV R&amp;D'!$A:$A,0))-INDEX('PROJETO PERFURAÇÃO'!$AH:$AH,MATCH(MEDIÇÃO!K641,'PROJETO PERFURAÇÃO'!$B:$B,0)),"")</f>
        <v/>
      </c>
      <c r="M641" s="8" t="str">
        <f>IFERROR(INDEX('PROJETO PERFURAÇÃO'!$AN:$AN,MATCH(MEDIÇÃO!K641,'PROJETO PERFURAÇÃO'!$B:$B,0)),"")</f>
        <v/>
      </c>
      <c r="N641" s="3"/>
      <c r="O641" s="3"/>
      <c r="P641" s="3" t="str">
        <f>IFERROR(ROUND(INDEX('PROJETO PERFURAÇÃO'!$AB:$AB,MATCH(MEDIÇÃO!R641,'PROJETO PERFURAÇÃO'!$B:$B,0)),1)&amp;"''","")</f>
        <v/>
      </c>
      <c r="Q641" s="3" t="str">
        <f>IFERROR(IF(INDEX('PROJETO PERFURAÇÃO'!$P:$P,MATCH(MEDIÇÃO!R641,'PROJETO PERFURAÇÃO'!$B:$B,0))="Production","P",IF(INDEX('PROJETO PERFURAÇÃO'!$P:$P,MATCH(MEDIÇÃO!R641,'PROJETO PERFURAÇÃO'!$B:$B,0))="Buffer","B",IF(INDEX('PROJETO PERFURAÇÃO'!$P:$P,MATCH(MEDIÇÃO!R641,'PROJETO PERFURAÇÃO'!$B:$B,0))="Pre-Splitting","S"))),"")</f>
        <v/>
      </c>
      <c r="R641" s="14">
        <f t="shared" si="62"/>
        <v>1443</v>
      </c>
      <c r="S641" s="4" t="str">
        <f>IFERROR(INDEX('LEV R&amp;D'!$D:$D,MATCH(MEDIÇÃO!R641,'LEV R&amp;D'!$A:$A,0))-INDEX('PROJETO PERFURAÇÃO'!$AH:$AH,MATCH(MEDIÇÃO!R641,'PROJETO PERFURAÇÃO'!$B:$B,0)),"")</f>
        <v/>
      </c>
      <c r="T641" s="8" t="str">
        <f>IFERROR(INDEX('PROJETO PERFURAÇÃO'!$AN:$AN,MATCH(MEDIÇÃO!R641,'PROJETO PERFURAÇÃO'!$B:$B,0)),"")</f>
        <v/>
      </c>
      <c r="U641" s="3"/>
      <c r="V641" s="3"/>
    </row>
    <row r="642" spans="1:23" ht="45" customHeight="1" x14ac:dyDescent="0.25">
      <c r="B642" s="3" t="str">
        <f>IFERROR(ROUND(INDEX('PROJETO PERFURAÇÃO'!$AB:$AB,MATCH(MEDIÇÃO!D642,'PROJETO PERFURAÇÃO'!$B:$B,0)),1)&amp;"''","")</f>
        <v/>
      </c>
      <c r="C642" s="3" t="str">
        <f>IFERROR(IF(INDEX('PROJETO PERFURAÇÃO'!$P:$P,MATCH(MEDIÇÃO!D642,'PROJETO PERFURAÇÃO'!$B:$B,0))="Production","P",IF(INDEX('PROJETO PERFURAÇÃO'!$P:$P,MATCH(MEDIÇÃO!D642,'PROJETO PERFURAÇÃO'!$B:$B,0))="Buffer","B",IF(INDEX('PROJETO PERFURAÇÃO'!$P:$P,MATCH(MEDIÇÃO!D642,'PROJETO PERFURAÇÃO'!$B:$B,0))="Pre-Splitting","S"))),"")</f>
        <v/>
      </c>
      <c r="D642" s="14">
        <f t="shared" si="60"/>
        <v>1398</v>
      </c>
      <c r="E642" s="4" t="str">
        <f>IFERROR(INDEX('LEV R&amp;D'!$D:$D,MATCH(MEDIÇÃO!D642,'LEV R&amp;D'!$A:$A,0))-INDEX('PROJETO PERFURAÇÃO'!$AH:$AH,MATCH(MEDIÇÃO!D642,'PROJETO PERFURAÇÃO'!$B:$B,0)),"")</f>
        <v/>
      </c>
      <c r="F642" s="8" t="str">
        <f>IFERROR(INDEX('PROJETO PERFURAÇÃO'!$AN:$AN,MATCH(MEDIÇÃO!D642,'PROJETO PERFURAÇÃO'!$B:$B,0)),"")</f>
        <v/>
      </c>
      <c r="G642" s="3"/>
      <c r="H642" s="3"/>
      <c r="I642" s="3" t="str">
        <f>IFERROR(ROUND(INDEX('PROJETO PERFURAÇÃO'!$AB:$AB,MATCH(MEDIÇÃO!K642,'PROJETO PERFURAÇÃO'!$B:$B,0)),1)&amp;"''","")</f>
        <v/>
      </c>
      <c r="J642" s="3" t="str">
        <f>IFERROR(IF(INDEX('PROJETO PERFURAÇÃO'!$P:$P,MATCH(MEDIÇÃO!K642,'PROJETO PERFURAÇÃO'!$B:$B,0))="Production","P",IF(INDEX('PROJETO PERFURAÇÃO'!$P:$P,MATCH(MEDIÇÃO!K642,'PROJETO PERFURAÇÃO'!$B:$B,0))="Buffer","B",IF(INDEX('PROJETO PERFURAÇÃO'!$P:$P,MATCH(MEDIÇÃO!K642,'PROJETO PERFURAÇÃO'!$B:$B,0))="Pre-Splitting","S"))),"")</f>
        <v/>
      </c>
      <c r="K642" s="14">
        <f t="shared" si="61"/>
        <v>1421</v>
      </c>
      <c r="L642" s="4" t="str">
        <f>IFERROR(INDEX('LEV R&amp;D'!$D:$D,MATCH(MEDIÇÃO!K642,'LEV R&amp;D'!$A:$A,0))-INDEX('PROJETO PERFURAÇÃO'!$AH:$AH,MATCH(MEDIÇÃO!K642,'PROJETO PERFURAÇÃO'!$B:$B,0)),"")</f>
        <v/>
      </c>
      <c r="M642" s="8" t="str">
        <f>IFERROR(INDEX('PROJETO PERFURAÇÃO'!$AN:$AN,MATCH(MEDIÇÃO!K642,'PROJETO PERFURAÇÃO'!$B:$B,0)),"")</f>
        <v/>
      </c>
      <c r="N642" s="3"/>
      <c r="O642" s="3"/>
      <c r="P642" s="3" t="str">
        <f>IFERROR(ROUND(INDEX('PROJETO PERFURAÇÃO'!$AB:$AB,MATCH(MEDIÇÃO!R642,'PROJETO PERFURAÇÃO'!$B:$B,0)),1)&amp;"''","")</f>
        <v/>
      </c>
      <c r="Q642" s="3" t="str">
        <f>IFERROR(IF(INDEX('PROJETO PERFURAÇÃO'!$P:$P,MATCH(MEDIÇÃO!R642,'PROJETO PERFURAÇÃO'!$B:$B,0))="Production","P",IF(INDEX('PROJETO PERFURAÇÃO'!$P:$P,MATCH(MEDIÇÃO!R642,'PROJETO PERFURAÇÃO'!$B:$B,0))="Buffer","B",IF(INDEX('PROJETO PERFURAÇÃO'!$P:$P,MATCH(MEDIÇÃO!R642,'PROJETO PERFURAÇÃO'!$B:$B,0))="Pre-Splitting","S"))),"")</f>
        <v/>
      </c>
      <c r="R642" s="14">
        <f t="shared" si="62"/>
        <v>1444</v>
      </c>
      <c r="S642" s="4" t="str">
        <f>IFERROR(INDEX('LEV R&amp;D'!$D:$D,MATCH(MEDIÇÃO!R642,'LEV R&amp;D'!$A:$A,0))-INDEX('PROJETO PERFURAÇÃO'!$AH:$AH,MATCH(MEDIÇÃO!R642,'PROJETO PERFURAÇÃO'!$B:$B,0)),"")</f>
        <v/>
      </c>
      <c r="T642" s="8" t="str">
        <f>IFERROR(INDEX('PROJETO PERFURAÇÃO'!$AN:$AN,MATCH(MEDIÇÃO!R642,'PROJETO PERFURAÇÃO'!$B:$B,0)),"")</f>
        <v/>
      </c>
      <c r="U642" s="3"/>
      <c r="V642" s="3"/>
    </row>
    <row r="643" spans="1:23" ht="45" customHeight="1" x14ac:dyDescent="0.25">
      <c r="B643" s="3" t="str">
        <f>IFERROR(ROUND(INDEX('PROJETO PERFURAÇÃO'!$AB:$AB,MATCH(MEDIÇÃO!D643,'PROJETO PERFURAÇÃO'!$B:$B,0)),1)&amp;"''","")</f>
        <v/>
      </c>
      <c r="C643" s="3" t="str">
        <f>IFERROR(IF(INDEX('PROJETO PERFURAÇÃO'!$P:$P,MATCH(MEDIÇÃO!D643,'PROJETO PERFURAÇÃO'!$B:$B,0))="Production","P",IF(INDEX('PROJETO PERFURAÇÃO'!$P:$P,MATCH(MEDIÇÃO!D643,'PROJETO PERFURAÇÃO'!$B:$B,0))="Buffer","B",IF(INDEX('PROJETO PERFURAÇÃO'!$P:$P,MATCH(MEDIÇÃO!D643,'PROJETO PERFURAÇÃO'!$B:$B,0))="Pre-Splitting","S"))),"")</f>
        <v/>
      </c>
      <c r="D643" s="14">
        <f t="shared" si="60"/>
        <v>1399</v>
      </c>
      <c r="E643" s="4" t="str">
        <f>IFERROR(INDEX('LEV R&amp;D'!$D:$D,MATCH(MEDIÇÃO!D643,'LEV R&amp;D'!$A:$A,0))-INDEX('PROJETO PERFURAÇÃO'!$AH:$AH,MATCH(MEDIÇÃO!D643,'PROJETO PERFURAÇÃO'!$B:$B,0)),"")</f>
        <v/>
      </c>
      <c r="F643" s="8" t="str">
        <f>IFERROR(INDEX('PROJETO PERFURAÇÃO'!$AN:$AN,MATCH(MEDIÇÃO!D643,'PROJETO PERFURAÇÃO'!$B:$B,0)),"")</f>
        <v/>
      </c>
      <c r="G643" s="3"/>
      <c r="H643" s="3"/>
      <c r="I643" s="3" t="str">
        <f>IFERROR(ROUND(INDEX('PROJETO PERFURAÇÃO'!$AB:$AB,MATCH(MEDIÇÃO!K643,'PROJETO PERFURAÇÃO'!$B:$B,0)),1)&amp;"''","")</f>
        <v/>
      </c>
      <c r="J643" s="3" t="str">
        <f>IFERROR(IF(INDEX('PROJETO PERFURAÇÃO'!$P:$P,MATCH(MEDIÇÃO!K643,'PROJETO PERFURAÇÃO'!$B:$B,0))="Production","P",IF(INDEX('PROJETO PERFURAÇÃO'!$P:$P,MATCH(MEDIÇÃO!K643,'PROJETO PERFURAÇÃO'!$B:$B,0))="Buffer","B",IF(INDEX('PROJETO PERFURAÇÃO'!$P:$P,MATCH(MEDIÇÃO!K643,'PROJETO PERFURAÇÃO'!$B:$B,0))="Pre-Splitting","S"))),"")</f>
        <v/>
      </c>
      <c r="K643" s="14">
        <f t="shared" si="61"/>
        <v>1422</v>
      </c>
      <c r="L643" s="4" t="str">
        <f>IFERROR(INDEX('LEV R&amp;D'!$D:$D,MATCH(MEDIÇÃO!K643,'LEV R&amp;D'!$A:$A,0))-INDEX('PROJETO PERFURAÇÃO'!$AH:$AH,MATCH(MEDIÇÃO!K643,'PROJETO PERFURAÇÃO'!$B:$B,0)),"")</f>
        <v/>
      </c>
      <c r="M643" s="8" t="str">
        <f>IFERROR(INDEX('PROJETO PERFURAÇÃO'!$AN:$AN,MATCH(MEDIÇÃO!K643,'PROJETO PERFURAÇÃO'!$B:$B,0)),"")</f>
        <v/>
      </c>
      <c r="N643" s="3"/>
      <c r="O643" s="3"/>
      <c r="P643" s="3" t="str">
        <f>IFERROR(ROUND(INDEX('PROJETO PERFURAÇÃO'!$AB:$AB,MATCH(MEDIÇÃO!R643,'PROJETO PERFURAÇÃO'!$B:$B,0)),1)&amp;"''","")</f>
        <v/>
      </c>
      <c r="Q643" s="3" t="str">
        <f>IFERROR(IF(INDEX('PROJETO PERFURAÇÃO'!$P:$P,MATCH(MEDIÇÃO!R643,'PROJETO PERFURAÇÃO'!$B:$B,0))="Production","P",IF(INDEX('PROJETO PERFURAÇÃO'!$P:$P,MATCH(MEDIÇÃO!R643,'PROJETO PERFURAÇÃO'!$B:$B,0))="Buffer","B",IF(INDEX('PROJETO PERFURAÇÃO'!$P:$P,MATCH(MEDIÇÃO!R643,'PROJETO PERFURAÇÃO'!$B:$B,0))="Pre-Splitting","S"))),"")</f>
        <v/>
      </c>
      <c r="R643" s="14">
        <f t="shared" si="62"/>
        <v>1445</v>
      </c>
      <c r="S643" s="4" t="str">
        <f>IFERROR(INDEX('LEV R&amp;D'!$D:$D,MATCH(MEDIÇÃO!R643,'LEV R&amp;D'!$A:$A,0))-INDEX('PROJETO PERFURAÇÃO'!$AH:$AH,MATCH(MEDIÇÃO!R643,'PROJETO PERFURAÇÃO'!$B:$B,0)),"")</f>
        <v/>
      </c>
      <c r="T643" s="8" t="str">
        <f>IFERROR(INDEX('PROJETO PERFURAÇÃO'!$AN:$AN,MATCH(MEDIÇÃO!R643,'PROJETO PERFURAÇÃO'!$B:$B,0)),"")</f>
        <v/>
      </c>
      <c r="U643" s="3"/>
      <c r="V643" s="3"/>
    </row>
    <row r="644" spans="1:23" ht="45" customHeight="1" x14ac:dyDescent="0.25">
      <c r="B644" s="3" t="str">
        <f>IFERROR(ROUND(INDEX('PROJETO PERFURAÇÃO'!$AB:$AB,MATCH(MEDIÇÃO!D644,'PROJETO PERFURAÇÃO'!$B:$B,0)),1)&amp;"''","")</f>
        <v/>
      </c>
      <c r="C644" s="3" t="str">
        <f>IFERROR(IF(INDEX('PROJETO PERFURAÇÃO'!$P:$P,MATCH(MEDIÇÃO!D644,'PROJETO PERFURAÇÃO'!$B:$B,0))="Production","P",IF(INDEX('PROJETO PERFURAÇÃO'!$P:$P,MATCH(MEDIÇÃO!D644,'PROJETO PERFURAÇÃO'!$B:$B,0))="Buffer","B",IF(INDEX('PROJETO PERFURAÇÃO'!$P:$P,MATCH(MEDIÇÃO!D644,'PROJETO PERFURAÇÃO'!$B:$B,0))="Pre-Splitting","S"))),"")</f>
        <v/>
      </c>
      <c r="D644" s="14">
        <f t="shared" si="60"/>
        <v>1400</v>
      </c>
      <c r="E644" s="4" t="str">
        <f>IFERROR(INDEX('LEV R&amp;D'!$D:$D,MATCH(MEDIÇÃO!D644,'LEV R&amp;D'!$A:$A,0))-INDEX('PROJETO PERFURAÇÃO'!$AH:$AH,MATCH(MEDIÇÃO!D644,'PROJETO PERFURAÇÃO'!$B:$B,0)),"")</f>
        <v/>
      </c>
      <c r="F644" s="8" t="str">
        <f>IFERROR(INDEX('PROJETO PERFURAÇÃO'!$AN:$AN,MATCH(MEDIÇÃO!D644,'PROJETO PERFURAÇÃO'!$B:$B,0)),"")</f>
        <v/>
      </c>
      <c r="G644" s="3"/>
      <c r="H644" s="3"/>
      <c r="I644" s="3" t="str">
        <f>IFERROR(ROUND(INDEX('PROJETO PERFURAÇÃO'!$AB:$AB,MATCH(MEDIÇÃO!K644,'PROJETO PERFURAÇÃO'!$B:$B,0)),1)&amp;"''","")</f>
        <v/>
      </c>
      <c r="J644" s="3" t="str">
        <f>IFERROR(IF(INDEX('PROJETO PERFURAÇÃO'!$P:$P,MATCH(MEDIÇÃO!K644,'PROJETO PERFURAÇÃO'!$B:$B,0))="Production","P",IF(INDEX('PROJETO PERFURAÇÃO'!$P:$P,MATCH(MEDIÇÃO!K644,'PROJETO PERFURAÇÃO'!$B:$B,0))="Buffer","B",IF(INDEX('PROJETO PERFURAÇÃO'!$P:$P,MATCH(MEDIÇÃO!K644,'PROJETO PERFURAÇÃO'!$B:$B,0))="Pre-Splitting","S"))),"")</f>
        <v/>
      </c>
      <c r="K644" s="14">
        <f t="shared" si="61"/>
        <v>1423</v>
      </c>
      <c r="L644" s="4" t="str">
        <f>IFERROR(INDEX('LEV R&amp;D'!$D:$D,MATCH(MEDIÇÃO!K644,'LEV R&amp;D'!$A:$A,0))-INDEX('PROJETO PERFURAÇÃO'!$AH:$AH,MATCH(MEDIÇÃO!K644,'PROJETO PERFURAÇÃO'!$B:$B,0)),"")</f>
        <v/>
      </c>
      <c r="M644" s="8" t="str">
        <f>IFERROR(INDEX('PROJETO PERFURAÇÃO'!$AN:$AN,MATCH(MEDIÇÃO!K644,'PROJETO PERFURAÇÃO'!$B:$B,0)),"")</f>
        <v/>
      </c>
      <c r="N644" s="3"/>
      <c r="O644" s="3"/>
      <c r="P644" s="3" t="str">
        <f>IFERROR(ROUND(INDEX('PROJETO PERFURAÇÃO'!$AB:$AB,MATCH(MEDIÇÃO!R644,'PROJETO PERFURAÇÃO'!$B:$B,0)),1)&amp;"''","")</f>
        <v/>
      </c>
      <c r="Q644" s="3" t="str">
        <f>IFERROR(IF(INDEX('PROJETO PERFURAÇÃO'!$P:$P,MATCH(MEDIÇÃO!R644,'PROJETO PERFURAÇÃO'!$B:$B,0))="Production","P",IF(INDEX('PROJETO PERFURAÇÃO'!$P:$P,MATCH(MEDIÇÃO!R644,'PROJETO PERFURAÇÃO'!$B:$B,0))="Buffer","B",IF(INDEX('PROJETO PERFURAÇÃO'!$P:$P,MATCH(MEDIÇÃO!R644,'PROJETO PERFURAÇÃO'!$B:$B,0))="Pre-Splitting","S"))),"")</f>
        <v/>
      </c>
      <c r="R644" s="14">
        <f t="shared" si="62"/>
        <v>1446</v>
      </c>
      <c r="S644" s="4" t="str">
        <f>IFERROR(INDEX('LEV R&amp;D'!$D:$D,MATCH(MEDIÇÃO!R644,'LEV R&amp;D'!$A:$A,0))-INDEX('PROJETO PERFURAÇÃO'!$AH:$AH,MATCH(MEDIÇÃO!R644,'PROJETO PERFURAÇÃO'!$B:$B,0)),"")</f>
        <v/>
      </c>
      <c r="T644" s="8" t="str">
        <f>IFERROR(INDEX('PROJETO PERFURAÇÃO'!$AN:$AN,MATCH(MEDIÇÃO!R644,'PROJETO PERFURAÇÃO'!$B:$B,0)),"")</f>
        <v/>
      </c>
      <c r="U644" s="3"/>
      <c r="V644" s="3"/>
    </row>
    <row r="645" spans="1:23" ht="45" customHeight="1" x14ac:dyDescent="0.25">
      <c r="B645" s="3" t="str">
        <f>IFERROR(ROUND(INDEX('PROJETO PERFURAÇÃO'!$AB:$AB,MATCH(MEDIÇÃO!D645,'PROJETO PERFURAÇÃO'!$B:$B,0)),1)&amp;"''","")</f>
        <v/>
      </c>
      <c r="C645" s="3" t="str">
        <f>IFERROR(IF(INDEX('PROJETO PERFURAÇÃO'!$P:$P,MATCH(MEDIÇÃO!D645,'PROJETO PERFURAÇÃO'!$B:$B,0))="Production","P",IF(INDEX('PROJETO PERFURAÇÃO'!$P:$P,MATCH(MEDIÇÃO!D645,'PROJETO PERFURAÇÃO'!$B:$B,0))="Buffer","B",IF(INDEX('PROJETO PERFURAÇÃO'!$P:$P,MATCH(MEDIÇÃO!D645,'PROJETO PERFURAÇÃO'!$B:$B,0))="Pre-Splitting","S"))),"")</f>
        <v/>
      </c>
      <c r="D645" s="14">
        <f t="shared" si="60"/>
        <v>1401</v>
      </c>
      <c r="E645" s="4" t="str">
        <f>IFERROR(INDEX('LEV R&amp;D'!$D:$D,MATCH(MEDIÇÃO!D645,'LEV R&amp;D'!$A:$A,0))-INDEX('PROJETO PERFURAÇÃO'!$AH:$AH,MATCH(MEDIÇÃO!D645,'PROJETO PERFURAÇÃO'!$B:$B,0)),"")</f>
        <v/>
      </c>
      <c r="F645" s="8" t="str">
        <f>IFERROR(INDEX('PROJETO PERFURAÇÃO'!$AN:$AN,MATCH(MEDIÇÃO!D645,'PROJETO PERFURAÇÃO'!$B:$B,0)),"")</f>
        <v/>
      </c>
      <c r="G645" s="3"/>
      <c r="H645" s="3"/>
      <c r="I645" s="3" t="str">
        <f>IFERROR(ROUND(INDEX('PROJETO PERFURAÇÃO'!$AB:$AB,MATCH(MEDIÇÃO!K645,'PROJETO PERFURAÇÃO'!$B:$B,0)),1)&amp;"''","")</f>
        <v/>
      </c>
      <c r="J645" s="3" t="str">
        <f>IFERROR(IF(INDEX('PROJETO PERFURAÇÃO'!$P:$P,MATCH(MEDIÇÃO!K645,'PROJETO PERFURAÇÃO'!$B:$B,0))="Production","P",IF(INDEX('PROJETO PERFURAÇÃO'!$P:$P,MATCH(MEDIÇÃO!K645,'PROJETO PERFURAÇÃO'!$B:$B,0))="Buffer","B",IF(INDEX('PROJETO PERFURAÇÃO'!$P:$P,MATCH(MEDIÇÃO!K645,'PROJETO PERFURAÇÃO'!$B:$B,0))="Pre-Splitting","S"))),"")</f>
        <v/>
      </c>
      <c r="K645" s="14">
        <f t="shared" si="61"/>
        <v>1424</v>
      </c>
      <c r="L645" s="4" t="str">
        <f>IFERROR(INDEX('LEV R&amp;D'!$D:$D,MATCH(MEDIÇÃO!K645,'LEV R&amp;D'!$A:$A,0))-INDEX('PROJETO PERFURAÇÃO'!$AH:$AH,MATCH(MEDIÇÃO!K645,'PROJETO PERFURAÇÃO'!$B:$B,0)),"")</f>
        <v/>
      </c>
      <c r="M645" s="8" t="str">
        <f>IFERROR(INDEX('PROJETO PERFURAÇÃO'!$AN:$AN,MATCH(MEDIÇÃO!K645,'PROJETO PERFURAÇÃO'!$B:$B,0)),"")</f>
        <v/>
      </c>
      <c r="N645" s="3"/>
      <c r="O645" s="3"/>
      <c r="P645" s="3" t="str">
        <f>IFERROR(ROUND(INDEX('PROJETO PERFURAÇÃO'!$AB:$AB,MATCH(MEDIÇÃO!R645,'PROJETO PERFURAÇÃO'!$B:$B,0)),1)&amp;"''","")</f>
        <v/>
      </c>
      <c r="Q645" s="3" t="str">
        <f>IFERROR(IF(INDEX('PROJETO PERFURAÇÃO'!$P:$P,MATCH(MEDIÇÃO!R645,'PROJETO PERFURAÇÃO'!$B:$B,0))="Production","P",IF(INDEX('PROJETO PERFURAÇÃO'!$P:$P,MATCH(MEDIÇÃO!R645,'PROJETO PERFURAÇÃO'!$B:$B,0))="Buffer","B",IF(INDEX('PROJETO PERFURAÇÃO'!$P:$P,MATCH(MEDIÇÃO!R645,'PROJETO PERFURAÇÃO'!$B:$B,0))="Pre-Splitting","S"))),"")</f>
        <v/>
      </c>
      <c r="R645" s="14">
        <f t="shared" si="62"/>
        <v>1447</v>
      </c>
      <c r="S645" s="4" t="str">
        <f>IFERROR(INDEX('LEV R&amp;D'!$D:$D,MATCH(MEDIÇÃO!R645,'LEV R&amp;D'!$A:$A,0))-INDEX('PROJETO PERFURAÇÃO'!$AH:$AH,MATCH(MEDIÇÃO!R645,'PROJETO PERFURAÇÃO'!$B:$B,0)),"")</f>
        <v/>
      </c>
      <c r="T645" s="8" t="str">
        <f>IFERROR(INDEX('PROJETO PERFURAÇÃO'!$AN:$AN,MATCH(MEDIÇÃO!R645,'PROJETO PERFURAÇÃO'!$B:$B,0)),"")</f>
        <v/>
      </c>
      <c r="U645" s="3"/>
      <c r="V645" s="3"/>
    </row>
    <row r="646" spans="1:23" ht="45" customHeight="1" x14ac:dyDescent="0.25">
      <c r="B646" s="3" t="str">
        <f>IFERROR(ROUND(INDEX('PROJETO PERFURAÇÃO'!$AB:$AB,MATCH(MEDIÇÃO!D646,'PROJETO PERFURAÇÃO'!$B:$B,0)),1)&amp;"''","")</f>
        <v/>
      </c>
      <c r="C646" s="3" t="str">
        <f>IFERROR(IF(INDEX('PROJETO PERFURAÇÃO'!$P:$P,MATCH(MEDIÇÃO!D646,'PROJETO PERFURAÇÃO'!$B:$B,0))="Production","P",IF(INDEX('PROJETO PERFURAÇÃO'!$P:$P,MATCH(MEDIÇÃO!D646,'PROJETO PERFURAÇÃO'!$B:$B,0))="Buffer","B",IF(INDEX('PROJETO PERFURAÇÃO'!$P:$P,MATCH(MEDIÇÃO!D646,'PROJETO PERFURAÇÃO'!$B:$B,0))="Pre-Splitting","S"))),"")</f>
        <v/>
      </c>
      <c r="D646" s="14">
        <f t="shared" si="60"/>
        <v>1402</v>
      </c>
      <c r="E646" s="4" t="str">
        <f>IFERROR(INDEX('LEV R&amp;D'!$D:$D,MATCH(MEDIÇÃO!D646,'LEV R&amp;D'!$A:$A,0))-INDEX('PROJETO PERFURAÇÃO'!$AH:$AH,MATCH(MEDIÇÃO!D646,'PROJETO PERFURAÇÃO'!$B:$B,0)),"")</f>
        <v/>
      </c>
      <c r="F646" s="8" t="str">
        <f>IFERROR(INDEX('PROJETO PERFURAÇÃO'!$AN:$AN,MATCH(MEDIÇÃO!D646,'PROJETO PERFURAÇÃO'!$B:$B,0)),"")</f>
        <v/>
      </c>
      <c r="G646" s="3"/>
      <c r="H646" s="3"/>
      <c r="I646" s="3" t="str">
        <f>IFERROR(ROUND(INDEX('PROJETO PERFURAÇÃO'!$AB:$AB,MATCH(MEDIÇÃO!K646,'PROJETO PERFURAÇÃO'!$B:$B,0)),1)&amp;"''","")</f>
        <v/>
      </c>
      <c r="J646" s="3" t="str">
        <f>IFERROR(IF(INDEX('PROJETO PERFURAÇÃO'!$P:$P,MATCH(MEDIÇÃO!K646,'PROJETO PERFURAÇÃO'!$B:$B,0))="Production","P",IF(INDEX('PROJETO PERFURAÇÃO'!$P:$P,MATCH(MEDIÇÃO!K646,'PROJETO PERFURAÇÃO'!$B:$B,0))="Buffer","B",IF(INDEX('PROJETO PERFURAÇÃO'!$P:$P,MATCH(MEDIÇÃO!K646,'PROJETO PERFURAÇÃO'!$B:$B,0))="Pre-Splitting","S"))),"")</f>
        <v/>
      </c>
      <c r="K646" s="14">
        <f t="shared" si="61"/>
        <v>1425</v>
      </c>
      <c r="L646" s="4" t="str">
        <f>IFERROR(INDEX('LEV R&amp;D'!$D:$D,MATCH(MEDIÇÃO!K646,'LEV R&amp;D'!$A:$A,0))-INDEX('PROJETO PERFURAÇÃO'!$AH:$AH,MATCH(MEDIÇÃO!K646,'PROJETO PERFURAÇÃO'!$B:$B,0)),"")</f>
        <v/>
      </c>
      <c r="M646" s="8" t="str">
        <f>IFERROR(INDEX('PROJETO PERFURAÇÃO'!$AN:$AN,MATCH(MEDIÇÃO!K646,'PROJETO PERFURAÇÃO'!$B:$B,0)),"")</f>
        <v/>
      </c>
      <c r="N646" s="3"/>
      <c r="O646" s="3"/>
      <c r="P646" s="3" t="str">
        <f>IFERROR(ROUND(INDEX('PROJETO PERFURAÇÃO'!$AB:$AB,MATCH(MEDIÇÃO!R646,'PROJETO PERFURAÇÃO'!$B:$B,0)),1)&amp;"''","")</f>
        <v/>
      </c>
      <c r="Q646" s="3" t="str">
        <f>IFERROR(IF(INDEX('PROJETO PERFURAÇÃO'!$P:$P,MATCH(MEDIÇÃO!R646,'PROJETO PERFURAÇÃO'!$B:$B,0))="Production","P",IF(INDEX('PROJETO PERFURAÇÃO'!$P:$P,MATCH(MEDIÇÃO!R646,'PROJETO PERFURAÇÃO'!$B:$B,0))="Buffer","B",IF(INDEX('PROJETO PERFURAÇÃO'!$P:$P,MATCH(MEDIÇÃO!R646,'PROJETO PERFURAÇÃO'!$B:$B,0))="Pre-Splitting","S"))),"")</f>
        <v/>
      </c>
      <c r="R646" s="14">
        <f t="shared" si="62"/>
        <v>1448</v>
      </c>
      <c r="S646" s="4" t="str">
        <f>IFERROR(INDEX('LEV R&amp;D'!$D:$D,MATCH(MEDIÇÃO!R646,'LEV R&amp;D'!$A:$A,0))-INDEX('PROJETO PERFURAÇÃO'!$AH:$AH,MATCH(MEDIÇÃO!R646,'PROJETO PERFURAÇÃO'!$B:$B,0)),"")</f>
        <v/>
      </c>
      <c r="T646" s="8" t="str">
        <f>IFERROR(INDEX('PROJETO PERFURAÇÃO'!$AN:$AN,MATCH(MEDIÇÃO!R646,'PROJETO PERFURAÇÃO'!$B:$B,0)),"")</f>
        <v/>
      </c>
      <c r="U646" s="3"/>
      <c r="V646" s="3"/>
    </row>
    <row r="647" spans="1:23" ht="45" customHeight="1" x14ac:dyDescent="0.25">
      <c r="B647" s="3" t="str">
        <f>IFERROR(ROUND(INDEX('PROJETO PERFURAÇÃO'!$AB:$AB,MATCH(MEDIÇÃO!D647,'PROJETO PERFURAÇÃO'!$B:$B,0)),1)&amp;"''","")</f>
        <v/>
      </c>
      <c r="C647" s="3" t="str">
        <f>IFERROR(IF(INDEX('PROJETO PERFURAÇÃO'!$P:$P,MATCH(MEDIÇÃO!D647,'PROJETO PERFURAÇÃO'!$B:$B,0))="Production","P",IF(INDEX('PROJETO PERFURAÇÃO'!$P:$P,MATCH(MEDIÇÃO!D647,'PROJETO PERFURAÇÃO'!$B:$B,0))="Buffer","B",IF(INDEX('PROJETO PERFURAÇÃO'!$P:$P,MATCH(MEDIÇÃO!D647,'PROJETO PERFURAÇÃO'!$B:$B,0))="Pre-Splitting","S"))),"")</f>
        <v/>
      </c>
      <c r="D647" s="14">
        <f t="shared" si="60"/>
        <v>1403</v>
      </c>
      <c r="E647" s="4" t="str">
        <f>IFERROR(INDEX('LEV R&amp;D'!$D:$D,MATCH(MEDIÇÃO!D647,'LEV R&amp;D'!$A:$A,0))-INDEX('PROJETO PERFURAÇÃO'!$AH:$AH,MATCH(MEDIÇÃO!D647,'PROJETO PERFURAÇÃO'!$B:$B,0)),"")</f>
        <v/>
      </c>
      <c r="F647" s="8" t="str">
        <f>IFERROR(INDEX('PROJETO PERFURAÇÃO'!$AN:$AN,MATCH(MEDIÇÃO!D647,'PROJETO PERFURAÇÃO'!$B:$B,0)),"")</f>
        <v/>
      </c>
      <c r="G647" s="3"/>
      <c r="H647" s="3"/>
      <c r="I647" s="3" t="str">
        <f>IFERROR(ROUND(INDEX('PROJETO PERFURAÇÃO'!$AB:$AB,MATCH(MEDIÇÃO!K647,'PROJETO PERFURAÇÃO'!$B:$B,0)),1)&amp;"''","")</f>
        <v/>
      </c>
      <c r="J647" s="3" t="str">
        <f>IFERROR(IF(INDEX('PROJETO PERFURAÇÃO'!$P:$P,MATCH(MEDIÇÃO!K647,'PROJETO PERFURAÇÃO'!$B:$B,0))="Production","P",IF(INDEX('PROJETO PERFURAÇÃO'!$P:$P,MATCH(MEDIÇÃO!K647,'PROJETO PERFURAÇÃO'!$B:$B,0))="Buffer","B",IF(INDEX('PROJETO PERFURAÇÃO'!$P:$P,MATCH(MEDIÇÃO!K647,'PROJETO PERFURAÇÃO'!$B:$B,0))="Pre-Splitting","S"))),"")</f>
        <v/>
      </c>
      <c r="K647" s="14">
        <f>K646+1</f>
        <v>1426</v>
      </c>
      <c r="L647" s="4" t="str">
        <f>IFERROR(INDEX('LEV R&amp;D'!$D:$D,MATCH(MEDIÇÃO!K647,'LEV R&amp;D'!$A:$A,0))-INDEX('PROJETO PERFURAÇÃO'!$AH:$AH,MATCH(MEDIÇÃO!K647,'PROJETO PERFURAÇÃO'!$B:$B,0)),"")</f>
        <v/>
      </c>
      <c r="M647" s="8" t="str">
        <f>IFERROR(INDEX('PROJETO PERFURAÇÃO'!$AN:$AN,MATCH(MEDIÇÃO!K647,'PROJETO PERFURAÇÃO'!$B:$B,0)),"")</f>
        <v/>
      </c>
      <c r="N647" s="3"/>
      <c r="O647" s="3"/>
      <c r="P647" s="3" t="str">
        <f>IFERROR(ROUND(INDEX('PROJETO PERFURAÇÃO'!$AB:$AB,MATCH(MEDIÇÃO!R647,'PROJETO PERFURAÇÃO'!$B:$B,0)),1)&amp;"''","")</f>
        <v/>
      </c>
      <c r="Q647" s="3" t="str">
        <f>IFERROR(IF(INDEX('PROJETO PERFURAÇÃO'!$P:$P,MATCH(MEDIÇÃO!R647,'PROJETO PERFURAÇÃO'!$B:$B,0))="Production","P",IF(INDEX('PROJETO PERFURAÇÃO'!$P:$P,MATCH(MEDIÇÃO!R647,'PROJETO PERFURAÇÃO'!$B:$B,0))="Buffer","B",IF(INDEX('PROJETO PERFURAÇÃO'!$P:$P,MATCH(MEDIÇÃO!R647,'PROJETO PERFURAÇÃO'!$B:$B,0))="Pre-Splitting","S"))),"")</f>
        <v/>
      </c>
      <c r="R647" s="14">
        <f>R646+1</f>
        <v>1449</v>
      </c>
      <c r="S647" s="4" t="str">
        <f>IFERROR(INDEX('LEV R&amp;D'!$D:$D,MATCH(MEDIÇÃO!R647,'LEV R&amp;D'!$A:$A,0))-INDEX('PROJETO PERFURAÇÃO'!$AH:$AH,MATCH(MEDIÇÃO!R647,'PROJETO PERFURAÇÃO'!$B:$B,0)),"")</f>
        <v/>
      </c>
      <c r="T647" s="8" t="str">
        <f>IFERROR(INDEX('PROJETO PERFURAÇÃO'!$AN:$AN,MATCH(MEDIÇÃO!R647,'PROJETO PERFURAÇÃO'!$B:$B,0)),"")</f>
        <v/>
      </c>
      <c r="U647" s="3"/>
      <c r="V647" s="3"/>
    </row>
    <row r="648" spans="1:23" ht="30" customHeight="1" x14ac:dyDescent="0.25">
      <c r="B648" s="1"/>
      <c r="C648" s="1"/>
      <c r="D648" s="15"/>
      <c r="E648" s="2"/>
      <c r="F648" s="16"/>
      <c r="G648" s="1"/>
      <c r="H648" s="1"/>
      <c r="I648" s="1"/>
      <c r="J648" s="1"/>
      <c r="K648" s="15"/>
      <c r="L648" s="2"/>
      <c r="M648" s="16"/>
      <c r="N648" s="1"/>
      <c r="O648" s="1"/>
      <c r="P648" s="1"/>
      <c r="Q648" s="1"/>
      <c r="R648" s="15"/>
      <c r="S648" s="2"/>
      <c r="T648" s="16"/>
      <c r="U648" s="1"/>
      <c r="V648" s="1"/>
    </row>
    <row r="649" spans="1:23" ht="30" customHeight="1" x14ac:dyDescent="0.25">
      <c r="C649" s="20"/>
      <c r="D649" s="20"/>
      <c r="E649" s="20"/>
      <c r="F649" s="20"/>
      <c r="G649" s="20"/>
      <c r="H649" s="20"/>
      <c r="I649" s="20"/>
      <c r="J649" s="20"/>
      <c r="K649" s="20"/>
      <c r="M649" s="20"/>
      <c r="N649" s="20"/>
      <c r="O649" s="20"/>
      <c r="P649" s="20"/>
      <c r="Q649" s="20"/>
      <c r="R649" s="20"/>
      <c r="S649" s="20"/>
      <c r="T649" s="20"/>
      <c r="U649" s="20"/>
    </row>
    <row r="650" spans="1:23" ht="30" customHeight="1" x14ac:dyDescent="0.25">
      <c r="C650" s="21" t="s">
        <v>40</v>
      </c>
      <c r="D650" s="21"/>
      <c r="E650" s="21"/>
      <c r="F650" s="21"/>
      <c r="G650" s="21"/>
      <c r="H650" s="21"/>
      <c r="I650" s="21"/>
      <c r="J650" s="21"/>
      <c r="K650" s="21"/>
      <c r="L650" s="9"/>
      <c r="M650" s="21" t="s">
        <v>40</v>
      </c>
      <c r="N650" s="21"/>
      <c r="O650" s="21"/>
      <c r="P650" s="21"/>
      <c r="Q650" s="21"/>
      <c r="R650" s="21"/>
      <c r="S650" s="21"/>
      <c r="T650" s="21"/>
      <c r="U650" s="21"/>
      <c r="V650" s="9"/>
    </row>
    <row r="651" spans="1:23" ht="30" customHeight="1" x14ac:dyDescent="0.25">
      <c r="D651" s="9"/>
      <c r="E651" s="9"/>
      <c r="F651" s="9"/>
      <c r="G651" s="9"/>
      <c r="H651" s="9"/>
      <c r="I651" s="9"/>
      <c r="J651" s="9"/>
      <c r="K651" s="9"/>
      <c r="L651" s="9"/>
      <c r="M651" s="9"/>
      <c r="N651" s="9"/>
      <c r="Q651" s="9"/>
      <c r="R651" s="9"/>
      <c r="S651" s="9"/>
      <c r="T651" s="9"/>
      <c r="U651" s="9"/>
      <c r="V651" s="9"/>
    </row>
    <row r="652" spans="1:23" ht="30" customHeight="1" x14ac:dyDescent="0.25">
      <c r="B652" s="19" t="str">
        <f>'PROJETO PERFURAÇÃO'!$C$2&amp;" - "&amp;'PROJETO PERFURAÇÃO'!$H$2</f>
        <v>LIB065 - PP0651026</v>
      </c>
      <c r="C652" s="19"/>
      <c r="D652" s="19"/>
      <c r="E652" s="19"/>
      <c r="F652" s="19"/>
      <c r="G652" s="19"/>
      <c r="H652" s="19"/>
      <c r="I652" s="11" t="s">
        <v>34</v>
      </c>
      <c r="J652" s="10" t="s">
        <v>37</v>
      </c>
    </row>
    <row r="653" spans="1:23" ht="30" customHeight="1" x14ac:dyDescent="0.25">
      <c r="B653" s="19"/>
      <c r="C653" s="19"/>
      <c r="D653" s="19"/>
      <c r="E653" s="19"/>
      <c r="F653" s="19"/>
      <c r="G653" s="19"/>
      <c r="H653" s="19"/>
      <c r="I653" s="12" t="s">
        <v>35</v>
      </c>
      <c r="J653" s="10" t="s">
        <v>38</v>
      </c>
      <c r="K653" s="9"/>
      <c r="L653" s="9"/>
      <c r="M653" s="9"/>
      <c r="N653" s="9"/>
      <c r="O653" s="9"/>
      <c r="P653" s="9"/>
      <c r="Q653" s="9"/>
      <c r="R653" s="9"/>
      <c r="S653" s="9"/>
      <c r="T653" s="9"/>
      <c r="U653" s="9"/>
      <c r="V653" s="9"/>
    </row>
    <row r="654" spans="1:23" ht="30" customHeight="1" x14ac:dyDescent="0.25">
      <c r="B654" s="19"/>
      <c r="C654" s="19"/>
      <c r="D654" s="19"/>
      <c r="E654" s="19"/>
      <c r="F654" s="19"/>
      <c r="G654" s="19"/>
      <c r="H654" s="19"/>
      <c r="I654" s="13" t="s">
        <v>36</v>
      </c>
      <c r="J654" s="10" t="s">
        <v>39</v>
      </c>
    </row>
    <row r="655" spans="1:23" ht="30" customHeight="1" x14ac:dyDescent="0.25">
      <c r="A655" s="1"/>
      <c r="B655" s="6" t="s">
        <v>33</v>
      </c>
      <c r="C655" s="6" t="s">
        <v>13</v>
      </c>
      <c r="D655" s="7" t="s">
        <v>1</v>
      </c>
      <c r="E655" s="7" t="s">
        <v>29</v>
      </c>
      <c r="F655" s="7" t="s">
        <v>30</v>
      </c>
      <c r="G655" s="7" t="s">
        <v>31</v>
      </c>
      <c r="H655" s="7" t="s">
        <v>32</v>
      </c>
      <c r="I655" s="6" t="s">
        <v>33</v>
      </c>
      <c r="J655" s="6" t="s">
        <v>13</v>
      </c>
      <c r="K655" s="7" t="s">
        <v>1</v>
      </c>
      <c r="L655" s="7" t="s">
        <v>29</v>
      </c>
      <c r="M655" s="7" t="s">
        <v>30</v>
      </c>
      <c r="N655" s="7" t="s">
        <v>31</v>
      </c>
      <c r="O655" s="7" t="s">
        <v>32</v>
      </c>
      <c r="P655" s="6" t="s">
        <v>33</v>
      </c>
      <c r="Q655" s="6" t="s">
        <v>13</v>
      </c>
      <c r="R655" s="7" t="s">
        <v>1</v>
      </c>
      <c r="S655" s="7" t="s">
        <v>29</v>
      </c>
      <c r="T655" s="7" t="s">
        <v>30</v>
      </c>
      <c r="U655" s="7" t="s">
        <v>31</v>
      </c>
      <c r="V655" s="7" t="s">
        <v>32</v>
      </c>
      <c r="W655" s="1"/>
    </row>
    <row r="656" spans="1:23" ht="45" customHeight="1" x14ac:dyDescent="0.25">
      <c r="B656" s="3" t="str">
        <f>IFERROR(ROUND(INDEX('PROJETO PERFURAÇÃO'!$AB:$AB,MATCH(MEDIÇÃO!D656,'PROJETO PERFURAÇÃO'!$B:$B,0)),1)&amp;"''","")</f>
        <v/>
      </c>
      <c r="C656" s="3" t="str">
        <f>IFERROR(IF(INDEX('PROJETO PERFURAÇÃO'!$P:$P,MATCH(MEDIÇÃO!D656,'PROJETO PERFURAÇÃO'!$B:$B,0))="Production","P",IF(INDEX('PROJETO PERFURAÇÃO'!$P:$P,MATCH(MEDIÇÃO!D656,'PROJETO PERFURAÇÃO'!$B:$B,0))="Buffer","B",IF(INDEX('PROJETO PERFURAÇÃO'!$P:$P,MATCH(MEDIÇÃO!D656,'PROJETO PERFURAÇÃO'!$B:$B,0))="Pre-Splitting","S"))),"")</f>
        <v/>
      </c>
      <c r="D656" s="14">
        <f>R647+1</f>
        <v>1450</v>
      </c>
      <c r="E656" s="4" t="str">
        <f>IFERROR(INDEX('LEV R&amp;D'!$D:$D,MATCH(MEDIÇÃO!D656,'LEV R&amp;D'!$A:$A,0))-INDEX('PROJETO PERFURAÇÃO'!$AH:$AH,MATCH(MEDIÇÃO!D656,'PROJETO PERFURAÇÃO'!$B:$B,0)),"")</f>
        <v/>
      </c>
      <c r="F656" s="8" t="str">
        <f>IFERROR(INDEX('PROJETO PERFURAÇÃO'!$AN:$AN,MATCH(MEDIÇÃO!D656,'PROJETO PERFURAÇÃO'!$B:$B,0)),"")</f>
        <v/>
      </c>
      <c r="G656" s="3"/>
      <c r="H656" s="3"/>
      <c r="I656" s="3" t="str">
        <f>IFERROR(ROUND(INDEX('PROJETO PERFURAÇÃO'!$AB:$AB,MATCH(MEDIÇÃO!K656,'PROJETO PERFURAÇÃO'!$B:$B,0)),1)&amp;"''","")</f>
        <v/>
      </c>
      <c r="J656" s="3" t="str">
        <f>IFERROR(IF(INDEX('PROJETO PERFURAÇÃO'!$P:$P,MATCH(MEDIÇÃO!K656,'PROJETO PERFURAÇÃO'!$B:$B,0))="Production","P",IF(INDEX('PROJETO PERFURAÇÃO'!$P:$P,MATCH(MEDIÇÃO!K656,'PROJETO PERFURAÇÃO'!$B:$B,0))="Buffer","B",IF(INDEX('PROJETO PERFURAÇÃO'!$P:$P,MATCH(MEDIÇÃO!K656,'PROJETO PERFURAÇÃO'!$B:$B,0))="Pre-Splitting","S"))),"")</f>
        <v/>
      </c>
      <c r="K656" s="14">
        <f>D678+1</f>
        <v>1473</v>
      </c>
      <c r="L656" s="4" t="str">
        <f>IFERROR(INDEX('LEV R&amp;D'!$D:$D,MATCH(MEDIÇÃO!K656,'LEV R&amp;D'!$A:$A,0))-INDEX('PROJETO PERFURAÇÃO'!$AH:$AH,MATCH(MEDIÇÃO!K656,'PROJETO PERFURAÇÃO'!$B:$B,0)),"")</f>
        <v/>
      </c>
      <c r="M656" s="8" t="str">
        <f>IFERROR(INDEX('PROJETO PERFURAÇÃO'!$AN:$AN,MATCH(MEDIÇÃO!K656,'PROJETO PERFURAÇÃO'!$B:$B,0)),"")</f>
        <v/>
      </c>
      <c r="N656" s="3"/>
      <c r="O656" s="3"/>
      <c r="P656" s="3" t="str">
        <f>IFERROR(ROUND(INDEX('PROJETO PERFURAÇÃO'!$AB:$AB,MATCH(MEDIÇÃO!R656,'PROJETO PERFURAÇÃO'!$B:$B,0)),1)&amp;"''","")</f>
        <v/>
      </c>
      <c r="Q656" s="3" t="str">
        <f>IFERROR(IF(INDEX('PROJETO PERFURAÇÃO'!$P:$P,MATCH(MEDIÇÃO!R656,'PROJETO PERFURAÇÃO'!$B:$B,0))="Production","P",IF(INDEX('PROJETO PERFURAÇÃO'!$P:$P,MATCH(MEDIÇÃO!R656,'PROJETO PERFURAÇÃO'!$B:$B,0))="Buffer","B",IF(INDEX('PROJETO PERFURAÇÃO'!$P:$P,MATCH(MEDIÇÃO!R656,'PROJETO PERFURAÇÃO'!$B:$B,0))="Pre-Splitting","S"))),"")</f>
        <v/>
      </c>
      <c r="R656" s="14">
        <f>K678+1</f>
        <v>1496</v>
      </c>
      <c r="S656" s="4" t="str">
        <f>IFERROR(INDEX('LEV R&amp;D'!$D:$D,MATCH(MEDIÇÃO!R656,'LEV R&amp;D'!$A:$A,0))-INDEX('PROJETO PERFURAÇÃO'!$AH:$AH,MATCH(MEDIÇÃO!R656,'PROJETO PERFURAÇÃO'!$B:$B,0)),"")</f>
        <v/>
      </c>
      <c r="T656" s="8" t="str">
        <f>IFERROR(INDEX('PROJETO PERFURAÇÃO'!$AN:$AN,MATCH(MEDIÇÃO!R656,'PROJETO PERFURAÇÃO'!$B:$B,0)),"")</f>
        <v/>
      </c>
      <c r="U656" s="3"/>
      <c r="V656" s="3"/>
    </row>
    <row r="657" spans="2:22" ht="45" customHeight="1" x14ac:dyDescent="0.25">
      <c r="B657" s="3" t="str">
        <f>IFERROR(ROUND(INDEX('PROJETO PERFURAÇÃO'!$AB:$AB,MATCH(MEDIÇÃO!D657,'PROJETO PERFURAÇÃO'!$B:$B,0)),1)&amp;"''","")</f>
        <v/>
      </c>
      <c r="C657" s="3" t="str">
        <f>IFERROR(IF(INDEX('PROJETO PERFURAÇÃO'!$P:$P,MATCH(MEDIÇÃO!D657,'PROJETO PERFURAÇÃO'!$B:$B,0))="Production","P",IF(INDEX('PROJETO PERFURAÇÃO'!$P:$P,MATCH(MEDIÇÃO!D657,'PROJETO PERFURAÇÃO'!$B:$B,0))="Buffer","B",IF(INDEX('PROJETO PERFURAÇÃO'!$P:$P,MATCH(MEDIÇÃO!D657,'PROJETO PERFURAÇÃO'!$B:$B,0))="Pre-Splitting","S"))),"")</f>
        <v/>
      </c>
      <c r="D657" s="14">
        <f>D656+1</f>
        <v>1451</v>
      </c>
      <c r="E657" s="4" t="str">
        <f>IFERROR(INDEX('LEV R&amp;D'!$D:$D,MATCH(MEDIÇÃO!D657,'LEV R&amp;D'!$A:$A,0))-INDEX('PROJETO PERFURAÇÃO'!$AH:$AH,MATCH(MEDIÇÃO!D657,'PROJETO PERFURAÇÃO'!$B:$B,0)),"")</f>
        <v/>
      </c>
      <c r="F657" s="8" t="str">
        <f>IFERROR(INDEX('PROJETO PERFURAÇÃO'!$AN:$AN,MATCH(MEDIÇÃO!D657,'PROJETO PERFURAÇÃO'!$B:$B,0)),"")</f>
        <v/>
      </c>
      <c r="G657" s="3"/>
      <c r="H657" s="3"/>
      <c r="I657" s="3" t="str">
        <f>IFERROR(ROUND(INDEX('PROJETO PERFURAÇÃO'!$AB:$AB,MATCH(MEDIÇÃO!K657,'PROJETO PERFURAÇÃO'!$B:$B,0)),1)&amp;"''","")</f>
        <v/>
      </c>
      <c r="J657" s="3" t="str">
        <f>IFERROR(IF(INDEX('PROJETO PERFURAÇÃO'!$P:$P,MATCH(MEDIÇÃO!K657,'PROJETO PERFURAÇÃO'!$B:$B,0))="Production","P",IF(INDEX('PROJETO PERFURAÇÃO'!$P:$P,MATCH(MEDIÇÃO!K657,'PROJETO PERFURAÇÃO'!$B:$B,0))="Buffer","B",IF(INDEX('PROJETO PERFURAÇÃO'!$P:$P,MATCH(MEDIÇÃO!K657,'PROJETO PERFURAÇÃO'!$B:$B,0))="Pre-Splitting","S"))),"")</f>
        <v/>
      </c>
      <c r="K657" s="14">
        <f>K656+1</f>
        <v>1474</v>
      </c>
      <c r="L657" s="4" t="str">
        <f>IFERROR(INDEX('LEV R&amp;D'!$D:$D,MATCH(MEDIÇÃO!K657,'LEV R&amp;D'!$A:$A,0))-INDEX('PROJETO PERFURAÇÃO'!$AH:$AH,MATCH(MEDIÇÃO!K657,'PROJETO PERFURAÇÃO'!$B:$B,0)),"")</f>
        <v/>
      </c>
      <c r="M657" s="8" t="str">
        <f>IFERROR(INDEX('PROJETO PERFURAÇÃO'!$AN:$AN,MATCH(MEDIÇÃO!K657,'PROJETO PERFURAÇÃO'!$B:$B,0)),"")</f>
        <v/>
      </c>
      <c r="N657" s="3"/>
      <c r="O657" s="3"/>
      <c r="P657" s="3" t="str">
        <f>IFERROR(ROUND(INDEX('PROJETO PERFURAÇÃO'!$AB:$AB,MATCH(MEDIÇÃO!R657,'PROJETO PERFURAÇÃO'!$B:$B,0)),1)&amp;"''","")</f>
        <v/>
      </c>
      <c r="Q657" s="3" t="str">
        <f>IFERROR(IF(INDEX('PROJETO PERFURAÇÃO'!$P:$P,MATCH(MEDIÇÃO!R657,'PROJETO PERFURAÇÃO'!$B:$B,0))="Production","P",IF(INDEX('PROJETO PERFURAÇÃO'!$P:$P,MATCH(MEDIÇÃO!R657,'PROJETO PERFURAÇÃO'!$B:$B,0))="Buffer","B",IF(INDEX('PROJETO PERFURAÇÃO'!$P:$P,MATCH(MEDIÇÃO!R657,'PROJETO PERFURAÇÃO'!$B:$B,0))="Pre-Splitting","S"))),"")</f>
        <v/>
      </c>
      <c r="R657" s="14">
        <f>R656+1</f>
        <v>1497</v>
      </c>
      <c r="S657" s="4" t="str">
        <f>IFERROR(INDEX('LEV R&amp;D'!$D:$D,MATCH(MEDIÇÃO!R657,'LEV R&amp;D'!$A:$A,0))-INDEX('PROJETO PERFURAÇÃO'!$AH:$AH,MATCH(MEDIÇÃO!R657,'PROJETO PERFURAÇÃO'!$B:$B,0)),"")</f>
        <v/>
      </c>
      <c r="T657" s="8" t="str">
        <f>IFERROR(INDEX('PROJETO PERFURAÇÃO'!$AN:$AN,MATCH(MEDIÇÃO!R657,'PROJETO PERFURAÇÃO'!$B:$B,0)),"")</f>
        <v/>
      </c>
      <c r="U657" s="3"/>
      <c r="V657" s="3"/>
    </row>
    <row r="658" spans="2:22" ht="45" customHeight="1" x14ac:dyDescent="0.25">
      <c r="B658" s="3" t="str">
        <f>IFERROR(ROUND(INDEX('PROJETO PERFURAÇÃO'!$AB:$AB,MATCH(MEDIÇÃO!D658,'PROJETO PERFURAÇÃO'!$B:$B,0)),1)&amp;"''","")</f>
        <v/>
      </c>
      <c r="C658" s="3" t="str">
        <f>IFERROR(IF(INDEX('PROJETO PERFURAÇÃO'!$P:$P,MATCH(MEDIÇÃO!D658,'PROJETO PERFURAÇÃO'!$B:$B,0))="Production","P",IF(INDEX('PROJETO PERFURAÇÃO'!$P:$P,MATCH(MEDIÇÃO!D658,'PROJETO PERFURAÇÃO'!$B:$B,0))="Buffer","B",IF(INDEX('PROJETO PERFURAÇÃO'!$P:$P,MATCH(MEDIÇÃO!D658,'PROJETO PERFURAÇÃO'!$B:$B,0))="Pre-Splitting","S"))),"")</f>
        <v/>
      </c>
      <c r="D658" s="14">
        <f t="shared" ref="D658:D678" si="63">D657+1</f>
        <v>1452</v>
      </c>
      <c r="E658" s="4" t="str">
        <f>IFERROR(INDEX('LEV R&amp;D'!$D:$D,MATCH(MEDIÇÃO!D658,'LEV R&amp;D'!$A:$A,0))-INDEX('PROJETO PERFURAÇÃO'!$AH:$AH,MATCH(MEDIÇÃO!D658,'PROJETO PERFURAÇÃO'!$B:$B,0)),"")</f>
        <v/>
      </c>
      <c r="F658" s="8" t="str">
        <f>IFERROR(INDEX('PROJETO PERFURAÇÃO'!$AN:$AN,MATCH(MEDIÇÃO!D658,'PROJETO PERFURAÇÃO'!$B:$B,0)),"")</f>
        <v/>
      </c>
      <c r="G658" s="3"/>
      <c r="H658" s="3"/>
      <c r="I658" s="3" t="str">
        <f>IFERROR(ROUND(INDEX('PROJETO PERFURAÇÃO'!$AB:$AB,MATCH(MEDIÇÃO!K658,'PROJETO PERFURAÇÃO'!$B:$B,0)),1)&amp;"''","")</f>
        <v/>
      </c>
      <c r="J658" s="3" t="str">
        <f>IFERROR(IF(INDEX('PROJETO PERFURAÇÃO'!$P:$P,MATCH(MEDIÇÃO!K658,'PROJETO PERFURAÇÃO'!$B:$B,0))="Production","P",IF(INDEX('PROJETO PERFURAÇÃO'!$P:$P,MATCH(MEDIÇÃO!K658,'PROJETO PERFURAÇÃO'!$B:$B,0))="Buffer","B",IF(INDEX('PROJETO PERFURAÇÃO'!$P:$P,MATCH(MEDIÇÃO!K658,'PROJETO PERFURAÇÃO'!$B:$B,0))="Pre-Splitting","S"))),"")</f>
        <v/>
      </c>
      <c r="K658" s="14">
        <f t="shared" ref="K658:K677" si="64">K657+1</f>
        <v>1475</v>
      </c>
      <c r="L658" s="4" t="str">
        <f>IFERROR(INDEX('LEV R&amp;D'!$D:$D,MATCH(MEDIÇÃO!K658,'LEV R&amp;D'!$A:$A,0))-INDEX('PROJETO PERFURAÇÃO'!$AH:$AH,MATCH(MEDIÇÃO!K658,'PROJETO PERFURAÇÃO'!$B:$B,0)),"")</f>
        <v/>
      </c>
      <c r="M658" s="8" t="str">
        <f>IFERROR(INDEX('PROJETO PERFURAÇÃO'!$AN:$AN,MATCH(MEDIÇÃO!K658,'PROJETO PERFURAÇÃO'!$B:$B,0)),"")</f>
        <v/>
      </c>
      <c r="N658" s="3"/>
      <c r="O658" s="3"/>
      <c r="P658" s="3" t="str">
        <f>IFERROR(ROUND(INDEX('PROJETO PERFURAÇÃO'!$AB:$AB,MATCH(MEDIÇÃO!R658,'PROJETO PERFURAÇÃO'!$B:$B,0)),1)&amp;"''","")</f>
        <v/>
      </c>
      <c r="Q658" s="3" t="str">
        <f>IFERROR(IF(INDEX('PROJETO PERFURAÇÃO'!$P:$P,MATCH(MEDIÇÃO!R658,'PROJETO PERFURAÇÃO'!$B:$B,0))="Production","P",IF(INDEX('PROJETO PERFURAÇÃO'!$P:$P,MATCH(MEDIÇÃO!R658,'PROJETO PERFURAÇÃO'!$B:$B,0))="Buffer","B",IF(INDEX('PROJETO PERFURAÇÃO'!$P:$P,MATCH(MEDIÇÃO!R658,'PROJETO PERFURAÇÃO'!$B:$B,0))="Pre-Splitting","S"))),"")</f>
        <v/>
      </c>
      <c r="R658" s="14">
        <f t="shared" ref="R658:R677" si="65">R657+1</f>
        <v>1498</v>
      </c>
      <c r="S658" s="4" t="str">
        <f>IFERROR(INDEX('LEV R&amp;D'!$D:$D,MATCH(MEDIÇÃO!R658,'LEV R&amp;D'!$A:$A,0))-INDEX('PROJETO PERFURAÇÃO'!$AH:$AH,MATCH(MEDIÇÃO!R658,'PROJETO PERFURAÇÃO'!$B:$B,0)),"")</f>
        <v/>
      </c>
      <c r="T658" s="8" t="str">
        <f>IFERROR(INDEX('PROJETO PERFURAÇÃO'!$AN:$AN,MATCH(MEDIÇÃO!R658,'PROJETO PERFURAÇÃO'!$B:$B,0)),"")</f>
        <v/>
      </c>
      <c r="U658" s="3"/>
      <c r="V658" s="3"/>
    </row>
    <row r="659" spans="2:22" ht="45" customHeight="1" x14ac:dyDescent="0.25">
      <c r="B659" s="3" t="str">
        <f>IFERROR(ROUND(INDEX('PROJETO PERFURAÇÃO'!$AB:$AB,MATCH(MEDIÇÃO!D659,'PROJETO PERFURAÇÃO'!$B:$B,0)),1)&amp;"''","")</f>
        <v/>
      </c>
      <c r="C659" s="3" t="str">
        <f>IFERROR(IF(INDEX('PROJETO PERFURAÇÃO'!$P:$P,MATCH(MEDIÇÃO!D659,'PROJETO PERFURAÇÃO'!$B:$B,0))="Production","P",IF(INDEX('PROJETO PERFURAÇÃO'!$P:$P,MATCH(MEDIÇÃO!D659,'PROJETO PERFURAÇÃO'!$B:$B,0))="Buffer","B",IF(INDEX('PROJETO PERFURAÇÃO'!$P:$P,MATCH(MEDIÇÃO!D659,'PROJETO PERFURAÇÃO'!$B:$B,0))="Pre-Splitting","S"))),"")</f>
        <v/>
      </c>
      <c r="D659" s="14">
        <f t="shared" si="63"/>
        <v>1453</v>
      </c>
      <c r="E659" s="4" t="str">
        <f>IFERROR(INDEX('LEV R&amp;D'!$D:$D,MATCH(MEDIÇÃO!D659,'LEV R&amp;D'!$A:$A,0))-INDEX('PROJETO PERFURAÇÃO'!$AH:$AH,MATCH(MEDIÇÃO!D659,'PROJETO PERFURAÇÃO'!$B:$B,0)),"")</f>
        <v/>
      </c>
      <c r="F659" s="8" t="str">
        <f>IFERROR(INDEX('PROJETO PERFURAÇÃO'!$AN:$AN,MATCH(MEDIÇÃO!D659,'PROJETO PERFURAÇÃO'!$B:$B,0)),"")</f>
        <v/>
      </c>
      <c r="G659" s="3"/>
      <c r="H659" s="3"/>
      <c r="I659" s="3" t="str">
        <f>IFERROR(ROUND(INDEX('PROJETO PERFURAÇÃO'!$AB:$AB,MATCH(MEDIÇÃO!K659,'PROJETO PERFURAÇÃO'!$B:$B,0)),1)&amp;"''","")</f>
        <v/>
      </c>
      <c r="J659" s="3" t="str">
        <f>IFERROR(IF(INDEX('PROJETO PERFURAÇÃO'!$P:$P,MATCH(MEDIÇÃO!K659,'PROJETO PERFURAÇÃO'!$B:$B,0))="Production","P",IF(INDEX('PROJETO PERFURAÇÃO'!$P:$P,MATCH(MEDIÇÃO!K659,'PROJETO PERFURAÇÃO'!$B:$B,0))="Buffer","B",IF(INDEX('PROJETO PERFURAÇÃO'!$P:$P,MATCH(MEDIÇÃO!K659,'PROJETO PERFURAÇÃO'!$B:$B,0))="Pre-Splitting","S"))),"")</f>
        <v/>
      </c>
      <c r="K659" s="14">
        <f t="shared" si="64"/>
        <v>1476</v>
      </c>
      <c r="L659" s="4" t="str">
        <f>IFERROR(INDEX('LEV R&amp;D'!$D:$D,MATCH(MEDIÇÃO!K659,'LEV R&amp;D'!$A:$A,0))-INDEX('PROJETO PERFURAÇÃO'!$AH:$AH,MATCH(MEDIÇÃO!K659,'PROJETO PERFURAÇÃO'!$B:$B,0)),"")</f>
        <v/>
      </c>
      <c r="M659" s="8" t="str">
        <f>IFERROR(INDEX('PROJETO PERFURAÇÃO'!$AN:$AN,MATCH(MEDIÇÃO!K659,'PROJETO PERFURAÇÃO'!$B:$B,0)),"")</f>
        <v/>
      </c>
      <c r="N659" s="3"/>
      <c r="O659" s="3"/>
      <c r="P659" s="3" t="str">
        <f>IFERROR(ROUND(INDEX('PROJETO PERFURAÇÃO'!$AB:$AB,MATCH(MEDIÇÃO!R659,'PROJETO PERFURAÇÃO'!$B:$B,0)),1)&amp;"''","")</f>
        <v/>
      </c>
      <c r="Q659" s="3" t="str">
        <f>IFERROR(IF(INDEX('PROJETO PERFURAÇÃO'!$P:$P,MATCH(MEDIÇÃO!R659,'PROJETO PERFURAÇÃO'!$B:$B,0))="Production","P",IF(INDEX('PROJETO PERFURAÇÃO'!$P:$P,MATCH(MEDIÇÃO!R659,'PROJETO PERFURAÇÃO'!$B:$B,0))="Buffer","B",IF(INDEX('PROJETO PERFURAÇÃO'!$P:$P,MATCH(MEDIÇÃO!R659,'PROJETO PERFURAÇÃO'!$B:$B,0))="Pre-Splitting","S"))),"")</f>
        <v/>
      </c>
      <c r="R659" s="14">
        <f t="shared" si="65"/>
        <v>1499</v>
      </c>
      <c r="S659" s="4" t="str">
        <f>IFERROR(INDEX('LEV R&amp;D'!$D:$D,MATCH(MEDIÇÃO!R659,'LEV R&amp;D'!$A:$A,0))-INDEX('PROJETO PERFURAÇÃO'!$AH:$AH,MATCH(MEDIÇÃO!R659,'PROJETO PERFURAÇÃO'!$B:$B,0)),"")</f>
        <v/>
      </c>
      <c r="T659" s="8" t="str">
        <f>IFERROR(INDEX('PROJETO PERFURAÇÃO'!$AN:$AN,MATCH(MEDIÇÃO!R659,'PROJETO PERFURAÇÃO'!$B:$B,0)),"")</f>
        <v/>
      </c>
      <c r="U659" s="3"/>
      <c r="V659" s="3"/>
    </row>
    <row r="660" spans="2:22" ht="45" customHeight="1" x14ac:dyDescent="0.25">
      <c r="B660" s="3" t="str">
        <f>IFERROR(ROUND(INDEX('PROJETO PERFURAÇÃO'!$AB:$AB,MATCH(MEDIÇÃO!D660,'PROJETO PERFURAÇÃO'!$B:$B,0)),1)&amp;"''","")</f>
        <v/>
      </c>
      <c r="C660" s="3" t="str">
        <f>IFERROR(IF(INDEX('PROJETO PERFURAÇÃO'!$P:$P,MATCH(MEDIÇÃO!D660,'PROJETO PERFURAÇÃO'!$B:$B,0))="Production","P",IF(INDEX('PROJETO PERFURAÇÃO'!$P:$P,MATCH(MEDIÇÃO!D660,'PROJETO PERFURAÇÃO'!$B:$B,0))="Buffer","B",IF(INDEX('PROJETO PERFURAÇÃO'!$P:$P,MATCH(MEDIÇÃO!D660,'PROJETO PERFURAÇÃO'!$B:$B,0))="Pre-Splitting","S"))),"")</f>
        <v/>
      </c>
      <c r="D660" s="14">
        <f t="shared" si="63"/>
        <v>1454</v>
      </c>
      <c r="E660" s="4" t="str">
        <f>IFERROR(INDEX('LEV R&amp;D'!$D:$D,MATCH(MEDIÇÃO!D660,'LEV R&amp;D'!$A:$A,0))-INDEX('PROJETO PERFURAÇÃO'!$AH:$AH,MATCH(MEDIÇÃO!D660,'PROJETO PERFURAÇÃO'!$B:$B,0)),"")</f>
        <v/>
      </c>
      <c r="F660" s="8" t="str">
        <f>IFERROR(INDEX('PROJETO PERFURAÇÃO'!$AN:$AN,MATCH(MEDIÇÃO!D660,'PROJETO PERFURAÇÃO'!$B:$B,0)),"")</f>
        <v/>
      </c>
      <c r="G660" s="3"/>
      <c r="H660" s="3"/>
      <c r="I660" s="3" t="str">
        <f>IFERROR(ROUND(INDEX('PROJETO PERFURAÇÃO'!$AB:$AB,MATCH(MEDIÇÃO!K660,'PROJETO PERFURAÇÃO'!$B:$B,0)),1)&amp;"''","")</f>
        <v/>
      </c>
      <c r="J660" s="3" t="str">
        <f>IFERROR(IF(INDEX('PROJETO PERFURAÇÃO'!$P:$P,MATCH(MEDIÇÃO!K660,'PROJETO PERFURAÇÃO'!$B:$B,0))="Production","P",IF(INDEX('PROJETO PERFURAÇÃO'!$P:$P,MATCH(MEDIÇÃO!K660,'PROJETO PERFURAÇÃO'!$B:$B,0))="Buffer","B",IF(INDEX('PROJETO PERFURAÇÃO'!$P:$P,MATCH(MEDIÇÃO!K660,'PROJETO PERFURAÇÃO'!$B:$B,0))="Pre-Splitting","S"))),"")</f>
        <v/>
      </c>
      <c r="K660" s="14">
        <f t="shared" si="64"/>
        <v>1477</v>
      </c>
      <c r="L660" s="4" t="str">
        <f>IFERROR(INDEX('LEV R&amp;D'!$D:$D,MATCH(MEDIÇÃO!K660,'LEV R&amp;D'!$A:$A,0))-INDEX('PROJETO PERFURAÇÃO'!$AH:$AH,MATCH(MEDIÇÃO!K660,'PROJETO PERFURAÇÃO'!$B:$B,0)),"")</f>
        <v/>
      </c>
      <c r="M660" s="8" t="str">
        <f>IFERROR(INDEX('PROJETO PERFURAÇÃO'!$AN:$AN,MATCH(MEDIÇÃO!K660,'PROJETO PERFURAÇÃO'!$B:$B,0)),"")</f>
        <v/>
      </c>
      <c r="N660" s="3"/>
      <c r="O660" s="3"/>
      <c r="P660" s="3" t="str">
        <f>IFERROR(ROUND(INDEX('PROJETO PERFURAÇÃO'!$AB:$AB,MATCH(MEDIÇÃO!R660,'PROJETO PERFURAÇÃO'!$B:$B,0)),1)&amp;"''","")</f>
        <v/>
      </c>
      <c r="Q660" s="3" t="str">
        <f>IFERROR(IF(INDEX('PROJETO PERFURAÇÃO'!$P:$P,MATCH(MEDIÇÃO!R660,'PROJETO PERFURAÇÃO'!$B:$B,0))="Production","P",IF(INDEX('PROJETO PERFURAÇÃO'!$P:$P,MATCH(MEDIÇÃO!R660,'PROJETO PERFURAÇÃO'!$B:$B,0))="Buffer","B",IF(INDEX('PROJETO PERFURAÇÃO'!$P:$P,MATCH(MEDIÇÃO!R660,'PROJETO PERFURAÇÃO'!$B:$B,0))="Pre-Splitting","S"))),"")</f>
        <v/>
      </c>
      <c r="R660" s="14">
        <f t="shared" si="65"/>
        <v>1500</v>
      </c>
      <c r="S660" s="4" t="str">
        <f>IFERROR(INDEX('LEV R&amp;D'!$D:$D,MATCH(MEDIÇÃO!R660,'LEV R&amp;D'!$A:$A,0))-INDEX('PROJETO PERFURAÇÃO'!$AH:$AH,MATCH(MEDIÇÃO!R660,'PROJETO PERFURAÇÃO'!$B:$B,0)),"")</f>
        <v/>
      </c>
      <c r="T660" s="8" t="str">
        <f>IFERROR(INDEX('PROJETO PERFURAÇÃO'!$AN:$AN,MATCH(MEDIÇÃO!R660,'PROJETO PERFURAÇÃO'!$B:$B,0)),"")</f>
        <v/>
      </c>
      <c r="U660" s="3"/>
      <c r="V660" s="3"/>
    </row>
    <row r="661" spans="2:22" ht="45" customHeight="1" x14ac:dyDescent="0.25">
      <c r="B661" s="3" t="str">
        <f>IFERROR(ROUND(INDEX('PROJETO PERFURAÇÃO'!$AB:$AB,MATCH(MEDIÇÃO!D661,'PROJETO PERFURAÇÃO'!$B:$B,0)),1)&amp;"''","")</f>
        <v/>
      </c>
      <c r="C661" s="3" t="str">
        <f>IFERROR(IF(INDEX('PROJETO PERFURAÇÃO'!$P:$P,MATCH(MEDIÇÃO!D661,'PROJETO PERFURAÇÃO'!$B:$B,0))="Production","P",IF(INDEX('PROJETO PERFURAÇÃO'!$P:$P,MATCH(MEDIÇÃO!D661,'PROJETO PERFURAÇÃO'!$B:$B,0))="Buffer","B",IF(INDEX('PROJETO PERFURAÇÃO'!$P:$P,MATCH(MEDIÇÃO!D661,'PROJETO PERFURAÇÃO'!$B:$B,0))="Pre-Splitting","S"))),"")</f>
        <v/>
      </c>
      <c r="D661" s="14">
        <f t="shared" si="63"/>
        <v>1455</v>
      </c>
      <c r="E661" s="4" t="str">
        <f>IFERROR(INDEX('LEV R&amp;D'!$D:$D,MATCH(MEDIÇÃO!D661,'LEV R&amp;D'!$A:$A,0))-INDEX('PROJETO PERFURAÇÃO'!$AH:$AH,MATCH(MEDIÇÃO!D661,'PROJETO PERFURAÇÃO'!$B:$B,0)),"")</f>
        <v/>
      </c>
      <c r="F661" s="8" t="str">
        <f>IFERROR(INDEX('PROJETO PERFURAÇÃO'!$AN:$AN,MATCH(MEDIÇÃO!D661,'PROJETO PERFURAÇÃO'!$B:$B,0)),"")</f>
        <v/>
      </c>
      <c r="G661" s="3"/>
      <c r="H661" s="3"/>
      <c r="I661" s="3" t="str">
        <f>IFERROR(ROUND(INDEX('PROJETO PERFURAÇÃO'!$AB:$AB,MATCH(MEDIÇÃO!K661,'PROJETO PERFURAÇÃO'!$B:$B,0)),1)&amp;"''","")</f>
        <v/>
      </c>
      <c r="J661" s="3" t="str">
        <f>IFERROR(IF(INDEX('PROJETO PERFURAÇÃO'!$P:$P,MATCH(MEDIÇÃO!K661,'PROJETO PERFURAÇÃO'!$B:$B,0))="Production","P",IF(INDEX('PROJETO PERFURAÇÃO'!$P:$P,MATCH(MEDIÇÃO!K661,'PROJETO PERFURAÇÃO'!$B:$B,0))="Buffer","B",IF(INDEX('PROJETO PERFURAÇÃO'!$P:$P,MATCH(MEDIÇÃO!K661,'PROJETO PERFURAÇÃO'!$B:$B,0))="Pre-Splitting","S"))),"")</f>
        <v/>
      </c>
      <c r="K661" s="14">
        <f t="shared" si="64"/>
        <v>1478</v>
      </c>
      <c r="L661" s="4" t="str">
        <f>IFERROR(INDEX('LEV R&amp;D'!$D:$D,MATCH(MEDIÇÃO!K661,'LEV R&amp;D'!$A:$A,0))-INDEX('PROJETO PERFURAÇÃO'!$AH:$AH,MATCH(MEDIÇÃO!K661,'PROJETO PERFURAÇÃO'!$B:$B,0)),"")</f>
        <v/>
      </c>
      <c r="M661" s="8" t="str">
        <f>IFERROR(INDEX('PROJETO PERFURAÇÃO'!$AN:$AN,MATCH(MEDIÇÃO!K661,'PROJETO PERFURAÇÃO'!$B:$B,0)),"")</f>
        <v/>
      </c>
      <c r="N661" s="3"/>
      <c r="O661" s="3"/>
      <c r="P661" s="3" t="str">
        <f>IFERROR(ROUND(INDEX('PROJETO PERFURAÇÃO'!$AB:$AB,MATCH(MEDIÇÃO!R661,'PROJETO PERFURAÇÃO'!$B:$B,0)),1)&amp;"''","")</f>
        <v/>
      </c>
      <c r="Q661" s="3" t="str">
        <f>IFERROR(IF(INDEX('PROJETO PERFURAÇÃO'!$P:$P,MATCH(MEDIÇÃO!R661,'PROJETO PERFURAÇÃO'!$B:$B,0))="Production","P",IF(INDEX('PROJETO PERFURAÇÃO'!$P:$P,MATCH(MEDIÇÃO!R661,'PROJETO PERFURAÇÃO'!$B:$B,0))="Buffer","B",IF(INDEX('PROJETO PERFURAÇÃO'!$P:$P,MATCH(MEDIÇÃO!R661,'PROJETO PERFURAÇÃO'!$B:$B,0))="Pre-Splitting","S"))),"")</f>
        <v/>
      </c>
      <c r="R661" s="14">
        <f t="shared" si="65"/>
        <v>1501</v>
      </c>
      <c r="S661" s="4" t="str">
        <f>IFERROR(INDEX('LEV R&amp;D'!$D:$D,MATCH(MEDIÇÃO!R661,'LEV R&amp;D'!$A:$A,0))-INDEX('PROJETO PERFURAÇÃO'!$AH:$AH,MATCH(MEDIÇÃO!R661,'PROJETO PERFURAÇÃO'!$B:$B,0)),"")</f>
        <v/>
      </c>
      <c r="T661" s="8" t="str">
        <f>IFERROR(INDEX('PROJETO PERFURAÇÃO'!$AN:$AN,MATCH(MEDIÇÃO!R661,'PROJETO PERFURAÇÃO'!$B:$B,0)),"")</f>
        <v/>
      </c>
      <c r="U661" s="3"/>
      <c r="V661" s="3"/>
    </row>
    <row r="662" spans="2:22" ht="45" customHeight="1" x14ac:dyDescent="0.25">
      <c r="B662" s="3" t="str">
        <f>IFERROR(ROUND(INDEX('PROJETO PERFURAÇÃO'!$AB:$AB,MATCH(MEDIÇÃO!D662,'PROJETO PERFURAÇÃO'!$B:$B,0)),1)&amp;"''","")</f>
        <v/>
      </c>
      <c r="C662" s="3" t="str">
        <f>IFERROR(IF(INDEX('PROJETO PERFURAÇÃO'!$P:$P,MATCH(MEDIÇÃO!D662,'PROJETO PERFURAÇÃO'!$B:$B,0))="Production","P",IF(INDEX('PROJETO PERFURAÇÃO'!$P:$P,MATCH(MEDIÇÃO!D662,'PROJETO PERFURAÇÃO'!$B:$B,0))="Buffer","B",IF(INDEX('PROJETO PERFURAÇÃO'!$P:$P,MATCH(MEDIÇÃO!D662,'PROJETO PERFURAÇÃO'!$B:$B,0))="Pre-Splitting","S"))),"")</f>
        <v/>
      </c>
      <c r="D662" s="14">
        <f t="shared" si="63"/>
        <v>1456</v>
      </c>
      <c r="E662" s="4" t="str">
        <f>IFERROR(INDEX('LEV R&amp;D'!$D:$D,MATCH(MEDIÇÃO!D662,'LEV R&amp;D'!$A:$A,0))-INDEX('PROJETO PERFURAÇÃO'!$AH:$AH,MATCH(MEDIÇÃO!D662,'PROJETO PERFURAÇÃO'!$B:$B,0)),"")</f>
        <v/>
      </c>
      <c r="F662" s="8" t="str">
        <f>IFERROR(INDEX('PROJETO PERFURAÇÃO'!$AN:$AN,MATCH(MEDIÇÃO!D662,'PROJETO PERFURAÇÃO'!$B:$B,0)),"")</f>
        <v/>
      </c>
      <c r="G662" s="3"/>
      <c r="H662" s="3"/>
      <c r="I662" s="3" t="str">
        <f>IFERROR(ROUND(INDEX('PROJETO PERFURAÇÃO'!$AB:$AB,MATCH(MEDIÇÃO!K662,'PROJETO PERFURAÇÃO'!$B:$B,0)),1)&amp;"''","")</f>
        <v/>
      </c>
      <c r="J662" s="3" t="str">
        <f>IFERROR(IF(INDEX('PROJETO PERFURAÇÃO'!$P:$P,MATCH(MEDIÇÃO!K662,'PROJETO PERFURAÇÃO'!$B:$B,0))="Production","P",IF(INDEX('PROJETO PERFURAÇÃO'!$P:$P,MATCH(MEDIÇÃO!K662,'PROJETO PERFURAÇÃO'!$B:$B,0))="Buffer","B",IF(INDEX('PROJETO PERFURAÇÃO'!$P:$P,MATCH(MEDIÇÃO!K662,'PROJETO PERFURAÇÃO'!$B:$B,0))="Pre-Splitting","S"))),"")</f>
        <v/>
      </c>
      <c r="K662" s="14">
        <f t="shared" si="64"/>
        <v>1479</v>
      </c>
      <c r="L662" s="4" t="str">
        <f>IFERROR(INDEX('LEV R&amp;D'!$D:$D,MATCH(MEDIÇÃO!K662,'LEV R&amp;D'!$A:$A,0))-INDEX('PROJETO PERFURAÇÃO'!$AH:$AH,MATCH(MEDIÇÃO!K662,'PROJETO PERFURAÇÃO'!$B:$B,0)),"")</f>
        <v/>
      </c>
      <c r="M662" s="8" t="str">
        <f>IFERROR(INDEX('PROJETO PERFURAÇÃO'!$AN:$AN,MATCH(MEDIÇÃO!K662,'PROJETO PERFURAÇÃO'!$B:$B,0)),"")</f>
        <v/>
      </c>
      <c r="N662" s="3"/>
      <c r="O662" s="3"/>
      <c r="P662" s="3" t="str">
        <f>IFERROR(ROUND(INDEX('PROJETO PERFURAÇÃO'!$AB:$AB,MATCH(MEDIÇÃO!R662,'PROJETO PERFURAÇÃO'!$B:$B,0)),1)&amp;"''","")</f>
        <v/>
      </c>
      <c r="Q662" s="3" t="str">
        <f>IFERROR(IF(INDEX('PROJETO PERFURAÇÃO'!$P:$P,MATCH(MEDIÇÃO!R662,'PROJETO PERFURAÇÃO'!$B:$B,0))="Production","P",IF(INDEX('PROJETO PERFURAÇÃO'!$P:$P,MATCH(MEDIÇÃO!R662,'PROJETO PERFURAÇÃO'!$B:$B,0))="Buffer","B",IF(INDEX('PROJETO PERFURAÇÃO'!$P:$P,MATCH(MEDIÇÃO!R662,'PROJETO PERFURAÇÃO'!$B:$B,0))="Pre-Splitting","S"))),"")</f>
        <v/>
      </c>
      <c r="R662" s="14">
        <f t="shared" si="65"/>
        <v>1502</v>
      </c>
      <c r="S662" s="4" t="str">
        <f>IFERROR(INDEX('LEV R&amp;D'!$D:$D,MATCH(MEDIÇÃO!R662,'LEV R&amp;D'!$A:$A,0))-INDEX('PROJETO PERFURAÇÃO'!$AH:$AH,MATCH(MEDIÇÃO!R662,'PROJETO PERFURAÇÃO'!$B:$B,0)),"")</f>
        <v/>
      </c>
      <c r="T662" s="8" t="str">
        <f>IFERROR(INDEX('PROJETO PERFURAÇÃO'!$AN:$AN,MATCH(MEDIÇÃO!R662,'PROJETO PERFURAÇÃO'!$B:$B,0)),"")</f>
        <v/>
      </c>
      <c r="U662" s="3"/>
      <c r="V662" s="3"/>
    </row>
    <row r="663" spans="2:22" ht="45" customHeight="1" x14ac:dyDescent="0.25">
      <c r="B663" s="3" t="str">
        <f>IFERROR(ROUND(INDEX('PROJETO PERFURAÇÃO'!$AB:$AB,MATCH(MEDIÇÃO!D663,'PROJETO PERFURAÇÃO'!$B:$B,0)),1)&amp;"''","")</f>
        <v/>
      </c>
      <c r="C663" s="3" t="str">
        <f>IFERROR(IF(INDEX('PROJETO PERFURAÇÃO'!$P:$P,MATCH(MEDIÇÃO!D663,'PROJETO PERFURAÇÃO'!$B:$B,0))="Production","P",IF(INDEX('PROJETO PERFURAÇÃO'!$P:$P,MATCH(MEDIÇÃO!D663,'PROJETO PERFURAÇÃO'!$B:$B,0))="Buffer","B",IF(INDEX('PROJETO PERFURAÇÃO'!$P:$P,MATCH(MEDIÇÃO!D663,'PROJETO PERFURAÇÃO'!$B:$B,0))="Pre-Splitting","S"))),"")</f>
        <v/>
      </c>
      <c r="D663" s="14">
        <f t="shared" si="63"/>
        <v>1457</v>
      </c>
      <c r="E663" s="4" t="str">
        <f>IFERROR(INDEX('LEV R&amp;D'!$D:$D,MATCH(MEDIÇÃO!D663,'LEV R&amp;D'!$A:$A,0))-INDEX('PROJETO PERFURAÇÃO'!$AH:$AH,MATCH(MEDIÇÃO!D663,'PROJETO PERFURAÇÃO'!$B:$B,0)),"")</f>
        <v/>
      </c>
      <c r="F663" s="8" t="str">
        <f>IFERROR(INDEX('PROJETO PERFURAÇÃO'!$AN:$AN,MATCH(MEDIÇÃO!D663,'PROJETO PERFURAÇÃO'!$B:$B,0)),"")</f>
        <v/>
      </c>
      <c r="G663" s="3"/>
      <c r="H663" s="3"/>
      <c r="I663" s="3" t="str">
        <f>IFERROR(ROUND(INDEX('PROJETO PERFURAÇÃO'!$AB:$AB,MATCH(MEDIÇÃO!K663,'PROJETO PERFURAÇÃO'!$B:$B,0)),1)&amp;"''","")</f>
        <v/>
      </c>
      <c r="J663" s="3" t="str">
        <f>IFERROR(IF(INDEX('PROJETO PERFURAÇÃO'!$P:$P,MATCH(MEDIÇÃO!K663,'PROJETO PERFURAÇÃO'!$B:$B,0))="Production","P",IF(INDEX('PROJETO PERFURAÇÃO'!$P:$P,MATCH(MEDIÇÃO!K663,'PROJETO PERFURAÇÃO'!$B:$B,0))="Buffer","B",IF(INDEX('PROJETO PERFURAÇÃO'!$P:$P,MATCH(MEDIÇÃO!K663,'PROJETO PERFURAÇÃO'!$B:$B,0))="Pre-Splitting","S"))),"")</f>
        <v/>
      </c>
      <c r="K663" s="14">
        <f t="shared" si="64"/>
        <v>1480</v>
      </c>
      <c r="L663" s="4" t="str">
        <f>IFERROR(INDEX('LEV R&amp;D'!$D:$D,MATCH(MEDIÇÃO!K663,'LEV R&amp;D'!$A:$A,0))-INDEX('PROJETO PERFURAÇÃO'!$AH:$AH,MATCH(MEDIÇÃO!K663,'PROJETO PERFURAÇÃO'!$B:$B,0)),"")</f>
        <v/>
      </c>
      <c r="M663" s="8" t="str">
        <f>IFERROR(INDEX('PROJETO PERFURAÇÃO'!$AN:$AN,MATCH(MEDIÇÃO!K663,'PROJETO PERFURAÇÃO'!$B:$B,0)),"")</f>
        <v/>
      </c>
      <c r="N663" s="3"/>
      <c r="O663" s="3"/>
      <c r="P663" s="3" t="str">
        <f>IFERROR(ROUND(INDEX('PROJETO PERFURAÇÃO'!$AB:$AB,MATCH(MEDIÇÃO!R663,'PROJETO PERFURAÇÃO'!$B:$B,0)),1)&amp;"''","")</f>
        <v/>
      </c>
      <c r="Q663" s="3" t="str">
        <f>IFERROR(IF(INDEX('PROJETO PERFURAÇÃO'!$P:$P,MATCH(MEDIÇÃO!R663,'PROJETO PERFURAÇÃO'!$B:$B,0))="Production","P",IF(INDEX('PROJETO PERFURAÇÃO'!$P:$P,MATCH(MEDIÇÃO!R663,'PROJETO PERFURAÇÃO'!$B:$B,0))="Buffer","B",IF(INDEX('PROJETO PERFURAÇÃO'!$P:$P,MATCH(MEDIÇÃO!R663,'PROJETO PERFURAÇÃO'!$B:$B,0))="Pre-Splitting","S"))),"")</f>
        <v/>
      </c>
      <c r="R663" s="14">
        <f t="shared" si="65"/>
        <v>1503</v>
      </c>
      <c r="S663" s="4" t="str">
        <f>IFERROR(INDEX('LEV R&amp;D'!$D:$D,MATCH(MEDIÇÃO!R663,'LEV R&amp;D'!$A:$A,0))-INDEX('PROJETO PERFURAÇÃO'!$AH:$AH,MATCH(MEDIÇÃO!R663,'PROJETO PERFURAÇÃO'!$B:$B,0)),"")</f>
        <v/>
      </c>
      <c r="T663" s="8" t="str">
        <f>IFERROR(INDEX('PROJETO PERFURAÇÃO'!$AN:$AN,MATCH(MEDIÇÃO!R663,'PROJETO PERFURAÇÃO'!$B:$B,0)),"")</f>
        <v/>
      </c>
      <c r="U663" s="3"/>
      <c r="V663" s="3"/>
    </row>
    <row r="664" spans="2:22" ht="45" customHeight="1" x14ac:dyDescent="0.25">
      <c r="B664" s="3" t="str">
        <f>IFERROR(ROUND(INDEX('PROJETO PERFURAÇÃO'!$AB:$AB,MATCH(MEDIÇÃO!D664,'PROJETO PERFURAÇÃO'!$B:$B,0)),1)&amp;"''","")</f>
        <v/>
      </c>
      <c r="C664" s="3" t="str">
        <f>IFERROR(IF(INDEX('PROJETO PERFURAÇÃO'!$P:$P,MATCH(MEDIÇÃO!D664,'PROJETO PERFURAÇÃO'!$B:$B,0))="Production","P",IF(INDEX('PROJETO PERFURAÇÃO'!$P:$P,MATCH(MEDIÇÃO!D664,'PROJETO PERFURAÇÃO'!$B:$B,0))="Buffer","B",IF(INDEX('PROJETO PERFURAÇÃO'!$P:$P,MATCH(MEDIÇÃO!D664,'PROJETO PERFURAÇÃO'!$B:$B,0))="Pre-Splitting","S"))),"")</f>
        <v/>
      </c>
      <c r="D664" s="14">
        <f t="shared" si="63"/>
        <v>1458</v>
      </c>
      <c r="E664" s="4" t="str">
        <f>IFERROR(INDEX('LEV R&amp;D'!$D:$D,MATCH(MEDIÇÃO!D664,'LEV R&amp;D'!$A:$A,0))-INDEX('PROJETO PERFURAÇÃO'!$AH:$AH,MATCH(MEDIÇÃO!D664,'PROJETO PERFURAÇÃO'!$B:$B,0)),"")</f>
        <v/>
      </c>
      <c r="F664" s="8" t="str">
        <f>IFERROR(INDEX('PROJETO PERFURAÇÃO'!$AN:$AN,MATCH(MEDIÇÃO!D664,'PROJETO PERFURAÇÃO'!$B:$B,0)),"")</f>
        <v/>
      </c>
      <c r="G664" s="3"/>
      <c r="H664" s="3"/>
      <c r="I664" s="3" t="str">
        <f>IFERROR(ROUND(INDEX('PROJETO PERFURAÇÃO'!$AB:$AB,MATCH(MEDIÇÃO!K664,'PROJETO PERFURAÇÃO'!$B:$B,0)),1)&amp;"''","")</f>
        <v/>
      </c>
      <c r="J664" s="3" t="str">
        <f>IFERROR(IF(INDEX('PROJETO PERFURAÇÃO'!$P:$P,MATCH(MEDIÇÃO!K664,'PROJETO PERFURAÇÃO'!$B:$B,0))="Production","P",IF(INDEX('PROJETO PERFURAÇÃO'!$P:$P,MATCH(MEDIÇÃO!K664,'PROJETO PERFURAÇÃO'!$B:$B,0))="Buffer","B",IF(INDEX('PROJETO PERFURAÇÃO'!$P:$P,MATCH(MEDIÇÃO!K664,'PROJETO PERFURAÇÃO'!$B:$B,0))="Pre-Splitting","S"))),"")</f>
        <v/>
      </c>
      <c r="K664" s="14">
        <f t="shared" si="64"/>
        <v>1481</v>
      </c>
      <c r="L664" s="4" t="str">
        <f>IFERROR(INDEX('LEV R&amp;D'!$D:$D,MATCH(MEDIÇÃO!K664,'LEV R&amp;D'!$A:$A,0))-INDEX('PROJETO PERFURAÇÃO'!$AH:$AH,MATCH(MEDIÇÃO!K664,'PROJETO PERFURAÇÃO'!$B:$B,0)),"")</f>
        <v/>
      </c>
      <c r="M664" s="8" t="str">
        <f>IFERROR(INDEX('PROJETO PERFURAÇÃO'!$AN:$AN,MATCH(MEDIÇÃO!K664,'PROJETO PERFURAÇÃO'!$B:$B,0)),"")</f>
        <v/>
      </c>
      <c r="N664" s="3"/>
      <c r="O664" s="3"/>
      <c r="P664" s="3" t="str">
        <f>IFERROR(ROUND(INDEX('PROJETO PERFURAÇÃO'!$AB:$AB,MATCH(MEDIÇÃO!R664,'PROJETO PERFURAÇÃO'!$B:$B,0)),1)&amp;"''","")</f>
        <v/>
      </c>
      <c r="Q664" s="3" t="str">
        <f>IFERROR(IF(INDEX('PROJETO PERFURAÇÃO'!$P:$P,MATCH(MEDIÇÃO!R664,'PROJETO PERFURAÇÃO'!$B:$B,0))="Production","P",IF(INDEX('PROJETO PERFURAÇÃO'!$P:$P,MATCH(MEDIÇÃO!R664,'PROJETO PERFURAÇÃO'!$B:$B,0))="Buffer","B",IF(INDEX('PROJETO PERFURAÇÃO'!$P:$P,MATCH(MEDIÇÃO!R664,'PROJETO PERFURAÇÃO'!$B:$B,0))="Pre-Splitting","S"))),"")</f>
        <v/>
      </c>
      <c r="R664" s="14">
        <f t="shared" si="65"/>
        <v>1504</v>
      </c>
      <c r="S664" s="4" t="str">
        <f>IFERROR(INDEX('LEV R&amp;D'!$D:$D,MATCH(MEDIÇÃO!R664,'LEV R&amp;D'!$A:$A,0))-INDEX('PROJETO PERFURAÇÃO'!$AH:$AH,MATCH(MEDIÇÃO!R664,'PROJETO PERFURAÇÃO'!$B:$B,0)),"")</f>
        <v/>
      </c>
      <c r="T664" s="8" t="str">
        <f>IFERROR(INDEX('PROJETO PERFURAÇÃO'!$AN:$AN,MATCH(MEDIÇÃO!R664,'PROJETO PERFURAÇÃO'!$B:$B,0)),"")</f>
        <v/>
      </c>
      <c r="U664" s="3"/>
      <c r="V664" s="3"/>
    </row>
    <row r="665" spans="2:22" ht="45" customHeight="1" x14ac:dyDescent="0.25">
      <c r="B665" s="3" t="str">
        <f>IFERROR(ROUND(INDEX('PROJETO PERFURAÇÃO'!$AB:$AB,MATCH(MEDIÇÃO!D665,'PROJETO PERFURAÇÃO'!$B:$B,0)),1)&amp;"''","")</f>
        <v/>
      </c>
      <c r="C665" s="3" t="str">
        <f>IFERROR(IF(INDEX('PROJETO PERFURAÇÃO'!$P:$P,MATCH(MEDIÇÃO!D665,'PROJETO PERFURAÇÃO'!$B:$B,0))="Production","P",IF(INDEX('PROJETO PERFURAÇÃO'!$P:$P,MATCH(MEDIÇÃO!D665,'PROJETO PERFURAÇÃO'!$B:$B,0))="Buffer","B",IF(INDEX('PROJETO PERFURAÇÃO'!$P:$P,MATCH(MEDIÇÃO!D665,'PROJETO PERFURAÇÃO'!$B:$B,0))="Pre-Splitting","S"))),"")</f>
        <v/>
      </c>
      <c r="D665" s="14">
        <f t="shared" si="63"/>
        <v>1459</v>
      </c>
      <c r="E665" s="4" t="str">
        <f>IFERROR(INDEX('LEV R&amp;D'!$D:$D,MATCH(MEDIÇÃO!D665,'LEV R&amp;D'!$A:$A,0))-INDEX('PROJETO PERFURAÇÃO'!$AH:$AH,MATCH(MEDIÇÃO!D665,'PROJETO PERFURAÇÃO'!$B:$B,0)),"")</f>
        <v/>
      </c>
      <c r="F665" s="8" t="str">
        <f>IFERROR(INDEX('PROJETO PERFURAÇÃO'!$AN:$AN,MATCH(MEDIÇÃO!D665,'PROJETO PERFURAÇÃO'!$B:$B,0)),"")</f>
        <v/>
      </c>
      <c r="G665" s="3"/>
      <c r="H665" s="3"/>
      <c r="I665" s="3" t="str">
        <f>IFERROR(ROUND(INDEX('PROJETO PERFURAÇÃO'!$AB:$AB,MATCH(MEDIÇÃO!K665,'PROJETO PERFURAÇÃO'!$B:$B,0)),1)&amp;"''","")</f>
        <v/>
      </c>
      <c r="J665" s="3" t="str">
        <f>IFERROR(IF(INDEX('PROJETO PERFURAÇÃO'!$P:$P,MATCH(MEDIÇÃO!K665,'PROJETO PERFURAÇÃO'!$B:$B,0))="Production","P",IF(INDEX('PROJETO PERFURAÇÃO'!$P:$P,MATCH(MEDIÇÃO!K665,'PROJETO PERFURAÇÃO'!$B:$B,0))="Buffer","B",IF(INDEX('PROJETO PERFURAÇÃO'!$P:$P,MATCH(MEDIÇÃO!K665,'PROJETO PERFURAÇÃO'!$B:$B,0))="Pre-Splitting","S"))),"")</f>
        <v/>
      </c>
      <c r="K665" s="14">
        <f t="shared" si="64"/>
        <v>1482</v>
      </c>
      <c r="L665" s="4" t="str">
        <f>IFERROR(INDEX('LEV R&amp;D'!$D:$D,MATCH(MEDIÇÃO!K665,'LEV R&amp;D'!$A:$A,0))-INDEX('PROJETO PERFURAÇÃO'!$AH:$AH,MATCH(MEDIÇÃO!K665,'PROJETO PERFURAÇÃO'!$B:$B,0)),"")</f>
        <v/>
      </c>
      <c r="M665" s="8" t="str">
        <f>IFERROR(INDEX('PROJETO PERFURAÇÃO'!$AN:$AN,MATCH(MEDIÇÃO!K665,'PROJETO PERFURAÇÃO'!$B:$B,0)),"")</f>
        <v/>
      </c>
      <c r="N665" s="3"/>
      <c r="O665" s="3"/>
      <c r="P665" s="3" t="str">
        <f>IFERROR(ROUND(INDEX('PROJETO PERFURAÇÃO'!$AB:$AB,MATCH(MEDIÇÃO!R665,'PROJETO PERFURAÇÃO'!$B:$B,0)),1)&amp;"''","")</f>
        <v/>
      </c>
      <c r="Q665" s="3" t="str">
        <f>IFERROR(IF(INDEX('PROJETO PERFURAÇÃO'!$P:$P,MATCH(MEDIÇÃO!R665,'PROJETO PERFURAÇÃO'!$B:$B,0))="Production","P",IF(INDEX('PROJETO PERFURAÇÃO'!$P:$P,MATCH(MEDIÇÃO!R665,'PROJETO PERFURAÇÃO'!$B:$B,0))="Buffer","B",IF(INDEX('PROJETO PERFURAÇÃO'!$P:$P,MATCH(MEDIÇÃO!R665,'PROJETO PERFURAÇÃO'!$B:$B,0))="Pre-Splitting","S"))),"")</f>
        <v/>
      </c>
      <c r="R665" s="14">
        <f t="shared" si="65"/>
        <v>1505</v>
      </c>
      <c r="S665" s="4" t="str">
        <f>IFERROR(INDEX('LEV R&amp;D'!$D:$D,MATCH(MEDIÇÃO!R665,'LEV R&amp;D'!$A:$A,0))-INDEX('PROJETO PERFURAÇÃO'!$AH:$AH,MATCH(MEDIÇÃO!R665,'PROJETO PERFURAÇÃO'!$B:$B,0)),"")</f>
        <v/>
      </c>
      <c r="T665" s="8" t="str">
        <f>IFERROR(INDEX('PROJETO PERFURAÇÃO'!$AN:$AN,MATCH(MEDIÇÃO!R665,'PROJETO PERFURAÇÃO'!$B:$B,0)),"")</f>
        <v/>
      </c>
      <c r="U665" s="3"/>
      <c r="V665" s="3"/>
    </row>
    <row r="666" spans="2:22" ht="45" customHeight="1" x14ac:dyDescent="0.25">
      <c r="B666" s="3" t="str">
        <f>IFERROR(ROUND(INDEX('PROJETO PERFURAÇÃO'!$AB:$AB,MATCH(MEDIÇÃO!D666,'PROJETO PERFURAÇÃO'!$B:$B,0)),1)&amp;"''","")</f>
        <v/>
      </c>
      <c r="C666" s="3" t="str">
        <f>IFERROR(IF(INDEX('PROJETO PERFURAÇÃO'!$P:$P,MATCH(MEDIÇÃO!D666,'PROJETO PERFURAÇÃO'!$B:$B,0))="Production","P",IF(INDEX('PROJETO PERFURAÇÃO'!$P:$P,MATCH(MEDIÇÃO!D666,'PROJETO PERFURAÇÃO'!$B:$B,0))="Buffer","B",IF(INDEX('PROJETO PERFURAÇÃO'!$P:$P,MATCH(MEDIÇÃO!D666,'PROJETO PERFURAÇÃO'!$B:$B,0))="Pre-Splitting","S"))),"")</f>
        <v/>
      </c>
      <c r="D666" s="14">
        <f t="shared" si="63"/>
        <v>1460</v>
      </c>
      <c r="E666" s="4" t="str">
        <f>IFERROR(INDEX('LEV R&amp;D'!$D:$D,MATCH(MEDIÇÃO!D666,'LEV R&amp;D'!$A:$A,0))-INDEX('PROJETO PERFURAÇÃO'!$AH:$AH,MATCH(MEDIÇÃO!D666,'PROJETO PERFURAÇÃO'!$B:$B,0)),"")</f>
        <v/>
      </c>
      <c r="F666" s="8" t="str">
        <f>IFERROR(INDEX('PROJETO PERFURAÇÃO'!$AN:$AN,MATCH(MEDIÇÃO!D666,'PROJETO PERFURAÇÃO'!$B:$B,0)),"")</f>
        <v/>
      </c>
      <c r="G666" s="3"/>
      <c r="H666" s="3"/>
      <c r="I666" s="3" t="str">
        <f>IFERROR(ROUND(INDEX('PROJETO PERFURAÇÃO'!$AB:$AB,MATCH(MEDIÇÃO!K666,'PROJETO PERFURAÇÃO'!$B:$B,0)),1)&amp;"''","")</f>
        <v/>
      </c>
      <c r="J666" s="3" t="str">
        <f>IFERROR(IF(INDEX('PROJETO PERFURAÇÃO'!$P:$P,MATCH(MEDIÇÃO!K666,'PROJETO PERFURAÇÃO'!$B:$B,0))="Production","P",IF(INDEX('PROJETO PERFURAÇÃO'!$P:$P,MATCH(MEDIÇÃO!K666,'PROJETO PERFURAÇÃO'!$B:$B,0))="Buffer","B",IF(INDEX('PROJETO PERFURAÇÃO'!$P:$P,MATCH(MEDIÇÃO!K666,'PROJETO PERFURAÇÃO'!$B:$B,0))="Pre-Splitting","S"))),"")</f>
        <v/>
      </c>
      <c r="K666" s="14">
        <f t="shared" si="64"/>
        <v>1483</v>
      </c>
      <c r="L666" s="4" t="str">
        <f>IFERROR(INDEX('LEV R&amp;D'!$D:$D,MATCH(MEDIÇÃO!K666,'LEV R&amp;D'!$A:$A,0))-INDEX('PROJETO PERFURAÇÃO'!$AH:$AH,MATCH(MEDIÇÃO!K666,'PROJETO PERFURAÇÃO'!$B:$B,0)),"")</f>
        <v/>
      </c>
      <c r="M666" s="8" t="str">
        <f>IFERROR(INDEX('PROJETO PERFURAÇÃO'!$AN:$AN,MATCH(MEDIÇÃO!K666,'PROJETO PERFURAÇÃO'!$B:$B,0)),"")</f>
        <v/>
      </c>
      <c r="N666" s="3"/>
      <c r="O666" s="3"/>
      <c r="P666" s="3" t="str">
        <f>IFERROR(ROUND(INDEX('PROJETO PERFURAÇÃO'!$AB:$AB,MATCH(MEDIÇÃO!R666,'PROJETO PERFURAÇÃO'!$B:$B,0)),1)&amp;"''","")</f>
        <v/>
      </c>
      <c r="Q666" s="3" t="str">
        <f>IFERROR(IF(INDEX('PROJETO PERFURAÇÃO'!$P:$P,MATCH(MEDIÇÃO!R666,'PROJETO PERFURAÇÃO'!$B:$B,0))="Production","P",IF(INDEX('PROJETO PERFURAÇÃO'!$P:$P,MATCH(MEDIÇÃO!R666,'PROJETO PERFURAÇÃO'!$B:$B,0))="Buffer","B",IF(INDEX('PROJETO PERFURAÇÃO'!$P:$P,MATCH(MEDIÇÃO!R666,'PROJETO PERFURAÇÃO'!$B:$B,0))="Pre-Splitting","S"))),"")</f>
        <v/>
      </c>
      <c r="R666" s="14">
        <f t="shared" si="65"/>
        <v>1506</v>
      </c>
      <c r="S666" s="4" t="str">
        <f>IFERROR(INDEX('LEV R&amp;D'!$D:$D,MATCH(MEDIÇÃO!R666,'LEV R&amp;D'!$A:$A,0))-INDEX('PROJETO PERFURAÇÃO'!$AH:$AH,MATCH(MEDIÇÃO!R666,'PROJETO PERFURAÇÃO'!$B:$B,0)),"")</f>
        <v/>
      </c>
      <c r="T666" s="8" t="str">
        <f>IFERROR(INDEX('PROJETO PERFURAÇÃO'!$AN:$AN,MATCH(MEDIÇÃO!R666,'PROJETO PERFURAÇÃO'!$B:$B,0)),"")</f>
        <v/>
      </c>
      <c r="U666" s="3"/>
      <c r="V666" s="3"/>
    </row>
    <row r="667" spans="2:22" ht="45" customHeight="1" x14ac:dyDescent="0.25">
      <c r="B667" s="3" t="str">
        <f>IFERROR(ROUND(INDEX('PROJETO PERFURAÇÃO'!$AB:$AB,MATCH(MEDIÇÃO!D667,'PROJETO PERFURAÇÃO'!$B:$B,0)),1)&amp;"''","")</f>
        <v/>
      </c>
      <c r="C667" s="3" t="str">
        <f>IFERROR(IF(INDEX('PROJETO PERFURAÇÃO'!$P:$P,MATCH(MEDIÇÃO!D667,'PROJETO PERFURAÇÃO'!$B:$B,0))="Production","P",IF(INDEX('PROJETO PERFURAÇÃO'!$P:$P,MATCH(MEDIÇÃO!D667,'PROJETO PERFURAÇÃO'!$B:$B,0))="Buffer","B",IF(INDEX('PROJETO PERFURAÇÃO'!$P:$P,MATCH(MEDIÇÃO!D667,'PROJETO PERFURAÇÃO'!$B:$B,0))="Pre-Splitting","S"))),"")</f>
        <v/>
      </c>
      <c r="D667" s="14">
        <f t="shared" si="63"/>
        <v>1461</v>
      </c>
      <c r="E667" s="4" t="str">
        <f>IFERROR(INDEX('LEV R&amp;D'!$D:$D,MATCH(MEDIÇÃO!D667,'LEV R&amp;D'!$A:$A,0))-INDEX('PROJETO PERFURAÇÃO'!$AH:$AH,MATCH(MEDIÇÃO!D667,'PROJETO PERFURAÇÃO'!$B:$B,0)),"")</f>
        <v/>
      </c>
      <c r="F667" s="8" t="str">
        <f>IFERROR(INDEX('PROJETO PERFURAÇÃO'!$AN:$AN,MATCH(MEDIÇÃO!D667,'PROJETO PERFURAÇÃO'!$B:$B,0)),"")</f>
        <v/>
      </c>
      <c r="G667" s="3"/>
      <c r="H667" s="3"/>
      <c r="I667" s="3" t="str">
        <f>IFERROR(ROUND(INDEX('PROJETO PERFURAÇÃO'!$AB:$AB,MATCH(MEDIÇÃO!K667,'PROJETO PERFURAÇÃO'!$B:$B,0)),1)&amp;"''","")</f>
        <v/>
      </c>
      <c r="J667" s="3" t="str">
        <f>IFERROR(IF(INDEX('PROJETO PERFURAÇÃO'!$P:$P,MATCH(MEDIÇÃO!K667,'PROJETO PERFURAÇÃO'!$B:$B,0))="Production","P",IF(INDEX('PROJETO PERFURAÇÃO'!$P:$P,MATCH(MEDIÇÃO!K667,'PROJETO PERFURAÇÃO'!$B:$B,0))="Buffer","B",IF(INDEX('PROJETO PERFURAÇÃO'!$P:$P,MATCH(MEDIÇÃO!K667,'PROJETO PERFURAÇÃO'!$B:$B,0))="Pre-Splitting","S"))),"")</f>
        <v/>
      </c>
      <c r="K667" s="14">
        <f t="shared" si="64"/>
        <v>1484</v>
      </c>
      <c r="L667" s="4" t="str">
        <f>IFERROR(INDEX('LEV R&amp;D'!$D:$D,MATCH(MEDIÇÃO!K667,'LEV R&amp;D'!$A:$A,0))-INDEX('PROJETO PERFURAÇÃO'!$AH:$AH,MATCH(MEDIÇÃO!K667,'PROJETO PERFURAÇÃO'!$B:$B,0)),"")</f>
        <v/>
      </c>
      <c r="M667" s="8" t="str">
        <f>IFERROR(INDEX('PROJETO PERFURAÇÃO'!$AN:$AN,MATCH(MEDIÇÃO!K667,'PROJETO PERFURAÇÃO'!$B:$B,0)),"")</f>
        <v/>
      </c>
      <c r="N667" s="3"/>
      <c r="O667" s="3"/>
      <c r="P667" s="3" t="str">
        <f>IFERROR(ROUND(INDEX('PROJETO PERFURAÇÃO'!$AB:$AB,MATCH(MEDIÇÃO!R667,'PROJETO PERFURAÇÃO'!$B:$B,0)),1)&amp;"''","")</f>
        <v/>
      </c>
      <c r="Q667" s="3" t="str">
        <f>IFERROR(IF(INDEX('PROJETO PERFURAÇÃO'!$P:$P,MATCH(MEDIÇÃO!R667,'PROJETO PERFURAÇÃO'!$B:$B,0))="Production","P",IF(INDEX('PROJETO PERFURAÇÃO'!$P:$P,MATCH(MEDIÇÃO!R667,'PROJETO PERFURAÇÃO'!$B:$B,0))="Buffer","B",IF(INDEX('PROJETO PERFURAÇÃO'!$P:$P,MATCH(MEDIÇÃO!R667,'PROJETO PERFURAÇÃO'!$B:$B,0))="Pre-Splitting","S"))),"")</f>
        <v/>
      </c>
      <c r="R667" s="14">
        <f t="shared" si="65"/>
        <v>1507</v>
      </c>
      <c r="S667" s="4" t="str">
        <f>IFERROR(INDEX('LEV R&amp;D'!$D:$D,MATCH(MEDIÇÃO!R667,'LEV R&amp;D'!$A:$A,0))-INDEX('PROJETO PERFURAÇÃO'!$AH:$AH,MATCH(MEDIÇÃO!R667,'PROJETO PERFURAÇÃO'!$B:$B,0)),"")</f>
        <v/>
      </c>
      <c r="T667" s="8" t="str">
        <f>IFERROR(INDEX('PROJETO PERFURAÇÃO'!$AN:$AN,MATCH(MEDIÇÃO!R667,'PROJETO PERFURAÇÃO'!$B:$B,0)),"")</f>
        <v/>
      </c>
      <c r="U667" s="3"/>
      <c r="V667" s="3"/>
    </row>
    <row r="668" spans="2:22" ht="45" customHeight="1" x14ac:dyDescent="0.25">
      <c r="B668" s="3" t="str">
        <f>IFERROR(ROUND(INDEX('PROJETO PERFURAÇÃO'!$AB:$AB,MATCH(MEDIÇÃO!D668,'PROJETO PERFURAÇÃO'!$B:$B,0)),1)&amp;"''","")</f>
        <v/>
      </c>
      <c r="C668" s="3" t="str">
        <f>IFERROR(IF(INDEX('PROJETO PERFURAÇÃO'!$P:$P,MATCH(MEDIÇÃO!D668,'PROJETO PERFURAÇÃO'!$B:$B,0))="Production","P",IF(INDEX('PROJETO PERFURAÇÃO'!$P:$P,MATCH(MEDIÇÃO!D668,'PROJETO PERFURAÇÃO'!$B:$B,0))="Buffer","B",IF(INDEX('PROJETO PERFURAÇÃO'!$P:$P,MATCH(MEDIÇÃO!D668,'PROJETO PERFURAÇÃO'!$B:$B,0))="Pre-Splitting","S"))),"")</f>
        <v/>
      </c>
      <c r="D668" s="14">
        <f t="shared" si="63"/>
        <v>1462</v>
      </c>
      <c r="E668" s="4" t="str">
        <f>IFERROR(INDEX('LEV R&amp;D'!$D:$D,MATCH(MEDIÇÃO!D668,'LEV R&amp;D'!$A:$A,0))-INDEX('PROJETO PERFURAÇÃO'!$AH:$AH,MATCH(MEDIÇÃO!D668,'PROJETO PERFURAÇÃO'!$B:$B,0)),"")</f>
        <v/>
      </c>
      <c r="F668" s="8" t="str">
        <f>IFERROR(INDEX('PROJETO PERFURAÇÃO'!$AN:$AN,MATCH(MEDIÇÃO!D668,'PROJETO PERFURAÇÃO'!$B:$B,0)),"")</f>
        <v/>
      </c>
      <c r="G668" s="3"/>
      <c r="H668" s="3"/>
      <c r="I668" s="3" t="str">
        <f>IFERROR(ROUND(INDEX('PROJETO PERFURAÇÃO'!$AB:$AB,MATCH(MEDIÇÃO!K668,'PROJETO PERFURAÇÃO'!$B:$B,0)),1)&amp;"''","")</f>
        <v/>
      </c>
      <c r="J668" s="3" t="str">
        <f>IFERROR(IF(INDEX('PROJETO PERFURAÇÃO'!$P:$P,MATCH(MEDIÇÃO!K668,'PROJETO PERFURAÇÃO'!$B:$B,0))="Production","P",IF(INDEX('PROJETO PERFURAÇÃO'!$P:$P,MATCH(MEDIÇÃO!K668,'PROJETO PERFURAÇÃO'!$B:$B,0))="Buffer","B",IF(INDEX('PROJETO PERFURAÇÃO'!$P:$P,MATCH(MEDIÇÃO!K668,'PROJETO PERFURAÇÃO'!$B:$B,0))="Pre-Splitting","S"))),"")</f>
        <v/>
      </c>
      <c r="K668" s="14">
        <f t="shared" si="64"/>
        <v>1485</v>
      </c>
      <c r="L668" s="4" t="str">
        <f>IFERROR(INDEX('LEV R&amp;D'!$D:$D,MATCH(MEDIÇÃO!K668,'LEV R&amp;D'!$A:$A,0))-INDEX('PROJETO PERFURAÇÃO'!$AH:$AH,MATCH(MEDIÇÃO!K668,'PROJETO PERFURAÇÃO'!$B:$B,0)),"")</f>
        <v/>
      </c>
      <c r="M668" s="8" t="str">
        <f>IFERROR(INDEX('PROJETO PERFURAÇÃO'!$AN:$AN,MATCH(MEDIÇÃO!K668,'PROJETO PERFURAÇÃO'!$B:$B,0)),"")</f>
        <v/>
      </c>
      <c r="N668" s="3"/>
      <c r="O668" s="3"/>
      <c r="P668" s="3" t="str">
        <f>IFERROR(ROUND(INDEX('PROJETO PERFURAÇÃO'!$AB:$AB,MATCH(MEDIÇÃO!R668,'PROJETO PERFURAÇÃO'!$B:$B,0)),1)&amp;"''","")</f>
        <v/>
      </c>
      <c r="Q668" s="3" t="str">
        <f>IFERROR(IF(INDEX('PROJETO PERFURAÇÃO'!$P:$P,MATCH(MEDIÇÃO!R668,'PROJETO PERFURAÇÃO'!$B:$B,0))="Production","P",IF(INDEX('PROJETO PERFURAÇÃO'!$P:$P,MATCH(MEDIÇÃO!R668,'PROJETO PERFURAÇÃO'!$B:$B,0))="Buffer","B",IF(INDEX('PROJETO PERFURAÇÃO'!$P:$P,MATCH(MEDIÇÃO!R668,'PROJETO PERFURAÇÃO'!$B:$B,0))="Pre-Splitting","S"))),"")</f>
        <v/>
      </c>
      <c r="R668" s="14">
        <f t="shared" si="65"/>
        <v>1508</v>
      </c>
      <c r="S668" s="4" t="str">
        <f>IFERROR(INDEX('LEV R&amp;D'!$D:$D,MATCH(MEDIÇÃO!R668,'LEV R&amp;D'!$A:$A,0))-INDEX('PROJETO PERFURAÇÃO'!$AH:$AH,MATCH(MEDIÇÃO!R668,'PROJETO PERFURAÇÃO'!$B:$B,0)),"")</f>
        <v/>
      </c>
      <c r="T668" s="8" t="str">
        <f>IFERROR(INDEX('PROJETO PERFURAÇÃO'!$AN:$AN,MATCH(MEDIÇÃO!R668,'PROJETO PERFURAÇÃO'!$B:$B,0)),"")</f>
        <v/>
      </c>
      <c r="U668" s="3"/>
      <c r="V668" s="3"/>
    </row>
    <row r="669" spans="2:22" ht="45" customHeight="1" x14ac:dyDescent="0.25">
      <c r="B669" s="3" t="str">
        <f>IFERROR(ROUND(INDEX('PROJETO PERFURAÇÃO'!$AB:$AB,MATCH(MEDIÇÃO!D669,'PROJETO PERFURAÇÃO'!$B:$B,0)),1)&amp;"''","")</f>
        <v/>
      </c>
      <c r="C669" s="3" t="str">
        <f>IFERROR(IF(INDEX('PROJETO PERFURAÇÃO'!$P:$P,MATCH(MEDIÇÃO!D669,'PROJETO PERFURAÇÃO'!$B:$B,0))="Production","P",IF(INDEX('PROJETO PERFURAÇÃO'!$P:$P,MATCH(MEDIÇÃO!D669,'PROJETO PERFURAÇÃO'!$B:$B,0))="Buffer","B",IF(INDEX('PROJETO PERFURAÇÃO'!$P:$P,MATCH(MEDIÇÃO!D669,'PROJETO PERFURAÇÃO'!$B:$B,0))="Pre-Splitting","S"))),"")</f>
        <v/>
      </c>
      <c r="D669" s="14">
        <f t="shared" si="63"/>
        <v>1463</v>
      </c>
      <c r="E669" s="4" t="str">
        <f>IFERROR(INDEX('LEV R&amp;D'!$D:$D,MATCH(MEDIÇÃO!D669,'LEV R&amp;D'!$A:$A,0))-INDEX('PROJETO PERFURAÇÃO'!$AH:$AH,MATCH(MEDIÇÃO!D669,'PROJETO PERFURAÇÃO'!$B:$B,0)),"")</f>
        <v/>
      </c>
      <c r="F669" s="8" t="str">
        <f>IFERROR(INDEX('PROJETO PERFURAÇÃO'!$AN:$AN,MATCH(MEDIÇÃO!D669,'PROJETO PERFURAÇÃO'!$B:$B,0)),"")</f>
        <v/>
      </c>
      <c r="G669" s="3"/>
      <c r="H669" s="3"/>
      <c r="I669" s="3" t="str">
        <f>IFERROR(ROUND(INDEX('PROJETO PERFURAÇÃO'!$AB:$AB,MATCH(MEDIÇÃO!K669,'PROJETO PERFURAÇÃO'!$B:$B,0)),1)&amp;"''","")</f>
        <v/>
      </c>
      <c r="J669" s="3" t="str">
        <f>IFERROR(IF(INDEX('PROJETO PERFURAÇÃO'!$P:$P,MATCH(MEDIÇÃO!K669,'PROJETO PERFURAÇÃO'!$B:$B,0))="Production","P",IF(INDEX('PROJETO PERFURAÇÃO'!$P:$P,MATCH(MEDIÇÃO!K669,'PROJETO PERFURAÇÃO'!$B:$B,0))="Buffer","B",IF(INDEX('PROJETO PERFURAÇÃO'!$P:$P,MATCH(MEDIÇÃO!K669,'PROJETO PERFURAÇÃO'!$B:$B,0))="Pre-Splitting","S"))),"")</f>
        <v/>
      </c>
      <c r="K669" s="14">
        <f t="shared" si="64"/>
        <v>1486</v>
      </c>
      <c r="L669" s="4" t="str">
        <f>IFERROR(INDEX('LEV R&amp;D'!$D:$D,MATCH(MEDIÇÃO!K669,'LEV R&amp;D'!$A:$A,0))-INDEX('PROJETO PERFURAÇÃO'!$AH:$AH,MATCH(MEDIÇÃO!K669,'PROJETO PERFURAÇÃO'!$B:$B,0)),"")</f>
        <v/>
      </c>
      <c r="M669" s="8" t="str">
        <f>IFERROR(INDEX('PROJETO PERFURAÇÃO'!$AN:$AN,MATCH(MEDIÇÃO!K669,'PROJETO PERFURAÇÃO'!$B:$B,0)),"")</f>
        <v/>
      </c>
      <c r="N669" s="3"/>
      <c r="O669" s="3"/>
      <c r="P669" s="3" t="str">
        <f>IFERROR(ROUND(INDEX('PROJETO PERFURAÇÃO'!$AB:$AB,MATCH(MEDIÇÃO!R669,'PROJETO PERFURAÇÃO'!$B:$B,0)),1)&amp;"''","")</f>
        <v/>
      </c>
      <c r="Q669" s="3" t="str">
        <f>IFERROR(IF(INDEX('PROJETO PERFURAÇÃO'!$P:$P,MATCH(MEDIÇÃO!R669,'PROJETO PERFURAÇÃO'!$B:$B,0))="Production","P",IF(INDEX('PROJETO PERFURAÇÃO'!$P:$P,MATCH(MEDIÇÃO!R669,'PROJETO PERFURAÇÃO'!$B:$B,0))="Buffer","B",IF(INDEX('PROJETO PERFURAÇÃO'!$P:$P,MATCH(MEDIÇÃO!R669,'PROJETO PERFURAÇÃO'!$B:$B,0))="Pre-Splitting","S"))),"")</f>
        <v/>
      </c>
      <c r="R669" s="14">
        <f t="shared" si="65"/>
        <v>1509</v>
      </c>
      <c r="S669" s="4" t="str">
        <f>IFERROR(INDEX('LEV R&amp;D'!$D:$D,MATCH(MEDIÇÃO!R669,'LEV R&amp;D'!$A:$A,0))-INDEX('PROJETO PERFURAÇÃO'!$AH:$AH,MATCH(MEDIÇÃO!R669,'PROJETO PERFURAÇÃO'!$B:$B,0)),"")</f>
        <v/>
      </c>
      <c r="T669" s="8" t="str">
        <f>IFERROR(INDEX('PROJETO PERFURAÇÃO'!$AN:$AN,MATCH(MEDIÇÃO!R669,'PROJETO PERFURAÇÃO'!$B:$B,0)),"")</f>
        <v/>
      </c>
      <c r="U669" s="3"/>
      <c r="V669" s="3"/>
    </row>
    <row r="670" spans="2:22" ht="45" customHeight="1" x14ac:dyDescent="0.25">
      <c r="B670" s="3" t="str">
        <f>IFERROR(ROUND(INDEX('PROJETO PERFURAÇÃO'!$AB:$AB,MATCH(MEDIÇÃO!D670,'PROJETO PERFURAÇÃO'!$B:$B,0)),1)&amp;"''","")</f>
        <v/>
      </c>
      <c r="C670" s="3" t="str">
        <f>IFERROR(IF(INDEX('PROJETO PERFURAÇÃO'!$P:$P,MATCH(MEDIÇÃO!D670,'PROJETO PERFURAÇÃO'!$B:$B,0))="Production","P",IF(INDEX('PROJETO PERFURAÇÃO'!$P:$P,MATCH(MEDIÇÃO!D670,'PROJETO PERFURAÇÃO'!$B:$B,0))="Buffer","B",IF(INDEX('PROJETO PERFURAÇÃO'!$P:$P,MATCH(MEDIÇÃO!D670,'PROJETO PERFURAÇÃO'!$B:$B,0))="Pre-Splitting","S"))),"")</f>
        <v/>
      </c>
      <c r="D670" s="14">
        <f t="shared" si="63"/>
        <v>1464</v>
      </c>
      <c r="E670" s="4" t="str">
        <f>IFERROR(INDEX('LEV R&amp;D'!$D:$D,MATCH(MEDIÇÃO!D670,'LEV R&amp;D'!$A:$A,0))-INDEX('PROJETO PERFURAÇÃO'!$AH:$AH,MATCH(MEDIÇÃO!D670,'PROJETO PERFURAÇÃO'!$B:$B,0)),"")</f>
        <v/>
      </c>
      <c r="F670" s="8" t="str">
        <f>IFERROR(INDEX('PROJETO PERFURAÇÃO'!$AN:$AN,MATCH(MEDIÇÃO!D670,'PROJETO PERFURAÇÃO'!$B:$B,0)),"")</f>
        <v/>
      </c>
      <c r="G670" s="3"/>
      <c r="H670" s="3"/>
      <c r="I670" s="3" t="str">
        <f>IFERROR(ROUND(INDEX('PROJETO PERFURAÇÃO'!$AB:$AB,MATCH(MEDIÇÃO!K670,'PROJETO PERFURAÇÃO'!$B:$B,0)),1)&amp;"''","")</f>
        <v/>
      </c>
      <c r="J670" s="3" t="str">
        <f>IFERROR(IF(INDEX('PROJETO PERFURAÇÃO'!$P:$P,MATCH(MEDIÇÃO!K670,'PROJETO PERFURAÇÃO'!$B:$B,0))="Production","P",IF(INDEX('PROJETO PERFURAÇÃO'!$P:$P,MATCH(MEDIÇÃO!K670,'PROJETO PERFURAÇÃO'!$B:$B,0))="Buffer","B",IF(INDEX('PROJETO PERFURAÇÃO'!$P:$P,MATCH(MEDIÇÃO!K670,'PROJETO PERFURAÇÃO'!$B:$B,0))="Pre-Splitting","S"))),"")</f>
        <v/>
      </c>
      <c r="K670" s="14">
        <f t="shared" si="64"/>
        <v>1487</v>
      </c>
      <c r="L670" s="4" t="str">
        <f>IFERROR(INDEX('LEV R&amp;D'!$D:$D,MATCH(MEDIÇÃO!K670,'LEV R&amp;D'!$A:$A,0))-INDEX('PROJETO PERFURAÇÃO'!$AH:$AH,MATCH(MEDIÇÃO!K670,'PROJETO PERFURAÇÃO'!$B:$B,0)),"")</f>
        <v/>
      </c>
      <c r="M670" s="8" t="str">
        <f>IFERROR(INDEX('PROJETO PERFURAÇÃO'!$AN:$AN,MATCH(MEDIÇÃO!K670,'PROJETO PERFURAÇÃO'!$B:$B,0)),"")</f>
        <v/>
      </c>
      <c r="N670" s="3"/>
      <c r="O670" s="3"/>
      <c r="P670" s="3" t="str">
        <f>IFERROR(ROUND(INDEX('PROJETO PERFURAÇÃO'!$AB:$AB,MATCH(MEDIÇÃO!R670,'PROJETO PERFURAÇÃO'!$B:$B,0)),1)&amp;"''","")</f>
        <v/>
      </c>
      <c r="Q670" s="3" t="str">
        <f>IFERROR(IF(INDEX('PROJETO PERFURAÇÃO'!$P:$P,MATCH(MEDIÇÃO!R670,'PROJETO PERFURAÇÃO'!$B:$B,0))="Production","P",IF(INDEX('PROJETO PERFURAÇÃO'!$P:$P,MATCH(MEDIÇÃO!R670,'PROJETO PERFURAÇÃO'!$B:$B,0))="Buffer","B",IF(INDEX('PROJETO PERFURAÇÃO'!$P:$P,MATCH(MEDIÇÃO!R670,'PROJETO PERFURAÇÃO'!$B:$B,0))="Pre-Splitting","S"))),"")</f>
        <v/>
      </c>
      <c r="R670" s="14">
        <f t="shared" si="65"/>
        <v>1510</v>
      </c>
      <c r="S670" s="4" t="str">
        <f>IFERROR(INDEX('LEV R&amp;D'!$D:$D,MATCH(MEDIÇÃO!R670,'LEV R&amp;D'!$A:$A,0))-INDEX('PROJETO PERFURAÇÃO'!$AH:$AH,MATCH(MEDIÇÃO!R670,'PROJETO PERFURAÇÃO'!$B:$B,0)),"")</f>
        <v/>
      </c>
      <c r="T670" s="8" t="str">
        <f>IFERROR(INDEX('PROJETO PERFURAÇÃO'!$AN:$AN,MATCH(MEDIÇÃO!R670,'PROJETO PERFURAÇÃO'!$B:$B,0)),"")</f>
        <v/>
      </c>
      <c r="U670" s="3"/>
      <c r="V670" s="3"/>
    </row>
    <row r="671" spans="2:22" ht="45" customHeight="1" x14ac:dyDescent="0.25">
      <c r="B671" s="3" t="str">
        <f>IFERROR(ROUND(INDEX('PROJETO PERFURAÇÃO'!$AB:$AB,MATCH(MEDIÇÃO!D671,'PROJETO PERFURAÇÃO'!$B:$B,0)),1)&amp;"''","")</f>
        <v/>
      </c>
      <c r="C671" s="3" t="str">
        <f>IFERROR(IF(INDEX('PROJETO PERFURAÇÃO'!$P:$P,MATCH(MEDIÇÃO!D671,'PROJETO PERFURAÇÃO'!$B:$B,0))="Production","P",IF(INDEX('PROJETO PERFURAÇÃO'!$P:$P,MATCH(MEDIÇÃO!D671,'PROJETO PERFURAÇÃO'!$B:$B,0))="Buffer","B",IF(INDEX('PROJETO PERFURAÇÃO'!$P:$P,MATCH(MEDIÇÃO!D671,'PROJETO PERFURAÇÃO'!$B:$B,0))="Pre-Splitting","S"))),"")</f>
        <v/>
      </c>
      <c r="D671" s="14">
        <f t="shared" si="63"/>
        <v>1465</v>
      </c>
      <c r="E671" s="4" t="str">
        <f>IFERROR(INDEX('LEV R&amp;D'!$D:$D,MATCH(MEDIÇÃO!D671,'LEV R&amp;D'!$A:$A,0))-INDEX('PROJETO PERFURAÇÃO'!$AH:$AH,MATCH(MEDIÇÃO!D671,'PROJETO PERFURAÇÃO'!$B:$B,0)),"")</f>
        <v/>
      </c>
      <c r="F671" s="8" t="str">
        <f>IFERROR(INDEX('PROJETO PERFURAÇÃO'!$AN:$AN,MATCH(MEDIÇÃO!D671,'PROJETO PERFURAÇÃO'!$B:$B,0)),"")</f>
        <v/>
      </c>
      <c r="G671" s="3"/>
      <c r="H671" s="3"/>
      <c r="I671" s="3" t="str">
        <f>IFERROR(ROUND(INDEX('PROJETO PERFURAÇÃO'!$AB:$AB,MATCH(MEDIÇÃO!K671,'PROJETO PERFURAÇÃO'!$B:$B,0)),1)&amp;"''","")</f>
        <v/>
      </c>
      <c r="J671" s="3" t="str">
        <f>IFERROR(IF(INDEX('PROJETO PERFURAÇÃO'!$P:$P,MATCH(MEDIÇÃO!K671,'PROJETO PERFURAÇÃO'!$B:$B,0))="Production","P",IF(INDEX('PROJETO PERFURAÇÃO'!$P:$P,MATCH(MEDIÇÃO!K671,'PROJETO PERFURAÇÃO'!$B:$B,0))="Buffer","B",IF(INDEX('PROJETO PERFURAÇÃO'!$P:$P,MATCH(MEDIÇÃO!K671,'PROJETO PERFURAÇÃO'!$B:$B,0))="Pre-Splitting","S"))),"")</f>
        <v/>
      </c>
      <c r="K671" s="14">
        <f t="shared" si="64"/>
        <v>1488</v>
      </c>
      <c r="L671" s="4" t="str">
        <f>IFERROR(INDEX('LEV R&amp;D'!$D:$D,MATCH(MEDIÇÃO!K671,'LEV R&amp;D'!$A:$A,0))-INDEX('PROJETO PERFURAÇÃO'!$AH:$AH,MATCH(MEDIÇÃO!K671,'PROJETO PERFURAÇÃO'!$B:$B,0)),"")</f>
        <v/>
      </c>
      <c r="M671" s="8" t="str">
        <f>IFERROR(INDEX('PROJETO PERFURAÇÃO'!$AN:$AN,MATCH(MEDIÇÃO!K671,'PROJETO PERFURAÇÃO'!$B:$B,0)),"")</f>
        <v/>
      </c>
      <c r="N671" s="3"/>
      <c r="O671" s="3"/>
      <c r="P671" s="3" t="str">
        <f>IFERROR(ROUND(INDEX('PROJETO PERFURAÇÃO'!$AB:$AB,MATCH(MEDIÇÃO!R671,'PROJETO PERFURAÇÃO'!$B:$B,0)),1)&amp;"''","")</f>
        <v/>
      </c>
      <c r="Q671" s="3" t="str">
        <f>IFERROR(IF(INDEX('PROJETO PERFURAÇÃO'!$P:$P,MATCH(MEDIÇÃO!R671,'PROJETO PERFURAÇÃO'!$B:$B,0))="Production","P",IF(INDEX('PROJETO PERFURAÇÃO'!$P:$P,MATCH(MEDIÇÃO!R671,'PROJETO PERFURAÇÃO'!$B:$B,0))="Buffer","B",IF(INDEX('PROJETO PERFURAÇÃO'!$P:$P,MATCH(MEDIÇÃO!R671,'PROJETO PERFURAÇÃO'!$B:$B,0))="Pre-Splitting","S"))),"")</f>
        <v/>
      </c>
      <c r="R671" s="14">
        <f t="shared" si="65"/>
        <v>1511</v>
      </c>
      <c r="S671" s="4" t="str">
        <f>IFERROR(INDEX('LEV R&amp;D'!$D:$D,MATCH(MEDIÇÃO!R671,'LEV R&amp;D'!$A:$A,0))-INDEX('PROJETO PERFURAÇÃO'!$AH:$AH,MATCH(MEDIÇÃO!R671,'PROJETO PERFURAÇÃO'!$B:$B,0)),"")</f>
        <v/>
      </c>
      <c r="T671" s="8" t="str">
        <f>IFERROR(INDEX('PROJETO PERFURAÇÃO'!$AN:$AN,MATCH(MEDIÇÃO!R671,'PROJETO PERFURAÇÃO'!$B:$B,0)),"")</f>
        <v/>
      </c>
      <c r="U671" s="3"/>
      <c r="V671" s="3"/>
    </row>
    <row r="672" spans="2:22" ht="45" customHeight="1" x14ac:dyDescent="0.25">
      <c r="B672" s="3" t="str">
        <f>IFERROR(ROUND(INDEX('PROJETO PERFURAÇÃO'!$AB:$AB,MATCH(MEDIÇÃO!D672,'PROJETO PERFURAÇÃO'!$B:$B,0)),1)&amp;"''","")</f>
        <v/>
      </c>
      <c r="C672" s="3" t="str">
        <f>IFERROR(IF(INDEX('PROJETO PERFURAÇÃO'!$P:$P,MATCH(MEDIÇÃO!D672,'PROJETO PERFURAÇÃO'!$B:$B,0))="Production","P",IF(INDEX('PROJETO PERFURAÇÃO'!$P:$P,MATCH(MEDIÇÃO!D672,'PROJETO PERFURAÇÃO'!$B:$B,0))="Buffer","B",IF(INDEX('PROJETO PERFURAÇÃO'!$P:$P,MATCH(MEDIÇÃO!D672,'PROJETO PERFURAÇÃO'!$B:$B,0))="Pre-Splitting","S"))),"")</f>
        <v/>
      </c>
      <c r="D672" s="14">
        <f t="shared" si="63"/>
        <v>1466</v>
      </c>
      <c r="E672" s="4" t="str">
        <f>IFERROR(INDEX('LEV R&amp;D'!$D:$D,MATCH(MEDIÇÃO!D672,'LEV R&amp;D'!$A:$A,0))-INDEX('PROJETO PERFURAÇÃO'!$AH:$AH,MATCH(MEDIÇÃO!D672,'PROJETO PERFURAÇÃO'!$B:$B,0)),"")</f>
        <v/>
      </c>
      <c r="F672" s="8" t="str">
        <f>IFERROR(INDEX('PROJETO PERFURAÇÃO'!$AN:$AN,MATCH(MEDIÇÃO!D672,'PROJETO PERFURAÇÃO'!$B:$B,0)),"")</f>
        <v/>
      </c>
      <c r="G672" s="3"/>
      <c r="H672" s="3"/>
      <c r="I672" s="3" t="str">
        <f>IFERROR(ROUND(INDEX('PROJETO PERFURAÇÃO'!$AB:$AB,MATCH(MEDIÇÃO!K672,'PROJETO PERFURAÇÃO'!$B:$B,0)),1)&amp;"''","")</f>
        <v/>
      </c>
      <c r="J672" s="3" t="str">
        <f>IFERROR(IF(INDEX('PROJETO PERFURAÇÃO'!$P:$P,MATCH(MEDIÇÃO!K672,'PROJETO PERFURAÇÃO'!$B:$B,0))="Production","P",IF(INDEX('PROJETO PERFURAÇÃO'!$P:$P,MATCH(MEDIÇÃO!K672,'PROJETO PERFURAÇÃO'!$B:$B,0))="Buffer","B",IF(INDEX('PROJETO PERFURAÇÃO'!$P:$P,MATCH(MEDIÇÃO!K672,'PROJETO PERFURAÇÃO'!$B:$B,0))="Pre-Splitting","S"))),"")</f>
        <v/>
      </c>
      <c r="K672" s="14">
        <f t="shared" si="64"/>
        <v>1489</v>
      </c>
      <c r="L672" s="4" t="str">
        <f>IFERROR(INDEX('LEV R&amp;D'!$D:$D,MATCH(MEDIÇÃO!K672,'LEV R&amp;D'!$A:$A,0))-INDEX('PROJETO PERFURAÇÃO'!$AH:$AH,MATCH(MEDIÇÃO!K672,'PROJETO PERFURAÇÃO'!$B:$B,0)),"")</f>
        <v/>
      </c>
      <c r="M672" s="8" t="str">
        <f>IFERROR(INDEX('PROJETO PERFURAÇÃO'!$AN:$AN,MATCH(MEDIÇÃO!K672,'PROJETO PERFURAÇÃO'!$B:$B,0)),"")</f>
        <v/>
      </c>
      <c r="N672" s="3"/>
      <c r="O672" s="3"/>
      <c r="P672" s="3" t="str">
        <f>IFERROR(ROUND(INDEX('PROJETO PERFURAÇÃO'!$AB:$AB,MATCH(MEDIÇÃO!R672,'PROJETO PERFURAÇÃO'!$B:$B,0)),1)&amp;"''","")</f>
        <v/>
      </c>
      <c r="Q672" s="3" t="str">
        <f>IFERROR(IF(INDEX('PROJETO PERFURAÇÃO'!$P:$P,MATCH(MEDIÇÃO!R672,'PROJETO PERFURAÇÃO'!$B:$B,0))="Production","P",IF(INDEX('PROJETO PERFURAÇÃO'!$P:$P,MATCH(MEDIÇÃO!R672,'PROJETO PERFURAÇÃO'!$B:$B,0))="Buffer","B",IF(INDEX('PROJETO PERFURAÇÃO'!$P:$P,MATCH(MEDIÇÃO!R672,'PROJETO PERFURAÇÃO'!$B:$B,0))="Pre-Splitting","S"))),"")</f>
        <v/>
      </c>
      <c r="R672" s="14">
        <f t="shared" si="65"/>
        <v>1512</v>
      </c>
      <c r="S672" s="4" t="str">
        <f>IFERROR(INDEX('LEV R&amp;D'!$D:$D,MATCH(MEDIÇÃO!R672,'LEV R&amp;D'!$A:$A,0))-INDEX('PROJETO PERFURAÇÃO'!$AH:$AH,MATCH(MEDIÇÃO!R672,'PROJETO PERFURAÇÃO'!$B:$B,0)),"")</f>
        <v/>
      </c>
      <c r="T672" s="8" t="str">
        <f>IFERROR(INDEX('PROJETO PERFURAÇÃO'!$AN:$AN,MATCH(MEDIÇÃO!R672,'PROJETO PERFURAÇÃO'!$B:$B,0)),"")</f>
        <v/>
      </c>
      <c r="U672" s="3"/>
      <c r="V672" s="3"/>
    </row>
    <row r="673" spans="1:23" ht="45" customHeight="1" x14ac:dyDescent="0.25">
      <c r="B673" s="3" t="str">
        <f>IFERROR(ROUND(INDEX('PROJETO PERFURAÇÃO'!$AB:$AB,MATCH(MEDIÇÃO!D673,'PROJETO PERFURAÇÃO'!$B:$B,0)),1)&amp;"''","")</f>
        <v/>
      </c>
      <c r="C673" s="3" t="str">
        <f>IFERROR(IF(INDEX('PROJETO PERFURAÇÃO'!$P:$P,MATCH(MEDIÇÃO!D673,'PROJETO PERFURAÇÃO'!$B:$B,0))="Production","P",IF(INDEX('PROJETO PERFURAÇÃO'!$P:$P,MATCH(MEDIÇÃO!D673,'PROJETO PERFURAÇÃO'!$B:$B,0))="Buffer","B",IF(INDEX('PROJETO PERFURAÇÃO'!$P:$P,MATCH(MEDIÇÃO!D673,'PROJETO PERFURAÇÃO'!$B:$B,0))="Pre-Splitting","S"))),"")</f>
        <v/>
      </c>
      <c r="D673" s="14">
        <f t="shared" si="63"/>
        <v>1467</v>
      </c>
      <c r="E673" s="4" t="str">
        <f>IFERROR(INDEX('LEV R&amp;D'!$D:$D,MATCH(MEDIÇÃO!D673,'LEV R&amp;D'!$A:$A,0))-INDEX('PROJETO PERFURAÇÃO'!$AH:$AH,MATCH(MEDIÇÃO!D673,'PROJETO PERFURAÇÃO'!$B:$B,0)),"")</f>
        <v/>
      </c>
      <c r="F673" s="8" t="str">
        <f>IFERROR(INDEX('PROJETO PERFURAÇÃO'!$AN:$AN,MATCH(MEDIÇÃO!D673,'PROJETO PERFURAÇÃO'!$B:$B,0)),"")</f>
        <v/>
      </c>
      <c r="G673" s="3"/>
      <c r="H673" s="3"/>
      <c r="I673" s="3" t="str">
        <f>IFERROR(ROUND(INDEX('PROJETO PERFURAÇÃO'!$AB:$AB,MATCH(MEDIÇÃO!K673,'PROJETO PERFURAÇÃO'!$B:$B,0)),1)&amp;"''","")</f>
        <v/>
      </c>
      <c r="J673" s="3" t="str">
        <f>IFERROR(IF(INDEX('PROJETO PERFURAÇÃO'!$P:$P,MATCH(MEDIÇÃO!K673,'PROJETO PERFURAÇÃO'!$B:$B,0))="Production","P",IF(INDEX('PROJETO PERFURAÇÃO'!$P:$P,MATCH(MEDIÇÃO!K673,'PROJETO PERFURAÇÃO'!$B:$B,0))="Buffer","B",IF(INDEX('PROJETO PERFURAÇÃO'!$P:$P,MATCH(MEDIÇÃO!K673,'PROJETO PERFURAÇÃO'!$B:$B,0))="Pre-Splitting","S"))),"")</f>
        <v/>
      </c>
      <c r="K673" s="14">
        <f t="shared" si="64"/>
        <v>1490</v>
      </c>
      <c r="L673" s="4" t="str">
        <f>IFERROR(INDEX('LEV R&amp;D'!$D:$D,MATCH(MEDIÇÃO!K673,'LEV R&amp;D'!$A:$A,0))-INDEX('PROJETO PERFURAÇÃO'!$AH:$AH,MATCH(MEDIÇÃO!K673,'PROJETO PERFURAÇÃO'!$B:$B,0)),"")</f>
        <v/>
      </c>
      <c r="M673" s="8" t="str">
        <f>IFERROR(INDEX('PROJETO PERFURAÇÃO'!$AN:$AN,MATCH(MEDIÇÃO!K673,'PROJETO PERFURAÇÃO'!$B:$B,0)),"")</f>
        <v/>
      </c>
      <c r="N673" s="3"/>
      <c r="O673" s="3"/>
      <c r="P673" s="3" t="str">
        <f>IFERROR(ROUND(INDEX('PROJETO PERFURAÇÃO'!$AB:$AB,MATCH(MEDIÇÃO!R673,'PROJETO PERFURAÇÃO'!$B:$B,0)),1)&amp;"''","")</f>
        <v/>
      </c>
      <c r="Q673" s="3" t="str">
        <f>IFERROR(IF(INDEX('PROJETO PERFURAÇÃO'!$P:$P,MATCH(MEDIÇÃO!R673,'PROJETO PERFURAÇÃO'!$B:$B,0))="Production","P",IF(INDEX('PROJETO PERFURAÇÃO'!$P:$P,MATCH(MEDIÇÃO!R673,'PROJETO PERFURAÇÃO'!$B:$B,0))="Buffer","B",IF(INDEX('PROJETO PERFURAÇÃO'!$P:$P,MATCH(MEDIÇÃO!R673,'PROJETO PERFURAÇÃO'!$B:$B,0))="Pre-Splitting","S"))),"")</f>
        <v/>
      </c>
      <c r="R673" s="14">
        <f t="shared" si="65"/>
        <v>1513</v>
      </c>
      <c r="S673" s="4" t="str">
        <f>IFERROR(INDEX('LEV R&amp;D'!$D:$D,MATCH(MEDIÇÃO!R673,'LEV R&amp;D'!$A:$A,0))-INDEX('PROJETO PERFURAÇÃO'!$AH:$AH,MATCH(MEDIÇÃO!R673,'PROJETO PERFURAÇÃO'!$B:$B,0)),"")</f>
        <v/>
      </c>
      <c r="T673" s="8" t="str">
        <f>IFERROR(INDEX('PROJETO PERFURAÇÃO'!$AN:$AN,MATCH(MEDIÇÃO!R673,'PROJETO PERFURAÇÃO'!$B:$B,0)),"")</f>
        <v/>
      </c>
      <c r="U673" s="3"/>
      <c r="V673" s="3"/>
    </row>
    <row r="674" spans="1:23" ht="45" customHeight="1" x14ac:dyDescent="0.25">
      <c r="B674" s="3" t="str">
        <f>IFERROR(ROUND(INDEX('PROJETO PERFURAÇÃO'!$AB:$AB,MATCH(MEDIÇÃO!D674,'PROJETO PERFURAÇÃO'!$B:$B,0)),1)&amp;"''","")</f>
        <v/>
      </c>
      <c r="C674" s="3" t="str">
        <f>IFERROR(IF(INDEX('PROJETO PERFURAÇÃO'!$P:$P,MATCH(MEDIÇÃO!D674,'PROJETO PERFURAÇÃO'!$B:$B,0))="Production","P",IF(INDEX('PROJETO PERFURAÇÃO'!$P:$P,MATCH(MEDIÇÃO!D674,'PROJETO PERFURAÇÃO'!$B:$B,0))="Buffer","B",IF(INDEX('PROJETO PERFURAÇÃO'!$P:$P,MATCH(MEDIÇÃO!D674,'PROJETO PERFURAÇÃO'!$B:$B,0))="Pre-Splitting","S"))),"")</f>
        <v/>
      </c>
      <c r="D674" s="14">
        <f t="shared" si="63"/>
        <v>1468</v>
      </c>
      <c r="E674" s="4" t="str">
        <f>IFERROR(INDEX('LEV R&amp;D'!$D:$D,MATCH(MEDIÇÃO!D674,'LEV R&amp;D'!$A:$A,0))-INDEX('PROJETO PERFURAÇÃO'!$AH:$AH,MATCH(MEDIÇÃO!D674,'PROJETO PERFURAÇÃO'!$B:$B,0)),"")</f>
        <v/>
      </c>
      <c r="F674" s="8" t="str">
        <f>IFERROR(INDEX('PROJETO PERFURAÇÃO'!$AN:$AN,MATCH(MEDIÇÃO!D674,'PROJETO PERFURAÇÃO'!$B:$B,0)),"")</f>
        <v/>
      </c>
      <c r="G674" s="3"/>
      <c r="H674" s="3"/>
      <c r="I674" s="3" t="str">
        <f>IFERROR(ROUND(INDEX('PROJETO PERFURAÇÃO'!$AB:$AB,MATCH(MEDIÇÃO!K674,'PROJETO PERFURAÇÃO'!$B:$B,0)),1)&amp;"''","")</f>
        <v/>
      </c>
      <c r="J674" s="3" t="str">
        <f>IFERROR(IF(INDEX('PROJETO PERFURAÇÃO'!$P:$P,MATCH(MEDIÇÃO!K674,'PROJETO PERFURAÇÃO'!$B:$B,0))="Production","P",IF(INDEX('PROJETO PERFURAÇÃO'!$P:$P,MATCH(MEDIÇÃO!K674,'PROJETO PERFURAÇÃO'!$B:$B,0))="Buffer","B",IF(INDEX('PROJETO PERFURAÇÃO'!$P:$P,MATCH(MEDIÇÃO!K674,'PROJETO PERFURAÇÃO'!$B:$B,0))="Pre-Splitting","S"))),"")</f>
        <v/>
      </c>
      <c r="K674" s="14">
        <f t="shared" si="64"/>
        <v>1491</v>
      </c>
      <c r="L674" s="4" t="str">
        <f>IFERROR(INDEX('LEV R&amp;D'!$D:$D,MATCH(MEDIÇÃO!K674,'LEV R&amp;D'!$A:$A,0))-INDEX('PROJETO PERFURAÇÃO'!$AH:$AH,MATCH(MEDIÇÃO!K674,'PROJETO PERFURAÇÃO'!$B:$B,0)),"")</f>
        <v/>
      </c>
      <c r="M674" s="8" t="str">
        <f>IFERROR(INDEX('PROJETO PERFURAÇÃO'!$AN:$AN,MATCH(MEDIÇÃO!K674,'PROJETO PERFURAÇÃO'!$B:$B,0)),"")</f>
        <v/>
      </c>
      <c r="N674" s="3"/>
      <c r="O674" s="3"/>
      <c r="P674" s="3" t="str">
        <f>IFERROR(ROUND(INDEX('PROJETO PERFURAÇÃO'!$AB:$AB,MATCH(MEDIÇÃO!R674,'PROJETO PERFURAÇÃO'!$B:$B,0)),1)&amp;"''","")</f>
        <v/>
      </c>
      <c r="Q674" s="3" t="str">
        <f>IFERROR(IF(INDEX('PROJETO PERFURAÇÃO'!$P:$P,MATCH(MEDIÇÃO!R674,'PROJETO PERFURAÇÃO'!$B:$B,0))="Production","P",IF(INDEX('PROJETO PERFURAÇÃO'!$P:$P,MATCH(MEDIÇÃO!R674,'PROJETO PERFURAÇÃO'!$B:$B,0))="Buffer","B",IF(INDEX('PROJETO PERFURAÇÃO'!$P:$P,MATCH(MEDIÇÃO!R674,'PROJETO PERFURAÇÃO'!$B:$B,0))="Pre-Splitting","S"))),"")</f>
        <v/>
      </c>
      <c r="R674" s="14">
        <f t="shared" si="65"/>
        <v>1514</v>
      </c>
      <c r="S674" s="4" t="str">
        <f>IFERROR(INDEX('LEV R&amp;D'!$D:$D,MATCH(MEDIÇÃO!R674,'LEV R&amp;D'!$A:$A,0))-INDEX('PROJETO PERFURAÇÃO'!$AH:$AH,MATCH(MEDIÇÃO!R674,'PROJETO PERFURAÇÃO'!$B:$B,0)),"")</f>
        <v/>
      </c>
      <c r="T674" s="8" t="str">
        <f>IFERROR(INDEX('PROJETO PERFURAÇÃO'!$AN:$AN,MATCH(MEDIÇÃO!R674,'PROJETO PERFURAÇÃO'!$B:$B,0)),"")</f>
        <v/>
      </c>
      <c r="U674" s="3"/>
      <c r="V674" s="3"/>
    </row>
    <row r="675" spans="1:23" ht="45" customHeight="1" x14ac:dyDescent="0.25">
      <c r="B675" s="3" t="str">
        <f>IFERROR(ROUND(INDEX('PROJETO PERFURAÇÃO'!$AB:$AB,MATCH(MEDIÇÃO!D675,'PROJETO PERFURAÇÃO'!$B:$B,0)),1)&amp;"''","")</f>
        <v/>
      </c>
      <c r="C675" s="3" t="str">
        <f>IFERROR(IF(INDEX('PROJETO PERFURAÇÃO'!$P:$P,MATCH(MEDIÇÃO!D675,'PROJETO PERFURAÇÃO'!$B:$B,0))="Production","P",IF(INDEX('PROJETO PERFURAÇÃO'!$P:$P,MATCH(MEDIÇÃO!D675,'PROJETO PERFURAÇÃO'!$B:$B,0))="Buffer","B",IF(INDEX('PROJETO PERFURAÇÃO'!$P:$P,MATCH(MEDIÇÃO!D675,'PROJETO PERFURAÇÃO'!$B:$B,0))="Pre-Splitting","S"))),"")</f>
        <v/>
      </c>
      <c r="D675" s="14">
        <f t="shared" si="63"/>
        <v>1469</v>
      </c>
      <c r="E675" s="4" t="str">
        <f>IFERROR(INDEX('LEV R&amp;D'!$D:$D,MATCH(MEDIÇÃO!D675,'LEV R&amp;D'!$A:$A,0))-INDEX('PROJETO PERFURAÇÃO'!$AH:$AH,MATCH(MEDIÇÃO!D675,'PROJETO PERFURAÇÃO'!$B:$B,0)),"")</f>
        <v/>
      </c>
      <c r="F675" s="8" t="str">
        <f>IFERROR(INDEX('PROJETO PERFURAÇÃO'!$AN:$AN,MATCH(MEDIÇÃO!D675,'PROJETO PERFURAÇÃO'!$B:$B,0)),"")</f>
        <v/>
      </c>
      <c r="G675" s="3"/>
      <c r="H675" s="3"/>
      <c r="I675" s="3" t="str">
        <f>IFERROR(ROUND(INDEX('PROJETO PERFURAÇÃO'!$AB:$AB,MATCH(MEDIÇÃO!K675,'PROJETO PERFURAÇÃO'!$B:$B,0)),1)&amp;"''","")</f>
        <v/>
      </c>
      <c r="J675" s="3" t="str">
        <f>IFERROR(IF(INDEX('PROJETO PERFURAÇÃO'!$P:$P,MATCH(MEDIÇÃO!K675,'PROJETO PERFURAÇÃO'!$B:$B,0))="Production","P",IF(INDEX('PROJETO PERFURAÇÃO'!$P:$P,MATCH(MEDIÇÃO!K675,'PROJETO PERFURAÇÃO'!$B:$B,0))="Buffer","B",IF(INDEX('PROJETO PERFURAÇÃO'!$P:$P,MATCH(MEDIÇÃO!K675,'PROJETO PERFURAÇÃO'!$B:$B,0))="Pre-Splitting","S"))),"")</f>
        <v/>
      </c>
      <c r="K675" s="14">
        <f t="shared" si="64"/>
        <v>1492</v>
      </c>
      <c r="L675" s="4" t="str">
        <f>IFERROR(INDEX('LEV R&amp;D'!$D:$D,MATCH(MEDIÇÃO!K675,'LEV R&amp;D'!$A:$A,0))-INDEX('PROJETO PERFURAÇÃO'!$AH:$AH,MATCH(MEDIÇÃO!K675,'PROJETO PERFURAÇÃO'!$B:$B,0)),"")</f>
        <v/>
      </c>
      <c r="M675" s="8" t="str">
        <f>IFERROR(INDEX('PROJETO PERFURAÇÃO'!$AN:$AN,MATCH(MEDIÇÃO!K675,'PROJETO PERFURAÇÃO'!$B:$B,0)),"")</f>
        <v/>
      </c>
      <c r="N675" s="3"/>
      <c r="O675" s="3"/>
      <c r="P675" s="3" t="str">
        <f>IFERROR(ROUND(INDEX('PROJETO PERFURAÇÃO'!$AB:$AB,MATCH(MEDIÇÃO!R675,'PROJETO PERFURAÇÃO'!$B:$B,0)),1)&amp;"''","")</f>
        <v/>
      </c>
      <c r="Q675" s="3" t="str">
        <f>IFERROR(IF(INDEX('PROJETO PERFURAÇÃO'!$P:$P,MATCH(MEDIÇÃO!R675,'PROJETO PERFURAÇÃO'!$B:$B,0))="Production","P",IF(INDEX('PROJETO PERFURAÇÃO'!$P:$P,MATCH(MEDIÇÃO!R675,'PROJETO PERFURAÇÃO'!$B:$B,0))="Buffer","B",IF(INDEX('PROJETO PERFURAÇÃO'!$P:$P,MATCH(MEDIÇÃO!R675,'PROJETO PERFURAÇÃO'!$B:$B,0))="Pre-Splitting","S"))),"")</f>
        <v/>
      </c>
      <c r="R675" s="14">
        <f t="shared" si="65"/>
        <v>1515</v>
      </c>
      <c r="S675" s="4" t="str">
        <f>IFERROR(INDEX('LEV R&amp;D'!$D:$D,MATCH(MEDIÇÃO!R675,'LEV R&amp;D'!$A:$A,0))-INDEX('PROJETO PERFURAÇÃO'!$AH:$AH,MATCH(MEDIÇÃO!R675,'PROJETO PERFURAÇÃO'!$B:$B,0)),"")</f>
        <v/>
      </c>
      <c r="T675" s="8" t="str">
        <f>IFERROR(INDEX('PROJETO PERFURAÇÃO'!$AN:$AN,MATCH(MEDIÇÃO!R675,'PROJETO PERFURAÇÃO'!$B:$B,0)),"")</f>
        <v/>
      </c>
      <c r="U675" s="3"/>
      <c r="V675" s="3"/>
    </row>
    <row r="676" spans="1:23" ht="45" customHeight="1" x14ac:dyDescent="0.25">
      <c r="B676" s="3" t="str">
        <f>IFERROR(ROUND(INDEX('PROJETO PERFURAÇÃO'!$AB:$AB,MATCH(MEDIÇÃO!D676,'PROJETO PERFURAÇÃO'!$B:$B,0)),1)&amp;"''","")</f>
        <v/>
      </c>
      <c r="C676" s="3" t="str">
        <f>IFERROR(IF(INDEX('PROJETO PERFURAÇÃO'!$P:$P,MATCH(MEDIÇÃO!D676,'PROJETO PERFURAÇÃO'!$B:$B,0))="Production","P",IF(INDEX('PROJETO PERFURAÇÃO'!$P:$P,MATCH(MEDIÇÃO!D676,'PROJETO PERFURAÇÃO'!$B:$B,0))="Buffer","B",IF(INDEX('PROJETO PERFURAÇÃO'!$P:$P,MATCH(MEDIÇÃO!D676,'PROJETO PERFURAÇÃO'!$B:$B,0))="Pre-Splitting","S"))),"")</f>
        <v/>
      </c>
      <c r="D676" s="14">
        <f t="shared" si="63"/>
        <v>1470</v>
      </c>
      <c r="E676" s="4" t="str">
        <f>IFERROR(INDEX('LEV R&amp;D'!$D:$D,MATCH(MEDIÇÃO!D676,'LEV R&amp;D'!$A:$A,0))-INDEX('PROJETO PERFURAÇÃO'!$AH:$AH,MATCH(MEDIÇÃO!D676,'PROJETO PERFURAÇÃO'!$B:$B,0)),"")</f>
        <v/>
      </c>
      <c r="F676" s="8" t="str">
        <f>IFERROR(INDEX('PROJETO PERFURAÇÃO'!$AN:$AN,MATCH(MEDIÇÃO!D676,'PROJETO PERFURAÇÃO'!$B:$B,0)),"")</f>
        <v/>
      </c>
      <c r="G676" s="3"/>
      <c r="H676" s="3"/>
      <c r="I676" s="3" t="str">
        <f>IFERROR(ROUND(INDEX('PROJETO PERFURAÇÃO'!$AB:$AB,MATCH(MEDIÇÃO!K676,'PROJETO PERFURAÇÃO'!$B:$B,0)),1)&amp;"''","")</f>
        <v/>
      </c>
      <c r="J676" s="3" t="str">
        <f>IFERROR(IF(INDEX('PROJETO PERFURAÇÃO'!$P:$P,MATCH(MEDIÇÃO!K676,'PROJETO PERFURAÇÃO'!$B:$B,0))="Production","P",IF(INDEX('PROJETO PERFURAÇÃO'!$P:$P,MATCH(MEDIÇÃO!K676,'PROJETO PERFURAÇÃO'!$B:$B,0))="Buffer","B",IF(INDEX('PROJETO PERFURAÇÃO'!$P:$P,MATCH(MEDIÇÃO!K676,'PROJETO PERFURAÇÃO'!$B:$B,0))="Pre-Splitting","S"))),"")</f>
        <v/>
      </c>
      <c r="K676" s="14">
        <f t="shared" si="64"/>
        <v>1493</v>
      </c>
      <c r="L676" s="4" t="str">
        <f>IFERROR(INDEX('LEV R&amp;D'!$D:$D,MATCH(MEDIÇÃO!K676,'LEV R&amp;D'!$A:$A,0))-INDEX('PROJETO PERFURAÇÃO'!$AH:$AH,MATCH(MEDIÇÃO!K676,'PROJETO PERFURAÇÃO'!$B:$B,0)),"")</f>
        <v/>
      </c>
      <c r="M676" s="8" t="str">
        <f>IFERROR(INDEX('PROJETO PERFURAÇÃO'!$AN:$AN,MATCH(MEDIÇÃO!K676,'PROJETO PERFURAÇÃO'!$B:$B,0)),"")</f>
        <v/>
      </c>
      <c r="N676" s="3"/>
      <c r="O676" s="3"/>
      <c r="P676" s="3" t="str">
        <f>IFERROR(ROUND(INDEX('PROJETO PERFURAÇÃO'!$AB:$AB,MATCH(MEDIÇÃO!R676,'PROJETO PERFURAÇÃO'!$B:$B,0)),1)&amp;"''","")</f>
        <v/>
      </c>
      <c r="Q676" s="3" t="str">
        <f>IFERROR(IF(INDEX('PROJETO PERFURAÇÃO'!$P:$P,MATCH(MEDIÇÃO!R676,'PROJETO PERFURAÇÃO'!$B:$B,0))="Production","P",IF(INDEX('PROJETO PERFURAÇÃO'!$P:$P,MATCH(MEDIÇÃO!R676,'PROJETO PERFURAÇÃO'!$B:$B,0))="Buffer","B",IF(INDEX('PROJETO PERFURAÇÃO'!$P:$P,MATCH(MEDIÇÃO!R676,'PROJETO PERFURAÇÃO'!$B:$B,0))="Pre-Splitting","S"))),"")</f>
        <v/>
      </c>
      <c r="R676" s="14">
        <f t="shared" si="65"/>
        <v>1516</v>
      </c>
      <c r="S676" s="4" t="str">
        <f>IFERROR(INDEX('LEV R&amp;D'!$D:$D,MATCH(MEDIÇÃO!R676,'LEV R&amp;D'!$A:$A,0))-INDEX('PROJETO PERFURAÇÃO'!$AH:$AH,MATCH(MEDIÇÃO!R676,'PROJETO PERFURAÇÃO'!$B:$B,0)),"")</f>
        <v/>
      </c>
      <c r="T676" s="8" t="str">
        <f>IFERROR(INDEX('PROJETO PERFURAÇÃO'!$AN:$AN,MATCH(MEDIÇÃO!R676,'PROJETO PERFURAÇÃO'!$B:$B,0)),"")</f>
        <v/>
      </c>
      <c r="U676" s="3"/>
      <c r="V676" s="3"/>
    </row>
    <row r="677" spans="1:23" ht="45" customHeight="1" x14ac:dyDescent="0.25">
      <c r="B677" s="3" t="str">
        <f>IFERROR(ROUND(INDEX('PROJETO PERFURAÇÃO'!$AB:$AB,MATCH(MEDIÇÃO!D677,'PROJETO PERFURAÇÃO'!$B:$B,0)),1)&amp;"''","")</f>
        <v/>
      </c>
      <c r="C677" s="3" t="str">
        <f>IFERROR(IF(INDEX('PROJETO PERFURAÇÃO'!$P:$P,MATCH(MEDIÇÃO!D677,'PROJETO PERFURAÇÃO'!$B:$B,0))="Production","P",IF(INDEX('PROJETO PERFURAÇÃO'!$P:$P,MATCH(MEDIÇÃO!D677,'PROJETO PERFURAÇÃO'!$B:$B,0))="Buffer","B",IF(INDEX('PROJETO PERFURAÇÃO'!$P:$P,MATCH(MEDIÇÃO!D677,'PROJETO PERFURAÇÃO'!$B:$B,0))="Pre-Splitting","S"))),"")</f>
        <v/>
      </c>
      <c r="D677" s="14">
        <f t="shared" si="63"/>
        <v>1471</v>
      </c>
      <c r="E677" s="4" t="str">
        <f>IFERROR(INDEX('LEV R&amp;D'!$D:$D,MATCH(MEDIÇÃO!D677,'LEV R&amp;D'!$A:$A,0))-INDEX('PROJETO PERFURAÇÃO'!$AH:$AH,MATCH(MEDIÇÃO!D677,'PROJETO PERFURAÇÃO'!$B:$B,0)),"")</f>
        <v/>
      </c>
      <c r="F677" s="8" t="str">
        <f>IFERROR(INDEX('PROJETO PERFURAÇÃO'!$AN:$AN,MATCH(MEDIÇÃO!D677,'PROJETO PERFURAÇÃO'!$B:$B,0)),"")</f>
        <v/>
      </c>
      <c r="G677" s="3"/>
      <c r="H677" s="3"/>
      <c r="I677" s="3" t="str">
        <f>IFERROR(ROUND(INDEX('PROJETO PERFURAÇÃO'!$AB:$AB,MATCH(MEDIÇÃO!K677,'PROJETO PERFURAÇÃO'!$B:$B,0)),1)&amp;"''","")</f>
        <v/>
      </c>
      <c r="J677" s="3" t="str">
        <f>IFERROR(IF(INDEX('PROJETO PERFURAÇÃO'!$P:$P,MATCH(MEDIÇÃO!K677,'PROJETO PERFURAÇÃO'!$B:$B,0))="Production","P",IF(INDEX('PROJETO PERFURAÇÃO'!$P:$P,MATCH(MEDIÇÃO!K677,'PROJETO PERFURAÇÃO'!$B:$B,0))="Buffer","B",IF(INDEX('PROJETO PERFURAÇÃO'!$P:$P,MATCH(MEDIÇÃO!K677,'PROJETO PERFURAÇÃO'!$B:$B,0))="Pre-Splitting","S"))),"")</f>
        <v/>
      </c>
      <c r="K677" s="14">
        <f t="shared" si="64"/>
        <v>1494</v>
      </c>
      <c r="L677" s="4" t="str">
        <f>IFERROR(INDEX('LEV R&amp;D'!$D:$D,MATCH(MEDIÇÃO!K677,'LEV R&amp;D'!$A:$A,0))-INDEX('PROJETO PERFURAÇÃO'!$AH:$AH,MATCH(MEDIÇÃO!K677,'PROJETO PERFURAÇÃO'!$B:$B,0)),"")</f>
        <v/>
      </c>
      <c r="M677" s="8" t="str">
        <f>IFERROR(INDEX('PROJETO PERFURAÇÃO'!$AN:$AN,MATCH(MEDIÇÃO!K677,'PROJETO PERFURAÇÃO'!$B:$B,0)),"")</f>
        <v/>
      </c>
      <c r="N677" s="3"/>
      <c r="O677" s="3"/>
      <c r="P677" s="3" t="str">
        <f>IFERROR(ROUND(INDEX('PROJETO PERFURAÇÃO'!$AB:$AB,MATCH(MEDIÇÃO!R677,'PROJETO PERFURAÇÃO'!$B:$B,0)),1)&amp;"''","")</f>
        <v/>
      </c>
      <c r="Q677" s="3" t="str">
        <f>IFERROR(IF(INDEX('PROJETO PERFURAÇÃO'!$P:$P,MATCH(MEDIÇÃO!R677,'PROJETO PERFURAÇÃO'!$B:$B,0))="Production","P",IF(INDEX('PROJETO PERFURAÇÃO'!$P:$P,MATCH(MEDIÇÃO!R677,'PROJETO PERFURAÇÃO'!$B:$B,0))="Buffer","B",IF(INDEX('PROJETO PERFURAÇÃO'!$P:$P,MATCH(MEDIÇÃO!R677,'PROJETO PERFURAÇÃO'!$B:$B,0))="Pre-Splitting","S"))),"")</f>
        <v/>
      </c>
      <c r="R677" s="14">
        <f t="shared" si="65"/>
        <v>1517</v>
      </c>
      <c r="S677" s="4" t="str">
        <f>IFERROR(INDEX('LEV R&amp;D'!$D:$D,MATCH(MEDIÇÃO!R677,'LEV R&amp;D'!$A:$A,0))-INDEX('PROJETO PERFURAÇÃO'!$AH:$AH,MATCH(MEDIÇÃO!R677,'PROJETO PERFURAÇÃO'!$B:$B,0)),"")</f>
        <v/>
      </c>
      <c r="T677" s="8" t="str">
        <f>IFERROR(INDEX('PROJETO PERFURAÇÃO'!$AN:$AN,MATCH(MEDIÇÃO!R677,'PROJETO PERFURAÇÃO'!$B:$B,0)),"")</f>
        <v/>
      </c>
      <c r="U677" s="3"/>
      <c r="V677" s="3"/>
    </row>
    <row r="678" spans="1:23" ht="45" customHeight="1" x14ac:dyDescent="0.25">
      <c r="B678" s="3" t="str">
        <f>IFERROR(ROUND(INDEX('PROJETO PERFURAÇÃO'!$AB:$AB,MATCH(MEDIÇÃO!D678,'PROJETO PERFURAÇÃO'!$B:$B,0)),1)&amp;"''","")</f>
        <v/>
      </c>
      <c r="C678" s="3" t="str">
        <f>IFERROR(IF(INDEX('PROJETO PERFURAÇÃO'!$P:$P,MATCH(MEDIÇÃO!D678,'PROJETO PERFURAÇÃO'!$B:$B,0))="Production","P",IF(INDEX('PROJETO PERFURAÇÃO'!$P:$P,MATCH(MEDIÇÃO!D678,'PROJETO PERFURAÇÃO'!$B:$B,0))="Buffer","B",IF(INDEX('PROJETO PERFURAÇÃO'!$P:$P,MATCH(MEDIÇÃO!D678,'PROJETO PERFURAÇÃO'!$B:$B,0))="Pre-Splitting","S"))),"")</f>
        <v/>
      </c>
      <c r="D678" s="14">
        <f t="shared" si="63"/>
        <v>1472</v>
      </c>
      <c r="E678" s="4" t="str">
        <f>IFERROR(INDEX('LEV R&amp;D'!$D:$D,MATCH(MEDIÇÃO!D678,'LEV R&amp;D'!$A:$A,0))-INDEX('PROJETO PERFURAÇÃO'!$AH:$AH,MATCH(MEDIÇÃO!D678,'PROJETO PERFURAÇÃO'!$B:$B,0)),"")</f>
        <v/>
      </c>
      <c r="F678" s="8" t="str">
        <f>IFERROR(INDEX('PROJETO PERFURAÇÃO'!$AN:$AN,MATCH(MEDIÇÃO!D678,'PROJETO PERFURAÇÃO'!$B:$B,0)),"")</f>
        <v/>
      </c>
      <c r="G678" s="3"/>
      <c r="H678" s="3"/>
      <c r="I678" s="3" t="str">
        <f>IFERROR(ROUND(INDEX('PROJETO PERFURAÇÃO'!$AB:$AB,MATCH(MEDIÇÃO!K678,'PROJETO PERFURAÇÃO'!$B:$B,0)),1)&amp;"''","")</f>
        <v/>
      </c>
      <c r="J678" s="3" t="str">
        <f>IFERROR(IF(INDEX('PROJETO PERFURAÇÃO'!$P:$P,MATCH(MEDIÇÃO!K678,'PROJETO PERFURAÇÃO'!$B:$B,0))="Production","P",IF(INDEX('PROJETO PERFURAÇÃO'!$P:$P,MATCH(MEDIÇÃO!K678,'PROJETO PERFURAÇÃO'!$B:$B,0))="Buffer","B",IF(INDEX('PROJETO PERFURAÇÃO'!$P:$P,MATCH(MEDIÇÃO!K678,'PROJETO PERFURAÇÃO'!$B:$B,0))="Pre-Splitting","S"))),"")</f>
        <v/>
      </c>
      <c r="K678" s="14">
        <f>K677+1</f>
        <v>1495</v>
      </c>
      <c r="L678" s="4" t="str">
        <f>IFERROR(INDEX('LEV R&amp;D'!$D:$D,MATCH(MEDIÇÃO!K678,'LEV R&amp;D'!$A:$A,0))-INDEX('PROJETO PERFURAÇÃO'!$AH:$AH,MATCH(MEDIÇÃO!K678,'PROJETO PERFURAÇÃO'!$B:$B,0)),"")</f>
        <v/>
      </c>
      <c r="M678" s="8" t="str">
        <f>IFERROR(INDEX('PROJETO PERFURAÇÃO'!$AN:$AN,MATCH(MEDIÇÃO!K678,'PROJETO PERFURAÇÃO'!$B:$B,0)),"")</f>
        <v/>
      </c>
      <c r="N678" s="3"/>
      <c r="O678" s="3"/>
      <c r="P678" s="3" t="str">
        <f>IFERROR(ROUND(INDEX('PROJETO PERFURAÇÃO'!$AB:$AB,MATCH(MEDIÇÃO!R678,'PROJETO PERFURAÇÃO'!$B:$B,0)),1)&amp;"''","")</f>
        <v/>
      </c>
      <c r="Q678" s="3" t="str">
        <f>IFERROR(IF(INDEX('PROJETO PERFURAÇÃO'!$P:$P,MATCH(MEDIÇÃO!R678,'PROJETO PERFURAÇÃO'!$B:$B,0))="Production","P",IF(INDEX('PROJETO PERFURAÇÃO'!$P:$P,MATCH(MEDIÇÃO!R678,'PROJETO PERFURAÇÃO'!$B:$B,0))="Buffer","B",IF(INDEX('PROJETO PERFURAÇÃO'!$P:$P,MATCH(MEDIÇÃO!R678,'PROJETO PERFURAÇÃO'!$B:$B,0))="Pre-Splitting","S"))),"")</f>
        <v/>
      </c>
      <c r="R678" s="14">
        <f>R677+1</f>
        <v>1518</v>
      </c>
      <c r="S678" s="4" t="str">
        <f>IFERROR(INDEX('LEV R&amp;D'!$D:$D,MATCH(MEDIÇÃO!R678,'LEV R&amp;D'!$A:$A,0))-INDEX('PROJETO PERFURAÇÃO'!$AH:$AH,MATCH(MEDIÇÃO!R678,'PROJETO PERFURAÇÃO'!$B:$B,0)),"")</f>
        <v/>
      </c>
      <c r="T678" s="8" t="str">
        <f>IFERROR(INDEX('PROJETO PERFURAÇÃO'!$AN:$AN,MATCH(MEDIÇÃO!R678,'PROJETO PERFURAÇÃO'!$B:$B,0)),"")</f>
        <v/>
      </c>
      <c r="U678" s="3"/>
      <c r="V678" s="3"/>
    </row>
    <row r="679" spans="1:23" ht="30" customHeight="1" x14ac:dyDescent="0.25">
      <c r="B679" s="1"/>
      <c r="C679" s="1"/>
      <c r="D679" s="15"/>
      <c r="E679" s="2"/>
      <c r="F679" s="16"/>
      <c r="G679" s="1"/>
      <c r="H679" s="1"/>
      <c r="I679" s="1"/>
      <c r="J679" s="1"/>
      <c r="K679" s="15"/>
      <c r="L679" s="2"/>
      <c r="M679" s="16"/>
      <c r="N679" s="1"/>
      <c r="O679" s="1"/>
      <c r="P679" s="1"/>
      <c r="Q679" s="1"/>
      <c r="R679" s="15"/>
      <c r="S679" s="2"/>
      <c r="T679" s="16"/>
      <c r="U679" s="1"/>
      <c r="V679" s="1"/>
    </row>
    <row r="680" spans="1:23" ht="30" customHeight="1" x14ac:dyDescent="0.25">
      <c r="C680" s="20"/>
      <c r="D680" s="20"/>
      <c r="E680" s="20"/>
      <c r="F680" s="20"/>
      <c r="G680" s="20"/>
      <c r="H680" s="20"/>
      <c r="I680" s="20"/>
      <c r="J680" s="20"/>
      <c r="K680" s="20"/>
      <c r="M680" s="20"/>
      <c r="N680" s="20"/>
      <c r="O680" s="20"/>
      <c r="P680" s="20"/>
      <c r="Q680" s="20"/>
      <c r="R680" s="20"/>
      <c r="S680" s="20"/>
      <c r="T680" s="20"/>
      <c r="U680" s="20"/>
    </row>
    <row r="681" spans="1:23" ht="30" customHeight="1" x14ac:dyDescent="0.25">
      <c r="C681" s="21" t="s">
        <v>40</v>
      </c>
      <c r="D681" s="21"/>
      <c r="E681" s="21"/>
      <c r="F681" s="21"/>
      <c r="G681" s="21"/>
      <c r="H681" s="21"/>
      <c r="I681" s="21"/>
      <c r="J681" s="21"/>
      <c r="K681" s="21"/>
      <c r="L681" s="9"/>
      <c r="M681" s="21" t="s">
        <v>40</v>
      </c>
      <c r="N681" s="21"/>
      <c r="O681" s="21"/>
      <c r="P681" s="21"/>
      <c r="Q681" s="21"/>
      <c r="R681" s="21"/>
      <c r="S681" s="21"/>
      <c r="T681" s="21"/>
      <c r="U681" s="21"/>
      <c r="V681" s="9"/>
    </row>
    <row r="682" spans="1:23" ht="30" customHeight="1" x14ac:dyDescent="0.25">
      <c r="D682" s="9"/>
      <c r="E682" s="9"/>
      <c r="F682" s="9"/>
      <c r="G682" s="9"/>
      <c r="H682" s="9"/>
      <c r="I682" s="9"/>
      <c r="J682" s="9"/>
      <c r="K682" s="9"/>
      <c r="L682" s="9"/>
      <c r="M682" s="9"/>
      <c r="N682" s="9"/>
      <c r="Q682" s="9"/>
      <c r="R682" s="9"/>
      <c r="S682" s="9"/>
      <c r="T682" s="9"/>
      <c r="U682" s="9"/>
      <c r="V682" s="9"/>
    </row>
    <row r="683" spans="1:23" ht="30" customHeight="1" x14ac:dyDescent="0.25">
      <c r="B683" s="19" t="str">
        <f>'PROJETO PERFURAÇÃO'!$C$2&amp;" - "&amp;'PROJETO PERFURAÇÃO'!$H$2</f>
        <v>LIB065 - PP0651026</v>
      </c>
      <c r="C683" s="19"/>
      <c r="D683" s="19"/>
      <c r="E683" s="19"/>
      <c r="F683" s="19"/>
      <c r="G683" s="19"/>
      <c r="H683" s="19"/>
      <c r="I683" s="11" t="s">
        <v>34</v>
      </c>
      <c r="J683" s="10" t="s">
        <v>37</v>
      </c>
    </row>
    <row r="684" spans="1:23" ht="30" customHeight="1" x14ac:dyDescent="0.25">
      <c r="B684" s="19"/>
      <c r="C684" s="19"/>
      <c r="D684" s="19"/>
      <c r="E684" s="19"/>
      <c r="F684" s="19"/>
      <c r="G684" s="19"/>
      <c r="H684" s="19"/>
      <c r="I684" s="12" t="s">
        <v>35</v>
      </c>
      <c r="J684" s="10" t="s">
        <v>38</v>
      </c>
      <c r="K684" s="9"/>
      <c r="L684" s="9"/>
      <c r="M684" s="9"/>
      <c r="N684" s="9"/>
      <c r="O684" s="9"/>
      <c r="P684" s="9"/>
      <c r="Q684" s="9"/>
      <c r="R684" s="9"/>
      <c r="S684" s="9"/>
      <c r="T684" s="9"/>
      <c r="U684" s="9"/>
      <c r="V684" s="9"/>
    </row>
    <row r="685" spans="1:23" ht="30" customHeight="1" x14ac:dyDescent="0.25">
      <c r="B685" s="19"/>
      <c r="C685" s="19"/>
      <c r="D685" s="19"/>
      <c r="E685" s="19"/>
      <c r="F685" s="19"/>
      <c r="G685" s="19"/>
      <c r="H685" s="19"/>
      <c r="I685" s="13" t="s">
        <v>36</v>
      </c>
      <c r="J685" s="10" t="s">
        <v>39</v>
      </c>
    </row>
    <row r="686" spans="1:23" ht="30" customHeight="1" x14ac:dyDescent="0.25">
      <c r="A686" s="1"/>
      <c r="B686" s="6" t="s">
        <v>33</v>
      </c>
      <c r="C686" s="6" t="s">
        <v>13</v>
      </c>
      <c r="D686" s="7" t="s">
        <v>1</v>
      </c>
      <c r="E686" s="7" t="s">
        <v>29</v>
      </c>
      <c r="F686" s="7" t="s">
        <v>30</v>
      </c>
      <c r="G686" s="7" t="s">
        <v>31</v>
      </c>
      <c r="H686" s="7" t="s">
        <v>32</v>
      </c>
      <c r="I686" s="6" t="s">
        <v>33</v>
      </c>
      <c r="J686" s="6" t="s">
        <v>13</v>
      </c>
      <c r="K686" s="7" t="s">
        <v>1</v>
      </c>
      <c r="L686" s="7" t="s">
        <v>29</v>
      </c>
      <c r="M686" s="7" t="s">
        <v>30</v>
      </c>
      <c r="N686" s="7" t="s">
        <v>31</v>
      </c>
      <c r="O686" s="7" t="s">
        <v>32</v>
      </c>
      <c r="P686" s="6" t="s">
        <v>33</v>
      </c>
      <c r="Q686" s="6" t="s">
        <v>13</v>
      </c>
      <c r="R686" s="7" t="s">
        <v>1</v>
      </c>
      <c r="S686" s="7" t="s">
        <v>29</v>
      </c>
      <c r="T686" s="7" t="s">
        <v>30</v>
      </c>
      <c r="U686" s="7" t="s">
        <v>31</v>
      </c>
      <c r="V686" s="7" t="s">
        <v>32</v>
      </c>
      <c r="W686" s="1"/>
    </row>
    <row r="687" spans="1:23" ht="45" customHeight="1" x14ac:dyDescent="0.25">
      <c r="B687" s="3" t="str">
        <f>IFERROR(ROUND(INDEX('PROJETO PERFURAÇÃO'!$AB:$AB,MATCH(MEDIÇÃO!D687,'PROJETO PERFURAÇÃO'!$B:$B,0)),1)&amp;"''","")</f>
        <v/>
      </c>
      <c r="C687" s="3" t="str">
        <f>IFERROR(IF(INDEX('PROJETO PERFURAÇÃO'!$P:$P,MATCH(MEDIÇÃO!D687,'PROJETO PERFURAÇÃO'!$B:$B,0))="Production","P",IF(INDEX('PROJETO PERFURAÇÃO'!$P:$P,MATCH(MEDIÇÃO!D687,'PROJETO PERFURAÇÃO'!$B:$B,0))="Buffer","B",IF(INDEX('PROJETO PERFURAÇÃO'!$P:$P,MATCH(MEDIÇÃO!D687,'PROJETO PERFURAÇÃO'!$B:$B,0))="Pre-Splitting","S"))),"")</f>
        <v/>
      </c>
      <c r="D687" s="14">
        <f>R678+1</f>
        <v>1519</v>
      </c>
      <c r="E687" s="4" t="str">
        <f>IFERROR(INDEX('LEV R&amp;D'!$D:$D,MATCH(MEDIÇÃO!D687,'LEV R&amp;D'!$A:$A,0))-INDEX('PROJETO PERFURAÇÃO'!$AH:$AH,MATCH(MEDIÇÃO!D687,'PROJETO PERFURAÇÃO'!$B:$B,0)),"")</f>
        <v/>
      </c>
      <c r="F687" s="8" t="str">
        <f>IFERROR(INDEX('PROJETO PERFURAÇÃO'!$AN:$AN,MATCH(MEDIÇÃO!D687,'PROJETO PERFURAÇÃO'!$B:$B,0)),"")</f>
        <v/>
      </c>
      <c r="G687" s="3"/>
      <c r="H687" s="3"/>
      <c r="I687" s="3" t="str">
        <f>IFERROR(ROUND(INDEX('PROJETO PERFURAÇÃO'!$AB:$AB,MATCH(MEDIÇÃO!K687,'PROJETO PERFURAÇÃO'!$B:$B,0)),1)&amp;"''","")</f>
        <v/>
      </c>
      <c r="J687" s="3" t="str">
        <f>IFERROR(IF(INDEX('PROJETO PERFURAÇÃO'!$P:$P,MATCH(MEDIÇÃO!K687,'PROJETO PERFURAÇÃO'!$B:$B,0))="Production","P",IF(INDEX('PROJETO PERFURAÇÃO'!$P:$P,MATCH(MEDIÇÃO!K687,'PROJETO PERFURAÇÃO'!$B:$B,0))="Buffer","B",IF(INDEX('PROJETO PERFURAÇÃO'!$P:$P,MATCH(MEDIÇÃO!K687,'PROJETO PERFURAÇÃO'!$B:$B,0))="Pre-Splitting","S"))),"")</f>
        <v/>
      </c>
      <c r="K687" s="14">
        <f>D709+1</f>
        <v>1542</v>
      </c>
      <c r="L687" s="4" t="str">
        <f>IFERROR(INDEX('LEV R&amp;D'!$D:$D,MATCH(MEDIÇÃO!K687,'LEV R&amp;D'!$A:$A,0))-INDEX('PROJETO PERFURAÇÃO'!$AH:$AH,MATCH(MEDIÇÃO!K687,'PROJETO PERFURAÇÃO'!$B:$B,0)),"")</f>
        <v/>
      </c>
      <c r="M687" s="8" t="str">
        <f>IFERROR(INDEX('PROJETO PERFURAÇÃO'!$AN:$AN,MATCH(MEDIÇÃO!K687,'PROJETO PERFURAÇÃO'!$B:$B,0)),"")</f>
        <v/>
      </c>
      <c r="N687" s="3"/>
      <c r="O687" s="3"/>
      <c r="P687" s="3" t="str">
        <f>IFERROR(ROUND(INDEX('PROJETO PERFURAÇÃO'!$AB:$AB,MATCH(MEDIÇÃO!R687,'PROJETO PERFURAÇÃO'!$B:$B,0)),1)&amp;"''","")</f>
        <v/>
      </c>
      <c r="Q687" s="3" t="str">
        <f>IFERROR(IF(INDEX('PROJETO PERFURAÇÃO'!$P:$P,MATCH(MEDIÇÃO!R687,'PROJETO PERFURAÇÃO'!$B:$B,0))="Production","P",IF(INDEX('PROJETO PERFURAÇÃO'!$P:$P,MATCH(MEDIÇÃO!R687,'PROJETO PERFURAÇÃO'!$B:$B,0))="Buffer","B",IF(INDEX('PROJETO PERFURAÇÃO'!$P:$P,MATCH(MEDIÇÃO!R687,'PROJETO PERFURAÇÃO'!$B:$B,0))="Pre-Splitting","S"))),"")</f>
        <v/>
      </c>
      <c r="R687" s="14">
        <f>K709+1</f>
        <v>1565</v>
      </c>
      <c r="S687" s="4" t="str">
        <f>IFERROR(INDEX('LEV R&amp;D'!$D:$D,MATCH(MEDIÇÃO!R687,'LEV R&amp;D'!$A:$A,0))-INDEX('PROJETO PERFURAÇÃO'!$AH:$AH,MATCH(MEDIÇÃO!R687,'PROJETO PERFURAÇÃO'!$B:$B,0)),"")</f>
        <v/>
      </c>
      <c r="T687" s="8" t="str">
        <f>IFERROR(INDEX('PROJETO PERFURAÇÃO'!$AN:$AN,MATCH(MEDIÇÃO!R687,'PROJETO PERFURAÇÃO'!$B:$B,0)),"")</f>
        <v/>
      </c>
      <c r="U687" s="3"/>
      <c r="V687" s="3"/>
    </row>
    <row r="688" spans="1:23" ht="45" customHeight="1" x14ac:dyDescent="0.25">
      <c r="B688" s="3" t="str">
        <f>IFERROR(ROUND(INDEX('PROJETO PERFURAÇÃO'!$AB:$AB,MATCH(MEDIÇÃO!D688,'PROJETO PERFURAÇÃO'!$B:$B,0)),1)&amp;"''","")</f>
        <v/>
      </c>
      <c r="C688" s="3" t="str">
        <f>IFERROR(IF(INDEX('PROJETO PERFURAÇÃO'!$P:$P,MATCH(MEDIÇÃO!D688,'PROJETO PERFURAÇÃO'!$B:$B,0))="Production","P",IF(INDEX('PROJETO PERFURAÇÃO'!$P:$P,MATCH(MEDIÇÃO!D688,'PROJETO PERFURAÇÃO'!$B:$B,0))="Buffer","B",IF(INDEX('PROJETO PERFURAÇÃO'!$P:$P,MATCH(MEDIÇÃO!D688,'PROJETO PERFURAÇÃO'!$B:$B,0))="Pre-Splitting","S"))),"")</f>
        <v/>
      </c>
      <c r="D688" s="14">
        <f>D687+1</f>
        <v>1520</v>
      </c>
      <c r="E688" s="4" t="str">
        <f>IFERROR(INDEX('LEV R&amp;D'!$D:$D,MATCH(MEDIÇÃO!D688,'LEV R&amp;D'!$A:$A,0))-INDEX('PROJETO PERFURAÇÃO'!$AH:$AH,MATCH(MEDIÇÃO!D688,'PROJETO PERFURAÇÃO'!$B:$B,0)),"")</f>
        <v/>
      </c>
      <c r="F688" s="8" t="str">
        <f>IFERROR(INDEX('PROJETO PERFURAÇÃO'!$AN:$AN,MATCH(MEDIÇÃO!D688,'PROJETO PERFURAÇÃO'!$B:$B,0)),"")</f>
        <v/>
      </c>
      <c r="G688" s="3"/>
      <c r="H688" s="3"/>
      <c r="I688" s="3" t="str">
        <f>IFERROR(ROUND(INDEX('PROJETO PERFURAÇÃO'!$AB:$AB,MATCH(MEDIÇÃO!K688,'PROJETO PERFURAÇÃO'!$B:$B,0)),1)&amp;"''","")</f>
        <v/>
      </c>
      <c r="J688" s="3" t="str">
        <f>IFERROR(IF(INDEX('PROJETO PERFURAÇÃO'!$P:$P,MATCH(MEDIÇÃO!K688,'PROJETO PERFURAÇÃO'!$B:$B,0))="Production","P",IF(INDEX('PROJETO PERFURAÇÃO'!$P:$P,MATCH(MEDIÇÃO!K688,'PROJETO PERFURAÇÃO'!$B:$B,0))="Buffer","B",IF(INDEX('PROJETO PERFURAÇÃO'!$P:$P,MATCH(MEDIÇÃO!K688,'PROJETO PERFURAÇÃO'!$B:$B,0))="Pre-Splitting","S"))),"")</f>
        <v/>
      </c>
      <c r="K688" s="14">
        <f>K687+1</f>
        <v>1543</v>
      </c>
      <c r="L688" s="4" t="str">
        <f>IFERROR(INDEX('LEV R&amp;D'!$D:$D,MATCH(MEDIÇÃO!K688,'LEV R&amp;D'!$A:$A,0))-INDEX('PROJETO PERFURAÇÃO'!$AH:$AH,MATCH(MEDIÇÃO!K688,'PROJETO PERFURAÇÃO'!$B:$B,0)),"")</f>
        <v/>
      </c>
      <c r="M688" s="8" t="str">
        <f>IFERROR(INDEX('PROJETO PERFURAÇÃO'!$AN:$AN,MATCH(MEDIÇÃO!K688,'PROJETO PERFURAÇÃO'!$B:$B,0)),"")</f>
        <v/>
      </c>
      <c r="N688" s="3"/>
      <c r="O688" s="3"/>
      <c r="P688" s="3" t="str">
        <f>IFERROR(ROUND(INDEX('PROJETO PERFURAÇÃO'!$AB:$AB,MATCH(MEDIÇÃO!R688,'PROJETO PERFURAÇÃO'!$B:$B,0)),1)&amp;"''","")</f>
        <v/>
      </c>
      <c r="Q688" s="3" t="str">
        <f>IFERROR(IF(INDEX('PROJETO PERFURAÇÃO'!$P:$P,MATCH(MEDIÇÃO!R688,'PROJETO PERFURAÇÃO'!$B:$B,0))="Production","P",IF(INDEX('PROJETO PERFURAÇÃO'!$P:$P,MATCH(MEDIÇÃO!R688,'PROJETO PERFURAÇÃO'!$B:$B,0))="Buffer","B",IF(INDEX('PROJETO PERFURAÇÃO'!$P:$P,MATCH(MEDIÇÃO!R688,'PROJETO PERFURAÇÃO'!$B:$B,0))="Pre-Splitting","S"))),"")</f>
        <v/>
      </c>
      <c r="R688" s="14">
        <f>R687+1</f>
        <v>1566</v>
      </c>
      <c r="S688" s="4" t="str">
        <f>IFERROR(INDEX('LEV R&amp;D'!$D:$D,MATCH(MEDIÇÃO!R688,'LEV R&amp;D'!$A:$A,0))-INDEX('PROJETO PERFURAÇÃO'!$AH:$AH,MATCH(MEDIÇÃO!R688,'PROJETO PERFURAÇÃO'!$B:$B,0)),"")</f>
        <v/>
      </c>
      <c r="T688" s="8" t="str">
        <f>IFERROR(INDEX('PROJETO PERFURAÇÃO'!$AN:$AN,MATCH(MEDIÇÃO!R688,'PROJETO PERFURAÇÃO'!$B:$B,0)),"")</f>
        <v/>
      </c>
      <c r="U688" s="3"/>
      <c r="V688" s="3"/>
    </row>
    <row r="689" spans="2:22" ht="45" customHeight="1" x14ac:dyDescent="0.25">
      <c r="B689" s="3" t="str">
        <f>IFERROR(ROUND(INDEX('PROJETO PERFURAÇÃO'!$AB:$AB,MATCH(MEDIÇÃO!D689,'PROJETO PERFURAÇÃO'!$B:$B,0)),1)&amp;"''","")</f>
        <v/>
      </c>
      <c r="C689" s="3" t="str">
        <f>IFERROR(IF(INDEX('PROJETO PERFURAÇÃO'!$P:$P,MATCH(MEDIÇÃO!D689,'PROJETO PERFURAÇÃO'!$B:$B,0))="Production","P",IF(INDEX('PROJETO PERFURAÇÃO'!$P:$P,MATCH(MEDIÇÃO!D689,'PROJETO PERFURAÇÃO'!$B:$B,0))="Buffer","B",IF(INDEX('PROJETO PERFURAÇÃO'!$P:$P,MATCH(MEDIÇÃO!D689,'PROJETO PERFURAÇÃO'!$B:$B,0))="Pre-Splitting","S"))),"")</f>
        <v/>
      </c>
      <c r="D689" s="14">
        <f t="shared" ref="D689:D709" si="66">D688+1</f>
        <v>1521</v>
      </c>
      <c r="E689" s="4" t="str">
        <f>IFERROR(INDEX('LEV R&amp;D'!$D:$D,MATCH(MEDIÇÃO!D689,'LEV R&amp;D'!$A:$A,0))-INDEX('PROJETO PERFURAÇÃO'!$AH:$AH,MATCH(MEDIÇÃO!D689,'PROJETO PERFURAÇÃO'!$B:$B,0)),"")</f>
        <v/>
      </c>
      <c r="F689" s="8" t="str">
        <f>IFERROR(INDEX('PROJETO PERFURAÇÃO'!$AN:$AN,MATCH(MEDIÇÃO!D689,'PROJETO PERFURAÇÃO'!$B:$B,0)),"")</f>
        <v/>
      </c>
      <c r="G689" s="3"/>
      <c r="H689" s="3"/>
      <c r="I689" s="3" t="str">
        <f>IFERROR(ROUND(INDEX('PROJETO PERFURAÇÃO'!$AB:$AB,MATCH(MEDIÇÃO!K689,'PROJETO PERFURAÇÃO'!$B:$B,0)),1)&amp;"''","")</f>
        <v/>
      </c>
      <c r="J689" s="3" t="str">
        <f>IFERROR(IF(INDEX('PROJETO PERFURAÇÃO'!$P:$P,MATCH(MEDIÇÃO!K689,'PROJETO PERFURAÇÃO'!$B:$B,0))="Production","P",IF(INDEX('PROJETO PERFURAÇÃO'!$P:$P,MATCH(MEDIÇÃO!K689,'PROJETO PERFURAÇÃO'!$B:$B,0))="Buffer","B",IF(INDEX('PROJETO PERFURAÇÃO'!$P:$P,MATCH(MEDIÇÃO!K689,'PROJETO PERFURAÇÃO'!$B:$B,0))="Pre-Splitting","S"))),"")</f>
        <v/>
      </c>
      <c r="K689" s="14">
        <f t="shared" ref="K689:K708" si="67">K688+1</f>
        <v>1544</v>
      </c>
      <c r="L689" s="4" t="str">
        <f>IFERROR(INDEX('LEV R&amp;D'!$D:$D,MATCH(MEDIÇÃO!K689,'LEV R&amp;D'!$A:$A,0))-INDEX('PROJETO PERFURAÇÃO'!$AH:$AH,MATCH(MEDIÇÃO!K689,'PROJETO PERFURAÇÃO'!$B:$B,0)),"")</f>
        <v/>
      </c>
      <c r="M689" s="8" t="str">
        <f>IFERROR(INDEX('PROJETO PERFURAÇÃO'!$AN:$AN,MATCH(MEDIÇÃO!K689,'PROJETO PERFURAÇÃO'!$B:$B,0)),"")</f>
        <v/>
      </c>
      <c r="N689" s="3"/>
      <c r="O689" s="3"/>
      <c r="P689" s="3" t="str">
        <f>IFERROR(ROUND(INDEX('PROJETO PERFURAÇÃO'!$AB:$AB,MATCH(MEDIÇÃO!R689,'PROJETO PERFURAÇÃO'!$B:$B,0)),1)&amp;"''","")</f>
        <v/>
      </c>
      <c r="Q689" s="3" t="str">
        <f>IFERROR(IF(INDEX('PROJETO PERFURAÇÃO'!$P:$P,MATCH(MEDIÇÃO!R689,'PROJETO PERFURAÇÃO'!$B:$B,0))="Production","P",IF(INDEX('PROJETO PERFURAÇÃO'!$P:$P,MATCH(MEDIÇÃO!R689,'PROJETO PERFURAÇÃO'!$B:$B,0))="Buffer","B",IF(INDEX('PROJETO PERFURAÇÃO'!$P:$P,MATCH(MEDIÇÃO!R689,'PROJETO PERFURAÇÃO'!$B:$B,0))="Pre-Splitting","S"))),"")</f>
        <v/>
      </c>
      <c r="R689" s="14">
        <f t="shared" ref="R689:R708" si="68">R688+1</f>
        <v>1567</v>
      </c>
      <c r="S689" s="4" t="str">
        <f>IFERROR(INDEX('LEV R&amp;D'!$D:$D,MATCH(MEDIÇÃO!R689,'LEV R&amp;D'!$A:$A,0))-INDEX('PROJETO PERFURAÇÃO'!$AH:$AH,MATCH(MEDIÇÃO!R689,'PROJETO PERFURAÇÃO'!$B:$B,0)),"")</f>
        <v/>
      </c>
      <c r="T689" s="8" t="str">
        <f>IFERROR(INDEX('PROJETO PERFURAÇÃO'!$AN:$AN,MATCH(MEDIÇÃO!R689,'PROJETO PERFURAÇÃO'!$B:$B,0)),"")</f>
        <v/>
      </c>
      <c r="U689" s="3"/>
      <c r="V689" s="3"/>
    </row>
    <row r="690" spans="2:22" ht="45" customHeight="1" x14ac:dyDescent="0.25">
      <c r="B690" s="3" t="str">
        <f>IFERROR(ROUND(INDEX('PROJETO PERFURAÇÃO'!$AB:$AB,MATCH(MEDIÇÃO!D690,'PROJETO PERFURAÇÃO'!$B:$B,0)),1)&amp;"''","")</f>
        <v/>
      </c>
      <c r="C690" s="3" t="str">
        <f>IFERROR(IF(INDEX('PROJETO PERFURAÇÃO'!$P:$P,MATCH(MEDIÇÃO!D690,'PROJETO PERFURAÇÃO'!$B:$B,0))="Production","P",IF(INDEX('PROJETO PERFURAÇÃO'!$P:$P,MATCH(MEDIÇÃO!D690,'PROJETO PERFURAÇÃO'!$B:$B,0))="Buffer","B",IF(INDEX('PROJETO PERFURAÇÃO'!$P:$P,MATCH(MEDIÇÃO!D690,'PROJETO PERFURAÇÃO'!$B:$B,0))="Pre-Splitting","S"))),"")</f>
        <v/>
      </c>
      <c r="D690" s="14">
        <f t="shared" si="66"/>
        <v>1522</v>
      </c>
      <c r="E690" s="4" t="str">
        <f>IFERROR(INDEX('LEV R&amp;D'!$D:$D,MATCH(MEDIÇÃO!D690,'LEV R&amp;D'!$A:$A,0))-INDEX('PROJETO PERFURAÇÃO'!$AH:$AH,MATCH(MEDIÇÃO!D690,'PROJETO PERFURAÇÃO'!$B:$B,0)),"")</f>
        <v/>
      </c>
      <c r="F690" s="8" t="str">
        <f>IFERROR(INDEX('PROJETO PERFURAÇÃO'!$AN:$AN,MATCH(MEDIÇÃO!D690,'PROJETO PERFURAÇÃO'!$B:$B,0)),"")</f>
        <v/>
      </c>
      <c r="G690" s="3"/>
      <c r="H690" s="3"/>
      <c r="I690" s="3" t="str">
        <f>IFERROR(ROUND(INDEX('PROJETO PERFURAÇÃO'!$AB:$AB,MATCH(MEDIÇÃO!K690,'PROJETO PERFURAÇÃO'!$B:$B,0)),1)&amp;"''","")</f>
        <v/>
      </c>
      <c r="J690" s="3" t="str">
        <f>IFERROR(IF(INDEX('PROJETO PERFURAÇÃO'!$P:$P,MATCH(MEDIÇÃO!K690,'PROJETO PERFURAÇÃO'!$B:$B,0))="Production","P",IF(INDEX('PROJETO PERFURAÇÃO'!$P:$P,MATCH(MEDIÇÃO!K690,'PROJETO PERFURAÇÃO'!$B:$B,0))="Buffer","B",IF(INDEX('PROJETO PERFURAÇÃO'!$P:$P,MATCH(MEDIÇÃO!K690,'PROJETO PERFURAÇÃO'!$B:$B,0))="Pre-Splitting","S"))),"")</f>
        <v/>
      </c>
      <c r="K690" s="14">
        <f t="shared" si="67"/>
        <v>1545</v>
      </c>
      <c r="L690" s="4" t="str">
        <f>IFERROR(INDEX('LEV R&amp;D'!$D:$D,MATCH(MEDIÇÃO!K690,'LEV R&amp;D'!$A:$A,0))-INDEX('PROJETO PERFURAÇÃO'!$AH:$AH,MATCH(MEDIÇÃO!K690,'PROJETO PERFURAÇÃO'!$B:$B,0)),"")</f>
        <v/>
      </c>
      <c r="M690" s="8" t="str">
        <f>IFERROR(INDEX('PROJETO PERFURAÇÃO'!$AN:$AN,MATCH(MEDIÇÃO!K690,'PROJETO PERFURAÇÃO'!$B:$B,0)),"")</f>
        <v/>
      </c>
      <c r="N690" s="3"/>
      <c r="O690" s="3"/>
      <c r="P690" s="3" t="str">
        <f>IFERROR(ROUND(INDEX('PROJETO PERFURAÇÃO'!$AB:$AB,MATCH(MEDIÇÃO!R690,'PROJETO PERFURAÇÃO'!$B:$B,0)),1)&amp;"''","")</f>
        <v/>
      </c>
      <c r="Q690" s="3" t="str">
        <f>IFERROR(IF(INDEX('PROJETO PERFURAÇÃO'!$P:$P,MATCH(MEDIÇÃO!R690,'PROJETO PERFURAÇÃO'!$B:$B,0))="Production","P",IF(INDEX('PROJETO PERFURAÇÃO'!$P:$P,MATCH(MEDIÇÃO!R690,'PROJETO PERFURAÇÃO'!$B:$B,0))="Buffer","B",IF(INDEX('PROJETO PERFURAÇÃO'!$P:$P,MATCH(MEDIÇÃO!R690,'PROJETO PERFURAÇÃO'!$B:$B,0))="Pre-Splitting","S"))),"")</f>
        <v/>
      </c>
      <c r="R690" s="14">
        <f t="shared" si="68"/>
        <v>1568</v>
      </c>
      <c r="S690" s="4" t="str">
        <f>IFERROR(INDEX('LEV R&amp;D'!$D:$D,MATCH(MEDIÇÃO!R690,'LEV R&amp;D'!$A:$A,0))-INDEX('PROJETO PERFURAÇÃO'!$AH:$AH,MATCH(MEDIÇÃO!R690,'PROJETO PERFURAÇÃO'!$B:$B,0)),"")</f>
        <v/>
      </c>
      <c r="T690" s="8" t="str">
        <f>IFERROR(INDEX('PROJETO PERFURAÇÃO'!$AN:$AN,MATCH(MEDIÇÃO!R690,'PROJETO PERFURAÇÃO'!$B:$B,0)),"")</f>
        <v/>
      </c>
      <c r="U690" s="3"/>
      <c r="V690" s="3"/>
    </row>
    <row r="691" spans="2:22" ht="45" customHeight="1" x14ac:dyDescent="0.25">
      <c r="B691" s="3" t="str">
        <f>IFERROR(ROUND(INDEX('PROJETO PERFURAÇÃO'!$AB:$AB,MATCH(MEDIÇÃO!D691,'PROJETO PERFURAÇÃO'!$B:$B,0)),1)&amp;"''","")</f>
        <v/>
      </c>
      <c r="C691" s="3" t="str">
        <f>IFERROR(IF(INDEX('PROJETO PERFURAÇÃO'!$P:$P,MATCH(MEDIÇÃO!D691,'PROJETO PERFURAÇÃO'!$B:$B,0))="Production","P",IF(INDEX('PROJETO PERFURAÇÃO'!$P:$P,MATCH(MEDIÇÃO!D691,'PROJETO PERFURAÇÃO'!$B:$B,0))="Buffer","B",IF(INDEX('PROJETO PERFURAÇÃO'!$P:$P,MATCH(MEDIÇÃO!D691,'PROJETO PERFURAÇÃO'!$B:$B,0))="Pre-Splitting","S"))),"")</f>
        <v/>
      </c>
      <c r="D691" s="14">
        <f t="shared" si="66"/>
        <v>1523</v>
      </c>
      <c r="E691" s="4" t="str">
        <f>IFERROR(INDEX('LEV R&amp;D'!$D:$D,MATCH(MEDIÇÃO!D691,'LEV R&amp;D'!$A:$A,0))-INDEX('PROJETO PERFURAÇÃO'!$AH:$AH,MATCH(MEDIÇÃO!D691,'PROJETO PERFURAÇÃO'!$B:$B,0)),"")</f>
        <v/>
      </c>
      <c r="F691" s="8" t="str">
        <f>IFERROR(INDEX('PROJETO PERFURAÇÃO'!$AN:$AN,MATCH(MEDIÇÃO!D691,'PROJETO PERFURAÇÃO'!$B:$B,0)),"")</f>
        <v/>
      </c>
      <c r="G691" s="3"/>
      <c r="H691" s="3"/>
      <c r="I691" s="3" t="str">
        <f>IFERROR(ROUND(INDEX('PROJETO PERFURAÇÃO'!$AB:$AB,MATCH(MEDIÇÃO!K691,'PROJETO PERFURAÇÃO'!$B:$B,0)),1)&amp;"''","")</f>
        <v/>
      </c>
      <c r="J691" s="3" t="str">
        <f>IFERROR(IF(INDEX('PROJETO PERFURAÇÃO'!$P:$P,MATCH(MEDIÇÃO!K691,'PROJETO PERFURAÇÃO'!$B:$B,0))="Production","P",IF(INDEX('PROJETO PERFURAÇÃO'!$P:$P,MATCH(MEDIÇÃO!K691,'PROJETO PERFURAÇÃO'!$B:$B,0))="Buffer","B",IF(INDEX('PROJETO PERFURAÇÃO'!$P:$P,MATCH(MEDIÇÃO!K691,'PROJETO PERFURAÇÃO'!$B:$B,0))="Pre-Splitting","S"))),"")</f>
        <v/>
      </c>
      <c r="K691" s="14">
        <f t="shared" si="67"/>
        <v>1546</v>
      </c>
      <c r="L691" s="4" t="str">
        <f>IFERROR(INDEX('LEV R&amp;D'!$D:$D,MATCH(MEDIÇÃO!K691,'LEV R&amp;D'!$A:$A,0))-INDEX('PROJETO PERFURAÇÃO'!$AH:$AH,MATCH(MEDIÇÃO!K691,'PROJETO PERFURAÇÃO'!$B:$B,0)),"")</f>
        <v/>
      </c>
      <c r="M691" s="8" t="str">
        <f>IFERROR(INDEX('PROJETO PERFURAÇÃO'!$AN:$AN,MATCH(MEDIÇÃO!K691,'PROJETO PERFURAÇÃO'!$B:$B,0)),"")</f>
        <v/>
      </c>
      <c r="N691" s="3"/>
      <c r="O691" s="3"/>
      <c r="P691" s="3" t="str">
        <f>IFERROR(ROUND(INDEX('PROJETO PERFURAÇÃO'!$AB:$AB,MATCH(MEDIÇÃO!R691,'PROJETO PERFURAÇÃO'!$B:$B,0)),1)&amp;"''","")</f>
        <v/>
      </c>
      <c r="Q691" s="3" t="str">
        <f>IFERROR(IF(INDEX('PROJETO PERFURAÇÃO'!$P:$P,MATCH(MEDIÇÃO!R691,'PROJETO PERFURAÇÃO'!$B:$B,0))="Production","P",IF(INDEX('PROJETO PERFURAÇÃO'!$P:$P,MATCH(MEDIÇÃO!R691,'PROJETO PERFURAÇÃO'!$B:$B,0))="Buffer","B",IF(INDEX('PROJETO PERFURAÇÃO'!$P:$P,MATCH(MEDIÇÃO!R691,'PROJETO PERFURAÇÃO'!$B:$B,0))="Pre-Splitting","S"))),"")</f>
        <v/>
      </c>
      <c r="R691" s="14">
        <f t="shared" si="68"/>
        <v>1569</v>
      </c>
      <c r="S691" s="4" t="str">
        <f>IFERROR(INDEX('LEV R&amp;D'!$D:$D,MATCH(MEDIÇÃO!R691,'LEV R&amp;D'!$A:$A,0))-INDEX('PROJETO PERFURAÇÃO'!$AH:$AH,MATCH(MEDIÇÃO!R691,'PROJETO PERFURAÇÃO'!$B:$B,0)),"")</f>
        <v/>
      </c>
      <c r="T691" s="8" t="str">
        <f>IFERROR(INDEX('PROJETO PERFURAÇÃO'!$AN:$AN,MATCH(MEDIÇÃO!R691,'PROJETO PERFURAÇÃO'!$B:$B,0)),"")</f>
        <v/>
      </c>
      <c r="U691" s="3"/>
      <c r="V691" s="3"/>
    </row>
    <row r="692" spans="2:22" ht="45" customHeight="1" x14ac:dyDescent="0.25">
      <c r="B692" s="3" t="str">
        <f>IFERROR(ROUND(INDEX('PROJETO PERFURAÇÃO'!$AB:$AB,MATCH(MEDIÇÃO!D692,'PROJETO PERFURAÇÃO'!$B:$B,0)),1)&amp;"''","")</f>
        <v/>
      </c>
      <c r="C692" s="3" t="str">
        <f>IFERROR(IF(INDEX('PROJETO PERFURAÇÃO'!$P:$P,MATCH(MEDIÇÃO!D692,'PROJETO PERFURAÇÃO'!$B:$B,0))="Production","P",IF(INDEX('PROJETO PERFURAÇÃO'!$P:$P,MATCH(MEDIÇÃO!D692,'PROJETO PERFURAÇÃO'!$B:$B,0))="Buffer","B",IF(INDEX('PROJETO PERFURAÇÃO'!$P:$P,MATCH(MEDIÇÃO!D692,'PROJETO PERFURAÇÃO'!$B:$B,0))="Pre-Splitting","S"))),"")</f>
        <v/>
      </c>
      <c r="D692" s="14">
        <f t="shared" si="66"/>
        <v>1524</v>
      </c>
      <c r="E692" s="4" t="str">
        <f>IFERROR(INDEX('LEV R&amp;D'!$D:$D,MATCH(MEDIÇÃO!D692,'LEV R&amp;D'!$A:$A,0))-INDEX('PROJETO PERFURAÇÃO'!$AH:$AH,MATCH(MEDIÇÃO!D692,'PROJETO PERFURAÇÃO'!$B:$B,0)),"")</f>
        <v/>
      </c>
      <c r="F692" s="8" t="str">
        <f>IFERROR(INDEX('PROJETO PERFURAÇÃO'!$AN:$AN,MATCH(MEDIÇÃO!D692,'PROJETO PERFURAÇÃO'!$B:$B,0)),"")</f>
        <v/>
      </c>
      <c r="G692" s="3"/>
      <c r="H692" s="3"/>
      <c r="I692" s="3" t="str">
        <f>IFERROR(ROUND(INDEX('PROJETO PERFURAÇÃO'!$AB:$AB,MATCH(MEDIÇÃO!K692,'PROJETO PERFURAÇÃO'!$B:$B,0)),1)&amp;"''","")</f>
        <v/>
      </c>
      <c r="J692" s="3" t="str">
        <f>IFERROR(IF(INDEX('PROJETO PERFURAÇÃO'!$P:$P,MATCH(MEDIÇÃO!K692,'PROJETO PERFURAÇÃO'!$B:$B,0))="Production","P",IF(INDEX('PROJETO PERFURAÇÃO'!$P:$P,MATCH(MEDIÇÃO!K692,'PROJETO PERFURAÇÃO'!$B:$B,0))="Buffer","B",IF(INDEX('PROJETO PERFURAÇÃO'!$P:$P,MATCH(MEDIÇÃO!K692,'PROJETO PERFURAÇÃO'!$B:$B,0))="Pre-Splitting","S"))),"")</f>
        <v/>
      </c>
      <c r="K692" s="14">
        <f t="shared" si="67"/>
        <v>1547</v>
      </c>
      <c r="L692" s="4" t="str">
        <f>IFERROR(INDEX('LEV R&amp;D'!$D:$D,MATCH(MEDIÇÃO!K692,'LEV R&amp;D'!$A:$A,0))-INDEX('PROJETO PERFURAÇÃO'!$AH:$AH,MATCH(MEDIÇÃO!K692,'PROJETO PERFURAÇÃO'!$B:$B,0)),"")</f>
        <v/>
      </c>
      <c r="M692" s="8" t="str">
        <f>IFERROR(INDEX('PROJETO PERFURAÇÃO'!$AN:$AN,MATCH(MEDIÇÃO!K692,'PROJETO PERFURAÇÃO'!$B:$B,0)),"")</f>
        <v/>
      </c>
      <c r="N692" s="3"/>
      <c r="O692" s="3"/>
      <c r="P692" s="3" t="str">
        <f>IFERROR(ROUND(INDEX('PROJETO PERFURAÇÃO'!$AB:$AB,MATCH(MEDIÇÃO!R692,'PROJETO PERFURAÇÃO'!$B:$B,0)),1)&amp;"''","")</f>
        <v/>
      </c>
      <c r="Q692" s="3" t="str">
        <f>IFERROR(IF(INDEX('PROJETO PERFURAÇÃO'!$P:$P,MATCH(MEDIÇÃO!R692,'PROJETO PERFURAÇÃO'!$B:$B,0))="Production","P",IF(INDEX('PROJETO PERFURAÇÃO'!$P:$P,MATCH(MEDIÇÃO!R692,'PROJETO PERFURAÇÃO'!$B:$B,0))="Buffer","B",IF(INDEX('PROJETO PERFURAÇÃO'!$P:$P,MATCH(MEDIÇÃO!R692,'PROJETO PERFURAÇÃO'!$B:$B,0))="Pre-Splitting","S"))),"")</f>
        <v/>
      </c>
      <c r="R692" s="14">
        <f t="shared" si="68"/>
        <v>1570</v>
      </c>
      <c r="S692" s="4" t="str">
        <f>IFERROR(INDEX('LEV R&amp;D'!$D:$D,MATCH(MEDIÇÃO!R692,'LEV R&amp;D'!$A:$A,0))-INDEX('PROJETO PERFURAÇÃO'!$AH:$AH,MATCH(MEDIÇÃO!R692,'PROJETO PERFURAÇÃO'!$B:$B,0)),"")</f>
        <v/>
      </c>
      <c r="T692" s="8" t="str">
        <f>IFERROR(INDEX('PROJETO PERFURAÇÃO'!$AN:$AN,MATCH(MEDIÇÃO!R692,'PROJETO PERFURAÇÃO'!$B:$B,0)),"")</f>
        <v/>
      </c>
      <c r="U692" s="3"/>
      <c r="V692" s="3"/>
    </row>
    <row r="693" spans="2:22" ht="45" customHeight="1" x14ac:dyDescent="0.25">
      <c r="B693" s="3" t="str">
        <f>IFERROR(ROUND(INDEX('PROJETO PERFURAÇÃO'!$AB:$AB,MATCH(MEDIÇÃO!D693,'PROJETO PERFURAÇÃO'!$B:$B,0)),1)&amp;"''","")</f>
        <v/>
      </c>
      <c r="C693" s="3" t="str">
        <f>IFERROR(IF(INDEX('PROJETO PERFURAÇÃO'!$P:$P,MATCH(MEDIÇÃO!D693,'PROJETO PERFURAÇÃO'!$B:$B,0))="Production","P",IF(INDEX('PROJETO PERFURAÇÃO'!$P:$P,MATCH(MEDIÇÃO!D693,'PROJETO PERFURAÇÃO'!$B:$B,0))="Buffer","B",IF(INDEX('PROJETO PERFURAÇÃO'!$P:$P,MATCH(MEDIÇÃO!D693,'PROJETO PERFURAÇÃO'!$B:$B,0))="Pre-Splitting","S"))),"")</f>
        <v/>
      </c>
      <c r="D693" s="14">
        <f t="shared" si="66"/>
        <v>1525</v>
      </c>
      <c r="E693" s="4" t="str">
        <f>IFERROR(INDEX('LEV R&amp;D'!$D:$D,MATCH(MEDIÇÃO!D693,'LEV R&amp;D'!$A:$A,0))-INDEX('PROJETO PERFURAÇÃO'!$AH:$AH,MATCH(MEDIÇÃO!D693,'PROJETO PERFURAÇÃO'!$B:$B,0)),"")</f>
        <v/>
      </c>
      <c r="F693" s="8" t="str">
        <f>IFERROR(INDEX('PROJETO PERFURAÇÃO'!$AN:$AN,MATCH(MEDIÇÃO!D693,'PROJETO PERFURAÇÃO'!$B:$B,0)),"")</f>
        <v/>
      </c>
      <c r="G693" s="3"/>
      <c r="H693" s="3"/>
      <c r="I693" s="3" t="str">
        <f>IFERROR(ROUND(INDEX('PROJETO PERFURAÇÃO'!$AB:$AB,MATCH(MEDIÇÃO!K693,'PROJETO PERFURAÇÃO'!$B:$B,0)),1)&amp;"''","")</f>
        <v/>
      </c>
      <c r="J693" s="3" t="str">
        <f>IFERROR(IF(INDEX('PROJETO PERFURAÇÃO'!$P:$P,MATCH(MEDIÇÃO!K693,'PROJETO PERFURAÇÃO'!$B:$B,0))="Production","P",IF(INDEX('PROJETO PERFURAÇÃO'!$P:$P,MATCH(MEDIÇÃO!K693,'PROJETO PERFURAÇÃO'!$B:$B,0))="Buffer","B",IF(INDEX('PROJETO PERFURAÇÃO'!$P:$P,MATCH(MEDIÇÃO!K693,'PROJETO PERFURAÇÃO'!$B:$B,0))="Pre-Splitting","S"))),"")</f>
        <v/>
      </c>
      <c r="K693" s="14">
        <f t="shared" si="67"/>
        <v>1548</v>
      </c>
      <c r="L693" s="4" t="str">
        <f>IFERROR(INDEX('LEV R&amp;D'!$D:$D,MATCH(MEDIÇÃO!K693,'LEV R&amp;D'!$A:$A,0))-INDEX('PROJETO PERFURAÇÃO'!$AH:$AH,MATCH(MEDIÇÃO!K693,'PROJETO PERFURAÇÃO'!$B:$B,0)),"")</f>
        <v/>
      </c>
      <c r="M693" s="8" t="str">
        <f>IFERROR(INDEX('PROJETO PERFURAÇÃO'!$AN:$AN,MATCH(MEDIÇÃO!K693,'PROJETO PERFURAÇÃO'!$B:$B,0)),"")</f>
        <v/>
      </c>
      <c r="N693" s="3"/>
      <c r="O693" s="3"/>
      <c r="P693" s="3" t="str">
        <f>IFERROR(ROUND(INDEX('PROJETO PERFURAÇÃO'!$AB:$AB,MATCH(MEDIÇÃO!R693,'PROJETO PERFURAÇÃO'!$B:$B,0)),1)&amp;"''","")</f>
        <v/>
      </c>
      <c r="Q693" s="3" t="str">
        <f>IFERROR(IF(INDEX('PROJETO PERFURAÇÃO'!$P:$P,MATCH(MEDIÇÃO!R693,'PROJETO PERFURAÇÃO'!$B:$B,0))="Production","P",IF(INDEX('PROJETO PERFURAÇÃO'!$P:$P,MATCH(MEDIÇÃO!R693,'PROJETO PERFURAÇÃO'!$B:$B,0))="Buffer","B",IF(INDEX('PROJETO PERFURAÇÃO'!$P:$P,MATCH(MEDIÇÃO!R693,'PROJETO PERFURAÇÃO'!$B:$B,0))="Pre-Splitting","S"))),"")</f>
        <v/>
      </c>
      <c r="R693" s="14">
        <f t="shared" si="68"/>
        <v>1571</v>
      </c>
      <c r="S693" s="4" t="str">
        <f>IFERROR(INDEX('LEV R&amp;D'!$D:$D,MATCH(MEDIÇÃO!R693,'LEV R&amp;D'!$A:$A,0))-INDEX('PROJETO PERFURAÇÃO'!$AH:$AH,MATCH(MEDIÇÃO!R693,'PROJETO PERFURAÇÃO'!$B:$B,0)),"")</f>
        <v/>
      </c>
      <c r="T693" s="8" t="str">
        <f>IFERROR(INDEX('PROJETO PERFURAÇÃO'!$AN:$AN,MATCH(MEDIÇÃO!R693,'PROJETO PERFURAÇÃO'!$B:$B,0)),"")</f>
        <v/>
      </c>
      <c r="U693" s="3"/>
      <c r="V693" s="3"/>
    </row>
    <row r="694" spans="2:22" ht="45" customHeight="1" x14ac:dyDescent="0.25">
      <c r="B694" s="3" t="str">
        <f>IFERROR(ROUND(INDEX('PROJETO PERFURAÇÃO'!$AB:$AB,MATCH(MEDIÇÃO!D694,'PROJETO PERFURAÇÃO'!$B:$B,0)),1)&amp;"''","")</f>
        <v/>
      </c>
      <c r="C694" s="3" t="str">
        <f>IFERROR(IF(INDEX('PROJETO PERFURAÇÃO'!$P:$P,MATCH(MEDIÇÃO!D694,'PROJETO PERFURAÇÃO'!$B:$B,0))="Production","P",IF(INDEX('PROJETO PERFURAÇÃO'!$P:$P,MATCH(MEDIÇÃO!D694,'PROJETO PERFURAÇÃO'!$B:$B,0))="Buffer","B",IF(INDEX('PROJETO PERFURAÇÃO'!$P:$P,MATCH(MEDIÇÃO!D694,'PROJETO PERFURAÇÃO'!$B:$B,0))="Pre-Splitting","S"))),"")</f>
        <v/>
      </c>
      <c r="D694" s="14">
        <f t="shared" si="66"/>
        <v>1526</v>
      </c>
      <c r="E694" s="4" t="str">
        <f>IFERROR(INDEX('LEV R&amp;D'!$D:$D,MATCH(MEDIÇÃO!D694,'LEV R&amp;D'!$A:$A,0))-INDEX('PROJETO PERFURAÇÃO'!$AH:$AH,MATCH(MEDIÇÃO!D694,'PROJETO PERFURAÇÃO'!$B:$B,0)),"")</f>
        <v/>
      </c>
      <c r="F694" s="8" t="str">
        <f>IFERROR(INDEX('PROJETO PERFURAÇÃO'!$AN:$AN,MATCH(MEDIÇÃO!D694,'PROJETO PERFURAÇÃO'!$B:$B,0)),"")</f>
        <v/>
      </c>
      <c r="G694" s="3"/>
      <c r="H694" s="3"/>
      <c r="I694" s="3" t="str">
        <f>IFERROR(ROUND(INDEX('PROJETO PERFURAÇÃO'!$AB:$AB,MATCH(MEDIÇÃO!K694,'PROJETO PERFURAÇÃO'!$B:$B,0)),1)&amp;"''","")</f>
        <v/>
      </c>
      <c r="J694" s="3" t="str">
        <f>IFERROR(IF(INDEX('PROJETO PERFURAÇÃO'!$P:$P,MATCH(MEDIÇÃO!K694,'PROJETO PERFURAÇÃO'!$B:$B,0))="Production","P",IF(INDEX('PROJETO PERFURAÇÃO'!$P:$P,MATCH(MEDIÇÃO!K694,'PROJETO PERFURAÇÃO'!$B:$B,0))="Buffer","B",IF(INDEX('PROJETO PERFURAÇÃO'!$P:$P,MATCH(MEDIÇÃO!K694,'PROJETO PERFURAÇÃO'!$B:$B,0))="Pre-Splitting","S"))),"")</f>
        <v/>
      </c>
      <c r="K694" s="14">
        <f t="shared" si="67"/>
        <v>1549</v>
      </c>
      <c r="L694" s="4" t="str">
        <f>IFERROR(INDEX('LEV R&amp;D'!$D:$D,MATCH(MEDIÇÃO!K694,'LEV R&amp;D'!$A:$A,0))-INDEX('PROJETO PERFURAÇÃO'!$AH:$AH,MATCH(MEDIÇÃO!K694,'PROJETO PERFURAÇÃO'!$B:$B,0)),"")</f>
        <v/>
      </c>
      <c r="M694" s="8" t="str">
        <f>IFERROR(INDEX('PROJETO PERFURAÇÃO'!$AN:$AN,MATCH(MEDIÇÃO!K694,'PROJETO PERFURAÇÃO'!$B:$B,0)),"")</f>
        <v/>
      </c>
      <c r="N694" s="3"/>
      <c r="O694" s="3"/>
      <c r="P694" s="3" t="str">
        <f>IFERROR(ROUND(INDEX('PROJETO PERFURAÇÃO'!$AB:$AB,MATCH(MEDIÇÃO!R694,'PROJETO PERFURAÇÃO'!$B:$B,0)),1)&amp;"''","")</f>
        <v/>
      </c>
      <c r="Q694" s="3" t="str">
        <f>IFERROR(IF(INDEX('PROJETO PERFURAÇÃO'!$P:$P,MATCH(MEDIÇÃO!R694,'PROJETO PERFURAÇÃO'!$B:$B,0))="Production","P",IF(INDEX('PROJETO PERFURAÇÃO'!$P:$P,MATCH(MEDIÇÃO!R694,'PROJETO PERFURAÇÃO'!$B:$B,0))="Buffer","B",IF(INDEX('PROJETO PERFURAÇÃO'!$P:$P,MATCH(MEDIÇÃO!R694,'PROJETO PERFURAÇÃO'!$B:$B,0))="Pre-Splitting","S"))),"")</f>
        <v/>
      </c>
      <c r="R694" s="14">
        <f t="shared" si="68"/>
        <v>1572</v>
      </c>
      <c r="S694" s="4" t="str">
        <f>IFERROR(INDEX('LEV R&amp;D'!$D:$D,MATCH(MEDIÇÃO!R694,'LEV R&amp;D'!$A:$A,0))-INDEX('PROJETO PERFURAÇÃO'!$AH:$AH,MATCH(MEDIÇÃO!R694,'PROJETO PERFURAÇÃO'!$B:$B,0)),"")</f>
        <v/>
      </c>
      <c r="T694" s="8" t="str">
        <f>IFERROR(INDEX('PROJETO PERFURAÇÃO'!$AN:$AN,MATCH(MEDIÇÃO!R694,'PROJETO PERFURAÇÃO'!$B:$B,0)),"")</f>
        <v/>
      </c>
      <c r="U694" s="3"/>
      <c r="V694" s="3"/>
    </row>
    <row r="695" spans="2:22" ht="45" customHeight="1" x14ac:dyDescent="0.25">
      <c r="B695" s="3" t="str">
        <f>IFERROR(ROUND(INDEX('PROJETO PERFURAÇÃO'!$AB:$AB,MATCH(MEDIÇÃO!D695,'PROJETO PERFURAÇÃO'!$B:$B,0)),1)&amp;"''","")</f>
        <v/>
      </c>
      <c r="C695" s="3" t="str">
        <f>IFERROR(IF(INDEX('PROJETO PERFURAÇÃO'!$P:$P,MATCH(MEDIÇÃO!D695,'PROJETO PERFURAÇÃO'!$B:$B,0))="Production","P",IF(INDEX('PROJETO PERFURAÇÃO'!$P:$P,MATCH(MEDIÇÃO!D695,'PROJETO PERFURAÇÃO'!$B:$B,0))="Buffer","B",IF(INDEX('PROJETO PERFURAÇÃO'!$P:$P,MATCH(MEDIÇÃO!D695,'PROJETO PERFURAÇÃO'!$B:$B,0))="Pre-Splitting","S"))),"")</f>
        <v/>
      </c>
      <c r="D695" s="14">
        <f t="shared" si="66"/>
        <v>1527</v>
      </c>
      <c r="E695" s="4" t="str">
        <f>IFERROR(INDEX('LEV R&amp;D'!$D:$D,MATCH(MEDIÇÃO!D695,'LEV R&amp;D'!$A:$A,0))-INDEX('PROJETO PERFURAÇÃO'!$AH:$AH,MATCH(MEDIÇÃO!D695,'PROJETO PERFURAÇÃO'!$B:$B,0)),"")</f>
        <v/>
      </c>
      <c r="F695" s="8" t="str">
        <f>IFERROR(INDEX('PROJETO PERFURAÇÃO'!$AN:$AN,MATCH(MEDIÇÃO!D695,'PROJETO PERFURAÇÃO'!$B:$B,0)),"")</f>
        <v/>
      </c>
      <c r="G695" s="3"/>
      <c r="H695" s="3"/>
      <c r="I695" s="3" t="str">
        <f>IFERROR(ROUND(INDEX('PROJETO PERFURAÇÃO'!$AB:$AB,MATCH(MEDIÇÃO!K695,'PROJETO PERFURAÇÃO'!$B:$B,0)),1)&amp;"''","")</f>
        <v/>
      </c>
      <c r="J695" s="3" t="str">
        <f>IFERROR(IF(INDEX('PROJETO PERFURAÇÃO'!$P:$P,MATCH(MEDIÇÃO!K695,'PROJETO PERFURAÇÃO'!$B:$B,0))="Production","P",IF(INDEX('PROJETO PERFURAÇÃO'!$P:$P,MATCH(MEDIÇÃO!K695,'PROJETO PERFURAÇÃO'!$B:$B,0))="Buffer","B",IF(INDEX('PROJETO PERFURAÇÃO'!$P:$P,MATCH(MEDIÇÃO!K695,'PROJETO PERFURAÇÃO'!$B:$B,0))="Pre-Splitting","S"))),"")</f>
        <v/>
      </c>
      <c r="K695" s="14">
        <f t="shared" si="67"/>
        <v>1550</v>
      </c>
      <c r="L695" s="4" t="str">
        <f>IFERROR(INDEX('LEV R&amp;D'!$D:$D,MATCH(MEDIÇÃO!K695,'LEV R&amp;D'!$A:$A,0))-INDEX('PROJETO PERFURAÇÃO'!$AH:$AH,MATCH(MEDIÇÃO!K695,'PROJETO PERFURAÇÃO'!$B:$B,0)),"")</f>
        <v/>
      </c>
      <c r="M695" s="8" t="str">
        <f>IFERROR(INDEX('PROJETO PERFURAÇÃO'!$AN:$AN,MATCH(MEDIÇÃO!K695,'PROJETO PERFURAÇÃO'!$B:$B,0)),"")</f>
        <v/>
      </c>
      <c r="N695" s="3"/>
      <c r="O695" s="3"/>
      <c r="P695" s="3" t="str">
        <f>IFERROR(ROUND(INDEX('PROJETO PERFURAÇÃO'!$AB:$AB,MATCH(MEDIÇÃO!R695,'PROJETO PERFURAÇÃO'!$B:$B,0)),1)&amp;"''","")</f>
        <v/>
      </c>
      <c r="Q695" s="3" t="str">
        <f>IFERROR(IF(INDEX('PROJETO PERFURAÇÃO'!$P:$P,MATCH(MEDIÇÃO!R695,'PROJETO PERFURAÇÃO'!$B:$B,0))="Production","P",IF(INDEX('PROJETO PERFURAÇÃO'!$P:$P,MATCH(MEDIÇÃO!R695,'PROJETO PERFURAÇÃO'!$B:$B,0))="Buffer","B",IF(INDEX('PROJETO PERFURAÇÃO'!$P:$P,MATCH(MEDIÇÃO!R695,'PROJETO PERFURAÇÃO'!$B:$B,0))="Pre-Splitting","S"))),"")</f>
        <v/>
      </c>
      <c r="R695" s="14">
        <f t="shared" si="68"/>
        <v>1573</v>
      </c>
      <c r="S695" s="4" t="str">
        <f>IFERROR(INDEX('LEV R&amp;D'!$D:$D,MATCH(MEDIÇÃO!R695,'LEV R&amp;D'!$A:$A,0))-INDEX('PROJETO PERFURAÇÃO'!$AH:$AH,MATCH(MEDIÇÃO!R695,'PROJETO PERFURAÇÃO'!$B:$B,0)),"")</f>
        <v/>
      </c>
      <c r="T695" s="8" t="str">
        <f>IFERROR(INDEX('PROJETO PERFURAÇÃO'!$AN:$AN,MATCH(MEDIÇÃO!R695,'PROJETO PERFURAÇÃO'!$B:$B,0)),"")</f>
        <v/>
      </c>
      <c r="U695" s="3"/>
      <c r="V695" s="3"/>
    </row>
    <row r="696" spans="2:22" ht="45" customHeight="1" x14ac:dyDescent="0.25">
      <c r="B696" s="3" t="str">
        <f>IFERROR(ROUND(INDEX('PROJETO PERFURAÇÃO'!$AB:$AB,MATCH(MEDIÇÃO!D696,'PROJETO PERFURAÇÃO'!$B:$B,0)),1)&amp;"''","")</f>
        <v/>
      </c>
      <c r="C696" s="3" t="str">
        <f>IFERROR(IF(INDEX('PROJETO PERFURAÇÃO'!$P:$P,MATCH(MEDIÇÃO!D696,'PROJETO PERFURAÇÃO'!$B:$B,0))="Production","P",IF(INDEX('PROJETO PERFURAÇÃO'!$P:$P,MATCH(MEDIÇÃO!D696,'PROJETO PERFURAÇÃO'!$B:$B,0))="Buffer","B",IF(INDEX('PROJETO PERFURAÇÃO'!$P:$P,MATCH(MEDIÇÃO!D696,'PROJETO PERFURAÇÃO'!$B:$B,0))="Pre-Splitting","S"))),"")</f>
        <v/>
      </c>
      <c r="D696" s="14">
        <f t="shared" si="66"/>
        <v>1528</v>
      </c>
      <c r="E696" s="4" t="str">
        <f>IFERROR(INDEX('LEV R&amp;D'!$D:$D,MATCH(MEDIÇÃO!D696,'LEV R&amp;D'!$A:$A,0))-INDEX('PROJETO PERFURAÇÃO'!$AH:$AH,MATCH(MEDIÇÃO!D696,'PROJETO PERFURAÇÃO'!$B:$B,0)),"")</f>
        <v/>
      </c>
      <c r="F696" s="8" t="str">
        <f>IFERROR(INDEX('PROJETO PERFURAÇÃO'!$AN:$AN,MATCH(MEDIÇÃO!D696,'PROJETO PERFURAÇÃO'!$B:$B,0)),"")</f>
        <v/>
      </c>
      <c r="G696" s="3"/>
      <c r="H696" s="3"/>
      <c r="I696" s="3" t="str">
        <f>IFERROR(ROUND(INDEX('PROJETO PERFURAÇÃO'!$AB:$AB,MATCH(MEDIÇÃO!K696,'PROJETO PERFURAÇÃO'!$B:$B,0)),1)&amp;"''","")</f>
        <v/>
      </c>
      <c r="J696" s="3" t="str">
        <f>IFERROR(IF(INDEX('PROJETO PERFURAÇÃO'!$P:$P,MATCH(MEDIÇÃO!K696,'PROJETO PERFURAÇÃO'!$B:$B,0))="Production","P",IF(INDEX('PROJETO PERFURAÇÃO'!$P:$P,MATCH(MEDIÇÃO!K696,'PROJETO PERFURAÇÃO'!$B:$B,0))="Buffer","B",IF(INDEX('PROJETO PERFURAÇÃO'!$P:$P,MATCH(MEDIÇÃO!K696,'PROJETO PERFURAÇÃO'!$B:$B,0))="Pre-Splitting","S"))),"")</f>
        <v/>
      </c>
      <c r="K696" s="14">
        <f t="shared" si="67"/>
        <v>1551</v>
      </c>
      <c r="L696" s="4" t="str">
        <f>IFERROR(INDEX('LEV R&amp;D'!$D:$D,MATCH(MEDIÇÃO!K696,'LEV R&amp;D'!$A:$A,0))-INDEX('PROJETO PERFURAÇÃO'!$AH:$AH,MATCH(MEDIÇÃO!K696,'PROJETO PERFURAÇÃO'!$B:$B,0)),"")</f>
        <v/>
      </c>
      <c r="M696" s="8" t="str">
        <f>IFERROR(INDEX('PROJETO PERFURAÇÃO'!$AN:$AN,MATCH(MEDIÇÃO!K696,'PROJETO PERFURAÇÃO'!$B:$B,0)),"")</f>
        <v/>
      </c>
      <c r="N696" s="3"/>
      <c r="O696" s="3"/>
      <c r="P696" s="3" t="str">
        <f>IFERROR(ROUND(INDEX('PROJETO PERFURAÇÃO'!$AB:$AB,MATCH(MEDIÇÃO!R696,'PROJETO PERFURAÇÃO'!$B:$B,0)),1)&amp;"''","")</f>
        <v/>
      </c>
      <c r="Q696" s="3" t="str">
        <f>IFERROR(IF(INDEX('PROJETO PERFURAÇÃO'!$P:$P,MATCH(MEDIÇÃO!R696,'PROJETO PERFURAÇÃO'!$B:$B,0))="Production","P",IF(INDEX('PROJETO PERFURAÇÃO'!$P:$P,MATCH(MEDIÇÃO!R696,'PROJETO PERFURAÇÃO'!$B:$B,0))="Buffer","B",IF(INDEX('PROJETO PERFURAÇÃO'!$P:$P,MATCH(MEDIÇÃO!R696,'PROJETO PERFURAÇÃO'!$B:$B,0))="Pre-Splitting","S"))),"")</f>
        <v/>
      </c>
      <c r="R696" s="14">
        <f t="shared" si="68"/>
        <v>1574</v>
      </c>
      <c r="S696" s="4" t="str">
        <f>IFERROR(INDEX('LEV R&amp;D'!$D:$D,MATCH(MEDIÇÃO!R696,'LEV R&amp;D'!$A:$A,0))-INDEX('PROJETO PERFURAÇÃO'!$AH:$AH,MATCH(MEDIÇÃO!R696,'PROJETO PERFURAÇÃO'!$B:$B,0)),"")</f>
        <v/>
      </c>
      <c r="T696" s="8" t="str">
        <f>IFERROR(INDEX('PROJETO PERFURAÇÃO'!$AN:$AN,MATCH(MEDIÇÃO!R696,'PROJETO PERFURAÇÃO'!$B:$B,0)),"")</f>
        <v/>
      </c>
      <c r="U696" s="3"/>
      <c r="V696" s="3"/>
    </row>
    <row r="697" spans="2:22" ht="45" customHeight="1" x14ac:dyDescent="0.25">
      <c r="B697" s="3" t="str">
        <f>IFERROR(ROUND(INDEX('PROJETO PERFURAÇÃO'!$AB:$AB,MATCH(MEDIÇÃO!D697,'PROJETO PERFURAÇÃO'!$B:$B,0)),1)&amp;"''","")</f>
        <v/>
      </c>
      <c r="C697" s="3" t="str">
        <f>IFERROR(IF(INDEX('PROJETO PERFURAÇÃO'!$P:$P,MATCH(MEDIÇÃO!D697,'PROJETO PERFURAÇÃO'!$B:$B,0))="Production","P",IF(INDEX('PROJETO PERFURAÇÃO'!$P:$P,MATCH(MEDIÇÃO!D697,'PROJETO PERFURAÇÃO'!$B:$B,0))="Buffer","B",IF(INDEX('PROJETO PERFURAÇÃO'!$P:$P,MATCH(MEDIÇÃO!D697,'PROJETO PERFURAÇÃO'!$B:$B,0))="Pre-Splitting","S"))),"")</f>
        <v/>
      </c>
      <c r="D697" s="14">
        <f t="shared" si="66"/>
        <v>1529</v>
      </c>
      <c r="E697" s="4" t="str">
        <f>IFERROR(INDEX('LEV R&amp;D'!$D:$D,MATCH(MEDIÇÃO!D697,'LEV R&amp;D'!$A:$A,0))-INDEX('PROJETO PERFURAÇÃO'!$AH:$AH,MATCH(MEDIÇÃO!D697,'PROJETO PERFURAÇÃO'!$B:$B,0)),"")</f>
        <v/>
      </c>
      <c r="F697" s="8" t="str">
        <f>IFERROR(INDEX('PROJETO PERFURAÇÃO'!$AN:$AN,MATCH(MEDIÇÃO!D697,'PROJETO PERFURAÇÃO'!$B:$B,0)),"")</f>
        <v/>
      </c>
      <c r="G697" s="3"/>
      <c r="H697" s="3"/>
      <c r="I697" s="3" t="str">
        <f>IFERROR(ROUND(INDEX('PROJETO PERFURAÇÃO'!$AB:$AB,MATCH(MEDIÇÃO!K697,'PROJETO PERFURAÇÃO'!$B:$B,0)),1)&amp;"''","")</f>
        <v/>
      </c>
      <c r="J697" s="3" t="str">
        <f>IFERROR(IF(INDEX('PROJETO PERFURAÇÃO'!$P:$P,MATCH(MEDIÇÃO!K697,'PROJETO PERFURAÇÃO'!$B:$B,0))="Production","P",IF(INDEX('PROJETO PERFURAÇÃO'!$P:$P,MATCH(MEDIÇÃO!K697,'PROJETO PERFURAÇÃO'!$B:$B,0))="Buffer","B",IF(INDEX('PROJETO PERFURAÇÃO'!$P:$P,MATCH(MEDIÇÃO!K697,'PROJETO PERFURAÇÃO'!$B:$B,0))="Pre-Splitting","S"))),"")</f>
        <v/>
      </c>
      <c r="K697" s="14">
        <f t="shared" si="67"/>
        <v>1552</v>
      </c>
      <c r="L697" s="4" t="str">
        <f>IFERROR(INDEX('LEV R&amp;D'!$D:$D,MATCH(MEDIÇÃO!K697,'LEV R&amp;D'!$A:$A,0))-INDEX('PROJETO PERFURAÇÃO'!$AH:$AH,MATCH(MEDIÇÃO!K697,'PROJETO PERFURAÇÃO'!$B:$B,0)),"")</f>
        <v/>
      </c>
      <c r="M697" s="8" t="str">
        <f>IFERROR(INDEX('PROJETO PERFURAÇÃO'!$AN:$AN,MATCH(MEDIÇÃO!K697,'PROJETO PERFURAÇÃO'!$B:$B,0)),"")</f>
        <v/>
      </c>
      <c r="N697" s="3"/>
      <c r="O697" s="3"/>
      <c r="P697" s="3" t="str">
        <f>IFERROR(ROUND(INDEX('PROJETO PERFURAÇÃO'!$AB:$AB,MATCH(MEDIÇÃO!R697,'PROJETO PERFURAÇÃO'!$B:$B,0)),1)&amp;"''","")</f>
        <v/>
      </c>
      <c r="Q697" s="3" t="str">
        <f>IFERROR(IF(INDEX('PROJETO PERFURAÇÃO'!$P:$P,MATCH(MEDIÇÃO!R697,'PROJETO PERFURAÇÃO'!$B:$B,0))="Production","P",IF(INDEX('PROJETO PERFURAÇÃO'!$P:$P,MATCH(MEDIÇÃO!R697,'PROJETO PERFURAÇÃO'!$B:$B,0))="Buffer","B",IF(INDEX('PROJETO PERFURAÇÃO'!$P:$P,MATCH(MEDIÇÃO!R697,'PROJETO PERFURAÇÃO'!$B:$B,0))="Pre-Splitting","S"))),"")</f>
        <v/>
      </c>
      <c r="R697" s="14">
        <f t="shared" si="68"/>
        <v>1575</v>
      </c>
      <c r="S697" s="4" t="str">
        <f>IFERROR(INDEX('LEV R&amp;D'!$D:$D,MATCH(MEDIÇÃO!R697,'LEV R&amp;D'!$A:$A,0))-INDEX('PROJETO PERFURAÇÃO'!$AH:$AH,MATCH(MEDIÇÃO!R697,'PROJETO PERFURAÇÃO'!$B:$B,0)),"")</f>
        <v/>
      </c>
      <c r="T697" s="8" t="str">
        <f>IFERROR(INDEX('PROJETO PERFURAÇÃO'!$AN:$AN,MATCH(MEDIÇÃO!R697,'PROJETO PERFURAÇÃO'!$B:$B,0)),"")</f>
        <v/>
      </c>
      <c r="U697" s="3"/>
      <c r="V697" s="3"/>
    </row>
    <row r="698" spans="2:22" ht="45" customHeight="1" x14ac:dyDescent="0.25">
      <c r="B698" s="3" t="str">
        <f>IFERROR(ROUND(INDEX('PROJETO PERFURAÇÃO'!$AB:$AB,MATCH(MEDIÇÃO!D698,'PROJETO PERFURAÇÃO'!$B:$B,0)),1)&amp;"''","")</f>
        <v/>
      </c>
      <c r="C698" s="3" t="str">
        <f>IFERROR(IF(INDEX('PROJETO PERFURAÇÃO'!$P:$P,MATCH(MEDIÇÃO!D698,'PROJETO PERFURAÇÃO'!$B:$B,0))="Production","P",IF(INDEX('PROJETO PERFURAÇÃO'!$P:$P,MATCH(MEDIÇÃO!D698,'PROJETO PERFURAÇÃO'!$B:$B,0))="Buffer","B",IF(INDEX('PROJETO PERFURAÇÃO'!$P:$P,MATCH(MEDIÇÃO!D698,'PROJETO PERFURAÇÃO'!$B:$B,0))="Pre-Splitting","S"))),"")</f>
        <v/>
      </c>
      <c r="D698" s="14">
        <f t="shared" si="66"/>
        <v>1530</v>
      </c>
      <c r="E698" s="4" t="str">
        <f>IFERROR(INDEX('LEV R&amp;D'!$D:$D,MATCH(MEDIÇÃO!D698,'LEV R&amp;D'!$A:$A,0))-INDEX('PROJETO PERFURAÇÃO'!$AH:$AH,MATCH(MEDIÇÃO!D698,'PROJETO PERFURAÇÃO'!$B:$B,0)),"")</f>
        <v/>
      </c>
      <c r="F698" s="8" t="str">
        <f>IFERROR(INDEX('PROJETO PERFURAÇÃO'!$AN:$AN,MATCH(MEDIÇÃO!D698,'PROJETO PERFURAÇÃO'!$B:$B,0)),"")</f>
        <v/>
      </c>
      <c r="G698" s="3"/>
      <c r="H698" s="3"/>
      <c r="I698" s="3" t="str">
        <f>IFERROR(ROUND(INDEX('PROJETO PERFURAÇÃO'!$AB:$AB,MATCH(MEDIÇÃO!K698,'PROJETO PERFURAÇÃO'!$B:$B,0)),1)&amp;"''","")</f>
        <v/>
      </c>
      <c r="J698" s="3" t="str">
        <f>IFERROR(IF(INDEX('PROJETO PERFURAÇÃO'!$P:$P,MATCH(MEDIÇÃO!K698,'PROJETO PERFURAÇÃO'!$B:$B,0))="Production","P",IF(INDEX('PROJETO PERFURAÇÃO'!$P:$P,MATCH(MEDIÇÃO!K698,'PROJETO PERFURAÇÃO'!$B:$B,0))="Buffer","B",IF(INDEX('PROJETO PERFURAÇÃO'!$P:$P,MATCH(MEDIÇÃO!K698,'PROJETO PERFURAÇÃO'!$B:$B,0))="Pre-Splitting","S"))),"")</f>
        <v/>
      </c>
      <c r="K698" s="14">
        <f t="shared" si="67"/>
        <v>1553</v>
      </c>
      <c r="L698" s="4" t="str">
        <f>IFERROR(INDEX('LEV R&amp;D'!$D:$D,MATCH(MEDIÇÃO!K698,'LEV R&amp;D'!$A:$A,0))-INDEX('PROJETO PERFURAÇÃO'!$AH:$AH,MATCH(MEDIÇÃO!K698,'PROJETO PERFURAÇÃO'!$B:$B,0)),"")</f>
        <v/>
      </c>
      <c r="M698" s="8" t="str">
        <f>IFERROR(INDEX('PROJETO PERFURAÇÃO'!$AN:$AN,MATCH(MEDIÇÃO!K698,'PROJETO PERFURAÇÃO'!$B:$B,0)),"")</f>
        <v/>
      </c>
      <c r="N698" s="3"/>
      <c r="O698" s="3"/>
      <c r="P698" s="3" t="str">
        <f>IFERROR(ROUND(INDEX('PROJETO PERFURAÇÃO'!$AB:$AB,MATCH(MEDIÇÃO!R698,'PROJETO PERFURAÇÃO'!$B:$B,0)),1)&amp;"''","")</f>
        <v/>
      </c>
      <c r="Q698" s="3" t="str">
        <f>IFERROR(IF(INDEX('PROJETO PERFURAÇÃO'!$P:$P,MATCH(MEDIÇÃO!R698,'PROJETO PERFURAÇÃO'!$B:$B,0))="Production","P",IF(INDEX('PROJETO PERFURAÇÃO'!$P:$P,MATCH(MEDIÇÃO!R698,'PROJETO PERFURAÇÃO'!$B:$B,0))="Buffer","B",IF(INDEX('PROJETO PERFURAÇÃO'!$P:$P,MATCH(MEDIÇÃO!R698,'PROJETO PERFURAÇÃO'!$B:$B,0))="Pre-Splitting","S"))),"")</f>
        <v/>
      </c>
      <c r="R698" s="14">
        <f t="shared" si="68"/>
        <v>1576</v>
      </c>
      <c r="S698" s="4" t="str">
        <f>IFERROR(INDEX('LEV R&amp;D'!$D:$D,MATCH(MEDIÇÃO!R698,'LEV R&amp;D'!$A:$A,0))-INDEX('PROJETO PERFURAÇÃO'!$AH:$AH,MATCH(MEDIÇÃO!R698,'PROJETO PERFURAÇÃO'!$B:$B,0)),"")</f>
        <v/>
      </c>
      <c r="T698" s="8" t="str">
        <f>IFERROR(INDEX('PROJETO PERFURAÇÃO'!$AN:$AN,MATCH(MEDIÇÃO!R698,'PROJETO PERFURAÇÃO'!$B:$B,0)),"")</f>
        <v/>
      </c>
      <c r="U698" s="3"/>
      <c r="V698" s="3"/>
    </row>
    <row r="699" spans="2:22" ht="45" customHeight="1" x14ac:dyDescent="0.25">
      <c r="B699" s="3" t="str">
        <f>IFERROR(ROUND(INDEX('PROJETO PERFURAÇÃO'!$AB:$AB,MATCH(MEDIÇÃO!D699,'PROJETO PERFURAÇÃO'!$B:$B,0)),1)&amp;"''","")</f>
        <v/>
      </c>
      <c r="C699" s="3" t="str">
        <f>IFERROR(IF(INDEX('PROJETO PERFURAÇÃO'!$P:$P,MATCH(MEDIÇÃO!D699,'PROJETO PERFURAÇÃO'!$B:$B,0))="Production","P",IF(INDEX('PROJETO PERFURAÇÃO'!$P:$P,MATCH(MEDIÇÃO!D699,'PROJETO PERFURAÇÃO'!$B:$B,0))="Buffer","B",IF(INDEX('PROJETO PERFURAÇÃO'!$P:$P,MATCH(MEDIÇÃO!D699,'PROJETO PERFURAÇÃO'!$B:$B,0))="Pre-Splitting","S"))),"")</f>
        <v/>
      </c>
      <c r="D699" s="14">
        <f t="shared" si="66"/>
        <v>1531</v>
      </c>
      <c r="E699" s="4" t="str">
        <f>IFERROR(INDEX('LEV R&amp;D'!$D:$D,MATCH(MEDIÇÃO!D699,'LEV R&amp;D'!$A:$A,0))-INDEX('PROJETO PERFURAÇÃO'!$AH:$AH,MATCH(MEDIÇÃO!D699,'PROJETO PERFURAÇÃO'!$B:$B,0)),"")</f>
        <v/>
      </c>
      <c r="F699" s="8" t="str">
        <f>IFERROR(INDEX('PROJETO PERFURAÇÃO'!$AN:$AN,MATCH(MEDIÇÃO!D699,'PROJETO PERFURAÇÃO'!$B:$B,0)),"")</f>
        <v/>
      </c>
      <c r="G699" s="3"/>
      <c r="H699" s="3"/>
      <c r="I699" s="3" t="str">
        <f>IFERROR(ROUND(INDEX('PROJETO PERFURAÇÃO'!$AB:$AB,MATCH(MEDIÇÃO!K699,'PROJETO PERFURAÇÃO'!$B:$B,0)),1)&amp;"''","")</f>
        <v/>
      </c>
      <c r="J699" s="3" t="str">
        <f>IFERROR(IF(INDEX('PROJETO PERFURAÇÃO'!$P:$P,MATCH(MEDIÇÃO!K699,'PROJETO PERFURAÇÃO'!$B:$B,0))="Production","P",IF(INDEX('PROJETO PERFURAÇÃO'!$P:$P,MATCH(MEDIÇÃO!K699,'PROJETO PERFURAÇÃO'!$B:$B,0))="Buffer","B",IF(INDEX('PROJETO PERFURAÇÃO'!$P:$P,MATCH(MEDIÇÃO!K699,'PROJETO PERFURAÇÃO'!$B:$B,0))="Pre-Splitting","S"))),"")</f>
        <v/>
      </c>
      <c r="K699" s="14">
        <f t="shared" si="67"/>
        <v>1554</v>
      </c>
      <c r="L699" s="4" t="str">
        <f>IFERROR(INDEX('LEV R&amp;D'!$D:$D,MATCH(MEDIÇÃO!K699,'LEV R&amp;D'!$A:$A,0))-INDEX('PROJETO PERFURAÇÃO'!$AH:$AH,MATCH(MEDIÇÃO!K699,'PROJETO PERFURAÇÃO'!$B:$B,0)),"")</f>
        <v/>
      </c>
      <c r="M699" s="8" t="str">
        <f>IFERROR(INDEX('PROJETO PERFURAÇÃO'!$AN:$AN,MATCH(MEDIÇÃO!K699,'PROJETO PERFURAÇÃO'!$B:$B,0)),"")</f>
        <v/>
      </c>
      <c r="N699" s="3"/>
      <c r="O699" s="3"/>
      <c r="P699" s="3" t="str">
        <f>IFERROR(ROUND(INDEX('PROJETO PERFURAÇÃO'!$AB:$AB,MATCH(MEDIÇÃO!R699,'PROJETO PERFURAÇÃO'!$B:$B,0)),1)&amp;"''","")</f>
        <v/>
      </c>
      <c r="Q699" s="3" t="str">
        <f>IFERROR(IF(INDEX('PROJETO PERFURAÇÃO'!$P:$P,MATCH(MEDIÇÃO!R699,'PROJETO PERFURAÇÃO'!$B:$B,0))="Production","P",IF(INDEX('PROJETO PERFURAÇÃO'!$P:$P,MATCH(MEDIÇÃO!R699,'PROJETO PERFURAÇÃO'!$B:$B,0))="Buffer","B",IF(INDEX('PROJETO PERFURAÇÃO'!$P:$P,MATCH(MEDIÇÃO!R699,'PROJETO PERFURAÇÃO'!$B:$B,0))="Pre-Splitting","S"))),"")</f>
        <v/>
      </c>
      <c r="R699" s="14">
        <f t="shared" si="68"/>
        <v>1577</v>
      </c>
      <c r="S699" s="4" t="str">
        <f>IFERROR(INDEX('LEV R&amp;D'!$D:$D,MATCH(MEDIÇÃO!R699,'LEV R&amp;D'!$A:$A,0))-INDEX('PROJETO PERFURAÇÃO'!$AH:$AH,MATCH(MEDIÇÃO!R699,'PROJETO PERFURAÇÃO'!$B:$B,0)),"")</f>
        <v/>
      </c>
      <c r="T699" s="8" t="str">
        <f>IFERROR(INDEX('PROJETO PERFURAÇÃO'!$AN:$AN,MATCH(MEDIÇÃO!R699,'PROJETO PERFURAÇÃO'!$B:$B,0)),"")</f>
        <v/>
      </c>
      <c r="U699" s="3"/>
      <c r="V699" s="3"/>
    </row>
    <row r="700" spans="2:22" ht="45" customHeight="1" x14ac:dyDescent="0.25">
      <c r="B700" s="3" t="str">
        <f>IFERROR(ROUND(INDEX('PROJETO PERFURAÇÃO'!$AB:$AB,MATCH(MEDIÇÃO!D700,'PROJETO PERFURAÇÃO'!$B:$B,0)),1)&amp;"''","")</f>
        <v/>
      </c>
      <c r="C700" s="3" t="str">
        <f>IFERROR(IF(INDEX('PROJETO PERFURAÇÃO'!$P:$P,MATCH(MEDIÇÃO!D700,'PROJETO PERFURAÇÃO'!$B:$B,0))="Production","P",IF(INDEX('PROJETO PERFURAÇÃO'!$P:$P,MATCH(MEDIÇÃO!D700,'PROJETO PERFURAÇÃO'!$B:$B,0))="Buffer","B",IF(INDEX('PROJETO PERFURAÇÃO'!$P:$P,MATCH(MEDIÇÃO!D700,'PROJETO PERFURAÇÃO'!$B:$B,0))="Pre-Splitting","S"))),"")</f>
        <v/>
      </c>
      <c r="D700" s="14">
        <f t="shared" si="66"/>
        <v>1532</v>
      </c>
      <c r="E700" s="4" t="str">
        <f>IFERROR(INDEX('LEV R&amp;D'!$D:$D,MATCH(MEDIÇÃO!D700,'LEV R&amp;D'!$A:$A,0))-INDEX('PROJETO PERFURAÇÃO'!$AH:$AH,MATCH(MEDIÇÃO!D700,'PROJETO PERFURAÇÃO'!$B:$B,0)),"")</f>
        <v/>
      </c>
      <c r="F700" s="8" t="str">
        <f>IFERROR(INDEX('PROJETO PERFURAÇÃO'!$AN:$AN,MATCH(MEDIÇÃO!D700,'PROJETO PERFURAÇÃO'!$B:$B,0)),"")</f>
        <v/>
      </c>
      <c r="G700" s="3"/>
      <c r="H700" s="3"/>
      <c r="I700" s="3" t="str">
        <f>IFERROR(ROUND(INDEX('PROJETO PERFURAÇÃO'!$AB:$AB,MATCH(MEDIÇÃO!K700,'PROJETO PERFURAÇÃO'!$B:$B,0)),1)&amp;"''","")</f>
        <v/>
      </c>
      <c r="J700" s="3" t="str">
        <f>IFERROR(IF(INDEX('PROJETO PERFURAÇÃO'!$P:$P,MATCH(MEDIÇÃO!K700,'PROJETO PERFURAÇÃO'!$B:$B,0))="Production","P",IF(INDEX('PROJETO PERFURAÇÃO'!$P:$P,MATCH(MEDIÇÃO!K700,'PROJETO PERFURAÇÃO'!$B:$B,0))="Buffer","B",IF(INDEX('PROJETO PERFURAÇÃO'!$P:$P,MATCH(MEDIÇÃO!K700,'PROJETO PERFURAÇÃO'!$B:$B,0))="Pre-Splitting","S"))),"")</f>
        <v/>
      </c>
      <c r="K700" s="14">
        <f t="shared" si="67"/>
        <v>1555</v>
      </c>
      <c r="L700" s="4" t="str">
        <f>IFERROR(INDEX('LEV R&amp;D'!$D:$D,MATCH(MEDIÇÃO!K700,'LEV R&amp;D'!$A:$A,0))-INDEX('PROJETO PERFURAÇÃO'!$AH:$AH,MATCH(MEDIÇÃO!K700,'PROJETO PERFURAÇÃO'!$B:$B,0)),"")</f>
        <v/>
      </c>
      <c r="M700" s="8" t="str">
        <f>IFERROR(INDEX('PROJETO PERFURAÇÃO'!$AN:$AN,MATCH(MEDIÇÃO!K700,'PROJETO PERFURAÇÃO'!$B:$B,0)),"")</f>
        <v/>
      </c>
      <c r="N700" s="3"/>
      <c r="O700" s="3"/>
      <c r="P700" s="3" t="str">
        <f>IFERROR(ROUND(INDEX('PROJETO PERFURAÇÃO'!$AB:$AB,MATCH(MEDIÇÃO!R700,'PROJETO PERFURAÇÃO'!$B:$B,0)),1)&amp;"''","")</f>
        <v/>
      </c>
      <c r="Q700" s="3" t="str">
        <f>IFERROR(IF(INDEX('PROJETO PERFURAÇÃO'!$P:$P,MATCH(MEDIÇÃO!R700,'PROJETO PERFURAÇÃO'!$B:$B,0))="Production","P",IF(INDEX('PROJETO PERFURAÇÃO'!$P:$P,MATCH(MEDIÇÃO!R700,'PROJETO PERFURAÇÃO'!$B:$B,0))="Buffer","B",IF(INDEX('PROJETO PERFURAÇÃO'!$P:$P,MATCH(MEDIÇÃO!R700,'PROJETO PERFURAÇÃO'!$B:$B,0))="Pre-Splitting","S"))),"")</f>
        <v/>
      </c>
      <c r="R700" s="14">
        <f t="shared" si="68"/>
        <v>1578</v>
      </c>
      <c r="S700" s="4" t="str">
        <f>IFERROR(INDEX('LEV R&amp;D'!$D:$D,MATCH(MEDIÇÃO!R700,'LEV R&amp;D'!$A:$A,0))-INDEX('PROJETO PERFURAÇÃO'!$AH:$AH,MATCH(MEDIÇÃO!R700,'PROJETO PERFURAÇÃO'!$B:$B,0)),"")</f>
        <v/>
      </c>
      <c r="T700" s="8" t="str">
        <f>IFERROR(INDEX('PROJETO PERFURAÇÃO'!$AN:$AN,MATCH(MEDIÇÃO!R700,'PROJETO PERFURAÇÃO'!$B:$B,0)),"")</f>
        <v/>
      </c>
      <c r="U700" s="3"/>
      <c r="V700" s="3"/>
    </row>
    <row r="701" spans="2:22" ht="45" customHeight="1" x14ac:dyDescent="0.25">
      <c r="B701" s="3" t="str">
        <f>IFERROR(ROUND(INDEX('PROJETO PERFURAÇÃO'!$AB:$AB,MATCH(MEDIÇÃO!D701,'PROJETO PERFURAÇÃO'!$B:$B,0)),1)&amp;"''","")</f>
        <v/>
      </c>
      <c r="C701" s="3" t="str">
        <f>IFERROR(IF(INDEX('PROJETO PERFURAÇÃO'!$P:$P,MATCH(MEDIÇÃO!D701,'PROJETO PERFURAÇÃO'!$B:$B,0))="Production","P",IF(INDEX('PROJETO PERFURAÇÃO'!$P:$P,MATCH(MEDIÇÃO!D701,'PROJETO PERFURAÇÃO'!$B:$B,0))="Buffer","B",IF(INDEX('PROJETO PERFURAÇÃO'!$P:$P,MATCH(MEDIÇÃO!D701,'PROJETO PERFURAÇÃO'!$B:$B,0))="Pre-Splitting","S"))),"")</f>
        <v/>
      </c>
      <c r="D701" s="14">
        <f t="shared" si="66"/>
        <v>1533</v>
      </c>
      <c r="E701" s="4" t="str">
        <f>IFERROR(INDEX('LEV R&amp;D'!$D:$D,MATCH(MEDIÇÃO!D701,'LEV R&amp;D'!$A:$A,0))-INDEX('PROJETO PERFURAÇÃO'!$AH:$AH,MATCH(MEDIÇÃO!D701,'PROJETO PERFURAÇÃO'!$B:$B,0)),"")</f>
        <v/>
      </c>
      <c r="F701" s="8" t="str">
        <f>IFERROR(INDEX('PROJETO PERFURAÇÃO'!$AN:$AN,MATCH(MEDIÇÃO!D701,'PROJETO PERFURAÇÃO'!$B:$B,0)),"")</f>
        <v/>
      </c>
      <c r="G701" s="3"/>
      <c r="H701" s="3"/>
      <c r="I701" s="3" t="str">
        <f>IFERROR(ROUND(INDEX('PROJETO PERFURAÇÃO'!$AB:$AB,MATCH(MEDIÇÃO!K701,'PROJETO PERFURAÇÃO'!$B:$B,0)),1)&amp;"''","")</f>
        <v/>
      </c>
      <c r="J701" s="3" t="str">
        <f>IFERROR(IF(INDEX('PROJETO PERFURAÇÃO'!$P:$P,MATCH(MEDIÇÃO!K701,'PROJETO PERFURAÇÃO'!$B:$B,0))="Production","P",IF(INDEX('PROJETO PERFURAÇÃO'!$P:$P,MATCH(MEDIÇÃO!K701,'PROJETO PERFURAÇÃO'!$B:$B,0))="Buffer","B",IF(INDEX('PROJETO PERFURAÇÃO'!$P:$P,MATCH(MEDIÇÃO!K701,'PROJETO PERFURAÇÃO'!$B:$B,0))="Pre-Splitting","S"))),"")</f>
        <v/>
      </c>
      <c r="K701" s="14">
        <f t="shared" si="67"/>
        <v>1556</v>
      </c>
      <c r="L701" s="4" t="str">
        <f>IFERROR(INDEX('LEV R&amp;D'!$D:$D,MATCH(MEDIÇÃO!K701,'LEV R&amp;D'!$A:$A,0))-INDEX('PROJETO PERFURAÇÃO'!$AH:$AH,MATCH(MEDIÇÃO!K701,'PROJETO PERFURAÇÃO'!$B:$B,0)),"")</f>
        <v/>
      </c>
      <c r="M701" s="8" t="str">
        <f>IFERROR(INDEX('PROJETO PERFURAÇÃO'!$AN:$AN,MATCH(MEDIÇÃO!K701,'PROJETO PERFURAÇÃO'!$B:$B,0)),"")</f>
        <v/>
      </c>
      <c r="N701" s="3"/>
      <c r="O701" s="3"/>
      <c r="P701" s="3" t="str">
        <f>IFERROR(ROUND(INDEX('PROJETO PERFURAÇÃO'!$AB:$AB,MATCH(MEDIÇÃO!R701,'PROJETO PERFURAÇÃO'!$B:$B,0)),1)&amp;"''","")</f>
        <v/>
      </c>
      <c r="Q701" s="3" t="str">
        <f>IFERROR(IF(INDEX('PROJETO PERFURAÇÃO'!$P:$P,MATCH(MEDIÇÃO!R701,'PROJETO PERFURAÇÃO'!$B:$B,0))="Production","P",IF(INDEX('PROJETO PERFURAÇÃO'!$P:$P,MATCH(MEDIÇÃO!R701,'PROJETO PERFURAÇÃO'!$B:$B,0))="Buffer","B",IF(INDEX('PROJETO PERFURAÇÃO'!$P:$P,MATCH(MEDIÇÃO!R701,'PROJETO PERFURAÇÃO'!$B:$B,0))="Pre-Splitting","S"))),"")</f>
        <v/>
      </c>
      <c r="R701" s="14">
        <f t="shared" si="68"/>
        <v>1579</v>
      </c>
      <c r="S701" s="4" t="str">
        <f>IFERROR(INDEX('LEV R&amp;D'!$D:$D,MATCH(MEDIÇÃO!R701,'LEV R&amp;D'!$A:$A,0))-INDEX('PROJETO PERFURAÇÃO'!$AH:$AH,MATCH(MEDIÇÃO!R701,'PROJETO PERFURAÇÃO'!$B:$B,0)),"")</f>
        <v/>
      </c>
      <c r="T701" s="8" t="str">
        <f>IFERROR(INDEX('PROJETO PERFURAÇÃO'!$AN:$AN,MATCH(MEDIÇÃO!R701,'PROJETO PERFURAÇÃO'!$B:$B,0)),"")</f>
        <v/>
      </c>
      <c r="U701" s="3"/>
      <c r="V701" s="3"/>
    </row>
    <row r="702" spans="2:22" ht="45" customHeight="1" x14ac:dyDescent="0.25">
      <c r="B702" s="3" t="str">
        <f>IFERROR(ROUND(INDEX('PROJETO PERFURAÇÃO'!$AB:$AB,MATCH(MEDIÇÃO!D702,'PROJETO PERFURAÇÃO'!$B:$B,0)),1)&amp;"''","")</f>
        <v/>
      </c>
      <c r="C702" s="3" t="str">
        <f>IFERROR(IF(INDEX('PROJETO PERFURAÇÃO'!$P:$P,MATCH(MEDIÇÃO!D702,'PROJETO PERFURAÇÃO'!$B:$B,0))="Production","P",IF(INDEX('PROJETO PERFURAÇÃO'!$P:$P,MATCH(MEDIÇÃO!D702,'PROJETO PERFURAÇÃO'!$B:$B,0))="Buffer","B",IF(INDEX('PROJETO PERFURAÇÃO'!$P:$P,MATCH(MEDIÇÃO!D702,'PROJETO PERFURAÇÃO'!$B:$B,0))="Pre-Splitting","S"))),"")</f>
        <v/>
      </c>
      <c r="D702" s="14">
        <f t="shared" si="66"/>
        <v>1534</v>
      </c>
      <c r="E702" s="4" t="str">
        <f>IFERROR(INDEX('LEV R&amp;D'!$D:$D,MATCH(MEDIÇÃO!D702,'LEV R&amp;D'!$A:$A,0))-INDEX('PROJETO PERFURAÇÃO'!$AH:$AH,MATCH(MEDIÇÃO!D702,'PROJETO PERFURAÇÃO'!$B:$B,0)),"")</f>
        <v/>
      </c>
      <c r="F702" s="8" t="str">
        <f>IFERROR(INDEX('PROJETO PERFURAÇÃO'!$AN:$AN,MATCH(MEDIÇÃO!D702,'PROJETO PERFURAÇÃO'!$B:$B,0)),"")</f>
        <v/>
      </c>
      <c r="G702" s="3"/>
      <c r="H702" s="3"/>
      <c r="I702" s="3" t="str">
        <f>IFERROR(ROUND(INDEX('PROJETO PERFURAÇÃO'!$AB:$AB,MATCH(MEDIÇÃO!K702,'PROJETO PERFURAÇÃO'!$B:$B,0)),1)&amp;"''","")</f>
        <v/>
      </c>
      <c r="J702" s="3" t="str">
        <f>IFERROR(IF(INDEX('PROJETO PERFURAÇÃO'!$P:$P,MATCH(MEDIÇÃO!K702,'PROJETO PERFURAÇÃO'!$B:$B,0))="Production","P",IF(INDEX('PROJETO PERFURAÇÃO'!$P:$P,MATCH(MEDIÇÃO!K702,'PROJETO PERFURAÇÃO'!$B:$B,0))="Buffer","B",IF(INDEX('PROJETO PERFURAÇÃO'!$P:$P,MATCH(MEDIÇÃO!K702,'PROJETO PERFURAÇÃO'!$B:$B,0))="Pre-Splitting","S"))),"")</f>
        <v/>
      </c>
      <c r="K702" s="14">
        <f t="shared" si="67"/>
        <v>1557</v>
      </c>
      <c r="L702" s="4" t="str">
        <f>IFERROR(INDEX('LEV R&amp;D'!$D:$D,MATCH(MEDIÇÃO!K702,'LEV R&amp;D'!$A:$A,0))-INDEX('PROJETO PERFURAÇÃO'!$AH:$AH,MATCH(MEDIÇÃO!K702,'PROJETO PERFURAÇÃO'!$B:$B,0)),"")</f>
        <v/>
      </c>
      <c r="M702" s="8" t="str">
        <f>IFERROR(INDEX('PROJETO PERFURAÇÃO'!$AN:$AN,MATCH(MEDIÇÃO!K702,'PROJETO PERFURAÇÃO'!$B:$B,0)),"")</f>
        <v/>
      </c>
      <c r="N702" s="3"/>
      <c r="O702" s="3"/>
      <c r="P702" s="3" t="str">
        <f>IFERROR(ROUND(INDEX('PROJETO PERFURAÇÃO'!$AB:$AB,MATCH(MEDIÇÃO!R702,'PROJETO PERFURAÇÃO'!$B:$B,0)),1)&amp;"''","")</f>
        <v/>
      </c>
      <c r="Q702" s="3" t="str">
        <f>IFERROR(IF(INDEX('PROJETO PERFURAÇÃO'!$P:$P,MATCH(MEDIÇÃO!R702,'PROJETO PERFURAÇÃO'!$B:$B,0))="Production","P",IF(INDEX('PROJETO PERFURAÇÃO'!$P:$P,MATCH(MEDIÇÃO!R702,'PROJETO PERFURAÇÃO'!$B:$B,0))="Buffer","B",IF(INDEX('PROJETO PERFURAÇÃO'!$P:$P,MATCH(MEDIÇÃO!R702,'PROJETO PERFURAÇÃO'!$B:$B,0))="Pre-Splitting","S"))),"")</f>
        <v/>
      </c>
      <c r="R702" s="14">
        <f t="shared" si="68"/>
        <v>1580</v>
      </c>
      <c r="S702" s="4" t="str">
        <f>IFERROR(INDEX('LEV R&amp;D'!$D:$D,MATCH(MEDIÇÃO!R702,'LEV R&amp;D'!$A:$A,0))-INDEX('PROJETO PERFURAÇÃO'!$AH:$AH,MATCH(MEDIÇÃO!R702,'PROJETO PERFURAÇÃO'!$B:$B,0)),"")</f>
        <v/>
      </c>
      <c r="T702" s="8" t="str">
        <f>IFERROR(INDEX('PROJETO PERFURAÇÃO'!$AN:$AN,MATCH(MEDIÇÃO!R702,'PROJETO PERFURAÇÃO'!$B:$B,0)),"")</f>
        <v/>
      </c>
      <c r="U702" s="3"/>
      <c r="V702" s="3"/>
    </row>
    <row r="703" spans="2:22" ht="45" customHeight="1" x14ac:dyDescent="0.25">
      <c r="B703" s="3" t="str">
        <f>IFERROR(ROUND(INDEX('PROJETO PERFURAÇÃO'!$AB:$AB,MATCH(MEDIÇÃO!D703,'PROJETO PERFURAÇÃO'!$B:$B,0)),1)&amp;"''","")</f>
        <v/>
      </c>
      <c r="C703" s="3" t="str">
        <f>IFERROR(IF(INDEX('PROJETO PERFURAÇÃO'!$P:$P,MATCH(MEDIÇÃO!D703,'PROJETO PERFURAÇÃO'!$B:$B,0))="Production","P",IF(INDEX('PROJETO PERFURAÇÃO'!$P:$P,MATCH(MEDIÇÃO!D703,'PROJETO PERFURAÇÃO'!$B:$B,0))="Buffer","B",IF(INDEX('PROJETO PERFURAÇÃO'!$P:$P,MATCH(MEDIÇÃO!D703,'PROJETO PERFURAÇÃO'!$B:$B,0))="Pre-Splitting","S"))),"")</f>
        <v/>
      </c>
      <c r="D703" s="14">
        <f t="shared" si="66"/>
        <v>1535</v>
      </c>
      <c r="E703" s="4" t="str">
        <f>IFERROR(INDEX('LEV R&amp;D'!$D:$D,MATCH(MEDIÇÃO!D703,'LEV R&amp;D'!$A:$A,0))-INDEX('PROJETO PERFURAÇÃO'!$AH:$AH,MATCH(MEDIÇÃO!D703,'PROJETO PERFURAÇÃO'!$B:$B,0)),"")</f>
        <v/>
      </c>
      <c r="F703" s="8" t="str">
        <f>IFERROR(INDEX('PROJETO PERFURAÇÃO'!$AN:$AN,MATCH(MEDIÇÃO!D703,'PROJETO PERFURAÇÃO'!$B:$B,0)),"")</f>
        <v/>
      </c>
      <c r="G703" s="3"/>
      <c r="H703" s="3"/>
      <c r="I703" s="3" t="str">
        <f>IFERROR(ROUND(INDEX('PROJETO PERFURAÇÃO'!$AB:$AB,MATCH(MEDIÇÃO!K703,'PROJETO PERFURAÇÃO'!$B:$B,0)),1)&amp;"''","")</f>
        <v/>
      </c>
      <c r="J703" s="3" t="str">
        <f>IFERROR(IF(INDEX('PROJETO PERFURAÇÃO'!$P:$P,MATCH(MEDIÇÃO!K703,'PROJETO PERFURAÇÃO'!$B:$B,0))="Production","P",IF(INDEX('PROJETO PERFURAÇÃO'!$P:$P,MATCH(MEDIÇÃO!K703,'PROJETO PERFURAÇÃO'!$B:$B,0))="Buffer","B",IF(INDEX('PROJETO PERFURAÇÃO'!$P:$P,MATCH(MEDIÇÃO!K703,'PROJETO PERFURAÇÃO'!$B:$B,0))="Pre-Splitting","S"))),"")</f>
        <v/>
      </c>
      <c r="K703" s="14">
        <f t="shared" si="67"/>
        <v>1558</v>
      </c>
      <c r="L703" s="4" t="str">
        <f>IFERROR(INDEX('LEV R&amp;D'!$D:$D,MATCH(MEDIÇÃO!K703,'LEV R&amp;D'!$A:$A,0))-INDEX('PROJETO PERFURAÇÃO'!$AH:$AH,MATCH(MEDIÇÃO!K703,'PROJETO PERFURAÇÃO'!$B:$B,0)),"")</f>
        <v/>
      </c>
      <c r="M703" s="8" t="str">
        <f>IFERROR(INDEX('PROJETO PERFURAÇÃO'!$AN:$AN,MATCH(MEDIÇÃO!K703,'PROJETO PERFURAÇÃO'!$B:$B,0)),"")</f>
        <v/>
      </c>
      <c r="N703" s="3"/>
      <c r="O703" s="3"/>
      <c r="P703" s="3" t="str">
        <f>IFERROR(ROUND(INDEX('PROJETO PERFURAÇÃO'!$AB:$AB,MATCH(MEDIÇÃO!R703,'PROJETO PERFURAÇÃO'!$B:$B,0)),1)&amp;"''","")</f>
        <v/>
      </c>
      <c r="Q703" s="3" t="str">
        <f>IFERROR(IF(INDEX('PROJETO PERFURAÇÃO'!$P:$P,MATCH(MEDIÇÃO!R703,'PROJETO PERFURAÇÃO'!$B:$B,0))="Production","P",IF(INDEX('PROJETO PERFURAÇÃO'!$P:$P,MATCH(MEDIÇÃO!R703,'PROJETO PERFURAÇÃO'!$B:$B,0))="Buffer","B",IF(INDEX('PROJETO PERFURAÇÃO'!$P:$P,MATCH(MEDIÇÃO!R703,'PROJETO PERFURAÇÃO'!$B:$B,0))="Pre-Splitting","S"))),"")</f>
        <v/>
      </c>
      <c r="R703" s="14">
        <f t="shared" si="68"/>
        <v>1581</v>
      </c>
      <c r="S703" s="4" t="str">
        <f>IFERROR(INDEX('LEV R&amp;D'!$D:$D,MATCH(MEDIÇÃO!R703,'LEV R&amp;D'!$A:$A,0))-INDEX('PROJETO PERFURAÇÃO'!$AH:$AH,MATCH(MEDIÇÃO!R703,'PROJETO PERFURAÇÃO'!$B:$B,0)),"")</f>
        <v/>
      </c>
      <c r="T703" s="8" t="str">
        <f>IFERROR(INDEX('PROJETO PERFURAÇÃO'!$AN:$AN,MATCH(MEDIÇÃO!R703,'PROJETO PERFURAÇÃO'!$B:$B,0)),"")</f>
        <v/>
      </c>
      <c r="U703" s="3"/>
      <c r="V703" s="3"/>
    </row>
    <row r="704" spans="2:22" ht="45" customHeight="1" x14ac:dyDescent="0.25">
      <c r="B704" s="3" t="str">
        <f>IFERROR(ROUND(INDEX('PROJETO PERFURAÇÃO'!$AB:$AB,MATCH(MEDIÇÃO!D704,'PROJETO PERFURAÇÃO'!$B:$B,0)),1)&amp;"''","")</f>
        <v/>
      </c>
      <c r="C704" s="3" t="str">
        <f>IFERROR(IF(INDEX('PROJETO PERFURAÇÃO'!$P:$P,MATCH(MEDIÇÃO!D704,'PROJETO PERFURAÇÃO'!$B:$B,0))="Production","P",IF(INDEX('PROJETO PERFURAÇÃO'!$P:$P,MATCH(MEDIÇÃO!D704,'PROJETO PERFURAÇÃO'!$B:$B,0))="Buffer","B",IF(INDEX('PROJETO PERFURAÇÃO'!$P:$P,MATCH(MEDIÇÃO!D704,'PROJETO PERFURAÇÃO'!$B:$B,0))="Pre-Splitting","S"))),"")</f>
        <v/>
      </c>
      <c r="D704" s="14">
        <f t="shared" si="66"/>
        <v>1536</v>
      </c>
      <c r="E704" s="4" t="str">
        <f>IFERROR(INDEX('LEV R&amp;D'!$D:$D,MATCH(MEDIÇÃO!D704,'LEV R&amp;D'!$A:$A,0))-INDEX('PROJETO PERFURAÇÃO'!$AH:$AH,MATCH(MEDIÇÃO!D704,'PROJETO PERFURAÇÃO'!$B:$B,0)),"")</f>
        <v/>
      </c>
      <c r="F704" s="8" t="str">
        <f>IFERROR(INDEX('PROJETO PERFURAÇÃO'!$AN:$AN,MATCH(MEDIÇÃO!D704,'PROJETO PERFURAÇÃO'!$B:$B,0)),"")</f>
        <v/>
      </c>
      <c r="G704" s="3"/>
      <c r="H704" s="3"/>
      <c r="I704" s="3" t="str">
        <f>IFERROR(ROUND(INDEX('PROJETO PERFURAÇÃO'!$AB:$AB,MATCH(MEDIÇÃO!K704,'PROJETO PERFURAÇÃO'!$B:$B,0)),1)&amp;"''","")</f>
        <v/>
      </c>
      <c r="J704" s="3" t="str">
        <f>IFERROR(IF(INDEX('PROJETO PERFURAÇÃO'!$P:$P,MATCH(MEDIÇÃO!K704,'PROJETO PERFURAÇÃO'!$B:$B,0))="Production","P",IF(INDEX('PROJETO PERFURAÇÃO'!$P:$P,MATCH(MEDIÇÃO!K704,'PROJETO PERFURAÇÃO'!$B:$B,0))="Buffer","B",IF(INDEX('PROJETO PERFURAÇÃO'!$P:$P,MATCH(MEDIÇÃO!K704,'PROJETO PERFURAÇÃO'!$B:$B,0))="Pre-Splitting","S"))),"")</f>
        <v/>
      </c>
      <c r="K704" s="14">
        <f t="shared" si="67"/>
        <v>1559</v>
      </c>
      <c r="L704" s="4" t="str">
        <f>IFERROR(INDEX('LEV R&amp;D'!$D:$D,MATCH(MEDIÇÃO!K704,'LEV R&amp;D'!$A:$A,0))-INDEX('PROJETO PERFURAÇÃO'!$AH:$AH,MATCH(MEDIÇÃO!K704,'PROJETO PERFURAÇÃO'!$B:$B,0)),"")</f>
        <v/>
      </c>
      <c r="M704" s="8" t="str">
        <f>IFERROR(INDEX('PROJETO PERFURAÇÃO'!$AN:$AN,MATCH(MEDIÇÃO!K704,'PROJETO PERFURAÇÃO'!$B:$B,0)),"")</f>
        <v/>
      </c>
      <c r="N704" s="3"/>
      <c r="O704" s="3"/>
      <c r="P704" s="3" t="str">
        <f>IFERROR(ROUND(INDEX('PROJETO PERFURAÇÃO'!$AB:$AB,MATCH(MEDIÇÃO!R704,'PROJETO PERFURAÇÃO'!$B:$B,0)),1)&amp;"''","")</f>
        <v/>
      </c>
      <c r="Q704" s="3" t="str">
        <f>IFERROR(IF(INDEX('PROJETO PERFURAÇÃO'!$P:$P,MATCH(MEDIÇÃO!R704,'PROJETO PERFURAÇÃO'!$B:$B,0))="Production","P",IF(INDEX('PROJETO PERFURAÇÃO'!$P:$P,MATCH(MEDIÇÃO!R704,'PROJETO PERFURAÇÃO'!$B:$B,0))="Buffer","B",IF(INDEX('PROJETO PERFURAÇÃO'!$P:$P,MATCH(MEDIÇÃO!R704,'PROJETO PERFURAÇÃO'!$B:$B,0))="Pre-Splitting","S"))),"")</f>
        <v/>
      </c>
      <c r="R704" s="14">
        <f t="shared" si="68"/>
        <v>1582</v>
      </c>
      <c r="S704" s="4" t="str">
        <f>IFERROR(INDEX('LEV R&amp;D'!$D:$D,MATCH(MEDIÇÃO!R704,'LEV R&amp;D'!$A:$A,0))-INDEX('PROJETO PERFURAÇÃO'!$AH:$AH,MATCH(MEDIÇÃO!R704,'PROJETO PERFURAÇÃO'!$B:$B,0)),"")</f>
        <v/>
      </c>
      <c r="T704" s="8" t="str">
        <f>IFERROR(INDEX('PROJETO PERFURAÇÃO'!$AN:$AN,MATCH(MEDIÇÃO!R704,'PROJETO PERFURAÇÃO'!$B:$B,0)),"")</f>
        <v/>
      </c>
      <c r="U704" s="3"/>
      <c r="V704" s="3"/>
    </row>
    <row r="705" spans="1:23" ht="45" customHeight="1" x14ac:dyDescent="0.25">
      <c r="B705" s="3" t="str">
        <f>IFERROR(ROUND(INDEX('PROJETO PERFURAÇÃO'!$AB:$AB,MATCH(MEDIÇÃO!D705,'PROJETO PERFURAÇÃO'!$B:$B,0)),1)&amp;"''","")</f>
        <v/>
      </c>
      <c r="C705" s="3" t="str">
        <f>IFERROR(IF(INDEX('PROJETO PERFURAÇÃO'!$P:$P,MATCH(MEDIÇÃO!D705,'PROJETO PERFURAÇÃO'!$B:$B,0))="Production","P",IF(INDEX('PROJETO PERFURAÇÃO'!$P:$P,MATCH(MEDIÇÃO!D705,'PROJETO PERFURAÇÃO'!$B:$B,0))="Buffer","B",IF(INDEX('PROJETO PERFURAÇÃO'!$P:$P,MATCH(MEDIÇÃO!D705,'PROJETO PERFURAÇÃO'!$B:$B,0))="Pre-Splitting","S"))),"")</f>
        <v/>
      </c>
      <c r="D705" s="14">
        <f t="shared" si="66"/>
        <v>1537</v>
      </c>
      <c r="E705" s="4" t="str">
        <f>IFERROR(INDEX('LEV R&amp;D'!$D:$D,MATCH(MEDIÇÃO!D705,'LEV R&amp;D'!$A:$A,0))-INDEX('PROJETO PERFURAÇÃO'!$AH:$AH,MATCH(MEDIÇÃO!D705,'PROJETO PERFURAÇÃO'!$B:$B,0)),"")</f>
        <v/>
      </c>
      <c r="F705" s="8" t="str">
        <f>IFERROR(INDEX('PROJETO PERFURAÇÃO'!$AN:$AN,MATCH(MEDIÇÃO!D705,'PROJETO PERFURAÇÃO'!$B:$B,0)),"")</f>
        <v/>
      </c>
      <c r="G705" s="3"/>
      <c r="H705" s="3"/>
      <c r="I705" s="3" t="str">
        <f>IFERROR(ROUND(INDEX('PROJETO PERFURAÇÃO'!$AB:$AB,MATCH(MEDIÇÃO!K705,'PROJETO PERFURAÇÃO'!$B:$B,0)),1)&amp;"''","")</f>
        <v/>
      </c>
      <c r="J705" s="3" t="str">
        <f>IFERROR(IF(INDEX('PROJETO PERFURAÇÃO'!$P:$P,MATCH(MEDIÇÃO!K705,'PROJETO PERFURAÇÃO'!$B:$B,0))="Production","P",IF(INDEX('PROJETO PERFURAÇÃO'!$P:$P,MATCH(MEDIÇÃO!K705,'PROJETO PERFURAÇÃO'!$B:$B,0))="Buffer","B",IF(INDEX('PROJETO PERFURAÇÃO'!$P:$P,MATCH(MEDIÇÃO!K705,'PROJETO PERFURAÇÃO'!$B:$B,0))="Pre-Splitting","S"))),"")</f>
        <v/>
      </c>
      <c r="K705" s="14">
        <f t="shared" si="67"/>
        <v>1560</v>
      </c>
      <c r="L705" s="4" t="str">
        <f>IFERROR(INDEX('LEV R&amp;D'!$D:$D,MATCH(MEDIÇÃO!K705,'LEV R&amp;D'!$A:$A,0))-INDEX('PROJETO PERFURAÇÃO'!$AH:$AH,MATCH(MEDIÇÃO!K705,'PROJETO PERFURAÇÃO'!$B:$B,0)),"")</f>
        <v/>
      </c>
      <c r="M705" s="8" t="str">
        <f>IFERROR(INDEX('PROJETO PERFURAÇÃO'!$AN:$AN,MATCH(MEDIÇÃO!K705,'PROJETO PERFURAÇÃO'!$B:$B,0)),"")</f>
        <v/>
      </c>
      <c r="N705" s="3"/>
      <c r="O705" s="3"/>
      <c r="P705" s="3" t="str">
        <f>IFERROR(ROUND(INDEX('PROJETO PERFURAÇÃO'!$AB:$AB,MATCH(MEDIÇÃO!R705,'PROJETO PERFURAÇÃO'!$B:$B,0)),1)&amp;"''","")</f>
        <v/>
      </c>
      <c r="Q705" s="3" t="str">
        <f>IFERROR(IF(INDEX('PROJETO PERFURAÇÃO'!$P:$P,MATCH(MEDIÇÃO!R705,'PROJETO PERFURAÇÃO'!$B:$B,0))="Production","P",IF(INDEX('PROJETO PERFURAÇÃO'!$P:$P,MATCH(MEDIÇÃO!R705,'PROJETO PERFURAÇÃO'!$B:$B,0))="Buffer","B",IF(INDEX('PROJETO PERFURAÇÃO'!$P:$P,MATCH(MEDIÇÃO!R705,'PROJETO PERFURAÇÃO'!$B:$B,0))="Pre-Splitting","S"))),"")</f>
        <v/>
      </c>
      <c r="R705" s="14">
        <f t="shared" si="68"/>
        <v>1583</v>
      </c>
      <c r="S705" s="4" t="str">
        <f>IFERROR(INDEX('LEV R&amp;D'!$D:$D,MATCH(MEDIÇÃO!R705,'LEV R&amp;D'!$A:$A,0))-INDEX('PROJETO PERFURAÇÃO'!$AH:$AH,MATCH(MEDIÇÃO!R705,'PROJETO PERFURAÇÃO'!$B:$B,0)),"")</f>
        <v/>
      </c>
      <c r="T705" s="8" t="str">
        <f>IFERROR(INDEX('PROJETO PERFURAÇÃO'!$AN:$AN,MATCH(MEDIÇÃO!R705,'PROJETO PERFURAÇÃO'!$B:$B,0)),"")</f>
        <v/>
      </c>
      <c r="U705" s="3"/>
      <c r="V705" s="3"/>
    </row>
    <row r="706" spans="1:23" ht="45" customHeight="1" x14ac:dyDescent="0.25">
      <c r="B706" s="3" t="str">
        <f>IFERROR(ROUND(INDEX('PROJETO PERFURAÇÃO'!$AB:$AB,MATCH(MEDIÇÃO!D706,'PROJETO PERFURAÇÃO'!$B:$B,0)),1)&amp;"''","")</f>
        <v/>
      </c>
      <c r="C706" s="3" t="str">
        <f>IFERROR(IF(INDEX('PROJETO PERFURAÇÃO'!$P:$P,MATCH(MEDIÇÃO!D706,'PROJETO PERFURAÇÃO'!$B:$B,0))="Production","P",IF(INDEX('PROJETO PERFURAÇÃO'!$P:$P,MATCH(MEDIÇÃO!D706,'PROJETO PERFURAÇÃO'!$B:$B,0))="Buffer","B",IF(INDEX('PROJETO PERFURAÇÃO'!$P:$P,MATCH(MEDIÇÃO!D706,'PROJETO PERFURAÇÃO'!$B:$B,0))="Pre-Splitting","S"))),"")</f>
        <v/>
      </c>
      <c r="D706" s="14">
        <f t="shared" si="66"/>
        <v>1538</v>
      </c>
      <c r="E706" s="4" t="str">
        <f>IFERROR(INDEX('LEV R&amp;D'!$D:$D,MATCH(MEDIÇÃO!D706,'LEV R&amp;D'!$A:$A,0))-INDEX('PROJETO PERFURAÇÃO'!$AH:$AH,MATCH(MEDIÇÃO!D706,'PROJETO PERFURAÇÃO'!$B:$B,0)),"")</f>
        <v/>
      </c>
      <c r="F706" s="8" t="str">
        <f>IFERROR(INDEX('PROJETO PERFURAÇÃO'!$AN:$AN,MATCH(MEDIÇÃO!D706,'PROJETO PERFURAÇÃO'!$B:$B,0)),"")</f>
        <v/>
      </c>
      <c r="G706" s="3"/>
      <c r="H706" s="3"/>
      <c r="I706" s="3" t="str">
        <f>IFERROR(ROUND(INDEX('PROJETO PERFURAÇÃO'!$AB:$AB,MATCH(MEDIÇÃO!K706,'PROJETO PERFURAÇÃO'!$B:$B,0)),1)&amp;"''","")</f>
        <v/>
      </c>
      <c r="J706" s="3" t="str">
        <f>IFERROR(IF(INDEX('PROJETO PERFURAÇÃO'!$P:$P,MATCH(MEDIÇÃO!K706,'PROJETO PERFURAÇÃO'!$B:$B,0))="Production","P",IF(INDEX('PROJETO PERFURAÇÃO'!$P:$P,MATCH(MEDIÇÃO!K706,'PROJETO PERFURAÇÃO'!$B:$B,0))="Buffer","B",IF(INDEX('PROJETO PERFURAÇÃO'!$P:$P,MATCH(MEDIÇÃO!K706,'PROJETO PERFURAÇÃO'!$B:$B,0))="Pre-Splitting","S"))),"")</f>
        <v/>
      </c>
      <c r="K706" s="14">
        <f t="shared" si="67"/>
        <v>1561</v>
      </c>
      <c r="L706" s="4" t="str">
        <f>IFERROR(INDEX('LEV R&amp;D'!$D:$D,MATCH(MEDIÇÃO!K706,'LEV R&amp;D'!$A:$A,0))-INDEX('PROJETO PERFURAÇÃO'!$AH:$AH,MATCH(MEDIÇÃO!K706,'PROJETO PERFURAÇÃO'!$B:$B,0)),"")</f>
        <v/>
      </c>
      <c r="M706" s="8" t="str">
        <f>IFERROR(INDEX('PROJETO PERFURAÇÃO'!$AN:$AN,MATCH(MEDIÇÃO!K706,'PROJETO PERFURAÇÃO'!$B:$B,0)),"")</f>
        <v/>
      </c>
      <c r="N706" s="3"/>
      <c r="O706" s="3"/>
      <c r="P706" s="3" t="str">
        <f>IFERROR(ROUND(INDEX('PROJETO PERFURAÇÃO'!$AB:$AB,MATCH(MEDIÇÃO!R706,'PROJETO PERFURAÇÃO'!$B:$B,0)),1)&amp;"''","")</f>
        <v/>
      </c>
      <c r="Q706" s="3" t="str">
        <f>IFERROR(IF(INDEX('PROJETO PERFURAÇÃO'!$P:$P,MATCH(MEDIÇÃO!R706,'PROJETO PERFURAÇÃO'!$B:$B,0))="Production","P",IF(INDEX('PROJETO PERFURAÇÃO'!$P:$P,MATCH(MEDIÇÃO!R706,'PROJETO PERFURAÇÃO'!$B:$B,0))="Buffer","B",IF(INDEX('PROJETO PERFURAÇÃO'!$P:$P,MATCH(MEDIÇÃO!R706,'PROJETO PERFURAÇÃO'!$B:$B,0))="Pre-Splitting","S"))),"")</f>
        <v/>
      </c>
      <c r="R706" s="14">
        <f t="shared" si="68"/>
        <v>1584</v>
      </c>
      <c r="S706" s="4" t="str">
        <f>IFERROR(INDEX('LEV R&amp;D'!$D:$D,MATCH(MEDIÇÃO!R706,'LEV R&amp;D'!$A:$A,0))-INDEX('PROJETO PERFURAÇÃO'!$AH:$AH,MATCH(MEDIÇÃO!R706,'PROJETO PERFURAÇÃO'!$B:$B,0)),"")</f>
        <v/>
      </c>
      <c r="T706" s="8" t="str">
        <f>IFERROR(INDEX('PROJETO PERFURAÇÃO'!$AN:$AN,MATCH(MEDIÇÃO!R706,'PROJETO PERFURAÇÃO'!$B:$B,0)),"")</f>
        <v/>
      </c>
      <c r="U706" s="3"/>
      <c r="V706" s="3"/>
    </row>
    <row r="707" spans="1:23" ht="45" customHeight="1" x14ac:dyDescent="0.25">
      <c r="B707" s="3" t="str">
        <f>IFERROR(ROUND(INDEX('PROJETO PERFURAÇÃO'!$AB:$AB,MATCH(MEDIÇÃO!D707,'PROJETO PERFURAÇÃO'!$B:$B,0)),1)&amp;"''","")</f>
        <v/>
      </c>
      <c r="C707" s="3" t="str">
        <f>IFERROR(IF(INDEX('PROJETO PERFURAÇÃO'!$P:$P,MATCH(MEDIÇÃO!D707,'PROJETO PERFURAÇÃO'!$B:$B,0))="Production","P",IF(INDEX('PROJETO PERFURAÇÃO'!$P:$P,MATCH(MEDIÇÃO!D707,'PROJETO PERFURAÇÃO'!$B:$B,0))="Buffer","B",IF(INDEX('PROJETO PERFURAÇÃO'!$P:$P,MATCH(MEDIÇÃO!D707,'PROJETO PERFURAÇÃO'!$B:$B,0))="Pre-Splitting","S"))),"")</f>
        <v/>
      </c>
      <c r="D707" s="14">
        <f t="shared" si="66"/>
        <v>1539</v>
      </c>
      <c r="E707" s="4" t="str">
        <f>IFERROR(INDEX('LEV R&amp;D'!$D:$D,MATCH(MEDIÇÃO!D707,'LEV R&amp;D'!$A:$A,0))-INDEX('PROJETO PERFURAÇÃO'!$AH:$AH,MATCH(MEDIÇÃO!D707,'PROJETO PERFURAÇÃO'!$B:$B,0)),"")</f>
        <v/>
      </c>
      <c r="F707" s="8" t="str">
        <f>IFERROR(INDEX('PROJETO PERFURAÇÃO'!$AN:$AN,MATCH(MEDIÇÃO!D707,'PROJETO PERFURAÇÃO'!$B:$B,0)),"")</f>
        <v/>
      </c>
      <c r="G707" s="3"/>
      <c r="H707" s="3"/>
      <c r="I707" s="3" t="str">
        <f>IFERROR(ROUND(INDEX('PROJETO PERFURAÇÃO'!$AB:$AB,MATCH(MEDIÇÃO!K707,'PROJETO PERFURAÇÃO'!$B:$B,0)),1)&amp;"''","")</f>
        <v/>
      </c>
      <c r="J707" s="3" t="str">
        <f>IFERROR(IF(INDEX('PROJETO PERFURAÇÃO'!$P:$P,MATCH(MEDIÇÃO!K707,'PROJETO PERFURAÇÃO'!$B:$B,0))="Production","P",IF(INDEX('PROJETO PERFURAÇÃO'!$P:$P,MATCH(MEDIÇÃO!K707,'PROJETO PERFURAÇÃO'!$B:$B,0))="Buffer","B",IF(INDEX('PROJETO PERFURAÇÃO'!$P:$P,MATCH(MEDIÇÃO!K707,'PROJETO PERFURAÇÃO'!$B:$B,0))="Pre-Splitting","S"))),"")</f>
        <v/>
      </c>
      <c r="K707" s="14">
        <f t="shared" si="67"/>
        <v>1562</v>
      </c>
      <c r="L707" s="4" t="str">
        <f>IFERROR(INDEX('LEV R&amp;D'!$D:$D,MATCH(MEDIÇÃO!K707,'LEV R&amp;D'!$A:$A,0))-INDEX('PROJETO PERFURAÇÃO'!$AH:$AH,MATCH(MEDIÇÃO!K707,'PROJETO PERFURAÇÃO'!$B:$B,0)),"")</f>
        <v/>
      </c>
      <c r="M707" s="8" t="str">
        <f>IFERROR(INDEX('PROJETO PERFURAÇÃO'!$AN:$AN,MATCH(MEDIÇÃO!K707,'PROJETO PERFURAÇÃO'!$B:$B,0)),"")</f>
        <v/>
      </c>
      <c r="N707" s="3"/>
      <c r="O707" s="3"/>
      <c r="P707" s="3" t="str">
        <f>IFERROR(ROUND(INDEX('PROJETO PERFURAÇÃO'!$AB:$AB,MATCH(MEDIÇÃO!R707,'PROJETO PERFURAÇÃO'!$B:$B,0)),1)&amp;"''","")</f>
        <v/>
      </c>
      <c r="Q707" s="3" t="str">
        <f>IFERROR(IF(INDEX('PROJETO PERFURAÇÃO'!$P:$P,MATCH(MEDIÇÃO!R707,'PROJETO PERFURAÇÃO'!$B:$B,0))="Production","P",IF(INDEX('PROJETO PERFURAÇÃO'!$P:$P,MATCH(MEDIÇÃO!R707,'PROJETO PERFURAÇÃO'!$B:$B,0))="Buffer","B",IF(INDEX('PROJETO PERFURAÇÃO'!$P:$P,MATCH(MEDIÇÃO!R707,'PROJETO PERFURAÇÃO'!$B:$B,0))="Pre-Splitting","S"))),"")</f>
        <v/>
      </c>
      <c r="R707" s="14">
        <f t="shared" si="68"/>
        <v>1585</v>
      </c>
      <c r="S707" s="4" t="str">
        <f>IFERROR(INDEX('LEV R&amp;D'!$D:$D,MATCH(MEDIÇÃO!R707,'LEV R&amp;D'!$A:$A,0))-INDEX('PROJETO PERFURAÇÃO'!$AH:$AH,MATCH(MEDIÇÃO!R707,'PROJETO PERFURAÇÃO'!$B:$B,0)),"")</f>
        <v/>
      </c>
      <c r="T707" s="8" t="str">
        <f>IFERROR(INDEX('PROJETO PERFURAÇÃO'!$AN:$AN,MATCH(MEDIÇÃO!R707,'PROJETO PERFURAÇÃO'!$B:$B,0)),"")</f>
        <v/>
      </c>
      <c r="U707" s="3"/>
      <c r="V707" s="3"/>
    </row>
    <row r="708" spans="1:23" ht="45" customHeight="1" x14ac:dyDescent="0.25">
      <c r="B708" s="3" t="str">
        <f>IFERROR(ROUND(INDEX('PROJETO PERFURAÇÃO'!$AB:$AB,MATCH(MEDIÇÃO!D708,'PROJETO PERFURAÇÃO'!$B:$B,0)),1)&amp;"''","")</f>
        <v/>
      </c>
      <c r="C708" s="3" t="str">
        <f>IFERROR(IF(INDEX('PROJETO PERFURAÇÃO'!$P:$P,MATCH(MEDIÇÃO!D708,'PROJETO PERFURAÇÃO'!$B:$B,0))="Production","P",IF(INDEX('PROJETO PERFURAÇÃO'!$P:$P,MATCH(MEDIÇÃO!D708,'PROJETO PERFURAÇÃO'!$B:$B,0))="Buffer","B",IF(INDEX('PROJETO PERFURAÇÃO'!$P:$P,MATCH(MEDIÇÃO!D708,'PROJETO PERFURAÇÃO'!$B:$B,0))="Pre-Splitting","S"))),"")</f>
        <v/>
      </c>
      <c r="D708" s="14">
        <f t="shared" si="66"/>
        <v>1540</v>
      </c>
      <c r="E708" s="4" t="str">
        <f>IFERROR(INDEX('LEV R&amp;D'!$D:$D,MATCH(MEDIÇÃO!D708,'LEV R&amp;D'!$A:$A,0))-INDEX('PROJETO PERFURAÇÃO'!$AH:$AH,MATCH(MEDIÇÃO!D708,'PROJETO PERFURAÇÃO'!$B:$B,0)),"")</f>
        <v/>
      </c>
      <c r="F708" s="8" t="str">
        <f>IFERROR(INDEX('PROJETO PERFURAÇÃO'!$AN:$AN,MATCH(MEDIÇÃO!D708,'PROJETO PERFURAÇÃO'!$B:$B,0)),"")</f>
        <v/>
      </c>
      <c r="G708" s="3"/>
      <c r="H708" s="3"/>
      <c r="I708" s="3" t="str">
        <f>IFERROR(ROUND(INDEX('PROJETO PERFURAÇÃO'!$AB:$AB,MATCH(MEDIÇÃO!K708,'PROJETO PERFURAÇÃO'!$B:$B,0)),1)&amp;"''","")</f>
        <v/>
      </c>
      <c r="J708" s="3" t="str">
        <f>IFERROR(IF(INDEX('PROJETO PERFURAÇÃO'!$P:$P,MATCH(MEDIÇÃO!K708,'PROJETO PERFURAÇÃO'!$B:$B,0))="Production","P",IF(INDEX('PROJETO PERFURAÇÃO'!$P:$P,MATCH(MEDIÇÃO!K708,'PROJETO PERFURAÇÃO'!$B:$B,0))="Buffer","B",IF(INDEX('PROJETO PERFURAÇÃO'!$P:$P,MATCH(MEDIÇÃO!K708,'PROJETO PERFURAÇÃO'!$B:$B,0))="Pre-Splitting","S"))),"")</f>
        <v/>
      </c>
      <c r="K708" s="14">
        <f t="shared" si="67"/>
        <v>1563</v>
      </c>
      <c r="L708" s="4" t="str">
        <f>IFERROR(INDEX('LEV R&amp;D'!$D:$D,MATCH(MEDIÇÃO!K708,'LEV R&amp;D'!$A:$A,0))-INDEX('PROJETO PERFURAÇÃO'!$AH:$AH,MATCH(MEDIÇÃO!K708,'PROJETO PERFURAÇÃO'!$B:$B,0)),"")</f>
        <v/>
      </c>
      <c r="M708" s="8" t="str">
        <f>IFERROR(INDEX('PROJETO PERFURAÇÃO'!$AN:$AN,MATCH(MEDIÇÃO!K708,'PROJETO PERFURAÇÃO'!$B:$B,0)),"")</f>
        <v/>
      </c>
      <c r="N708" s="3"/>
      <c r="O708" s="3"/>
      <c r="P708" s="3" t="str">
        <f>IFERROR(ROUND(INDEX('PROJETO PERFURAÇÃO'!$AB:$AB,MATCH(MEDIÇÃO!R708,'PROJETO PERFURAÇÃO'!$B:$B,0)),1)&amp;"''","")</f>
        <v/>
      </c>
      <c r="Q708" s="3" t="str">
        <f>IFERROR(IF(INDEX('PROJETO PERFURAÇÃO'!$P:$P,MATCH(MEDIÇÃO!R708,'PROJETO PERFURAÇÃO'!$B:$B,0))="Production","P",IF(INDEX('PROJETO PERFURAÇÃO'!$P:$P,MATCH(MEDIÇÃO!R708,'PROJETO PERFURAÇÃO'!$B:$B,0))="Buffer","B",IF(INDEX('PROJETO PERFURAÇÃO'!$P:$P,MATCH(MEDIÇÃO!R708,'PROJETO PERFURAÇÃO'!$B:$B,0))="Pre-Splitting","S"))),"")</f>
        <v/>
      </c>
      <c r="R708" s="14">
        <f t="shared" si="68"/>
        <v>1586</v>
      </c>
      <c r="S708" s="4" t="str">
        <f>IFERROR(INDEX('LEV R&amp;D'!$D:$D,MATCH(MEDIÇÃO!R708,'LEV R&amp;D'!$A:$A,0))-INDEX('PROJETO PERFURAÇÃO'!$AH:$AH,MATCH(MEDIÇÃO!R708,'PROJETO PERFURAÇÃO'!$B:$B,0)),"")</f>
        <v/>
      </c>
      <c r="T708" s="8" t="str">
        <f>IFERROR(INDEX('PROJETO PERFURAÇÃO'!$AN:$AN,MATCH(MEDIÇÃO!R708,'PROJETO PERFURAÇÃO'!$B:$B,0)),"")</f>
        <v/>
      </c>
      <c r="U708" s="3"/>
      <c r="V708" s="3"/>
    </row>
    <row r="709" spans="1:23" ht="45" customHeight="1" x14ac:dyDescent="0.25">
      <c r="B709" s="3" t="str">
        <f>IFERROR(ROUND(INDEX('PROJETO PERFURAÇÃO'!$AB:$AB,MATCH(MEDIÇÃO!D709,'PROJETO PERFURAÇÃO'!$B:$B,0)),1)&amp;"''","")</f>
        <v/>
      </c>
      <c r="C709" s="3" t="str">
        <f>IFERROR(IF(INDEX('PROJETO PERFURAÇÃO'!$P:$P,MATCH(MEDIÇÃO!D709,'PROJETO PERFURAÇÃO'!$B:$B,0))="Production","P",IF(INDEX('PROJETO PERFURAÇÃO'!$P:$P,MATCH(MEDIÇÃO!D709,'PROJETO PERFURAÇÃO'!$B:$B,0))="Buffer","B",IF(INDEX('PROJETO PERFURAÇÃO'!$P:$P,MATCH(MEDIÇÃO!D709,'PROJETO PERFURAÇÃO'!$B:$B,0))="Pre-Splitting","S"))),"")</f>
        <v/>
      </c>
      <c r="D709" s="14">
        <f t="shared" si="66"/>
        <v>1541</v>
      </c>
      <c r="E709" s="4" t="str">
        <f>IFERROR(INDEX('LEV R&amp;D'!$D:$D,MATCH(MEDIÇÃO!D709,'LEV R&amp;D'!$A:$A,0))-INDEX('PROJETO PERFURAÇÃO'!$AH:$AH,MATCH(MEDIÇÃO!D709,'PROJETO PERFURAÇÃO'!$B:$B,0)),"")</f>
        <v/>
      </c>
      <c r="F709" s="8" t="str">
        <f>IFERROR(INDEX('PROJETO PERFURAÇÃO'!$AN:$AN,MATCH(MEDIÇÃO!D709,'PROJETO PERFURAÇÃO'!$B:$B,0)),"")</f>
        <v/>
      </c>
      <c r="G709" s="3"/>
      <c r="H709" s="3"/>
      <c r="I709" s="3" t="str">
        <f>IFERROR(ROUND(INDEX('PROJETO PERFURAÇÃO'!$AB:$AB,MATCH(MEDIÇÃO!K709,'PROJETO PERFURAÇÃO'!$B:$B,0)),1)&amp;"''","")</f>
        <v/>
      </c>
      <c r="J709" s="3" t="str">
        <f>IFERROR(IF(INDEX('PROJETO PERFURAÇÃO'!$P:$P,MATCH(MEDIÇÃO!K709,'PROJETO PERFURAÇÃO'!$B:$B,0))="Production","P",IF(INDEX('PROJETO PERFURAÇÃO'!$P:$P,MATCH(MEDIÇÃO!K709,'PROJETO PERFURAÇÃO'!$B:$B,0))="Buffer","B",IF(INDEX('PROJETO PERFURAÇÃO'!$P:$P,MATCH(MEDIÇÃO!K709,'PROJETO PERFURAÇÃO'!$B:$B,0))="Pre-Splitting","S"))),"")</f>
        <v/>
      </c>
      <c r="K709" s="14">
        <f>K708+1</f>
        <v>1564</v>
      </c>
      <c r="L709" s="4" t="str">
        <f>IFERROR(INDEX('LEV R&amp;D'!$D:$D,MATCH(MEDIÇÃO!K709,'LEV R&amp;D'!$A:$A,0))-INDEX('PROJETO PERFURAÇÃO'!$AH:$AH,MATCH(MEDIÇÃO!K709,'PROJETO PERFURAÇÃO'!$B:$B,0)),"")</f>
        <v/>
      </c>
      <c r="M709" s="8" t="str">
        <f>IFERROR(INDEX('PROJETO PERFURAÇÃO'!$AN:$AN,MATCH(MEDIÇÃO!K709,'PROJETO PERFURAÇÃO'!$B:$B,0)),"")</f>
        <v/>
      </c>
      <c r="N709" s="3"/>
      <c r="O709" s="3"/>
      <c r="P709" s="3" t="str">
        <f>IFERROR(ROUND(INDEX('PROJETO PERFURAÇÃO'!$AB:$AB,MATCH(MEDIÇÃO!R709,'PROJETO PERFURAÇÃO'!$B:$B,0)),1)&amp;"''","")</f>
        <v/>
      </c>
      <c r="Q709" s="3" t="str">
        <f>IFERROR(IF(INDEX('PROJETO PERFURAÇÃO'!$P:$P,MATCH(MEDIÇÃO!R709,'PROJETO PERFURAÇÃO'!$B:$B,0))="Production","P",IF(INDEX('PROJETO PERFURAÇÃO'!$P:$P,MATCH(MEDIÇÃO!R709,'PROJETO PERFURAÇÃO'!$B:$B,0))="Buffer","B",IF(INDEX('PROJETO PERFURAÇÃO'!$P:$P,MATCH(MEDIÇÃO!R709,'PROJETO PERFURAÇÃO'!$B:$B,0))="Pre-Splitting","S"))),"")</f>
        <v/>
      </c>
      <c r="R709" s="14">
        <f>R708+1</f>
        <v>1587</v>
      </c>
      <c r="S709" s="4" t="str">
        <f>IFERROR(INDEX('LEV R&amp;D'!$D:$D,MATCH(MEDIÇÃO!R709,'LEV R&amp;D'!$A:$A,0))-INDEX('PROJETO PERFURAÇÃO'!$AH:$AH,MATCH(MEDIÇÃO!R709,'PROJETO PERFURAÇÃO'!$B:$B,0)),"")</f>
        <v/>
      </c>
      <c r="T709" s="8" t="str">
        <f>IFERROR(INDEX('PROJETO PERFURAÇÃO'!$AN:$AN,MATCH(MEDIÇÃO!R709,'PROJETO PERFURAÇÃO'!$B:$B,0)),"")</f>
        <v/>
      </c>
      <c r="U709" s="3"/>
      <c r="V709" s="3"/>
    </row>
    <row r="710" spans="1:23" ht="30" customHeight="1" x14ac:dyDescent="0.25">
      <c r="B710" s="1"/>
      <c r="C710" s="1"/>
      <c r="D710" s="15"/>
      <c r="E710" s="2"/>
      <c r="F710" s="16"/>
      <c r="G710" s="1"/>
      <c r="H710" s="1"/>
      <c r="I710" s="1"/>
      <c r="J710" s="1"/>
      <c r="K710" s="15"/>
      <c r="L710" s="2"/>
      <c r="M710" s="16"/>
      <c r="N710" s="1"/>
      <c r="O710" s="1"/>
      <c r="P710" s="1"/>
      <c r="Q710" s="1"/>
      <c r="R710" s="15"/>
      <c r="S710" s="2"/>
      <c r="T710" s="16"/>
      <c r="U710" s="1"/>
      <c r="V710" s="1"/>
    </row>
    <row r="711" spans="1:23" ht="30" customHeight="1" x14ac:dyDescent="0.25">
      <c r="C711" s="20"/>
      <c r="D711" s="20"/>
      <c r="E711" s="20"/>
      <c r="F711" s="20"/>
      <c r="G711" s="20"/>
      <c r="H711" s="20"/>
      <c r="I711" s="20"/>
      <c r="J711" s="20"/>
      <c r="K711" s="20"/>
      <c r="M711" s="20"/>
      <c r="N711" s="20"/>
      <c r="O711" s="20"/>
      <c r="P711" s="20"/>
      <c r="Q711" s="20"/>
      <c r="R711" s="20"/>
      <c r="S711" s="20"/>
      <c r="T711" s="20"/>
      <c r="U711" s="20"/>
    </row>
    <row r="712" spans="1:23" ht="30" customHeight="1" x14ac:dyDescent="0.25">
      <c r="C712" s="21" t="s">
        <v>40</v>
      </c>
      <c r="D712" s="21"/>
      <c r="E712" s="21"/>
      <c r="F712" s="21"/>
      <c r="G712" s="21"/>
      <c r="H712" s="21"/>
      <c r="I712" s="21"/>
      <c r="J712" s="21"/>
      <c r="K712" s="21"/>
      <c r="L712" s="9"/>
      <c r="M712" s="21" t="s">
        <v>40</v>
      </c>
      <c r="N712" s="21"/>
      <c r="O712" s="21"/>
      <c r="P712" s="21"/>
      <c r="Q712" s="21"/>
      <c r="R712" s="21"/>
      <c r="S712" s="21"/>
      <c r="T712" s="21"/>
      <c r="U712" s="21"/>
      <c r="V712" s="9"/>
    </row>
    <row r="713" spans="1:23" ht="30" customHeight="1" x14ac:dyDescent="0.25">
      <c r="D713" s="9"/>
      <c r="E713" s="9"/>
      <c r="F713" s="9"/>
      <c r="G713" s="9"/>
      <c r="H713" s="9"/>
      <c r="I713" s="9"/>
      <c r="J713" s="9"/>
      <c r="K713" s="9"/>
      <c r="L713" s="9"/>
      <c r="M713" s="9"/>
      <c r="N713" s="9"/>
      <c r="Q713" s="9"/>
      <c r="R713" s="9"/>
      <c r="S713" s="9"/>
      <c r="T713" s="9"/>
      <c r="U713" s="9"/>
      <c r="V713" s="9"/>
    </row>
    <row r="714" spans="1:23" ht="30" customHeight="1" x14ac:dyDescent="0.25">
      <c r="B714" s="19" t="str">
        <f>'PROJETO PERFURAÇÃO'!$C$2&amp;" - "&amp;'PROJETO PERFURAÇÃO'!$H$2</f>
        <v>LIB065 - PP0651026</v>
      </c>
      <c r="C714" s="19"/>
      <c r="D714" s="19"/>
      <c r="E714" s="19"/>
      <c r="F714" s="19"/>
      <c r="G714" s="19"/>
      <c r="H714" s="19"/>
      <c r="I714" s="11" t="s">
        <v>34</v>
      </c>
      <c r="J714" s="10" t="s">
        <v>37</v>
      </c>
    </row>
    <row r="715" spans="1:23" ht="30" customHeight="1" x14ac:dyDescent="0.25">
      <c r="B715" s="19"/>
      <c r="C715" s="19"/>
      <c r="D715" s="19"/>
      <c r="E715" s="19"/>
      <c r="F715" s="19"/>
      <c r="G715" s="19"/>
      <c r="H715" s="19"/>
      <c r="I715" s="12" t="s">
        <v>35</v>
      </c>
      <c r="J715" s="10" t="s">
        <v>38</v>
      </c>
      <c r="K715" s="9"/>
      <c r="L715" s="9"/>
      <c r="M715" s="9"/>
      <c r="N715" s="9"/>
      <c r="O715" s="9"/>
      <c r="P715" s="9"/>
      <c r="Q715" s="9"/>
      <c r="R715" s="9"/>
      <c r="S715" s="9"/>
      <c r="T715" s="9"/>
      <c r="U715" s="9"/>
      <c r="V715" s="9"/>
    </row>
    <row r="716" spans="1:23" ht="30" customHeight="1" x14ac:dyDescent="0.25">
      <c r="B716" s="19"/>
      <c r="C716" s="19"/>
      <c r="D716" s="19"/>
      <c r="E716" s="19"/>
      <c r="F716" s="19"/>
      <c r="G716" s="19"/>
      <c r="H716" s="19"/>
      <c r="I716" s="13" t="s">
        <v>36</v>
      </c>
      <c r="J716" s="10" t="s">
        <v>39</v>
      </c>
    </row>
    <row r="717" spans="1:23" ht="30" customHeight="1" x14ac:dyDescent="0.25">
      <c r="A717" s="1"/>
      <c r="B717" s="6" t="s">
        <v>33</v>
      </c>
      <c r="C717" s="6" t="s">
        <v>13</v>
      </c>
      <c r="D717" s="7" t="s">
        <v>1</v>
      </c>
      <c r="E717" s="7" t="s">
        <v>29</v>
      </c>
      <c r="F717" s="7" t="s">
        <v>30</v>
      </c>
      <c r="G717" s="7" t="s">
        <v>31</v>
      </c>
      <c r="H717" s="7" t="s">
        <v>32</v>
      </c>
      <c r="I717" s="6" t="s">
        <v>33</v>
      </c>
      <c r="J717" s="6" t="s">
        <v>13</v>
      </c>
      <c r="K717" s="7" t="s">
        <v>1</v>
      </c>
      <c r="L717" s="7" t="s">
        <v>29</v>
      </c>
      <c r="M717" s="7" t="s">
        <v>30</v>
      </c>
      <c r="N717" s="7" t="s">
        <v>31</v>
      </c>
      <c r="O717" s="7" t="s">
        <v>32</v>
      </c>
      <c r="P717" s="6" t="s">
        <v>33</v>
      </c>
      <c r="Q717" s="6" t="s">
        <v>13</v>
      </c>
      <c r="R717" s="7" t="s">
        <v>1</v>
      </c>
      <c r="S717" s="7" t="s">
        <v>29</v>
      </c>
      <c r="T717" s="7" t="s">
        <v>30</v>
      </c>
      <c r="U717" s="7" t="s">
        <v>31</v>
      </c>
      <c r="V717" s="7" t="s">
        <v>32</v>
      </c>
      <c r="W717" s="1"/>
    </row>
    <row r="718" spans="1:23" ht="45" customHeight="1" x14ac:dyDescent="0.25">
      <c r="B718" s="3" t="str">
        <f>IFERROR(ROUND(INDEX('PROJETO PERFURAÇÃO'!$AB:$AB,MATCH(MEDIÇÃO!D718,'PROJETO PERFURAÇÃO'!$B:$B,0)),1)&amp;"''","")</f>
        <v/>
      </c>
      <c r="C718" s="3" t="str">
        <f>IFERROR(IF(INDEX('PROJETO PERFURAÇÃO'!$P:$P,MATCH(MEDIÇÃO!D718,'PROJETO PERFURAÇÃO'!$B:$B,0))="Production","P",IF(INDEX('PROJETO PERFURAÇÃO'!$P:$P,MATCH(MEDIÇÃO!D718,'PROJETO PERFURAÇÃO'!$B:$B,0))="Buffer","B",IF(INDEX('PROJETO PERFURAÇÃO'!$P:$P,MATCH(MEDIÇÃO!D718,'PROJETO PERFURAÇÃO'!$B:$B,0))="Pre-Splitting","S"))),"")</f>
        <v/>
      </c>
      <c r="D718" s="14">
        <f>R709+1</f>
        <v>1588</v>
      </c>
      <c r="E718" s="4" t="str">
        <f>IFERROR(INDEX('LEV R&amp;D'!$D:$D,MATCH(MEDIÇÃO!D718,'LEV R&amp;D'!$A:$A,0))-INDEX('PROJETO PERFURAÇÃO'!$AH:$AH,MATCH(MEDIÇÃO!D718,'PROJETO PERFURAÇÃO'!$B:$B,0)),"")</f>
        <v/>
      </c>
      <c r="F718" s="8" t="str">
        <f>IFERROR(INDEX('PROJETO PERFURAÇÃO'!$AN:$AN,MATCH(MEDIÇÃO!D718,'PROJETO PERFURAÇÃO'!$B:$B,0)),"")</f>
        <v/>
      </c>
      <c r="G718" s="3"/>
      <c r="H718" s="3"/>
      <c r="I718" s="3" t="str">
        <f>IFERROR(ROUND(INDEX('PROJETO PERFURAÇÃO'!$AB:$AB,MATCH(MEDIÇÃO!K718,'PROJETO PERFURAÇÃO'!$B:$B,0)),1)&amp;"''","")</f>
        <v/>
      </c>
      <c r="J718" s="3" t="str">
        <f>IFERROR(IF(INDEX('PROJETO PERFURAÇÃO'!$P:$P,MATCH(MEDIÇÃO!K718,'PROJETO PERFURAÇÃO'!$B:$B,0))="Production","P",IF(INDEX('PROJETO PERFURAÇÃO'!$P:$P,MATCH(MEDIÇÃO!K718,'PROJETO PERFURAÇÃO'!$B:$B,0))="Buffer","B",IF(INDEX('PROJETO PERFURAÇÃO'!$P:$P,MATCH(MEDIÇÃO!K718,'PROJETO PERFURAÇÃO'!$B:$B,0))="Pre-Splitting","S"))),"")</f>
        <v/>
      </c>
      <c r="K718" s="14">
        <f>D740+1</f>
        <v>1611</v>
      </c>
      <c r="L718" s="4" t="str">
        <f>IFERROR(INDEX('LEV R&amp;D'!$D:$D,MATCH(MEDIÇÃO!K718,'LEV R&amp;D'!$A:$A,0))-INDEX('PROJETO PERFURAÇÃO'!$AH:$AH,MATCH(MEDIÇÃO!K718,'PROJETO PERFURAÇÃO'!$B:$B,0)),"")</f>
        <v/>
      </c>
      <c r="M718" s="8" t="str">
        <f>IFERROR(INDEX('PROJETO PERFURAÇÃO'!$AN:$AN,MATCH(MEDIÇÃO!K718,'PROJETO PERFURAÇÃO'!$B:$B,0)),"")</f>
        <v/>
      </c>
      <c r="N718" s="3"/>
      <c r="O718" s="3"/>
      <c r="P718" s="3" t="str">
        <f>IFERROR(ROUND(INDEX('PROJETO PERFURAÇÃO'!$AB:$AB,MATCH(MEDIÇÃO!R718,'PROJETO PERFURAÇÃO'!$B:$B,0)),1)&amp;"''","")</f>
        <v/>
      </c>
      <c r="Q718" s="3" t="str">
        <f>IFERROR(IF(INDEX('PROJETO PERFURAÇÃO'!$P:$P,MATCH(MEDIÇÃO!R718,'PROJETO PERFURAÇÃO'!$B:$B,0))="Production","P",IF(INDEX('PROJETO PERFURAÇÃO'!$P:$P,MATCH(MEDIÇÃO!R718,'PROJETO PERFURAÇÃO'!$B:$B,0))="Buffer","B",IF(INDEX('PROJETO PERFURAÇÃO'!$P:$P,MATCH(MEDIÇÃO!R718,'PROJETO PERFURAÇÃO'!$B:$B,0))="Pre-Splitting","S"))),"")</f>
        <v/>
      </c>
      <c r="R718" s="14">
        <f>K740+1</f>
        <v>1634</v>
      </c>
      <c r="S718" s="4" t="str">
        <f>IFERROR(INDEX('LEV R&amp;D'!$D:$D,MATCH(MEDIÇÃO!R718,'LEV R&amp;D'!$A:$A,0))-INDEX('PROJETO PERFURAÇÃO'!$AH:$AH,MATCH(MEDIÇÃO!R718,'PROJETO PERFURAÇÃO'!$B:$B,0)),"")</f>
        <v/>
      </c>
      <c r="T718" s="8" t="str">
        <f>IFERROR(INDEX('PROJETO PERFURAÇÃO'!$AN:$AN,MATCH(MEDIÇÃO!R718,'PROJETO PERFURAÇÃO'!$B:$B,0)),"")</f>
        <v/>
      </c>
      <c r="U718" s="3"/>
      <c r="V718" s="3"/>
    </row>
    <row r="719" spans="1:23" ht="45" customHeight="1" x14ac:dyDescent="0.25">
      <c r="B719" s="3" t="str">
        <f>IFERROR(ROUND(INDEX('PROJETO PERFURAÇÃO'!$AB:$AB,MATCH(MEDIÇÃO!D719,'PROJETO PERFURAÇÃO'!$B:$B,0)),1)&amp;"''","")</f>
        <v/>
      </c>
      <c r="C719" s="3" t="str">
        <f>IFERROR(IF(INDEX('PROJETO PERFURAÇÃO'!$P:$P,MATCH(MEDIÇÃO!D719,'PROJETO PERFURAÇÃO'!$B:$B,0))="Production","P",IF(INDEX('PROJETO PERFURAÇÃO'!$P:$P,MATCH(MEDIÇÃO!D719,'PROJETO PERFURAÇÃO'!$B:$B,0))="Buffer","B",IF(INDEX('PROJETO PERFURAÇÃO'!$P:$P,MATCH(MEDIÇÃO!D719,'PROJETO PERFURAÇÃO'!$B:$B,0))="Pre-Splitting","S"))),"")</f>
        <v/>
      </c>
      <c r="D719" s="14">
        <f>D718+1</f>
        <v>1589</v>
      </c>
      <c r="E719" s="4" t="str">
        <f>IFERROR(INDEX('LEV R&amp;D'!$D:$D,MATCH(MEDIÇÃO!D719,'LEV R&amp;D'!$A:$A,0))-INDEX('PROJETO PERFURAÇÃO'!$AH:$AH,MATCH(MEDIÇÃO!D719,'PROJETO PERFURAÇÃO'!$B:$B,0)),"")</f>
        <v/>
      </c>
      <c r="F719" s="8" t="str">
        <f>IFERROR(INDEX('PROJETO PERFURAÇÃO'!$AN:$AN,MATCH(MEDIÇÃO!D719,'PROJETO PERFURAÇÃO'!$B:$B,0)),"")</f>
        <v/>
      </c>
      <c r="G719" s="3"/>
      <c r="H719" s="3"/>
      <c r="I719" s="3" t="str">
        <f>IFERROR(ROUND(INDEX('PROJETO PERFURAÇÃO'!$AB:$AB,MATCH(MEDIÇÃO!K719,'PROJETO PERFURAÇÃO'!$B:$B,0)),1)&amp;"''","")</f>
        <v/>
      </c>
      <c r="J719" s="3" t="str">
        <f>IFERROR(IF(INDEX('PROJETO PERFURAÇÃO'!$P:$P,MATCH(MEDIÇÃO!K719,'PROJETO PERFURAÇÃO'!$B:$B,0))="Production","P",IF(INDEX('PROJETO PERFURAÇÃO'!$P:$P,MATCH(MEDIÇÃO!K719,'PROJETO PERFURAÇÃO'!$B:$B,0))="Buffer","B",IF(INDEX('PROJETO PERFURAÇÃO'!$P:$P,MATCH(MEDIÇÃO!K719,'PROJETO PERFURAÇÃO'!$B:$B,0))="Pre-Splitting","S"))),"")</f>
        <v/>
      </c>
      <c r="K719" s="14">
        <f>K718+1</f>
        <v>1612</v>
      </c>
      <c r="L719" s="4" t="str">
        <f>IFERROR(INDEX('LEV R&amp;D'!$D:$D,MATCH(MEDIÇÃO!K719,'LEV R&amp;D'!$A:$A,0))-INDEX('PROJETO PERFURAÇÃO'!$AH:$AH,MATCH(MEDIÇÃO!K719,'PROJETO PERFURAÇÃO'!$B:$B,0)),"")</f>
        <v/>
      </c>
      <c r="M719" s="8" t="str">
        <f>IFERROR(INDEX('PROJETO PERFURAÇÃO'!$AN:$AN,MATCH(MEDIÇÃO!K719,'PROJETO PERFURAÇÃO'!$B:$B,0)),"")</f>
        <v/>
      </c>
      <c r="N719" s="3"/>
      <c r="O719" s="3"/>
      <c r="P719" s="3" t="str">
        <f>IFERROR(ROUND(INDEX('PROJETO PERFURAÇÃO'!$AB:$AB,MATCH(MEDIÇÃO!R719,'PROJETO PERFURAÇÃO'!$B:$B,0)),1)&amp;"''","")</f>
        <v/>
      </c>
      <c r="Q719" s="3" t="str">
        <f>IFERROR(IF(INDEX('PROJETO PERFURAÇÃO'!$P:$P,MATCH(MEDIÇÃO!R719,'PROJETO PERFURAÇÃO'!$B:$B,0))="Production","P",IF(INDEX('PROJETO PERFURAÇÃO'!$P:$P,MATCH(MEDIÇÃO!R719,'PROJETO PERFURAÇÃO'!$B:$B,0))="Buffer","B",IF(INDEX('PROJETO PERFURAÇÃO'!$P:$P,MATCH(MEDIÇÃO!R719,'PROJETO PERFURAÇÃO'!$B:$B,0))="Pre-Splitting","S"))),"")</f>
        <v/>
      </c>
      <c r="R719" s="14">
        <f>R718+1</f>
        <v>1635</v>
      </c>
      <c r="S719" s="4" t="str">
        <f>IFERROR(INDEX('LEV R&amp;D'!$D:$D,MATCH(MEDIÇÃO!R719,'LEV R&amp;D'!$A:$A,0))-INDEX('PROJETO PERFURAÇÃO'!$AH:$AH,MATCH(MEDIÇÃO!R719,'PROJETO PERFURAÇÃO'!$B:$B,0)),"")</f>
        <v/>
      </c>
      <c r="T719" s="8" t="str">
        <f>IFERROR(INDEX('PROJETO PERFURAÇÃO'!$AN:$AN,MATCH(MEDIÇÃO!R719,'PROJETO PERFURAÇÃO'!$B:$B,0)),"")</f>
        <v/>
      </c>
      <c r="U719" s="3"/>
      <c r="V719" s="3"/>
    </row>
    <row r="720" spans="1:23" ht="45" customHeight="1" x14ac:dyDescent="0.25">
      <c r="B720" s="3" t="str">
        <f>IFERROR(ROUND(INDEX('PROJETO PERFURAÇÃO'!$AB:$AB,MATCH(MEDIÇÃO!D720,'PROJETO PERFURAÇÃO'!$B:$B,0)),1)&amp;"''","")</f>
        <v/>
      </c>
      <c r="C720" s="3" t="str">
        <f>IFERROR(IF(INDEX('PROJETO PERFURAÇÃO'!$P:$P,MATCH(MEDIÇÃO!D720,'PROJETO PERFURAÇÃO'!$B:$B,0))="Production","P",IF(INDEX('PROJETO PERFURAÇÃO'!$P:$P,MATCH(MEDIÇÃO!D720,'PROJETO PERFURAÇÃO'!$B:$B,0))="Buffer","B",IF(INDEX('PROJETO PERFURAÇÃO'!$P:$P,MATCH(MEDIÇÃO!D720,'PROJETO PERFURAÇÃO'!$B:$B,0))="Pre-Splitting","S"))),"")</f>
        <v/>
      </c>
      <c r="D720" s="14">
        <f t="shared" ref="D720:D740" si="69">D719+1</f>
        <v>1590</v>
      </c>
      <c r="E720" s="4" t="str">
        <f>IFERROR(INDEX('LEV R&amp;D'!$D:$D,MATCH(MEDIÇÃO!D720,'LEV R&amp;D'!$A:$A,0))-INDEX('PROJETO PERFURAÇÃO'!$AH:$AH,MATCH(MEDIÇÃO!D720,'PROJETO PERFURAÇÃO'!$B:$B,0)),"")</f>
        <v/>
      </c>
      <c r="F720" s="8" t="str">
        <f>IFERROR(INDEX('PROJETO PERFURAÇÃO'!$AN:$AN,MATCH(MEDIÇÃO!D720,'PROJETO PERFURAÇÃO'!$B:$B,0)),"")</f>
        <v/>
      </c>
      <c r="G720" s="3"/>
      <c r="H720" s="3"/>
      <c r="I720" s="3" t="str">
        <f>IFERROR(ROUND(INDEX('PROJETO PERFURAÇÃO'!$AB:$AB,MATCH(MEDIÇÃO!K720,'PROJETO PERFURAÇÃO'!$B:$B,0)),1)&amp;"''","")</f>
        <v/>
      </c>
      <c r="J720" s="3" t="str">
        <f>IFERROR(IF(INDEX('PROJETO PERFURAÇÃO'!$P:$P,MATCH(MEDIÇÃO!K720,'PROJETO PERFURAÇÃO'!$B:$B,0))="Production","P",IF(INDEX('PROJETO PERFURAÇÃO'!$P:$P,MATCH(MEDIÇÃO!K720,'PROJETO PERFURAÇÃO'!$B:$B,0))="Buffer","B",IF(INDEX('PROJETO PERFURAÇÃO'!$P:$P,MATCH(MEDIÇÃO!K720,'PROJETO PERFURAÇÃO'!$B:$B,0))="Pre-Splitting","S"))),"")</f>
        <v/>
      </c>
      <c r="K720" s="14">
        <f t="shared" ref="K720:K739" si="70">K719+1</f>
        <v>1613</v>
      </c>
      <c r="L720" s="4" t="str">
        <f>IFERROR(INDEX('LEV R&amp;D'!$D:$D,MATCH(MEDIÇÃO!K720,'LEV R&amp;D'!$A:$A,0))-INDEX('PROJETO PERFURAÇÃO'!$AH:$AH,MATCH(MEDIÇÃO!K720,'PROJETO PERFURAÇÃO'!$B:$B,0)),"")</f>
        <v/>
      </c>
      <c r="M720" s="8" t="str">
        <f>IFERROR(INDEX('PROJETO PERFURAÇÃO'!$AN:$AN,MATCH(MEDIÇÃO!K720,'PROJETO PERFURAÇÃO'!$B:$B,0)),"")</f>
        <v/>
      </c>
      <c r="N720" s="3"/>
      <c r="O720" s="3"/>
      <c r="P720" s="3" t="str">
        <f>IFERROR(ROUND(INDEX('PROJETO PERFURAÇÃO'!$AB:$AB,MATCH(MEDIÇÃO!R720,'PROJETO PERFURAÇÃO'!$B:$B,0)),1)&amp;"''","")</f>
        <v/>
      </c>
      <c r="Q720" s="3" t="str">
        <f>IFERROR(IF(INDEX('PROJETO PERFURAÇÃO'!$P:$P,MATCH(MEDIÇÃO!R720,'PROJETO PERFURAÇÃO'!$B:$B,0))="Production","P",IF(INDEX('PROJETO PERFURAÇÃO'!$P:$P,MATCH(MEDIÇÃO!R720,'PROJETO PERFURAÇÃO'!$B:$B,0))="Buffer","B",IF(INDEX('PROJETO PERFURAÇÃO'!$P:$P,MATCH(MEDIÇÃO!R720,'PROJETO PERFURAÇÃO'!$B:$B,0))="Pre-Splitting","S"))),"")</f>
        <v/>
      </c>
      <c r="R720" s="14">
        <f t="shared" ref="R720:R739" si="71">R719+1</f>
        <v>1636</v>
      </c>
      <c r="S720" s="4" t="str">
        <f>IFERROR(INDEX('LEV R&amp;D'!$D:$D,MATCH(MEDIÇÃO!R720,'LEV R&amp;D'!$A:$A,0))-INDEX('PROJETO PERFURAÇÃO'!$AH:$AH,MATCH(MEDIÇÃO!R720,'PROJETO PERFURAÇÃO'!$B:$B,0)),"")</f>
        <v/>
      </c>
      <c r="T720" s="8" t="str">
        <f>IFERROR(INDEX('PROJETO PERFURAÇÃO'!$AN:$AN,MATCH(MEDIÇÃO!R720,'PROJETO PERFURAÇÃO'!$B:$B,0)),"")</f>
        <v/>
      </c>
      <c r="U720" s="3"/>
      <c r="V720" s="3"/>
    </row>
    <row r="721" spans="2:22" ht="45" customHeight="1" x14ac:dyDescent="0.25">
      <c r="B721" s="3" t="str">
        <f>IFERROR(ROUND(INDEX('PROJETO PERFURAÇÃO'!$AB:$AB,MATCH(MEDIÇÃO!D721,'PROJETO PERFURAÇÃO'!$B:$B,0)),1)&amp;"''","")</f>
        <v/>
      </c>
      <c r="C721" s="3" t="str">
        <f>IFERROR(IF(INDEX('PROJETO PERFURAÇÃO'!$P:$P,MATCH(MEDIÇÃO!D721,'PROJETO PERFURAÇÃO'!$B:$B,0))="Production","P",IF(INDEX('PROJETO PERFURAÇÃO'!$P:$P,MATCH(MEDIÇÃO!D721,'PROJETO PERFURAÇÃO'!$B:$B,0))="Buffer","B",IF(INDEX('PROJETO PERFURAÇÃO'!$P:$P,MATCH(MEDIÇÃO!D721,'PROJETO PERFURAÇÃO'!$B:$B,0))="Pre-Splitting","S"))),"")</f>
        <v/>
      </c>
      <c r="D721" s="14">
        <f t="shared" si="69"/>
        <v>1591</v>
      </c>
      <c r="E721" s="4" t="str">
        <f>IFERROR(INDEX('LEV R&amp;D'!$D:$D,MATCH(MEDIÇÃO!D721,'LEV R&amp;D'!$A:$A,0))-INDEX('PROJETO PERFURAÇÃO'!$AH:$AH,MATCH(MEDIÇÃO!D721,'PROJETO PERFURAÇÃO'!$B:$B,0)),"")</f>
        <v/>
      </c>
      <c r="F721" s="8" t="str">
        <f>IFERROR(INDEX('PROJETO PERFURAÇÃO'!$AN:$AN,MATCH(MEDIÇÃO!D721,'PROJETO PERFURAÇÃO'!$B:$B,0)),"")</f>
        <v/>
      </c>
      <c r="G721" s="3"/>
      <c r="H721" s="3"/>
      <c r="I721" s="3" t="str">
        <f>IFERROR(ROUND(INDEX('PROJETO PERFURAÇÃO'!$AB:$AB,MATCH(MEDIÇÃO!K721,'PROJETO PERFURAÇÃO'!$B:$B,0)),1)&amp;"''","")</f>
        <v/>
      </c>
      <c r="J721" s="3" t="str">
        <f>IFERROR(IF(INDEX('PROJETO PERFURAÇÃO'!$P:$P,MATCH(MEDIÇÃO!K721,'PROJETO PERFURAÇÃO'!$B:$B,0))="Production","P",IF(INDEX('PROJETO PERFURAÇÃO'!$P:$P,MATCH(MEDIÇÃO!K721,'PROJETO PERFURAÇÃO'!$B:$B,0))="Buffer","B",IF(INDEX('PROJETO PERFURAÇÃO'!$P:$P,MATCH(MEDIÇÃO!K721,'PROJETO PERFURAÇÃO'!$B:$B,0))="Pre-Splitting","S"))),"")</f>
        <v/>
      </c>
      <c r="K721" s="14">
        <f t="shared" si="70"/>
        <v>1614</v>
      </c>
      <c r="L721" s="4" t="str">
        <f>IFERROR(INDEX('LEV R&amp;D'!$D:$D,MATCH(MEDIÇÃO!K721,'LEV R&amp;D'!$A:$A,0))-INDEX('PROJETO PERFURAÇÃO'!$AH:$AH,MATCH(MEDIÇÃO!K721,'PROJETO PERFURAÇÃO'!$B:$B,0)),"")</f>
        <v/>
      </c>
      <c r="M721" s="8" t="str">
        <f>IFERROR(INDEX('PROJETO PERFURAÇÃO'!$AN:$AN,MATCH(MEDIÇÃO!K721,'PROJETO PERFURAÇÃO'!$B:$B,0)),"")</f>
        <v/>
      </c>
      <c r="N721" s="3"/>
      <c r="O721" s="3"/>
      <c r="P721" s="3" t="str">
        <f>IFERROR(ROUND(INDEX('PROJETO PERFURAÇÃO'!$AB:$AB,MATCH(MEDIÇÃO!R721,'PROJETO PERFURAÇÃO'!$B:$B,0)),1)&amp;"''","")</f>
        <v/>
      </c>
      <c r="Q721" s="3" t="str">
        <f>IFERROR(IF(INDEX('PROJETO PERFURAÇÃO'!$P:$P,MATCH(MEDIÇÃO!R721,'PROJETO PERFURAÇÃO'!$B:$B,0))="Production","P",IF(INDEX('PROJETO PERFURAÇÃO'!$P:$P,MATCH(MEDIÇÃO!R721,'PROJETO PERFURAÇÃO'!$B:$B,0))="Buffer","B",IF(INDEX('PROJETO PERFURAÇÃO'!$P:$P,MATCH(MEDIÇÃO!R721,'PROJETO PERFURAÇÃO'!$B:$B,0))="Pre-Splitting","S"))),"")</f>
        <v/>
      </c>
      <c r="R721" s="14">
        <f t="shared" si="71"/>
        <v>1637</v>
      </c>
      <c r="S721" s="4" t="str">
        <f>IFERROR(INDEX('LEV R&amp;D'!$D:$D,MATCH(MEDIÇÃO!R721,'LEV R&amp;D'!$A:$A,0))-INDEX('PROJETO PERFURAÇÃO'!$AH:$AH,MATCH(MEDIÇÃO!R721,'PROJETO PERFURAÇÃO'!$B:$B,0)),"")</f>
        <v/>
      </c>
      <c r="T721" s="8" t="str">
        <f>IFERROR(INDEX('PROJETO PERFURAÇÃO'!$AN:$AN,MATCH(MEDIÇÃO!R721,'PROJETO PERFURAÇÃO'!$B:$B,0)),"")</f>
        <v/>
      </c>
      <c r="U721" s="3"/>
      <c r="V721" s="3"/>
    </row>
    <row r="722" spans="2:22" ht="45" customHeight="1" x14ac:dyDescent="0.25">
      <c r="B722" s="3" t="str">
        <f>IFERROR(ROUND(INDEX('PROJETO PERFURAÇÃO'!$AB:$AB,MATCH(MEDIÇÃO!D722,'PROJETO PERFURAÇÃO'!$B:$B,0)),1)&amp;"''","")</f>
        <v/>
      </c>
      <c r="C722" s="3" t="str">
        <f>IFERROR(IF(INDEX('PROJETO PERFURAÇÃO'!$P:$P,MATCH(MEDIÇÃO!D722,'PROJETO PERFURAÇÃO'!$B:$B,0))="Production","P",IF(INDEX('PROJETO PERFURAÇÃO'!$P:$P,MATCH(MEDIÇÃO!D722,'PROJETO PERFURAÇÃO'!$B:$B,0))="Buffer","B",IF(INDEX('PROJETO PERFURAÇÃO'!$P:$P,MATCH(MEDIÇÃO!D722,'PROJETO PERFURAÇÃO'!$B:$B,0))="Pre-Splitting","S"))),"")</f>
        <v/>
      </c>
      <c r="D722" s="14">
        <f t="shared" si="69"/>
        <v>1592</v>
      </c>
      <c r="E722" s="4" t="str">
        <f>IFERROR(INDEX('LEV R&amp;D'!$D:$D,MATCH(MEDIÇÃO!D722,'LEV R&amp;D'!$A:$A,0))-INDEX('PROJETO PERFURAÇÃO'!$AH:$AH,MATCH(MEDIÇÃO!D722,'PROJETO PERFURAÇÃO'!$B:$B,0)),"")</f>
        <v/>
      </c>
      <c r="F722" s="8" t="str">
        <f>IFERROR(INDEX('PROJETO PERFURAÇÃO'!$AN:$AN,MATCH(MEDIÇÃO!D722,'PROJETO PERFURAÇÃO'!$B:$B,0)),"")</f>
        <v/>
      </c>
      <c r="G722" s="3"/>
      <c r="H722" s="3"/>
      <c r="I722" s="3" t="str">
        <f>IFERROR(ROUND(INDEX('PROJETO PERFURAÇÃO'!$AB:$AB,MATCH(MEDIÇÃO!K722,'PROJETO PERFURAÇÃO'!$B:$B,0)),1)&amp;"''","")</f>
        <v/>
      </c>
      <c r="J722" s="3" t="str">
        <f>IFERROR(IF(INDEX('PROJETO PERFURAÇÃO'!$P:$P,MATCH(MEDIÇÃO!K722,'PROJETO PERFURAÇÃO'!$B:$B,0))="Production","P",IF(INDEX('PROJETO PERFURAÇÃO'!$P:$P,MATCH(MEDIÇÃO!K722,'PROJETO PERFURAÇÃO'!$B:$B,0))="Buffer","B",IF(INDEX('PROJETO PERFURAÇÃO'!$P:$P,MATCH(MEDIÇÃO!K722,'PROJETO PERFURAÇÃO'!$B:$B,0))="Pre-Splitting","S"))),"")</f>
        <v/>
      </c>
      <c r="K722" s="14">
        <f t="shared" si="70"/>
        <v>1615</v>
      </c>
      <c r="L722" s="4" t="str">
        <f>IFERROR(INDEX('LEV R&amp;D'!$D:$D,MATCH(MEDIÇÃO!K722,'LEV R&amp;D'!$A:$A,0))-INDEX('PROJETO PERFURAÇÃO'!$AH:$AH,MATCH(MEDIÇÃO!K722,'PROJETO PERFURAÇÃO'!$B:$B,0)),"")</f>
        <v/>
      </c>
      <c r="M722" s="8" t="str">
        <f>IFERROR(INDEX('PROJETO PERFURAÇÃO'!$AN:$AN,MATCH(MEDIÇÃO!K722,'PROJETO PERFURAÇÃO'!$B:$B,0)),"")</f>
        <v/>
      </c>
      <c r="N722" s="3"/>
      <c r="O722" s="3"/>
      <c r="P722" s="3" t="str">
        <f>IFERROR(ROUND(INDEX('PROJETO PERFURAÇÃO'!$AB:$AB,MATCH(MEDIÇÃO!R722,'PROJETO PERFURAÇÃO'!$B:$B,0)),1)&amp;"''","")</f>
        <v/>
      </c>
      <c r="Q722" s="3" t="str">
        <f>IFERROR(IF(INDEX('PROJETO PERFURAÇÃO'!$P:$P,MATCH(MEDIÇÃO!R722,'PROJETO PERFURAÇÃO'!$B:$B,0))="Production","P",IF(INDEX('PROJETO PERFURAÇÃO'!$P:$P,MATCH(MEDIÇÃO!R722,'PROJETO PERFURAÇÃO'!$B:$B,0))="Buffer","B",IF(INDEX('PROJETO PERFURAÇÃO'!$P:$P,MATCH(MEDIÇÃO!R722,'PROJETO PERFURAÇÃO'!$B:$B,0))="Pre-Splitting","S"))),"")</f>
        <v/>
      </c>
      <c r="R722" s="14">
        <f t="shared" si="71"/>
        <v>1638</v>
      </c>
      <c r="S722" s="4" t="str">
        <f>IFERROR(INDEX('LEV R&amp;D'!$D:$D,MATCH(MEDIÇÃO!R722,'LEV R&amp;D'!$A:$A,0))-INDEX('PROJETO PERFURAÇÃO'!$AH:$AH,MATCH(MEDIÇÃO!R722,'PROJETO PERFURAÇÃO'!$B:$B,0)),"")</f>
        <v/>
      </c>
      <c r="T722" s="8" t="str">
        <f>IFERROR(INDEX('PROJETO PERFURAÇÃO'!$AN:$AN,MATCH(MEDIÇÃO!R722,'PROJETO PERFURAÇÃO'!$B:$B,0)),"")</f>
        <v/>
      </c>
      <c r="U722" s="3"/>
      <c r="V722" s="3"/>
    </row>
    <row r="723" spans="2:22" ht="45" customHeight="1" x14ac:dyDescent="0.25">
      <c r="B723" s="3" t="str">
        <f>IFERROR(ROUND(INDEX('PROJETO PERFURAÇÃO'!$AB:$AB,MATCH(MEDIÇÃO!D723,'PROJETO PERFURAÇÃO'!$B:$B,0)),1)&amp;"''","")</f>
        <v/>
      </c>
      <c r="C723" s="3" t="str">
        <f>IFERROR(IF(INDEX('PROJETO PERFURAÇÃO'!$P:$P,MATCH(MEDIÇÃO!D723,'PROJETO PERFURAÇÃO'!$B:$B,0))="Production","P",IF(INDEX('PROJETO PERFURAÇÃO'!$P:$P,MATCH(MEDIÇÃO!D723,'PROJETO PERFURAÇÃO'!$B:$B,0))="Buffer","B",IF(INDEX('PROJETO PERFURAÇÃO'!$P:$P,MATCH(MEDIÇÃO!D723,'PROJETO PERFURAÇÃO'!$B:$B,0))="Pre-Splitting","S"))),"")</f>
        <v/>
      </c>
      <c r="D723" s="14">
        <f t="shared" si="69"/>
        <v>1593</v>
      </c>
      <c r="E723" s="4" t="str">
        <f>IFERROR(INDEX('LEV R&amp;D'!$D:$D,MATCH(MEDIÇÃO!D723,'LEV R&amp;D'!$A:$A,0))-INDEX('PROJETO PERFURAÇÃO'!$AH:$AH,MATCH(MEDIÇÃO!D723,'PROJETO PERFURAÇÃO'!$B:$B,0)),"")</f>
        <v/>
      </c>
      <c r="F723" s="8" t="str">
        <f>IFERROR(INDEX('PROJETO PERFURAÇÃO'!$AN:$AN,MATCH(MEDIÇÃO!D723,'PROJETO PERFURAÇÃO'!$B:$B,0)),"")</f>
        <v/>
      </c>
      <c r="G723" s="3"/>
      <c r="H723" s="3"/>
      <c r="I723" s="3" t="str">
        <f>IFERROR(ROUND(INDEX('PROJETO PERFURAÇÃO'!$AB:$AB,MATCH(MEDIÇÃO!K723,'PROJETO PERFURAÇÃO'!$B:$B,0)),1)&amp;"''","")</f>
        <v/>
      </c>
      <c r="J723" s="3" t="str">
        <f>IFERROR(IF(INDEX('PROJETO PERFURAÇÃO'!$P:$P,MATCH(MEDIÇÃO!K723,'PROJETO PERFURAÇÃO'!$B:$B,0))="Production","P",IF(INDEX('PROJETO PERFURAÇÃO'!$P:$P,MATCH(MEDIÇÃO!K723,'PROJETO PERFURAÇÃO'!$B:$B,0))="Buffer","B",IF(INDEX('PROJETO PERFURAÇÃO'!$P:$P,MATCH(MEDIÇÃO!K723,'PROJETO PERFURAÇÃO'!$B:$B,0))="Pre-Splitting","S"))),"")</f>
        <v/>
      </c>
      <c r="K723" s="14">
        <f t="shared" si="70"/>
        <v>1616</v>
      </c>
      <c r="L723" s="4" t="str">
        <f>IFERROR(INDEX('LEV R&amp;D'!$D:$D,MATCH(MEDIÇÃO!K723,'LEV R&amp;D'!$A:$A,0))-INDEX('PROJETO PERFURAÇÃO'!$AH:$AH,MATCH(MEDIÇÃO!K723,'PROJETO PERFURAÇÃO'!$B:$B,0)),"")</f>
        <v/>
      </c>
      <c r="M723" s="8" t="str">
        <f>IFERROR(INDEX('PROJETO PERFURAÇÃO'!$AN:$AN,MATCH(MEDIÇÃO!K723,'PROJETO PERFURAÇÃO'!$B:$B,0)),"")</f>
        <v/>
      </c>
      <c r="N723" s="3"/>
      <c r="O723" s="3"/>
      <c r="P723" s="3" t="str">
        <f>IFERROR(ROUND(INDEX('PROJETO PERFURAÇÃO'!$AB:$AB,MATCH(MEDIÇÃO!R723,'PROJETO PERFURAÇÃO'!$B:$B,0)),1)&amp;"''","")</f>
        <v/>
      </c>
      <c r="Q723" s="3" t="str">
        <f>IFERROR(IF(INDEX('PROJETO PERFURAÇÃO'!$P:$P,MATCH(MEDIÇÃO!R723,'PROJETO PERFURAÇÃO'!$B:$B,0))="Production","P",IF(INDEX('PROJETO PERFURAÇÃO'!$P:$P,MATCH(MEDIÇÃO!R723,'PROJETO PERFURAÇÃO'!$B:$B,0))="Buffer","B",IF(INDEX('PROJETO PERFURAÇÃO'!$P:$P,MATCH(MEDIÇÃO!R723,'PROJETO PERFURAÇÃO'!$B:$B,0))="Pre-Splitting","S"))),"")</f>
        <v/>
      </c>
      <c r="R723" s="14">
        <f t="shared" si="71"/>
        <v>1639</v>
      </c>
      <c r="S723" s="4" t="str">
        <f>IFERROR(INDEX('LEV R&amp;D'!$D:$D,MATCH(MEDIÇÃO!R723,'LEV R&amp;D'!$A:$A,0))-INDEX('PROJETO PERFURAÇÃO'!$AH:$AH,MATCH(MEDIÇÃO!R723,'PROJETO PERFURAÇÃO'!$B:$B,0)),"")</f>
        <v/>
      </c>
      <c r="T723" s="8" t="str">
        <f>IFERROR(INDEX('PROJETO PERFURAÇÃO'!$AN:$AN,MATCH(MEDIÇÃO!R723,'PROJETO PERFURAÇÃO'!$B:$B,0)),"")</f>
        <v/>
      </c>
      <c r="U723" s="3"/>
      <c r="V723" s="3"/>
    </row>
    <row r="724" spans="2:22" ht="45" customHeight="1" x14ac:dyDescent="0.25">
      <c r="B724" s="3" t="str">
        <f>IFERROR(ROUND(INDEX('PROJETO PERFURAÇÃO'!$AB:$AB,MATCH(MEDIÇÃO!D724,'PROJETO PERFURAÇÃO'!$B:$B,0)),1)&amp;"''","")</f>
        <v/>
      </c>
      <c r="C724" s="3" t="str">
        <f>IFERROR(IF(INDEX('PROJETO PERFURAÇÃO'!$P:$P,MATCH(MEDIÇÃO!D724,'PROJETO PERFURAÇÃO'!$B:$B,0))="Production","P",IF(INDEX('PROJETO PERFURAÇÃO'!$P:$P,MATCH(MEDIÇÃO!D724,'PROJETO PERFURAÇÃO'!$B:$B,0))="Buffer","B",IF(INDEX('PROJETO PERFURAÇÃO'!$P:$P,MATCH(MEDIÇÃO!D724,'PROJETO PERFURAÇÃO'!$B:$B,0))="Pre-Splitting","S"))),"")</f>
        <v/>
      </c>
      <c r="D724" s="14">
        <f t="shared" si="69"/>
        <v>1594</v>
      </c>
      <c r="E724" s="4" t="str">
        <f>IFERROR(INDEX('LEV R&amp;D'!$D:$D,MATCH(MEDIÇÃO!D724,'LEV R&amp;D'!$A:$A,0))-INDEX('PROJETO PERFURAÇÃO'!$AH:$AH,MATCH(MEDIÇÃO!D724,'PROJETO PERFURAÇÃO'!$B:$B,0)),"")</f>
        <v/>
      </c>
      <c r="F724" s="8" t="str">
        <f>IFERROR(INDEX('PROJETO PERFURAÇÃO'!$AN:$AN,MATCH(MEDIÇÃO!D724,'PROJETO PERFURAÇÃO'!$B:$B,0)),"")</f>
        <v/>
      </c>
      <c r="G724" s="3"/>
      <c r="H724" s="3"/>
      <c r="I724" s="3" t="str">
        <f>IFERROR(ROUND(INDEX('PROJETO PERFURAÇÃO'!$AB:$AB,MATCH(MEDIÇÃO!K724,'PROJETO PERFURAÇÃO'!$B:$B,0)),1)&amp;"''","")</f>
        <v/>
      </c>
      <c r="J724" s="3" t="str">
        <f>IFERROR(IF(INDEX('PROJETO PERFURAÇÃO'!$P:$P,MATCH(MEDIÇÃO!K724,'PROJETO PERFURAÇÃO'!$B:$B,0))="Production","P",IF(INDEX('PROJETO PERFURAÇÃO'!$P:$P,MATCH(MEDIÇÃO!K724,'PROJETO PERFURAÇÃO'!$B:$B,0))="Buffer","B",IF(INDEX('PROJETO PERFURAÇÃO'!$P:$P,MATCH(MEDIÇÃO!K724,'PROJETO PERFURAÇÃO'!$B:$B,0))="Pre-Splitting","S"))),"")</f>
        <v/>
      </c>
      <c r="K724" s="14">
        <f t="shared" si="70"/>
        <v>1617</v>
      </c>
      <c r="L724" s="4" t="str">
        <f>IFERROR(INDEX('LEV R&amp;D'!$D:$D,MATCH(MEDIÇÃO!K724,'LEV R&amp;D'!$A:$A,0))-INDEX('PROJETO PERFURAÇÃO'!$AH:$AH,MATCH(MEDIÇÃO!K724,'PROJETO PERFURAÇÃO'!$B:$B,0)),"")</f>
        <v/>
      </c>
      <c r="M724" s="8" t="str">
        <f>IFERROR(INDEX('PROJETO PERFURAÇÃO'!$AN:$AN,MATCH(MEDIÇÃO!K724,'PROJETO PERFURAÇÃO'!$B:$B,0)),"")</f>
        <v/>
      </c>
      <c r="N724" s="3"/>
      <c r="O724" s="3"/>
      <c r="P724" s="3" t="str">
        <f>IFERROR(ROUND(INDEX('PROJETO PERFURAÇÃO'!$AB:$AB,MATCH(MEDIÇÃO!R724,'PROJETO PERFURAÇÃO'!$B:$B,0)),1)&amp;"''","")</f>
        <v/>
      </c>
      <c r="Q724" s="3" t="str">
        <f>IFERROR(IF(INDEX('PROJETO PERFURAÇÃO'!$P:$P,MATCH(MEDIÇÃO!R724,'PROJETO PERFURAÇÃO'!$B:$B,0))="Production","P",IF(INDEX('PROJETO PERFURAÇÃO'!$P:$P,MATCH(MEDIÇÃO!R724,'PROJETO PERFURAÇÃO'!$B:$B,0))="Buffer","B",IF(INDEX('PROJETO PERFURAÇÃO'!$P:$P,MATCH(MEDIÇÃO!R724,'PROJETO PERFURAÇÃO'!$B:$B,0))="Pre-Splitting","S"))),"")</f>
        <v/>
      </c>
      <c r="R724" s="14">
        <f t="shared" si="71"/>
        <v>1640</v>
      </c>
      <c r="S724" s="4" t="str">
        <f>IFERROR(INDEX('LEV R&amp;D'!$D:$D,MATCH(MEDIÇÃO!R724,'LEV R&amp;D'!$A:$A,0))-INDEX('PROJETO PERFURAÇÃO'!$AH:$AH,MATCH(MEDIÇÃO!R724,'PROJETO PERFURAÇÃO'!$B:$B,0)),"")</f>
        <v/>
      </c>
      <c r="T724" s="8" t="str">
        <f>IFERROR(INDEX('PROJETO PERFURAÇÃO'!$AN:$AN,MATCH(MEDIÇÃO!R724,'PROJETO PERFURAÇÃO'!$B:$B,0)),"")</f>
        <v/>
      </c>
      <c r="U724" s="3"/>
      <c r="V724" s="3"/>
    </row>
    <row r="725" spans="2:22" ht="45" customHeight="1" x14ac:dyDescent="0.25">
      <c r="B725" s="3" t="str">
        <f>IFERROR(ROUND(INDEX('PROJETO PERFURAÇÃO'!$AB:$AB,MATCH(MEDIÇÃO!D725,'PROJETO PERFURAÇÃO'!$B:$B,0)),1)&amp;"''","")</f>
        <v/>
      </c>
      <c r="C725" s="3" t="str">
        <f>IFERROR(IF(INDEX('PROJETO PERFURAÇÃO'!$P:$P,MATCH(MEDIÇÃO!D725,'PROJETO PERFURAÇÃO'!$B:$B,0))="Production","P",IF(INDEX('PROJETO PERFURAÇÃO'!$P:$P,MATCH(MEDIÇÃO!D725,'PROJETO PERFURAÇÃO'!$B:$B,0))="Buffer","B",IF(INDEX('PROJETO PERFURAÇÃO'!$P:$P,MATCH(MEDIÇÃO!D725,'PROJETO PERFURAÇÃO'!$B:$B,0))="Pre-Splitting","S"))),"")</f>
        <v/>
      </c>
      <c r="D725" s="14">
        <f t="shared" si="69"/>
        <v>1595</v>
      </c>
      <c r="E725" s="4" t="str">
        <f>IFERROR(INDEX('LEV R&amp;D'!$D:$D,MATCH(MEDIÇÃO!D725,'LEV R&amp;D'!$A:$A,0))-INDEX('PROJETO PERFURAÇÃO'!$AH:$AH,MATCH(MEDIÇÃO!D725,'PROJETO PERFURAÇÃO'!$B:$B,0)),"")</f>
        <v/>
      </c>
      <c r="F725" s="8" t="str">
        <f>IFERROR(INDEX('PROJETO PERFURAÇÃO'!$AN:$AN,MATCH(MEDIÇÃO!D725,'PROJETO PERFURAÇÃO'!$B:$B,0)),"")</f>
        <v/>
      </c>
      <c r="G725" s="3"/>
      <c r="H725" s="3"/>
      <c r="I725" s="3" t="str">
        <f>IFERROR(ROUND(INDEX('PROJETO PERFURAÇÃO'!$AB:$AB,MATCH(MEDIÇÃO!K725,'PROJETO PERFURAÇÃO'!$B:$B,0)),1)&amp;"''","")</f>
        <v/>
      </c>
      <c r="J725" s="3" t="str">
        <f>IFERROR(IF(INDEX('PROJETO PERFURAÇÃO'!$P:$P,MATCH(MEDIÇÃO!K725,'PROJETO PERFURAÇÃO'!$B:$B,0))="Production","P",IF(INDEX('PROJETO PERFURAÇÃO'!$P:$P,MATCH(MEDIÇÃO!K725,'PROJETO PERFURAÇÃO'!$B:$B,0))="Buffer","B",IF(INDEX('PROJETO PERFURAÇÃO'!$P:$P,MATCH(MEDIÇÃO!K725,'PROJETO PERFURAÇÃO'!$B:$B,0))="Pre-Splitting","S"))),"")</f>
        <v/>
      </c>
      <c r="K725" s="14">
        <f t="shared" si="70"/>
        <v>1618</v>
      </c>
      <c r="L725" s="4" t="str">
        <f>IFERROR(INDEX('LEV R&amp;D'!$D:$D,MATCH(MEDIÇÃO!K725,'LEV R&amp;D'!$A:$A,0))-INDEX('PROJETO PERFURAÇÃO'!$AH:$AH,MATCH(MEDIÇÃO!K725,'PROJETO PERFURAÇÃO'!$B:$B,0)),"")</f>
        <v/>
      </c>
      <c r="M725" s="8" t="str">
        <f>IFERROR(INDEX('PROJETO PERFURAÇÃO'!$AN:$AN,MATCH(MEDIÇÃO!K725,'PROJETO PERFURAÇÃO'!$B:$B,0)),"")</f>
        <v/>
      </c>
      <c r="N725" s="3"/>
      <c r="O725" s="3"/>
      <c r="P725" s="3" t="str">
        <f>IFERROR(ROUND(INDEX('PROJETO PERFURAÇÃO'!$AB:$AB,MATCH(MEDIÇÃO!R725,'PROJETO PERFURAÇÃO'!$B:$B,0)),1)&amp;"''","")</f>
        <v/>
      </c>
      <c r="Q725" s="3" t="str">
        <f>IFERROR(IF(INDEX('PROJETO PERFURAÇÃO'!$P:$P,MATCH(MEDIÇÃO!R725,'PROJETO PERFURAÇÃO'!$B:$B,0))="Production","P",IF(INDEX('PROJETO PERFURAÇÃO'!$P:$P,MATCH(MEDIÇÃO!R725,'PROJETO PERFURAÇÃO'!$B:$B,0))="Buffer","B",IF(INDEX('PROJETO PERFURAÇÃO'!$P:$P,MATCH(MEDIÇÃO!R725,'PROJETO PERFURAÇÃO'!$B:$B,0))="Pre-Splitting","S"))),"")</f>
        <v/>
      </c>
      <c r="R725" s="14">
        <f t="shared" si="71"/>
        <v>1641</v>
      </c>
      <c r="S725" s="4" t="str">
        <f>IFERROR(INDEX('LEV R&amp;D'!$D:$D,MATCH(MEDIÇÃO!R725,'LEV R&amp;D'!$A:$A,0))-INDEX('PROJETO PERFURAÇÃO'!$AH:$AH,MATCH(MEDIÇÃO!R725,'PROJETO PERFURAÇÃO'!$B:$B,0)),"")</f>
        <v/>
      </c>
      <c r="T725" s="8" t="str">
        <f>IFERROR(INDEX('PROJETO PERFURAÇÃO'!$AN:$AN,MATCH(MEDIÇÃO!R725,'PROJETO PERFURAÇÃO'!$B:$B,0)),"")</f>
        <v/>
      </c>
      <c r="U725" s="3"/>
      <c r="V725" s="3"/>
    </row>
    <row r="726" spans="2:22" ht="45" customHeight="1" x14ac:dyDescent="0.25">
      <c r="B726" s="3" t="str">
        <f>IFERROR(ROUND(INDEX('PROJETO PERFURAÇÃO'!$AB:$AB,MATCH(MEDIÇÃO!D726,'PROJETO PERFURAÇÃO'!$B:$B,0)),1)&amp;"''","")</f>
        <v/>
      </c>
      <c r="C726" s="3" t="str">
        <f>IFERROR(IF(INDEX('PROJETO PERFURAÇÃO'!$P:$P,MATCH(MEDIÇÃO!D726,'PROJETO PERFURAÇÃO'!$B:$B,0))="Production","P",IF(INDEX('PROJETO PERFURAÇÃO'!$P:$P,MATCH(MEDIÇÃO!D726,'PROJETO PERFURAÇÃO'!$B:$B,0))="Buffer","B",IF(INDEX('PROJETO PERFURAÇÃO'!$P:$P,MATCH(MEDIÇÃO!D726,'PROJETO PERFURAÇÃO'!$B:$B,0))="Pre-Splitting","S"))),"")</f>
        <v/>
      </c>
      <c r="D726" s="14">
        <f t="shared" si="69"/>
        <v>1596</v>
      </c>
      <c r="E726" s="4" t="str">
        <f>IFERROR(INDEX('LEV R&amp;D'!$D:$D,MATCH(MEDIÇÃO!D726,'LEV R&amp;D'!$A:$A,0))-INDEX('PROJETO PERFURAÇÃO'!$AH:$AH,MATCH(MEDIÇÃO!D726,'PROJETO PERFURAÇÃO'!$B:$B,0)),"")</f>
        <v/>
      </c>
      <c r="F726" s="8" t="str">
        <f>IFERROR(INDEX('PROJETO PERFURAÇÃO'!$AN:$AN,MATCH(MEDIÇÃO!D726,'PROJETO PERFURAÇÃO'!$B:$B,0)),"")</f>
        <v/>
      </c>
      <c r="G726" s="3"/>
      <c r="H726" s="3"/>
      <c r="I726" s="3" t="str">
        <f>IFERROR(ROUND(INDEX('PROJETO PERFURAÇÃO'!$AB:$AB,MATCH(MEDIÇÃO!K726,'PROJETO PERFURAÇÃO'!$B:$B,0)),1)&amp;"''","")</f>
        <v/>
      </c>
      <c r="J726" s="3" t="str">
        <f>IFERROR(IF(INDEX('PROJETO PERFURAÇÃO'!$P:$P,MATCH(MEDIÇÃO!K726,'PROJETO PERFURAÇÃO'!$B:$B,0))="Production","P",IF(INDEX('PROJETO PERFURAÇÃO'!$P:$P,MATCH(MEDIÇÃO!K726,'PROJETO PERFURAÇÃO'!$B:$B,0))="Buffer","B",IF(INDEX('PROJETO PERFURAÇÃO'!$P:$P,MATCH(MEDIÇÃO!K726,'PROJETO PERFURAÇÃO'!$B:$B,0))="Pre-Splitting","S"))),"")</f>
        <v/>
      </c>
      <c r="K726" s="14">
        <f t="shared" si="70"/>
        <v>1619</v>
      </c>
      <c r="L726" s="4" t="str">
        <f>IFERROR(INDEX('LEV R&amp;D'!$D:$D,MATCH(MEDIÇÃO!K726,'LEV R&amp;D'!$A:$A,0))-INDEX('PROJETO PERFURAÇÃO'!$AH:$AH,MATCH(MEDIÇÃO!K726,'PROJETO PERFURAÇÃO'!$B:$B,0)),"")</f>
        <v/>
      </c>
      <c r="M726" s="8" t="str">
        <f>IFERROR(INDEX('PROJETO PERFURAÇÃO'!$AN:$AN,MATCH(MEDIÇÃO!K726,'PROJETO PERFURAÇÃO'!$B:$B,0)),"")</f>
        <v/>
      </c>
      <c r="N726" s="3"/>
      <c r="O726" s="3"/>
      <c r="P726" s="3" t="str">
        <f>IFERROR(ROUND(INDEX('PROJETO PERFURAÇÃO'!$AB:$AB,MATCH(MEDIÇÃO!R726,'PROJETO PERFURAÇÃO'!$B:$B,0)),1)&amp;"''","")</f>
        <v/>
      </c>
      <c r="Q726" s="3" t="str">
        <f>IFERROR(IF(INDEX('PROJETO PERFURAÇÃO'!$P:$P,MATCH(MEDIÇÃO!R726,'PROJETO PERFURAÇÃO'!$B:$B,0))="Production","P",IF(INDEX('PROJETO PERFURAÇÃO'!$P:$P,MATCH(MEDIÇÃO!R726,'PROJETO PERFURAÇÃO'!$B:$B,0))="Buffer","B",IF(INDEX('PROJETO PERFURAÇÃO'!$P:$P,MATCH(MEDIÇÃO!R726,'PROJETO PERFURAÇÃO'!$B:$B,0))="Pre-Splitting","S"))),"")</f>
        <v/>
      </c>
      <c r="R726" s="14">
        <f t="shared" si="71"/>
        <v>1642</v>
      </c>
      <c r="S726" s="4" t="str">
        <f>IFERROR(INDEX('LEV R&amp;D'!$D:$D,MATCH(MEDIÇÃO!R726,'LEV R&amp;D'!$A:$A,0))-INDEX('PROJETO PERFURAÇÃO'!$AH:$AH,MATCH(MEDIÇÃO!R726,'PROJETO PERFURAÇÃO'!$B:$B,0)),"")</f>
        <v/>
      </c>
      <c r="T726" s="8" t="str">
        <f>IFERROR(INDEX('PROJETO PERFURAÇÃO'!$AN:$AN,MATCH(MEDIÇÃO!R726,'PROJETO PERFURAÇÃO'!$B:$B,0)),"")</f>
        <v/>
      </c>
      <c r="U726" s="3"/>
      <c r="V726" s="3"/>
    </row>
    <row r="727" spans="2:22" ht="45" customHeight="1" x14ac:dyDescent="0.25">
      <c r="B727" s="3" t="str">
        <f>IFERROR(ROUND(INDEX('PROJETO PERFURAÇÃO'!$AB:$AB,MATCH(MEDIÇÃO!D727,'PROJETO PERFURAÇÃO'!$B:$B,0)),1)&amp;"''","")</f>
        <v/>
      </c>
      <c r="C727" s="3" t="str">
        <f>IFERROR(IF(INDEX('PROJETO PERFURAÇÃO'!$P:$P,MATCH(MEDIÇÃO!D727,'PROJETO PERFURAÇÃO'!$B:$B,0))="Production","P",IF(INDEX('PROJETO PERFURAÇÃO'!$P:$P,MATCH(MEDIÇÃO!D727,'PROJETO PERFURAÇÃO'!$B:$B,0))="Buffer","B",IF(INDEX('PROJETO PERFURAÇÃO'!$P:$P,MATCH(MEDIÇÃO!D727,'PROJETO PERFURAÇÃO'!$B:$B,0))="Pre-Splitting","S"))),"")</f>
        <v/>
      </c>
      <c r="D727" s="14">
        <f t="shared" si="69"/>
        <v>1597</v>
      </c>
      <c r="E727" s="4" t="str">
        <f>IFERROR(INDEX('LEV R&amp;D'!$D:$D,MATCH(MEDIÇÃO!D727,'LEV R&amp;D'!$A:$A,0))-INDEX('PROJETO PERFURAÇÃO'!$AH:$AH,MATCH(MEDIÇÃO!D727,'PROJETO PERFURAÇÃO'!$B:$B,0)),"")</f>
        <v/>
      </c>
      <c r="F727" s="8" t="str">
        <f>IFERROR(INDEX('PROJETO PERFURAÇÃO'!$AN:$AN,MATCH(MEDIÇÃO!D727,'PROJETO PERFURAÇÃO'!$B:$B,0)),"")</f>
        <v/>
      </c>
      <c r="G727" s="3"/>
      <c r="H727" s="3"/>
      <c r="I727" s="3" t="str">
        <f>IFERROR(ROUND(INDEX('PROJETO PERFURAÇÃO'!$AB:$AB,MATCH(MEDIÇÃO!K727,'PROJETO PERFURAÇÃO'!$B:$B,0)),1)&amp;"''","")</f>
        <v/>
      </c>
      <c r="J727" s="3" t="str">
        <f>IFERROR(IF(INDEX('PROJETO PERFURAÇÃO'!$P:$P,MATCH(MEDIÇÃO!K727,'PROJETO PERFURAÇÃO'!$B:$B,0))="Production","P",IF(INDEX('PROJETO PERFURAÇÃO'!$P:$P,MATCH(MEDIÇÃO!K727,'PROJETO PERFURAÇÃO'!$B:$B,0))="Buffer","B",IF(INDEX('PROJETO PERFURAÇÃO'!$P:$P,MATCH(MEDIÇÃO!K727,'PROJETO PERFURAÇÃO'!$B:$B,0))="Pre-Splitting","S"))),"")</f>
        <v/>
      </c>
      <c r="K727" s="14">
        <f t="shared" si="70"/>
        <v>1620</v>
      </c>
      <c r="L727" s="4" t="str">
        <f>IFERROR(INDEX('LEV R&amp;D'!$D:$D,MATCH(MEDIÇÃO!K727,'LEV R&amp;D'!$A:$A,0))-INDEX('PROJETO PERFURAÇÃO'!$AH:$AH,MATCH(MEDIÇÃO!K727,'PROJETO PERFURAÇÃO'!$B:$B,0)),"")</f>
        <v/>
      </c>
      <c r="M727" s="8" t="str">
        <f>IFERROR(INDEX('PROJETO PERFURAÇÃO'!$AN:$AN,MATCH(MEDIÇÃO!K727,'PROJETO PERFURAÇÃO'!$B:$B,0)),"")</f>
        <v/>
      </c>
      <c r="N727" s="3"/>
      <c r="O727" s="3"/>
      <c r="P727" s="3" t="str">
        <f>IFERROR(ROUND(INDEX('PROJETO PERFURAÇÃO'!$AB:$AB,MATCH(MEDIÇÃO!R727,'PROJETO PERFURAÇÃO'!$B:$B,0)),1)&amp;"''","")</f>
        <v/>
      </c>
      <c r="Q727" s="3" t="str">
        <f>IFERROR(IF(INDEX('PROJETO PERFURAÇÃO'!$P:$P,MATCH(MEDIÇÃO!R727,'PROJETO PERFURAÇÃO'!$B:$B,0))="Production","P",IF(INDEX('PROJETO PERFURAÇÃO'!$P:$P,MATCH(MEDIÇÃO!R727,'PROJETO PERFURAÇÃO'!$B:$B,0))="Buffer","B",IF(INDEX('PROJETO PERFURAÇÃO'!$P:$P,MATCH(MEDIÇÃO!R727,'PROJETO PERFURAÇÃO'!$B:$B,0))="Pre-Splitting","S"))),"")</f>
        <v/>
      </c>
      <c r="R727" s="14">
        <f t="shared" si="71"/>
        <v>1643</v>
      </c>
      <c r="S727" s="4" t="str">
        <f>IFERROR(INDEX('LEV R&amp;D'!$D:$D,MATCH(MEDIÇÃO!R727,'LEV R&amp;D'!$A:$A,0))-INDEX('PROJETO PERFURAÇÃO'!$AH:$AH,MATCH(MEDIÇÃO!R727,'PROJETO PERFURAÇÃO'!$B:$B,0)),"")</f>
        <v/>
      </c>
      <c r="T727" s="8" t="str">
        <f>IFERROR(INDEX('PROJETO PERFURAÇÃO'!$AN:$AN,MATCH(MEDIÇÃO!R727,'PROJETO PERFURAÇÃO'!$B:$B,0)),"")</f>
        <v/>
      </c>
      <c r="U727" s="3"/>
      <c r="V727" s="3"/>
    </row>
    <row r="728" spans="2:22" ht="45" customHeight="1" x14ac:dyDescent="0.25">
      <c r="B728" s="3" t="str">
        <f>IFERROR(ROUND(INDEX('PROJETO PERFURAÇÃO'!$AB:$AB,MATCH(MEDIÇÃO!D728,'PROJETO PERFURAÇÃO'!$B:$B,0)),1)&amp;"''","")</f>
        <v/>
      </c>
      <c r="C728" s="3" t="str">
        <f>IFERROR(IF(INDEX('PROJETO PERFURAÇÃO'!$P:$P,MATCH(MEDIÇÃO!D728,'PROJETO PERFURAÇÃO'!$B:$B,0))="Production","P",IF(INDEX('PROJETO PERFURAÇÃO'!$P:$P,MATCH(MEDIÇÃO!D728,'PROJETO PERFURAÇÃO'!$B:$B,0))="Buffer","B",IF(INDEX('PROJETO PERFURAÇÃO'!$P:$P,MATCH(MEDIÇÃO!D728,'PROJETO PERFURAÇÃO'!$B:$B,0))="Pre-Splitting","S"))),"")</f>
        <v/>
      </c>
      <c r="D728" s="14">
        <f t="shared" si="69"/>
        <v>1598</v>
      </c>
      <c r="E728" s="4" t="str">
        <f>IFERROR(INDEX('LEV R&amp;D'!$D:$D,MATCH(MEDIÇÃO!D728,'LEV R&amp;D'!$A:$A,0))-INDEX('PROJETO PERFURAÇÃO'!$AH:$AH,MATCH(MEDIÇÃO!D728,'PROJETO PERFURAÇÃO'!$B:$B,0)),"")</f>
        <v/>
      </c>
      <c r="F728" s="8" t="str">
        <f>IFERROR(INDEX('PROJETO PERFURAÇÃO'!$AN:$AN,MATCH(MEDIÇÃO!D728,'PROJETO PERFURAÇÃO'!$B:$B,0)),"")</f>
        <v/>
      </c>
      <c r="G728" s="3"/>
      <c r="H728" s="3"/>
      <c r="I728" s="3" t="str">
        <f>IFERROR(ROUND(INDEX('PROJETO PERFURAÇÃO'!$AB:$AB,MATCH(MEDIÇÃO!K728,'PROJETO PERFURAÇÃO'!$B:$B,0)),1)&amp;"''","")</f>
        <v/>
      </c>
      <c r="J728" s="3" t="str">
        <f>IFERROR(IF(INDEX('PROJETO PERFURAÇÃO'!$P:$P,MATCH(MEDIÇÃO!K728,'PROJETO PERFURAÇÃO'!$B:$B,0))="Production","P",IF(INDEX('PROJETO PERFURAÇÃO'!$P:$P,MATCH(MEDIÇÃO!K728,'PROJETO PERFURAÇÃO'!$B:$B,0))="Buffer","B",IF(INDEX('PROJETO PERFURAÇÃO'!$P:$P,MATCH(MEDIÇÃO!K728,'PROJETO PERFURAÇÃO'!$B:$B,0))="Pre-Splitting","S"))),"")</f>
        <v/>
      </c>
      <c r="K728" s="14">
        <f t="shared" si="70"/>
        <v>1621</v>
      </c>
      <c r="L728" s="4" t="str">
        <f>IFERROR(INDEX('LEV R&amp;D'!$D:$D,MATCH(MEDIÇÃO!K728,'LEV R&amp;D'!$A:$A,0))-INDEX('PROJETO PERFURAÇÃO'!$AH:$AH,MATCH(MEDIÇÃO!K728,'PROJETO PERFURAÇÃO'!$B:$B,0)),"")</f>
        <v/>
      </c>
      <c r="M728" s="8" t="str">
        <f>IFERROR(INDEX('PROJETO PERFURAÇÃO'!$AN:$AN,MATCH(MEDIÇÃO!K728,'PROJETO PERFURAÇÃO'!$B:$B,0)),"")</f>
        <v/>
      </c>
      <c r="N728" s="3"/>
      <c r="O728" s="3"/>
      <c r="P728" s="3" t="str">
        <f>IFERROR(ROUND(INDEX('PROJETO PERFURAÇÃO'!$AB:$AB,MATCH(MEDIÇÃO!R728,'PROJETO PERFURAÇÃO'!$B:$B,0)),1)&amp;"''","")</f>
        <v/>
      </c>
      <c r="Q728" s="3" t="str">
        <f>IFERROR(IF(INDEX('PROJETO PERFURAÇÃO'!$P:$P,MATCH(MEDIÇÃO!R728,'PROJETO PERFURAÇÃO'!$B:$B,0))="Production","P",IF(INDEX('PROJETO PERFURAÇÃO'!$P:$P,MATCH(MEDIÇÃO!R728,'PROJETO PERFURAÇÃO'!$B:$B,0))="Buffer","B",IF(INDEX('PROJETO PERFURAÇÃO'!$P:$P,MATCH(MEDIÇÃO!R728,'PROJETO PERFURAÇÃO'!$B:$B,0))="Pre-Splitting","S"))),"")</f>
        <v/>
      </c>
      <c r="R728" s="14">
        <f t="shared" si="71"/>
        <v>1644</v>
      </c>
      <c r="S728" s="4" t="str">
        <f>IFERROR(INDEX('LEV R&amp;D'!$D:$D,MATCH(MEDIÇÃO!R728,'LEV R&amp;D'!$A:$A,0))-INDEX('PROJETO PERFURAÇÃO'!$AH:$AH,MATCH(MEDIÇÃO!R728,'PROJETO PERFURAÇÃO'!$B:$B,0)),"")</f>
        <v/>
      </c>
      <c r="T728" s="8" t="str">
        <f>IFERROR(INDEX('PROJETO PERFURAÇÃO'!$AN:$AN,MATCH(MEDIÇÃO!R728,'PROJETO PERFURAÇÃO'!$B:$B,0)),"")</f>
        <v/>
      </c>
      <c r="U728" s="3"/>
      <c r="V728" s="3"/>
    </row>
    <row r="729" spans="2:22" ht="45" customHeight="1" x14ac:dyDescent="0.25">
      <c r="B729" s="3" t="str">
        <f>IFERROR(ROUND(INDEX('PROJETO PERFURAÇÃO'!$AB:$AB,MATCH(MEDIÇÃO!D729,'PROJETO PERFURAÇÃO'!$B:$B,0)),1)&amp;"''","")</f>
        <v/>
      </c>
      <c r="C729" s="3" t="str">
        <f>IFERROR(IF(INDEX('PROJETO PERFURAÇÃO'!$P:$P,MATCH(MEDIÇÃO!D729,'PROJETO PERFURAÇÃO'!$B:$B,0))="Production","P",IF(INDEX('PROJETO PERFURAÇÃO'!$P:$P,MATCH(MEDIÇÃO!D729,'PROJETO PERFURAÇÃO'!$B:$B,0))="Buffer","B",IF(INDEX('PROJETO PERFURAÇÃO'!$P:$P,MATCH(MEDIÇÃO!D729,'PROJETO PERFURAÇÃO'!$B:$B,0))="Pre-Splitting","S"))),"")</f>
        <v/>
      </c>
      <c r="D729" s="14">
        <f t="shared" si="69"/>
        <v>1599</v>
      </c>
      <c r="E729" s="4" t="str">
        <f>IFERROR(INDEX('LEV R&amp;D'!$D:$D,MATCH(MEDIÇÃO!D729,'LEV R&amp;D'!$A:$A,0))-INDEX('PROJETO PERFURAÇÃO'!$AH:$AH,MATCH(MEDIÇÃO!D729,'PROJETO PERFURAÇÃO'!$B:$B,0)),"")</f>
        <v/>
      </c>
      <c r="F729" s="8" t="str">
        <f>IFERROR(INDEX('PROJETO PERFURAÇÃO'!$AN:$AN,MATCH(MEDIÇÃO!D729,'PROJETO PERFURAÇÃO'!$B:$B,0)),"")</f>
        <v/>
      </c>
      <c r="G729" s="3"/>
      <c r="H729" s="3"/>
      <c r="I729" s="3" t="str">
        <f>IFERROR(ROUND(INDEX('PROJETO PERFURAÇÃO'!$AB:$AB,MATCH(MEDIÇÃO!K729,'PROJETO PERFURAÇÃO'!$B:$B,0)),1)&amp;"''","")</f>
        <v/>
      </c>
      <c r="J729" s="3" t="str">
        <f>IFERROR(IF(INDEX('PROJETO PERFURAÇÃO'!$P:$P,MATCH(MEDIÇÃO!K729,'PROJETO PERFURAÇÃO'!$B:$B,0))="Production","P",IF(INDEX('PROJETO PERFURAÇÃO'!$P:$P,MATCH(MEDIÇÃO!K729,'PROJETO PERFURAÇÃO'!$B:$B,0))="Buffer","B",IF(INDEX('PROJETO PERFURAÇÃO'!$P:$P,MATCH(MEDIÇÃO!K729,'PROJETO PERFURAÇÃO'!$B:$B,0))="Pre-Splitting","S"))),"")</f>
        <v/>
      </c>
      <c r="K729" s="14">
        <f t="shared" si="70"/>
        <v>1622</v>
      </c>
      <c r="L729" s="4" t="str">
        <f>IFERROR(INDEX('LEV R&amp;D'!$D:$D,MATCH(MEDIÇÃO!K729,'LEV R&amp;D'!$A:$A,0))-INDEX('PROJETO PERFURAÇÃO'!$AH:$AH,MATCH(MEDIÇÃO!K729,'PROJETO PERFURAÇÃO'!$B:$B,0)),"")</f>
        <v/>
      </c>
      <c r="M729" s="8" t="str">
        <f>IFERROR(INDEX('PROJETO PERFURAÇÃO'!$AN:$AN,MATCH(MEDIÇÃO!K729,'PROJETO PERFURAÇÃO'!$B:$B,0)),"")</f>
        <v/>
      </c>
      <c r="N729" s="3"/>
      <c r="O729" s="3"/>
      <c r="P729" s="3" t="str">
        <f>IFERROR(ROUND(INDEX('PROJETO PERFURAÇÃO'!$AB:$AB,MATCH(MEDIÇÃO!R729,'PROJETO PERFURAÇÃO'!$B:$B,0)),1)&amp;"''","")</f>
        <v/>
      </c>
      <c r="Q729" s="3" t="str">
        <f>IFERROR(IF(INDEX('PROJETO PERFURAÇÃO'!$P:$P,MATCH(MEDIÇÃO!R729,'PROJETO PERFURAÇÃO'!$B:$B,0))="Production","P",IF(INDEX('PROJETO PERFURAÇÃO'!$P:$P,MATCH(MEDIÇÃO!R729,'PROJETO PERFURAÇÃO'!$B:$B,0))="Buffer","B",IF(INDEX('PROJETO PERFURAÇÃO'!$P:$P,MATCH(MEDIÇÃO!R729,'PROJETO PERFURAÇÃO'!$B:$B,0))="Pre-Splitting","S"))),"")</f>
        <v/>
      </c>
      <c r="R729" s="14">
        <f t="shared" si="71"/>
        <v>1645</v>
      </c>
      <c r="S729" s="4" t="str">
        <f>IFERROR(INDEX('LEV R&amp;D'!$D:$D,MATCH(MEDIÇÃO!R729,'LEV R&amp;D'!$A:$A,0))-INDEX('PROJETO PERFURAÇÃO'!$AH:$AH,MATCH(MEDIÇÃO!R729,'PROJETO PERFURAÇÃO'!$B:$B,0)),"")</f>
        <v/>
      </c>
      <c r="T729" s="8" t="str">
        <f>IFERROR(INDEX('PROJETO PERFURAÇÃO'!$AN:$AN,MATCH(MEDIÇÃO!R729,'PROJETO PERFURAÇÃO'!$B:$B,0)),"")</f>
        <v/>
      </c>
      <c r="U729" s="3"/>
      <c r="V729" s="3"/>
    </row>
    <row r="730" spans="2:22" ht="45" customHeight="1" x14ac:dyDescent="0.25">
      <c r="B730" s="3" t="str">
        <f>IFERROR(ROUND(INDEX('PROJETO PERFURAÇÃO'!$AB:$AB,MATCH(MEDIÇÃO!D730,'PROJETO PERFURAÇÃO'!$B:$B,0)),1)&amp;"''","")</f>
        <v/>
      </c>
      <c r="C730" s="3" t="str">
        <f>IFERROR(IF(INDEX('PROJETO PERFURAÇÃO'!$P:$P,MATCH(MEDIÇÃO!D730,'PROJETO PERFURAÇÃO'!$B:$B,0))="Production","P",IF(INDEX('PROJETO PERFURAÇÃO'!$P:$P,MATCH(MEDIÇÃO!D730,'PROJETO PERFURAÇÃO'!$B:$B,0))="Buffer","B",IF(INDEX('PROJETO PERFURAÇÃO'!$P:$P,MATCH(MEDIÇÃO!D730,'PROJETO PERFURAÇÃO'!$B:$B,0))="Pre-Splitting","S"))),"")</f>
        <v/>
      </c>
      <c r="D730" s="14">
        <f t="shared" si="69"/>
        <v>1600</v>
      </c>
      <c r="E730" s="4" t="str">
        <f>IFERROR(INDEX('LEV R&amp;D'!$D:$D,MATCH(MEDIÇÃO!D730,'LEV R&amp;D'!$A:$A,0))-INDEX('PROJETO PERFURAÇÃO'!$AH:$AH,MATCH(MEDIÇÃO!D730,'PROJETO PERFURAÇÃO'!$B:$B,0)),"")</f>
        <v/>
      </c>
      <c r="F730" s="8" t="str">
        <f>IFERROR(INDEX('PROJETO PERFURAÇÃO'!$AN:$AN,MATCH(MEDIÇÃO!D730,'PROJETO PERFURAÇÃO'!$B:$B,0)),"")</f>
        <v/>
      </c>
      <c r="G730" s="3"/>
      <c r="H730" s="3"/>
      <c r="I730" s="3" t="str">
        <f>IFERROR(ROUND(INDEX('PROJETO PERFURAÇÃO'!$AB:$AB,MATCH(MEDIÇÃO!K730,'PROJETO PERFURAÇÃO'!$B:$B,0)),1)&amp;"''","")</f>
        <v/>
      </c>
      <c r="J730" s="3" t="str">
        <f>IFERROR(IF(INDEX('PROJETO PERFURAÇÃO'!$P:$P,MATCH(MEDIÇÃO!K730,'PROJETO PERFURAÇÃO'!$B:$B,0))="Production","P",IF(INDEX('PROJETO PERFURAÇÃO'!$P:$P,MATCH(MEDIÇÃO!K730,'PROJETO PERFURAÇÃO'!$B:$B,0))="Buffer","B",IF(INDEX('PROJETO PERFURAÇÃO'!$P:$P,MATCH(MEDIÇÃO!K730,'PROJETO PERFURAÇÃO'!$B:$B,0))="Pre-Splitting","S"))),"")</f>
        <v/>
      </c>
      <c r="K730" s="14">
        <f t="shared" si="70"/>
        <v>1623</v>
      </c>
      <c r="L730" s="4" t="str">
        <f>IFERROR(INDEX('LEV R&amp;D'!$D:$D,MATCH(MEDIÇÃO!K730,'LEV R&amp;D'!$A:$A,0))-INDEX('PROJETO PERFURAÇÃO'!$AH:$AH,MATCH(MEDIÇÃO!K730,'PROJETO PERFURAÇÃO'!$B:$B,0)),"")</f>
        <v/>
      </c>
      <c r="M730" s="8" t="str">
        <f>IFERROR(INDEX('PROJETO PERFURAÇÃO'!$AN:$AN,MATCH(MEDIÇÃO!K730,'PROJETO PERFURAÇÃO'!$B:$B,0)),"")</f>
        <v/>
      </c>
      <c r="N730" s="3"/>
      <c r="O730" s="3"/>
      <c r="P730" s="3" t="str">
        <f>IFERROR(ROUND(INDEX('PROJETO PERFURAÇÃO'!$AB:$AB,MATCH(MEDIÇÃO!R730,'PROJETO PERFURAÇÃO'!$B:$B,0)),1)&amp;"''","")</f>
        <v/>
      </c>
      <c r="Q730" s="3" t="str">
        <f>IFERROR(IF(INDEX('PROJETO PERFURAÇÃO'!$P:$P,MATCH(MEDIÇÃO!R730,'PROJETO PERFURAÇÃO'!$B:$B,0))="Production","P",IF(INDEX('PROJETO PERFURAÇÃO'!$P:$P,MATCH(MEDIÇÃO!R730,'PROJETO PERFURAÇÃO'!$B:$B,0))="Buffer","B",IF(INDEX('PROJETO PERFURAÇÃO'!$P:$P,MATCH(MEDIÇÃO!R730,'PROJETO PERFURAÇÃO'!$B:$B,0))="Pre-Splitting","S"))),"")</f>
        <v/>
      </c>
      <c r="R730" s="14">
        <f t="shared" si="71"/>
        <v>1646</v>
      </c>
      <c r="S730" s="4" t="str">
        <f>IFERROR(INDEX('LEV R&amp;D'!$D:$D,MATCH(MEDIÇÃO!R730,'LEV R&amp;D'!$A:$A,0))-INDEX('PROJETO PERFURAÇÃO'!$AH:$AH,MATCH(MEDIÇÃO!R730,'PROJETO PERFURAÇÃO'!$B:$B,0)),"")</f>
        <v/>
      </c>
      <c r="T730" s="8" t="str">
        <f>IFERROR(INDEX('PROJETO PERFURAÇÃO'!$AN:$AN,MATCH(MEDIÇÃO!R730,'PROJETO PERFURAÇÃO'!$B:$B,0)),"")</f>
        <v/>
      </c>
      <c r="U730" s="3"/>
      <c r="V730" s="3"/>
    </row>
    <row r="731" spans="2:22" ht="45" customHeight="1" x14ac:dyDescent="0.25">
      <c r="B731" s="3" t="str">
        <f>IFERROR(ROUND(INDEX('PROJETO PERFURAÇÃO'!$AB:$AB,MATCH(MEDIÇÃO!D731,'PROJETO PERFURAÇÃO'!$B:$B,0)),1)&amp;"''","")</f>
        <v/>
      </c>
      <c r="C731" s="3" t="str">
        <f>IFERROR(IF(INDEX('PROJETO PERFURAÇÃO'!$P:$P,MATCH(MEDIÇÃO!D731,'PROJETO PERFURAÇÃO'!$B:$B,0))="Production","P",IF(INDEX('PROJETO PERFURAÇÃO'!$P:$P,MATCH(MEDIÇÃO!D731,'PROJETO PERFURAÇÃO'!$B:$B,0))="Buffer","B",IF(INDEX('PROJETO PERFURAÇÃO'!$P:$P,MATCH(MEDIÇÃO!D731,'PROJETO PERFURAÇÃO'!$B:$B,0))="Pre-Splitting","S"))),"")</f>
        <v/>
      </c>
      <c r="D731" s="14">
        <f t="shared" si="69"/>
        <v>1601</v>
      </c>
      <c r="E731" s="4" t="str">
        <f>IFERROR(INDEX('LEV R&amp;D'!$D:$D,MATCH(MEDIÇÃO!D731,'LEV R&amp;D'!$A:$A,0))-INDEX('PROJETO PERFURAÇÃO'!$AH:$AH,MATCH(MEDIÇÃO!D731,'PROJETO PERFURAÇÃO'!$B:$B,0)),"")</f>
        <v/>
      </c>
      <c r="F731" s="8" t="str">
        <f>IFERROR(INDEX('PROJETO PERFURAÇÃO'!$AN:$AN,MATCH(MEDIÇÃO!D731,'PROJETO PERFURAÇÃO'!$B:$B,0)),"")</f>
        <v/>
      </c>
      <c r="G731" s="3"/>
      <c r="H731" s="3"/>
      <c r="I731" s="3" t="str">
        <f>IFERROR(ROUND(INDEX('PROJETO PERFURAÇÃO'!$AB:$AB,MATCH(MEDIÇÃO!K731,'PROJETO PERFURAÇÃO'!$B:$B,0)),1)&amp;"''","")</f>
        <v/>
      </c>
      <c r="J731" s="3" t="str">
        <f>IFERROR(IF(INDEX('PROJETO PERFURAÇÃO'!$P:$P,MATCH(MEDIÇÃO!K731,'PROJETO PERFURAÇÃO'!$B:$B,0))="Production","P",IF(INDEX('PROJETO PERFURAÇÃO'!$P:$P,MATCH(MEDIÇÃO!K731,'PROJETO PERFURAÇÃO'!$B:$B,0))="Buffer","B",IF(INDEX('PROJETO PERFURAÇÃO'!$P:$P,MATCH(MEDIÇÃO!K731,'PROJETO PERFURAÇÃO'!$B:$B,0))="Pre-Splitting","S"))),"")</f>
        <v/>
      </c>
      <c r="K731" s="14">
        <f t="shared" si="70"/>
        <v>1624</v>
      </c>
      <c r="L731" s="4" t="str">
        <f>IFERROR(INDEX('LEV R&amp;D'!$D:$D,MATCH(MEDIÇÃO!K731,'LEV R&amp;D'!$A:$A,0))-INDEX('PROJETO PERFURAÇÃO'!$AH:$AH,MATCH(MEDIÇÃO!K731,'PROJETO PERFURAÇÃO'!$B:$B,0)),"")</f>
        <v/>
      </c>
      <c r="M731" s="8" t="str">
        <f>IFERROR(INDEX('PROJETO PERFURAÇÃO'!$AN:$AN,MATCH(MEDIÇÃO!K731,'PROJETO PERFURAÇÃO'!$B:$B,0)),"")</f>
        <v/>
      </c>
      <c r="N731" s="3"/>
      <c r="O731" s="3"/>
      <c r="P731" s="3" t="str">
        <f>IFERROR(ROUND(INDEX('PROJETO PERFURAÇÃO'!$AB:$AB,MATCH(MEDIÇÃO!R731,'PROJETO PERFURAÇÃO'!$B:$B,0)),1)&amp;"''","")</f>
        <v/>
      </c>
      <c r="Q731" s="3" t="str">
        <f>IFERROR(IF(INDEX('PROJETO PERFURAÇÃO'!$P:$P,MATCH(MEDIÇÃO!R731,'PROJETO PERFURAÇÃO'!$B:$B,0))="Production","P",IF(INDEX('PROJETO PERFURAÇÃO'!$P:$P,MATCH(MEDIÇÃO!R731,'PROJETO PERFURAÇÃO'!$B:$B,0))="Buffer","B",IF(INDEX('PROJETO PERFURAÇÃO'!$P:$P,MATCH(MEDIÇÃO!R731,'PROJETO PERFURAÇÃO'!$B:$B,0))="Pre-Splitting","S"))),"")</f>
        <v/>
      </c>
      <c r="R731" s="14">
        <f t="shared" si="71"/>
        <v>1647</v>
      </c>
      <c r="S731" s="4" t="str">
        <f>IFERROR(INDEX('LEV R&amp;D'!$D:$D,MATCH(MEDIÇÃO!R731,'LEV R&amp;D'!$A:$A,0))-INDEX('PROJETO PERFURAÇÃO'!$AH:$AH,MATCH(MEDIÇÃO!R731,'PROJETO PERFURAÇÃO'!$B:$B,0)),"")</f>
        <v/>
      </c>
      <c r="T731" s="8" t="str">
        <f>IFERROR(INDEX('PROJETO PERFURAÇÃO'!$AN:$AN,MATCH(MEDIÇÃO!R731,'PROJETO PERFURAÇÃO'!$B:$B,0)),"")</f>
        <v/>
      </c>
      <c r="U731" s="3"/>
      <c r="V731" s="3"/>
    </row>
    <row r="732" spans="2:22" ht="45" customHeight="1" x14ac:dyDescent="0.25">
      <c r="B732" s="3" t="str">
        <f>IFERROR(ROUND(INDEX('PROJETO PERFURAÇÃO'!$AB:$AB,MATCH(MEDIÇÃO!D732,'PROJETO PERFURAÇÃO'!$B:$B,0)),1)&amp;"''","")</f>
        <v/>
      </c>
      <c r="C732" s="3" t="str">
        <f>IFERROR(IF(INDEX('PROJETO PERFURAÇÃO'!$P:$P,MATCH(MEDIÇÃO!D732,'PROJETO PERFURAÇÃO'!$B:$B,0))="Production","P",IF(INDEX('PROJETO PERFURAÇÃO'!$P:$P,MATCH(MEDIÇÃO!D732,'PROJETO PERFURAÇÃO'!$B:$B,0))="Buffer","B",IF(INDEX('PROJETO PERFURAÇÃO'!$P:$P,MATCH(MEDIÇÃO!D732,'PROJETO PERFURAÇÃO'!$B:$B,0))="Pre-Splitting","S"))),"")</f>
        <v/>
      </c>
      <c r="D732" s="14">
        <f t="shared" si="69"/>
        <v>1602</v>
      </c>
      <c r="E732" s="4" t="str">
        <f>IFERROR(INDEX('LEV R&amp;D'!$D:$D,MATCH(MEDIÇÃO!D732,'LEV R&amp;D'!$A:$A,0))-INDEX('PROJETO PERFURAÇÃO'!$AH:$AH,MATCH(MEDIÇÃO!D732,'PROJETO PERFURAÇÃO'!$B:$B,0)),"")</f>
        <v/>
      </c>
      <c r="F732" s="8" t="str">
        <f>IFERROR(INDEX('PROJETO PERFURAÇÃO'!$AN:$AN,MATCH(MEDIÇÃO!D732,'PROJETO PERFURAÇÃO'!$B:$B,0)),"")</f>
        <v/>
      </c>
      <c r="G732" s="3"/>
      <c r="H732" s="3"/>
      <c r="I732" s="3" t="str">
        <f>IFERROR(ROUND(INDEX('PROJETO PERFURAÇÃO'!$AB:$AB,MATCH(MEDIÇÃO!K732,'PROJETO PERFURAÇÃO'!$B:$B,0)),1)&amp;"''","")</f>
        <v/>
      </c>
      <c r="J732" s="3" t="str">
        <f>IFERROR(IF(INDEX('PROJETO PERFURAÇÃO'!$P:$P,MATCH(MEDIÇÃO!K732,'PROJETO PERFURAÇÃO'!$B:$B,0))="Production","P",IF(INDEX('PROJETO PERFURAÇÃO'!$P:$P,MATCH(MEDIÇÃO!K732,'PROJETO PERFURAÇÃO'!$B:$B,0))="Buffer","B",IF(INDEX('PROJETO PERFURAÇÃO'!$P:$P,MATCH(MEDIÇÃO!K732,'PROJETO PERFURAÇÃO'!$B:$B,0))="Pre-Splitting","S"))),"")</f>
        <v/>
      </c>
      <c r="K732" s="14">
        <f t="shared" si="70"/>
        <v>1625</v>
      </c>
      <c r="L732" s="4" t="str">
        <f>IFERROR(INDEX('LEV R&amp;D'!$D:$D,MATCH(MEDIÇÃO!K732,'LEV R&amp;D'!$A:$A,0))-INDEX('PROJETO PERFURAÇÃO'!$AH:$AH,MATCH(MEDIÇÃO!K732,'PROJETO PERFURAÇÃO'!$B:$B,0)),"")</f>
        <v/>
      </c>
      <c r="M732" s="8" t="str">
        <f>IFERROR(INDEX('PROJETO PERFURAÇÃO'!$AN:$AN,MATCH(MEDIÇÃO!K732,'PROJETO PERFURAÇÃO'!$B:$B,0)),"")</f>
        <v/>
      </c>
      <c r="N732" s="3"/>
      <c r="O732" s="3"/>
      <c r="P732" s="3" t="str">
        <f>IFERROR(ROUND(INDEX('PROJETO PERFURAÇÃO'!$AB:$AB,MATCH(MEDIÇÃO!R732,'PROJETO PERFURAÇÃO'!$B:$B,0)),1)&amp;"''","")</f>
        <v/>
      </c>
      <c r="Q732" s="3" t="str">
        <f>IFERROR(IF(INDEX('PROJETO PERFURAÇÃO'!$P:$P,MATCH(MEDIÇÃO!R732,'PROJETO PERFURAÇÃO'!$B:$B,0))="Production","P",IF(INDEX('PROJETO PERFURAÇÃO'!$P:$P,MATCH(MEDIÇÃO!R732,'PROJETO PERFURAÇÃO'!$B:$B,0))="Buffer","B",IF(INDEX('PROJETO PERFURAÇÃO'!$P:$P,MATCH(MEDIÇÃO!R732,'PROJETO PERFURAÇÃO'!$B:$B,0))="Pre-Splitting","S"))),"")</f>
        <v/>
      </c>
      <c r="R732" s="14">
        <f t="shared" si="71"/>
        <v>1648</v>
      </c>
      <c r="S732" s="4" t="str">
        <f>IFERROR(INDEX('LEV R&amp;D'!$D:$D,MATCH(MEDIÇÃO!R732,'LEV R&amp;D'!$A:$A,0))-INDEX('PROJETO PERFURAÇÃO'!$AH:$AH,MATCH(MEDIÇÃO!R732,'PROJETO PERFURAÇÃO'!$B:$B,0)),"")</f>
        <v/>
      </c>
      <c r="T732" s="8" t="str">
        <f>IFERROR(INDEX('PROJETO PERFURAÇÃO'!$AN:$AN,MATCH(MEDIÇÃO!R732,'PROJETO PERFURAÇÃO'!$B:$B,0)),"")</f>
        <v/>
      </c>
      <c r="U732" s="3"/>
      <c r="V732" s="3"/>
    </row>
    <row r="733" spans="2:22" ht="45" customHeight="1" x14ac:dyDescent="0.25">
      <c r="B733" s="3" t="str">
        <f>IFERROR(ROUND(INDEX('PROJETO PERFURAÇÃO'!$AB:$AB,MATCH(MEDIÇÃO!D733,'PROJETO PERFURAÇÃO'!$B:$B,0)),1)&amp;"''","")</f>
        <v/>
      </c>
      <c r="C733" s="3" t="str">
        <f>IFERROR(IF(INDEX('PROJETO PERFURAÇÃO'!$P:$P,MATCH(MEDIÇÃO!D733,'PROJETO PERFURAÇÃO'!$B:$B,0))="Production","P",IF(INDEX('PROJETO PERFURAÇÃO'!$P:$P,MATCH(MEDIÇÃO!D733,'PROJETO PERFURAÇÃO'!$B:$B,0))="Buffer","B",IF(INDEX('PROJETO PERFURAÇÃO'!$P:$P,MATCH(MEDIÇÃO!D733,'PROJETO PERFURAÇÃO'!$B:$B,0))="Pre-Splitting","S"))),"")</f>
        <v/>
      </c>
      <c r="D733" s="14">
        <f t="shared" si="69"/>
        <v>1603</v>
      </c>
      <c r="E733" s="4" t="str">
        <f>IFERROR(INDEX('LEV R&amp;D'!$D:$D,MATCH(MEDIÇÃO!D733,'LEV R&amp;D'!$A:$A,0))-INDEX('PROJETO PERFURAÇÃO'!$AH:$AH,MATCH(MEDIÇÃO!D733,'PROJETO PERFURAÇÃO'!$B:$B,0)),"")</f>
        <v/>
      </c>
      <c r="F733" s="8" t="str">
        <f>IFERROR(INDEX('PROJETO PERFURAÇÃO'!$AN:$AN,MATCH(MEDIÇÃO!D733,'PROJETO PERFURAÇÃO'!$B:$B,0)),"")</f>
        <v/>
      </c>
      <c r="G733" s="3"/>
      <c r="H733" s="3"/>
      <c r="I733" s="3" t="str">
        <f>IFERROR(ROUND(INDEX('PROJETO PERFURAÇÃO'!$AB:$AB,MATCH(MEDIÇÃO!K733,'PROJETO PERFURAÇÃO'!$B:$B,0)),1)&amp;"''","")</f>
        <v/>
      </c>
      <c r="J733" s="3" t="str">
        <f>IFERROR(IF(INDEX('PROJETO PERFURAÇÃO'!$P:$P,MATCH(MEDIÇÃO!K733,'PROJETO PERFURAÇÃO'!$B:$B,0))="Production","P",IF(INDEX('PROJETO PERFURAÇÃO'!$P:$P,MATCH(MEDIÇÃO!K733,'PROJETO PERFURAÇÃO'!$B:$B,0))="Buffer","B",IF(INDEX('PROJETO PERFURAÇÃO'!$P:$P,MATCH(MEDIÇÃO!K733,'PROJETO PERFURAÇÃO'!$B:$B,0))="Pre-Splitting","S"))),"")</f>
        <v/>
      </c>
      <c r="K733" s="14">
        <f t="shared" si="70"/>
        <v>1626</v>
      </c>
      <c r="L733" s="4" t="str">
        <f>IFERROR(INDEX('LEV R&amp;D'!$D:$D,MATCH(MEDIÇÃO!K733,'LEV R&amp;D'!$A:$A,0))-INDEX('PROJETO PERFURAÇÃO'!$AH:$AH,MATCH(MEDIÇÃO!K733,'PROJETO PERFURAÇÃO'!$B:$B,0)),"")</f>
        <v/>
      </c>
      <c r="M733" s="8" t="str">
        <f>IFERROR(INDEX('PROJETO PERFURAÇÃO'!$AN:$AN,MATCH(MEDIÇÃO!K733,'PROJETO PERFURAÇÃO'!$B:$B,0)),"")</f>
        <v/>
      </c>
      <c r="N733" s="3"/>
      <c r="O733" s="3"/>
      <c r="P733" s="3" t="str">
        <f>IFERROR(ROUND(INDEX('PROJETO PERFURAÇÃO'!$AB:$AB,MATCH(MEDIÇÃO!R733,'PROJETO PERFURAÇÃO'!$B:$B,0)),1)&amp;"''","")</f>
        <v/>
      </c>
      <c r="Q733" s="3" t="str">
        <f>IFERROR(IF(INDEX('PROJETO PERFURAÇÃO'!$P:$P,MATCH(MEDIÇÃO!R733,'PROJETO PERFURAÇÃO'!$B:$B,0))="Production","P",IF(INDEX('PROJETO PERFURAÇÃO'!$P:$P,MATCH(MEDIÇÃO!R733,'PROJETO PERFURAÇÃO'!$B:$B,0))="Buffer","B",IF(INDEX('PROJETO PERFURAÇÃO'!$P:$P,MATCH(MEDIÇÃO!R733,'PROJETO PERFURAÇÃO'!$B:$B,0))="Pre-Splitting","S"))),"")</f>
        <v/>
      </c>
      <c r="R733" s="14">
        <f t="shared" si="71"/>
        <v>1649</v>
      </c>
      <c r="S733" s="4" t="str">
        <f>IFERROR(INDEX('LEV R&amp;D'!$D:$D,MATCH(MEDIÇÃO!R733,'LEV R&amp;D'!$A:$A,0))-INDEX('PROJETO PERFURAÇÃO'!$AH:$AH,MATCH(MEDIÇÃO!R733,'PROJETO PERFURAÇÃO'!$B:$B,0)),"")</f>
        <v/>
      </c>
      <c r="T733" s="8" t="str">
        <f>IFERROR(INDEX('PROJETO PERFURAÇÃO'!$AN:$AN,MATCH(MEDIÇÃO!R733,'PROJETO PERFURAÇÃO'!$B:$B,0)),"")</f>
        <v/>
      </c>
      <c r="U733" s="3"/>
      <c r="V733" s="3"/>
    </row>
    <row r="734" spans="2:22" ht="45" customHeight="1" x14ac:dyDescent="0.25">
      <c r="B734" s="3" t="str">
        <f>IFERROR(ROUND(INDEX('PROJETO PERFURAÇÃO'!$AB:$AB,MATCH(MEDIÇÃO!D734,'PROJETO PERFURAÇÃO'!$B:$B,0)),1)&amp;"''","")</f>
        <v/>
      </c>
      <c r="C734" s="3" t="str">
        <f>IFERROR(IF(INDEX('PROJETO PERFURAÇÃO'!$P:$P,MATCH(MEDIÇÃO!D734,'PROJETO PERFURAÇÃO'!$B:$B,0))="Production","P",IF(INDEX('PROJETO PERFURAÇÃO'!$P:$P,MATCH(MEDIÇÃO!D734,'PROJETO PERFURAÇÃO'!$B:$B,0))="Buffer","B",IF(INDEX('PROJETO PERFURAÇÃO'!$P:$P,MATCH(MEDIÇÃO!D734,'PROJETO PERFURAÇÃO'!$B:$B,0))="Pre-Splitting","S"))),"")</f>
        <v/>
      </c>
      <c r="D734" s="14">
        <f t="shared" si="69"/>
        <v>1604</v>
      </c>
      <c r="E734" s="4" t="str">
        <f>IFERROR(INDEX('LEV R&amp;D'!$D:$D,MATCH(MEDIÇÃO!D734,'LEV R&amp;D'!$A:$A,0))-INDEX('PROJETO PERFURAÇÃO'!$AH:$AH,MATCH(MEDIÇÃO!D734,'PROJETO PERFURAÇÃO'!$B:$B,0)),"")</f>
        <v/>
      </c>
      <c r="F734" s="8" t="str">
        <f>IFERROR(INDEX('PROJETO PERFURAÇÃO'!$AN:$AN,MATCH(MEDIÇÃO!D734,'PROJETO PERFURAÇÃO'!$B:$B,0)),"")</f>
        <v/>
      </c>
      <c r="G734" s="3"/>
      <c r="H734" s="3"/>
      <c r="I734" s="3" t="str">
        <f>IFERROR(ROUND(INDEX('PROJETO PERFURAÇÃO'!$AB:$AB,MATCH(MEDIÇÃO!K734,'PROJETO PERFURAÇÃO'!$B:$B,0)),1)&amp;"''","")</f>
        <v/>
      </c>
      <c r="J734" s="3" t="str">
        <f>IFERROR(IF(INDEX('PROJETO PERFURAÇÃO'!$P:$P,MATCH(MEDIÇÃO!K734,'PROJETO PERFURAÇÃO'!$B:$B,0))="Production","P",IF(INDEX('PROJETO PERFURAÇÃO'!$P:$P,MATCH(MEDIÇÃO!K734,'PROJETO PERFURAÇÃO'!$B:$B,0))="Buffer","B",IF(INDEX('PROJETO PERFURAÇÃO'!$P:$P,MATCH(MEDIÇÃO!K734,'PROJETO PERFURAÇÃO'!$B:$B,0))="Pre-Splitting","S"))),"")</f>
        <v/>
      </c>
      <c r="K734" s="14">
        <f t="shared" si="70"/>
        <v>1627</v>
      </c>
      <c r="L734" s="4" t="str">
        <f>IFERROR(INDEX('LEV R&amp;D'!$D:$D,MATCH(MEDIÇÃO!K734,'LEV R&amp;D'!$A:$A,0))-INDEX('PROJETO PERFURAÇÃO'!$AH:$AH,MATCH(MEDIÇÃO!K734,'PROJETO PERFURAÇÃO'!$B:$B,0)),"")</f>
        <v/>
      </c>
      <c r="M734" s="8" t="str">
        <f>IFERROR(INDEX('PROJETO PERFURAÇÃO'!$AN:$AN,MATCH(MEDIÇÃO!K734,'PROJETO PERFURAÇÃO'!$B:$B,0)),"")</f>
        <v/>
      </c>
      <c r="N734" s="3"/>
      <c r="O734" s="3"/>
      <c r="P734" s="3" t="str">
        <f>IFERROR(ROUND(INDEX('PROJETO PERFURAÇÃO'!$AB:$AB,MATCH(MEDIÇÃO!R734,'PROJETO PERFURAÇÃO'!$B:$B,0)),1)&amp;"''","")</f>
        <v/>
      </c>
      <c r="Q734" s="3" t="str">
        <f>IFERROR(IF(INDEX('PROJETO PERFURAÇÃO'!$P:$P,MATCH(MEDIÇÃO!R734,'PROJETO PERFURAÇÃO'!$B:$B,0))="Production","P",IF(INDEX('PROJETO PERFURAÇÃO'!$P:$P,MATCH(MEDIÇÃO!R734,'PROJETO PERFURAÇÃO'!$B:$B,0))="Buffer","B",IF(INDEX('PROJETO PERFURAÇÃO'!$P:$P,MATCH(MEDIÇÃO!R734,'PROJETO PERFURAÇÃO'!$B:$B,0))="Pre-Splitting","S"))),"")</f>
        <v/>
      </c>
      <c r="R734" s="14">
        <f t="shared" si="71"/>
        <v>1650</v>
      </c>
      <c r="S734" s="4" t="str">
        <f>IFERROR(INDEX('LEV R&amp;D'!$D:$D,MATCH(MEDIÇÃO!R734,'LEV R&amp;D'!$A:$A,0))-INDEX('PROJETO PERFURAÇÃO'!$AH:$AH,MATCH(MEDIÇÃO!R734,'PROJETO PERFURAÇÃO'!$B:$B,0)),"")</f>
        <v/>
      </c>
      <c r="T734" s="8" t="str">
        <f>IFERROR(INDEX('PROJETO PERFURAÇÃO'!$AN:$AN,MATCH(MEDIÇÃO!R734,'PROJETO PERFURAÇÃO'!$B:$B,0)),"")</f>
        <v/>
      </c>
      <c r="U734" s="3"/>
      <c r="V734" s="3"/>
    </row>
    <row r="735" spans="2:22" ht="45" customHeight="1" x14ac:dyDescent="0.25">
      <c r="B735" s="3" t="str">
        <f>IFERROR(ROUND(INDEX('PROJETO PERFURAÇÃO'!$AB:$AB,MATCH(MEDIÇÃO!D735,'PROJETO PERFURAÇÃO'!$B:$B,0)),1)&amp;"''","")</f>
        <v/>
      </c>
      <c r="C735" s="3" t="str">
        <f>IFERROR(IF(INDEX('PROJETO PERFURAÇÃO'!$P:$P,MATCH(MEDIÇÃO!D735,'PROJETO PERFURAÇÃO'!$B:$B,0))="Production","P",IF(INDEX('PROJETO PERFURAÇÃO'!$P:$P,MATCH(MEDIÇÃO!D735,'PROJETO PERFURAÇÃO'!$B:$B,0))="Buffer","B",IF(INDEX('PROJETO PERFURAÇÃO'!$P:$P,MATCH(MEDIÇÃO!D735,'PROJETO PERFURAÇÃO'!$B:$B,0))="Pre-Splitting","S"))),"")</f>
        <v/>
      </c>
      <c r="D735" s="14">
        <f t="shared" si="69"/>
        <v>1605</v>
      </c>
      <c r="E735" s="4" t="str">
        <f>IFERROR(INDEX('LEV R&amp;D'!$D:$D,MATCH(MEDIÇÃO!D735,'LEV R&amp;D'!$A:$A,0))-INDEX('PROJETO PERFURAÇÃO'!$AH:$AH,MATCH(MEDIÇÃO!D735,'PROJETO PERFURAÇÃO'!$B:$B,0)),"")</f>
        <v/>
      </c>
      <c r="F735" s="8" t="str">
        <f>IFERROR(INDEX('PROJETO PERFURAÇÃO'!$AN:$AN,MATCH(MEDIÇÃO!D735,'PROJETO PERFURAÇÃO'!$B:$B,0)),"")</f>
        <v/>
      </c>
      <c r="G735" s="3"/>
      <c r="H735" s="3"/>
      <c r="I735" s="3" t="str">
        <f>IFERROR(ROUND(INDEX('PROJETO PERFURAÇÃO'!$AB:$AB,MATCH(MEDIÇÃO!K735,'PROJETO PERFURAÇÃO'!$B:$B,0)),1)&amp;"''","")</f>
        <v/>
      </c>
      <c r="J735" s="3" t="str">
        <f>IFERROR(IF(INDEX('PROJETO PERFURAÇÃO'!$P:$P,MATCH(MEDIÇÃO!K735,'PROJETO PERFURAÇÃO'!$B:$B,0))="Production","P",IF(INDEX('PROJETO PERFURAÇÃO'!$P:$P,MATCH(MEDIÇÃO!K735,'PROJETO PERFURAÇÃO'!$B:$B,0))="Buffer","B",IF(INDEX('PROJETO PERFURAÇÃO'!$P:$P,MATCH(MEDIÇÃO!K735,'PROJETO PERFURAÇÃO'!$B:$B,0))="Pre-Splitting","S"))),"")</f>
        <v/>
      </c>
      <c r="K735" s="14">
        <f t="shared" si="70"/>
        <v>1628</v>
      </c>
      <c r="L735" s="4" t="str">
        <f>IFERROR(INDEX('LEV R&amp;D'!$D:$D,MATCH(MEDIÇÃO!K735,'LEV R&amp;D'!$A:$A,0))-INDEX('PROJETO PERFURAÇÃO'!$AH:$AH,MATCH(MEDIÇÃO!K735,'PROJETO PERFURAÇÃO'!$B:$B,0)),"")</f>
        <v/>
      </c>
      <c r="M735" s="8" t="str">
        <f>IFERROR(INDEX('PROJETO PERFURAÇÃO'!$AN:$AN,MATCH(MEDIÇÃO!K735,'PROJETO PERFURAÇÃO'!$B:$B,0)),"")</f>
        <v/>
      </c>
      <c r="N735" s="3"/>
      <c r="O735" s="3"/>
      <c r="P735" s="3" t="str">
        <f>IFERROR(ROUND(INDEX('PROJETO PERFURAÇÃO'!$AB:$AB,MATCH(MEDIÇÃO!R735,'PROJETO PERFURAÇÃO'!$B:$B,0)),1)&amp;"''","")</f>
        <v/>
      </c>
      <c r="Q735" s="3" t="str">
        <f>IFERROR(IF(INDEX('PROJETO PERFURAÇÃO'!$P:$P,MATCH(MEDIÇÃO!R735,'PROJETO PERFURAÇÃO'!$B:$B,0))="Production","P",IF(INDEX('PROJETO PERFURAÇÃO'!$P:$P,MATCH(MEDIÇÃO!R735,'PROJETO PERFURAÇÃO'!$B:$B,0))="Buffer","B",IF(INDEX('PROJETO PERFURAÇÃO'!$P:$P,MATCH(MEDIÇÃO!R735,'PROJETO PERFURAÇÃO'!$B:$B,0))="Pre-Splitting","S"))),"")</f>
        <v/>
      </c>
      <c r="R735" s="14">
        <f t="shared" si="71"/>
        <v>1651</v>
      </c>
      <c r="S735" s="4" t="str">
        <f>IFERROR(INDEX('LEV R&amp;D'!$D:$D,MATCH(MEDIÇÃO!R735,'LEV R&amp;D'!$A:$A,0))-INDEX('PROJETO PERFURAÇÃO'!$AH:$AH,MATCH(MEDIÇÃO!R735,'PROJETO PERFURAÇÃO'!$B:$B,0)),"")</f>
        <v/>
      </c>
      <c r="T735" s="8" t="str">
        <f>IFERROR(INDEX('PROJETO PERFURAÇÃO'!$AN:$AN,MATCH(MEDIÇÃO!R735,'PROJETO PERFURAÇÃO'!$B:$B,0)),"")</f>
        <v/>
      </c>
      <c r="U735" s="3"/>
      <c r="V735" s="3"/>
    </row>
    <row r="736" spans="2:22" ht="45" customHeight="1" x14ac:dyDescent="0.25">
      <c r="B736" s="3" t="str">
        <f>IFERROR(ROUND(INDEX('PROJETO PERFURAÇÃO'!$AB:$AB,MATCH(MEDIÇÃO!D736,'PROJETO PERFURAÇÃO'!$B:$B,0)),1)&amp;"''","")</f>
        <v/>
      </c>
      <c r="C736" s="3" t="str">
        <f>IFERROR(IF(INDEX('PROJETO PERFURAÇÃO'!$P:$P,MATCH(MEDIÇÃO!D736,'PROJETO PERFURAÇÃO'!$B:$B,0))="Production","P",IF(INDEX('PROJETO PERFURAÇÃO'!$P:$P,MATCH(MEDIÇÃO!D736,'PROJETO PERFURAÇÃO'!$B:$B,0))="Buffer","B",IF(INDEX('PROJETO PERFURAÇÃO'!$P:$P,MATCH(MEDIÇÃO!D736,'PROJETO PERFURAÇÃO'!$B:$B,0))="Pre-Splitting","S"))),"")</f>
        <v/>
      </c>
      <c r="D736" s="14">
        <f t="shared" si="69"/>
        <v>1606</v>
      </c>
      <c r="E736" s="4" t="str">
        <f>IFERROR(INDEX('LEV R&amp;D'!$D:$D,MATCH(MEDIÇÃO!D736,'LEV R&amp;D'!$A:$A,0))-INDEX('PROJETO PERFURAÇÃO'!$AH:$AH,MATCH(MEDIÇÃO!D736,'PROJETO PERFURAÇÃO'!$B:$B,0)),"")</f>
        <v/>
      </c>
      <c r="F736" s="8" t="str">
        <f>IFERROR(INDEX('PROJETO PERFURAÇÃO'!$AN:$AN,MATCH(MEDIÇÃO!D736,'PROJETO PERFURAÇÃO'!$B:$B,0)),"")</f>
        <v/>
      </c>
      <c r="G736" s="3"/>
      <c r="H736" s="3"/>
      <c r="I736" s="3" t="str">
        <f>IFERROR(ROUND(INDEX('PROJETO PERFURAÇÃO'!$AB:$AB,MATCH(MEDIÇÃO!K736,'PROJETO PERFURAÇÃO'!$B:$B,0)),1)&amp;"''","")</f>
        <v/>
      </c>
      <c r="J736" s="3" t="str">
        <f>IFERROR(IF(INDEX('PROJETO PERFURAÇÃO'!$P:$P,MATCH(MEDIÇÃO!K736,'PROJETO PERFURAÇÃO'!$B:$B,0))="Production","P",IF(INDEX('PROJETO PERFURAÇÃO'!$P:$P,MATCH(MEDIÇÃO!K736,'PROJETO PERFURAÇÃO'!$B:$B,0))="Buffer","B",IF(INDEX('PROJETO PERFURAÇÃO'!$P:$P,MATCH(MEDIÇÃO!K736,'PROJETO PERFURAÇÃO'!$B:$B,0))="Pre-Splitting","S"))),"")</f>
        <v/>
      </c>
      <c r="K736" s="14">
        <f t="shared" si="70"/>
        <v>1629</v>
      </c>
      <c r="L736" s="4" t="str">
        <f>IFERROR(INDEX('LEV R&amp;D'!$D:$D,MATCH(MEDIÇÃO!K736,'LEV R&amp;D'!$A:$A,0))-INDEX('PROJETO PERFURAÇÃO'!$AH:$AH,MATCH(MEDIÇÃO!K736,'PROJETO PERFURAÇÃO'!$B:$B,0)),"")</f>
        <v/>
      </c>
      <c r="M736" s="8" t="str">
        <f>IFERROR(INDEX('PROJETO PERFURAÇÃO'!$AN:$AN,MATCH(MEDIÇÃO!K736,'PROJETO PERFURAÇÃO'!$B:$B,0)),"")</f>
        <v/>
      </c>
      <c r="N736" s="3"/>
      <c r="O736" s="3"/>
      <c r="P736" s="3" t="str">
        <f>IFERROR(ROUND(INDEX('PROJETO PERFURAÇÃO'!$AB:$AB,MATCH(MEDIÇÃO!R736,'PROJETO PERFURAÇÃO'!$B:$B,0)),1)&amp;"''","")</f>
        <v/>
      </c>
      <c r="Q736" s="3" t="str">
        <f>IFERROR(IF(INDEX('PROJETO PERFURAÇÃO'!$P:$P,MATCH(MEDIÇÃO!R736,'PROJETO PERFURAÇÃO'!$B:$B,0))="Production","P",IF(INDEX('PROJETO PERFURAÇÃO'!$P:$P,MATCH(MEDIÇÃO!R736,'PROJETO PERFURAÇÃO'!$B:$B,0))="Buffer","B",IF(INDEX('PROJETO PERFURAÇÃO'!$P:$P,MATCH(MEDIÇÃO!R736,'PROJETO PERFURAÇÃO'!$B:$B,0))="Pre-Splitting","S"))),"")</f>
        <v/>
      </c>
      <c r="R736" s="14">
        <f t="shared" si="71"/>
        <v>1652</v>
      </c>
      <c r="S736" s="4" t="str">
        <f>IFERROR(INDEX('LEV R&amp;D'!$D:$D,MATCH(MEDIÇÃO!R736,'LEV R&amp;D'!$A:$A,0))-INDEX('PROJETO PERFURAÇÃO'!$AH:$AH,MATCH(MEDIÇÃO!R736,'PROJETO PERFURAÇÃO'!$B:$B,0)),"")</f>
        <v/>
      </c>
      <c r="T736" s="8" t="str">
        <f>IFERROR(INDEX('PROJETO PERFURAÇÃO'!$AN:$AN,MATCH(MEDIÇÃO!R736,'PROJETO PERFURAÇÃO'!$B:$B,0)),"")</f>
        <v/>
      </c>
      <c r="U736" s="3"/>
      <c r="V736" s="3"/>
    </row>
    <row r="737" spans="1:23" ht="45" customHeight="1" x14ac:dyDescent="0.25">
      <c r="B737" s="3" t="str">
        <f>IFERROR(ROUND(INDEX('PROJETO PERFURAÇÃO'!$AB:$AB,MATCH(MEDIÇÃO!D737,'PROJETO PERFURAÇÃO'!$B:$B,0)),1)&amp;"''","")</f>
        <v/>
      </c>
      <c r="C737" s="3" t="str">
        <f>IFERROR(IF(INDEX('PROJETO PERFURAÇÃO'!$P:$P,MATCH(MEDIÇÃO!D737,'PROJETO PERFURAÇÃO'!$B:$B,0))="Production","P",IF(INDEX('PROJETO PERFURAÇÃO'!$P:$P,MATCH(MEDIÇÃO!D737,'PROJETO PERFURAÇÃO'!$B:$B,0))="Buffer","B",IF(INDEX('PROJETO PERFURAÇÃO'!$P:$P,MATCH(MEDIÇÃO!D737,'PROJETO PERFURAÇÃO'!$B:$B,0))="Pre-Splitting","S"))),"")</f>
        <v/>
      </c>
      <c r="D737" s="14">
        <f t="shared" si="69"/>
        <v>1607</v>
      </c>
      <c r="E737" s="4" t="str">
        <f>IFERROR(INDEX('LEV R&amp;D'!$D:$D,MATCH(MEDIÇÃO!D737,'LEV R&amp;D'!$A:$A,0))-INDEX('PROJETO PERFURAÇÃO'!$AH:$AH,MATCH(MEDIÇÃO!D737,'PROJETO PERFURAÇÃO'!$B:$B,0)),"")</f>
        <v/>
      </c>
      <c r="F737" s="8" t="str">
        <f>IFERROR(INDEX('PROJETO PERFURAÇÃO'!$AN:$AN,MATCH(MEDIÇÃO!D737,'PROJETO PERFURAÇÃO'!$B:$B,0)),"")</f>
        <v/>
      </c>
      <c r="G737" s="3"/>
      <c r="H737" s="3"/>
      <c r="I737" s="3" t="str">
        <f>IFERROR(ROUND(INDEX('PROJETO PERFURAÇÃO'!$AB:$AB,MATCH(MEDIÇÃO!K737,'PROJETO PERFURAÇÃO'!$B:$B,0)),1)&amp;"''","")</f>
        <v/>
      </c>
      <c r="J737" s="3" t="str">
        <f>IFERROR(IF(INDEX('PROJETO PERFURAÇÃO'!$P:$P,MATCH(MEDIÇÃO!K737,'PROJETO PERFURAÇÃO'!$B:$B,0))="Production","P",IF(INDEX('PROJETO PERFURAÇÃO'!$P:$P,MATCH(MEDIÇÃO!K737,'PROJETO PERFURAÇÃO'!$B:$B,0))="Buffer","B",IF(INDEX('PROJETO PERFURAÇÃO'!$P:$P,MATCH(MEDIÇÃO!K737,'PROJETO PERFURAÇÃO'!$B:$B,0))="Pre-Splitting","S"))),"")</f>
        <v/>
      </c>
      <c r="K737" s="14">
        <f t="shared" si="70"/>
        <v>1630</v>
      </c>
      <c r="L737" s="4" t="str">
        <f>IFERROR(INDEX('LEV R&amp;D'!$D:$D,MATCH(MEDIÇÃO!K737,'LEV R&amp;D'!$A:$A,0))-INDEX('PROJETO PERFURAÇÃO'!$AH:$AH,MATCH(MEDIÇÃO!K737,'PROJETO PERFURAÇÃO'!$B:$B,0)),"")</f>
        <v/>
      </c>
      <c r="M737" s="8" t="str">
        <f>IFERROR(INDEX('PROJETO PERFURAÇÃO'!$AN:$AN,MATCH(MEDIÇÃO!K737,'PROJETO PERFURAÇÃO'!$B:$B,0)),"")</f>
        <v/>
      </c>
      <c r="N737" s="3"/>
      <c r="O737" s="3"/>
      <c r="P737" s="3" t="str">
        <f>IFERROR(ROUND(INDEX('PROJETO PERFURAÇÃO'!$AB:$AB,MATCH(MEDIÇÃO!R737,'PROJETO PERFURAÇÃO'!$B:$B,0)),1)&amp;"''","")</f>
        <v/>
      </c>
      <c r="Q737" s="3" t="str">
        <f>IFERROR(IF(INDEX('PROJETO PERFURAÇÃO'!$P:$P,MATCH(MEDIÇÃO!R737,'PROJETO PERFURAÇÃO'!$B:$B,0))="Production","P",IF(INDEX('PROJETO PERFURAÇÃO'!$P:$P,MATCH(MEDIÇÃO!R737,'PROJETO PERFURAÇÃO'!$B:$B,0))="Buffer","B",IF(INDEX('PROJETO PERFURAÇÃO'!$P:$P,MATCH(MEDIÇÃO!R737,'PROJETO PERFURAÇÃO'!$B:$B,0))="Pre-Splitting","S"))),"")</f>
        <v/>
      </c>
      <c r="R737" s="14">
        <f t="shared" si="71"/>
        <v>1653</v>
      </c>
      <c r="S737" s="4" t="str">
        <f>IFERROR(INDEX('LEV R&amp;D'!$D:$D,MATCH(MEDIÇÃO!R737,'LEV R&amp;D'!$A:$A,0))-INDEX('PROJETO PERFURAÇÃO'!$AH:$AH,MATCH(MEDIÇÃO!R737,'PROJETO PERFURAÇÃO'!$B:$B,0)),"")</f>
        <v/>
      </c>
      <c r="T737" s="8" t="str">
        <f>IFERROR(INDEX('PROJETO PERFURAÇÃO'!$AN:$AN,MATCH(MEDIÇÃO!R737,'PROJETO PERFURAÇÃO'!$B:$B,0)),"")</f>
        <v/>
      </c>
      <c r="U737" s="3"/>
      <c r="V737" s="3"/>
    </row>
    <row r="738" spans="1:23" ht="45" customHeight="1" x14ac:dyDescent="0.25">
      <c r="B738" s="3" t="str">
        <f>IFERROR(ROUND(INDEX('PROJETO PERFURAÇÃO'!$AB:$AB,MATCH(MEDIÇÃO!D738,'PROJETO PERFURAÇÃO'!$B:$B,0)),1)&amp;"''","")</f>
        <v/>
      </c>
      <c r="C738" s="3" t="str">
        <f>IFERROR(IF(INDEX('PROJETO PERFURAÇÃO'!$P:$P,MATCH(MEDIÇÃO!D738,'PROJETO PERFURAÇÃO'!$B:$B,0))="Production","P",IF(INDEX('PROJETO PERFURAÇÃO'!$P:$P,MATCH(MEDIÇÃO!D738,'PROJETO PERFURAÇÃO'!$B:$B,0))="Buffer","B",IF(INDEX('PROJETO PERFURAÇÃO'!$P:$P,MATCH(MEDIÇÃO!D738,'PROJETO PERFURAÇÃO'!$B:$B,0))="Pre-Splitting","S"))),"")</f>
        <v/>
      </c>
      <c r="D738" s="14">
        <f t="shared" si="69"/>
        <v>1608</v>
      </c>
      <c r="E738" s="4" t="str">
        <f>IFERROR(INDEX('LEV R&amp;D'!$D:$D,MATCH(MEDIÇÃO!D738,'LEV R&amp;D'!$A:$A,0))-INDEX('PROJETO PERFURAÇÃO'!$AH:$AH,MATCH(MEDIÇÃO!D738,'PROJETO PERFURAÇÃO'!$B:$B,0)),"")</f>
        <v/>
      </c>
      <c r="F738" s="8" t="str">
        <f>IFERROR(INDEX('PROJETO PERFURAÇÃO'!$AN:$AN,MATCH(MEDIÇÃO!D738,'PROJETO PERFURAÇÃO'!$B:$B,0)),"")</f>
        <v/>
      </c>
      <c r="G738" s="3"/>
      <c r="H738" s="3"/>
      <c r="I738" s="3" t="str">
        <f>IFERROR(ROUND(INDEX('PROJETO PERFURAÇÃO'!$AB:$AB,MATCH(MEDIÇÃO!K738,'PROJETO PERFURAÇÃO'!$B:$B,0)),1)&amp;"''","")</f>
        <v/>
      </c>
      <c r="J738" s="3" t="str">
        <f>IFERROR(IF(INDEX('PROJETO PERFURAÇÃO'!$P:$P,MATCH(MEDIÇÃO!K738,'PROJETO PERFURAÇÃO'!$B:$B,0))="Production","P",IF(INDEX('PROJETO PERFURAÇÃO'!$P:$P,MATCH(MEDIÇÃO!K738,'PROJETO PERFURAÇÃO'!$B:$B,0))="Buffer","B",IF(INDEX('PROJETO PERFURAÇÃO'!$P:$P,MATCH(MEDIÇÃO!K738,'PROJETO PERFURAÇÃO'!$B:$B,0))="Pre-Splitting","S"))),"")</f>
        <v/>
      </c>
      <c r="K738" s="14">
        <f t="shared" si="70"/>
        <v>1631</v>
      </c>
      <c r="L738" s="4" t="str">
        <f>IFERROR(INDEX('LEV R&amp;D'!$D:$D,MATCH(MEDIÇÃO!K738,'LEV R&amp;D'!$A:$A,0))-INDEX('PROJETO PERFURAÇÃO'!$AH:$AH,MATCH(MEDIÇÃO!K738,'PROJETO PERFURAÇÃO'!$B:$B,0)),"")</f>
        <v/>
      </c>
      <c r="M738" s="8" t="str">
        <f>IFERROR(INDEX('PROJETO PERFURAÇÃO'!$AN:$AN,MATCH(MEDIÇÃO!K738,'PROJETO PERFURAÇÃO'!$B:$B,0)),"")</f>
        <v/>
      </c>
      <c r="N738" s="3"/>
      <c r="O738" s="3"/>
      <c r="P738" s="3" t="str">
        <f>IFERROR(ROUND(INDEX('PROJETO PERFURAÇÃO'!$AB:$AB,MATCH(MEDIÇÃO!R738,'PROJETO PERFURAÇÃO'!$B:$B,0)),1)&amp;"''","")</f>
        <v/>
      </c>
      <c r="Q738" s="3" t="str">
        <f>IFERROR(IF(INDEX('PROJETO PERFURAÇÃO'!$P:$P,MATCH(MEDIÇÃO!R738,'PROJETO PERFURAÇÃO'!$B:$B,0))="Production","P",IF(INDEX('PROJETO PERFURAÇÃO'!$P:$P,MATCH(MEDIÇÃO!R738,'PROJETO PERFURAÇÃO'!$B:$B,0))="Buffer","B",IF(INDEX('PROJETO PERFURAÇÃO'!$P:$P,MATCH(MEDIÇÃO!R738,'PROJETO PERFURAÇÃO'!$B:$B,0))="Pre-Splitting","S"))),"")</f>
        <v/>
      </c>
      <c r="R738" s="14">
        <f t="shared" si="71"/>
        <v>1654</v>
      </c>
      <c r="S738" s="4" t="str">
        <f>IFERROR(INDEX('LEV R&amp;D'!$D:$D,MATCH(MEDIÇÃO!R738,'LEV R&amp;D'!$A:$A,0))-INDEX('PROJETO PERFURAÇÃO'!$AH:$AH,MATCH(MEDIÇÃO!R738,'PROJETO PERFURAÇÃO'!$B:$B,0)),"")</f>
        <v/>
      </c>
      <c r="T738" s="8" t="str">
        <f>IFERROR(INDEX('PROJETO PERFURAÇÃO'!$AN:$AN,MATCH(MEDIÇÃO!R738,'PROJETO PERFURAÇÃO'!$B:$B,0)),"")</f>
        <v/>
      </c>
      <c r="U738" s="3"/>
      <c r="V738" s="3"/>
    </row>
    <row r="739" spans="1:23" ht="45" customHeight="1" x14ac:dyDescent="0.25">
      <c r="B739" s="3" t="str">
        <f>IFERROR(ROUND(INDEX('PROJETO PERFURAÇÃO'!$AB:$AB,MATCH(MEDIÇÃO!D739,'PROJETO PERFURAÇÃO'!$B:$B,0)),1)&amp;"''","")</f>
        <v/>
      </c>
      <c r="C739" s="3" t="str">
        <f>IFERROR(IF(INDEX('PROJETO PERFURAÇÃO'!$P:$P,MATCH(MEDIÇÃO!D739,'PROJETO PERFURAÇÃO'!$B:$B,0))="Production","P",IF(INDEX('PROJETO PERFURAÇÃO'!$P:$P,MATCH(MEDIÇÃO!D739,'PROJETO PERFURAÇÃO'!$B:$B,0))="Buffer","B",IF(INDEX('PROJETO PERFURAÇÃO'!$P:$P,MATCH(MEDIÇÃO!D739,'PROJETO PERFURAÇÃO'!$B:$B,0))="Pre-Splitting","S"))),"")</f>
        <v/>
      </c>
      <c r="D739" s="14">
        <f t="shared" si="69"/>
        <v>1609</v>
      </c>
      <c r="E739" s="4" t="str">
        <f>IFERROR(INDEX('LEV R&amp;D'!$D:$D,MATCH(MEDIÇÃO!D739,'LEV R&amp;D'!$A:$A,0))-INDEX('PROJETO PERFURAÇÃO'!$AH:$AH,MATCH(MEDIÇÃO!D739,'PROJETO PERFURAÇÃO'!$B:$B,0)),"")</f>
        <v/>
      </c>
      <c r="F739" s="8" t="str">
        <f>IFERROR(INDEX('PROJETO PERFURAÇÃO'!$AN:$AN,MATCH(MEDIÇÃO!D739,'PROJETO PERFURAÇÃO'!$B:$B,0)),"")</f>
        <v/>
      </c>
      <c r="G739" s="3"/>
      <c r="H739" s="3"/>
      <c r="I739" s="3" t="str">
        <f>IFERROR(ROUND(INDEX('PROJETO PERFURAÇÃO'!$AB:$AB,MATCH(MEDIÇÃO!K739,'PROJETO PERFURAÇÃO'!$B:$B,0)),1)&amp;"''","")</f>
        <v/>
      </c>
      <c r="J739" s="3" t="str">
        <f>IFERROR(IF(INDEX('PROJETO PERFURAÇÃO'!$P:$P,MATCH(MEDIÇÃO!K739,'PROJETO PERFURAÇÃO'!$B:$B,0))="Production","P",IF(INDEX('PROJETO PERFURAÇÃO'!$P:$P,MATCH(MEDIÇÃO!K739,'PROJETO PERFURAÇÃO'!$B:$B,0))="Buffer","B",IF(INDEX('PROJETO PERFURAÇÃO'!$P:$P,MATCH(MEDIÇÃO!K739,'PROJETO PERFURAÇÃO'!$B:$B,0))="Pre-Splitting","S"))),"")</f>
        <v/>
      </c>
      <c r="K739" s="14">
        <f t="shared" si="70"/>
        <v>1632</v>
      </c>
      <c r="L739" s="4" t="str">
        <f>IFERROR(INDEX('LEV R&amp;D'!$D:$D,MATCH(MEDIÇÃO!K739,'LEV R&amp;D'!$A:$A,0))-INDEX('PROJETO PERFURAÇÃO'!$AH:$AH,MATCH(MEDIÇÃO!K739,'PROJETO PERFURAÇÃO'!$B:$B,0)),"")</f>
        <v/>
      </c>
      <c r="M739" s="8" t="str">
        <f>IFERROR(INDEX('PROJETO PERFURAÇÃO'!$AN:$AN,MATCH(MEDIÇÃO!K739,'PROJETO PERFURAÇÃO'!$B:$B,0)),"")</f>
        <v/>
      </c>
      <c r="N739" s="3"/>
      <c r="O739" s="3"/>
      <c r="P739" s="3" t="str">
        <f>IFERROR(ROUND(INDEX('PROJETO PERFURAÇÃO'!$AB:$AB,MATCH(MEDIÇÃO!R739,'PROJETO PERFURAÇÃO'!$B:$B,0)),1)&amp;"''","")</f>
        <v/>
      </c>
      <c r="Q739" s="3" t="str">
        <f>IFERROR(IF(INDEX('PROJETO PERFURAÇÃO'!$P:$P,MATCH(MEDIÇÃO!R739,'PROJETO PERFURAÇÃO'!$B:$B,0))="Production","P",IF(INDEX('PROJETO PERFURAÇÃO'!$P:$P,MATCH(MEDIÇÃO!R739,'PROJETO PERFURAÇÃO'!$B:$B,0))="Buffer","B",IF(INDEX('PROJETO PERFURAÇÃO'!$P:$P,MATCH(MEDIÇÃO!R739,'PROJETO PERFURAÇÃO'!$B:$B,0))="Pre-Splitting","S"))),"")</f>
        <v/>
      </c>
      <c r="R739" s="14">
        <f t="shared" si="71"/>
        <v>1655</v>
      </c>
      <c r="S739" s="4" t="str">
        <f>IFERROR(INDEX('LEV R&amp;D'!$D:$D,MATCH(MEDIÇÃO!R739,'LEV R&amp;D'!$A:$A,0))-INDEX('PROJETO PERFURAÇÃO'!$AH:$AH,MATCH(MEDIÇÃO!R739,'PROJETO PERFURAÇÃO'!$B:$B,0)),"")</f>
        <v/>
      </c>
      <c r="T739" s="8" t="str">
        <f>IFERROR(INDEX('PROJETO PERFURAÇÃO'!$AN:$AN,MATCH(MEDIÇÃO!R739,'PROJETO PERFURAÇÃO'!$B:$B,0)),"")</f>
        <v/>
      </c>
      <c r="U739" s="3"/>
      <c r="V739" s="3"/>
    </row>
    <row r="740" spans="1:23" ht="45" customHeight="1" x14ac:dyDescent="0.25">
      <c r="B740" s="3" t="str">
        <f>IFERROR(ROUND(INDEX('PROJETO PERFURAÇÃO'!$AB:$AB,MATCH(MEDIÇÃO!D740,'PROJETO PERFURAÇÃO'!$B:$B,0)),1)&amp;"''","")</f>
        <v/>
      </c>
      <c r="C740" s="3" t="str">
        <f>IFERROR(IF(INDEX('PROJETO PERFURAÇÃO'!$P:$P,MATCH(MEDIÇÃO!D740,'PROJETO PERFURAÇÃO'!$B:$B,0))="Production","P",IF(INDEX('PROJETO PERFURAÇÃO'!$P:$P,MATCH(MEDIÇÃO!D740,'PROJETO PERFURAÇÃO'!$B:$B,0))="Buffer","B",IF(INDEX('PROJETO PERFURAÇÃO'!$P:$P,MATCH(MEDIÇÃO!D740,'PROJETO PERFURAÇÃO'!$B:$B,0))="Pre-Splitting","S"))),"")</f>
        <v/>
      </c>
      <c r="D740" s="14">
        <f t="shared" si="69"/>
        <v>1610</v>
      </c>
      <c r="E740" s="4" t="str">
        <f>IFERROR(INDEX('LEV R&amp;D'!$D:$D,MATCH(MEDIÇÃO!D740,'LEV R&amp;D'!$A:$A,0))-INDEX('PROJETO PERFURAÇÃO'!$AH:$AH,MATCH(MEDIÇÃO!D740,'PROJETO PERFURAÇÃO'!$B:$B,0)),"")</f>
        <v/>
      </c>
      <c r="F740" s="8" t="str">
        <f>IFERROR(INDEX('PROJETO PERFURAÇÃO'!$AN:$AN,MATCH(MEDIÇÃO!D740,'PROJETO PERFURAÇÃO'!$B:$B,0)),"")</f>
        <v/>
      </c>
      <c r="G740" s="3"/>
      <c r="H740" s="3"/>
      <c r="I740" s="3" t="str">
        <f>IFERROR(ROUND(INDEX('PROJETO PERFURAÇÃO'!$AB:$AB,MATCH(MEDIÇÃO!K740,'PROJETO PERFURAÇÃO'!$B:$B,0)),1)&amp;"''","")</f>
        <v/>
      </c>
      <c r="J740" s="3" t="str">
        <f>IFERROR(IF(INDEX('PROJETO PERFURAÇÃO'!$P:$P,MATCH(MEDIÇÃO!K740,'PROJETO PERFURAÇÃO'!$B:$B,0))="Production","P",IF(INDEX('PROJETO PERFURAÇÃO'!$P:$P,MATCH(MEDIÇÃO!K740,'PROJETO PERFURAÇÃO'!$B:$B,0))="Buffer","B",IF(INDEX('PROJETO PERFURAÇÃO'!$P:$P,MATCH(MEDIÇÃO!K740,'PROJETO PERFURAÇÃO'!$B:$B,0))="Pre-Splitting","S"))),"")</f>
        <v/>
      </c>
      <c r="K740" s="14">
        <f>K739+1</f>
        <v>1633</v>
      </c>
      <c r="L740" s="4" t="str">
        <f>IFERROR(INDEX('LEV R&amp;D'!$D:$D,MATCH(MEDIÇÃO!K740,'LEV R&amp;D'!$A:$A,0))-INDEX('PROJETO PERFURAÇÃO'!$AH:$AH,MATCH(MEDIÇÃO!K740,'PROJETO PERFURAÇÃO'!$B:$B,0)),"")</f>
        <v/>
      </c>
      <c r="M740" s="8" t="str">
        <f>IFERROR(INDEX('PROJETO PERFURAÇÃO'!$AN:$AN,MATCH(MEDIÇÃO!K740,'PROJETO PERFURAÇÃO'!$B:$B,0)),"")</f>
        <v/>
      </c>
      <c r="N740" s="3"/>
      <c r="O740" s="3"/>
      <c r="P740" s="3" t="str">
        <f>IFERROR(ROUND(INDEX('PROJETO PERFURAÇÃO'!$AB:$AB,MATCH(MEDIÇÃO!R740,'PROJETO PERFURAÇÃO'!$B:$B,0)),1)&amp;"''","")</f>
        <v/>
      </c>
      <c r="Q740" s="3" t="str">
        <f>IFERROR(IF(INDEX('PROJETO PERFURAÇÃO'!$P:$P,MATCH(MEDIÇÃO!R740,'PROJETO PERFURAÇÃO'!$B:$B,0))="Production","P",IF(INDEX('PROJETO PERFURAÇÃO'!$P:$P,MATCH(MEDIÇÃO!R740,'PROJETO PERFURAÇÃO'!$B:$B,0))="Buffer","B",IF(INDEX('PROJETO PERFURAÇÃO'!$P:$P,MATCH(MEDIÇÃO!R740,'PROJETO PERFURAÇÃO'!$B:$B,0))="Pre-Splitting","S"))),"")</f>
        <v/>
      </c>
      <c r="R740" s="14">
        <f>R739+1</f>
        <v>1656</v>
      </c>
      <c r="S740" s="4" t="str">
        <f>IFERROR(INDEX('LEV R&amp;D'!$D:$D,MATCH(MEDIÇÃO!R740,'LEV R&amp;D'!$A:$A,0))-INDEX('PROJETO PERFURAÇÃO'!$AH:$AH,MATCH(MEDIÇÃO!R740,'PROJETO PERFURAÇÃO'!$B:$B,0)),"")</f>
        <v/>
      </c>
      <c r="T740" s="8" t="str">
        <f>IFERROR(INDEX('PROJETO PERFURAÇÃO'!$AN:$AN,MATCH(MEDIÇÃO!R740,'PROJETO PERFURAÇÃO'!$B:$B,0)),"")</f>
        <v/>
      </c>
      <c r="U740" s="3"/>
      <c r="V740" s="3"/>
    </row>
    <row r="741" spans="1:23" ht="30" customHeight="1" x14ac:dyDescent="0.25">
      <c r="B741" s="1"/>
      <c r="C741" s="1"/>
      <c r="D741" s="15"/>
      <c r="E741" s="2"/>
      <c r="F741" s="16"/>
      <c r="G741" s="1"/>
      <c r="H741" s="1"/>
      <c r="I741" s="1"/>
      <c r="J741" s="1"/>
      <c r="K741" s="15"/>
      <c r="L741" s="2"/>
      <c r="M741" s="16"/>
      <c r="N741" s="1"/>
      <c r="O741" s="1"/>
      <c r="P741" s="1"/>
      <c r="Q741" s="1"/>
      <c r="R741" s="15"/>
      <c r="S741" s="2"/>
      <c r="T741" s="16"/>
      <c r="U741" s="1"/>
      <c r="V741" s="1"/>
    </row>
    <row r="742" spans="1:23" ht="30" customHeight="1" x14ac:dyDescent="0.25">
      <c r="C742" s="20"/>
      <c r="D742" s="20"/>
      <c r="E742" s="20"/>
      <c r="F742" s="20"/>
      <c r="G742" s="20"/>
      <c r="H742" s="20"/>
      <c r="I742" s="20"/>
      <c r="J742" s="20"/>
      <c r="K742" s="20"/>
      <c r="M742" s="20"/>
      <c r="N742" s="20"/>
      <c r="O742" s="20"/>
      <c r="P742" s="20"/>
      <c r="Q742" s="20"/>
      <c r="R742" s="20"/>
      <c r="S742" s="20"/>
      <c r="T742" s="20"/>
      <c r="U742" s="20"/>
    </row>
    <row r="743" spans="1:23" ht="30" customHeight="1" x14ac:dyDescent="0.25">
      <c r="C743" s="21" t="s">
        <v>40</v>
      </c>
      <c r="D743" s="21"/>
      <c r="E743" s="21"/>
      <c r="F743" s="21"/>
      <c r="G743" s="21"/>
      <c r="H743" s="21"/>
      <c r="I743" s="21"/>
      <c r="J743" s="21"/>
      <c r="K743" s="21"/>
      <c r="L743" s="9"/>
      <c r="M743" s="21" t="s">
        <v>40</v>
      </c>
      <c r="N743" s="21"/>
      <c r="O743" s="21"/>
      <c r="P743" s="21"/>
      <c r="Q743" s="21"/>
      <c r="R743" s="21"/>
      <c r="S743" s="21"/>
      <c r="T743" s="21"/>
      <c r="U743" s="21"/>
      <c r="V743" s="9"/>
    </row>
    <row r="744" spans="1:23" ht="30" customHeight="1" x14ac:dyDescent="0.25">
      <c r="D744" s="9"/>
      <c r="E744" s="9"/>
      <c r="F744" s="9"/>
      <c r="G744" s="9"/>
      <c r="H744" s="9"/>
      <c r="I744" s="9"/>
      <c r="J744" s="9"/>
      <c r="K744" s="9"/>
      <c r="L744" s="9"/>
      <c r="M744" s="9"/>
      <c r="N744" s="9"/>
      <c r="Q744" s="9"/>
      <c r="R744" s="9"/>
      <c r="S744" s="9"/>
      <c r="T744" s="9"/>
      <c r="U744" s="9"/>
      <c r="V744" s="9"/>
    </row>
    <row r="745" spans="1:23" ht="30" customHeight="1" x14ac:dyDescent="0.25">
      <c r="B745" s="19" t="str">
        <f>'PROJETO PERFURAÇÃO'!$C$2&amp;" - "&amp;'PROJETO PERFURAÇÃO'!$H$2</f>
        <v>LIB065 - PP0651026</v>
      </c>
      <c r="C745" s="19"/>
      <c r="D745" s="19"/>
      <c r="E745" s="19"/>
      <c r="F745" s="19"/>
      <c r="G745" s="19"/>
      <c r="H745" s="19"/>
      <c r="I745" s="11" t="s">
        <v>34</v>
      </c>
      <c r="J745" s="10" t="s">
        <v>37</v>
      </c>
    </row>
    <row r="746" spans="1:23" ht="30" customHeight="1" x14ac:dyDescent="0.25">
      <c r="B746" s="19"/>
      <c r="C746" s="19"/>
      <c r="D746" s="19"/>
      <c r="E746" s="19"/>
      <c r="F746" s="19"/>
      <c r="G746" s="19"/>
      <c r="H746" s="19"/>
      <c r="I746" s="12" t="s">
        <v>35</v>
      </c>
      <c r="J746" s="10" t="s">
        <v>38</v>
      </c>
      <c r="K746" s="9"/>
      <c r="L746" s="9"/>
      <c r="M746" s="9"/>
      <c r="N746" s="9"/>
      <c r="O746" s="9"/>
      <c r="P746" s="9"/>
      <c r="Q746" s="9"/>
      <c r="R746" s="9"/>
      <c r="S746" s="9"/>
      <c r="T746" s="9"/>
      <c r="U746" s="9"/>
      <c r="V746" s="9"/>
    </row>
    <row r="747" spans="1:23" ht="30" customHeight="1" x14ac:dyDescent="0.25">
      <c r="B747" s="19"/>
      <c r="C747" s="19"/>
      <c r="D747" s="19"/>
      <c r="E747" s="19"/>
      <c r="F747" s="19"/>
      <c r="G747" s="19"/>
      <c r="H747" s="19"/>
      <c r="I747" s="13" t="s">
        <v>36</v>
      </c>
      <c r="J747" s="10" t="s">
        <v>39</v>
      </c>
    </row>
    <row r="748" spans="1:23" ht="30" customHeight="1" x14ac:dyDescent="0.25">
      <c r="A748" s="1"/>
      <c r="B748" s="6" t="s">
        <v>33</v>
      </c>
      <c r="C748" s="6" t="s">
        <v>13</v>
      </c>
      <c r="D748" s="7" t="s">
        <v>1</v>
      </c>
      <c r="E748" s="7" t="s">
        <v>29</v>
      </c>
      <c r="F748" s="7" t="s">
        <v>30</v>
      </c>
      <c r="G748" s="7" t="s">
        <v>31</v>
      </c>
      <c r="H748" s="7" t="s">
        <v>32</v>
      </c>
      <c r="I748" s="6" t="s">
        <v>33</v>
      </c>
      <c r="J748" s="6" t="s">
        <v>13</v>
      </c>
      <c r="K748" s="7" t="s">
        <v>1</v>
      </c>
      <c r="L748" s="7" t="s">
        <v>29</v>
      </c>
      <c r="M748" s="7" t="s">
        <v>30</v>
      </c>
      <c r="N748" s="7" t="s">
        <v>31</v>
      </c>
      <c r="O748" s="7" t="s">
        <v>32</v>
      </c>
      <c r="P748" s="6" t="s">
        <v>33</v>
      </c>
      <c r="Q748" s="6" t="s">
        <v>13</v>
      </c>
      <c r="R748" s="7" t="s">
        <v>1</v>
      </c>
      <c r="S748" s="7" t="s">
        <v>29</v>
      </c>
      <c r="T748" s="7" t="s">
        <v>30</v>
      </c>
      <c r="U748" s="7" t="s">
        <v>31</v>
      </c>
      <c r="V748" s="7" t="s">
        <v>32</v>
      </c>
      <c r="W748" s="1"/>
    </row>
    <row r="749" spans="1:23" ht="45" customHeight="1" x14ac:dyDescent="0.25">
      <c r="B749" s="3" t="str">
        <f>IFERROR(ROUND(INDEX('PROJETO PERFURAÇÃO'!$AB:$AB,MATCH(MEDIÇÃO!D749,'PROJETO PERFURAÇÃO'!$B:$B,0)),1)&amp;"''","")</f>
        <v/>
      </c>
      <c r="C749" s="3" t="str">
        <f>IFERROR(IF(INDEX('PROJETO PERFURAÇÃO'!$P:$P,MATCH(MEDIÇÃO!D749,'PROJETO PERFURAÇÃO'!$B:$B,0))="Production","P",IF(INDEX('PROJETO PERFURAÇÃO'!$P:$P,MATCH(MEDIÇÃO!D749,'PROJETO PERFURAÇÃO'!$B:$B,0))="Buffer","B",IF(INDEX('PROJETO PERFURAÇÃO'!$P:$P,MATCH(MEDIÇÃO!D749,'PROJETO PERFURAÇÃO'!$B:$B,0))="Pre-Splitting","S"))),"")</f>
        <v/>
      </c>
      <c r="D749" s="14">
        <f>R740+1</f>
        <v>1657</v>
      </c>
      <c r="E749" s="4" t="str">
        <f>IFERROR(INDEX('LEV R&amp;D'!$D:$D,MATCH(MEDIÇÃO!D749,'LEV R&amp;D'!$A:$A,0))-INDEX('PROJETO PERFURAÇÃO'!$AH:$AH,MATCH(MEDIÇÃO!D749,'PROJETO PERFURAÇÃO'!$B:$B,0)),"")</f>
        <v/>
      </c>
      <c r="F749" s="8" t="str">
        <f>IFERROR(INDEX('PROJETO PERFURAÇÃO'!$AN:$AN,MATCH(MEDIÇÃO!D749,'PROJETO PERFURAÇÃO'!$B:$B,0)),"")</f>
        <v/>
      </c>
      <c r="G749" s="3"/>
      <c r="H749" s="3"/>
      <c r="I749" s="3" t="str">
        <f>IFERROR(ROUND(INDEX('PROJETO PERFURAÇÃO'!$AB:$AB,MATCH(MEDIÇÃO!K749,'PROJETO PERFURAÇÃO'!$B:$B,0)),1)&amp;"''","")</f>
        <v/>
      </c>
      <c r="J749" s="3" t="str">
        <f>IFERROR(IF(INDEX('PROJETO PERFURAÇÃO'!$P:$P,MATCH(MEDIÇÃO!K749,'PROJETO PERFURAÇÃO'!$B:$B,0))="Production","P",IF(INDEX('PROJETO PERFURAÇÃO'!$P:$P,MATCH(MEDIÇÃO!K749,'PROJETO PERFURAÇÃO'!$B:$B,0))="Buffer","B",IF(INDEX('PROJETO PERFURAÇÃO'!$P:$P,MATCH(MEDIÇÃO!K749,'PROJETO PERFURAÇÃO'!$B:$B,0))="Pre-Splitting","S"))),"")</f>
        <v/>
      </c>
      <c r="K749" s="14">
        <f>D771+1</f>
        <v>1680</v>
      </c>
      <c r="L749" s="4" t="str">
        <f>IFERROR(INDEX('LEV R&amp;D'!$D:$D,MATCH(MEDIÇÃO!K749,'LEV R&amp;D'!$A:$A,0))-INDEX('PROJETO PERFURAÇÃO'!$AH:$AH,MATCH(MEDIÇÃO!K749,'PROJETO PERFURAÇÃO'!$B:$B,0)),"")</f>
        <v/>
      </c>
      <c r="M749" s="8" t="str">
        <f>IFERROR(INDEX('PROJETO PERFURAÇÃO'!$AN:$AN,MATCH(MEDIÇÃO!K749,'PROJETO PERFURAÇÃO'!$B:$B,0)),"")</f>
        <v/>
      </c>
      <c r="N749" s="3"/>
      <c r="O749" s="3"/>
      <c r="P749" s="3" t="str">
        <f>IFERROR(ROUND(INDEX('PROJETO PERFURAÇÃO'!$AB:$AB,MATCH(MEDIÇÃO!R749,'PROJETO PERFURAÇÃO'!$B:$B,0)),1)&amp;"''","")</f>
        <v/>
      </c>
      <c r="Q749" s="3" t="str">
        <f>IFERROR(IF(INDEX('PROJETO PERFURAÇÃO'!$P:$P,MATCH(MEDIÇÃO!R749,'PROJETO PERFURAÇÃO'!$B:$B,0))="Production","P",IF(INDEX('PROJETO PERFURAÇÃO'!$P:$P,MATCH(MEDIÇÃO!R749,'PROJETO PERFURAÇÃO'!$B:$B,0))="Buffer","B",IF(INDEX('PROJETO PERFURAÇÃO'!$P:$P,MATCH(MEDIÇÃO!R749,'PROJETO PERFURAÇÃO'!$B:$B,0))="Pre-Splitting","S"))),"")</f>
        <v/>
      </c>
      <c r="R749" s="14">
        <f>K771+1</f>
        <v>1703</v>
      </c>
      <c r="S749" s="4" t="str">
        <f>IFERROR(INDEX('LEV R&amp;D'!$D:$D,MATCH(MEDIÇÃO!R749,'LEV R&amp;D'!$A:$A,0))-INDEX('PROJETO PERFURAÇÃO'!$AH:$AH,MATCH(MEDIÇÃO!R749,'PROJETO PERFURAÇÃO'!$B:$B,0)),"")</f>
        <v/>
      </c>
      <c r="T749" s="8" t="str">
        <f>IFERROR(INDEX('PROJETO PERFURAÇÃO'!$AN:$AN,MATCH(MEDIÇÃO!R749,'PROJETO PERFURAÇÃO'!$B:$B,0)),"")</f>
        <v/>
      </c>
      <c r="U749" s="3"/>
      <c r="V749" s="3"/>
    </row>
    <row r="750" spans="1:23" ht="45" customHeight="1" x14ac:dyDescent="0.25">
      <c r="B750" s="3" t="str">
        <f>IFERROR(ROUND(INDEX('PROJETO PERFURAÇÃO'!$AB:$AB,MATCH(MEDIÇÃO!D750,'PROJETO PERFURAÇÃO'!$B:$B,0)),1)&amp;"''","")</f>
        <v/>
      </c>
      <c r="C750" s="3" t="str">
        <f>IFERROR(IF(INDEX('PROJETO PERFURAÇÃO'!$P:$P,MATCH(MEDIÇÃO!D750,'PROJETO PERFURAÇÃO'!$B:$B,0))="Production","P",IF(INDEX('PROJETO PERFURAÇÃO'!$P:$P,MATCH(MEDIÇÃO!D750,'PROJETO PERFURAÇÃO'!$B:$B,0))="Buffer","B",IF(INDEX('PROJETO PERFURAÇÃO'!$P:$P,MATCH(MEDIÇÃO!D750,'PROJETO PERFURAÇÃO'!$B:$B,0))="Pre-Splitting","S"))),"")</f>
        <v/>
      </c>
      <c r="D750" s="14">
        <f>D749+1</f>
        <v>1658</v>
      </c>
      <c r="E750" s="4" t="str">
        <f>IFERROR(INDEX('LEV R&amp;D'!$D:$D,MATCH(MEDIÇÃO!D750,'LEV R&amp;D'!$A:$A,0))-INDEX('PROJETO PERFURAÇÃO'!$AH:$AH,MATCH(MEDIÇÃO!D750,'PROJETO PERFURAÇÃO'!$B:$B,0)),"")</f>
        <v/>
      </c>
      <c r="F750" s="8" t="str">
        <f>IFERROR(INDEX('PROJETO PERFURAÇÃO'!$AN:$AN,MATCH(MEDIÇÃO!D750,'PROJETO PERFURAÇÃO'!$B:$B,0)),"")</f>
        <v/>
      </c>
      <c r="G750" s="3"/>
      <c r="H750" s="3"/>
      <c r="I750" s="3" t="str">
        <f>IFERROR(ROUND(INDEX('PROJETO PERFURAÇÃO'!$AB:$AB,MATCH(MEDIÇÃO!K750,'PROJETO PERFURAÇÃO'!$B:$B,0)),1)&amp;"''","")</f>
        <v/>
      </c>
      <c r="J750" s="3" t="str">
        <f>IFERROR(IF(INDEX('PROJETO PERFURAÇÃO'!$P:$P,MATCH(MEDIÇÃO!K750,'PROJETO PERFURAÇÃO'!$B:$B,0))="Production","P",IF(INDEX('PROJETO PERFURAÇÃO'!$P:$P,MATCH(MEDIÇÃO!K750,'PROJETO PERFURAÇÃO'!$B:$B,0))="Buffer","B",IF(INDEX('PROJETO PERFURAÇÃO'!$P:$P,MATCH(MEDIÇÃO!K750,'PROJETO PERFURAÇÃO'!$B:$B,0))="Pre-Splitting","S"))),"")</f>
        <v/>
      </c>
      <c r="K750" s="14">
        <f>K749+1</f>
        <v>1681</v>
      </c>
      <c r="L750" s="4" t="str">
        <f>IFERROR(INDEX('LEV R&amp;D'!$D:$D,MATCH(MEDIÇÃO!K750,'LEV R&amp;D'!$A:$A,0))-INDEX('PROJETO PERFURAÇÃO'!$AH:$AH,MATCH(MEDIÇÃO!K750,'PROJETO PERFURAÇÃO'!$B:$B,0)),"")</f>
        <v/>
      </c>
      <c r="M750" s="8" t="str">
        <f>IFERROR(INDEX('PROJETO PERFURAÇÃO'!$AN:$AN,MATCH(MEDIÇÃO!K750,'PROJETO PERFURAÇÃO'!$B:$B,0)),"")</f>
        <v/>
      </c>
      <c r="N750" s="3"/>
      <c r="O750" s="3"/>
      <c r="P750" s="3" t="str">
        <f>IFERROR(ROUND(INDEX('PROJETO PERFURAÇÃO'!$AB:$AB,MATCH(MEDIÇÃO!R750,'PROJETO PERFURAÇÃO'!$B:$B,0)),1)&amp;"''","")</f>
        <v/>
      </c>
      <c r="Q750" s="3" t="str">
        <f>IFERROR(IF(INDEX('PROJETO PERFURAÇÃO'!$P:$P,MATCH(MEDIÇÃO!R750,'PROJETO PERFURAÇÃO'!$B:$B,0))="Production","P",IF(INDEX('PROJETO PERFURAÇÃO'!$P:$P,MATCH(MEDIÇÃO!R750,'PROJETO PERFURAÇÃO'!$B:$B,0))="Buffer","B",IF(INDEX('PROJETO PERFURAÇÃO'!$P:$P,MATCH(MEDIÇÃO!R750,'PROJETO PERFURAÇÃO'!$B:$B,0))="Pre-Splitting","S"))),"")</f>
        <v/>
      </c>
      <c r="R750" s="14">
        <f>R749+1</f>
        <v>1704</v>
      </c>
      <c r="S750" s="4" t="str">
        <f>IFERROR(INDEX('LEV R&amp;D'!$D:$D,MATCH(MEDIÇÃO!R750,'LEV R&amp;D'!$A:$A,0))-INDEX('PROJETO PERFURAÇÃO'!$AH:$AH,MATCH(MEDIÇÃO!R750,'PROJETO PERFURAÇÃO'!$B:$B,0)),"")</f>
        <v/>
      </c>
      <c r="T750" s="8" t="str">
        <f>IFERROR(INDEX('PROJETO PERFURAÇÃO'!$AN:$AN,MATCH(MEDIÇÃO!R750,'PROJETO PERFURAÇÃO'!$B:$B,0)),"")</f>
        <v/>
      </c>
      <c r="U750" s="3"/>
      <c r="V750" s="3"/>
    </row>
    <row r="751" spans="1:23" ht="45" customHeight="1" x14ac:dyDescent="0.25">
      <c r="B751" s="3" t="str">
        <f>IFERROR(ROUND(INDEX('PROJETO PERFURAÇÃO'!$AB:$AB,MATCH(MEDIÇÃO!D751,'PROJETO PERFURAÇÃO'!$B:$B,0)),1)&amp;"''","")</f>
        <v/>
      </c>
      <c r="C751" s="3" t="str">
        <f>IFERROR(IF(INDEX('PROJETO PERFURAÇÃO'!$P:$P,MATCH(MEDIÇÃO!D751,'PROJETO PERFURAÇÃO'!$B:$B,0))="Production","P",IF(INDEX('PROJETO PERFURAÇÃO'!$P:$P,MATCH(MEDIÇÃO!D751,'PROJETO PERFURAÇÃO'!$B:$B,0))="Buffer","B",IF(INDEX('PROJETO PERFURAÇÃO'!$P:$P,MATCH(MEDIÇÃO!D751,'PROJETO PERFURAÇÃO'!$B:$B,0))="Pre-Splitting","S"))),"")</f>
        <v/>
      </c>
      <c r="D751" s="14">
        <f t="shared" ref="D751:D771" si="72">D750+1</f>
        <v>1659</v>
      </c>
      <c r="E751" s="4" t="str">
        <f>IFERROR(INDEX('LEV R&amp;D'!$D:$D,MATCH(MEDIÇÃO!D751,'LEV R&amp;D'!$A:$A,0))-INDEX('PROJETO PERFURAÇÃO'!$AH:$AH,MATCH(MEDIÇÃO!D751,'PROJETO PERFURAÇÃO'!$B:$B,0)),"")</f>
        <v/>
      </c>
      <c r="F751" s="8" t="str">
        <f>IFERROR(INDEX('PROJETO PERFURAÇÃO'!$AN:$AN,MATCH(MEDIÇÃO!D751,'PROJETO PERFURAÇÃO'!$B:$B,0)),"")</f>
        <v/>
      </c>
      <c r="G751" s="3"/>
      <c r="H751" s="3"/>
      <c r="I751" s="3" t="str">
        <f>IFERROR(ROUND(INDEX('PROJETO PERFURAÇÃO'!$AB:$AB,MATCH(MEDIÇÃO!K751,'PROJETO PERFURAÇÃO'!$B:$B,0)),1)&amp;"''","")</f>
        <v/>
      </c>
      <c r="J751" s="3" t="str">
        <f>IFERROR(IF(INDEX('PROJETO PERFURAÇÃO'!$P:$P,MATCH(MEDIÇÃO!K751,'PROJETO PERFURAÇÃO'!$B:$B,0))="Production","P",IF(INDEX('PROJETO PERFURAÇÃO'!$P:$P,MATCH(MEDIÇÃO!K751,'PROJETO PERFURAÇÃO'!$B:$B,0))="Buffer","B",IF(INDEX('PROJETO PERFURAÇÃO'!$P:$P,MATCH(MEDIÇÃO!K751,'PROJETO PERFURAÇÃO'!$B:$B,0))="Pre-Splitting","S"))),"")</f>
        <v/>
      </c>
      <c r="K751" s="14">
        <f t="shared" ref="K751:K770" si="73">K750+1</f>
        <v>1682</v>
      </c>
      <c r="L751" s="4" t="str">
        <f>IFERROR(INDEX('LEV R&amp;D'!$D:$D,MATCH(MEDIÇÃO!K751,'LEV R&amp;D'!$A:$A,0))-INDEX('PROJETO PERFURAÇÃO'!$AH:$AH,MATCH(MEDIÇÃO!K751,'PROJETO PERFURAÇÃO'!$B:$B,0)),"")</f>
        <v/>
      </c>
      <c r="M751" s="8" t="str">
        <f>IFERROR(INDEX('PROJETO PERFURAÇÃO'!$AN:$AN,MATCH(MEDIÇÃO!K751,'PROJETO PERFURAÇÃO'!$B:$B,0)),"")</f>
        <v/>
      </c>
      <c r="N751" s="3"/>
      <c r="O751" s="3"/>
      <c r="P751" s="3" t="str">
        <f>IFERROR(ROUND(INDEX('PROJETO PERFURAÇÃO'!$AB:$AB,MATCH(MEDIÇÃO!R751,'PROJETO PERFURAÇÃO'!$B:$B,0)),1)&amp;"''","")</f>
        <v/>
      </c>
      <c r="Q751" s="3" t="str">
        <f>IFERROR(IF(INDEX('PROJETO PERFURAÇÃO'!$P:$P,MATCH(MEDIÇÃO!R751,'PROJETO PERFURAÇÃO'!$B:$B,0))="Production","P",IF(INDEX('PROJETO PERFURAÇÃO'!$P:$P,MATCH(MEDIÇÃO!R751,'PROJETO PERFURAÇÃO'!$B:$B,0))="Buffer","B",IF(INDEX('PROJETO PERFURAÇÃO'!$P:$P,MATCH(MEDIÇÃO!R751,'PROJETO PERFURAÇÃO'!$B:$B,0))="Pre-Splitting","S"))),"")</f>
        <v/>
      </c>
      <c r="R751" s="14">
        <f t="shared" ref="R751:R770" si="74">R750+1</f>
        <v>1705</v>
      </c>
      <c r="S751" s="4" t="str">
        <f>IFERROR(INDEX('LEV R&amp;D'!$D:$D,MATCH(MEDIÇÃO!R751,'LEV R&amp;D'!$A:$A,0))-INDEX('PROJETO PERFURAÇÃO'!$AH:$AH,MATCH(MEDIÇÃO!R751,'PROJETO PERFURAÇÃO'!$B:$B,0)),"")</f>
        <v/>
      </c>
      <c r="T751" s="8" t="str">
        <f>IFERROR(INDEX('PROJETO PERFURAÇÃO'!$AN:$AN,MATCH(MEDIÇÃO!R751,'PROJETO PERFURAÇÃO'!$B:$B,0)),"")</f>
        <v/>
      </c>
      <c r="U751" s="3"/>
      <c r="V751" s="3"/>
    </row>
    <row r="752" spans="1:23" ht="45" customHeight="1" x14ac:dyDescent="0.25">
      <c r="B752" s="3" t="str">
        <f>IFERROR(ROUND(INDEX('PROJETO PERFURAÇÃO'!$AB:$AB,MATCH(MEDIÇÃO!D752,'PROJETO PERFURAÇÃO'!$B:$B,0)),1)&amp;"''","")</f>
        <v/>
      </c>
      <c r="C752" s="3" t="str">
        <f>IFERROR(IF(INDEX('PROJETO PERFURAÇÃO'!$P:$P,MATCH(MEDIÇÃO!D752,'PROJETO PERFURAÇÃO'!$B:$B,0))="Production","P",IF(INDEX('PROJETO PERFURAÇÃO'!$P:$P,MATCH(MEDIÇÃO!D752,'PROJETO PERFURAÇÃO'!$B:$B,0))="Buffer","B",IF(INDEX('PROJETO PERFURAÇÃO'!$P:$P,MATCH(MEDIÇÃO!D752,'PROJETO PERFURAÇÃO'!$B:$B,0))="Pre-Splitting","S"))),"")</f>
        <v/>
      </c>
      <c r="D752" s="14">
        <f t="shared" si="72"/>
        <v>1660</v>
      </c>
      <c r="E752" s="4" t="str">
        <f>IFERROR(INDEX('LEV R&amp;D'!$D:$D,MATCH(MEDIÇÃO!D752,'LEV R&amp;D'!$A:$A,0))-INDEX('PROJETO PERFURAÇÃO'!$AH:$AH,MATCH(MEDIÇÃO!D752,'PROJETO PERFURAÇÃO'!$B:$B,0)),"")</f>
        <v/>
      </c>
      <c r="F752" s="8" t="str">
        <f>IFERROR(INDEX('PROJETO PERFURAÇÃO'!$AN:$AN,MATCH(MEDIÇÃO!D752,'PROJETO PERFURAÇÃO'!$B:$B,0)),"")</f>
        <v/>
      </c>
      <c r="G752" s="3"/>
      <c r="H752" s="3"/>
      <c r="I752" s="3" t="str">
        <f>IFERROR(ROUND(INDEX('PROJETO PERFURAÇÃO'!$AB:$AB,MATCH(MEDIÇÃO!K752,'PROJETO PERFURAÇÃO'!$B:$B,0)),1)&amp;"''","")</f>
        <v/>
      </c>
      <c r="J752" s="3" t="str">
        <f>IFERROR(IF(INDEX('PROJETO PERFURAÇÃO'!$P:$P,MATCH(MEDIÇÃO!K752,'PROJETO PERFURAÇÃO'!$B:$B,0))="Production","P",IF(INDEX('PROJETO PERFURAÇÃO'!$P:$P,MATCH(MEDIÇÃO!K752,'PROJETO PERFURAÇÃO'!$B:$B,0))="Buffer","B",IF(INDEX('PROJETO PERFURAÇÃO'!$P:$P,MATCH(MEDIÇÃO!K752,'PROJETO PERFURAÇÃO'!$B:$B,0))="Pre-Splitting","S"))),"")</f>
        <v/>
      </c>
      <c r="K752" s="14">
        <f t="shared" si="73"/>
        <v>1683</v>
      </c>
      <c r="L752" s="4" t="str">
        <f>IFERROR(INDEX('LEV R&amp;D'!$D:$D,MATCH(MEDIÇÃO!K752,'LEV R&amp;D'!$A:$A,0))-INDEX('PROJETO PERFURAÇÃO'!$AH:$AH,MATCH(MEDIÇÃO!K752,'PROJETO PERFURAÇÃO'!$B:$B,0)),"")</f>
        <v/>
      </c>
      <c r="M752" s="8" t="str">
        <f>IFERROR(INDEX('PROJETO PERFURAÇÃO'!$AN:$AN,MATCH(MEDIÇÃO!K752,'PROJETO PERFURAÇÃO'!$B:$B,0)),"")</f>
        <v/>
      </c>
      <c r="N752" s="3"/>
      <c r="O752" s="3"/>
      <c r="P752" s="3" t="str">
        <f>IFERROR(ROUND(INDEX('PROJETO PERFURAÇÃO'!$AB:$AB,MATCH(MEDIÇÃO!R752,'PROJETO PERFURAÇÃO'!$B:$B,0)),1)&amp;"''","")</f>
        <v/>
      </c>
      <c r="Q752" s="3" t="str">
        <f>IFERROR(IF(INDEX('PROJETO PERFURAÇÃO'!$P:$P,MATCH(MEDIÇÃO!R752,'PROJETO PERFURAÇÃO'!$B:$B,0))="Production","P",IF(INDEX('PROJETO PERFURAÇÃO'!$P:$P,MATCH(MEDIÇÃO!R752,'PROJETO PERFURAÇÃO'!$B:$B,0))="Buffer","B",IF(INDEX('PROJETO PERFURAÇÃO'!$P:$P,MATCH(MEDIÇÃO!R752,'PROJETO PERFURAÇÃO'!$B:$B,0))="Pre-Splitting","S"))),"")</f>
        <v/>
      </c>
      <c r="R752" s="14">
        <f t="shared" si="74"/>
        <v>1706</v>
      </c>
      <c r="S752" s="4" t="str">
        <f>IFERROR(INDEX('LEV R&amp;D'!$D:$D,MATCH(MEDIÇÃO!R752,'LEV R&amp;D'!$A:$A,0))-INDEX('PROJETO PERFURAÇÃO'!$AH:$AH,MATCH(MEDIÇÃO!R752,'PROJETO PERFURAÇÃO'!$B:$B,0)),"")</f>
        <v/>
      </c>
      <c r="T752" s="8" t="str">
        <f>IFERROR(INDEX('PROJETO PERFURAÇÃO'!$AN:$AN,MATCH(MEDIÇÃO!R752,'PROJETO PERFURAÇÃO'!$B:$B,0)),"")</f>
        <v/>
      </c>
      <c r="U752" s="3"/>
      <c r="V752" s="3"/>
    </row>
    <row r="753" spans="2:22" ht="45" customHeight="1" x14ac:dyDescent="0.25">
      <c r="B753" s="3" t="str">
        <f>IFERROR(ROUND(INDEX('PROJETO PERFURAÇÃO'!$AB:$AB,MATCH(MEDIÇÃO!D753,'PROJETO PERFURAÇÃO'!$B:$B,0)),1)&amp;"''","")</f>
        <v/>
      </c>
      <c r="C753" s="3" t="str">
        <f>IFERROR(IF(INDEX('PROJETO PERFURAÇÃO'!$P:$P,MATCH(MEDIÇÃO!D753,'PROJETO PERFURAÇÃO'!$B:$B,0))="Production","P",IF(INDEX('PROJETO PERFURAÇÃO'!$P:$P,MATCH(MEDIÇÃO!D753,'PROJETO PERFURAÇÃO'!$B:$B,0))="Buffer","B",IF(INDEX('PROJETO PERFURAÇÃO'!$P:$P,MATCH(MEDIÇÃO!D753,'PROJETO PERFURAÇÃO'!$B:$B,0))="Pre-Splitting","S"))),"")</f>
        <v/>
      </c>
      <c r="D753" s="14">
        <f t="shared" si="72"/>
        <v>1661</v>
      </c>
      <c r="E753" s="4" t="str">
        <f>IFERROR(INDEX('LEV R&amp;D'!$D:$D,MATCH(MEDIÇÃO!D753,'LEV R&amp;D'!$A:$A,0))-INDEX('PROJETO PERFURAÇÃO'!$AH:$AH,MATCH(MEDIÇÃO!D753,'PROJETO PERFURAÇÃO'!$B:$B,0)),"")</f>
        <v/>
      </c>
      <c r="F753" s="8" t="str">
        <f>IFERROR(INDEX('PROJETO PERFURAÇÃO'!$AN:$AN,MATCH(MEDIÇÃO!D753,'PROJETO PERFURAÇÃO'!$B:$B,0)),"")</f>
        <v/>
      </c>
      <c r="G753" s="3"/>
      <c r="H753" s="3"/>
      <c r="I753" s="3" t="str">
        <f>IFERROR(ROUND(INDEX('PROJETO PERFURAÇÃO'!$AB:$AB,MATCH(MEDIÇÃO!K753,'PROJETO PERFURAÇÃO'!$B:$B,0)),1)&amp;"''","")</f>
        <v/>
      </c>
      <c r="J753" s="3" t="str">
        <f>IFERROR(IF(INDEX('PROJETO PERFURAÇÃO'!$P:$P,MATCH(MEDIÇÃO!K753,'PROJETO PERFURAÇÃO'!$B:$B,0))="Production","P",IF(INDEX('PROJETO PERFURAÇÃO'!$P:$P,MATCH(MEDIÇÃO!K753,'PROJETO PERFURAÇÃO'!$B:$B,0))="Buffer","B",IF(INDEX('PROJETO PERFURAÇÃO'!$P:$P,MATCH(MEDIÇÃO!K753,'PROJETO PERFURAÇÃO'!$B:$B,0))="Pre-Splitting","S"))),"")</f>
        <v/>
      </c>
      <c r="K753" s="14">
        <f t="shared" si="73"/>
        <v>1684</v>
      </c>
      <c r="L753" s="4" t="str">
        <f>IFERROR(INDEX('LEV R&amp;D'!$D:$D,MATCH(MEDIÇÃO!K753,'LEV R&amp;D'!$A:$A,0))-INDEX('PROJETO PERFURAÇÃO'!$AH:$AH,MATCH(MEDIÇÃO!K753,'PROJETO PERFURAÇÃO'!$B:$B,0)),"")</f>
        <v/>
      </c>
      <c r="M753" s="8" t="str">
        <f>IFERROR(INDEX('PROJETO PERFURAÇÃO'!$AN:$AN,MATCH(MEDIÇÃO!K753,'PROJETO PERFURAÇÃO'!$B:$B,0)),"")</f>
        <v/>
      </c>
      <c r="N753" s="3"/>
      <c r="O753" s="3"/>
      <c r="P753" s="3" t="str">
        <f>IFERROR(ROUND(INDEX('PROJETO PERFURAÇÃO'!$AB:$AB,MATCH(MEDIÇÃO!R753,'PROJETO PERFURAÇÃO'!$B:$B,0)),1)&amp;"''","")</f>
        <v/>
      </c>
      <c r="Q753" s="3" t="str">
        <f>IFERROR(IF(INDEX('PROJETO PERFURAÇÃO'!$P:$P,MATCH(MEDIÇÃO!R753,'PROJETO PERFURAÇÃO'!$B:$B,0))="Production","P",IF(INDEX('PROJETO PERFURAÇÃO'!$P:$P,MATCH(MEDIÇÃO!R753,'PROJETO PERFURAÇÃO'!$B:$B,0))="Buffer","B",IF(INDEX('PROJETO PERFURAÇÃO'!$P:$P,MATCH(MEDIÇÃO!R753,'PROJETO PERFURAÇÃO'!$B:$B,0))="Pre-Splitting","S"))),"")</f>
        <v/>
      </c>
      <c r="R753" s="14">
        <f t="shared" si="74"/>
        <v>1707</v>
      </c>
      <c r="S753" s="4" t="str">
        <f>IFERROR(INDEX('LEV R&amp;D'!$D:$D,MATCH(MEDIÇÃO!R753,'LEV R&amp;D'!$A:$A,0))-INDEX('PROJETO PERFURAÇÃO'!$AH:$AH,MATCH(MEDIÇÃO!R753,'PROJETO PERFURAÇÃO'!$B:$B,0)),"")</f>
        <v/>
      </c>
      <c r="T753" s="8" t="str">
        <f>IFERROR(INDEX('PROJETO PERFURAÇÃO'!$AN:$AN,MATCH(MEDIÇÃO!R753,'PROJETO PERFURAÇÃO'!$B:$B,0)),"")</f>
        <v/>
      </c>
      <c r="U753" s="3"/>
      <c r="V753" s="3"/>
    </row>
    <row r="754" spans="2:22" ht="45" customHeight="1" x14ac:dyDescent="0.25">
      <c r="B754" s="3" t="str">
        <f>IFERROR(ROUND(INDEX('PROJETO PERFURAÇÃO'!$AB:$AB,MATCH(MEDIÇÃO!D754,'PROJETO PERFURAÇÃO'!$B:$B,0)),1)&amp;"''","")</f>
        <v/>
      </c>
      <c r="C754" s="3" t="str">
        <f>IFERROR(IF(INDEX('PROJETO PERFURAÇÃO'!$P:$P,MATCH(MEDIÇÃO!D754,'PROJETO PERFURAÇÃO'!$B:$B,0))="Production","P",IF(INDEX('PROJETO PERFURAÇÃO'!$P:$P,MATCH(MEDIÇÃO!D754,'PROJETO PERFURAÇÃO'!$B:$B,0))="Buffer","B",IF(INDEX('PROJETO PERFURAÇÃO'!$P:$P,MATCH(MEDIÇÃO!D754,'PROJETO PERFURAÇÃO'!$B:$B,0))="Pre-Splitting","S"))),"")</f>
        <v/>
      </c>
      <c r="D754" s="14">
        <f t="shared" si="72"/>
        <v>1662</v>
      </c>
      <c r="E754" s="4" t="str">
        <f>IFERROR(INDEX('LEV R&amp;D'!$D:$D,MATCH(MEDIÇÃO!D754,'LEV R&amp;D'!$A:$A,0))-INDEX('PROJETO PERFURAÇÃO'!$AH:$AH,MATCH(MEDIÇÃO!D754,'PROJETO PERFURAÇÃO'!$B:$B,0)),"")</f>
        <v/>
      </c>
      <c r="F754" s="8" t="str">
        <f>IFERROR(INDEX('PROJETO PERFURAÇÃO'!$AN:$AN,MATCH(MEDIÇÃO!D754,'PROJETO PERFURAÇÃO'!$B:$B,0)),"")</f>
        <v/>
      </c>
      <c r="G754" s="3"/>
      <c r="H754" s="3"/>
      <c r="I754" s="3" t="str">
        <f>IFERROR(ROUND(INDEX('PROJETO PERFURAÇÃO'!$AB:$AB,MATCH(MEDIÇÃO!K754,'PROJETO PERFURAÇÃO'!$B:$B,0)),1)&amp;"''","")</f>
        <v/>
      </c>
      <c r="J754" s="3" t="str">
        <f>IFERROR(IF(INDEX('PROJETO PERFURAÇÃO'!$P:$P,MATCH(MEDIÇÃO!K754,'PROJETO PERFURAÇÃO'!$B:$B,0))="Production","P",IF(INDEX('PROJETO PERFURAÇÃO'!$P:$P,MATCH(MEDIÇÃO!K754,'PROJETO PERFURAÇÃO'!$B:$B,0))="Buffer","B",IF(INDEX('PROJETO PERFURAÇÃO'!$P:$P,MATCH(MEDIÇÃO!K754,'PROJETO PERFURAÇÃO'!$B:$B,0))="Pre-Splitting","S"))),"")</f>
        <v/>
      </c>
      <c r="K754" s="14">
        <f t="shared" si="73"/>
        <v>1685</v>
      </c>
      <c r="L754" s="4" t="str">
        <f>IFERROR(INDEX('LEV R&amp;D'!$D:$D,MATCH(MEDIÇÃO!K754,'LEV R&amp;D'!$A:$A,0))-INDEX('PROJETO PERFURAÇÃO'!$AH:$AH,MATCH(MEDIÇÃO!K754,'PROJETO PERFURAÇÃO'!$B:$B,0)),"")</f>
        <v/>
      </c>
      <c r="M754" s="8" t="str">
        <f>IFERROR(INDEX('PROJETO PERFURAÇÃO'!$AN:$AN,MATCH(MEDIÇÃO!K754,'PROJETO PERFURAÇÃO'!$B:$B,0)),"")</f>
        <v/>
      </c>
      <c r="N754" s="3"/>
      <c r="O754" s="3"/>
      <c r="P754" s="3" t="str">
        <f>IFERROR(ROUND(INDEX('PROJETO PERFURAÇÃO'!$AB:$AB,MATCH(MEDIÇÃO!R754,'PROJETO PERFURAÇÃO'!$B:$B,0)),1)&amp;"''","")</f>
        <v/>
      </c>
      <c r="Q754" s="3" t="str">
        <f>IFERROR(IF(INDEX('PROJETO PERFURAÇÃO'!$P:$P,MATCH(MEDIÇÃO!R754,'PROJETO PERFURAÇÃO'!$B:$B,0))="Production","P",IF(INDEX('PROJETO PERFURAÇÃO'!$P:$P,MATCH(MEDIÇÃO!R754,'PROJETO PERFURAÇÃO'!$B:$B,0))="Buffer","B",IF(INDEX('PROJETO PERFURAÇÃO'!$P:$P,MATCH(MEDIÇÃO!R754,'PROJETO PERFURAÇÃO'!$B:$B,0))="Pre-Splitting","S"))),"")</f>
        <v/>
      </c>
      <c r="R754" s="14">
        <f t="shared" si="74"/>
        <v>1708</v>
      </c>
      <c r="S754" s="4" t="str">
        <f>IFERROR(INDEX('LEV R&amp;D'!$D:$D,MATCH(MEDIÇÃO!R754,'LEV R&amp;D'!$A:$A,0))-INDEX('PROJETO PERFURAÇÃO'!$AH:$AH,MATCH(MEDIÇÃO!R754,'PROJETO PERFURAÇÃO'!$B:$B,0)),"")</f>
        <v/>
      </c>
      <c r="T754" s="8" t="str">
        <f>IFERROR(INDEX('PROJETO PERFURAÇÃO'!$AN:$AN,MATCH(MEDIÇÃO!R754,'PROJETO PERFURAÇÃO'!$B:$B,0)),"")</f>
        <v/>
      </c>
      <c r="U754" s="3"/>
      <c r="V754" s="3"/>
    </row>
    <row r="755" spans="2:22" ht="45" customHeight="1" x14ac:dyDescent="0.25">
      <c r="B755" s="3" t="str">
        <f>IFERROR(ROUND(INDEX('PROJETO PERFURAÇÃO'!$AB:$AB,MATCH(MEDIÇÃO!D755,'PROJETO PERFURAÇÃO'!$B:$B,0)),1)&amp;"''","")</f>
        <v/>
      </c>
      <c r="C755" s="3" t="str">
        <f>IFERROR(IF(INDEX('PROJETO PERFURAÇÃO'!$P:$P,MATCH(MEDIÇÃO!D755,'PROJETO PERFURAÇÃO'!$B:$B,0))="Production","P",IF(INDEX('PROJETO PERFURAÇÃO'!$P:$P,MATCH(MEDIÇÃO!D755,'PROJETO PERFURAÇÃO'!$B:$B,0))="Buffer","B",IF(INDEX('PROJETO PERFURAÇÃO'!$P:$P,MATCH(MEDIÇÃO!D755,'PROJETO PERFURAÇÃO'!$B:$B,0))="Pre-Splitting","S"))),"")</f>
        <v/>
      </c>
      <c r="D755" s="14">
        <f t="shared" si="72"/>
        <v>1663</v>
      </c>
      <c r="E755" s="4" t="str">
        <f>IFERROR(INDEX('LEV R&amp;D'!$D:$D,MATCH(MEDIÇÃO!D755,'LEV R&amp;D'!$A:$A,0))-INDEX('PROJETO PERFURAÇÃO'!$AH:$AH,MATCH(MEDIÇÃO!D755,'PROJETO PERFURAÇÃO'!$B:$B,0)),"")</f>
        <v/>
      </c>
      <c r="F755" s="8" t="str">
        <f>IFERROR(INDEX('PROJETO PERFURAÇÃO'!$AN:$AN,MATCH(MEDIÇÃO!D755,'PROJETO PERFURAÇÃO'!$B:$B,0)),"")</f>
        <v/>
      </c>
      <c r="G755" s="3"/>
      <c r="H755" s="3"/>
      <c r="I755" s="3" t="str">
        <f>IFERROR(ROUND(INDEX('PROJETO PERFURAÇÃO'!$AB:$AB,MATCH(MEDIÇÃO!K755,'PROJETO PERFURAÇÃO'!$B:$B,0)),1)&amp;"''","")</f>
        <v/>
      </c>
      <c r="J755" s="3" t="str">
        <f>IFERROR(IF(INDEX('PROJETO PERFURAÇÃO'!$P:$P,MATCH(MEDIÇÃO!K755,'PROJETO PERFURAÇÃO'!$B:$B,0))="Production","P",IF(INDEX('PROJETO PERFURAÇÃO'!$P:$P,MATCH(MEDIÇÃO!K755,'PROJETO PERFURAÇÃO'!$B:$B,0))="Buffer","B",IF(INDEX('PROJETO PERFURAÇÃO'!$P:$P,MATCH(MEDIÇÃO!K755,'PROJETO PERFURAÇÃO'!$B:$B,0))="Pre-Splitting","S"))),"")</f>
        <v/>
      </c>
      <c r="K755" s="14">
        <f t="shared" si="73"/>
        <v>1686</v>
      </c>
      <c r="L755" s="4" t="str">
        <f>IFERROR(INDEX('LEV R&amp;D'!$D:$D,MATCH(MEDIÇÃO!K755,'LEV R&amp;D'!$A:$A,0))-INDEX('PROJETO PERFURAÇÃO'!$AH:$AH,MATCH(MEDIÇÃO!K755,'PROJETO PERFURAÇÃO'!$B:$B,0)),"")</f>
        <v/>
      </c>
      <c r="M755" s="8" t="str">
        <f>IFERROR(INDEX('PROJETO PERFURAÇÃO'!$AN:$AN,MATCH(MEDIÇÃO!K755,'PROJETO PERFURAÇÃO'!$B:$B,0)),"")</f>
        <v/>
      </c>
      <c r="N755" s="3"/>
      <c r="O755" s="3"/>
      <c r="P755" s="3" t="str">
        <f>IFERROR(ROUND(INDEX('PROJETO PERFURAÇÃO'!$AB:$AB,MATCH(MEDIÇÃO!R755,'PROJETO PERFURAÇÃO'!$B:$B,0)),1)&amp;"''","")</f>
        <v/>
      </c>
      <c r="Q755" s="3" t="str">
        <f>IFERROR(IF(INDEX('PROJETO PERFURAÇÃO'!$P:$P,MATCH(MEDIÇÃO!R755,'PROJETO PERFURAÇÃO'!$B:$B,0))="Production","P",IF(INDEX('PROJETO PERFURAÇÃO'!$P:$P,MATCH(MEDIÇÃO!R755,'PROJETO PERFURAÇÃO'!$B:$B,0))="Buffer","B",IF(INDEX('PROJETO PERFURAÇÃO'!$P:$P,MATCH(MEDIÇÃO!R755,'PROJETO PERFURAÇÃO'!$B:$B,0))="Pre-Splitting","S"))),"")</f>
        <v/>
      </c>
      <c r="R755" s="14">
        <f t="shared" si="74"/>
        <v>1709</v>
      </c>
      <c r="S755" s="4" t="str">
        <f>IFERROR(INDEX('LEV R&amp;D'!$D:$D,MATCH(MEDIÇÃO!R755,'LEV R&amp;D'!$A:$A,0))-INDEX('PROJETO PERFURAÇÃO'!$AH:$AH,MATCH(MEDIÇÃO!R755,'PROJETO PERFURAÇÃO'!$B:$B,0)),"")</f>
        <v/>
      </c>
      <c r="T755" s="8" t="str">
        <f>IFERROR(INDEX('PROJETO PERFURAÇÃO'!$AN:$AN,MATCH(MEDIÇÃO!R755,'PROJETO PERFURAÇÃO'!$B:$B,0)),"")</f>
        <v/>
      </c>
      <c r="U755" s="3"/>
      <c r="V755" s="3"/>
    </row>
    <row r="756" spans="2:22" ht="45" customHeight="1" x14ac:dyDescent="0.25">
      <c r="B756" s="3" t="str">
        <f>IFERROR(ROUND(INDEX('PROJETO PERFURAÇÃO'!$AB:$AB,MATCH(MEDIÇÃO!D756,'PROJETO PERFURAÇÃO'!$B:$B,0)),1)&amp;"''","")</f>
        <v/>
      </c>
      <c r="C756" s="3" t="str">
        <f>IFERROR(IF(INDEX('PROJETO PERFURAÇÃO'!$P:$P,MATCH(MEDIÇÃO!D756,'PROJETO PERFURAÇÃO'!$B:$B,0))="Production","P",IF(INDEX('PROJETO PERFURAÇÃO'!$P:$P,MATCH(MEDIÇÃO!D756,'PROJETO PERFURAÇÃO'!$B:$B,0))="Buffer","B",IF(INDEX('PROJETO PERFURAÇÃO'!$P:$P,MATCH(MEDIÇÃO!D756,'PROJETO PERFURAÇÃO'!$B:$B,0))="Pre-Splitting","S"))),"")</f>
        <v/>
      </c>
      <c r="D756" s="14">
        <f t="shared" si="72"/>
        <v>1664</v>
      </c>
      <c r="E756" s="4" t="str">
        <f>IFERROR(INDEX('LEV R&amp;D'!$D:$D,MATCH(MEDIÇÃO!D756,'LEV R&amp;D'!$A:$A,0))-INDEX('PROJETO PERFURAÇÃO'!$AH:$AH,MATCH(MEDIÇÃO!D756,'PROJETO PERFURAÇÃO'!$B:$B,0)),"")</f>
        <v/>
      </c>
      <c r="F756" s="8" t="str">
        <f>IFERROR(INDEX('PROJETO PERFURAÇÃO'!$AN:$AN,MATCH(MEDIÇÃO!D756,'PROJETO PERFURAÇÃO'!$B:$B,0)),"")</f>
        <v/>
      </c>
      <c r="G756" s="3"/>
      <c r="H756" s="3"/>
      <c r="I756" s="3" t="str">
        <f>IFERROR(ROUND(INDEX('PROJETO PERFURAÇÃO'!$AB:$AB,MATCH(MEDIÇÃO!K756,'PROJETO PERFURAÇÃO'!$B:$B,0)),1)&amp;"''","")</f>
        <v/>
      </c>
      <c r="J756" s="3" t="str">
        <f>IFERROR(IF(INDEX('PROJETO PERFURAÇÃO'!$P:$P,MATCH(MEDIÇÃO!K756,'PROJETO PERFURAÇÃO'!$B:$B,0))="Production","P",IF(INDEX('PROJETO PERFURAÇÃO'!$P:$P,MATCH(MEDIÇÃO!K756,'PROJETO PERFURAÇÃO'!$B:$B,0))="Buffer","B",IF(INDEX('PROJETO PERFURAÇÃO'!$P:$P,MATCH(MEDIÇÃO!K756,'PROJETO PERFURAÇÃO'!$B:$B,0))="Pre-Splitting","S"))),"")</f>
        <v/>
      </c>
      <c r="K756" s="14">
        <f t="shared" si="73"/>
        <v>1687</v>
      </c>
      <c r="L756" s="4" t="str">
        <f>IFERROR(INDEX('LEV R&amp;D'!$D:$D,MATCH(MEDIÇÃO!K756,'LEV R&amp;D'!$A:$A,0))-INDEX('PROJETO PERFURAÇÃO'!$AH:$AH,MATCH(MEDIÇÃO!K756,'PROJETO PERFURAÇÃO'!$B:$B,0)),"")</f>
        <v/>
      </c>
      <c r="M756" s="8" t="str">
        <f>IFERROR(INDEX('PROJETO PERFURAÇÃO'!$AN:$AN,MATCH(MEDIÇÃO!K756,'PROJETO PERFURAÇÃO'!$B:$B,0)),"")</f>
        <v/>
      </c>
      <c r="N756" s="3"/>
      <c r="O756" s="3"/>
      <c r="P756" s="3" t="str">
        <f>IFERROR(ROUND(INDEX('PROJETO PERFURAÇÃO'!$AB:$AB,MATCH(MEDIÇÃO!R756,'PROJETO PERFURAÇÃO'!$B:$B,0)),1)&amp;"''","")</f>
        <v/>
      </c>
      <c r="Q756" s="3" t="str">
        <f>IFERROR(IF(INDEX('PROJETO PERFURAÇÃO'!$P:$P,MATCH(MEDIÇÃO!R756,'PROJETO PERFURAÇÃO'!$B:$B,0))="Production","P",IF(INDEX('PROJETO PERFURAÇÃO'!$P:$P,MATCH(MEDIÇÃO!R756,'PROJETO PERFURAÇÃO'!$B:$B,0))="Buffer","B",IF(INDEX('PROJETO PERFURAÇÃO'!$P:$P,MATCH(MEDIÇÃO!R756,'PROJETO PERFURAÇÃO'!$B:$B,0))="Pre-Splitting","S"))),"")</f>
        <v/>
      </c>
      <c r="R756" s="14">
        <f t="shared" si="74"/>
        <v>1710</v>
      </c>
      <c r="S756" s="4" t="str">
        <f>IFERROR(INDEX('LEV R&amp;D'!$D:$D,MATCH(MEDIÇÃO!R756,'LEV R&amp;D'!$A:$A,0))-INDEX('PROJETO PERFURAÇÃO'!$AH:$AH,MATCH(MEDIÇÃO!R756,'PROJETO PERFURAÇÃO'!$B:$B,0)),"")</f>
        <v/>
      </c>
      <c r="T756" s="8" t="str">
        <f>IFERROR(INDEX('PROJETO PERFURAÇÃO'!$AN:$AN,MATCH(MEDIÇÃO!R756,'PROJETO PERFURAÇÃO'!$B:$B,0)),"")</f>
        <v/>
      </c>
      <c r="U756" s="3"/>
      <c r="V756" s="3"/>
    </row>
    <row r="757" spans="2:22" ht="45" customHeight="1" x14ac:dyDescent="0.25">
      <c r="B757" s="3" t="str">
        <f>IFERROR(ROUND(INDEX('PROJETO PERFURAÇÃO'!$AB:$AB,MATCH(MEDIÇÃO!D757,'PROJETO PERFURAÇÃO'!$B:$B,0)),1)&amp;"''","")</f>
        <v/>
      </c>
      <c r="C757" s="3" t="str">
        <f>IFERROR(IF(INDEX('PROJETO PERFURAÇÃO'!$P:$P,MATCH(MEDIÇÃO!D757,'PROJETO PERFURAÇÃO'!$B:$B,0))="Production","P",IF(INDEX('PROJETO PERFURAÇÃO'!$P:$P,MATCH(MEDIÇÃO!D757,'PROJETO PERFURAÇÃO'!$B:$B,0))="Buffer","B",IF(INDEX('PROJETO PERFURAÇÃO'!$P:$P,MATCH(MEDIÇÃO!D757,'PROJETO PERFURAÇÃO'!$B:$B,0))="Pre-Splitting","S"))),"")</f>
        <v/>
      </c>
      <c r="D757" s="14">
        <f t="shared" si="72"/>
        <v>1665</v>
      </c>
      <c r="E757" s="4" t="str">
        <f>IFERROR(INDEX('LEV R&amp;D'!$D:$D,MATCH(MEDIÇÃO!D757,'LEV R&amp;D'!$A:$A,0))-INDEX('PROJETO PERFURAÇÃO'!$AH:$AH,MATCH(MEDIÇÃO!D757,'PROJETO PERFURAÇÃO'!$B:$B,0)),"")</f>
        <v/>
      </c>
      <c r="F757" s="8" t="str">
        <f>IFERROR(INDEX('PROJETO PERFURAÇÃO'!$AN:$AN,MATCH(MEDIÇÃO!D757,'PROJETO PERFURAÇÃO'!$B:$B,0)),"")</f>
        <v/>
      </c>
      <c r="G757" s="3"/>
      <c r="H757" s="3"/>
      <c r="I757" s="3" t="str">
        <f>IFERROR(ROUND(INDEX('PROJETO PERFURAÇÃO'!$AB:$AB,MATCH(MEDIÇÃO!K757,'PROJETO PERFURAÇÃO'!$B:$B,0)),1)&amp;"''","")</f>
        <v/>
      </c>
      <c r="J757" s="3" t="str">
        <f>IFERROR(IF(INDEX('PROJETO PERFURAÇÃO'!$P:$P,MATCH(MEDIÇÃO!K757,'PROJETO PERFURAÇÃO'!$B:$B,0))="Production","P",IF(INDEX('PROJETO PERFURAÇÃO'!$P:$P,MATCH(MEDIÇÃO!K757,'PROJETO PERFURAÇÃO'!$B:$B,0))="Buffer","B",IF(INDEX('PROJETO PERFURAÇÃO'!$P:$P,MATCH(MEDIÇÃO!K757,'PROJETO PERFURAÇÃO'!$B:$B,0))="Pre-Splitting","S"))),"")</f>
        <v/>
      </c>
      <c r="K757" s="14">
        <f t="shared" si="73"/>
        <v>1688</v>
      </c>
      <c r="L757" s="4" t="str">
        <f>IFERROR(INDEX('LEV R&amp;D'!$D:$D,MATCH(MEDIÇÃO!K757,'LEV R&amp;D'!$A:$A,0))-INDEX('PROJETO PERFURAÇÃO'!$AH:$AH,MATCH(MEDIÇÃO!K757,'PROJETO PERFURAÇÃO'!$B:$B,0)),"")</f>
        <v/>
      </c>
      <c r="M757" s="8" t="str">
        <f>IFERROR(INDEX('PROJETO PERFURAÇÃO'!$AN:$AN,MATCH(MEDIÇÃO!K757,'PROJETO PERFURAÇÃO'!$B:$B,0)),"")</f>
        <v/>
      </c>
      <c r="N757" s="3"/>
      <c r="O757" s="3"/>
      <c r="P757" s="3" t="str">
        <f>IFERROR(ROUND(INDEX('PROJETO PERFURAÇÃO'!$AB:$AB,MATCH(MEDIÇÃO!R757,'PROJETO PERFURAÇÃO'!$B:$B,0)),1)&amp;"''","")</f>
        <v/>
      </c>
      <c r="Q757" s="3" t="str">
        <f>IFERROR(IF(INDEX('PROJETO PERFURAÇÃO'!$P:$P,MATCH(MEDIÇÃO!R757,'PROJETO PERFURAÇÃO'!$B:$B,0))="Production","P",IF(INDEX('PROJETO PERFURAÇÃO'!$P:$P,MATCH(MEDIÇÃO!R757,'PROJETO PERFURAÇÃO'!$B:$B,0))="Buffer","B",IF(INDEX('PROJETO PERFURAÇÃO'!$P:$P,MATCH(MEDIÇÃO!R757,'PROJETO PERFURAÇÃO'!$B:$B,0))="Pre-Splitting","S"))),"")</f>
        <v/>
      </c>
      <c r="R757" s="14">
        <f t="shared" si="74"/>
        <v>1711</v>
      </c>
      <c r="S757" s="4" t="str">
        <f>IFERROR(INDEX('LEV R&amp;D'!$D:$D,MATCH(MEDIÇÃO!R757,'LEV R&amp;D'!$A:$A,0))-INDEX('PROJETO PERFURAÇÃO'!$AH:$AH,MATCH(MEDIÇÃO!R757,'PROJETO PERFURAÇÃO'!$B:$B,0)),"")</f>
        <v/>
      </c>
      <c r="T757" s="8" t="str">
        <f>IFERROR(INDEX('PROJETO PERFURAÇÃO'!$AN:$AN,MATCH(MEDIÇÃO!R757,'PROJETO PERFURAÇÃO'!$B:$B,0)),"")</f>
        <v/>
      </c>
      <c r="U757" s="3"/>
      <c r="V757" s="3"/>
    </row>
    <row r="758" spans="2:22" ht="45" customHeight="1" x14ac:dyDescent="0.25">
      <c r="B758" s="3" t="str">
        <f>IFERROR(ROUND(INDEX('PROJETO PERFURAÇÃO'!$AB:$AB,MATCH(MEDIÇÃO!D758,'PROJETO PERFURAÇÃO'!$B:$B,0)),1)&amp;"''","")</f>
        <v/>
      </c>
      <c r="C758" s="3" t="str">
        <f>IFERROR(IF(INDEX('PROJETO PERFURAÇÃO'!$P:$P,MATCH(MEDIÇÃO!D758,'PROJETO PERFURAÇÃO'!$B:$B,0))="Production","P",IF(INDEX('PROJETO PERFURAÇÃO'!$P:$P,MATCH(MEDIÇÃO!D758,'PROJETO PERFURAÇÃO'!$B:$B,0))="Buffer","B",IF(INDEX('PROJETO PERFURAÇÃO'!$P:$P,MATCH(MEDIÇÃO!D758,'PROJETO PERFURAÇÃO'!$B:$B,0))="Pre-Splitting","S"))),"")</f>
        <v/>
      </c>
      <c r="D758" s="14">
        <f t="shared" si="72"/>
        <v>1666</v>
      </c>
      <c r="E758" s="4" t="str">
        <f>IFERROR(INDEX('LEV R&amp;D'!$D:$D,MATCH(MEDIÇÃO!D758,'LEV R&amp;D'!$A:$A,0))-INDEX('PROJETO PERFURAÇÃO'!$AH:$AH,MATCH(MEDIÇÃO!D758,'PROJETO PERFURAÇÃO'!$B:$B,0)),"")</f>
        <v/>
      </c>
      <c r="F758" s="8" t="str">
        <f>IFERROR(INDEX('PROJETO PERFURAÇÃO'!$AN:$AN,MATCH(MEDIÇÃO!D758,'PROJETO PERFURAÇÃO'!$B:$B,0)),"")</f>
        <v/>
      </c>
      <c r="G758" s="3"/>
      <c r="H758" s="3"/>
      <c r="I758" s="3" t="str">
        <f>IFERROR(ROUND(INDEX('PROJETO PERFURAÇÃO'!$AB:$AB,MATCH(MEDIÇÃO!K758,'PROJETO PERFURAÇÃO'!$B:$B,0)),1)&amp;"''","")</f>
        <v/>
      </c>
      <c r="J758" s="3" t="str">
        <f>IFERROR(IF(INDEX('PROJETO PERFURAÇÃO'!$P:$P,MATCH(MEDIÇÃO!K758,'PROJETO PERFURAÇÃO'!$B:$B,0))="Production","P",IF(INDEX('PROJETO PERFURAÇÃO'!$P:$P,MATCH(MEDIÇÃO!K758,'PROJETO PERFURAÇÃO'!$B:$B,0))="Buffer","B",IF(INDEX('PROJETO PERFURAÇÃO'!$P:$P,MATCH(MEDIÇÃO!K758,'PROJETO PERFURAÇÃO'!$B:$B,0))="Pre-Splitting","S"))),"")</f>
        <v/>
      </c>
      <c r="K758" s="14">
        <f t="shared" si="73"/>
        <v>1689</v>
      </c>
      <c r="L758" s="4" t="str">
        <f>IFERROR(INDEX('LEV R&amp;D'!$D:$D,MATCH(MEDIÇÃO!K758,'LEV R&amp;D'!$A:$A,0))-INDEX('PROJETO PERFURAÇÃO'!$AH:$AH,MATCH(MEDIÇÃO!K758,'PROJETO PERFURAÇÃO'!$B:$B,0)),"")</f>
        <v/>
      </c>
      <c r="M758" s="8" t="str">
        <f>IFERROR(INDEX('PROJETO PERFURAÇÃO'!$AN:$AN,MATCH(MEDIÇÃO!K758,'PROJETO PERFURAÇÃO'!$B:$B,0)),"")</f>
        <v/>
      </c>
      <c r="N758" s="3"/>
      <c r="O758" s="3"/>
      <c r="P758" s="3" t="str">
        <f>IFERROR(ROUND(INDEX('PROJETO PERFURAÇÃO'!$AB:$AB,MATCH(MEDIÇÃO!R758,'PROJETO PERFURAÇÃO'!$B:$B,0)),1)&amp;"''","")</f>
        <v/>
      </c>
      <c r="Q758" s="3" t="str">
        <f>IFERROR(IF(INDEX('PROJETO PERFURAÇÃO'!$P:$P,MATCH(MEDIÇÃO!R758,'PROJETO PERFURAÇÃO'!$B:$B,0))="Production","P",IF(INDEX('PROJETO PERFURAÇÃO'!$P:$P,MATCH(MEDIÇÃO!R758,'PROJETO PERFURAÇÃO'!$B:$B,0))="Buffer","B",IF(INDEX('PROJETO PERFURAÇÃO'!$P:$P,MATCH(MEDIÇÃO!R758,'PROJETO PERFURAÇÃO'!$B:$B,0))="Pre-Splitting","S"))),"")</f>
        <v/>
      </c>
      <c r="R758" s="14">
        <f t="shared" si="74"/>
        <v>1712</v>
      </c>
      <c r="S758" s="4" t="str">
        <f>IFERROR(INDEX('LEV R&amp;D'!$D:$D,MATCH(MEDIÇÃO!R758,'LEV R&amp;D'!$A:$A,0))-INDEX('PROJETO PERFURAÇÃO'!$AH:$AH,MATCH(MEDIÇÃO!R758,'PROJETO PERFURAÇÃO'!$B:$B,0)),"")</f>
        <v/>
      </c>
      <c r="T758" s="8" t="str">
        <f>IFERROR(INDEX('PROJETO PERFURAÇÃO'!$AN:$AN,MATCH(MEDIÇÃO!R758,'PROJETO PERFURAÇÃO'!$B:$B,0)),"")</f>
        <v/>
      </c>
      <c r="U758" s="3"/>
      <c r="V758" s="3"/>
    </row>
    <row r="759" spans="2:22" ht="45" customHeight="1" x14ac:dyDescent="0.25">
      <c r="B759" s="3" t="str">
        <f>IFERROR(ROUND(INDEX('PROJETO PERFURAÇÃO'!$AB:$AB,MATCH(MEDIÇÃO!D759,'PROJETO PERFURAÇÃO'!$B:$B,0)),1)&amp;"''","")</f>
        <v/>
      </c>
      <c r="C759" s="3" t="str">
        <f>IFERROR(IF(INDEX('PROJETO PERFURAÇÃO'!$P:$P,MATCH(MEDIÇÃO!D759,'PROJETO PERFURAÇÃO'!$B:$B,0))="Production","P",IF(INDEX('PROJETO PERFURAÇÃO'!$P:$P,MATCH(MEDIÇÃO!D759,'PROJETO PERFURAÇÃO'!$B:$B,0))="Buffer","B",IF(INDEX('PROJETO PERFURAÇÃO'!$P:$P,MATCH(MEDIÇÃO!D759,'PROJETO PERFURAÇÃO'!$B:$B,0))="Pre-Splitting","S"))),"")</f>
        <v/>
      </c>
      <c r="D759" s="14">
        <f t="shared" si="72"/>
        <v>1667</v>
      </c>
      <c r="E759" s="4" t="str">
        <f>IFERROR(INDEX('LEV R&amp;D'!$D:$D,MATCH(MEDIÇÃO!D759,'LEV R&amp;D'!$A:$A,0))-INDEX('PROJETO PERFURAÇÃO'!$AH:$AH,MATCH(MEDIÇÃO!D759,'PROJETO PERFURAÇÃO'!$B:$B,0)),"")</f>
        <v/>
      </c>
      <c r="F759" s="8" t="str">
        <f>IFERROR(INDEX('PROJETO PERFURAÇÃO'!$AN:$AN,MATCH(MEDIÇÃO!D759,'PROJETO PERFURAÇÃO'!$B:$B,0)),"")</f>
        <v/>
      </c>
      <c r="G759" s="3"/>
      <c r="H759" s="3"/>
      <c r="I759" s="3" t="str">
        <f>IFERROR(ROUND(INDEX('PROJETO PERFURAÇÃO'!$AB:$AB,MATCH(MEDIÇÃO!K759,'PROJETO PERFURAÇÃO'!$B:$B,0)),1)&amp;"''","")</f>
        <v/>
      </c>
      <c r="J759" s="3" t="str">
        <f>IFERROR(IF(INDEX('PROJETO PERFURAÇÃO'!$P:$P,MATCH(MEDIÇÃO!K759,'PROJETO PERFURAÇÃO'!$B:$B,0))="Production","P",IF(INDEX('PROJETO PERFURAÇÃO'!$P:$P,MATCH(MEDIÇÃO!K759,'PROJETO PERFURAÇÃO'!$B:$B,0))="Buffer","B",IF(INDEX('PROJETO PERFURAÇÃO'!$P:$P,MATCH(MEDIÇÃO!K759,'PROJETO PERFURAÇÃO'!$B:$B,0))="Pre-Splitting","S"))),"")</f>
        <v/>
      </c>
      <c r="K759" s="14">
        <f t="shared" si="73"/>
        <v>1690</v>
      </c>
      <c r="L759" s="4" t="str">
        <f>IFERROR(INDEX('LEV R&amp;D'!$D:$D,MATCH(MEDIÇÃO!K759,'LEV R&amp;D'!$A:$A,0))-INDEX('PROJETO PERFURAÇÃO'!$AH:$AH,MATCH(MEDIÇÃO!K759,'PROJETO PERFURAÇÃO'!$B:$B,0)),"")</f>
        <v/>
      </c>
      <c r="M759" s="8" t="str">
        <f>IFERROR(INDEX('PROJETO PERFURAÇÃO'!$AN:$AN,MATCH(MEDIÇÃO!K759,'PROJETO PERFURAÇÃO'!$B:$B,0)),"")</f>
        <v/>
      </c>
      <c r="N759" s="3"/>
      <c r="O759" s="3"/>
      <c r="P759" s="3" t="str">
        <f>IFERROR(ROUND(INDEX('PROJETO PERFURAÇÃO'!$AB:$AB,MATCH(MEDIÇÃO!R759,'PROJETO PERFURAÇÃO'!$B:$B,0)),1)&amp;"''","")</f>
        <v/>
      </c>
      <c r="Q759" s="3" t="str">
        <f>IFERROR(IF(INDEX('PROJETO PERFURAÇÃO'!$P:$P,MATCH(MEDIÇÃO!R759,'PROJETO PERFURAÇÃO'!$B:$B,0))="Production","P",IF(INDEX('PROJETO PERFURAÇÃO'!$P:$P,MATCH(MEDIÇÃO!R759,'PROJETO PERFURAÇÃO'!$B:$B,0))="Buffer","B",IF(INDEX('PROJETO PERFURAÇÃO'!$P:$P,MATCH(MEDIÇÃO!R759,'PROJETO PERFURAÇÃO'!$B:$B,0))="Pre-Splitting","S"))),"")</f>
        <v/>
      </c>
      <c r="R759" s="14">
        <f t="shared" si="74"/>
        <v>1713</v>
      </c>
      <c r="S759" s="4" t="str">
        <f>IFERROR(INDEX('LEV R&amp;D'!$D:$D,MATCH(MEDIÇÃO!R759,'LEV R&amp;D'!$A:$A,0))-INDEX('PROJETO PERFURAÇÃO'!$AH:$AH,MATCH(MEDIÇÃO!R759,'PROJETO PERFURAÇÃO'!$B:$B,0)),"")</f>
        <v/>
      </c>
      <c r="T759" s="8" t="str">
        <f>IFERROR(INDEX('PROJETO PERFURAÇÃO'!$AN:$AN,MATCH(MEDIÇÃO!R759,'PROJETO PERFURAÇÃO'!$B:$B,0)),"")</f>
        <v/>
      </c>
      <c r="U759" s="3"/>
      <c r="V759" s="3"/>
    </row>
    <row r="760" spans="2:22" ht="45" customHeight="1" x14ac:dyDescent="0.25">
      <c r="B760" s="3" t="str">
        <f>IFERROR(ROUND(INDEX('PROJETO PERFURAÇÃO'!$AB:$AB,MATCH(MEDIÇÃO!D760,'PROJETO PERFURAÇÃO'!$B:$B,0)),1)&amp;"''","")</f>
        <v/>
      </c>
      <c r="C760" s="3" t="str">
        <f>IFERROR(IF(INDEX('PROJETO PERFURAÇÃO'!$P:$P,MATCH(MEDIÇÃO!D760,'PROJETO PERFURAÇÃO'!$B:$B,0))="Production","P",IF(INDEX('PROJETO PERFURAÇÃO'!$P:$P,MATCH(MEDIÇÃO!D760,'PROJETO PERFURAÇÃO'!$B:$B,0))="Buffer","B",IF(INDEX('PROJETO PERFURAÇÃO'!$P:$P,MATCH(MEDIÇÃO!D760,'PROJETO PERFURAÇÃO'!$B:$B,0))="Pre-Splitting","S"))),"")</f>
        <v/>
      </c>
      <c r="D760" s="14">
        <f t="shared" si="72"/>
        <v>1668</v>
      </c>
      <c r="E760" s="4" t="str">
        <f>IFERROR(INDEX('LEV R&amp;D'!$D:$D,MATCH(MEDIÇÃO!D760,'LEV R&amp;D'!$A:$A,0))-INDEX('PROJETO PERFURAÇÃO'!$AH:$AH,MATCH(MEDIÇÃO!D760,'PROJETO PERFURAÇÃO'!$B:$B,0)),"")</f>
        <v/>
      </c>
      <c r="F760" s="8" t="str">
        <f>IFERROR(INDEX('PROJETO PERFURAÇÃO'!$AN:$AN,MATCH(MEDIÇÃO!D760,'PROJETO PERFURAÇÃO'!$B:$B,0)),"")</f>
        <v/>
      </c>
      <c r="G760" s="3"/>
      <c r="H760" s="3"/>
      <c r="I760" s="3" t="str">
        <f>IFERROR(ROUND(INDEX('PROJETO PERFURAÇÃO'!$AB:$AB,MATCH(MEDIÇÃO!K760,'PROJETO PERFURAÇÃO'!$B:$B,0)),1)&amp;"''","")</f>
        <v/>
      </c>
      <c r="J760" s="3" t="str">
        <f>IFERROR(IF(INDEX('PROJETO PERFURAÇÃO'!$P:$P,MATCH(MEDIÇÃO!K760,'PROJETO PERFURAÇÃO'!$B:$B,0))="Production","P",IF(INDEX('PROJETO PERFURAÇÃO'!$P:$P,MATCH(MEDIÇÃO!K760,'PROJETO PERFURAÇÃO'!$B:$B,0))="Buffer","B",IF(INDEX('PROJETO PERFURAÇÃO'!$P:$P,MATCH(MEDIÇÃO!K760,'PROJETO PERFURAÇÃO'!$B:$B,0))="Pre-Splitting","S"))),"")</f>
        <v/>
      </c>
      <c r="K760" s="14">
        <f t="shared" si="73"/>
        <v>1691</v>
      </c>
      <c r="L760" s="4" t="str">
        <f>IFERROR(INDEX('LEV R&amp;D'!$D:$D,MATCH(MEDIÇÃO!K760,'LEV R&amp;D'!$A:$A,0))-INDEX('PROJETO PERFURAÇÃO'!$AH:$AH,MATCH(MEDIÇÃO!K760,'PROJETO PERFURAÇÃO'!$B:$B,0)),"")</f>
        <v/>
      </c>
      <c r="M760" s="8" t="str">
        <f>IFERROR(INDEX('PROJETO PERFURAÇÃO'!$AN:$AN,MATCH(MEDIÇÃO!K760,'PROJETO PERFURAÇÃO'!$B:$B,0)),"")</f>
        <v/>
      </c>
      <c r="N760" s="3"/>
      <c r="O760" s="3"/>
      <c r="P760" s="3" t="str">
        <f>IFERROR(ROUND(INDEX('PROJETO PERFURAÇÃO'!$AB:$AB,MATCH(MEDIÇÃO!R760,'PROJETO PERFURAÇÃO'!$B:$B,0)),1)&amp;"''","")</f>
        <v/>
      </c>
      <c r="Q760" s="3" t="str">
        <f>IFERROR(IF(INDEX('PROJETO PERFURAÇÃO'!$P:$P,MATCH(MEDIÇÃO!R760,'PROJETO PERFURAÇÃO'!$B:$B,0))="Production","P",IF(INDEX('PROJETO PERFURAÇÃO'!$P:$P,MATCH(MEDIÇÃO!R760,'PROJETO PERFURAÇÃO'!$B:$B,0))="Buffer","B",IF(INDEX('PROJETO PERFURAÇÃO'!$P:$P,MATCH(MEDIÇÃO!R760,'PROJETO PERFURAÇÃO'!$B:$B,0))="Pre-Splitting","S"))),"")</f>
        <v/>
      </c>
      <c r="R760" s="14">
        <f t="shared" si="74"/>
        <v>1714</v>
      </c>
      <c r="S760" s="4" t="str">
        <f>IFERROR(INDEX('LEV R&amp;D'!$D:$D,MATCH(MEDIÇÃO!R760,'LEV R&amp;D'!$A:$A,0))-INDEX('PROJETO PERFURAÇÃO'!$AH:$AH,MATCH(MEDIÇÃO!R760,'PROJETO PERFURAÇÃO'!$B:$B,0)),"")</f>
        <v/>
      </c>
      <c r="T760" s="8" t="str">
        <f>IFERROR(INDEX('PROJETO PERFURAÇÃO'!$AN:$AN,MATCH(MEDIÇÃO!R760,'PROJETO PERFURAÇÃO'!$B:$B,0)),"")</f>
        <v/>
      </c>
      <c r="U760" s="3"/>
      <c r="V760" s="3"/>
    </row>
    <row r="761" spans="2:22" ht="45" customHeight="1" x14ac:dyDescent="0.25">
      <c r="B761" s="3" t="str">
        <f>IFERROR(ROUND(INDEX('PROJETO PERFURAÇÃO'!$AB:$AB,MATCH(MEDIÇÃO!D761,'PROJETO PERFURAÇÃO'!$B:$B,0)),1)&amp;"''","")</f>
        <v/>
      </c>
      <c r="C761" s="3" t="str">
        <f>IFERROR(IF(INDEX('PROJETO PERFURAÇÃO'!$P:$P,MATCH(MEDIÇÃO!D761,'PROJETO PERFURAÇÃO'!$B:$B,0))="Production","P",IF(INDEX('PROJETO PERFURAÇÃO'!$P:$P,MATCH(MEDIÇÃO!D761,'PROJETO PERFURAÇÃO'!$B:$B,0))="Buffer","B",IF(INDEX('PROJETO PERFURAÇÃO'!$P:$P,MATCH(MEDIÇÃO!D761,'PROJETO PERFURAÇÃO'!$B:$B,0))="Pre-Splitting","S"))),"")</f>
        <v/>
      </c>
      <c r="D761" s="14">
        <f t="shared" si="72"/>
        <v>1669</v>
      </c>
      <c r="E761" s="4" t="str">
        <f>IFERROR(INDEX('LEV R&amp;D'!$D:$D,MATCH(MEDIÇÃO!D761,'LEV R&amp;D'!$A:$A,0))-INDEX('PROJETO PERFURAÇÃO'!$AH:$AH,MATCH(MEDIÇÃO!D761,'PROJETO PERFURAÇÃO'!$B:$B,0)),"")</f>
        <v/>
      </c>
      <c r="F761" s="8" t="str">
        <f>IFERROR(INDEX('PROJETO PERFURAÇÃO'!$AN:$AN,MATCH(MEDIÇÃO!D761,'PROJETO PERFURAÇÃO'!$B:$B,0)),"")</f>
        <v/>
      </c>
      <c r="G761" s="3"/>
      <c r="H761" s="3"/>
      <c r="I761" s="3" t="str">
        <f>IFERROR(ROUND(INDEX('PROJETO PERFURAÇÃO'!$AB:$AB,MATCH(MEDIÇÃO!K761,'PROJETO PERFURAÇÃO'!$B:$B,0)),1)&amp;"''","")</f>
        <v/>
      </c>
      <c r="J761" s="3" t="str">
        <f>IFERROR(IF(INDEX('PROJETO PERFURAÇÃO'!$P:$P,MATCH(MEDIÇÃO!K761,'PROJETO PERFURAÇÃO'!$B:$B,0))="Production","P",IF(INDEX('PROJETO PERFURAÇÃO'!$P:$P,MATCH(MEDIÇÃO!K761,'PROJETO PERFURAÇÃO'!$B:$B,0))="Buffer","B",IF(INDEX('PROJETO PERFURAÇÃO'!$P:$P,MATCH(MEDIÇÃO!K761,'PROJETO PERFURAÇÃO'!$B:$B,0))="Pre-Splitting","S"))),"")</f>
        <v/>
      </c>
      <c r="K761" s="14">
        <f t="shared" si="73"/>
        <v>1692</v>
      </c>
      <c r="L761" s="4" t="str">
        <f>IFERROR(INDEX('LEV R&amp;D'!$D:$D,MATCH(MEDIÇÃO!K761,'LEV R&amp;D'!$A:$A,0))-INDEX('PROJETO PERFURAÇÃO'!$AH:$AH,MATCH(MEDIÇÃO!K761,'PROJETO PERFURAÇÃO'!$B:$B,0)),"")</f>
        <v/>
      </c>
      <c r="M761" s="8" t="str">
        <f>IFERROR(INDEX('PROJETO PERFURAÇÃO'!$AN:$AN,MATCH(MEDIÇÃO!K761,'PROJETO PERFURAÇÃO'!$B:$B,0)),"")</f>
        <v/>
      </c>
      <c r="N761" s="3"/>
      <c r="O761" s="3"/>
      <c r="P761" s="3" t="str">
        <f>IFERROR(ROUND(INDEX('PROJETO PERFURAÇÃO'!$AB:$AB,MATCH(MEDIÇÃO!R761,'PROJETO PERFURAÇÃO'!$B:$B,0)),1)&amp;"''","")</f>
        <v/>
      </c>
      <c r="Q761" s="3" t="str">
        <f>IFERROR(IF(INDEX('PROJETO PERFURAÇÃO'!$P:$P,MATCH(MEDIÇÃO!R761,'PROJETO PERFURAÇÃO'!$B:$B,0))="Production","P",IF(INDEX('PROJETO PERFURAÇÃO'!$P:$P,MATCH(MEDIÇÃO!R761,'PROJETO PERFURAÇÃO'!$B:$B,0))="Buffer","B",IF(INDEX('PROJETO PERFURAÇÃO'!$P:$P,MATCH(MEDIÇÃO!R761,'PROJETO PERFURAÇÃO'!$B:$B,0))="Pre-Splitting","S"))),"")</f>
        <v/>
      </c>
      <c r="R761" s="14">
        <f t="shared" si="74"/>
        <v>1715</v>
      </c>
      <c r="S761" s="4" t="str">
        <f>IFERROR(INDEX('LEV R&amp;D'!$D:$D,MATCH(MEDIÇÃO!R761,'LEV R&amp;D'!$A:$A,0))-INDEX('PROJETO PERFURAÇÃO'!$AH:$AH,MATCH(MEDIÇÃO!R761,'PROJETO PERFURAÇÃO'!$B:$B,0)),"")</f>
        <v/>
      </c>
      <c r="T761" s="8" t="str">
        <f>IFERROR(INDEX('PROJETO PERFURAÇÃO'!$AN:$AN,MATCH(MEDIÇÃO!R761,'PROJETO PERFURAÇÃO'!$B:$B,0)),"")</f>
        <v/>
      </c>
      <c r="U761" s="3"/>
      <c r="V761" s="3"/>
    </row>
    <row r="762" spans="2:22" ht="45" customHeight="1" x14ac:dyDescent="0.25">
      <c r="B762" s="3" t="str">
        <f>IFERROR(ROUND(INDEX('PROJETO PERFURAÇÃO'!$AB:$AB,MATCH(MEDIÇÃO!D762,'PROJETO PERFURAÇÃO'!$B:$B,0)),1)&amp;"''","")</f>
        <v/>
      </c>
      <c r="C762" s="3" t="str">
        <f>IFERROR(IF(INDEX('PROJETO PERFURAÇÃO'!$P:$P,MATCH(MEDIÇÃO!D762,'PROJETO PERFURAÇÃO'!$B:$B,0))="Production","P",IF(INDEX('PROJETO PERFURAÇÃO'!$P:$P,MATCH(MEDIÇÃO!D762,'PROJETO PERFURAÇÃO'!$B:$B,0))="Buffer","B",IF(INDEX('PROJETO PERFURAÇÃO'!$P:$P,MATCH(MEDIÇÃO!D762,'PROJETO PERFURAÇÃO'!$B:$B,0))="Pre-Splitting","S"))),"")</f>
        <v/>
      </c>
      <c r="D762" s="14">
        <f t="shared" si="72"/>
        <v>1670</v>
      </c>
      <c r="E762" s="4" t="str">
        <f>IFERROR(INDEX('LEV R&amp;D'!$D:$D,MATCH(MEDIÇÃO!D762,'LEV R&amp;D'!$A:$A,0))-INDEX('PROJETO PERFURAÇÃO'!$AH:$AH,MATCH(MEDIÇÃO!D762,'PROJETO PERFURAÇÃO'!$B:$B,0)),"")</f>
        <v/>
      </c>
      <c r="F762" s="8" t="str">
        <f>IFERROR(INDEX('PROJETO PERFURAÇÃO'!$AN:$AN,MATCH(MEDIÇÃO!D762,'PROJETO PERFURAÇÃO'!$B:$B,0)),"")</f>
        <v/>
      </c>
      <c r="G762" s="3"/>
      <c r="H762" s="3"/>
      <c r="I762" s="3" t="str">
        <f>IFERROR(ROUND(INDEX('PROJETO PERFURAÇÃO'!$AB:$AB,MATCH(MEDIÇÃO!K762,'PROJETO PERFURAÇÃO'!$B:$B,0)),1)&amp;"''","")</f>
        <v/>
      </c>
      <c r="J762" s="3" t="str">
        <f>IFERROR(IF(INDEX('PROJETO PERFURAÇÃO'!$P:$P,MATCH(MEDIÇÃO!K762,'PROJETO PERFURAÇÃO'!$B:$B,0))="Production","P",IF(INDEX('PROJETO PERFURAÇÃO'!$P:$P,MATCH(MEDIÇÃO!K762,'PROJETO PERFURAÇÃO'!$B:$B,0))="Buffer","B",IF(INDEX('PROJETO PERFURAÇÃO'!$P:$P,MATCH(MEDIÇÃO!K762,'PROJETO PERFURAÇÃO'!$B:$B,0))="Pre-Splitting","S"))),"")</f>
        <v/>
      </c>
      <c r="K762" s="14">
        <f t="shared" si="73"/>
        <v>1693</v>
      </c>
      <c r="L762" s="4" t="str">
        <f>IFERROR(INDEX('LEV R&amp;D'!$D:$D,MATCH(MEDIÇÃO!K762,'LEV R&amp;D'!$A:$A,0))-INDEX('PROJETO PERFURAÇÃO'!$AH:$AH,MATCH(MEDIÇÃO!K762,'PROJETO PERFURAÇÃO'!$B:$B,0)),"")</f>
        <v/>
      </c>
      <c r="M762" s="8" t="str">
        <f>IFERROR(INDEX('PROJETO PERFURAÇÃO'!$AN:$AN,MATCH(MEDIÇÃO!K762,'PROJETO PERFURAÇÃO'!$B:$B,0)),"")</f>
        <v/>
      </c>
      <c r="N762" s="3"/>
      <c r="O762" s="3"/>
      <c r="P762" s="3" t="str">
        <f>IFERROR(ROUND(INDEX('PROJETO PERFURAÇÃO'!$AB:$AB,MATCH(MEDIÇÃO!R762,'PROJETO PERFURAÇÃO'!$B:$B,0)),1)&amp;"''","")</f>
        <v/>
      </c>
      <c r="Q762" s="3" t="str">
        <f>IFERROR(IF(INDEX('PROJETO PERFURAÇÃO'!$P:$P,MATCH(MEDIÇÃO!R762,'PROJETO PERFURAÇÃO'!$B:$B,0))="Production","P",IF(INDEX('PROJETO PERFURAÇÃO'!$P:$P,MATCH(MEDIÇÃO!R762,'PROJETO PERFURAÇÃO'!$B:$B,0))="Buffer","B",IF(INDEX('PROJETO PERFURAÇÃO'!$P:$P,MATCH(MEDIÇÃO!R762,'PROJETO PERFURAÇÃO'!$B:$B,0))="Pre-Splitting","S"))),"")</f>
        <v/>
      </c>
      <c r="R762" s="14">
        <f t="shared" si="74"/>
        <v>1716</v>
      </c>
      <c r="S762" s="4" t="str">
        <f>IFERROR(INDEX('LEV R&amp;D'!$D:$D,MATCH(MEDIÇÃO!R762,'LEV R&amp;D'!$A:$A,0))-INDEX('PROJETO PERFURAÇÃO'!$AH:$AH,MATCH(MEDIÇÃO!R762,'PROJETO PERFURAÇÃO'!$B:$B,0)),"")</f>
        <v/>
      </c>
      <c r="T762" s="8" t="str">
        <f>IFERROR(INDEX('PROJETO PERFURAÇÃO'!$AN:$AN,MATCH(MEDIÇÃO!R762,'PROJETO PERFURAÇÃO'!$B:$B,0)),"")</f>
        <v/>
      </c>
      <c r="U762" s="3"/>
      <c r="V762" s="3"/>
    </row>
    <row r="763" spans="2:22" ht="45" customHeight="1" x14ac:dyDescent="0.25">
      <c r="B763" s="3" t="str">
        <f>IFERROR(ROUND(INDEX('PROJETO PERFURAÇÃO'!$AB:$AB,MATCH(MEDIÇÃO!D763,'PROJETO PERFURAÇÃO'!$B:$B,0)),1)&amp;"''","")</f>
        <v/>
      </c>
      <c r="C763" s="3" t="str">
        <f>IFERROR(IF(INDEX('PROJETO PERFURAÇÃO'!$P:$P,MATCH(MEDIÇÃO!D763,'PROJETO PERFURAÇÃO'!$B:$B,0))="Production","P",IF(INDEX('PROJETO PERFURAÇÃO'!$P:$P,MATCH(MEDIÇÃO!D763,'PROJETO PERFURAÇÃO'!$B:$B,0))="Buffer","B",IF(INDEX('PROJETO PERFURAÇÃO'!$P:$P,MATCH(MEDIÇÃO!D763,'PROJETO PERFURAÇÃO'!$B:$B,0))="Pre-Splitting","S"))),"")</f>
        <v/>
      </c>
      <c r="D763" s="14">
        <f t="shared" si="72"/>
        <v>1671</v>
      </c>
      <c r="E763" s="4" t="str">
        <f>IFERROR(INDEX('LEV R&amp;D'!$D:$D,MATCH(MEDIÇÃO!D763,'LEV R&amp;D'!$A:$A,0))-INDEX('PROJETO PERFURAÇÃO'!$AH:$AH,MATCH(MEDIÇÃO!D763,'PROJETO PERFURAÇÃO'!$B:$B,0)),"")</f>
        <v/>
      </c>
      <c r="F763" s="8" t="str">
        <f>IFERROR(INDEX('PROJETO PERFURAÇÃO'!$AN:$AN,MATCH(MEDIÇÃO!D763,'PROJETO PERFURAÇÃO'!$B:$B,0)),"")</f>
        <v/>
      </c>
      <c r="G763" s="3"/>
      <c r="H763" s="3"/>
      <c r="I763" s="3" t="str">
        <f>IFERROR(ROUND(INDEX('PROJETO PERFURAÇÃO'!$AB:$AB,MATCH(MEDIÇÃO!K763,'PROJETO PERFURAÇÃO'!$B:$B,0)),1)&amp;"''","")</f>
        <v/>
      </c>
      <c r="J763" s="3" t="str">
        <f>IFERROR(IF(INDEX('PROJETO PERFURAÇÃO'!$P:$P,MATCH(MEDIÇÃO!K763,'PROJETO PERFURAÇÃO'!$B:$B,0))="Production","P",IF(INDEX('PROJETO PERFURAÇÃO'!$P:$P,MATCH(MEDIÇÃO!K763,'PROJETO PERFURAÇÃO'!$B:$B,0))="Buffer","B",IF(INDEX('PROJETO PERFURAÇÃO'!$P:$P,MATCH(MEDIÇÃO!K763,'PROJETO PERFURAÇÃO'!$B:$B,0))="Pre-Splitting","S"))),"")</f>
        <v/>
      </c>
      <c r="K763" s="14">
        <f t="shared" si="73"/>
        <v>1694</v>
      </c>
      <c r="L763" s="4" t="str">
        <f>IFERROR(INDEX('LEV R&amp;D'!$D:$D,MATCH(MEDIÇÃO!K763,'LEV R&amp;D'!$A:$A,0))-INDEX('PROJETO PERFURAÇÃO'!$AH:$AH,MATCH(MEDIÇÃO!K763,'PROJETO PERFURAÇÃO'!$B:$B,0)),"")</f>
        <v/>
      </c>
      <c r="M763" s="8" t="str">
        <f>IFERROR(INDEX('PROJETO PERFURAÇÃO'!$AN:$AN,MATCH(MEDIÇÃO!K763,'PROJETO PERFURAÇÃO'!$B:$B,0)),"")</f>
        <v/>
      </c>
      <c r="N763" s="3"/>
      <c r="O763" s="3"/>
      <c r="P763" s="3" t="str">
        <f>IFERROR(ROUND(INDEX('PROJETO PERFURAÇÃO'!$AB:$AB,MATCH(MEDIÇÃO!R763,'PROJETO PERFURAÇÃO'!$B:$B,0)),1)&amp;"''","")</f>
        <v/>
      </c>
      <c r="Q763" s="3" t="str">
        <f>IFERROR(IF(INDEX('PROJETO PERFURAÇÃO'!$P:$P,MATCH(MEDIÇÃO!R763,'PROJETO PERFURAÇÃO'!$B:$B,0))="Production","P",IF(INDEX('PROJETO PERFURAÇÃO'!$P:$P,MATCH(MEDIÇÃO!R763,'PROJETO PERFURAÇÃO'!$B:$B,0))="Buffer","B",IF(INDEX('PROJETO PERFURAÇÃO'!$P:$P,MATCH(MEDIÇÃO!R763,'PROJETO PERFURAÇÃO'!$B:$B,0))="Pre-Splitting","S"))),"")</f>
        <v/>
      </c>
      <c r="R763" s="14">
        <f t="shared" si="74"/>
        <v>1717</v>
      </c>
      <c r="S763" s="4" t="str">
        <f>IFERROR(INDEX('LEV R&amp;D'!$D:$D,MATCH(MEDIÇÃO!R763,'LEV R&amp;D'!$A:$A,0))-INDEX('PROJETO PERFURAÇÃO'!$AH:$AH,MATCH(MEDIÇÃO!R763,'PROJETO PERFURAÇÃO'!$B:$B,0)),"")</f>
        <v/>
      </c>
      <c r="T763" s="8" t="str">
        <f>IFERROR(INDEX('PROJETO PERFURAÇÃO'!$AN:$AN,MATCH(MEDIÇÃO!R763,'PROJETO PERFURAÇÃO'!$B:$B,0)),"")</f>
        <v/>
      </c>
      <c r="U763" s="3"/>
      <c r="V763" s="3"/>
    </row>
    <row r="764" spans="2:22" ht="45" customHeight="1" x14ac:dyDescent="0.25">
      <c r="B764" s="3" t="str">
        <f>IFERROR(ROUND(INDEX('PROJETO PERFURAÇÃO'!$AB:$AB,MATCH(MEDIÇÃO!D764,'PROJETO PERFURAÇÃO'!$B:$B,0)),1)&amp;"''","")</f>
        <v/>
      </c>
      <c r="C764" s="3" t="str">
        <f>IFERROR(IF(INDEX('PROJETO PERFURAÇÃO'!$P:$P,MATCH(MEDIÇÃO!D764,'PROJETO PERFURAÇÃO'!$B:$B,0))="Production","P",IF(INDEX('PROJETO PERFURAÇÃO'!$P:$P,MATCH(MEDIÇÃO!D764,'PROJETO PERFURAÇÃO'!$B:$B,0))="Buffer","B",IF(INDEX('PROJETO PERFURAÇÃO'!$P:$P,MATCH(MEDIÇÃO!D764,'PROJETO PERFURAÇÃO'!$B:$B,0))="Pre-Splitting","S"))),"")</f>
        <v/>
      </c>
      <c r="D764" s="14">
        <f t="shared" si="72"/>
        <v>1672</v>
      </c>
      <c r="E764" s="4" t="str">
        <f>IFERROR(INDEX('LEV R&amp;D'!$D:$D,MATCH(MEDIÇÃO!D764,'LEV R&amp;D'!$A:$A,0))-INDEX('PROJETO PERFURAÇÃO'!$AH:$AH,MATCH(MEDIÇÃO!D764,'PROJETO PERFURAÇÃO'!$B:$B,0)),"")</f>
        <v/>
      </c>
      <c r="F764" s="8" t="str">
        <f>IFERROR(INDEX('PROJETO PERFURAÇÃO'!$AN:$AN,MATCH(MEDIÇÃO!D764,'PROJETO PERFURAÇÃO'!$B:$B,0)),"")</f>
        <v/>
      </c>
      <c r="G764" s="3"/>
      <c r="H764" s="3"/>
      <c r="I764" s="3" t="str">
        <f>IFERROR(ROUND(INDEX('PROJETO PERFURAÇÃO'!$AB:$AB,MATCH(MEDIÇÃO!K764,'PROJETO PERFURAÇÃO'!$B:$B,0)),1)&amp;"''","")</f>
        <v/>
      </c>
      <c r="J764" s="3" t="str">
        <f>IFERROR(IF(INDEX('PROJETO PERFURAÇÃO'!$P:$P,MATCH(MEDIÇÃO!K764,'PROJETO PERFURAÇÃO'!$B:$B,0))="Production","P",IF(INDEX('PROJETO PERFURAÇÃO'!$P:$P,MATCH(MEDIÇÃO!K764,'PROJETO PERFURAÇÃO'!$B:$B,0))="Buffer","B",IF(INDEX('PROJETO PERFURAÇÃO'!$P:$P,MATCH(MEDIÇÃO!K764,'PROJETO PERFURAÇÃO'!$B:$B,0))="Pre-Splitting","S"))),"")</f>
        <v/>
      </c>
      <c r="K764" s="14">
        <f t="shared" si="73"/>
        <v>1695</v>
      </c>
      <c r="L764" s="4" t="str">
        <f>IFERROR(INDEX('LEV R&amp;D'!$D:$D,MATCH(MEDIÇÃO!K764,'LEV R&amp;D'!$A:$A,0))-INDEX('PROJETO PERFURAÇÃO'!$AH:$AH,MATCH(MEDIÇÃO!K764,'PROJETO PERFURAÇÃO'!$B:$B,0)),"")</f>
        <v/>
      </c>
      <c r="M764" s="8" t="str">
        <f>IFERROR(INDEX('PROJETO PERFURAÇÃO'!$AN:$AN,MATCH(MEDIÇÃO!K764,'PROJETO PERFURAÇÃO'!$B:$B,0)),"")</f>
        <v/>
      </c>
      <c r="N764" s="3"/>
      <c r="O764" s="3"/>
      <c r="P764" s="3" t="str">
        <f>IFERROR(ROUND(INDEX('PROJETO PERFURAÇÃO'!$AB:$AB,MATCH(MEDIÇÃO!R764,'PROJETO PERFURAÇÃO'!$B:$B,0)),1)&amp;"''","")</f>
        <v/>
      </c>
      <c r="Q764" s="3" t="str">
        <f>IFERROR(IF(INDEX('PROJETO PERFURAÇÃO'!$P:$P,MATCH(MEDIÇÃO!R764,'PROJETO PERFURAÇÃO'!$B:$B,0))="Production","P",IF(INDEX('PROJETO PERFURAÇÃO'!$P:$P,MATCH(MEDIÇÃO!R764,'PROJETO PERFURAÇÃO'!$B:$B,0))="Buffer","B",IF(INDEX('PROJETO PERFURAÇÃO'!$P:$P,MATCH(MEDIÇÃO!R764,'PROJETO PERFURAÇÃO'!$B:$B,0))="Pre-Splitting","S"))),"")</f>
        <v/>
      </c>
      <c r="R764" s="14">
        <f t="shared" si="74"/>
        <v>1718</v>
      </c>
      <c r="S764" s="4" t="str">
        <f>IFERROR(INDEX('LEV R&amp;D'!$D:$D,MATCH(MEDIÇÃO!R764,'LEV R&amp;D'!$A:$A,0))-INDEX('PROJETO PERFURAÇÃO'!$AH:$AH,MATCH(MEDIÇÃO!R764,'PROJETO PERFURAÇÃO'!$B:$B,0)),"")</f>
        <v/>
      </c>
      <c r="T764" s="8" t="str">
        <f>IFERROR(INDEX('PROJETO PERFURAÇÃO'!$AN:$AN,MATCH(MEDIÇÃO!R764,'PROJETO PERFURAÇÃO'!$B:$B,0)),"")</f>
        <v/>
      </c>
      <c r="U764" s="3"/>
      <c r="V764" s="3"/>
    </row>
    <row r="765" spans="2:22" ht="45" customHeight="1" x14ac:dyDescent="0.25">
      <c r="B765" s="3" t="str">
        <f>IFERROR(ROUND(INDEX('PROJETO PERFURAÇÃO'!$AB:$AB,MATCH(MEDIÇÃO!D765,'PROJETO PERFURAÇÃO'!$B:$B,0)),1)&amp;"''","")</f>
        <v/>
      </c>
      <c r="C765" s="3" t="str">
        <f>IFERROR(IF(INDEX('PROJETO PERFURAÇÃO'!$P:$P,MATCH(MEDIÇÃO!D765,'PROJETO PERFURAÇÃO'!$B:$B,0))="Production","P",IF(INDEX('PROJETO PERFURAÇÃO'!$P:$P,MATCH(MEDIÇÃO!D765,'PROJETO PERFURAÇÃO'!$B:$B,0))="Buffer","B",IF(INDEX('PROJETO PERFURAÇÃO'!$P:$P,MATCH(MEDIÇÃO!D765,'PROJETO PERFURAÇÃO'!$B:$B,0))="Pre-Splitting","S"))),"")</f>
        <v/>
      </c>
      <c r="D765" s="14">
        <f t="shared" si="72"/>
        <v>1673</v>
      </c>
      <c r="E765" s="4" t="str">
        <f>IFERROR(INDEX('LEV R&amp;D'!$D:$D,MATCH(MEDIÇÃO!D765,'LEV R&amp;D'!$A:$A,0))-INDEX('PROJETO PERFURAÇÃO'!$AH:$AH,MATCH(MEDIÇÃO!D765,'PROJETO PERFURAÇÃO'!$B:$B,0)),"")</f>
        <v/>
      </c>
      <c r="F765" s="8" t="str">
        <f>IFERROR(INDEX('PROJETO PERFURAÇÃO'!$AN:$AN,MATCH(MEDIÇÃO!D765,'PROJETO PERFURAÇÃO'!$B:$B,0)),"")</f>
        <v/>
      </c>
      <c r="G765" s="3"/>
      <c r="H765" s="3"/>
      <c r="I765" s="3" t="str">
        <f>IFERROR(ROUND(INDEX('PROJETO PERFURAÇÃO'!$AB:$AB,MATCH(MEDIÇÃO!K765,'PROJETO PERFURAÇÃO'!$B:$B,0)),1)&amp;"''","")</f>
        <v/>
      </c>
      <c r="J765" s="3" t="str">
        <f>IFERROR(IF(INDEX('PROJETO PERFURAÇÃO'!$P:$P,MATCH(MEDIÇÃO!K765,'PROJETO PERFURAÇÃO'!$B:$B,0))="Production","P",IF(INDEX('PROJETO PERFURAÇÃO'!$P:$P,MATCH(MEDIÇÃO!K765,'PROJETO PERFURAÇÃO'!$B:$B,0))="Buffer","B",IF(INDEX('PROJETO PERFURAÇÃO'!$P:$P,MATCH(MEDIÇÃO!K765,'PROJETO PERFURAÇÃO'!$B:$B,0))="Pre-Splitting","S"))),"")</f>
        <v/>
      </c>
      <c r="K765" s="14">
        <f t="shared" si="73"/>
        <v>1696</v>
      </c>
      <c r="L765" s="4" t="str">
        <f>IFERROR(INDEX('LEV R&amp;D'!$D:$D,MATCH(MEDIÇÃO!K765,'LEV R&amp;D'!$A:$A,0))-INDEX('PROJETO PERFURAÇÃO'!$AH:$AH,MATCH(MEDIÇÃO!K765,'PROJETO PERFURAÇÃO'!$B:$B,0)),"")</f>
        <v/>
      </c>
      <c r="M765" s="8" t="str">
        <f>IFERROR(INDEX('PROJETO PERFURAÇÃO'!$AN:$AN,MATCH(MEDIÇÃO!K765,'PROJETO PERFURAÇÃO'!$B:$B,0)),"")</f>
        <v/>
      </c>
      <c r="N765" s="3"/>
      <c r="O765" s="3"/>
      <c r="P765" s="3" t="str">
        <f>IFERROR(ROUND(INDEX('PROJETO PERFURAÇÃO'!$AB:$AB,MATCH(MEDIÇÃO!R765,'PROJETO PERFURAÇÃO'!$B:$B,0)),1)&amp;"''","")</f>
        <v/>
      </c>
      <c r="Q765" s="3" t="str">
        <f>IFERROR(IF(INDEX('PROJETO PERFURAÇÃO'!$P:$P,MATCH(MEDIÇÃO!R765,'PROJETO PERFURAÇÃO'!$B:$B,0))="Production","P",IF(INDEX('PROJETO PERFURAÇÃO'!$P:$P,MATCH(MEDIÇÃO!R765,'PROJETO PERFURAÇÃO'!$B:$B,0))="Buffer","B",IF(INDEX('PROJETO PERFURAÇÃO'!$P:$P,MATCH(MEDIÇÃO!R765,'PROJETO PERFURAÇÃO'!$B:$B,0))="Pre-Splitting","S"))),"")</f>
        <v/>
      </c>
      <c r="R765" s="14">
        <f t="shared" si="74"/>
        <v>1719</v>
      </c>
      <c r="S765" s="4" t="str">
        <f>IFERROR(INDEX('LEV R&amp;D'!$D:$D,MATCH(MEDIÇÃO!R765,'LEV R&amp;D'!$A:$A,0))-INDEX('PROJETO PERFURAÇÃO'!$AH:$AH,MATCH(MEDIÇÃO!R765,'PROJETO PERFURAÇÃO'!$B:$B,0)),"")</f>
        <v/>
      </c>
      <c r="T765" s="8" t="str">
        <f>IFERROR(INDEX('PROJETO PERFURAÇÃO'!$AN:$AN,MATCH(MEDIÇÃO!R765,'PROJETO PERFURAÇÃO'!$B:$B,0)),"")</f>
        <v/>
      </c>
      <c r="U765" s="3"/>
      <c r="V765" s="3"/>
    </row>
    <row r="766" spans="2:22" ht="45" customHeight="1" x14ac:dyDescent="0.25">
      <c r="B766" s="3" t="str">
        <f>IFERROR(ROUND(INDEX('PROJETO PERFURAÇÃO'!$AB:$AB,MATCH(MEDIÇÃO!D766,'PROJETO PERFURAÇÃO'!$B:$B,0)),1)&amp;"''","")</f>
        <v/>
      </c>
      <c r="C766" s="3" t="str">
        <f>IFERROR(IF(INDEX('PROJETO PERFURAÇÃO'!$P:$P,MATCH(MEDIÇÃO!D766,'PROJETO PERFURAÇÃO'!$B:$B,0))="Production","P",IF(INDEX('PROJETO PERFURAÇÃO'!$P:$P,MATCH(MEDIÇÃO!D766,'PROJETO PERFURAÇÃO'!$B:$B,0))="Buffer","B",IF(INDEX('PROJETO PERFURAÇÃO'!$P:$P,MATCH(MEDIÇÃO!D766,'PROJETO PERFURAÇÃO'!$B:$B,0))="Pre-Splitting","S"))),"")</f>
        <v/>
      </c>
      <c r="D766" s="14">
        <f t="shared" si="72"/>
        <v>1674</v>
      </c>
      <c r="E766" s="4" t="str">
        <f>IFERROR(INDEX('LEV R&amp;D'!$D:$D,MATCH(MEDIÇÃO!D766,'LEV R&amp;D'!$A:$A,0))-INDEX('PROJETO PERFURAÇÃO'!$AH:$AH,MATCH(MEDIÇÃO!D766,'PROJETO PERFURAÇÃO'!$B:$B,0)),"")</f>
        <v/>
      </c>
      <c r="F766" s="8" t="str">
        <f>IFERROR(INDEX('PROJETO PERFURAÇÃO'!$AN:$AN,MATCH(MEDIÇÃO!D766,'PROJETO PERFURAÇÃO'!$B:$B,0)),"")</f>
        <v/>
      </c>
      <c r="G766" s="3"/>
      <c r="H766" s="3"/>
      <c r="I766" s="3" t="str">
        <f>IFERROR(ROUND(INDEX('PROJETO PERFURAÇÃO'!$AB:$AB,MATCH(MEDIÇÃO!K766,'PROJETO PERFURAÇÃO'!$B:$B,0)),1)&amp;"''","")</f>
        <v/>
      </c>
      <c r="J766" s="3" t="str">
        <f>IFERROR(IF(INDEX('PROJETO PERFURAÇÃO'!$P:$P,MATCH(MEDIÇÃO!K766,'PROJETO PERFURAÇÃO'!$B:$B,0))="Production","P",IF(INDEX('PROJETO PERFURAÇÃO'!$P:$P,MATCH(MEDIÇÃO!K766,'PROJETO PERFURAÇÃO'!$B:$B,0))="Buffer","B",IF(INDEX('PROJETO PERFURAÇÃO'!$P:$P,MATCH(MEDIÇÃO!K766,'PROJETO PERFURAÇÃO'!$B:$B,0))="Pre-Splitting","S"))),"")</f>
        <v/>
      </c>
      <c r="K766" s="14">
        <f t="shared" si="73"/>
        <v>1697</v>
      </c>
      <c r="L766" s="4" t="str">
        <f>IFERROR(INDEX('LEV R&amp;D'!$D:$D,MATCH(MEDIÇÃO!K766,'LEV R&amp;D'!$A:$A,0))-INDEX('PROJETO PERFURAÇÃO'!$AH:$AH,MATCH(MEDIÇÃO!K766,'PROJETO PERFURAÇÃO'!$B:$B,0)),"")</f>
        <v/>
      </c>
      <c r="M766" s="8" t="str">
        <f>IFERROR(INDEX('PROJETO PERFURAÇÃO'!$AN:$AN,MATCH(MEDIÇÃO!K766,'PROJETO PERFURAÇÃO'!$B:$B,0)),"")</f>
        <v/>
      </c>
      <c r="N766" s="3"/>
      <c r="O766" s="3"/>
      <c r="P766" s="3" t="str">
        <f>IFERROR(ROUND(INDEX('PROJETO PERFURAÇÃO'!$AB:$AB,MATCH(MEDIÇÃO!R766,'PROJETO PERFURAÇÃO'!$B:$B,0)),1)&amp;"''","")</f>
        <v/>
      </c>
      <c r="Q766" s="3" t="str">
        <f>IFERROR(IF(INDEX('PROJETO PERFURAÇÃO'!$P:$P,MATCH(MEDIÇÃO!R766,'PROJETO PERFURAÇÃO'!$B:$B,0))="Production","P",IF(INDEX('PROJETO PERFURAÇÃO'!$P:$P,MATCH(MEDIÇÃO!R766,'PROJETO PERFURAÇÃO'!$B:$B,0))="Buffer","B",IF(INDEX('PROJETO PERFURAÇÃO'!$P:$P,MATCH(MEDIÇÃO!R766,'PROJETO PERFURAÇÃO'!$B:$B,0))="Pre-Splitting","S"))),"")</f>
        <v/>
      </c>
      <c r="R766" s="14">
        <f t="shared" si="74"/>
        <v>1720</v>
      </c>
      <c r="S766" s="4" t="str">
        <f>IFERROR(INDEX('LEV R&amp;D'!$D:$D,MATCH(MEDIÇÃO!R766,'LEV R&amp;D'!$A:$A,0))-INDEX('PROJETO PERFURAÇÃO'!$AH:$AH,MATCH(MEDIÇÃO!R766,'PROJETO PERFURAÇÃO'!$B:$B,0)),"")</f>
        <v/>
      </c>
      <c r="T766" s="8" t="str">
        <f>IFERROR(INDEX('PROJETO PERFURAÇÃO'!$AN:$AN,MATCH(MEDIÇÃO!R766,'PROJETO PERFURAÇÃO'!$B:$B,0)),"")</f>
        <v/>
      </c>
      <c r="U766" s="3"/>
      <c r="V766" s="3"/>
    </row>
    <row r="767" spans="2:22" ht="45" customHeight="1" x14ac:dyDescent="0.25">
      <c r="B767" s="3" t="str">
        <f>IFERROR(ROUND(INDEX('PROJETO PERFURAÇÃO'!$AB:$AB,MATCH(MEDIÇÃO!D767,'PROJETO PERFURAÇÃO'!$B:$B,0)),1)&amp;"''","")</f>
        <v/>
      </c>
      <c r="C767" s="3" t="str">
        <f>IFERROR(IF(INDEX('PROJETO PERFURAÇÃO'!$P:$P,MATCH(MEDIÇÃO!D767,'PROJETO PERFURAÇÃO'!$B:$B,0))="Production","P",IF(INDEX('PROJETO PERFURAÇÃO'!$P:$P,MATCH(MEDIÇÃO!D767,'PROJETO PERFURAÇÃO'!$B:$B,0))="Buffer","B",IF(INDEX('PROJETO PERFURAÇÃO'!$P:$P,MATCH(MEDIÇÃO!D767,'PROJETO PERFURAÇÃO'!$B:$B,0))="Pre-Splitting","S"))),"")</f>
        <v/>
      </c>
      <c r="D767" s="14">
        <f t="shared" si="72"/>
        <v>1675</v>
      </c>
      <c r="E767" s="4" t="str">
        <f>IFERROR(INDEX('LEV R&amp;D'!$D:$D,MATCH(MEDIÇÃO!D767,'LEV R&amp;D'!$A:$A,0))-INDEX('PROJETO PERFURAÇÃO'!$AH:$AH,MATCH(MEDIÇÃO!D767,'PROJETO PERFURAÇÃO'!$B:$B,0)),"")</f>
        <v/>
      </c>
      <c r="F767" s="8" t="str">
        <f>IFERROR(INDEX('PROJETO PERFURAÇÃO'!$AN:$AN,MATCH(MEDIÇÃO!D767,'PROJETO PERFURAÇÃO'!$B:$B,0)),"")</f>
        <v/>
      </c>
      <c r="G767" s="3"/>
      <c r="H767" s="3"/>
      <c r="I767" s="3" t="str">
        <f>IFERROR(ROUND(INDEX('PROJETO PERFURAÇÃO'!$AB:$AB,MATCH(MEDIÇÃO!K767,'PROJETO PERFURAÇÃO'!$B:$B,0)),1)&amp;"''","")</f>
        <v/>
      </c>
      <c r="J767" s="3" t="str">
        <f>IFERROR(IF(INDEX('PROJETO PERFURAÇÃO'!$P:$P,MATCH(MEDIÇÃO!K767,'PROJETO PERFURAÇÃO'!$B:$B,0))="Production","P",IF(INDEX('PROJETO PERFURAÇÃO'!$P:$P,MATCH(MEDIÇÃO!K767,'PROJETO PERFURAÇÃO'!$B:$B,0))="Buffer","B",IF(INDEX('PROJETO PERFURAÇÃO'!$P:$P,MATCH(MEDIÇÃO!K767,'PROJETO PERFURAÇÃO'!$B:$B,0))="Pre-Splitting","S"))),"")</f>
        <v/>
      </c>
      <c r="K767" s="14">
        <f t="shared" si="73"/>
        <v>1698</v>
      </c>
      <c r="L767" s="4" t="str">
        <f>IFERROR(INDEX('LEV R&amp;D'!$D:$D,MATCH(MEDIÇÃO!K767,'LEV R&amp;D'!$A:$A,0))-INDEX('PROJETO PERFURAÇÃO'!$AH:$AH,MATCH(MEDIÇÃO!K767,'PROJETO PERFURAÇÃO'!$B:$B,0)),"")</f>
        <v/>
      </c>
      <c r="M767" s="8" t="str">
        <f>IFERROR(INDEX('PROJETO PERFURAÇÃO'!$AN:$AN,MATCH(MEDIÇÃO!K767,'PROJETO PERFURAÇÃO'!$B:$B,0)),"")</f>
        <v/>
      </c>
      <c r="N767" s="3"/>
      <c r="O767" s="3"/>
      <c r="P767" s="3" t="str">
        <f>IFERROR(ROUND(INDEX('PROJETO PERFURAÇÃO'!$AB:$AB,MATCH(MEDIÇÃO!R767,'PROJETO PERFURAÇÃO'!$B:$B,0)),1)&amp;"''","")</f>
        <v/>
      </c>
      <c r="Q767" s="3" t="str">
        <f>IFERROR(IF(INDEX('PROJETO PERFURAÇÃO'!$P:$P,MATCH(MEDIÇÃO!R767,'PROJETO PERFURAÇÃO'!$B:$B,0))="Production","P",IF(INDEX('PROJETO PERFURAÇÃO'!$P:$P,MATCH(MEDIÇÃO!R767,'PROJETO PERFURAÇÃO'!$B:$B,0))="Buffer","B",IF(INDEX('PROJETO PERFURAÇÃO'!$P:$P,MATCH(MEDIÇÃO!R767,'PROJETO PERFURAÇÃO'!$B:$B,0))="Pre-Splitting","S"))),"")</f>
        <v/>
      </c>
      <c r="R767" s="14">
        <f t="shared" si="74"/>
        <v>1721</v>
      </c>
      <c r="S767" s="4" t="str">
        <f>IFERROR(INDEX('LEV R&amp;D'!$D:$D,MATCH(MEDIÇÃO!R767,'LEV R&amp;D'!$A:$A,0))-INDEX('PROJETO PERFURAÇÃO'!$AH:$AH,MATCH(MEDIÇÃO!R767,'PROJETO PERFURAÇÃO'!$B:$B,0)),"")</f>
        <v/>
      </c>
      <c r="T767" s="8" t="str">
        <f>IFERROR(INDEX('PROJETO PERFURAÇÃO'!$AN:$AN,MATCH(MEDIÇÃO!R767,'PROJETO PERFURAÇÃO'!$B:$B,0)),"")</f>
        <v/>
      </c>
      <c r="U767" s="3"/>
      <c r="V767" s="3"/>
    </row>
    <row r="768" spans="2:22" ht="45" customHeight="1" x14ac:dyDescent="0.25">
      <c r="B768" s="3" t="str">
        <f>IFERROR(ROUND(INDEX('PROJETO PERFURAÇÃO'!$AB:$AB,MATCH(MEDIÇÃO!D768,'PROJETO PERFURAÇÃO'!$B:$B,0)),1)&amp;"''","")</f>
        <v/>
      </c>
      <c r="C768" s="3" t="str">
        <f>IFERROR(IF(INDEX('PROJETO PERFURAÇÃO'!$P:$P,MATCH(MEDIÇÃO!D768,'PROJETO PERFURAÇÃO'!$B:$B,0))="Production","P",IF(INDEX('PROJETO PERFURAÇÃO'!$P:$P,MATCH(MEDIÇÃO!D768,'PROJETO PERFURAÇÃO'!$B:$B,0))="Buffer","B",IF(INDEX('PROJETO PERFURAÇÃO'!$P:$P,MATCH(MEDIÇÃO!D768,'PROJETO PERFURAÇÃO'!$B:$B,0))="Pre-Splitting","S"))),"")</f>
        <v/>
      </c>
      <c r="D768" s="14">
        <f t="shared" si="72"/>
        <v>1676</v>
      </c>
      <c r="E768" s="4" t="str">
        <f>IFERROR(INDEX('LEV R&amp;D'!$D:$D,MATCH(MEDIÇÃO!D768,'LEV R&amp;D'!$A:$A,0))-INDEX('PROJETO PERFURAÇÃO'!$AH:$AH,MATCH(MEDIÇÃO!D768,'PROJETO PERFURAÇÃO'!$B:$B,0)),"")</f>
        <v/>
      </c>
      <c r="F768" s="8" t="str">
        <f>IFERROR(INDEX('PROJETO PERFURAÇÃO'!$AN:$AN,MATCH(MEDIÇÃO!D768,'PROJETO PERFURAÇÃO'!$B:$B,0)),"")</f>
        <v/>
      </c>
      <c r="G768" s="3"/>
      <c r="H768" s="3"/>
      <c r="I768" s="3" t="str">
        <f>IFERROR(ROUND(INDEX('PROJETO PERFURAÇÃO'!$AB:$AB,MATCH(MEDIÇÃO!K768,'PROJETO PERFURAÇÃO'!$B:$B,0)),1)&amp;"''","")</f>
        <v/>
      </c>
      <c r="J768" s="3" t="str">
        <f>IFERROR(IF(INDEX('PROJETO PERFURAÇÃO'!$P:$P,MATCH(MEDIÇÃO!K768,'PROJETO PERFURAÇÃO'!$B:$B,0))="Production","P",IF(INDEX('PROJETO PERFURAÇÃO'!$P:$P,MATCH(MEDIÇÃO!K768,'PROJETO PERFURAÇÃO'!$B:$B,0))="Buffer","B",IF(INDEX('PROJETO PERFURAÇÃO'!$P:$P,MATCH(MEDIÇÃO!K768,'PROJETO PERFURAÇÃO'!$B:$B,0))="Pre-Splitting","S"))),"")</f>
        <v/>
      </c>
      <c r="K768" s="14">
        <f t="shared" si="73"/>
        <v>1699</v>
      </c>
      <c r="L768" s="4" t="str">
        <f>IFERROR(INDEX('LEV R&amp;D'!$D:$D,MATCH(MEDIÇÃO!K768,'LEV R&amp;D'!$A:$A,0))-INDEX('PROJETO PERFURAÇÃO'!$AH:$AH,MATCH(MEDIÇÃO!K768,'PROJETO PERFURAÇÃO'!$B:$B,0)),"")</f>
        <v/>
      </c>
      <c r="M768" s="8" t="str">
        <f>IFERROR(INDEX('PROJETO PERFURAÇÃO'!$AN:$AN,MATCH(MEDIÇÃO!K768,'PROJETO PERFURAÇÃO'!$B:$B,0)),"")</f>
        <v/>
      </c>
      <c r="N768" s="3"/>
      <c r="O768" s="3"/>
      <c r="P768" s="3" t="str">
        <f>IFERROR(ROUND(INDEX('PROJETO PERFURAÇÃO'!$AB:$AB,MATCH(MEDIÇÃO!R768,'PROJETO PERFURAÇÃO'!$B:$B,0)),1)&amp;"''","")</f>
        <v/>
      </c>
      <c r="Q768" s="3" t="str">
        <f>IFERROR(IF(INDEX('PROJETO PERFURAÇÃO'!$P:$P,MATCH(MEDIÇÃO!R768,'PROJETO PERFURAÇÃO'!$B:$B,0))="Production","P",IF(INDEX('PROJETO PERFURAÇÃO'!$P:$P,MATCH(MEDIÇÃO!R768,'PROJETO PERFURAÇÃO'!$B:$B,0))="Buffer","B",IF(INDEX('PROJETO PERFURAÇÃO'!$P:$P,MATCH(MEDIÇÃO!R768,'PROJETO PERFURAÇÃO'!$B:$B,0))="Pre-Splitting","S"))),"")</f>
        <v/>
      </c>
      <c r="R768" s="14">
        <f t="shared" si="74"/>
        <v>1722</v>
      </c>
      <c r="S768" s="4" t="str">
        <f>IFERROR(INDEX('LEV R&amp;D'!$D:$D,MATCH(MEDIÇÃO!R768,'LEV R&amp;D'!$A:$A,0))-INDEX('PROJETO PERFURAÇÃO'!$AH:$AH,MATCH(MEDIÇÃO!R768,'PROJETO PERFURAÇÃO'!$B:$B,0)),"")</f>
        <v/>
      </c>
      <c r="T768" s="8" t="str">
        <f>IFERROR(INDEX('PROJETO PERFURAÇÃO'!$AN:$AN,MATCH(MEDIÇÃO!R768,'PROJETO PERFURAÇÃO'!$B:$B,0)),"")</f>
        <v/>
      </c>
      <c r="U768" s="3"/>
      <c r="V768" s="3"/>
    </row>
    <row r="769" spans="1:23" ht="45" customHeight="1" x14ac:dyDescent="0.25">
      <c r="B769" s="3" t="str">
        <f>IFERROR(ROUND(INDEX('PROJETO PERFURAÇÃO'!$AB:$AB,MATCH(MEDIÇÃO!D769,'PROJETO PERFURAÇÃO'!$B:$B,0)),1)&amp;"''","")</f>
        <v/>
      </c>
      <c r="C769" s="3" t="str">
        <f>IFERROR(IF(INDEX('PROJETO PERFURAÇÃO'!$P:$P,MATCH(MEDIÇÃO!D769,'PROJETO PERFURAÇÃO'!$B:$B,0))="Production","P",IF(INDEX('PROJETO PERFURAÇÃO'!$P:$P,MATCH(MEDIÇÃO!D769,'PROJETO PERFURAÇÃO'!$B:$B,0))="Buffer","B",IF(INDEX('PROJETO PERFURAÇÃO'!$P:$P,MATCH(MEDIÇÃO!D769,'PROJETO PERFURAÇÃO'!$B:$B,0))="Pre-Splitting","S"))),"")</f>
        <v/>
      </c>
      <c r="D769" s="14">
        <f t="shared" si="72"/>
        <v>1677</v>
      </c>
      <c r="E769" s="4" t="str">
        <f>IFERROR(INDEX('LEV R&amp;D'!$D:$D,MATCH(MEDIÇÃO!D769,'LEV R&amp;D'!$A:$A,0))-INDEX('PROJETO PERFURAÇÃO'!$AH:$AH,MATCH(MEDIÇÃO!D769,'PROJETO PERFURAÇÃO'!$B:$B,0)),"")</f>
        <v/>
      </c>
      <c r="F769" s="8" t="str">
        <f>IFERROR(INDEX('PROJETO PERFURAÇÃO'!$AN:$AN,MATCH(MEDIÇÃO!D769,'PROJETO PERFURAÇÃO'!$B:$B,0)),"")</f>
        <v/>
      </c>
      <c r="G769" s="3"/>
      <c r="H769" s="3"/>
      <c r="I769" s="3" t="str">
        <f>IFERROR(ROUND(INDEX('PROJETO PERFURAÇÃO'!$AB:$AB,MATCH(MEDIÇÃO!K769,'PROJETO PERFURAÇÃO'!$B:$B,0)),1)&amp;"''","")</f>
        <v/>
      </c>
      <c r="J769" s="3" t="str">
        <f>IFERROR(IF(INDEX('PROJETO PERFURAÇÃO'!$P:$P,MATCH(MEDIÇÃO!K769,'PROJETO PERFURAÇÃO'!$B:$B,0))="Production","P",IF(INDEX('PROJETO PERFURAÇÃO'!$P:$P,MATCH(MEDIÇÃO!K769,'PROJETO PERFURAÇÃO'!$B:$B,0))="Buffer","B",IF(INDEX('PROJETO PERFURAÇÃO'!$P:$P,MATCH(MEDIÇÃO!K769,'PROJETO PERFURAÇÃO'!$B:$B,0))="Pre-Splitting","S"))),"")</f>
        <v/>
      </c>
      <c r="K769" s="14">
        <f t="shared" si="73"/>
        <v>1700</v>
      </c>
      <c r="L769" s="4" t="str">
        <f>IFERROR(INDEX('LEV R&amp;D'!$D:$D,MATCH(MEDIÇÃO!K769,'LEV R&amp;D'!$A:$A,0))-INDEX('PROJETO PERFURAÇÃO'!$AH:$AH,MATCH(MEDIÇÃO!K769,'PROJETO PERFURAÇÃO'!$B:$B,0)),"")</f>
        <v/>
      </c>
      <c r="M769" s="8" t="str">
        <f>IFERROR(INDEX('PROJETO PERFURAÇÃO'!$AN:$AN,MATCH(MEDIÇÃO!K769,'PROJETO PERFURAÇÃO'!$B:$B,0)),"")</f>
        <v/>
      </c>
      <c r="N769" s="3"/>
      <c r="O769" s="3"/>
      <c r="P769" s="3" t="str">
        <f>IFERROR(ROUND(INDEX('PROJETO PERFURAÇÃO'!$AB:$AB,MATCH(MEDIÇÃO!R769,'PROJETO PERFURAÇÃO'!$B:$B,0)),1)&amp;"''","")</f>
        <v/>
      </c>
      <c r="Q769" s="3" t="str">
        <f>IFERROR(IF(INDEX('PROJETO PERFURAÇÃO'!$P:$P,MATCH(MEDIÇÃO!R769,'PROJETO PERFURAÇÃO'!$B:$B,0))="Production","P",IF(INDEX('PROJETO PERFURAÇÃO'!$P:$P,MATCH(MEDIÇÃO!R769,'PROJETO PERFURAÇÃO'!$B:$B,0))="Buffer","B",IF(INDEX('PROJETO PERFURAÇÃO'!$P:$P,MATCH(MEDIÇÃO!R769,'PROJETO PERFURAÇÃO'!$B:$B,0))="Pre-Splitting","S"))),"")</f>
        <v/>
      </c>
      <c r="R769" s="14">
        <f t="shared" si="74"/>
        <v>1723</v>
      </c>
      <c r="S769" s="4" t="str">
        <f>IFERROR(INDEX('LEV R&amp;D'!$D:$D,MATCH(MEDIÇÃO!R769,'LEV R&amp;D'!$A:$A,0))-INDEX('PROJETO PERFURAÇÃO'!$AH:$AH,MATCH(MEDIÇÃO!R769,'PROJETO PERFURAÇÃO'!$B:$B,0)),"")</f>
        <v/>
      </c>
      <c r="T769" s="8" t="str">
        <f>IFERROR(INDEX('PROJETO PERFURAÇÃO'!$AN:$AN,MATCH(MEDIÇÃO!R769,'PROJETO PERFURAÇÃO'!$B:$B,0)),"")</f>
        <v/>
      </c>
      <c r="U769" s="3"/>
      <c r="V769" s="3"/>
    </row>
    <row r="770" spans="1:23" ht="45" customHeight="1" x14ac:dyDescent="0.25">
      <c r="B770" s="3" t="str">
        <f>IFERROR(ROUND(INDEX('PROJETO PERFURAÇÃO'!$AB:$AB,MATCH(MEDIÇÃO!D770,'PROJETO PERFURAÇÃO'!$B:$B,0)),1)&amp;"''","")</f>
        <v/>
      </c>
      <c r="C770" s="3" t="str">
        <f>IFERROR(IF(INDEX('PROJETO PERFURAÇÃO'!$P:$P,MATCH(MEDIÇÃO!D770,'PROJETO PERFURAÇÃO'!$B:$B,0))="Production","P",IF(INDEX('PROJETO PERFURAÇÃO'!$P:$P,MATCH(MEDIÇÃO!D770,'PROJETO PERFURAÇÃO'!$B:$B,0))="Buffer","B",IF(INDEX('PROJETO PERFURAÇÃO'!$P:$P,MATCH(MEDIÇÃO!D770,'PROJETO PERFURAÇÃO'!$B:$B,0))="Pre-Splitting","S"))),"")</f>
        <v/>
      </c>
      <c r="D770" s="14">
        <f t="shared" si="72"/>
        <v>1678</v>
      </c>
      <c r="E770" s="4" t="str">
        <f>IFERROR(INDEX('LEV R&amp;D'!$D:$D,MATCH(MEDIÇÃO!D770,'LEV R&amp;D'!$A:$A,0))-INDEX('PROJETO PERFURAÇÃO'!$AH:$AH,MATCH(MEDIÇÃO!D770,'PROJETO PERFURAÇÃO'!$B:$B,0)),"")</f>
        <v/>
      </c>
      <c r="F770" s="8" t="str">
        <f>IFERROR(INDEX('PROJETO PERFURAÇÃO'!$AN:$AN,MATCH(MEDIÇÃO!D770,'PROJETO PERFURAÇÃO'!$B:$B,0)),"")</f>
        <v/>
      </c>
      <c r="G770" s="3"/>
      <c r="H770" s="3"/>
      <c r="I770" s="3" t="str">
        <f>IFERROR(ROUND(INDEX('PROJETO PERFURAÇÃO'!$AB:$AB,MATCH(MEDIÇÃO!K770,'PROJETO PERFURAÇÃO'!$B:$B,0)),1)&amp;"''","")</f>
        <v/>
      </c>
      <c r="J770" s="3" t="str">
        <f>IFERROR(IF(INDEX('PROJETO PERFURAÇÃO'!$P:$P,MATCH(MEDIÇÃO!K770,'PROJETO PERFURAÇÃO'!$B:$B,0))="Production","P",IF(INDEX('PROJETO PERFURAÇÃO'!$P:$P,MATCH(MEDIÇÃO!K770,'PROJETO PERFURAÇÃO'!$B:$B,0))="Buffer","B",IF(INDEX('PROJETO PERFURAÇÃO'!$P:$P,MATCH(MEDIÇÃO!K770,'PROJETO PERFURAÇÃO'!$B:$B,0))="Pre-Splitting","S"))),"")</f>
        <v/>
      </c>
      <c r="K770" s="14">
        <f t="shared" si="73"/>
        <v>1701</v>
      </c>
      <c r="L770" s="4" t="str">
        <f>IFERROR(INDEX('LEV R&amp;D'!$D:$D,MATCH(MEDIÇÃO!K770,'LEV R&amp;D'!$A:$A,0))-INDEX('PROJETO PERFURAÇÃO'!$AH:$AH,MATCH(MEDIÇÃO!K770,'PROJETO PERFURAÇÃO'!$B:$B,0)),"")</f>
        <v/>
      </c>
      <c r="M770" s="8" t="str">
        <f>IFERROR(INDEX('PROJETO PERFURAÇÃO'!$AN:$AN,MATCH(MEDIÇÃO!K770,'PROJETO PERFURAÇÃO'!$B:$B,0)),"")</f>
        <v/>
      </c>
      <c r="N770" s="3"/>
      <c r="O770" s="3"/>
      <c r="P770" s="3" t="str">
        <f>IFERROR(ROUND(INDEX('PROJETO PERFURAÇÃO'!$AB:$AB,MATCH(MEDIÇÃO!R770,'PROJETO PERFURAÇÃO'!$B:$B,0)),1)&amp;"''","")</f>
        <v/>
      </c>
      <c r="Q770" s="3" t="str">
        <f>IFERROR(IF(INDEX('PROJETO PERFURAÇÃO'!$P:$P,MATCH(MEDIÇÃO!R770,'PROJETO PERFURAÇÃO'!$B:$B,0))="Production","P",IF(INDEX('PROJETO PERFURAÇÃO'!$P:$P,MATCH(MEDIÇÃO!R770,'PROJETO PERFURAÇÃO'!$B:$B,0))="Buffer","B",IF(INDEX('PROJETO PERFURAÇÃO'!$P:$P,MATCH(MEDIÇÃO!R770,'PROJETO PERFURAÇÃO'!$B:$B,0))="Pre-Splitting","S"))),"")</f>
        <v/>
      </c>
      <c r="R770" s="14">
        <f t="shared" si="74"/>
        <v>1724</v>
      </c>
      <c r="S770" s="4" t="str">
        <f>IFERROR(INDEX('LEV R&amp;D'!$D:$D,MATCH(MEDIÇÃO!R770,'LEV R&amp;D'!$A:$A,0))-INDEX('PROJETO PERFURAÇÃO'!$AH:$AH,MATCH(MEDIÇÃO!R770,'PROJETO PERFURAÇÃO'!$B:$B,0)),"")</f>
        <v/>
      </c>
      <c r="T770" s="8" t="str">
        <f>IFERROR(INDEX('PROJETO PERFURAÇÃO'!$AN:$AN,MATCH(MEDIÇÃO!R770,'PROJETO PERFURAÇÃO'!$B:$B,0)),"")</f>
        <v/>
      </c>
      <c r="U770" s="3"/>
      <c r="V770" s="3"/>
    </row>
    <row r="771" spans="1:23" ht="45" customHeight="1" x14ac:dyDescent="0.25">
      <c r="B771" s="3" t="str">
        <f>IFERROR(ROUND(INDEX('PROJETO PERFURAÇÃO'!$AB:$AB,MATCH(MEDIÇÃO!D771,'PROJETO PERFURAÇÃO'!$B:$B,0)),1)&amp;"''","")</f>
        <v/>
      </c>
      <c r="C771" s="3" t="str">
        <f>IFERROR(IF(INDEX('PROJETO PERFURAÇÃO'!$P:$P,MATCH(MEDIÇÃO!D771,'PROJETO PERFURAÇÃO'!$B:$B,0))="Production","P",IF(INDEX('PROJETO PERFURAÇÃO'!$P:$P,MATCH(MEDIÇÃO!D771,'PROJETO PERFURAÇÃO'!$B:$B,0))="Buffer","B",IF(INDEX('PROJETO PERFURAÇÃO'!$P:$P,MATCH(MEDIÇÃO!D771,'PROJETO PERFURAÇÃO'!$B:$B,0))="Pre-Splitting","S"))),"")</f>
        <v/>
      </c>
      <c r="D771" s="14">
        <f t="shared" si="72"/>
        <v>1679</v>
      </c>
      <c r="E771" s="4" t="str">
        <f>IFERROR(INDEX('LEV R&amp;D'!$D:$D,MATCH(MEDIÇÃO!D771,'LEV R&amp;D'!$A:$A,0))-INDEX('PROJETO PERFURAÇÃO'!$AH:$AH,MATCH(MEDIÇÃO!D771,'PROJETO PERFURAÇÃO'!$B:$B,0)),"")</f>
        <v/>
      </c>
      <c r="F771" s="8" t="str">
        <f>IFERROR(INDEX('PROJETO PERFURAÇÃO'!$AN:$AN,MATCH(MEDIÇÃO!D771,'PROJETO PERFURAÇÃO'!$B:$B,0)),"")</f>
        <v/>
      </c>
      <c r="G771" s="3"/>
      <c r="H771" s="3"/>
      <c r="I771" s="3" t="str">
        <f>IFERROR(ROUND(INDEX('PROJETO PERFURAÇÃO'!$AB:$AB,MATCH(MEDIÇÃO!K771,'PROJETO PERFURAÇÃO'!$B:$B,0)),1)&amp;"''","")</f>
        <v/>
      </c>
      <c r="J771" s="3" t="str">
        <f>IFERROR(IF(INDEX('PROJETO PERFURAÇÃO'!$P:$P,MATCH(MEDIÇÃO!K771,'PROJETO PERFURAÇÃO'!$B:$B,0))="Production","P",IF(INDEX('PROJETO PERFURAÇÃO'!$P:$P,MATCH(MEDIÇÃO!K771,'PROJETO PERFURAÇÃO'!$B:$B,0))="Buffer","B",IF(INDEX('PROJETO PERFURAÇÃO'!$P:$P,MATCH(MEDIÇÃO!K771,'PROJETO PERFURAÇÃO'!$B:$B,0))="Pre-Splitting","S"))),"")</f>
        <v/>
      </c>
      <c r="K771" s="14">
        <f>K770+1</f>
        <v>1702</v>
      </c>
      <c r="L771" s="4" t="str">
        <f>IFERROR(INDEX('LEV R&amp;D'!$D:$D,MATCH(MEDIÇÃO!K771,'LEV R&amp;D'!$A:$A,0))-INDEX('PROJETO PERFURAÇÃO'!$AH:$AH,MATCH(MEDIÇÃO!K771,'PROJETO PERFURAÇÃO'!$B:$B,0)),"")</f>
        <v/>
      </c>
      <c r="M771" s="8" t="str">
        <f>IFERROR(INDEX('PROJETO PERFURAÇÃO'!$AN:$AN,MATCH(MEDIÇÃO!K771,'PROJETO PERFURAÇÃO'!$B:$B,0)),"")</f>
        <v/>
      </c>
      <c r="N771" s="3"/>
      <c r="O771" s="3"/>
      <c r="P771" s="3" t="str">
        <f>IFERROR(ROUND(INDEX('PROJETO PERFURAÇÃO'!$AB:$AB,MATCH(MEDIÇÃO!R771,'PROJETO PERFURAÇÃO'!$B:$B,0)),1)&amp;"''","")</f>
        <v/>
      </c>
      <c r="Q771" s="3" t="str">
        <f>IFERROR(IF(INDEX('PROJETO PERFURAÇÃO'!$P:$P,MATCH(MEDIÇÃO!R771,'PROJETO PERFURAÇÃO'!$B:$B,0))="Production","P",IF(INDEX('PROJETO PERFURAÇÃO'!$P:$P,MATCH(MEDIÇÃO!R771,'PROJETO PERFURAÇÃO'!$B:$B,0))="Buffer","B",IF(INDEX('PROJETO PERFURAÇÃO'!$P:$P,MATCH(MEDIÇÃO!R771,'PROJETO PERFURAÇÃO'!$B:$B,0))="Pre-Splitting","S"))),"")</f>
        <v/>
      </c>
      <c r="R771" s="14">
        <f>R770+1</f>
        <v>1725</v>
      </c>
      <c r="S771" s="4" t="str">
        <f>IFERROR(INDEX('LEV R&amp;D'!$D:$D,MATCH(MEDIÇÃO!R771,'LEV R&amp;D'!$A:$A,0))-INDEX('PROJETO PERFURAÇÃO'!$AH:$AH,MATCH(MEDIÇÃO!R771,'PROJETO PERFURAÇÃO'!$B:$B,0)),"")</f>
        <v/>
      </c>
      <c r="T771" s="8" t="str">
        <f>IFERROR(INDEX('PROJETO PERFURAÇÃO'!$AN:$AN,MATCH(MEDIÇÃO!R771,'PROJETO PERFURAÇÃO'!$B:$B,0)),"")</f>
        <v/>
      </c>
      <c r="U771" s="3"/>
      <c r="V771" s="3"/>
    </row>
    <row r="772" spans="1:23" ht="30" customHeight="1" x14ac:dyDescent="0.25">
      <c r="B772" s="1"/>
      <c r="C772" s="1"/>
      <c r="D772" s="15"/>
      <c r="E772" s="2"/>
      <c r="F772" s="16"/>
      <c r="G772" s="1"/>
      <c r="H772" s="1"/>
      <c r="I772" s="1"/>
      <c r="J772" s="1"/>
      <c r="K772" s="15"/>
      <c r="L772" s="2"/>
      <c r="M772" s="16"/>
      <c r="N772" s="1"/>
      <c r="O772" s="1"/>
      <c r="P772" s="1"/>
      <c r="Q772" s="1"/>
      <c r="R772" s="15"/>
      <c r="S772" s="2"/>
      <c r="T772" s="16"/>
      <c r="U772" s="1"/>
      <c r="V772" s="1"/>
    </row>
    <row r="773" spans="1:23" ht="30" customHeight="1" x14ac:dyDescent="0.25">
      <c r="C773" s="20"/>
      <c r="D773" s="20"/>
      <c r="E773" s="20"/>
      <c r="F773" s="20"/>
      <c r="G773" s="20"/>
      <c r="H773" s="20"/>
      <c r="I773" s="20"/>
      <c r="J773" s="20"/>
      <c r="K773" s="20"/>
      <c r="M773" s="20"/>
      <c r="N773" s="20"/>
      <c r="O773" s="20"/>
      <c r="P773" s="20"/>
      <c r="Q773" s="20"/>
      <c r="R773" s="20"/>
      <c r="S773" s="20"/>
      <c r="T773" s="20"/>
      <c r="U773" s="20"/>
    </row>
    <row r="774" spans="1:23" ht="30" customHeight="1" x14ac:dyDescent="0.25">
      <c r="C774" s="21" t="s">
        <v>40</v>
      </c>
      <c r="D774" s="21"/>
      <c r="E774" s="21"/>
      <c r="F774" s="21"/>
      <c r="G774" s="21"/>
      <c r="H774" s="21"/>
      <c r="I774" s="21"/>
      <c r="J774" s="21"/>
      <c r="K774" s="21"/>
      <c r="L774" s="9"/>
      <c r="M774" s="21" t="s">
        <v>40</v>
      </c>
      <c r="N774" s="21"/>
      <c r="O774" s="21"/>
      <c r="P774" s="21"/>
      <c r="Q774" s="21"/>
      <c r="R774" s="21"/>
      <c r="S774" s="21"/>
      <c r="T774" s="21"/>
      <c r="U774" s="21"/>
      <c r="V774" s="9"/>
    </row>
    <row r="775" spans="1:23" ht="30" customHeight="1" x14ac:dyDescent="0.25">
      <c r="D775" s="9"/>
      <c r="E775" s="9"/>
      <c r="F775" s="9"/>
      <c r="G775" s="9"/>
      <c r="H775" s="9"/>
      <c r="I775" s="9"/>
      <c r="J775" s="9"/>
      <c r="K775" s="9"/>
      <c r="L775" s="9"/>
      <c r="M775" s="9"/>
      <c r="N775" s="9"/>
      <c r="Q775" s="9"/>
      <c r="R775" s="9"/>
      <c r="S775" s="9"/>
      <c r="T775" s="9"/>
      <c r="U775" s="9"/>
      <c r="V775" s="9"/>
    </row>
    <row r="776" spans="1:23" ht="30" customHeight="1" x14ac:dyDescent="0.25">
      <c r="B776" s="19" t="str">
        <f>'PROJETO PERFURAÇÃO'!$C$2&amp;" - "&amp;'PROJETO PERFURAÇÃO'!$H$2</f>
        <v>LIB065 - PP0651026</v>
      </c>
      <c r="C776" s="19"/>
      <c r="D776" s="19"/>
      <c r="E776" s="19"/>
      <c r="F776" s="19"/>
      <c r="G776" s="19"/>
      <c r="H776" s="19"/>
      <c r="I776" s="11" t="s">
        <v>34</v>
      </c>
      <c r="J776" s="10" t="s">
        <v>37</v>
      </c>
    </row>
    <row r="777" spans="1:23" ht="30" customHeight="1" x14ac:dyDescent="0.25">
      <c r="B777" s="19"/>
      <c r="C777" s="19"/>
      <c r="D777" s="19"/>
      <c r="E777" s="19"/>
      <c r="F777" s="19"/>
      <c r="G777" s="19"/>
      <c r="H777" s="19"/>
      <c r="I777" s="12" t="s">
        <v>35</v>
      </c>
      <c r="J777" s="10" t="s">
        <v>38</v>
      </c>
      <c r="K777" s="9"/>
      <c r="L777" s="9"/>
      <c r="M777" s="9"/>
      <c r="N777" s="9"/>
      <c r="O777" s="9"/>
      <c r="P777" s="9"/>
      <c r="Q777" s="9"/>
      <c r="R777" s="9"/>
      <c r="S777" s="9"/>
      <c r="T777" s="9"/>
      <c r="U777" s="9"/>
      <c r="V777" s="9"/>
    </row>
    <row r="778" spans="1:23" ht="30" customHeight="1" x14ac:dyDescent="0.25">
      <c r="B778" s="19"/>
      <c r="C778" s="19"/>
      <c r="D778" s="19"/>
      <c r="E778" s="19"/>
      <c r="F778" s="19"/>
      <c r="G778" s="19"/>
      <c r="H778" s="19"/>
      <c r="I778" s="13" t="s">
        <v>36</v>
      </c>
      <c r="J778" s="10" t="s">
        <v>39</v>
      </c>
    </row>
    <row r="779" spans="1:23" ht="30" customHeight="1" x14ac:dyDescent="0.25">
      <c r="A779" s="1"/>
      <c r="B779" s="6" t="s">
        <v>33</v>
      </c>
      <c r="C779" s="6" t="s">
        <v>13</v>
      </c>
      <c r="D779" s="7" t="s">
        <v>1</v>
      </c>
      <c r="E779" s="7" t="s">
        <v>29</v>
      </c>
      <c r="F779" s="7" t="s">
        <v>30</v>
      </c>
      <c r="G779" s="7" t="s">
        <v>31</v>
      </c>
      <c r="H779" s="7" t="s">
        <v>32</v>
      </c>
      <c r="I779" s="6" t="s">
        <v>33</v>
      </c>
      <c r="J779" s="6" t="s">
        <v>13</v>
      </c>
      <c r="K779" s="7" t="s">
        <v>1</v>
      </c>
      <c r="L779" s="7" t="s">
        <v>29</v>
      </c>
      <c r="M779" s="7" t="s">
        <v>30</v>
      </c>
      <c r="N779" s="7" t="s">
        <v>31</v>
      </c>
      <c r="O779" s="7" t="s">
        <v>32</v>
      </c>
      <c r="P779" s="6" t="s">
        <v>33</v>
      </c>
      <c r="Q779" s="6" t="s">
        <v>13</v>
      </c>
      <c r="R779" s="7" t="s">
        <v>1</v>
      </c>
      <c r="S779" s="7" t="s">
        <v>29</v>
      </c>
      <c r="T779" s="7" t="s">
        <v>30</v>
      </c>
      <c r="U779" s="7" t="s">
        <v>31</v>
      </c>
      <c r="V779" s="7" t="s">
        <v>32</v>
      </c>
      <c r="W779" s="1"/>
    </row>
    <row r="780" spans="1:23" ht="45" customHeight="1" x14ac:dyDescent="0.25">
      <c r="B780" s="3" t="str">
        <f>IFERROR(ROUND(INDEX('PROJETO PERFURAÇÃO'!$AB:$AB,MATCH(MEDIÇÃO!D780,'PROJETO PERFURAÇÃO'!$B:$B,0)),1)&amp;"''","")</f>
        <v/>
      </c>
      <c r="C780" s="3" t="str">
        <f>IFERROR(IF(INDEX('PROJETO PERFURAÇÃO'!$P:$P,MATCH(MEDIÇÃO!D780,'PROJETO PERFURAÇÃO'!$B:$B,0))="Production","P",IF(INDEX('PROJETO PERFURAÇÃO'!$P:$P,MATCH(MEDIÇÃO!D780,'PROJETO PERFURAÇÃO'!$B:$B,0))="Buffer","B",IF(INDEX('PROJETO PERFURAÇÃO'!$P:$P,MATCH(MEDIÇÃO!D780,'PROJETO PERFURAÇÃO'!$B:$B,0))="Pre-Splitting","S"))),"")</f>
        <v/>
      </c>
      <c r="D780" s="14">
        <f>R771+1</f>
        <v>1726</v>
      </c>
      <c r="E780" s="4" t="str">
        <f>IFERROR(INDEX('LEV R&amp;D'!$D:$D,MATCH(MEDIÇÃO!D780,'LEV R&amp;D'!$A:$A,0))-INDEX('PROJETO PERFURAÇÃO'!$AH:$AH,MATCH(MEDIÇÃO!D780,'PROJETO PERFURAÇÃO'!$B:$B,0)),"")</f>
        <v/>
      </c>
      <c r="F780" s="8" t="str">
        <f>IFERROR(INDEX('PROJETO PERFURAÇÃO'!$AN:$AN,MATCH(MEDIÇÃO!D780,'PROJETO PERFURAÇÃO'!$B:$B,0)),"")</f>
        <v/>
      </c>
      <c r="G780" s="3"/>
      <c r="H780" s="3"/>
      <c r="I780" s="3" t="str">
        <f>IFERROR(ROUND(INDEX('PROJETO PERFURAÇÃO'!$AB:$AB,MATCH(MEDIÇÃO!K780,'PROJETO PERFURAÇÃO'!$B:$B,0)),1)&amp;"''","")</f>
        <v/>
      </c>
      <c r="J780" s="3" t="str">
        <f>IFERROR(IF(INDEX('PROJETO PERFURAÇÃO'!$P:$P,MATCH(MEDIÇÃO!K780,'PROJETO PERFURAÇÃO'!$B:$B,0))="Production","P",IF(INDEX('PROJETO PERFURAÇÃO'!$P:$P,MATCH(MEDIÇÃO!K780,'PROJETO PERFURAÇÃO'!$B:$B,0))="Buffer","B",IF(INDEX('PROJETO PERFURAÇÃO'!$P:$P,MATCH(MEDIÇÃO!K780,'PROJETO PERFURAÇÃO'!$B:$B,0))="Pre-Splitting","S"))),"")</f>
        <v/>
      </c>
      <c r="K780" s="14">
        <f>D802+1</f>
        <v>1749</v>
      </c>
      <c r="L780" s="4" t="str">
        <f>IFERROR(INDEX('LEV R&amp;D'!$D:$D,MATCH(MEDIÇÃO!K780,'LEV R&amp;D'!$A:$A,0))-INDEX('PROJETO PERFURAÇÃO'!$AH:$AH,MATCH(MEDIÇÃO!K780,'PROJETO PERFURAÇÃO'!$B:$B,0)),"")</f>
        <v/>
      </c>
      <c r="M780" s="8" t="str">
        <f>IFERROR(INDEX('PROJETO PERFURAÇÃO'!$AN:$AN,MATCH(MEDIÇÃO!K780,'PROJETO PERFURAÇÃO'!$B:$B,0)),"")</f>
        <v/>
      </c>
      <c r="N780" s="3"/>
      <c r="O780" s="3"/>
      <c r="P780" s="3" t="str">
        <f>IFERROR(ROUND(INDEX('PROJETO PERFURAÇÃO'!$AB:$AB,MATCH(MEDIÇÃO!R780,'PROJETO PERFURAÇÃO'!$B:$B,0)),1)&amp;"''","")</f>
        <v/>
      </c>
      <c r="Q780" s="3" t="str">
        <f>IFERROR(IF(INDEX('PROJETO PERFURAÇÃO'!$P:$P,MATCH(MEDIÇÃO!R780,'PROJETO PERFURAÇÃO'!$B:$B,0))="Production","P",IF(INDEX('PROJETO PERFURAÇÃO'!$P:$P,MATCH(MEDIÇÃO!R780,'PROJETO PERFURAÇÃO'!$B:$B,0))="Buffer","B",IF(INDEX('PROJETO PERFURAÇÃO'!$P:$P,MATCH(MEDIÇÃO!R780,'PROJETO PERFURAÇÃO'!$B:$B,0))="Pre-Splitting","S"))),"")</f>
        <v/>
      </c>
      <c r="R780" s="14">
        <f>K802+1</f>
        <v>1772</v>
      </c>
      <c r="S780" s="4" t="str">
        <f>IFERROR(INDEX('LEV R&amp;D'!$D:$D,MATCH(MEDIÇÃO!R780,'LEV R&amp;D'!$A:$A,0))-INDEX('PROJETO PERFURAÇÃO'!$AH:$AH,MATCH(MEDIÇÃO!R780,'PROJETO PERFURAÇÃO'!$B:$B,0)),"")</f>
        <v/>
      </c>
      <c r="T780" s="8" t="str">
        <f>IFERROR(INDEX('PROJETO PERFURAÇÃO'!$AN:$AN,MATCH(MEDIÇÃO!R780,'PROJETO PERFURAÇÃO'!$B:$B,0)),"")</f>
        <v/>
      </c>
      <c r="U780" s="3"/>
      <c r="V780" s="3"/>
    </row>
    <row r="781" spans="1:23" ht="45" customHeight="1" x14ac:dyDescent="0.25">
      <c r="B781" s="3" t="str">
        <f>IFERROR(ROUND(INDEX('PROJETO PERFURAÇÃO'!$AB:$AB,MATCH(MEDIÇÃO!D781,'PROJETO PERFURAÇÃO'!$B:$B,0)),1)&amp;"''","")</f>
        <v/>
      </c>
      <c r="C781" s="3" t="str">
        <f>IFERROR(IF(INDEX('PROJETO PERFURAÇÃO'!$P:$P,MATCH(MEDIÇÃO!D781,'PROJETO PERFURAÇÃO'!$B:$B,0))="Production","P",IF(INDEX('PROJETO PERFURAÇÃO'!$P:$P,MATCH(MEDIÇÃO!D781,'PROJETO PERFURAÇÃO'!$B:$B,0))="Buffer","B",IF(INDEX('PROJETO PERFURAÇÃO'!$P:$P,MATCH(MEDIÇÃO!D781,'PROJETO PERFURAÇÃO'!$B:$B,0))="Pre-Splitting","S"))),"")</f>
        <v/>
      </c>
      <c r="D781" s="14">
        <f>D780+1</f>
        <v>1727</v>
      </c>
      <c r="E781" s="4" t="str">
        <f>IFERROR(INDEX('LEV R&amp;D'!$D:$D,MATCH(MEDIÇÃO!D781,'LEV R&amp;D'!$A:$A,0))-INDEX('PROJETO PERFURAÇÃO'!$AH:$AH,MATCH(MEDIÇÃO!D781,'PROJETO PERFURAÇÃO'!$B:$B,0)),"")</f>
        <v/>
      </c>
      <c r="F781" s="8" t="str">
        <f>IFERROR(INDEX('PROJETO PERFURAÇÃO'!$AN:$AN,MATCH(MEDIÇÃO!D781,'PROJETO PERFURAÇÃO'!$B:$B,0)),"")</f>
        <v/>
      </c>
      <c r="G781" s="3"/>
      <c r="H781" s="3"/>
      <c r="I781" s="3" t="str">
        <f>IFERROR(ROUND(INDEX('PROJETO PERFURAÇÃO'!$AB:$AB,MATCH(MEDIÇÃO!K781,'PROJETO PERFURAÇÃO'!$B:$B,0)),1)&amp;"''","")</f>
        <v/>
      </c>
      <c r="J781" s="3" t="str">
        <f>IFERROR(IF(INDEX('PROJETO PERFURAÇÃO'!$P:$P,MATCH(MEDIÇÃO!K781,'PROJETO PERFURAÇÃO'!$B:$B,0))="Production","P",IF(INDEX('PROJETO PERFURAÇÃO'!$P:$P,MATCH(MEDIÇÃO!K781,'PROJETO PERFURAÇÃO'!$B:$B,0))="Buffer","B",IF(INDEX('PROJETO PERFURAÇÃO'!$P:$P,MATCH(MEDIÇÃO!K781,'PROJETO PERFURAÇÃO'!$B:$B,0))="Pre-Splitting","S"))),"")</f>
        <v/>
      </c>
      <c r="K781" s="14">
        <f>K780+1</f>
        <v>1750</v>
      </c>
      <c r="L781" s="4" t="str">
        <f>IFERROR(INDEX('LEV R&amp;D'!$D:$D,MATCH(MEDIÇÃO!K781,'LEV R&amp;D'!$A:$A,0))-INDEX('PROJETO PERFURAÇÃO'!$AH:$AH,MATCH(MEDIÇÃO!K781,'PROJETO PERFURAÇÃO'!$B:$B,0)),"")</f>
        <v/>
      </c>
      <c r="M781" s="8" t="str">
        <f>IFERROR(INDEX('PROJETO PERFURAÇÃO'!$AN:$AN,MATCH(MEDIÇÃO!K781,'PROJETO PERFURAÇÃO'!$B:$B,0)),"")</f>
        <v/>
      </c>
      <c r="N781" s="3"/>
      <c r="O781" s="3"/>
      <c r="P781" s="3" t="str">
        <f>IFERROR(ROUND(INDEX('PROJETO PERFURAÇÃO'!$AB:$AB,MATCH(MEDIÇÃO!R781,'PROJETO PERFURAÇÃO'!$B:$B,0)),1)&amp;"''","")</f>
        <v/>
      </c>
      <c r="Q781" s="3" t="str">
        <f>IFERROR(IF(INDEX('PROJETO PERFURAÇÃO'!$P:$P,MATCH(MEDIÇÃO!R781,'PROJETO PERFURAÇÃO'!$B:$B,0))="Production","P",IF(INDEX('PROJETO PERFURAÇÃO'!$P:$P,MATCH(MEDIÇÃO!R781,'PROJETO PERFURAÇÃO'!$B:$B,0))="Buffer","B",IF(INDEX('PROJETO PERFURAÇÃO'!$P:$P,MATCH(MEDIÇÃO!R781,'PROJETO PERFURAÇÃO'!$B:$B,0))="Pre-Splitting","S"))),"")</f>
        <v/>
      </c>
      <c r="R781" s="14">
        <f>R780+1</f>
        <v>1773</v>
      </c>
      <c r="S781" s="4" t="str">
        <f>IFERROR(INDEX('LEV R&amp;D'!$D:$D,MATCH(MEDIÇÃO!R781,'LEV R&amp;D'!$A:$A,0))-INDEX('PROJETO PERFURAÇÃO'!$AH:$AH,MATCH(MEDIÇÃO!R781,'PROJETO PERFURAÇÃO'!$B:$B,0)),"")</f>
        <v/>
      </c>
      <c r="T781" s="8" t="str">
        <f>IFERROR(INDEX('PROJETO PERFURAÇÃO'!$AN:$AN,MATCH(MEDIÇÃO!R781,'PROJETO PERFURAÇÃO'!$B:$B,0)),"")</f>
        <v/>
      </c>
      <c r="U781" s="3"/>
      <c r="V781" s="3"/>
    </row>
    <row r="782" spans="1:23" ht="45" customHeight="1" x14ac:dyDescent="0.25">
      <c r="B782" s="3" t="str">
        <f>IFERROR(ROUND(INDEX('PROJETO PERFURAÇÃO'!$AB:$AB,MATCH(MEDIÇÃO!D782,'PROJETO PERFURAÇÃO'!$B:$B,0)),1)&amp;"''","")</f>
        <v/>
      </c>
      <c r="C782" s="3" t="str">
        <f>IFERROR(IF(INDEX('PROJETO PERFURAÇÃO'!$P:$P,MATCH(MEDIÇÃO!D782,'PROJETO PERFURAÇÃO'!$B:$B,0))="Production","P",IF(INDEX('PROJETO PERFURAÇÃO'!$P:$P,MATCH(MEDIÇÃO!D782,'PROJETO PERFURAÇÃO'!$B:$B,0))="Buffer","B",IF(INDEX('PROJETO PERFURAÇÃO'!$P:$P,MATCH(MEDIÇÃO!D782,'PROJETO PERFURAÇÃO'!$B:$B,0))="Pre-Splitting","S"))),"")</f>
        <v/>
      </c>
      <c r="D782" s="14">
        <f t="shared" ref="D782:D802" si="75">D781+1</f>
        <v>1728</v>
      </c>
      <c r="E782" s="4" t="str">
        <f>IFERROR(INDEX('LEV R&amp;D'!$D:$D,MATCH(MEDIÇÃO!D782,'LEV R&amp;D'!$A:$A,0))-INDEX('PROJETO PERFURAÇÃO'!$AH:$AH,MATCH(MEDIÇÃO!D782,'PROJETO PERFURAÇÃO'!$B:$B,0)),"")</f>
        <v/>
      </c>
      <c r="F782" s="8" t="str">
        <f>IFERROR(INDEX('PROJETO PERFURAÇÃO'!$AN:$AN,MATCH(MEDIÇÃO!D782,'PROJETO PERFURAÇÃO'!$B:$B,0)),"")</f>
        <v/>
      </c>
      <c r="G782" s="3"/>
      <c r="H782" s="3"/>
      <c r="I782" s="3" t="str">
        <f>IFERROR(ROUND(INDEX('PROJETO PERFURAÇÃO'!$AB:$AB,MATCH(MEDIÇÃO!K782,'PROJETO PERFURAÇÃO'!$B:$B,0)),1)&amp;"''","")</f>
        <v/>
      </c>
      <c r="J782" s="3" t="str">
        <f>IFERROR(IF(INDEX('PROJETO PERFURAÇÃO'!$P:$P,MATCH(MEDIÇÃO!K782,'PROJETO PERFURAÇÃO'!$B:$B,0))="Production","P",IF(INDEX('PROJETO PERFURAÇÃO'!$P:$P,MATCH(MEDIÇÃO!K782,'PROJETO PERFURAÇÃO'!$B:$B,0))="Buffer","B",IF(INDEX('PROJETO PERFURAÇÃO'!$P:$P,MATCH(MEDIÇÃO!K782,'PROJETO PERFURAÇÃO'!$B:$B,0))="Pre-Splitting","S"))),"")</f>
        <v/>
      </c>
      <c r="K782" s="14">
        <f t="shared" ref="K782:K801" si="76">K781+1</f>
        <v>1751</v>
      </c>
      <c r="L782" s="4" t="str">
        <f>IFERROR(INDEX('LEV R&amp;D'!$D:$D,MATCH(MEDIÇÃO!K782,'LEV R&amp;D'!$A:$A,0))-INDEX('PROJETO PERFURAÇÃO'!$AH:$AH,MATCH(MEDIÇÃO!K782,'PROJETO PERFURAÇÃO'!$B:$B,0)),"")</f>
        <v/>
      </c>
      <c r="M782" s="8" t="str">
        <f>IFERROR(INDEX('PROJETO PERFURAÇÃO'!$AN:$AN,MATCH(MEDIÇÃO!K782,'PROJETO PERFURAÇÃO'!$B:$B,0)),"")</f>
        <v/>
      </c>
      <c r="N782" s="3"/>
      <c r="O782" s="3"/>
      <c r="P782" s="3" t="str">
        <f>IFERROR(ROUND(INDEX('PROJETO PERFURAÇÃO'!$AB:$AB,MATCH(MEDIÇÃO!R782,'PROJETO PERFURAÇÃO'!$B:$B,0)),1)&amp;"''","")</f>
        <v/>
      </c>
      <c r="Q782" s="3" t="str">
        <f>IFERROR(IF(INDEX('PROJETO PERFURAÇÃO'!$P:$P,MATCH(MEDIÇÃO!R782,'PROJETO PERFURAÇÃO'!$B:$B,0))="Production","P",IF(INDEX('PROJETO PERFURAÇÃO'!$P:$P,MATCH(MEDIÇÃO!R782,'PROJETO PERFURAÇÃO'!$B:$B,0))="Buffer","B",IF(INDEX('PROJETO PERFURAÇÃO'!$P:$P,MATCH(MEDIÇÃO!R782,'PROJETO PERFURAÇÃO'!$B:$B,0))="Pre-Splitting","S"))),"")</f>
        <v/>
      </c>
      <c r="R782" s="14">
        <f t="shared" ref="R782:R801" si="77">R781+1</f>
        <v>1774</v>
      </c>
      <c r="S782" s="4" t="str">
        <f>IFERROR(INDEX('LEV R&amp;D'!$D:$D,MATCH(MEDIÇÃO!R782,'LEV R&amp;D'!$A:$A,0))-INDEX('PROJETO PERFURAÇÃO'!$AH:$AH,MATCH(MEDIÇÃO!R782,'PROJETO PERFURAÇÃO'!$B:$B,0)),"")</f>
        <v/>
      </c>
      <c r="T782" s="8" t="str">
        <f>IFERROR(INDEX('PROJETO PERFURAÇÃO'!$AN:$AN,MATCH(MEDIÇÃO!R782,'PROJETO PERFURAÇÃO'!$B:$B,0)),"")</f>
        <v/>
      </c>
      <c r="U782" s="3"/>
      <c r="V782" s="3"/>
    </row>
    <row r="783" spans="1:23" ht="45" customHeight="1" x14ac:dyDescent="0.25">
      <c r="B783" s="3" t="str">
        <f>IFERROR(ROUND(INDEX('PROJETO PERFURAÇÃO'!$AB:$AB,MATCH(MEDIÇÃO!D783,'PROJETO PERFURAÇÃO'!$B:$B,0)),1)&amp;"''","")</f>
        <v/>
      </c>
      <c r="C783" s="3" t="str">
        <f>IFERROR(IF(INDEX('PROJETO PERFURAÇÃO'!$P:$P,MATCH(MEDIÇÃO!D783,'PROJETO PERFURAÇÃO'!$B:$B,0))="Production","P",IF(INDEX('PROJETO PERFURAÇÃO'!$P:$P,MATCH(MEDIÇÃO!D783,'PROJETO PERFURAÇÃO'!$B:$B,0))="Buffer","B",IF(INDEX('PROJETO PERFURAÇÃO'!$P:$P,MATCH(MEDIÇÃO!D783,'PROJETO PERFURAÇÃO'!$B:$B,0))="Pre-Splitting","S"))),"")</f>
        <v/>
      </c>
      <c r="D783" s="14">
        <f t="shared" si="75"/>
        <v>1729</v>
      </c>
      <c r="E783" s="4" t="str">
        <f>IFERROR(INDEX('LEV R&amp;D'!$D:$D,MATCH(MEDIÇÃO!D783,'LEV R&amp;D'!$A:$A,0))-INDEX('PROJETO PERFURAÇÃO'!$AH:$AH,MATCH(MEDIÇÃO!D783,'PROJETO PERFURAÇÃO'!$B:$B,0)),"")</f>
        <v/>
      </c>
      <c r="F783" s="8" t="str">
        <f>IFERROR(INDEX('PROJETO PERFURAÇÃO'!$AN:$AN,MATCH(MEDIÇÃO!D783,'PROJETO PERFURAÇÃO'!$B:$B,0)),"")</f>
        <v/>
      </c>
      <c r="G783" s="3"/>
      <c r="H783" s="3"/>
      <c r="I783" s="3" t="str">
        <f>IFERROR(ROUND(INDEX('PROJETO PERFURAÇÃO'!$AB:$AB,MATCH(MEDIÇÃO!K783,'PROJETO PERFURAÇÃO'!$B:$B,0)),1)&amp;"''","")</f>
        <v/>
      </c>
      <c r="J783" s="3" t="str">
        <f>IFERROR(IF(INDEX('PROJETO PERFURAÇÃO'!$P:$P,MATCH(MEDIÇÃO!K783,'PROJETO PERFURAÇÃO'!$B:$B,0))="Production","P",IF(INDEX('PROJETO PERFURAÇÃO'!$P:$P,MATCH(MEDIÇÃO!K783,'PROJETO PERFURAÇÃO'!$B:$B,0))="Buffer","B",IF(INDEX('PROJETO PERFURAÇÃO'!$P:$P,MATCH(MEDIÇÃO!K783,'PROJETO PERFURAÇÃO'!$B:$B,0))="Pre-Splitting","S"))),"")</f>
        <v/>
      </c>
      <c r="K783" s="14">
        <f t="shared" si="76"/>
        <v>1752</v>
      </c>
      <c r="L783" s="4" t="str">
        <f>IFERROR(INDEX('LEV R&amp;D'!$D:$D,MATCH(MEDIÇÃO!K783,'LEV R&amp;D'!$A:$A,0))-INDEX('PROJETO PERFURAÇÃO'!$AH:$AH,MATCH(MEDIÇÃO!K783,'PROJETO PERFURAÇÃO'!$B:$B,0)),"")</f>
        <v/>
      </c>
      <c r="M783" s="8" t="str">
        <f>IFERROR(INDEX('PROJETO PERFURAÇÃO'!$AN:$AN,MATCH(MEDIÇÃO!K783,'PROJETO PERFURAÇÃO'!$B:$B,0)),"")</f>
        <v/>
      </c>
      <c r="N783" s="3"/>
      <c r="O783" s="3"/>
      <c r="P783" s="3" t="str">
        <f>IFERROR(ROUND(INDEX('PROJETO PERFURAÇÃO'!$AB:$AB,MATCH(MEDIÇÃO!R783,'PROJETO PERFURAÇÃO'!$B:$B,0)),1)&amp;"''","")</f>
        <v/>
      </c>
      <c r="Q783" s="3" t="str">
        <f>IFERROR(IF(INDEX('PROJETO PERFURAÇÃO'!$P:$P,MATCH(MEDIÇÃO!R783,'PROJETO PERFURAÇÃO'!$B:$B,0))="Production","P",IF(INDEX('PROJETO PERFURAÇÃO'!$P:$P,MATCH(MEDIÇÃO!R783,'PROJETO PERFURAÇÃO'!$B:$B,0))="Buffer","B",IF(INDEX('PROJETO PERFURAÇÃO'!$P:$P,MATCH(MEDIÇÃO!R783,'PROJETO PERFURAÇÃO'!$B:$B,0))="Pre-Splitting","S"))),"")</f>
        <v/>
      </c>
      <c r="R783" s="14">
        <f t="shared" si="77"/>
        <v>1775</v>
      </c>
      <c r="S783" s="4" t="str">
        <f>IFERROR(INDEX('LEV R&amp;D'!$D:$D,MATCH(MEDIÇÃO!R783,'LEV R&amp;D'!$A:$A,0))-INDEX('PROJETO PERFURAÇÃO'!$AH:$AH,MATCH(MEDIÇÃO!R783,'PROJETO PERFURAÇÃO'!$B:$B,0)),"")</f>
        <v/>
      </c>
      <c r="T783" s="8" t="str">
        <f>IFERROR(INDEX('PROJETO PERFURAÇÃO'!$AN:$AN,MATCH(MEDIÇÃO!R783,'PROJETO PERFURAÇÃO'!$B:$B,0)),"")</f>
        <v/>
      </c>
      <c r="U783" s="3"/>
      <c r="V783" s="3"/>
    </row>
    <row r="784" spans="1:23" ht="45" customHeight="1" x14ac:dyDescent="0.25">
      <c r="B784" s="3" t="str">
        <f>IFERROR(ROUND(INDEX('PROJETO PERFURAÇÃO'!$AB:$AB,MATCH(MEDIÇÃO!D784,'PROJETO PERFURAÇÃO'!$B:$B,0)),1)&amp;"''","")</f>
        <v/>
      </c>
      <c r="C784" s="3" t="str">
        <f>IFERROR(IF(INDEX('PROJETO PERFURAÇÃO'!$P:$P,MATCH(MEDIÇÃO!D784,'PROJETO PERFURAÇÃO'!$B:$B,0))="Production","P",IF(INDEX('PROJETO PERFURAÇÃO'!$P:$P,MATCH(MEDIÇÃO!D784,'PROJETO PERFURAÇÃO'!$B:$B,0))="Buffer","B",IF(INDEX('PROJETO PERFURAÇÃO'!$P:$P,MATCH(MEDIÇÃO!D784,'PROJETO PERFURAÇÃO'!$B:$B,0))="Pre-Splitting","S"))),"")</f>
        <v/>
      </c>
      <c r="D784" s="14">
        <f t="shared" si="75"/>
        <v>1730</v>
      </c>
      <c r="E784" s="4" t="str">
        <f>IFERROR(INDEX('LEV R&amp;D'!$D:$D,MATCH(MEDIÇÃO!D784,'LEV R&amp;D'!$A:$A,0))-INDEX('PROJETO PERFURAÇÃO'!$AH:$AH,MATCH(MEDIÇÃO!D784,'PROJETO PERFURAÇÃO'!$B:$B,0)),"")</f>
        <v/>
      </c>
      <c r="F784" s="8" t="str">
        <f>IFERROR(INDEX('PROJETO PERFURAÇÃO'!$AN:$AN,MATCH(MEDIÇÃO!D784,'PROJETO PERFURAÇÃO'!$B:$B,0)),"")</f>
        <v/>
      </c>
      <c r="G784" s="3"/>
      <c r="H784" s="3"/>
      <c r="I784" s="3" t="str">
        <f>IFERROR(ROUND(INDEX('PROJETO PERFURAÇÃO'!$AB:$AB,MATCH(MEDIÇÃO!K784,'PROJETO PERFURAÇÃO'!$B:$B,0)),1)&amp;"''","")</f>
        <v/>
      </c>
      <c r="J784" s="3" t="str">
        <f>IFERROR(IF(INDEX('PROJETO PERFURAÇÃO'!$P:$P,MATCH(MEDIÇÃO!K784,'PROJETO PERFURAÇÃO'!$B:$B,0))="Production","P",IF(INDEX('PROJETO PERFURAÇÃO'!$P:$P,MATCH(MEDIÇÃO!K784,'PROJETO PERFURAÇÃO'!$B:$B,0))="Buffer","B",IF(INDEX('PROJETO PERFURAÇÃO'!$P:$P,MATCH(MEDIÇÃO!K784,'PROJETO PERFURAÇÃO'!$B:$B,0))="Pre-Splitting","S"))),"")</f>
        <v/>
      </c>
      <c r="K784" s="14">
        <f t="shared" si="76"/>
        <v>1753</v>
      </c>
      <c r="L784" s="4" t="str">
        <f>IFERROR(INDEX('LEV R&amp;D'!$D:$D,MATCH(MEDIÇÃO!K784,'LEV R&amp;D'!$A:$A,0))-INDEX('PROJETO PERFURAÇÃO'!$AH:$AH,MATCH(MEDIÇÃO!K784,'PROJETO PERFURAÇÃO'!$B:$B,0)),"")</f>
        <v/>
      </c>
      <c r="M784" s="8" t="str">
        <f>IFERROR(INDEX('PROJETO PERFURAÇÃO'!$AN:$AN,MATCH(MEDIÇÃO!K784,'PROJETO PERFURAÇÃO'!$B:$B,0)),"")</f>
        <v/>
      </c>
      <c r="N784" s="3"/>
      <c r="O784" s="3"/>
      <c r="P784" s="3" t="str">
        <f>IFERROR(ROUND(INDEX('PROJETO PERFURAÇÃO'!$AB:$AB,MATCH(MEDIÇÃO!R784,'PROJETO PERFURAÇÃO'!$B:$B,0)),1)&amp;"''","")</f>
        <v/>
      </c>
      <c r="Q784" s="3" t="str">
        <f>IFERROR(IF(INDEX('PROJETO PERFURAÇÃO'!$P:$P,MATCH(MEDIÇÃO!R784,'PROJETO PERFURAÇÃO'!$B:$B,0))="Production","P",IF(INDEX('PROJETO PERFURAÇÃO'!$P:$P,MATCH(MEDIÇÃO!R784,'PROJETO PERFURAÇÃO'!$B:$B,0))="Buffer","B",IF(INDEX('PROJETO PERFURAÇÃO'!$P:$P,MATCH(MEDIÇÃO!R784,'PROJETO PERFURAÇÃO'!$B:$B,0))="Pre-Splitting","S"))),"")</f>
        <v/>
      </c>
      <c r="R784" s="14">
        <f t="shared" si="77"/>
        <v>1776</v>
      </c>
      <c r="S784" s="4" t="str">
        <f>IFERROR(INDEX('LEV R&amp;D'!$D:$D,MATCH(MEDIÇÃO!R784,'LEV R&amp;D'!$A:$A,0))-INDEX('PROJETO PERFURAÇÃO'!$AH:$AH,MATCH(MEDIÇÃO!R784,'PROJETO PERFURAÇÃO'!$B:$B,0)),"")</f>
        <v/>
      </c>
      <c r="T784" s="8" t="str">
        <f>IFERROR(INDEX('PROJETO PERFURAÇÃO'!$AN:$AN,MATCH(MEDIÇÃO!R784,'PROJETO PERFURAÇÃO'!$B:$B,0)),"")</f>
        <v/>
      </c>
      <c r="U784" s="3"/>
      <c r="V784" s="3"/>
    </row>
    <row r="785" spans="2:22" ht="45" customHeight="1" x14ac:dyDescent="0.25">
      <c r="B785" s="3" t="str">
        <f>IFERROR(ROUND(INDEX('PROJETO PERFURAÇÃO'!$AB:$AB,MATCH(MEDIÇÃO!D785,'PROJETO PERFURAÇÃO'!$B:$B,0)),1)&amp;"''","")</f>
        <v/>
      </c>
      <c r="C785" s="3" t="str">
        <f>IFERROR(IF(INDEX('PROJETO PERFURAÇÃO'!$P:$P,MATCH(MEDIÇÃO!D785,'PROJETO PERFURAÇÃO'!$B:$B,0))="Production","P",IF(INDEX('PROJETO PERFURAÇÃO'!$P:$P,MATCH(MEDIÇÃO!D785,'PROJETO PERFURAÇÃO'!$B:$B,0))="Buffer","B",IF(INDEX('PROJETO PERFURAÇÃO'!$P:$P,MATCH(MEDIÇÃO!D785,'PROJETO PERFURAÇÃO'!$B:$B,0))="Pre-Splitting","S"))),"")</f>
        <v/>
      </c>
      <c r="D785" s="14">
        <f t="shared" si="75"/>
        <v>1731</v>
      </c>
      <c r="E785" s="4" t="str">
        <f>IFERROR(INDEX('LEV R&amp;D'!$D:$D,MATCH(MEDIÇÃO!D785,'LEV R&amp;D'!$A:$A,0))-INDEX('PROJETO PERFURAÇÃO'!$AH:$AH,MATCH(MEDIÇÃO!D785,'PROJETO PERFURAÇÃO'!$B:$B,0)),"")</f>
        <v/>
      </c>
      <c r="F785" s="8" t="str">
        <f>IFERROR(INDEX('PROJETO PERFURAÇÃO'!$AN:$AN,MATCH(MEDIÇÃO!D785,'PROJETO PERFURAÇÃO'!$B:$B,0)),"")</f>
        <v/>
      </c>
      <c r="G785" s="3"/>
      <c r="H785" s="3"/>
      <c r="I785" s="3" t="str">
        <f>IFERROR(ROUND(INDEX('PROJETO PERFURAÇÃO'!$AB:$AB,MATCH(MEDIÇÃO!K785,'PROJETO PERFURAÇÃO'!$B:$B,0)),1)&amp;"''","")</f>
        <v/>
      </c>
      <c r="J785" s="3" t="str">
        <f>IFERROR(IF(INDEX('PROJETO PERFURAÇÃO'!$P:$P,MATCH(MEDIÇÃO!K785,'PROJETO PERFURAÇÃO'!$B:$B,0))="Production","P",IF(INDEX('PROJETO PERFURAÇÃO'!$P:$P,MATCH(MEDIÇÃO!K785,'PROJETO PERFURAÇÃO'!$B:$B,0))="Buffer","B",IF(INDEX('PROJETO PERFURAÇÃO'!$P:$P,MATCH(MEDIÇÃO!K785,'PROJETO PERFURAÇÃO'!$B:$B,0))="Pre-Splitting","S"))),"")</f>
        <v/>
      </c>
      <c r="K785" s="14">
        <f t="shared" si="76"/>
        <v>1754</v>
      </c>
      <c r="L785" s="4" t="str">
        <f>IFERROR(INDEX('LEV R&amp;D'!$D:$D,MATCH(MEDIÇÃO!K785,'LEV R&amp;D'!$A:$A,0))-INDEX('PROJETO PERFURAÇÃO'!$AH:$AH,MATCH(MEDIÇÃO!K785,'PROJETO PERFURAÇÃO'!$B:$B,0)),"")</f>
        <v/>
      </c>
      <c r="M785" s="8" t="str">
        <f>IFERROR(INDEX('PROJETO PERFURAÇÃO'!$AN:$AN,MATCH(MEDIÇÃO!K785,'PROJETO PERFURAÇÃO'!$B:$B,0)),"")</f>
        <v/>
      </c>
      <c r="N785" s="3"/>
      <c r="O785" s="3"/>
      <c r="P785" s="3" t="str">
        <f>IFERROR(ROUND(INDEX('PROJETO PERFURAÇÃO'!$AB:$AB,MATCH(MEDIÇÃO!R785,'PROJETO PERFURAÇÃO'!$B:$B,0)),1)&amp;"''","")</f>
        <v/>
      </c>
      <c r="Q785" s="3" t="str">
        <f>IFERROR(IF(INDEX('PROJETO PERFURAÇÃO'!$P:$P,MATCH(MEDIÇÃO!R785,'PROJETO PERFURAÇÃO'!$B:$B,0))="Production","P",IF(INDEX('PROJETO PERFURAÇÃO'!$P:$P,MATCH(MEDIÇÃO!R785,'PROJETO PERFURAÇÃO'!$B:$B,0))="Buffer","B",IF(INDEX('PROJETO PERFURAÇÃO'!$P:$P,MATCH(MEDIÇÃO!R785,'PROJETO PERFURAÇÃO'!$B:$B,0))="Pre-Splitting","S"))),"")</f>
        <v/>
      </c>
      <c r="R785" s="14">
        <f t="shared" si="77"/>
        <v>1777</v>
      </c>
      <c r="S785" s="4" t="str">
        <f>IFERROR(INDEX('LEV R&amp;D'!$D:$D,MATCH(MEDIÇÃO!R785,'LEV R&amp;D'!$A:$A,0))-INDEX('PROJETO PERFURAÇÃO'!$AH:$AH,MATCH(MEDIÇÃO!R785,'PROJETO PERFURAÇÃO'!$B:$B,0)),"")</f>
        <v/>
      </c>
      <c r="T785" s="8" t="str">
        <f>IFERROR(INDEX('PROJETO PERFURAÇÃO'!$AN:$AN,MATCH(MEDIÇÃO!R785,'PROJETO PERFURAÇÃO'!$B:$B,0)),"")</f>
        <v/>
      </c>
      <c r="U785" s="3"/>
      <c r="V785" s="3"/>
    </row>
    <row r="786" spans="2:22" ht="45" customHeight="1" x14ac:dyDescent="0.25">
      <c r="B786" s="3" t="str">
        <f>IFERROR(ROUND(INDEX('PROJETO PERFURAÇÃO'!$AB:$AB,MATCH(MEDIÇÃO!D786,'PROJETO PERFURAÇÃO'!$B:$B,0)),1)&amp;"''","")</f>
        <v/>
      </c>
      <c r="C786" s="3" t="str">
        <f>IFERROR(IF(INDEX('PROJETO PERFURAÇÃO'!$P:$P,MATCH(MEDIÇÃO!D786,'PROJETO PERFURAÇÃO'!$B:$B,0))="Production","P",IF(INDEX('PROJETO PERFURAÇÃO'!$P:$P,MATCH(MEDIÇÃO!D786,'PROJETO PERFURAÇÃO'!$B:$B,0))="Buffer","B",IF(INDEX('PROJETO PERFURAÇÃO'!$P:$P,MATCH(MEDIÇÃO!D786,'PROJETO PERFURAÇÃO'!$B:$B,0))="Pre-Splitting","S"))),"")</f>
        <v/>
      </c>
      <c r="D786" s="14">
        <f t="shared" si="75"/>
        <v>1732</v>
      </c>
      <c r="E786" s="4" t="str">
        <f>IFERROR(INDEX('LEV R&amp;D'!$D:$D,MATCH(MEDIÇÃO!D786,'LEV R&amp;D'!$A:$A,0))-INDEX('PROJETO PERFURAÇÃO'!$AH:$AH,MATCH(MEDIÇÃO!D786,'PROJETO PERFURAÇÃO'!$B:$B,0)),"")</f>
        <v/>
      </c>
      <c r="F786" s="8" t="str">
        <f>IFERROR(INDEX('PROJETO PERFURAÇÃO'!$AN:$AN,MATCH(MEDIÇÃO!D786,'PROJETO PERFURAÇÃO'!$B:$B,0)),"")</f>
        <v/>
      </c>
      <c r="G786" s="3"/>
      <c r="H786" s="3"/>
      <c r="I786" s="3" t="str">
        <f>IFERROR(ROUND(INDEX('PROJETO PERFURAÇÃO'!$AB:$AB,MATCH(MEDIÇÃO!K786,'PROJETO PERFURAÇÃO'!$B:$B,0)),1)&amp;"''","")</f>
        <v/>
      </c>
      <c r="J786" s="3" t="str">
        <f>IFERROR(IF(INDEX('PROJETO PERFURAÇÃO'!$P:$P,MATCH(MEDIÇÃO!K786,'PROJETO PERFURAÇÃO'!$B:$B,0))="Production","P",IF(INDEX('PROJETO PERFURAÇÃO'!$P:$P,MATCH(MEDIÇÃO!K786,'PROJETO PERFURAÇÃO'!$B:$B,0))="Buffer","B",IF(INDEX('PROJETO PERFURAÇÃO'!$P:$P,MATCH(MEDIÇÃO!K786,'PROJETO PERFURAÇÃO'!$B:$B,0))="Pre-Splitting","S"))),"")</f>
        <v/>
      </c>
      <c r="K786" s="14">
        <f t="shared" si="76"/>
        <v>1755</v>
      </c>
      <c r="L786" s="4" t="str">
        <f>IFERROR(INDEX('LEV R&amp;D'!$D:$D,MATCH(MEDIÇÃO!K786,'LEV R&amp;D'!$A:$A,0))-INDEX('PROJETO PERFURAÇÃO'!$AH:$AH,MATCH(MEDIÇÃO!K786,'PROJETO PERFURAÇÃO'!$B:$B,0)),"")</f>
        <v/>
      </c>
      <c r="M786" s="8" t="str">
        <f>IFERROR(INDEX('PROJETO PERFURAÇÃO'!$AN:$AN,MATCH(MEDIÇÃO!K786,'PROJETO PERFURAÇÃO'!$B:$B,0)),"")</f>
        <v/>
      </c>
      <c r="N786" s="3"/>
      <c r="O786" s="3"/>
      <c r="P786" s="3" t="str">
        <f>IFERROR(ROUND(INDEX('PROJETO PERFURAÇÃO'!$AB:$AB,MATCH(MEDIÇÃO!R786,'PROJETO PERFURAÇÃO'!$B:$B,0)),1)&amp;"''","")</f>
        <v/>
      </c>
      <c r="Q786" s="3" t="str">
        <f>IFERROR(IF(INDEX('PROJETO PERFURAÇÃO'!$P:$P,MATCH(MEDIÇÃO!R786,'PROJETO PERFURAÇÃO'!$B:$B,0))="Production","P",IF(INDEX('PROJETO PERFURAÇÃO'!$P:$P,MATCH(MEDIÇÃO!R786,'PROJETO PERFURAÇÃO'!$B:$B,0))="Buffer","B",IF(INDEX('PROJETO PERFURAÇÃO'!$P:$P,MATCH(MEDIÇÃO!R786,'PROJETO PERFURAÇÃO'!$B:$B,0))="Pre-Splitting","S"))),"")</f>
        <v/>
      </c>
      <c r="R786" s="14">
        <f t="shared" si="77"/>
        <v>1778</v>
      </c>
      <c r="S786" s="4" t="str">
        <f>IFERROR(INDEX('LEV R&amp;D'!$D:$D,MATCH(MEDIÇÃO!R786,'LEV R&amp;D'!$A:$A,0))-INDEX('PROJETO PERFURAÇÃO'!$AH:$AH,MATCH(MEDIÇÃO!R786,'PROJETO PERFURAÇÃO'!$B:$B,0)),"")</f>
        <v/>
      </c>
      <c r="T786" s="8" t="str">
        <f>IFERROR(INDEX('PROJETO PERFURAÇÃO'!$AN:$AN,MATCH(MEDIÇÃO!R786,'PROJETO PERFURAÇÃO'!$B:$B,0)),"")</f>
        <v/>
      </c>
      <c r="U786" s="3"/>
      <c r="V786" s="3"/>
    </row>
    <row r="787" spans="2:22" ht="45" customHeight="1" x14ac:dyDescent="0.25">
      <c r="B787" s="3" t="str">
        <f>IFERROR(ROUND(INDEX('PROJETO PERFURAÇÃO'!$AB:$AB,MATCH(MEDIÇÃO!D787,'PROJETO PERFURAÇÃO'!$B:$B,0)),1)&amp;"''","")</f>
        <v/>
      </c>
      <c r="C787" s="3" t="str">
        <f>IFERROR(IF(INDEX('PROJETO PERFURAÇÃO'!$P:$P,MATCH(MEDIÇÃO!D787,'PROJETO PERFURAÇÃO'!$B:$B,0))="Production","P",IF(INDEX('PROJETO PERFURAÇÃO'!$P:$P,MATCH(MEDIÇÃO!D787,'PROJETO PERFURAÇÃO'!$B:$B,0))="Buffer","B",IF(INDEX('PROJETO PERFURAÇÃO'!$P:$P,MATCH(MEDIÇÃO!D787,'PROJETO PERFURAÇÃO'!$B:$B,0))="Pre-Splitting","S"))),"")</f>
        <v/>
      </c>
      <c r="D787" s="14">
        <f t="shared" si="75"/>
        <v>1733</v>
      </c>
      <c r="E787" s="4" t="str">
        <f>IFERROR(INDEX('LEV R&amp;D'!$D:$D,MATCH(MEDIÇÃO!D787,'LEV R&amp;D'!$A:$A,0))-INDEX('PROJETO PERFURAÇÃO'!$AH:$AH,MATCH(MEDIÇÃO!D787,'PROJETO PERFURAÇÃO'!$B:$B,0)),"")</f>
        <v/>
      </c>
      <c r="F787" s="8" t="str">
        <f>IFERROR(INDEX('PROJETO PERFURAÇÃO'!$AN:$AN,MATCH(MEDIÇÃO!D787,'PROJETO PERFURAÇÃO'!$B:$B,0)),"")</f>
        <v/>
      </c>
      <c r="G787" s="3"/>
      <c r="H787" s="3"/>
      <c r="I787" s="3" t="str">
        <f>IFERROR(ROUND(INDEX('PROJETO PERFURAÇÃO'!$AB:$AB,MATCH(MEDIÇÃO!K787,'PROJETO PERFURAÇÃO'!$B:$B,0)),1)&amp;"''","")</f>
        <v/>
      </c>
      <c r="J787" s="3" t="str">
        <f>IFERROR(IF(INDEX('PROJETO PERFURAÇÃO'!$P:$P,MATCH(MEDIÇÃO!K787,'PROJETO PERFURAÇÃO'!$B:$B,0))="Production","P",IF(INDEX('PROJETO PERFURAÇÃO'!$P:$P,MATCH(MEDIÇÃO!K787,'PROJETO PERFURAÇÃO'!$B:$B,0))="Buffer","B",IF(INDEX('PROJETO PERFURAÇÃO'!$P:$P,MATCH(MEDIÇÃO!K787,'PROJETO PERFURAÇÃO'!$B:$B,0))="Pre-Splitting","S"))),"")</f>
        <v/>
      </c>
      <c r="K787" s="14">
        <f t="shared" si="76"/>
        <v>1756</v>
      </c>
      <c r="L787" s="4" t="str">
        <f>IFERROR(INDEX('LEV R&amp;D'!$D:$D,MATCH(MEDIÇÃO!K787,'LEV R&amp;D'!$A:$A,0))-INDEX('PROJETO PERFURAÇÃO'!$AH:$AH,MATCH(MEDIÇÃO!K787,'PROJETO PERFURAÇÃO'!$B:$B,0)),"")</f>
        <v/>
      </c>
      <c r="M787" s="8" t="str">
        <f>IFERROR(INDEX('PROJETO PERFURAÇÃO'!$AN:$AN,MATCH(MEDIÇÃO!K787,'PROJETO PERFURAÇÃO'!$B:$B,0)),"")</f>
        <v/>
      </c>
      <c r="N787" s="3"/>
      <c r="O787" s="3"/>
      <c r="P787" s="3" t="str">
        <f>IFERROR(ROUND(INDEX('PROJETO PERFURAÇÃO'!$AB:$AB,MATCH(MEDIÇÃO!R787,'PROJETO PERFURAÇÃO'!$B:$B,0)),1)&amp;"''","")</f>
        <v/>
      </c>
      <c r="Q787" s="3" t="str">
        <f>IFERROR(IF(INDEX('PROJETO PERFURAÇÃO'!$P:$P,MATCH(MEDIÇÃO!R787,'PROJETO PERFURAÇÃO'!$B:$B,0))="Production","P",IF(INDEX('PROJETO PERFURAÇÃO'!$P:$P,MATCH(MEDIÇÃO!R787,'PROJETO PERFURAÇÃO'!$B:$B,0))="Buffer","B",IF(INDEX('PROJETO PERFURAÇÃO'!$P:$P,MATCH(MEDIÇÃO!R787,'PROJETO PERFURAÇÃO'!$B:$B,0))="Pre-Splitting","S"))),"")</f>
        <v/>
      </c>
      <c r="R787" s="14">
        <f t="shared" si="77"/>
        <v>1779</v>
      </c>
      <c r="S787" s="4" t="str">
        <f>IFERROR(INDEX('LEV R&amp;D'!$D:$D,MATCH(MEDIÇÃO!R787,'LEV R&amp;D'!$A:$A,0))-INDEX('PROJETO PERFURAÇÃO'!$AH:$AH,MATCH(MEDIÇÃO!R787,'PROJETO PERFURAÇÃO'!$B:$B,0)),"")</f>
        <v/>
      </c>
      <c r="T787" s="8" t="str">
        <f>IFERROR(INDEX('PROJETO PERFURAÇÃO'!$AN:$AN,MATCH(MEDIÇÃO!R787,'PROJETO PERFURAÇÃO'!$B:$B,0)),"")</f>
        <v/>
      </c>
      <c r="U787" s="3"/>
      <c r="V787" s="3"/>
    </row>
    <row r="788" spans="2:22" ht="45" customHeight="1" x14ac:dyDescent="0.25">
      <c r="B788" s="3" t="str">
        <f>IFERROR(ROUND(INDEX('PROJETO PERFURAÇÃO'!$AB:$AB,MATCH(MEDIÇÃO!D788,'PROJETO PERFURAÇÃO'!$B:$B,0)),1)&amp;"''","")</f>
        <v/>
      </c>
      <c r="C788" s="3" t="str">
        <f>IFERROR(IF(INDEX('PROJETO PERFURAÇÃO'!$P:$P,MATCH(MEDIÇÃO!D788,'PROJETO PERFURAÇÃO'!$B:$B,0))="Production","P",IF(INDEX('PROJETO PERFURAÇÃO'!$P:$P,MATCH(MEDIÇÃO!D788,'PROJETO PERFURAÇÃO'!$B:$B,0))="Buffer","B",IF(INDEX('PROJETO PERFURAÇÃO'!$P:$P,MATCH(MEDIÇÃO!D788,'PROJETO PERFURAÇÃO'!$B:$B,0))="Pre-Splitting","S"))),"")</f>
        <v/>
      </c>
      <c r="D788" s="14">
        <f t="shared" si="75"/>
        <v>1734</v>
      </c>
      <c r="E788" s="4" t="str">
        <f>IFERROR(INDEX('LEV R&amp;D'!$D:$D,MATCH(MEDIÇÃO!D788,'LEV R&amp;D'!$A:$A,0))-INDEX('PROJETO PERFURAÇÃO'!$AH:$AH,MATCH(MEDIÇÃO!D788,'PROJETO PERFURAÇÃO'!$B:$B,0)),"")</f>
        <v/>
      </c>
      <c r="F788" s="8" t="str">
        <f>IFERROR(INDEX('PROJETO PERFURAÇÃO'!$AN:$AN,MATCH(MEDIÇÃO!D788,'PROJETO PERFURAÇÃO'!$B:$B,0)),"")</f>
        <v/>
      </c>
      <c r="G788" s="3"/>
      <c r="H788" s="3"/>
      <c r="I788" s="3" t="str">
        <f>IFERROR(ROUND(INDEX('PROJETO PERFURAÇÃO'!$AB:$AB,MATCH(MEDIÇÃO!K788,'PROJETO PERFURAÇÃO'!$B:$B,0)),1)&amp;"''","")</f>
        <v/>
      </c>
      <c r="J788" s="3" t="str">
        <f>IFERROR(IF(INDEX('PROJETO PERFURAÇÃO'!$P:$P,MATCH(MEDIÇÃO!K788,'PROJETO PERFURAÇÃO'!$B:$B,0))="Production","P",IF(INDEX('PROJETO PERFURAÇÃO'!$P:$P,MATCH(MEDIÇÃO!K788,'PROJETO PERFURAÇÃO'!$B:$B,0))="Buffer","B",IF(INDEX('PROJETO PERFURAÇÃO'!$P:$P,MATCH(MEDIÇÃO!K788,'PROJETO PERFURAÇÃO'!$B:$B,0))="Pre-Splitting","S"))),"")</f>
        <v/>
      </c>
      <c r="K788" s="14">
        <f t="shared" si="76"/>
        <v>1757</v>
      </c>
      <c r="L788" s="4" t="str">
        <f>IFERROR(INDEX('LEV R&amp;D'!$D:$D,MATCH(MEDIÇÃO!K788,'LEV R&amp;D'!$A:$A,0))-INDEX('PROJETO PERFURAÇÃO'!$AH:$AH,MATCH(MEDIÇÃO!K788,'PROJETO PERFURAÇÃO'!$B:$B,0)),"")</f>
        <v/>
      </c>
      <c r="M788" s="8" t="str">
        <f>IFERROR(INDEX('PROJETO PERFURAÇÃO'!$AN:$AN,MATCH(MEDIÇÃO!K788,'PROJETO PERFURAÇÃO'!$B:$B,0)),"")</f>
        <v/>
      </c>
      <c r="N788" s="3"/>
      <c r="O788" s="3"/>
      <c r="P788" s="3" t="str">
        <f>IFERROR(ROUND(INDEX('PROJETO PERFURAÇÃO'!$AB:$AB,MATCH(MEDIÇÃO!R788,'PROJETO PERFURAÇÃO'!$B:$B,0)),1)&amp;"''","")</f>
        <v/>
      </c>
      <c r="Q788" s="3" t="str">
        <f>IFERROR(IF(INDEX('PROJETO PERFURAÇÃO'!$P:$P,MATCH(MEDIÇÃO!R788,'PROJETO PERFURAÇÃO'!$B:$B,0))="Production","P",IF(INDEX('PROJETO PERFURAÇÃO'!$P:$P,MATCH(MEDIÇÃO!R788,'PROJETO PERFURAÇÃO'!$B:$B,0))="Buffer","B",IF(INDEX('PROJETO PERFURAÇÃO'!$P:$P,MATCH(MEDIÇÃO!R788,'PROJETO PERFURAÇÃO'!$B:$B,0))="Pre-Splitting","S"))),"")</f>
        <v/>
      </c>
      <c r="R788" s="14">
        <f t="shared" si="77"/>
        <v>1780</v>
      </c>
      <c r="S788" s="4" t="str">
        <f>IFERROR(INDEX('LEV R&amp;D'!$D:$D,MATCH(MEDIÇÃO!R788,'LEV R&amp;D'!$A:$A,0))-INDEX('PROJETO PERFURAÇÃO'!$AH:$AH,MATCH(MEDIÇÃO!R788,'PROJETO PERFURAÇÃO'!$B:$B,0)),"")</f>
        <v/>
      </c>
      <c r="T788" s="8" t="str">
        <f>IFERROR(INDEX('PROJETO PERFURAÇÃO'!$AN:$AN,MATCH(MEDIÇÃO!R788,'PROJETO PERFURAÇÃO'!$B:$B,0)),"")</f>
        <v/>
      </c>
      <c r="U788" s="3"/>
      <c r="V788" s="3"/>
    </row>
    <row r="789" spans="2:22" ht="45" customHeight="1" x14ac:dyDescent="0.25">
      <c r="B789" s="3" t="str">
        <f>IFERROR(ROUND(INDEX('PROJETO PERFURAÇÃO'!$AB:$AB,MATCH(MEDIÇÃO!D789,'PROJETO PERFURAÇÃO'!$B:$B,0)),1)&amp;"''","")</f>
        <v/>
      </c>
      <c r="C789" s="3" t="str">
        <f>IFERROR(IF(INDEX('PROJETO PERFURAÇÃO'!$P:$P,MATCH(MEDIÇÃO!D789,'PROJETO PERFURAÇÃO'!$B:$B,0))="Production","P",IF(INDEX('PROJETO PERFURAÇÃO'!$P:$P,MATCH(MEDIÇÃO!D789,'PROJETO PERFURAÇÃO'!$B:$B,0))="Buffer","B",IF(INDEX('PROJETO PERFURAÇÃO'!$P:$P,MATCH(MEDIÇÃO!D789,'PROJETO PERFURAÇÃO'!$B:$B,0))="Pre-Splitting","S"))),"")</f>
        <v/>
      </c>
      <c r="D789" s="14">
        <f t="shared" si="75"/>
        <v>1735</v>
      </c>
      <c r="E789" s="4" t="str">
        <f>IFERROR(INDEX('LEV R&amp;D'!$D:$D,MATCH(MEDIÇÃO!D789,'LEV R&amp;D'!$A:$A,0))-INDEX('PROJETO PERFURAÇÃO'!$AH:$AH,MATCH(MEDIÇÃO!D789,'PROJETO PERFURAÇÃO'!$B:$B,0)),"")</f>
        <v/>
      </c>
      <c r="F789" s="8" t="str">
        <f>IFERROR(INDEX('PROJETO PERFURAÇÃO'!$AN:$AN,MATCH(MEDIÇÃO!D789,'PROJETO PERFURAÇÃO'!$B:$B,0)),"")</f>
        <v/>
      </c>
      <c r="G789" s="3"/>
      <c r="H789" s="3"/>
      <c r="I789" s="3" t="str">
        <f>IFERROR(ROUND(INDEX('PROJETO PERFURAÇÃO'!$AB:$AB,MATCH(MEDIÇÃO!K789,'PROJETO PERFURAÇÃO'!$B:$B,0)),1)&amp;"''","")</f>
        <v/>
      </c>
      <c r="J789" s="3" t="str">
        <f>IFERROR(IF(INDEX('PROJETO PERFURAÇÃO'!$P:$P,MATCH(MEDIÇÃO!K789,'PROJETO PERFURAÇÃO'!$B:$B,0))="Production","P",IF(INDEX('PROJETO PERFURAÇÃO'!$P:$P,MATCH(MEDIÇÃO!K789,'PROJETO PERFURAÇÃO'!$B:$B,0))="Buffer","B",IF(INDEX('PROJETO PERFURAÇÃO'!$P:$P,MATCH(MEDIÇÃO!K789,'PROJETO PERFURAÇÃO'!$B:$B,0))="Pre-Splitting","S"))),"")</f>
        <v/>
      </c>
      <c r="K789" s="14">
        <f t="shared" si="76"/>
        <v>1758</v>
      </c>
      <c r="L789" s="4" t="str">
        <f>IFERROR(INDEX('LEV R&amp;D'!$D:$D,MATCH(MEDIÇÃO!K789,'LEV R&amp;D'!$A:$A,0))-INDEX('PROJETO PERFURAÇÃO'!$AH:$AH,MATCH(MEDIÇÃO!K789,'PROJETO PERFURAÇÃO'!$B:$B,0)),"")</f>
        <v/>
      </c>
      <c r="M789" s="8" t="str">
        <f>IFERROR(INDEX('PROJETO PERFURAÇÃO'!$AN:$AN,MATCH(MEDIÇÃO!K789,'PROJETO PERFURAÇÃO'!$B:$B,0)),"")</f>
        <v/>
      </c>
      <c r="N789" s="3"/>
      <c r="O789" s="3"/>
      <c r="P789" s="3" t="str">
        <f>IFERROR(ROUND(INDEX('PROJETO PERFURAÇÃO'!$AB:$AB,MATCH(MEDIÇÃO!R789,'PROJETO PERFURAÇÃO'!$B:$B,0)),1)&amp;"''","")</f>
        <v/>
      </c>
      <c r="Q789" s="3" t="str">
        <f>IFERROR(IF(INDEX('PROJETO PERFURAÇÃO'!$P:$P,MATCH(MEDIÇÃO!R789,'PROJETO PERFURAÇÃO'!$B:$B,0))="Production","P",IF(INDEX('PROJETO PERFURAÇÃO'!$P:$P,MATCH(MEDIÇÃO!R789,'PROJETO PERFURAÇÃO'!$B:$B,0))="Buffer","B",IF(INDEX('PROJETO PERFURAÇÃO'!$P:$P,MATCH(MEDIÇÃO!R789,'PROJETO PERFURAÇÃO'!$B:$B,0))="Pre-Splitting","S"))),"")</f>
        <v/>
      </c>
      <c r="R789" s="14">
        <f t="shared" si="77"/>
        <v>1781</v>
      </c>
      <c r="S789" s="4" t="str">
        <f>IFERROR(INDEX('LEV R&amp;D'!$D:$D,MATCH(MEDIÇÃO!R789,'LEV R&amp;D'!$A:$A,0))-INDEX('PROJETO PERFURAÇÃO'!$AH:$AH,MATCH(MEDIÇÃO!R789,'PROJETO PERFURAÇÃO'!$B:$B,0)),"")</f>
        <v/>
      </c>
      <c r="T789" s="8" t="str">
        <f>IFERROR(INDEX('PROJETO PERFURAÇÃO'!$AN:$AN,MATCH(MEDIÇÃO!R789,'PROJETO PERFURAÇÃO'!$B:$B,0)),"")</f>
        <v/>
      </c>
      <c r="U789" s="3"/>
      <c r="V789" s="3"/>
    </row>
    <row r="790" spans="2:22" ht="45" customHeight="1" x14ac:dyDescent="0.25">
      <c r="B790" s="3" t="str">
        <f>IFERROR(ROUND(INDEX('PROJETO PERFURAÇÃO'!$AB:$AB,MATCH(MEDIÇÃO!D790,'PROJETO PERFURAÇÃO'!$B:$B,0)),1)&amp;"''","")</f>
        <v/>
      </c>
      <c r="C790" s="3" t="str">
        <f>IFERROR(IF(INDEX('PROJETO PERFURAÇÃO'!$P:$P,MATCH(MEDIÇÃO!D790,'PROJETO PERFURAÇÃO'!$B:$B,0))="Production","P",IF(INDEX('PROJETO PERFURAÇÃO'!$P:$P,MATCH(MEDIÇÃO!D790,'PROJETO PERFURAÇÃO'!$B:$B,0))="Buffer","B",IF(INDEX('PROJETO PERFURAÇÃO'!$P:$P,MATCH(MEDIÇÃO!D790,'PROJETO PERFURAÇÃO'!$B:$B,0))="Pre-Splitting","S"))),"")</f>
        <v/>
      </c>
      <c r="D790" s="14">
        <f t="shared" si="75"/>
        <v>1736</v>
      </c>
      <c r="E790" s="4" t="str">
        <f>IFERROR(INDEX('LEV R&amp;D'!$D:$D,MATCH(MEDIÇÃO!D790,'LEV R&amp;D'!$A:$A,0))-INDEX('PROJETO PERFURAÇÃO'!$AH:$AH,MATCH(MEDIÇÃO!D790,'PROJETO PERFURAÇÃO'!$B:$B,0)),"")</f>
        <v/>
      </c>
      <c r="F790" s="8" t="str">
        <f>IFERROR(INDEX('PROJETO PERFURAÇÃO'!$AN:$AN,MATCH(MEDIÇÃO!D790,'PROJETO PERFURAÇÃO'!$B:$B,0)),"")</f>
        <v/>
      </c>
      <c r="G790" s="3"/>
      <c r="H790" s="3"/>
      <c r="I790" s="3" t="str">
        <f>IFERROR(ROUND(INDEX('PROJETO PERFURAÇÃO'!$AB:$AB,MATCH(MEDIÇÃO!K790,'PROJETO PERFURAÇÃO'!$B:$B,0)),1)&amp;"''","")</f>
        <v/>
      </c>
      <c r="J790" s="3" t="str">
        <f>IFERROR(IF(INDEX('PROJETO PERFURAÇÃO'!$P:$P,MATCH(MEDIÇÃO!K790,'PROJETO PERFURAÇÃO'!$B:$B,0))="Production","P",IF(INDEX('PROJETO PERFURAÇÃO'!$P:$P,MATCH(MEDIÇÃO!K790,'PROJETO PERFURAÇÃO'!$B:$B,0))="Buffer","B",IF(INDEX('PROJETO PERFURAÇÃO'!$P:$P,MATCH(MEDIÇÃO!K790,'PROJETO PERFURAÇÃO'!$B:$B,0))="Pre-Splitting","S"))),"")</f>
        <v/>
      </c>
      <c r="K790" s="14">
        <f t="shared" si="76"/>
        <v>1759</v>
      </c>
      <c r="L790" s="4" t="str">
        <f>IFERROR(INDEX('LEV R&amp;D'!$D:$D,MATCH(MEDIÇÃO!K790,'LEV R&amp;D'!$A:$A,0))-INDEX('PROJETO PERFURAÇÃO'!$AH:$AH,MATCH(MEDIÇÃO!K790,'PROJETO PERFURAÇÃO'!$B:$B,0)),"")</f>
        <v/>
      </c>
      <c r="M790" s="8" t="str">
        <f>IFERROR(INDEX('PROJETO PERFURAÇÃO'!$AN:$AN,MATCH(MEDIÇÃO!K790,'PROJETO PERFURAÇÃO'!$B:$B,0)),"")</f>
        <v/>
      </c>
      <c r="N790" s="3"/>
      <c r="O790" s="3"/>
      <c r="P790" s="3" t="str">
        <f>IFERROR(ROUND(INDEX('PROJETO PERFURAÇÃO'!$AB:$AB,MATCH(MEDIÇÃO!R790,'PROJETO PERFURAÇÃO'!$B:$B,0)),1)&amp;"''","")</f>
        <v/>
      </c>
      <c r="Q790" s="3" t="str">
        <f>IFERROR(IF(INDEX('PROJETO PERFURAÇÃO'!$P:$P,MATCH(MEDIÇÃO!R790,'PROJETO PERFURAÇÃO'!$B:$B,0))="Production","P",IF(INDEX('PROJETO PERFURAÇÃO'!$P:$P,MATCH(MEDIÇÃO!R790,'PROJETO PERFURAÇÃO'!$B:$B,0))="Buffer","B",IF(INDEX('PROJETO PERFURAÇÃO'!$P:$P,MATCH(MEDIÇÃO!R790,'PROJETO PERFURAÇÃO'!$B:$B,0))="Pre-Splitting","S"))),"")</f>
        <v/>
      </c>
      <c r="R790" s="14">
        <f t="shared" si="77"/>
        <v>1782</v>
      </c>
      <c r="S790" s="4" t="str">
        <f>IFERROR(INDEX('LEV R&amp;D'!$D:$D,MATCH(MEDIÇÃO!R790,'LEV R&amp;D'!$A:$A,0))-INDEX('PROJETO PERFURAÇÃO'!$AH:$AH,MATCH(MEDIÇÃO!R790,'PROJETO PERFURAÇÃO'!$B:$B,0)),"")</f>
        <v/>
      </c>
      <c r="T790" s="8" t="str">
        <f>IFERROR(INDEX('PROJETO PERFURAÇÃO'!$AN:$AN,MATCH(MEDIÇÃO!R790,'PROJETO PERFURAÇÃO'!$B:$B,0)),"")</f>
        <v/>
      </c>
      <c r="U790" s="3"/>
      <c r="V790" s="3"/>
    </row>
    <row r="791" spans="2:22" ht="45" customHeight="1" x14ac:dyDescent="0.25">
      <c r="B791" s="3" t="str">
        <f>IFERROR(ROUND(INDEX('PROJETO PERFURAÇÃO'!$AB:$AB,MATCH(MEDIÇÃO!D791,'PROJETO PERFURAÇÃO'!$B:$B,0)),1)&amp;"''","")</f>
        <v/>
      </c>
      <c r="C791" s="3" t="str">
        <f>IFERROR(IF(INDEX('PROJETO PERFURAÇÃO'!$P:$P,MATCH(MEDIÇÃO!D791,'PROJETO PERFURAÇÃO'!$B:$B,0))="Production","P",IF(INDEX('PROJETO PERFURAÇÃO'!$P:$P,MATCH(MEDIÇÃO!D791,'PROJETO PERFURAÇÃO'!$B:$B,0))="Buffer","B",IF(INDEX('PROJETO PERFURAÇÃO'!$P:$P,MATCH(MEDIÇÃO!D791,'PROJETO PERFURAÇÃO'!$B:$B,0))="Pre-Splitting","S"))),"")</f>
        <v/>
      </c>
      <c r="D791" s="14">
        <f t="shared" si="75"/>
        <v>1737</v>
      </c>
      <c r="E791" s="4" t="str">
        <f>IFERROR(INDEX('LEV R&amp;D'!$D:$D,MATCH(MEDIÇÃO!D791,'LEV R&amp;D'!$A:$A,0))-INDEX('PROJETO PERFURAÇÃO'!$AH:$AH,MATCH(MEDIÇÃO!D791,'PROJETO PERFURAÇÃO'!$B:$B,0)),"")</f>
        <v/>
      </c>
      <c r="F791" s="8" t="str">
        <f>IFERROR(INDEX('PROJETO PERFURAÇÃO'!$AN:$AN,MATCH(MEDIÇÃO!D791,'PROJETO PERFURAÇÃO'!$B:$B,0)),"")</f>
        <v/>
      </c>
      <c r="G791" s="3"/>
      <c r="H791" s="3"/>
      <c r="I791" s="3" t="str">
        <f>IFERROR(ROUND(INDEX('PROJETO PERFURAÇÃO'!$AB:$AB,MATCH(MEDIÇÃO!K791,'PROJETO PERFURAÇÃO'!$B:$B,0)),1)&amp;"''","")</f>
        <v/>
      </c>
      <c r="J791" s="3" t="str">
        <f>IFERROR(IF(INDEX('PROJETO PERFURAÇÃO'!$P:$P,MATCH(MEDIÇÃO!K791,'PROJETO PERFURAÇÃO'!$B:$B,0))="Production","P",IF(INDEX('PROJETO PERFURAÇÃO'!$P:$P,MATCH(MEDIÇÃO!K791,'PROJETO PERFURAÇÃO'!$B:$B,0))="Buffer","B",IF(INDEX('PROJETO PERFURAÇÃO'!$P:$P,MATCH(MEDIÇÃO!K791,'PROJETO PERFURAÇÃO'!$B:$B,0))="Pre-Splitting","S"))),"")</f>
        <v/>
      </c>
      <c r="K791" s="14">
        <f t="shared" si="76"/>
        <v>1760</v>
      </c>
      <c r="L791" s="4" t="str">
        <f>IFERROR(INDEX('LEV R&amp;D'!$D:$D,MATCH(MEDIÇÃO!K791,'LEV R&amp;D'!$A:$A,0))-INDEX('PROJETO PERFURAÇÃO'!$AH:$AH,MATCH(MEDIÇÃO!K791,'PROJETO PERFURAÇÃO'!$B:$B,0)),"")</f>
        <v/>
      </c>
      <c r="M791" s="8" t="str">
        <f>IFERROR(INDEX('PROJETO PERFURAÇÃO'!$AN:$AN,MATCH(MEDIÇÃO!K791,'PROJETO PERFURAÇÃO'!$B:$B,0)),"")</f>
        <v/>
      </c>
      <c r="N791" s="3"/>
      <c r="O791" s="3"/>
      <c r="P791" s="3" t="str">
        <f>IFERROR(ROUND(INDEX('PROJETO PERFURAÇÃO'!$AB:$AB,MATCH(MEDIÇÃO!R791,'PROJETO PERFURAÇÃO'!$B:$B,0)),1)&amp;"''","")</f>
        <v/>
      </c>
      <c r="Q791" s="3" t="str">
        <f>IFERROR(IF(INDEX('PROJETO PERFURAÇÃO'!$P:$P,MATCH(MEDIÇÃO!R791,'PROJETO PERFURAÇÃO'!$B:$B,0))="Production","P",IF(INDEX('PROJETO PERFURAÇÃO'!$P:$P,MATCH(MEDIÇÃO!R791,'PROJETO PERFURAÇÃO'!$B:$B,0))="Buffer","B",IF(INDEX('PROJETO PERFURAÇÃO'!$P:$P,MATCH(MEDIÇÃO!R791,'PROJETO PERFURAÇÃO'!$B:$B,0))="Pre-Splitting","S"))),"")</f>
        <v/>
      </c>
      <c r="R791" s="14">
        <f t="shared" si="77"/>
        <v>1783</v>
      </c>
      <c r="S791" s="4" t="str">
        <f>IFERROR(INDEX('LEV R&amp;D'!$D:$D,MATCH(MEDIÇÃO!R791,'LEV R&amp;D'!$A:$A,0))-INDEX('PROJETO PERFURAÇÃO'!$AH:$AH,MATCH(MEDIÇÃO!R791,'PROJETO PERFURAÇÃO'!$B:$B,0)),"")</f>
        <v/>
      </c>
      <c r="T791" s="8" t="str">
        <f>IFERROR(INDEX('PROJETO PERFURAÇÃO'!$AN:$AN,MATCH(MEDIÇÃO!R791,'PROJETO PERFURAÇÃO'!$B:$B,0)),"")</f>
        <v/>
      </c>
      <c r="U791" s="3"/>
      <c r="V791" s="3"/>
    </row>
    <row r="792" spans="2:22" ht="45" customHeight="1" x14ac:dyDescent="0.25">
      <c r="B792" s="3" t="str">
        <f>IFERROR(ROUND(INDEX('PROJETO PERFURAÇÃO'!$AB:$AB,MATCH(MEDIÇÃO!D792,'PROJETO PERFURAÇÃO'!$B:$B,0)),1)&amp;"''","")</f>
        <v/>
      </c>
      <c r="C792" s="3" t="str">
        <f>IFERROR(IF(INDEX('PROJETO PERFURAÇÃO'!$P:$P,MATCH(MEDIÇÃO!D792,'PROJETO PERFURAÇÃO'!$B:$B,0))="Production","P",IF(INDEX('PROJETO PERFURAÇÃO'!$P:$P,MATCH(MEDIÇÃO!D792,'PROJETO PERFURAÇÃO'!$B:$B,0))="Buffer","B",IF(INDEX('PROJETO PERFURAÇÃO'!$P:$P,MATCH(MEDIÇÃO!D792,'PROJETO PERFURAÇÃO'!$B:$B,0))="Pre-Splitting","S"))),"")</f>
        <v/>
      </c>
      <c r="D792" s="14">
        <f t="shared" si="75"/>
        <v>1738</v>
      </c>
      <c r="E792" s="4" t="str">
        <f>IFERROR(INDEX('LEV R&amp;D'!$D:$D,MATCH(MEDIÇÃO!D792,'LEV R&amp;D'!$A:$A,0))-INDEX('PROJETO PERFURAÇÃO'!$AH:$AH,MATCH(MEDIÇÃO!D792,'PROJETO PERFURAÇÃO'!$B:$B,0)),"")</f>
        <v/>
      </c>
      <c r="F792" s="8" t="str">
        <f>IFERROR(INDEX('PROJETO PERFURAÇÃO'!$AN:$AN,MATCH(MEDIÇÃO!D792,'PROJETO PERFURAÇÃO'!$B:$B,0)),"")</f>
        <v/>
      </c>
      <c r="G792" s="3"/>
      <c r="H792" s="3"/>
      <c r="I792" s="3" t="str">
        <f>IFERROR(ROUND(INDEX('PROJETO PERFURAÇÃO'!$AB:$AB,MATCH(MEDIÇÃO!K792,'PROJETO PERFURAÇÃO'!$B:$B,0)),1)&amp;"''","")</f>
        <v/>
      </c>
      <c r="J792" s="3" t="str">
        <f>IFERROR(IF(INDEX('PROJETO PERFURAÇÃO'!$P:$P,MATCH(MEDIÇÃO!K792,'PROJETO PERFURAÇÃO'!$B:$B,0))="Production","P",IF(INDEX('PROJETO PERFURAÇÃO'!$P:$P,MATCH(MEDIÇÃO!K792,'PROJETO PERFURAÇÃO'!$B:$B,0))="Buffer","B",IF(INDEX('PROJETO PERFURAÇÃO'!$P:$P,MATCH(MEDIÇÃO!K792,'PROJETO PERFURAÇÃO'!$B:$B,0))="Pre-Splitting","S"))),"")</f>
        <v/>
      </c>
      <c r="K792" s="14">
        <f t="shared" si="76"/>
        <v>1761</v>
      </c>
      <c r="L792" s="4" t="str">
        <f>IFERROR(INDEX('LEV R&amp;D'!$D:$D,MATCH(MEDIÇÃO!K792,'LEV R&amp;D'!$A:$A,0))-INDEX('PROJETO PERFURAÇÃO'!$AH:$AH,MATCH(MEDIÇÃO!K792,'PROJETO PERFURAÇÃO'!$B:$B,0)),"")</f>
        <v/>
      </c>
      <c r="M792" s="8" t="str">
        <f>IFERROR(INDEX('PROJETO PERFURAÇÃO'!$AN:$AN,MATCH(MEDIÇÃO!K792,'PROJETO PERFURAÇÃO'!$B:$B,0)),"")</f>
        <v/>
      </c>
      <c r="N792" s="3"/>
      <c r="O792" s="3"/>
      <c r="P792" s="3" t="str">
        <f>IFERROR(ROUND(INDEX('PROJETO PERFURAÇÃO'!$AB:$AB,MATCH(MEDIÇÃO!R792,'PROJETO PERFURAÇÃO'!$B:$B,0)),1)&amp;"''","")</f>
        <v/>
      </c>
      <c r="Q792" s="3" t="str">
        <f>IFERROR(IF(INDEX('PROJETO PERFURAÇÃO'!$P:$P,MATCH(MEDIÇÃO!R792,'PROJETO PERFURAÇÃO'!$B:$B,0))="Production","P",IF(INDEX('PROJETO PERFURAÇÃO'!$P:$P,MATCH(MEDIÇÃO!R792,'PROJETO PERFURAÇÃO'!$B:$B,0))="Buffer","B",IF(INDEX('PROJETO PERFURAÇÃO'!$P:$P,MATCH(MEDIÇÃO!R792,'PROJETO PERFURAÇÃO'!$B:$B,0))="Pre-Splitting","S"))),"")</f>
        <v/>
      </c>
      <c r="R792" s="14">
        <f t="shared" si="77"/>
        <v>1784</v>
      </c>
      <c r="S792" s="4" t="str">
        <f>IFERROR(INDEX('LEV R&amp;D'!$D:$D,MATCH(MEDIÇÃO!R792,'LEV R&amp;D'!$A:$A,0))-INDEX('PROJETO PERFURAÇÃO'!$AH:$AH,MATCH(MEDIÇÃO!R792,'PROJETO PERFURAÇÃO'!$B:$B,0)),"")</f>
        <v/>
      </c>
      <c r="T792" s="8" t="str">
        <f>IFERROR(INDEX('PROJETO PERFURAÇÃO'!$AN:$AN,MATCH(MEDIÇÃO!R792,'PROJETO PERFURAÇÃO'!$B:$B,0)),"")</f>
        <v/>
      </c>
      <c r="U792" s="3"/>
      <c r="V792" s="3"/>
    </row>
    <row r="793" spans="2:22" ht="45" customHeight="1" x14ac:dyDescent="0.25">
      <c r="B793" s="3" t="str">
        <f>IFERROR(ROUND(INDEX('PROJETO PERFURAÇÃO'!$AB:$AB,MATCH(MEDIÇÃO!D793,'PROJETO PERFURAÇÃO'!$B:$B,0)),1)&amp;"''","")</f>
        <v/>
      </c>
      <c r="C793" s="3" t="str">
        <f>IFERROR(IF(INDEX('PROJETO PERFURAÇÃO'!$P:$P,MATCH(MEDIÇÃO!D793,'PROJETO PERFURAÇÃO'!$B:$B,0))="Production","P",IF(INDEX('PROJETO PERFURAÇÃO'!$P:$P,MATCH(MEDIÇÃO!D793,'PROJETO PERFURAÇÃO'!$B:$B,0))="Buffer","B",IF(INDEX('PROJETO PERFURAÇÃO'!$P:$P,MATCH(MEDIÇÃO!D793,'PROJETO PERFURAÇÃO'!$B:$B,0))="Pre-Splitting","S"))),"")</f>
        <v/>
      </c>
      <c r="D793" s="14">
        <f t="shared" si="75"/>
        <v>1739</v>
      </c>
      <c r="E793" s="4" t="str">
        <f>IFERROR(INDEX('LEV R&amp;D'!$D:$D,MATCH(MEDIÇÃO!D793,'LEV R&amp;D'!$A:$A,0))-INDEX('PROJETO PERFURAÇÃO'!$AH:$AH,MATCH(MEDIÇÃO!D793,'PROJETO PERFURAÇÃO'!$B:$B,0)),"")</f>
        <v/>
      </c>
      <c r="F793" s="8" t="str">
        <f>IFERROR(INDEX('PROJETO PERFURAÇÃO'!$AN:$AN,MATCH(MEDIÇÃO!D793,'PROJETO PERFURAÇÃO'!$B:$B,0)),"")</f>
        <v/>
      </c>
      <c r="G793" s="3"/>
      <c r="H793" s="3"/>
      <c r="I793" s="3" t="str">
        <f>IFERROR(ROUND(INDEX('PROJETO PERFURAÇÃO'!$AB:$AB,MATCH(MEDIÇÃO!K793,'PROJETO PERFURAÇÃO'!$B:$B,0)),1)&amp;"''","")</f>
        <v/>
      </c>
      <c r="J793" s="3" t="str">
        <f>IFERROR(IF(INDEX('PROJETO PERFURAÇÃO'!$P:$P,MATCH(MEDIÇÃO!K793,'PROJETO PERFURAÇÃO'!$B:$B,0))="Production","P",IF(INDEX('PROJETO PERFURAÇÃO'!$P:$P,MATCH(MEDIÇÃO!K793,'PROJETO PERFURAÇÃO'!$B:$B,0))="Buffer","B",IF(INDEX('PROJETO PERFURAÇÃO'!$P:$P,MATCH(MEDIÇÃO!K793,'PROJETO PERFURAÇÃO'!$B:$B,0))="Pre-Splitting","S"))),"")</f>
        <v/>
      </c>
      <c r="K793" s="14">
        <f t="shared" si="76"/>
        <v>1762</v>
      </c>
      <c r="L793" s="4" t="str">
        <f>IFERROR(INDEX('LEV R&amp;D'!$D:$D,MATCH(MEDIÇÃO!K793,'LEV R&amp;D'!$A:$A,0))-INDEX('PROJETO PERFURAÇÃO'!$AH:$AH,MATCH(MEDIÇÃO!K793,'PROJETO PERFURAÇÃO'!$B:$B,0)),"")</f>
        <v/>
      </c>
      <c r="M793" s="8" t="str">
        <f>IFERROR(INDEX('PROJETO PERFURAÇÃO'!$AN:$AN,MATCH(MEDIÇÃO!K793,'PROJETO PERFURAÇÃO'!$B:$B,0)),"")</f>
        <v/>
      </c>
      <c r="N793" s="3"/>
      <c r="O793" s="3"/>
      <c r="P793" s="3" t="str">
        <f>IFERROR(ROUND(INDEX('PROJETO PERFURAÇÃO'!$AB:$AB,MATCH(MEDIÇÃO!R793,'PROJETO PERFURAÇÃO'!$B:$B,0)),1)&amp;"''","")</f>
        <v/>
      </c>
      <c r="Q793" s="3" t="str">
        <f>IFERROR(IF(INDEX('PROJETO PERFURAÇÃO'!$P:$P,MATCH(MEDIÇÃO!R793,'PROJETO PERFURAÇÃO'!$B:$B,0))="Production","P",IF(INDEX('PROJETO PERFURAÇÃO'!$P:$P,MATCH(MEDIÇÃO!R793,'PROJETO PERFURAÇÃO'!$B:$B,0))="Buffer","B",IF(INDEX('PROJETO PERFURAÇÃO'!$P:$P,MATCH(MEDIÇÃO!R793,'PROJETO PERFURAÇÃO'!$B:$B,0))="Pre-Splitting","S"))),"")</f>
        <v/>
      </c>
      <c r="R793" s="14">
        <f t="shared" si="77"/>
        <v>1785</v>
      </c>
      <c r="S793" s="4" t="str">
        <f>IFERROR(INDEX('LEV R&amp;D'!$D:$D,MATCH(MEDIÇÃO!R793,'LEV R&amp;D'!$A:$A,0))-INDEX('PROJETO PERFURAÇÃO'!$AH:$AH,MATCH(MEDIÇÃO!R793,'PROJETO PERFURAÇÃO'!$B:$B,0)),"")</f>
        <v/>
      </c>
      <c r="T793" s="8" t="str">
        <f>IFERROR(INDEX('PROJETO PERFURAÇÃO'!$AN:$AN,MATCH(MEDIÇÃO!R793,'PROJETO PERFURAÇÃO'!$B:$B,0)),"")</f>
        <v/>
      </c>
      <c r="U793" s="3"/>
      <c r="V793" s="3"/>
    </row>
    <row r="794" spans="2:22" ht="45" customHeight="1" x14ac:dyDescent="0.25">
      <c r="B794" s="3" t="str">
        <f>IFERROR(ROUND(INDEX('PROJETO PERFURAÇÃO'!$AB:$AB,MATCH(MEDIÇÃO!D794,'PROJETO PERFURAÇÃO'!$B:$B,0)),1)&amp;"''","")</f>
        <v/>
      </c>
      <c r="C794" s="3" t="str">
        <f>IFERROR(IF(INDEX('PROJETO PERFURAÇÃO'!$P:$P,MATCH(MEDIÇÃO!D794,'PROJETO PERFURAÇÃO'!$B:$B,0))="Production","P",IF(INDEX('PROJETO PERFURAÇÃO'!$P:$P,MATCH(MEDIÇÃO!D794,'PROJETO PERFURAÇÃO'!$B:$B,0))="Buffer","B",IF(INDEX('PROJETO PERFURAÇÃO'!$P:$P,MATCH(MEDIÇÃO!D794,'PROJETO PERFURAÇÃO'!$B:$B,0))="Pre-Splitting","S"))),"")</f>
        <v/>
      </c>
      <c r="D794" s="14">
        <f t="shared" si="75"/>
        <v>1740</v>
      </c>
      <c r="E794" s="4" t="str">
        <f>IFERROR(INDEX('LEV R&amp;D'!$D:$D,MATCH(MEDIÇÃO!D794,'LEV R&amp;D'!$A:$A,0))-INDEX('PROJETO PERFURAÇÃO'!$AH:$AH,MATCH(MEDIÇÃO!D794,'PROJETO PERFURAÇÃO'!$B:$B,0)),"")</f>
        <v/>
      </c>
      <c r="F794" s="8" t="str">
        <f>IFERROR(INDEX('PROJETO PERFURAÇÃO'!$AN:$AN,MATCH(MEDIÇÃO!D794,'PROJETO PERFURAÇÃO'!$B:$B,0)),"")</f>
        <v/>
      </c>
      <c r="G794" s="3"/>
      <c r="H794" s="3"/>
      <c r="I794" s="3" t="str">
        <f>IFERROR(ROUND(INDEX('PROJETO PERFURAÇÃO'!$AB:$AB,MATCH(MEDIÇÃO!K794,'PROJETO PERFURAÇÃO'!$B:$B,0)),1)&amp;"''","")</f>
        <v/>
      </c>
      <c r="J794" s="3" t="str">
        <f>IFERROR(IF(INDEX('PROJETO PERFURAÇÃO'!$P:$P,MATCH(MEDIÇÃO!K794,'PROJETO PERFURAÇÃO'!$B:$B,0))="Production","P",IF(INDEX('PROJETO PERFURAÇÃO'!$P:$P,MATCH(MEDIÇÃO!K794,'PROJETO PERFURAÇÃO'!$B:$B,0))="Buffer","B",IF(INDEX('PROJETO PERFURAÇÃO'!$P:$P,MATCH(MEDIÇÃO!K794,'PROJETO PERFURAÇÃO'!$B:$B,0))="Pre-Splitting","S"))),"")</f>
        <v/>
      </c>
      <c r="K794" s="14">
        <f t="shared" si="76"/>
        <v>1763</v>
      </c>
      <c r="L794" s="4" t="str">
        <f>IFERROR(INDEX('LEV R&amp;D'!$D:$D,MATCH(MEDIÇÃO!K794,'LEV R&amp;D'!$A:$A,0))-INDEX('PROJETO PERFURAÇÃO'!$AH:$AH,MATCH(MEDIÇÃO!K794,'PROJETO PERFURAÇÃO'!$B:$B,0)),"")</f>
        <v/>
      </c>
      <c r="M794" s="8" t="str">
        <f>IFERROR(INDEX('PROJETO PERFURAÇÃO'!$AN:$AN,MATCH(MEDIÇÃO!K794,'PROJETO PERFURAÇÃO'!$B:$B,0)),"")</f>
        <v/>
      </c>
      <c r="N794" s="3"/>
      <c r="O794" s="3"/>
      <c r="P794" s="3" t="str">
        <f>IFERROR(ROUND(INDEX('PROJETO PERFURAÇÃO'!$AB:$AB,MATCH(MEDIÇÃO!R794,'PROJETO PERFURAÇÃO'!$B:$B,0)),1)&amp;"''","")</f>
        <v/>
      </c>
      <c r="Q794" s="3" t="str">
        <f>IFERROR(IF(INDEX('PROJETO PERFURAÇÃO'!$P:$P,MATCH(MEDIÇÃO!R794,'PROJETO PERFURAÇÃO'!$B:$B,0))="Production","P",IF(INDEX('PROJETO PERFURAÇÃO'!$P:$P,MATCH(MEDIÇÃO!R794,'PROJETO PERFURAÇÃO'!$B:$B,0))="Buffer","B",IF(INDEX('PROJETO PERFURAÇÃO'!$P:$P,MATCH(MEDIÇÃO!R794,'PROJETO PERFURAÇÃO'!$B:$B,0))="Pre-Splitting","S"))),"")</f>
        <v/>
      </c>
      <c r="R794" s="14">
        <f t="shared" si="77"/>
        <v>1786</v>
      </c>
      <c r="S794" s="4" t="str">
        <f>IFERROR(INDEX('LEV R&amp;D'!$D:$D,MATCH(MEDIÇÃO!R794,'LEV R&amp;D'!$A:$A,0))-INDEX('PROJETO PERFURAÇÃO'!$AH:$AH,MATCH(MEDIÇÃO!R794,'PROJETO PERFURAÇÃO'!$B:$B,0)),"")</f>
        <v/>
      </c>
      <c r="T794" s="8" t="str">
        <f>IFERROR(INDEX('PROJETO PERFURAÇÃO'!$AN:$AN,MATCH(MEDIÇÃO!R794,'PROJETO PERFURAÇÃO'!$B:$B,0)),"")</f>
        <v/>
      </c>
      <c r="U794" s="3"/>
      <c r="V794" s="3"/>
    </row>
    <row r="795" spans="2:22" ht="45" customHeight="1" x14ac:dyDescent="0.25">
      <c r="B795" s="3" t="str">
        <f>IFERROR(ROUND(INDEX('PROJETO PERFURAÇÃO'!$AB:$AB,MATCH(MEDIÇÃO!D795,'PROJETO PERFURAÇÃO'!$B:$B,0)),1)&amp;"''","")</f>
        <v/>
      </c>
      <c r="C795" s="3" t="str">
        <f>IFERROR(IF(INDEX('PROJETO PERFURAÇÃO'!$P:$P,MATCH(MEDIÇÃO!D795,'PROJETO PERFURAÇÃO'!$B:$B,0))="Production","P",IF(INDEX('PROJETO PERFURAÇÃO'!$P:$P,MATCH(MEDIÇÃO!D795,'PROJETO PERFURAÇÃO'!$B:$B,0))="Buffer","B",IF(INDEX('PROJETO PERFURAÇÃO'!$P:$P,MATCH(MEDIÇÃO!D795,'PROJETO PERFURAÇÃO'!$B:$B,0))="Pre-Splitting","S"))),"")</f>
        <v/>
      </c>
      <c r="D795" s="14">
        <f t="shared" si="75"/>
        <v>1741</v>
      </c>
      <c r="E795" s="4" t="str">
        <f>IFERROR(INDEX('LEV R&amp;D'!$D:$D,MATCH(MEDIÇÃO!D795,'LEV R&amp;D'!$A:$A,0))-INDEX('PROJETO PERFURAÇÃO'!$AH:$AH,MATCH(MEDIÇÃO!D795,'PROJETO PERFURAÇÃO'!$B:$B,0)),"")</f>
        <v/>
      </c>
      <c r="F795" s="8" t="str">
        <f>IFERROR(INDEX('PROJETO PERFURAÇÃO'!$AN:$AN,MATCH(MEDIÇÃO!D795,'PROJETO PERFURAÇÃO'!$B:$B,0)),"")</f>
        <v/>
      </c>
      <c r="G795" s="3"/>
      <c r="H795" s="3"/>
      <c r="I795" s="3" t="str">
        <f>IFERROR(ROUND(INDEX('PROJETO PERFURAÇÃO'!$AB:$AB,MATCH(MEDIÇÃO!K795,'PROJETO PERFURAÇÃO'!$B:$B,0)),1)&amp;"''","")</f>
        <v/>
      </c>
      <c r="J795" s="3" t="str">
        <f>IFERROR(IF(INDEX('PROJETO PERFURAÇÃO'!$P:$P,MATCH(MEDIÇÃO!K795,'PROJETO PERFURAÇÃO'!$B:$B,0))="Production","P",IF(INDEX('PROJETO PERFURAÇÃO'!$P:$P,MATCH(MEDIÇÃO!K795,'PROJETO PERFURAÇÃO'!$B:$B,0))="Buffer","B",IF(INDEX('PROJETO PERFURAÇÃO'!$P:$P,MATCH(MEDIÇÃO!K795,'PROJETO PERFURAÇÃO'!$B:$B,0))="Pre-Splitting","S"))),"")</f>
        <v/>
      </c>
      <c r="K795" s="14">
        <f t="shared" si="76"/>
        <v>1764</v>
      </c>
      <c r="L795" s="4" t="str">
        <f>IFERROR(INDEX('LEV R&amp;D'!$D:$D,MATCH(MEDIÇÃO!K795,'LEV R&amp;D'!$A:$A,0))-INDEX('PROJETO PERFURAÇÃO'!$AH:$AH,MATCH(MEDIÇÃO!K795,'PROJETO PERFURAÇÃO'!$B:$B,0)),"")</f>
        <v/>
      </c>
      <c r="M795" s="8" t="str">
        <f>IFERROR(INDEX('PROJETO PERFURAÇÃO'!$AN:$AN,MATCH(MEDIÇÃO!K795,'PROJETO PERFURAÇÃO'!$B:$B,0)),"")</f>
        <v/>
      </c>
      <c r="N795" s="3"/>
      <c r="O795" s="3"/>
      <c r="P795" s="3" t="str">
        <f>IFERROR(ROUND(INDEX('PROJETO PERFURAÇÃO'!$AB:$AB,MATCH(MEDIÇÃO!R795,'PROJETO PERFURAÇÃO'!$B:$B,0)),1)&amp;"''","")</f>
        <v/>
      </c>
      <c r="Q795" s="3" t="str">
        <f>IFERROR(IF(INDEX('PROJETO PERFURAÇÃO'!$P:$P,MATCH(MEDIÇÃO!R795,'PROJETO PERFURAÇÃO'!$B:$B,0))="Production","P",IF(INDEX('PROJETO PERFURAÇÃO'!$P:$P,MATCH(MEDIÇÃO!R795,'PROJETO PERFURAÇÃO'!$B:$B,0))="Buffer","B",IF(INDEX('PROJETO PERFURAÇÃO'!$P:$P,MATCH(MEDIÇÃO!R795,'PROJETO PERFURAÇÃO'!$B:$B,0))="Pre-Splitting","S"))),"")</f>
        <v/>
      </c>
      <c r="R795" s="14">
        <f t="shared" si="77"/>
        <v>1787</v>
      </c>
      <c r="S795" s="4" t="str">
        <f>IFERROR(INDEX('LEV R&amp;D'!$D:$D,MATCH(MEDIÇÃO!R795,'LEV R&amp;D'!$A:$A,0))-INDEX('PROJETO PERFURAÇÃO'!$AH:$AH,MATCH(MEDIÇÃO!R795,'PROJETO PERFURAÇÃO'!$B:$B,0)),"")</f>
        <v/>
      </c>
      <c r="T795" s="8" t="str">
        <f>IFERROR(INDEX('PROJETO PERFURAÇÃO'!$AN:$AN,MATCH(MEDIÇÃO!R795,'PROJETO PERFURAÇÃO'!$B:$B,0)),"")</f>
        <v/>
      </c>
      <c r="U795" s="3"/>
      <c r="V795" s="3"/>
    </row>
    <row r="796" spans="2:22" ht="45" customHeight="1" x14ac:dyDescent="0.25">
      <c r="B796" s="3" t="str">
        <f>IFERROR(ROUND(INDEX('PROJETO PERFURAÇÃO'!$AB:$AB,MATCH(MEDIÇÃO!D796,'PROJETO PERFURAÇÃO'!$B:$B,0)),1)&amp;"''","")</f>
        <v/>
      </c>
      <c r="C796" s="3" t="str">
        <f>IFERROR(IF(INDEX('PROJETO PERFURAÇÃO'!$P:$P,MATCH(MEDIÇÃO!D796,'PROJETO PERFURAÇÃO'!$B:$B,0))="Production","P",IF(INDEX('PROJETO PERFURAÇÃO'!$P:$P,MATCH(MEDIÇÃO!D796,'PROJETO PERFURAÇÃO'!$B:$B,0))="Buffer","B",IF(INDEX('PROJETO PERFURAÇÃO'!$P:$P,MATCH(MEDIÇÃO!D796,'PROJETO PERFURAÇÃO'!$B:$B,0))="Pre-Splitting","S"))),"")</f>
        <v/>
      </c>
      <c r="D796" s="14">
        <f t="shared" si="75"/>
        <v>1742</v>
      </c>
      <c r="E796" s="4" t="str">
        <f>IFERROR(INDEX('LEV R&amp;D'!$D:$D,MATCH(MEDIÇÃO!D796,'LEV R&amp;D'!$A:$A,0))-INDEX('PROJETO PERFURAÇÃO'!$AH:$AH,MATCH(MEDIÇÃO!D796,'PROJETO PERFURAÇÃO'!$B:$B,0)),"")</f>
        <v/>
      </c>
      <c r="F796" s="8" t="str">
        <f>IFERROR(INDEX('PROJETO PERFURAÇÃO'!$AN:$AN,MATCH(MEDIÇÃO!D796,'PROJETO PERFURAÇÃO'!$B:$B,0)),"")</f>
        <v/>
      </c>
      <c r="G796" s="3"/>
      <c r="H796" s="3"/>
      <c r="I796" s="3" t="str">
        <f>IFERROR(ROUND(INDEX('PROJETO PERFURAÇÃO'!$AB:$AB,MATCH(MEDIÇÃO!K796,'PROJETO PERFURAÇÃO'!$B:$B,0)),1)&amp;"''","")</f>
        <v/>
      </c>
      <c r="J796" s="3" t="str">
        <f>IFERROR(IF(INDEX('PROJETO PERFURAÇÃO'!$P:$P,MATCH(MEDIÇÃO!K796,'PROJETO PERFURAÇÃO'!$B:$B,0))="Production","P",IF(INDEX('PROJETO PERFURAÇÃO'!$P:$P,MATCH(MEDIÇÃO!K796,'PROJETO PERFURAÇÃO'!$B:$B,0))="Buffer","B",IF(INDEX('PROJETO PERFURAÇÃO'!$P:$P,MATCH(MEDIÇÃO!K796,'PROJETO PERFURAÇÃO'!$B:$B,0))="Pre-Splitting","S"))),"")</f>
        <v/>
      </c>
      <c r="K796" s="14">
        <f t="shared" si="76"/>
        <v>1765</v>
      </c>
      <c r="L796" s="4" t="str">
        <f>IFERROR(INDEX('LEV R&amp;D'!$D:$D,MATCH(MEDIÇÃO!K796,'LEV R&amp;D'!$A:$A,0))-INDEX('PROJETO PERFURAÇÃO'!$AH:$AH,MATCH(MEDIÇÃO!K796,'PROJETO PERFURAÇÃO'!$B:$B,0)),"")</f>
        <v/>
      </c>
      <c r="M796" s="8" t="str">
        <f>IFERROR(INDEX('PROJETO PERFURAÇÃO'!$AN:$AN,MATCH(MEDIÇÃO!K796,'PROJETO PERFURAÇÃO'!$B:$B,0)),"")</f>
        <v/>
      </c>
      <c r="N796" s="3"/>
      <c r="O796" s="3"/>
      <c r="P796" s="3" t="str">
        <f>IFERROR(ROUND(INDEX('PROJETO PERFURAÇÃO'!$AB:$AB,MATCH(MEDIÇÃO!R796,'PROJETO PERFURAÇÃO'!$B:$B,0)),1)&amp;"''","")</f>
        <v/>
      </c>
      <c r="Q796" s="3" t="str">
        <f>IFERROR(IF(INDEX('PROJETO PERFURAÇÃO'!$P:$P,MATCH(MEDIÇÃO!R796,'PROJETO PERFURAÇÃO'!$B:$B,0))="Production","P",IF(INDEX('PROJETO PERFURAÇÃO'!$P:$P,MATCH(MEDIÇÃO!R796,'PROJETO PERFURAÇÃO'!$B:$B,0))="Buffer","B",IF(INDEX('PROJETO PERFURAÇÃO'!$P:$P,MATCH(MEDIÇÃO!R796,'PROJETO PERFURAÇÃO'!$B:$B,0))="Pre-Splitting","S"))),"")</f>
        <v/>
      </c>
      <c r="R796" s="14">
        <f t="shared" si="77"/>
        <v>1788</v>
      </c>
      <c r="S796" s="4" t="str">
        <f>IFERROR(INDEX('LEV R&amp;D'!$D:$D,MATCH(MEDIÇÃO!R796,'LEV R&amp;D'!$A:$A,0))-INDEX('PROJETO PERFURAÇÃO'!$AH:$AH,MATCH(MEDIÇÃO!R796,'PROJETO PERFURAÇÃO'!$B:$B,0)),"")</f>
        <v/>
      </c>
      <c r="T796" s="8" t="str">
        <f>IFERROR(INDEX('PROJETO PERFURAÇÃO'!$AN:$AN,MATCH(MEDIÇÃO!R796,'PROJETO PERFURAÇÃO'!$B:$B,0)),"")</f>
        <v/>
      </c>
      <c r="U796" s="3"/>
      <c r="V796" s="3"/>
    </row>
    <row r="797" spans="2:22" ht="45" customHeight="1" x14ac:dyDescent="0.25">
      <c r="B797" s="3" t="str">
        <f>IFERROR(ROUND(INDEX('PROJETO PERFURAÇÃO'!$AB:$AB,MATCH(MEDIÇÃO!D797,'PROJETO PERFURAÇÃO'!$B:$B,0)),1)&amp;"''","")</f>
        <v/>
      </c>
      <c r="C797" s="3" t="str">
        <f>IFERROR(IF(INDEX('PROJETO PERFURAÇÃO'!$P:$P,MATCH(MEDIÇÃO!D797,'PROJETO PERFURAÇÃO'!$B:$B,0))="Production","P",IF(INDEX('PROJETO PERFURAÇÃO'!$P:$P,MATCH(MEDIÇÃO!D797,'PROJETO PERFURAÇÃO'!$B:$B,0))="Buffer","B",IF(INDEX('PROJETO PERFURAÇÃO'!$P:$P,MATCH(MEDIÇÃO!D797,'PROJETO PERFURAÇÃO'!$B:$B,0))="Pre-Splitting","S"))),"")</f>
        <v/>
      </c>
      <c r="D797" s="14">
        <f t="shared" si="75"/>
        <v>1743</v>
      </c>
      <c r="E797" s="4" t="str">
        <f>IFERROR(INDEX('LEV R&amp;D'!$D:$D,MATCH(MEDIÇÃO!D797,'LEV R&amp;D'!$A:$A,0))-INDEX('PROJETO PERFURAÇÃO'!$AH:$AH,MATCH(MEDIÇÃO!D797,'PROJETO PERFURAÇÃO'!$B:$B,0)),"")</f>
        <v/>
      </c>
      <c r="F797" s="8" t="str">
        <f>IFERROR(INDEX('PROJETO PERFURAÇÃO'!$AN:$AN,MATCH(MEDIÇÃO!D797,'PROJETO PERFURAÇÃO'!$B:$B,0)),"")</f>
        <v/>
      </c>
      <c r="G797" s="3"/>
      <c r="H797" s="3"/>
      <c r="I797" s="3" t="str">
        <f>IFERROR(ROUND(INDEX('PROJETO PERFURAÇÃO'!$AB:$AB,MATCH(MEDIÇÃO!K797,'PROJETO PERFURAÇÃO'!$B:$B,0)),1)&amp;"''","")</f>
        <v/>
      </c>
      <c r="J797" s="3" t="str">
        <f>IFERROR(IF(INDEX('PROJETO PERFURAÇÃO'!$P:$P,MATCH(MEDIÇÃO!K797,'PROJETO PERFURAÇÃO'!$B:$B,0))="Production","P",IF(INDEX('PROJETO PERFURAÇÃO'!$P:$P,MATCH(MEDIÇÃO!K797,'PROJETO PERFURAÇÃO'!$B:$B,0))="Buffer","B",IF(INDEX('PROJETO PERFURAÇÃO'!$P:$P,MATCH(MEDIÇÃO!K797,'PROJETO PERFURAÇÃO'!$B:$B,0))="Pre-Splitting","S"))),"")</f>
        <v/>
      </c>
      <c r="K797" s="14">
        <f t="shared" si="76"/>
        <v>1766</v>
      </c>
      <c r="L797" s="4" t="str">
        <f>IFERROR(INDEX('LEV R&amp;D'!$D:$D,MATCH(MEDIÇÃO!K797,'LEV R&amp;D'!$A:$A,0))-INDEX('PROJETO PERFURAÇÃO'!$AH:$AH,MATCH(MEDIÇÃO!K797,'PROJETO PERFURAÇÃO'!$B:$B,0)),"")</f>
        <v/>
      </c>
      <c r="M797" s="8" t="str">
        <f>IFERROR(INDEX('PROJETO PERFURAÇÃO'!$AN:$AN,MATCH(MEDIÇÃO!K797,'PROJETO PERFURAÇÃO'!$B:$B,0)),"")</f>
        <v/>
      </c>
      <c r="N797" s="3"/>
      <c r="O797" s="3"/>
      <c r="P797" s="3" t="str">
        <f>IFERROR(ROUND(INDEX('PROJETO PERFURAÇÃO'!$AB:$AB,MATCH(MEDIÇÃO!R797,'PROJETO PERFURAÇÃO'!$B:$B,0)),1)&amp;"''","")</f>
        <v/>
      </c>
      <c r="Q797" s="3" t="str">
        <f>IFERROR(IF(INDEX('PROJETO PERFURAÇÃO'!$P:$P,MATCH(MEDIÇÃO!R797,'PROJETO PERFURAÇÃO'!$B:$B,0))="Production","P",IF(INDEX('PROJETO PERFURAÇÃO'!$P:$P,MATCH(MEDIÇÃO!R797,'PROJETO PERFURAÇÃO'!$B:$B,0))="Buffer","B",IF(INDEX('PROJETO PERFURAÇÃO'!$P:$P,MATCH(MEDIÇÃO!R797,'PROJETO PERFURAÇÃO'!$B:$B,0))="Pre-Splitting","S"))),"")</f>
        <v/>
      </c>
      <c r="R797" s="14">
        <f t="shared" si="77"/>
        <v>1789</v>
      </c>
      <c r="S797" s="4" t="str">
        <f>IFERROR(INDEX('LEV R&amp;D'!$D:$D,MATCH(MEDIÇÃO!R797,'LEV R&amp;D'!$A:$A,0))-INDEX('PROJETO PERFURAÇÃO'!$AH:$AH,MATCH(MEDIÇÃO!R797,'PROJETO PERFURAÇÃO'!$B:$B,0)),"")</f>
        <v/>
      </c>
      <c r="T797" s="8" t="str">
        <f>IFERROR(INDEX('PROJETO PERFURAÇÃO'!$AN:$AN,MATCH(MEDIÇÃO!R797,'PROJETO PERFURAÇÃO'!$B:$B,0)),"")</f>
        <v/>
      </c>
      <c r="U797" s="3"/>
      <c r="V797" s="3"/>
    </row>
    <row r="798" spans="2:22" ht="45" customHeight="1" x14ac:dyDescent="0.25">
      <c r="B798" s="3" t="str">
        <f>IFERROR(ROUND(INDEX('PROJETO PERFURAÇÃO'!$AB:$AB,MATCH(MEDIÇÃO!D798,'PROJETO PERFURAÇÃO'!$B:$B,0)),1)&amp;"''","")</f>
        <v/>
      </c>
      <c r="C798" s="3" t="str">
        <f>IFERROR(IF(INDEX('PROJETO PERFURAÇÃO'!$P:$P,MATCH(MEDIÇÃO!D798,'PROJETO PERFURAÇÃO'!$B:$B,0))="Production","P",IF(INDEX('PROJETO PERFURAÇÃO'!$P:$P,MATCH(MEDIÇÃO!D798,'PROJETO PERFURAÇÃO'!$B:$B,0))="Buffer","B",IF(INDEX('PROJETO PERFURAÇÃO'!$P:$P,MATCH(MEDIÇÃO!D798,'PROJETO PERFURAÇÃO'!$B:$B,0))="Pre-Splitting","S"))),"")</f>
        <v/>
      </c>
      <c r="D798" s="14">
        <f t="shared" si="75"/>
        <v>1744</v>
      </c>
      <c r="E798" s="4" t="str">
        <f>IFERROR(INDEX('LEV R&amp;D'!$D:$D,MATCH(MEDIÇÃO!D798,'LEV R&amp;D'!$A:$A,0))-INDEX('PROJETO PERFURAÇÃO'!$AH:$AH,MATCH(MEDIÇÃO!D798,'PROJETO PERFURAÇÃO'!$B:$B,0)),"")</f>
        <v/>
      </c>
      <c r="F798" s="8" t="str">
        <f>IFERROR(INDEX('PROJETO PERFURAÇÃO'!$AN:$AN,MATCH(MEDIÇÃO!D798,'PROJETO PERFURAÇÃO'!$B:$B,0)),"")</f>
        <v/>
      </c>
      <c r="G798" s="3"/>
      <c r="H798" s="3"/>
      <c r="I798" s="3" t="str">
        <f>IFERROR(ROUND(INDEX('PROJETO PERFURAÇÃO'!$AB:$AB,MATCH(MEDIÇÃO!K798,'PROJETO PERFURAÇÃO'!$B:$B,0)),1)&amp;"''","")</f>
        <v/>
      </c>
      <c r="J798" s="3" t="str">
        <f>IFERROR(IF(INDEX('PROJETO PERFURAÇÃO'!$P:$P,MATCH(MEDIÇÃO!K798,'PROJETO PERFURAÇÃO'!$B:$B,0))="Production","P",IF(INDEX('PROJETO PERFURAÇÃO'!$P:$P,MATCH(MEDIÇÃO!K798,'PROJETO PERFURAÇÃO'!$B:$B,0))="Buffer","B",IF(INDEX('PROJETO PERFURAÇÃO'!$P:$P,MATCH(MEDIÇÃO!K798,'PROJETO PERFURAÇÃO'!$B:$B,0))="Pre-Splitting","S"))),"")</f>
        <v/>
      </c>
      <c r="K798" s="14">
        <f t="shared" si="76"/>
        <v>1767</v>
      </c>
      <c r="L798" s="4" t="str">
        <f>IFERROR(INDEX('LEV R&amp;D'!$D:$D,MATCH(MEDIÇÃO!K798,'LEV R&amp;D'!$A:$A,0))-INDEX('PROJETO PERFURAÇÃO'!$AH:$AH,MATCH(MEDIÇÃO!K798,'PROJETO PERFURAÇÃO'!$B:$B,0)),"")</f>
        <v/>
      </c>
      <c r="M798" s="8" t="str">
        <f>IFERROR(INDEX('PROJETO PERFURAÇÃO'!$AN:$AN,MATCH(MEDIÇÃO!K798,'PROJETO PERFURAÇÃO'!$B:$B,0)),"")</f>
        <v/>
      </c>
      <c r="N798" s="3"/>
      <c r="O798" s="3"/>
      <c r="P798" s="3" t="str">
        <f>IFERROR(ROUND(INDEX('PROJETO PERFURAÇÃO'!$AB:$AB,MATCH(MEDIÇÃO!R798,'PROJETO PERFURAÇÃO'!$B:$B,0)),1)&amp;"''","")</f>
        <v/>
      </c>
      <c r="Q798" s="3" t="str">
        <f>IFERROR(IF(INDEX('PROJETO PERFURAÇÃO'!$P:$P,MATCH(MEDIÇÃO!R798,'PROJETO PERFURAÇÃO'!$B:$B,0))="Production","P",IF(INDEX('PROJETO PERFURAÇÃO'!$P:$P,MATCH(MEDIÇÃO!R798,'PROJETO PERFURAÇÃO'!$B:$B,0))="Buffer","B",IF(INDEX('PROJETO PERFURAÇÃO'!$P:$P,MATCH(MEDIÇÃO!R798,'PROJETO PERFURAÇÃO'!$B:$B,0))="Pre-Splitting","S"))),"")</f>
        <v/>
      </c>
      <c r="R798" s="14">
        <f t="shared" si="77"/>
        <v>1790</v>
      </c>
      <c r="S798" s="4" t="str">
        <f>IFERROR(INDEX('LEV R&amp;D'!$D:$D,MATCH(MEDIÇÃO!R798,'LEV R&amp;D'!$A:$A,0))-INDEX('PROJETO PERFURAÇÃO'!$AH:$AH,MATCH(MEDIÇÃO!R798,'PROJETO PERFURAÇÃO'!$B:$B,0)),"")</f>
        <v/>
      </c>
      <c r="T798" s="8" t="str">
        <f>IFERROR(INDEX('PROJETO PERFURAÇÃO'!$AN:$AN,MATCH(MEDIÇÃO!R798,'PROJETO PERFURAÇÃO'!$B:$B,0)),"")</f>
        <v/>
      </c>
      <c r="U798" s="3"/>
      <c r="V798" s="3"/>
    </row>
    <row r="799" spans="2:22" ht="45" customHeight="1" x14ac:dyDescent="0.25">
      <c r="B799" s="3" t="str">
        <f>IFERROR(ROUND(INDEX('PROJETO PERFURAÇÃO'!$AB:$AB,MATCH(MEDIÇÃO!D799,'PROJETO PERFURAÇÃO'!$B:$B,0)),1)&amp;"''","")</f>
        <v/>
      </c>
      <c r="C799" s="3" t="str">
        <f>IFERROR(IF(INDEX('PROJETO PERFURAÇÃO'!$P:$P,MATCH(MEDIÇÃO!D799,'PROJETO PERFURAÇÃO'!$B:$B,0))="Production","P",IF(INDEX('PROJETO PERFURAÇÃO'!$P:$P,MATCH(MEDIÇÃO!D799,'PROJETO PERFURAÇÃO'!$B:$B,0))="Buffer","B",IF(INDEX('PROJETO PERFURAÇÃO'!$P:$P,MATCH(MEDIÇÃO!D799,'PROJETO PERFURAÇÃO'!$B:$B,0))="Pre-Splitting","S"))),"")</f>
        <v/>
      </c>
      <c r="D799" s="14">
        <f t="shared" si="75"/>
        <v>1745</v>
      </c>
      <c r="E799" s="4" t="str">
        <f>IFERROR(INDEX('LEV R&amp;D'!$D:$D,MATCH(MEDIÇÃO!D799,'LEV R&amp;D'!$A:$A,0))-INDEX('PROJETO PERFURAÇÃO'!$AH:$AH,MATCH(MEDIÇÃO!D799,'PROJETO PERFURAÇÃO'!$B:$B,0)),"")</f>
        <v/>
      </c>
      <c r="F799" s="8" t="str">
        <f>IFERROR(INDEX('PROJETO PERFURAÇÃO'!$AN:$AN,MATCH(MEDIÇÃO!D799,'PROJETO PERFURAÇÃO'!$B:$B,0)),"")</f>
        <v/>
      </c>
      <c r="G799" s="3"/>
      <c r="H799" s="3"/>
      <c r="I799" s="3" t="str">
        <f>IFERROR(ROUND(INDEX('PROJETO PERFURAÇÃO'!$AB:$AB,MATCH(MEDIÇÃO!K799,'PROJETO PERFURAÇÃO'!$B:$B,0)),1)&amp;"''","")</f>
        <v/>
      </c>
      <c r="J799" s="3" t="str">
        <f>IFERROR(IF(INDEX('PROJETO PERFURAÇÃO'!$P:$P,MATCH(MEDIÇÃO!K799,'PROJETO PERFURAÇÃO'!$B:$B,0))="Production","P",IF(INDEX('PROJETO PERFURAÇÃO'!$P:$P,MATCH(MEDIÇÃO!K799,'PROJETO PERFURAÇÃO'!$B:$B,0))="Buffer","B",IF(INDEX('PROJETO PERFURAÇÃO'!$P:$P,MATCH(MEDIÇÃO!K799,'PROJETO PERFURAÇÃO'!$B:$B,0))="Pre-Splitting","S"))),"")</f>
        <v/>
      </c>
      <c r="K799" s="14">
        <f t="shared" si="76"/>
        <v>1768</v>
      </c>
      <c r="L799" s="4" t="str">
        <f>IFERROR(INDEX('LEV R&amp;D'!$D:$D,MATCH(MEDIÇÃO!K799,'LEV R&amp;D'!$A:$A,0))-INDEX('PROJETO PERFURAÇÃO'!$AH:$AH,MATCH(MEDIÇÃO!K799,'PROJETO PERFURAÇÃO'!$B:$B,0)),"")</f>
        <v/>
      </c>
      <c r="M799" s="8" t="str">
        <f>IFERROR(INDEX('PROJETO PERFURAÇÃO'!$AN:$AN,MATCH(MEDIÇÃO!K799,'PROJETO PERFURAÇÃO'!$B:$B,0)),"")</f>
        <v/>
      </c>
      <c r="N799" s="3"/>
      <c r="O799" s="3"/>
      <c r="P799" s="3" t="str">
        <f>IFERROR(ROUND(INDEX('PROJETO PERFURAÇÃO'!$AB:$AB,MATCH(MEDIÇÃO!R799,'PROJETO PERFURAÇÃO'!$B:$B,0)),1)&amp;"''","")</f>
        <v/>
      </c>
      <c r="Q799" s="3" t="str">
        <f>IFERROR(IF(INDEX('PROJETO PERFURAÇÃO'!$P:$P,MATCH(MEDIÇÃO!R799,'PROJETO PERFURAÇÃO'!$B:$B,0))="Production","P",IF(INDEX('PROJETO PERFURAÇÃO'!$P:$P,MATCH(MEDIÇÃO!R799,'PROJETO PERFURAÇÃO'!$B:$B,0))="Buffer","B",IF(INDEX('PROJETO PERFURAÇÃO'!$P:$P,MATCH(MEDIÇÃO!R799,'PROJETO PERFURAÇÃO'!$B:$B,0))="Pre-Splitting","S"))),"")</f>
        <v/>
      </c>
      <c r="R799" s="14">
        <f t="shared" si="77"/>
        <v>1791</v>
      </c>
      <c r="S799" s="4" t="str">
        <f>IFERROR(INDEX('LEV R&amp;D'!$D:$D,MATCH(MEDIÇÃO!R799,'LEV R&amp;D'!$A:$A,0))-INDEX('PROJETO PERFURAÇÃO'!$AH:$AH,MATCH(MEDIÇÃO!R799,'PROJETO PERFURAÇÃO'!$B:$B,0)),"")</f>
        <v/>
      </c>
      <c r="T799" s="8" t="str">
        <f>IFERROR(INDEX('PROJETO PERFURAÇÃO'!$AN:$AN,MATCH(MEDIÇÃO!R799,'PROJETO PERFURAÇÃO'!$B:$B,0)),"")</f>
        <v/>
      </c>
      <c r="U799" s="3"/>
      <c r="V799" s="3"/>
    </row>
    <row r="800" spans="2:22" ht="45" customHeight="1" x14ac:dyDescent="0.25">
      <c r="B800" s="3" t="str">
        <f>IFERROR(ROUND(INDEX('PROJETO PERFURAÇÃO'!$AB:$AB,MATCH(MEDIÇÃO!D800,'PROJETO PERFURAÇÃO'!$B:$B,0)),1)&amp;"''","")</f>
        <v/>
      </c>
      <c r="C800" s="3" t="str">
        <f>IFERROR(IF(INDEX('PROJETO PERFURAÇÃO'!$P:$P,MATCH(MEDIÇÃO!D800,'PROJETO PERFURAÇÃO'!$B:$B,0))="Production","P",IF(INDEX('PROJETO PERFURAÇÃO'!$P:$P,MATCH(MEDIÇÃO!D800,'PROJETO PERFURAÇÃO'!$B:$B,0))="Buffer","B",IF(INDEX('PROJETO PERFURAÇÃO'!$P:$P,MATCH(MEDIÇÃO!D800,'PROJETO PERFURAÇÃO'!$B:$B,0))="Pre-Splitting","S"))),"")</f>
        <v/>
      </c>
      <c r="D800" s="14">
        <f t="shared" si="75"/>
        <v>1746</v>
      </c>
      <c r="E800" s="4" t="str">
        <f>IFERROR(INDEX('LEV R&amp;D'!$D:$D,MATCH(MEDIÇÃO!D800,'LEV R&amp;D'!$A:$A,0))-INDEX('PROJETO PERFURAÇÃO'!$AH:$AH,MATCH(MEDIÇÃO!D800,'PROJETO PERFURAÇÃO'!$B:$B,0)),"")</f>
        <v/>
      </c>
      <c r="F800" s="8" t="str">
        <f>IFERROR(INDEX('PROJETO PERFURAÇÃO'!$AN:$AN,MATCH(MEDIÇÃO!D800,'PROJETO PERFURAÇÃO'!$B:$B,0)),"")</f>
        <v/>
      </c>
      <c r="G800" s="3"/>
      <c r="H800" s="3"/>
      <c r="I800" s="3" t="str">
        <f>IFERROR(ROUND(INDEX('PROJETO PERFURAÇÃO'!$AB:$AB,MATCH(MEDIÇÃO!K800,'PROJETO PERFURAÇÃO'!$B:$B,0)),1)&amp;"''","")</f>
        <v/>
      </c>
      <c r="J800" s="3" t="str">
        <f>IFERROR(IF(INDEX('PROJETO PERFURAÇÃO'!$P:$P,MATCH(MEDIÇÃO!K800,'PROJETO PERFURAÇÃO'!$B:$B,0))="Production","P",IF(INDEX('PROJETO PERFURAÇÃO'!$P:$P,MATCH(MEDIÇÃO!K800,'PROJETO PERFURAÇÃO'!$B:$B,0))="Buffer","B",IF(INDEX('PROJETO PERFURAÇÃO'!$P:$P,MATCH(MEDIÇÃO!K800,'PROJETO PERFURAÇÃO'!$B:$B,0))="Pre-Splitting","S"))),"")</f>
        <v/>
      </c>
      <c r="K800" s="14">
        <f t="shared" si="76"/>
        <v>1769</v>
      </c>
      <c r="L800" s="4" t="str">
        <f>IFERROR(INDEX('LEV R&amp;D'!$D:$D,MATCH(MEDIÇÃO!K800,'LEV R&amp;D'!$A:$A,0))-INDEX('PROJETO PERFURAÇÃO'!$AH:$AH,MATCH(MEDIÇÃO!K800,'PROJETO PERFURAÇÃO'!$B:$B,0)),"")</f>
        <v/>
      </c>
      <c r="M800" s="8" t="str">
        <f>IFERROR(INDEX('PROJETO PERFURAÇÃO'!$AN:$AN,MATCH(MEDIÇÃO!K800,'PROJETO PERFURAÇÃO'!$B:$B,0)),"")</f>
        <v/>
      </c>
      <c r="N800" s="3"/>
      <c r="O800" s="3"/>
      <c r="P800" s="3" t="str">
        <f>IFERROR(ROUND(INDEX('PROJETO PERFURAÇÃO'!$AB:$AB,MATCH(MEDIÇÃO!R800,'PROJETO PERFURAÇÃO'!$B:$B,0)),1)&amp;"''","")</f>
        <v/>
      </c>
      <c r="Q800" s="3" t="str">
        <f>IFERROR(IF(INDEX('PROJETO PERFURAÇÃO'!$P:$P,MATCH(MEDIÇÃO!R800,'PROJETO PERFURAÇÃO'!$B:$B,0))="Production","P",IF(INDEX('PROJETO PERFURAÇÃO'!$P:$P,MATCH(MEDIÇÃO!R800,'PROJETO PERFURAÇÃO'!$B:$B,0))="Buffer","B",IF(INDEX('PROJETO PERFURAÇÃO'!$P:$P,MATCH(MEDIÇÃO!R800,'PROJETO PERFURAÇÃO'!$B:$B,0))="Pre-Splitting","S"))),"")</f>
        <v/>
      </c>
      <c r="R800" s="14">
        <f t="shared" si="77"/>
        <v>1792</v>
      </c>
      <c r="S800" s="4" t="str">
        <f>IFERROR(INDEX('LEV R&amp;D'!$D:$D,MATCH(MEDIÇÃO!R800,'LEV R&amp;D'!$A:$A,0))-INDEX('PROJETO PERFURAÇÃO'!$AH:$AH,MATCH(MEDIÇÃO!R800,'PROJETO PERFURAÇÃO'!$B:$B,0)),"")</f>
        <v/>
      </c>
      <c r="T800" s="8" t="str">
        <f>IFERROR(INDEX('PROJETO PERFURAÇÃO'!$AN:$AN,MATCH(MEDIÇÃO!R800,'PROJETO PERFURAÇÃO'!$B:$B,0)),"")</f>
        <v/>
      </c>
      <c r="U800" s="3"/>
      <c r="V800" s="3"/>
    </row>
    <row r="801" spans="1:23" ht="45" customHeight="1" x14ac:dyDescent="0.25">
      <c r="B801" s="3" t="str">
        <f>IFERROR(ROUND(INDEX('PROJETO PERFURAÇÃO'!$AB:$AB,MATCH(MEDIÇÃO!D801,'PROJETO PERFURAÇÃO'!$B:$B,0)),1)&amp;"''","")</f>
        <v/>
      </c>
      <c r="C801" s="3" t="str">
        <f>IFERROR(IF(INDEX('PROJETO PERFURAÇÃO'!$P:$P,MATCH(MEDIÇÃO!D801,'PROJETO PERFURAÇÃO'!$B:$B,0))="Production","P",IF(INDEX('PROJETO PERFURAÇÃO'!$P:$P,MATCH(MEDIÇÃO!D801,'PROJETO PERFURAÇÃO'!$B:$B,0))="Buffer","B",IF(INDEX('PROJETO PERFURAÇÃO'!$P:$P,MATCH(MEDIÇÃO!D801,'PROJETO PERFURAÇÃO'!$B:$B,0))="Pre-Splitting","S"))),"")</f>
        <v/>
      </c>
      <c r="D801" s="14">
        <f t="shared" si="75"/>
        <v>1747</v>
      </c>
      <c r="E801" s="4" t="str">
        <f>IFERROR(INDEX('LEV R&amp;D'!$D:$D,MATCH(MEDIÇÃO!D801,'LEV R&amp;D'!$A:$A,0))-INDEX('PROJETO PERFURAÇÃO'!$AH:$AH,MATCH(MEDIÇÃO!D801,'PROJETO PERFURAÇÃO'!$B:$B,0)),"")</f>
        <v/>
      </c>
      <c r="F801" s="8" t="str">
        <f>IFERROR(INDEX('PROJETO PERFURAÇÃO'!$AN:$AN,MATCH(MEDIÇÃO!D801,'PROJETO PERFURAÇÃO'!$B:$B,0)),"")</f>
        <v/>
      </c>
      <c r="G801" s="3"/>
      <c r="H801" s="3"/>
      <c r="I801" s="3" t="str">
        <f>IFERROR(ROUND(INDEX('PROJETO PERFURAÇÃO'!$AB:$AB,MATCH(MEDIÇÃO!K801,'PROJETO PERFURAÇÃO'!$B:$B,0)),1)&amp;"''","")</f>
        <v/>
      </c>
      <c r="J801" s="3" t="str">
        <f>IFERROR(IF(INDEX('PROJETO PERFURAÇÃO'!$P:$P,MATCH(MEDIÇÃO!K801,'PROJETO PERFURAÇÃO'!$B:$B,0))="Production","P",IF(INDEX('PROJETO PERFURAÇÃO'!$P:$P,MATCH(MEDIÇÃO!K801,'PROJETO PERFURAÇÃO'!$B:$B,0))="Buffer","B",IF(INDEX('PROJETO PERFURAÇÃO'!$P:$P,MATCH(MEDIÇÃO!K801,'PROJETO PERFURAÇÃO'!$B:$B,0))="Pre-Splitting","S"))),"")</f>
        <v/>
      </c>
      <c r="K801" s="14">
        <f t="shared" si="76"/>
        <v>1770</v>
      </c>
      <c r="L801" s="4" t="str">
        <f>IFERROR(INDEX('LEV R&amp;D'!$D:$D,MATCH(MEDIÇÃO!K801,'LEV R&amp;D'!$A:$A,0))-INDEX('PROJETO PERFURAÇÃO'!$AH:$AH,MATCH(MEDIÇÃO!K801,'PROJETO PERFURAÇÃO'!$B:$B,0)),"")</f>
        <v/>
      </c>
      <c r="M801" s="8" t="str">
        <f>IFERROR(INDEX('PROJETO PERFURAÇÃO'!$AN:$AN,MATCH(MEDIÇÃO!K801,'PROJETO PERFURAÇÃO'!$B:$B,0)),"")</f>
        <v/>
      </c>
      <c r="N801" s="3"/>
      <c r="O801" s="3"/>
      <c r="P801" s="3" t="str">
        <f>IFERROR(ROUND(INDEX('PROJETO PERFURAÇÃO'!$AB:$AB,MATCH(MEDIÇÃO!R801,'PROJETO PERFURAÇÃO'!$B:$B,0)),1)&amp;"''","")</f>
        <v/>
      </c>
      <c r="Q801" s="3" t="str">
        <f>IFERROR(IF(INDEX('PROJETO PERFURAÇÃO'!$P:$P,MATCH(MEDIÇÃO!R801,'PROJETO PERFURAÇÃO'!$B:$B,0))="Production","P",IF(INDEX('PROJETO PERFURAÇÃO'!$P:$P,MATCH(MEDIÇÃO!R801,'PROJETO PERFURAÇÃO'!$B:$B,0))="Buffer","B",IF(INDEX('PROJETO PERFURAÇÃO'!$P:$P,MATCH(MEDIÇÃO!R801,'PROJETO PERFURAÇÃO'!$B:$B,0))="Pre-Splitting","S"))),"")</f>
        <v/>
      </c>
      <c r="R801" s="14">
        <f t="shared" si="77"/>
        <v>1793</v>
      </c>
      <c r="S801" s="4" t="str">
        <f>IFERROR(INDEX('LEV R&amp;D'!$D:$D,MATCH(MEDIÇÃO!R801,'LEV R&amp;D'!$A:$A,0))-INDEX('PROJETO PERFURAÇÃO'!$AH:$AH,MATCH(MEDIÇÃO!R801,'PROJETO PERFURAÇÃO'!$B:$B,0)),"")</f>
        <v/>
      </c>
      <c r="T801" s="8" t="str">
        <f>IFERROR(INDEX('PROJETO PERFURAÇÃO'!$AN:$AN,MATCH(MEDIÇÃO!R801,'PROJETO PERFURAÇÃO'!$B:$B,0)),"")</f>
        <v/>
      </c>
      <c r="U801" s="3"/>
      <c r="V801" s="3"/>
    </row>
    <row r="802" spans="1:23" ht="45" customHeight="1" x14ac:dyDescent="0.25">
      <c r="B802" s="3" t="str">
        <f>IFERROR(ROUND(INDEX('PROJETO PERFURAÇÃO'!$AB:$AB,MATCH(MEDIÇÃO!D802,'PROJETO PERFURAÇÃO'!$B:$B,0)),1)&amp;"''","")</f>
        <v/>
      </c>
      <c r="C802" s="3" t="str">
        <f>IFERROR(IF(INDEX('PROJETO PERFURAÇÃO'!$P:$P,MATCH(MEDIÇÃO!D802,'PROJETO PERFURAÇÃO'!$B:$B,0))="Production","P",IF(INDEX('PROJETO PERFURAÇÃO'!$P:$P,MATCH(MEDIÇÃO!D802,'PROJETO PERFURAÇÃO'!$B:$B,0))="Buffer","B",IF(INDEX('PROJETO PERFURAÇÃO'!$P:$P,MATCH(MEDIÇÃO!D802,'PROJETO PERFURAÇÃO'!$B:$B,0))="Pre-Splitting","S"))),"")</f>
        <v/>
      </c>
      <c r="D802" s="14">
        <f t="shared" si="75"/>
        <v>1748</v>
      </c>
      <c r="E802" s="4" t="str">
        <f>IFERROR(INDEX('LEV R&amp;D'!$D:$D,MATCH(MEDIÇÃO!D802,'LEV R&amp;D'!$A:$A,0))-INDEX('PROJETO PERFURAÇÃO'!$AH:$AH,MATCH(MEDIÇÃO!D802,'PROJETO PERFURAÇÃO'!$B:$B,0)),"")</f>
        <v/>
      </c>
      <c r="F802" s="8" t="str">
        <f>IFERROR(INDEX('PROJETO PERFURAÇÃO'!$AN:$AN,MATCH(MEDIÇÃO!D802,'PROJETO PERFURAÇÃO'!$B:$B,0)),"")</f>
        <v/>
      </c>
      <c r="G802" s="3"/>
      <c r="H802" s="3"/>
      <c r="I802" s="3" t="str">
        <f>IFERROR(ROUND(INDEX('PROJETO PERFURAÇÃO'!$AB:$AB,MATCH(MEDIÇÃO!K802,'PROJETO PERFURAÇÃO'!$B:$B,0)),1)&amp;"''","")</f>
        <v/>
      </c>
      <c r="J802" s="3" t="str">
        <f>IFERROR(IF(INDEX('PROJETO PERFURAÇÃO'!$P:$P,MATCH(MEDIÇÃO!K802,'PROJETO PERFURAÇÃO'!$B:$B,0))="Production","P",IF(INDEX('PROJETO PERFURAÇÃO'!$P:$P,MATCH(MEDIÇÃO!K802,'PROJETO PERFURAÇÃO'!$B:$B,0))="Buffer","B",IF(INDEX('PROJETO PERFURAÇÃO'!$P:$P,MATCH(MEDIÇÃO!K802,'PROJETO PERFURAÇÃO'!$B:$B,0))="Pre-Splitting","S"))),"")</f>
        <v/>
      </c>
      <c r="K802" s="14">
        <f>K801+1</f>
        <v>1771</v>
      </c>
      <c r="L802" s="4" t="str">
        <f>IFERROR(INDEX('LEV R&amp;D'!$D:$D,MATCH(MEDIÇÃO!K802,'LEV R&amp;D'!$A:$A,0))-INDEX('PROJETO PERFURAÇÃO'!$AH:$AH,MATCH(MEDIÇÃO!K802,'PROJETO PERFURAÇÃO'!$B:$B,0)),"")</f>
        <v/>
      </c>
      <c r="M802" s="8" t="str">
        <f>IFERROR(INDEX('PROJETO PERFURAÇÃO'!$AN:$AN,MATCH(MEDIÇÃO!K802,'PROJETO PERFURAÇÃO'!$B:$B,0)),"")</f>
        <v/>
      </c>
      <c r="N802" s="3"/>
      <c r="O802" s="3"/>
      <c r="P802" s="3" t="str">
        <f>IFERROR(ROUND(INDEX('PROJETO PERFURAÇÃO'!$AB:$AB,MATCH(MEDIÇÃO!R802,'PROJETO PERFURAÇÃO'!$B:$B,0)),1)&amp;"''","")</f>
        <v/>
      </c>
      <c r="Q802" s="3" t="str">
        <f>IFERROR(IF(INDEX('PROJETO PERFURAÇÃO'!$P:$P,MATCH(MEDIÇÃO!R802,'PROJETO PERFURAÇÃO'!$B:$B,0))="Production","P",IF(INDEX('PROJETO PERFURAÇÃO'!$P:$P,MATCH(MEDIÇÃO!R802,'PROJETO PERFURAÇÃO'!$B:$B,0))="Buffer","B",IF(INDEX('PROJETO PERFURAÇÃO'!$P:$P,MATCH(MEDIÇÃO!R802,'PROJETO PERFURAÇÃO'!$B:$B,0))="Pre-Splitting","S"))),"")</f>
        <v/>
      </c>
      <c r="R802" s="14">
        <f>R801+1</f>
        <v>1794</v>
      </c>
      <c r="S802" s="4" t="str">
        <f>IFERROR(INDEX('LEV R&amp;D'!$D:$D,MATCH(MEDIÇÃO!R802,'LEV R&amp;D'!$A:$A,0))-INDEX('PROJETO PERFURAÇÃO'!$AH:$AH,MATCH(MEDIÇÃO!R802,'PROJETO PERFURAÇÃO'!$B:$B,0)),"")</f>
        <v/>
      </c>
      <c r="T802" s="8" t="str">
        <f>IFERROR(INDEX('PROJETO PERFURAÇÃO'!$AN:$AN,MATCH(MEDIÇÃO!R802,'PROJETO PERFURAÇÃO'!$B:$B,0)),"")</f>
        <v/>
      </c>
      <c r="U802" s="3"/>
      <c r="V802" s="3"/>
    </row>
    <row r="803" spans="1:23" ht="30" customHeight="1" x14ac:dyDescent="0.25">
      <c r="B803" s="1"/>
      <c r="C803" s="1"/>
      <c r="D803" s="15"/>
      <c r="E803" s="2"/>
      <c r="F803" s="16"/>
      <c r="G803" s="1"/>
      <c r="H803" s="1"/>
      <c r="I803" s="1"/>
      <c r="J803" s="1"/>
      <c r="K803" s="15"/>
      <c r="L803" s="2"/>
      <c r="M803" s="16"/>
      <c r="N803" s="1"/>
      <c r="O803" s="1"/>
      <c r="P803" s="1"/>
      <c r="Q803" s="1"/>
      <c r="R803" s="15"/>
      <c r="S803" s="2"/>
      <c r="T803" s="16"/>
      <c r="U803" s="1"/>
      <c r="V803" s="1"/>
    </row>
    <row r="804" spans="1:23" ht="30" customHeight="1" x14ac:dyDescent="0.25">
      <c r="C804" s="20"/>
      <c r="D804" s="20"/>
      <c r="E804" s="20"/>
      <c r="F804" s="20"/>
      <c r="G804" s="20"/>
      <c r="H804" s="20"/>
      <c r="I804" s="20"/>
      <c r="J804" s="20"/>
      <c r="K804" s="20"/>
      <c r="M804" s="20"/>
      <c r="N804" s="20"/>
      <c r="O804" s="20"/>
      <c r="P804" s="20"/>
      <c r="Q804" s="20"/>
      <c r="R804" s="20"/>
      <c r="S804" s="20"/>
      <c r="T804" s="20"/>
      <c r="U804" s="20"/>
    </row>
    <row r="805" spans="1:23" ht="30" customHeight="1" x14ac:dyDescent="0.25">
      <c r="C805" s="21" t="s">
        <v>40</v>
      </c>
      <c r="D805" s="21"/>
      <c r="E805" s="21"/>
      <c r="F805" s="21"/>
      <c r="G805" s="21"/>
      <c r="H805" s="21"/>
      <c r="I805" s="21"/>
      <c r="J805" s="21"/>
      <c r="K805" s="21"/>
      <c r="L805" s="9"/>
      <c r="M805" s="21" t="s">
        <v>40</v>
      </c>
      <c r="N805" s="21"/>
      <c r="O805" s="21"/>
      <c r="P805" s="21"/>
      <c r="Q805" s="21"/>
      <c r="R805" s="21"/>
      <c r="S805" s="21"/>
      <c r="T805" s="21"/>
      <c r="U805" s="21"/>
      <c r="V805" s="9"/>
    </row>
    <row r="806" spans="1:23" ht="30" customHeight="1" x14ac:dyDescent="0.25">
      <c r="D806" s="9"/>
      <c r="E806" s="9"/>
      <c r="F806" s="9"/>
      <c r="G806" s="9"/>
      <c r="H806" s="9"/>
      <c r="I806" s="9"/>
      <c r="J806" s="9"/>
      <c r="K806" s="9"/>
      <c r="L806" s="9"/>
      <c r="M806" s="9"/>
      <c r="N806" s="9"/>
      <c r="Q806" s="9"/>
      <c r="R806" s="9"/>
      <c r="S806" s="9"/>
      <c r="T806" s="9"/>
      <c r="U806" s="9"/>
      <c r="V806" s="9"/>
    </row>
    <row r="807" spans="1:23" ht="30" customHeight="1" x14ac:dyDescent="0.25">
      <c r="B807" s="19" t="str">
        <f>'PROJETO PERFURAÇÃO'!$C$2&amp;" - "&amp;'PROJETO PERFURAÇÃO'!$H$2</f>
        <v>LIB065 - PP0651026</v>
      </c>
      <c r="C807" s="19"/>
      <c r="D807" s="19"/>
      <c r="E807" s="19"/>
      <c r="F807" s="19"/>
      <c r="G807" s="19"/>
      <c r="H807" s="19"/>
      <c r="I807" s="11" t="s">
        <v>34</v>
      </c>
      <c r="J807" s="10" t="s">
        <v>37</v>
      </c>
    </row>
    <row r="808" spans="1:23" ht="30" customHeight="1" x14ac:dyDescent="0.25">
      <c r="B808" s="19"/>
      <c r="C808" s="19"/>
      <c r="D808" s="19"/>
      <c r="E808" s="19"/>
      <c r="F808" s="19"/>
      <c r="G808" s="19"/>
      <c r="H808" s="19"/>
      <c r="I808" s="12" t="s">
        <v>35</v>
      </c>
      <c r="J808" s="10" t="s">
        <v>38</v>
      </c>
      <c r="K808" s="9"/>
      <c r="L808" s="9"/>
      <c r="M808" s="9"/>
      <c r="N808" s="9"/>
      <c r="O808" s="9"/>
      <c r="P808" s="9"/>
      <c r="Q808" s="9"/>
      <c r="R808" s="9"/>
      <c r="S808" s="9"/>
      <c r="T808" s="9"/>
      <c r="U808" s="9"/>
      <c r="V808" s="9"/>
    </row>
    <row r="809" spans="1:23" ht="30" customHeight="1" x14ac:dyDescent="0.25">
      <c r="B809" s="19"/>
      <c r="C809" s="19"/>
      <c r="D809" s="19"/>
      <c r="E809" s="19"/>
      <c r="F809" s="19"/>
      <c r="G809" s="19"/>
      <c r="H809" s="19"/>
      <c r="I809" s="13" t="s">
        <v>36</v>
      </c>
      <c r="J809" s="10" t="s">
        <v>39</v>
      </c>
    </row>
    <row r="810" spans="1:23" ht="30" customHeight="1" x14ac:dyDescent="0.25">
      <c r="A810" s="1"/>
      <c r="B810" s="6" t="s">
        <v>33</v>
      </c>
      <c r="C810" s="6" t="s">
        <v>13</v>
      </c>
      <c r="D810" s="7" t="s">
        <v>1</v>
      </c>
      <c r="E810" s="7" t="s">
        <v>29</v>
      </c>
      <c r="F810" s="7" t="s">
        <v>30</v>
      </c>
      <c r="G810" s="7" t="s">
        <v>31</v>
      </c>
      <c r="H810" s="7" t="s">
        <v>32</v>
      </c>
      <c r="I810" s="6" t="s">
        <v>33</v>
      </c>
      <c r="J810" s="6" t="s">
        <v>13</v>
      </c>
      <c r="K810" s="7" t="s">
        <v>1</v>
      </c>
      <c r="L810" s="7" t="s">
        <v>29</v>
      </c>
      <c r="M810" s="7" t="s">
        <v>30</v>
      </c>
      <c r="N810" s="7" t="s">
        <v>31</v>
      </c>
      <c r="O810" s="7" t="s">
        <v>32</v>
      </c>
      <c r="P810" s="6" t="s">
        <v>33</v>
      </c>
      <c r="Q810" s="6" t="s">
        <v>13</v>
      </c>
      <c r="R810" s="7" t="s">
        <v>1</v>
      </c>
      <c r="S810" s="7" t="s">
        <v>29</v>
      </c>
      <c r="T810" s="7" t="s">
        <v>30</v>
      </c>
      <c r="U810" s="7" t="s">
        <v>31</v>
      </c>
      <c r="V810" s="7" t="s">
        <v>32</v>
      </c>
      <c r="W810" s="1"/>
    </row>
    <row r="811" spans="1:23" ht="45" customHeight="1" x14ac:dyDescent="0.25">
      <c r="B811" s="3" t="str">
        <f>IFERROR(ROUND(INDEX('PROJETO PERFURAÇÃO'!$AB:$AB,MATCH(MEDIÇÃO!D811,'PROJETO PERFURAÇÃO'!$B:$B,0)),1)&amp;"''","")</f>
        <v/>
      </c>
      <c r="C811" s="3" t="str">
        <f>IFERROR(IF(INDEX('PROJETO PERFURAÇÃO'!$P:$P,MATCH(MEDIÇÃO!D811,'PROJETO PERFURAÇÃO'!$B:$B,0))="Production","P",IF(INDEX('PROJETO PERFURAÇÃO'!$P:$P,MATCH(MEDIÇÃO!D811,'PROJETO PERFURAÇÃO'!$B:$B,0))="Buffer","B",IF(INDEX('PROJETO PERFURAÇÃO'!$P:$P,MATCH(MEDIÇÃO!D811,'PROJETO PERFURAÇÃO'!$B:$B,0))="Pre-Splitting","S"))),"")</f>
        <v/>
      </c>
      <c r="D811" s="14">
        <f>R802+1</f>
        <v>1795</v>
      </c>
      <c r="E811" s="4" t="str">
        <f>IFERROR(INDEX('LEV R&amp;D'!$D:$D,MATCH(MEDIÇÃO!D811,'LEV R&amp;D'!$A:$A,0))-INDEX('PROJETO PERFURAÇÃO'!$AH:$AH,MATCH(MEDIÇÃO!D811,'PROJETO PERFURAÇÃO'!$B:$B,0)),"")</f>
        <v/>
      </c>
      <c r="F811" s="8" t="str">
        <f>IFERROR(INDEX('PROJETO PERFURAÇÃO'!$AN:$AN,MATCH(MEDIÇÃO!D811,'PROJETO PERFURAÇÃO'!$B:$B,0)),"")</f>
        <v/>
      </c>
      <c r="G811" s="3"/>
      <c r="H811" s="3"/>
      <c r="I811" s="3" t="str">
        <f>IFERROR(ROUND(INDEX('PROJETO PERFURAÇÃO'!$AB:$AB,MATCH(MEDIÇÃO!K811,'PROJETO PERFURAÇÃO'!$B:$B,0)),1)&amp;"''","")</f>
        <v/>
      </c>
      <c r="J811" s="3" t="str">
        <f>IFERROR(IF(INDEX('PROJETO PERFURAÇÃO'!$P:$P,MATCH(MEDIÇÃO!K811,'PROJETO PERFURAÇÃO'!$B:$B,0))="Production","P",IF(INDEX('PROJETO PERFURAÇÃO'!$P:$P,MATCH(MEDIÇÃO!K811,'PROJETO PERFURAÇÃO'!$B:$B,0))="Buffer","B",IF(INDEX('PROJETO PERFURAÇÃO'!$P:$P,MATCH(MEDIÇÃO!K811,'PROJETO PERFURAÇÃO'!$B:$B,0))="Pre-Splitting","S"))),"")</f>
        <v/>
      </c>
      <c r="K811" s="14">
        <f>D833+1</f>
        <v>1818</v>
      </c>
      <c r="L811" s="4" t="str">
        <f>IFERROR(INDEX('LEV R&amp;D'!$D:$D,MATCH(MEDIÇÃO!K811,'LEV R&amp;D'!$A:$A,0))-INDEX('PROJETO PERFURAÇÃO'!$AH:$AH,MATCH(MEDIÇÃO!K811,'PROJETO PERFURAÇÃO'!$B:$B,0)),"")</f>
        <v/>
      </c>
      <c r="M811" s="8" t="str">
        <f>IFERROR(INDEX('PROJETO PERFURAÇÃO'!$AN:$AN,MATCH(MEDIÇÃO!K811,'PROJETO PERFURAÇÃO'!$B:$B,0)),"")</f>
        <v/>
      </c>
      <c r="N811" s="3"/>
      <c r="O811" s="3"/>
      <c r="P811" s="3" t="str">
        <f>IFERROR(ROUND(INDEX('PROJETO PERFURAÇÃO'!$AB:$AB,MATCH(MEDIÇÃO!R811,'PROJETO PERFURAÇÃO'!$B:$B,0)),1)&amp;"''","")</f>
        <v/>
      </c>
      <c r="Q811" s="3" t="str">
        <f>IFERROR(IF(INDEX('PROJETO PERFURAÇÃO'!$P:$P,MATCH(MEDIÇÃO!R811,'PROJETO PERFURAÇÃO'!$B:$B,0))="Production","P",IF(INDEX('PROJETO PERFURAÇÃO'!$P:$P,MATCH(MEDIÇÃO!R811,'PROJETO PERFURAÇÃO'!$B:$B,0))="Buffer","B",IF(INDEX('PROJETO PERFURAÇÃO'!$P:$P,MATCH(MEDIÇÃO!R811,'PROJETO PERFURAÇÃO'!$B:$B,0))="Pre-Splitting","S"))),"")</f>
        <v/>
      </c>
      <c r="R811" s="14">
        <f>K833+1</f>
        <v>1841</v>
      </c>
      <c r="S811" s="4" t="str">
        <f>IFERROR(INDEX('LEV R&amp;D'!$D:$D,MATCH(MEDIÇÃO!R811,'LEV R&amp;D'!$A:$A,0))-INDEX('PROJETO PERFURAÇÃO'!$AH:$AH,MATCH(MEDIÇÃO!R811,'PROJETO PERFURAÇÃO'!$B:$B,0)),"")</f>
        <v/>
      </c>
      <c r="T811" s="8" t="str">
        <f>IFERROR(INDEX('PROJETO PERFURAÇÃO'!$AN:$AN,MATCH(MEDIÇÃO!R811,'PROJETO PERFURAÇÃO'!$B:$B,0)),"")</f>
        <v/>
      </c>
      <c r="U811" s="3"/>
      <c r="V811" s="3"/>
    </row>
    <row r="812" spans="1:23" ht="45" customHeight="1" x14ac:dyDescent="0.25">
      <c r="B812" s="3" t="str">
        <f>IFERROR(ROUND(INDEX('PROJETO PERFURAÇÃO'!$AB:$AB,MATCH(MEDIÇÃO!D812,'PROJETO PERFURAÇÃO'!$B:$B,0)),1)&amp;"''","")</f>
        <v/>
      </c>
      <c r="C812" s="3" t="str">
        <f>IFERROR(IF(INDEX('PROJETO PERFURAÇÃO'!$P:$P,MATCH(MEDIÇÃO!D812,'PROJETO PERFURAÇÃO'!$B:$B,0))="Production","P",IF(INDEX('PROJETO PERFURAÇÃO'!$P:$P,MATCH(MEDIÇÃO!D812,'PROJETO PERFURAÇÃO'!$B:$B,0))="Buffer","B",IF(INDEX('PROJETO PERFURAÇÃO'!$P:$P,MATCH(MEDIÇÃO!D812,'PROJETO PERFURAÇÃO'!$B:$B,0))="Pre-Splitting","S"))),"")</f>
        <v/>
      </c>
      <c r="D812" s="14">
        <f>D811+1</f>
        <v>1796</v>
      </c>
      <c r="E812" s="4" t="str">
        <f>IFERROR(INDEX('LEV R&amp;D'!$D:$D,MATCH(MEDIÇÃO!D812,'LEV R&amp;D'!$A:$A,0))-INDEX('PROJETO PERFURAÇÃO'!$AH:$AH,MATCH(MEDIÇÃO!D812,'PROJETO PERFURAÇÃO'!$B:$B,0)),"")</f>
        <v/>
      </c>
      <c r="F812" s="8" t="str">
        <f>IFERROR(INDEX('PROJETO PERFURAÇÃO'!$AN:$AN,MATCH(MEDIÇÃO!D812,'PROJETO PERFURAÇÃO'!$B:$B,0)),"")</f>
        <v/>
      </c>
      <c r="G812" s="3"/>
      <c r="H812" s="3"/>
      <c r="I812" s="3" t="str">
        <f>IFERROR(ROUND(INDEX('PROJETO PERFURAÇÃO'!$AB:$AB,MATCH(MEDIÇÃO!K812,'PROJETO PERFURAÇÃO'!$B:$B,0)),1)&amp;"''","")</f>
        <v/>
      </c>
      <c r="J812" s="3" t="str">
        <f>IFERROR(IF(INDEX('PROJETO PERFURAÇÃO'!$P:$P,MATCH(MEDIÇÃO!K812,'PROJETO PERFURAÇÃO'!$B:$B,0))="Production","P",IF(INDEX('PROJETO PERFURAÇÃO'!$P:$P,MATCH(MEDIÇÃO!K812,'PROJETO PERFURAÇÃO'!$B:$B,0))="Buffer","B",IF(INDEX('PROJETO PERFURAÇÃO'!$P:$P,MATCH(MEDIÇÃO!K812,'PROJETO PERFURAÇÃO'!$B:$B,0))="Pre-Splitting","S"))),"")</f>
        <v/>
      </c>
      <c r="K812" s="14">
        <f>K811+1</f>
        <v>1819</v>
      </c>
      <c r="L812" s="4" t="str">
        <f>IFERROR(INDEX('LEV R&amp;D'!$D:$D,MATCH(MEDIÇÃO!K812,'LEV R&amp;D'!$A:$A,0))-INDEX('PROJETO PERFURAÇÃO'!$AH:$AH,MATCH(MEDIÇÃO!K812,'PROJETO PERFURAÇÃO'!$B:$B,0)),"")</f>
        <v/>
      </c>
      <c r="M812" s="8" t="str">
        <f>IFERROR(INDEX('PROJETO PERFURAÇÃO'!$AN:$AN,MATCH(MEDIÇÃO!K812,'PROJETO PERFURAÇÃO'!$B:$B,0)),"")</f>
        <v/>
      </c>
      <c r="N812" s="3"/>
      <c r="O812" s="3"/>
      <c r="P812" s="3" t="str">
        <f>IFERROR(ROUND(INDEX('PROJETO PERFURAÇÃO'!$AB:$AB,MATCH(MEDIÇÃO!R812,'PROJETO PERFURAÇÃO'!$B:$B,0)),1)&amp;"''","")</f>
        <v/>
      </c>
      <c r="Q812" s="3" t="str">
        <f>IFERROR(IF(INDEX('PROJETO PERFURAÇÃO'!$P:$P,MATCH(MEDIÇÃO!R812,'PROJETO PERFURAÇÃO'!$B:$B,0))="Production","P",IF(INDEX('PROJETO PERFURAÇÃO'!$P:$P,MATCH(MEDIÇÃO!R812,'PROJETO PERFURAÇÃO'!$B:$B,0))="Buffer","B",IF(INDEX('PROJETO PERFURAÇÃO'!$P:$P,MATCH(MEDIÇÃO!R812,'PROJETO PERFURAÇÃO'!$B:$B,0))="Pre-Splitting","S"))),"")</f>
        <v/>
      </c>
      <c r="R812" s="14">
        <f>R811+1</f>
        <v>1842</v>
      </c>
      <c r="S812" s="4" t="str">
        <f>IFERROR(INDEX('LEV R&amp;D'!$D:$D,MATCH(MEDIÇÃO!R812,'LEV R&amp;D'!$A:$A,0))-INDEX('PROJETO PERFURAÇÃO'!$AH:$AH,MATCH(MEDIÇÃO!R812,'PROJETO PERFURAÇÃO'!$B:$B,0)),"")</f>
        <v/>
      </c>
      <c r="T812" s="8" t="str">
        <f>IFERROR(INDEX('PROJETO PERFURAÇÃO'!$AN:$AN,MATCH(MEDIÇÃO!R812,'PROJETO PERFURAÇÃO'!$B:$B,0)),"")</f>
        <v/>
      </c>
      <c r="U812" s="3"/>
      <c r="V812" s="3"/>
    </row>
    <row r="813" spans="1:23" ht="45" customHeight="1" x14ac:dyDescent="0.25">
      <c r="B813" s="3" t="str">
        <f>IFERROR(ROUND(INDEX('PROJETO PERFURAÇÃO'!$AB:$AB,MATCH(MEDIÇÃO!D813,'PROJETO PERFURAÇÃO'!$B:$B,0)),1)&amp;"''","")</f>
        <v/>
      </c>
      <c r="C813" s="3" t="str">
        <f>IFERROR(IF(INDEX('PROJETO PERFURAÇÃO'!$P:$P,MATCH(MEDIÇÃO!D813,'PROJETO PERFURAÇÃO'!$B:$B,0))="Production","P",IF(INDEX('PROJETO PERFURAÇÃO'!$P:$P,MATCH(MEDIÇÃO!D813,'PROJETO PERFURAÇÃO'!$B:$B,0))="Buffer","B",IF(INDEX('PROJETO PERFURAÇÃO'!$P:$P,MATCH(MEDIÇÃO!D813,'PROJETO PERFURAÇÃO'!$B:$B,0))="Pre-Splitting","S"))),"")</f>
        <v/>
      </c>
      <c r="D813" s="14">
        <f t="shared" ref="D813:D833" si="78">D812+1</f>
        <v>1797</v>
      </c>
      <c r="E813" s="4" t="str">
        <f>IFERROR(INDEX('LEV R&amp;D'!$D:$D,MATCH(MEDIÇÃO!D813,'LEV R&amp;D'!$A:$A,0))-INDEX('PROJETO PERFURAÇÃO'!$AH:$AH,MATCH(MEDIÇÃO!D813,'PROJETO PERFURAÇÃO'!$B:$B,0)),"")</f>
        <v/>
      </c>
      <c r="F813" s="8" t="str">
        <f>IFERROR(INDEX('PROJETO PERFURAÇÃO'!$AN:$AN,MATCH(MEDIÇÃO!D813,'PROJETO PERFURAÇÃO'!$B:$B,0)),"")</f>
        <v/>
      </c>
      <c r="G813" s="3"/>
      <c r="H813" s="3"/>
      <c r="I813" s="3" t="str">
        <f>IFERROR(ROUND(INDEX('PROJETO PERFURAÇÃO'!$AB:$AB,MATCH(MEDIÇÃO!K813,'PROJETO PERFURAÇÃO'!$B:$B,0)),1)&amp;"''","")</f>
        <v/>
      </c>
      <c r="J813" s="3" t="str">
        <f>IFERROR(IF(INDEX('PROJETO PERFURAÇÃO'!$P:$P,MATCH(MEDIÇÃO!K813,'PROJETO PERFURAÇÃO'!$B:$B,0))="Production","P",IF(INDEX('PROJETO PERFURAÇÃO'!$P:$P,MATCH(MEDIÇÃO!K813,'PROJETO PERFURAÇÃO'!$B:$B,0))="Buffer","B",IF(INDEX('PROJETO PERFURAÇÃO'!$P:$P,MATCH(MEDIÇÃO!K813,'PROJETO PERFURAÇÃO'!$B:$B,0))="Pre-Splitting","S"))),"")</f>
        <v/>
      </c>
      <c r="K813" s="14">
        <f t="shared" ref="K813:K832" si="79">K812+1</f>
        <v>1820</v>
      </c>
      <c r="L813" s="4" t="str">
        <f>IFERROR(INDEX('LEV R&amp;D'!$D:$D,MATCH(MEDIÇÃO!K813,'LEV R&amp;D'!$A:$A,0))-INDEX('PROJETO PERFURAÇÃO'!$AH:$AH,MATCH(MEDIÇÃO!K813,'PROJETO PERFURAÇÃO'!$B:$B,0)),"")</f>
        <v/>
      </c>
      <c r="M813" s="8" t="str">
        <f>IFERROR(INDEX('PROJETO PERFURAÇÃO'!$AN:$AN,MATCH(MEDIÇÃO!K813,'PROJETO PERFURAÇÃO'!$B:$B,0)),"")</f>
        <v/>
      </c>
      <c r="N813" s="3"/>
      <c r="O813" s="3"/>
      <c r="P813" s="3" t="str">
        <f>IFERROR(ROUND(INDEX('PROJETO PERFURAÇÃO'!$AB:$AB,MATCH(MEDIÇÃO!R813,'PROJETO PERFURAÇÃO'!$B:$B,0)),1)&amp;"''","")</f>
        <v/>
      </c>
      <c r="Q813" s="3" t="str">
        <f>IFERROR(IF(INDEX('PROJETO PERFURAÇÃO'!$P:$P,MATCH(MEDIÇÃO!R813,'PROJETO PERFURAÇÃO'!$B:$B,0))="Production","P",IF(INDEX('PROJETO PERFURAÇÃO'!$P:$P,MATCH(MEDIÇÃO!R813,'PROJETO PERFURAÇÃO'!$B:$B,0))="Buffer","B",IF(INDEX('PROJETO PERFURAÇÃO'!$P:$P,MATCH(MEDIÇÃO!R813,'PROJETO PERFURAÇÃO'!$B:$B,0))="Pre-Splitting","S"))),"")</f>
        <v/>
      </c>
      <c r="R813" s="14">
        <f t="shared" ref="R813:R832" si="80">R812+1</f>
        <v>1843</v>
      </c>
      <c r="S813" s="4" t="str">
        <f>IFERROR(INDEX('LEV R&amp;D'!$D:$D,MATCH(MEDIÇÃO!R813,'LEV R&amp;D'!$A:$A,0))-INDEX('PROJETO PERFURAÇÃO'!$AH:$AH,MATCH(MEDIÇÃO!R813,'PROJETO PERFURAÇÃO'!$B:$B,0)),"")</f>
        <v/>
      </c>
      <c r="T813" s="8" t="str">
        <f>IFERROR(INDEX('PROJETO PERFURAÇÃO'!$AN:$AN,MATCH(MEDIÇÃO!R813,'PROJETO PERFURAÇÃO'!$B:$B,0)),"")</f>
        <v/>
      </c>
      <c r="U813" s="3"/>
      <c r="V813" s="3"/>
    </row>
    <row r="814" spans="1:23" ht="45" customHeight="1" x14ac:dyDescent="0.25">
      <c r="B814" s="3" t="str">
        <f>IFERROR(ROUND(INDEX('PROJETO PERFURAÇÃO'!$AB:$AB,MATCH(MEDIÇÃO!D814,'PROJETO PERFURAÇÃO'!$B:$B,0)),1)&amp;"''","")</f>
        <v/>
      </c>
      <c r="C814" s="3" t="str">
        <f>IFERROR(IF(INDEX('PROJETO PERFURAÇÃO'!$P:$P,MATCH(MEDIÇÃO!D814,'PROJETO PERFURAÇÃO'!$B:$B,0))="Production","P",IF(INDEX('PROJETO PERFURAÇÃO'!$P:$P,MATCH(MEDIÇÃO!D814,'PROJETO PERFURAÇÃO'!$B:$B,0))="Buffer","B",IF(INDEX('PROJETO PERFURAÇÃO'!$P:$P,MATCH(MEDIÇÃO!D814,'PROJETO PERFURAÇÃO'!$B:$B,0))="Pre-Splitting","S"))),"")</f>
        <v/>
      </c>
      <c r="D814" s="14">
        <f t="shared" si="78"/>
        <v>1798</v>
      </c>
      <c r="E814" s="4" t="str">
        <f>IFERROR(INDEX('LEV R&amp;D'!$D:$D,MATCH(MEDIÇÃO!D814,'LEV R&amp;D'!$A:$A,0))-INDEX('PROJETO PERFURAÇÃO'!$AH:$AH,MATCH(MEDIÇÃO!D814,'PROJETO PERFURAÇÃO'!$B:$B,0)),"")</f>
        <v/>
      </c>
      <c r="F814" s="8" t="str">
        <f>IFERROR(INDEX('PROJETO PERFURAÇÃO'!$AN:$AN,MATCH(MEDIÇÃO!D814,'PROJETO PERFURAÇÃO'!$B:$B,0)),"")</f>
        <v/>
      </c>
      <c r="G814" s="3"/>
      <c r="H814" s="3"/>
      <c r="I814" s="3" t="str">
        <f>IFERROR(ROUND(INDEX('PROJETO PERFURAÇÃO'!$AB:$AB,MATCH(MEDIÇÃO!K814,'PROJETO PERFURAÇÃO'!$B:$B,0)),1)&amp;"''","")</f>
        <v/>
      </c>
      <c r="J814" s="3" t="str">
        <f>IFERROR(IF(INDEX('PROJETO PERFURAÇÃO'!$P:$P,MATCH(MEDIÇÃO!K814,'PROJETO PERFURAÇÃO'!$B:$B,0))="Production","P",IF(INDEX('PROJETO PERFURAÇÃO'!$P:$P,MATCH(MEDIÇÃO!K814,'PROJETO PERFURAÇÃO'!$B:$B,0))="Buffer","B",IF(INDEX('PROJETO PERFURAÇÃO'!$P:$P,MATCH(MEDIÇÃO!K814,'PROJETO PERFURAÇÃO'!$B:$B,0))="Pre-Splitting","S"))),"")</f>
        <v/>
      </c>
      <c r="K814" s="14">
        <f t="shared" si="79"/>
        <v>1821</v>
      </c>
      <c r="L814" s="4" t="str">
        <f>IFERROR(INDEX('LEV R&amp;D'!$D:$D,MATCH(MEDIÇÃO!K814,'LEV R&amp;D'!$A:$A,0))-INDEX('PROJETO PERFURAÇÃO'!$AH:$AH,MATCH(MEDIÇÃO!K814,'PROJETO PERFURAÇÃO'!$B:$B,0)),"")</f>
        <v/>
      </c>
      <c r="M814" s="8" t="str">
        <f>IFERROR(INDEX('PROJETO PERFURAÇÃO'!$AN:$AN,MATCH(MEDIÇÃO!K814,'PROJETO PERFURAÇÃO'!$B:$B,0)),"")</f>
        <v/>
      </c>
      <c r="N814" s="3"/>
      <c r="O814" s="3"/>
      <c r="P814" s="3" t="str">
        <f>IFERROR(ROUND(INDEX('PROJETO PERFURAÇÃO'!$AB:$AB,MATCH(MEDIÇÃO!R814,'PROJETO PERFURAÇÃO'!$B:$B,0)),1)&amp;"''","")</f>
        <v/>
      </c>
      <c r="Q814" s="3" t="str">
        <f>IFERROR(IF(INDEX('PROJETO PERFURAÇÃO'!$P:$P,MATCH(MEDIÇÃO!R814,'PROJETO PERFURAÇÃO'!$B:$B,0))="Production","P",IF(INDEX('PROJETO PERFURAÇÃO'!$P:$P,MATCH(MEDIÇÃO!R814,'PROJETO PERFURAÇÃO'!$B:$B,0))="Buffer","B",IF(INDEX('PROJETO PERFURAÇÃO'!$P:$P,MATCH(MEDIÇÃO!R814,'PROJETO PERFURAÇÃO'!$B:$B,0))="Pre-Splitting","S"))),"")</f>
        <v/>
      </c>
      <c r="R814" s="14">
        <f t="shared" si="80"/>
        <v>1844</v>
      </c>
      <c r="S814" s="4" t="str">
        <f>IFERROR(INDEX('LEV R&amp;D'!$D:$D,MATCH(MEDIÇÃO!R814,'LEV R&amp;D'!$A:$A,0))-INDEX('PROJETO PERFURAÇÃO'!$AH:$AH,MATCH(MEDIÇÃO!R814,'PROJETO PERFURAÇÃO'!$B:$B,0)),"")</f>
        <v/>
      </c>
      <c r="T814" s="8" t="str">
        <f>IFERROR(INDEX('PROJETO PERFURAÇÃO'!$AN:$AN,MATCH(MEDIÇÃO!R814,'PROJETO PERFURAÇÃO'!$B:$B,0)),"")</f>
        <v/>
      </c>
      <c r="U814" s="3"/>
      <c r="V814" s="3"/>
    </row>
    <row r="815" spans="1:23" ht="45" customHeight="1" x14ac:dyDescent="0.25">
      <c r="B815" s="3" t="str">
        <f>IFERROR(ROUND(INDEX('PROJETO PERFURAÇÃO'!$AB:$AB,MATCH(MEDIÇÃO!D815,'PROJETO PERFURAÇÃO'!$B:$B,0)),1)&amp;"''","")</f>
        <v/>
      </c>
      <c r="C815" s="3" t="str">
        <f>IFERROR(IF(INDEX('PROJETO PERFURAÇÃO'!$P:$P,MATCH(MEDIÇÃO!D815,'PROJETO PERFURAÇÃO'!$B:$B,0))="Production","P",IF(INDEX('PROJETO PERFURAÇÃO'!$P:$P,MATCH(MEDIÇÃO!D815,'PROJETO PERFURAÇÃO'!$B:$B,0))="Buffer","B",IF(INDEX('PROJETO PERFURAÇÃO'!$P:$P,MATCH(MEDIÇÃO!D815,'PROJETO PERFURAÇÃO'!$B:$B,0))="Pre-Splitting","S"))),"")</f>
        <v/>
      </c>
      <c r="D815" s="14">
        <f t="shared" si="78"/>
        <v>1799</v>
      </c>
      <c r="E815" s="4" t="str">
        <f>IFERROR(INDEX('LEV R&amp;D'!$D:$D,MATCH(MEDIÇÃO!D815,'LEV R&amp;D'!$A:$A,0))-INDEX('PROJETO PERFURAÇÃO'!$AH:$AH,MATCH(MEDIÇÃO!D815,'PROJETO PERFURAÇÃO'!$B:$B,0)),"")</f>
        <v/>
      </c>
      <c r="F815" s="8" t="str">
        <f>IFERROR(INDEX('PROJETO PERFURAÇÃO'!$AN:$AN,MATCH(MEDIÇÃO!D815,'PROJETO PERFURAÇÃO'!$B:$B,0)),"")</f>
        <v/>
      </c>
      <c r="G815" s="3"/>
      <c r="H815" s="3"/>
      <c r="I815" s="3" t="str">
        <f>IFERROR(ROUND(INDEX('PROJETO PERFURAÇÃO'!$AB:$AB,MATCH(MEDIÇÃO!K815,'PROJETO PERFURAÇÃO'!$B:$B,0)),1)&amp;"''","")</f>
        <v/>
      </c>
      <c r="J815" s="3" t="str">
        <f>IFERROR(IF(INDEX('PROJETO PERFURAÇÃO'!$P:$P,MATCH(MEDIÇÃO!K815,'PROJETO PERFURAÇÃO'!$B:$B,0))="Production","P",IF(INDEX('PROJETO PERFURAÇÃO'!$P:$P,MATCH(MEDIÇÃO!K815,'PROJETO PERFURAÇÃO'!$B:$B,0))="Buffer","B",IF(INDEX('PROJETO PERFURAÇÃO'!$P:$P,MATCH(MEDIÇÃO!K815,'PROJETO PERFURAÇÃO'!$B:$B,0))="Pre-Splitting","S"))),"")</f>
        <v/>
      </c>
      <c r="K815" s="14">
        <f t="shared" si="79"/>
        <v>1822</v>
      </c>
      <c r="L815" s="4" t="str">
        <f>IFERROR(INDEX('LEV R&amp;D'!$D:$D,MATCH(MEDIÇÃO!K815,'LEV R&amp;D'!$A:$A,0))-INDEX('PROJETO PERFURAÇÃO'!$AH:$AH,MATCH(MEDIÇÃO!K815,'PROJETO PERFURAÇÃO'!$B:$B,0)),"")</f>
        <v/>
      </c>
      <c r="M815" s="8" t="str">
        <f>IFERROR(INDEX('PROJETO PERFURAÇÃO'!$AN:$AN,MATCH(MEDIÇÃO!K815,'PROJETO PERFURAÇÃO'!$B:$B,0)),"")</f>
        <v/>
      </c>
      <c r="N815" s="3"/>
      <c r="O815" s="3"/>
      <c r="P815" s="3" t="str">
        <f>IFERROR(ROUND(INDEX('PROJETO PERFURAÇÃO'!$AB:$AB,MATCH(MEDIÇÃO!R815,'PROJETO PERFURAÇÃO'!$B:$B,0)),1)&amp;"''","")</f>
        <v/>
      </c>
      <c r="Q815" s="3" t="str">
        <f>IFERROR(IF(INDEX('PROJETO PERFURAÇÃO'!$P:$P,MATCH(MEDIÇÃO!R815,'PROJETO PERFURAÇÃO'!$B:$B,0))="Production","P",IF(INDEX('PROJETO PERFURAÇÃO'!$P:$P,MATCH(MEDIÇÃO!R815,'PROJETO PERFURAÇÃO'!$B:$B,0))="Buffer","B",IF(INDEX('PROJETO PERFURAÇÃO'!$P:$P,MATCH(MEDIÇÃO!R815,'PROJETO PERFURAÇÃO'!$B:$B,0))="Pre-Splitting","S"))),"")</f>
        <v/>
      </c>
      <c r="R815" s="14">
        <f t="shared" si="80"/>
        <v>1845</v>
      </c>
      <c r="S815" s="4" t="str">
        <f>IFERROR(INDEX('LEV R&amp;D'!$D:$D,MATCH(MEDIÇÃO!R815,'LEV R&amp;D'!$A:$A,0))-INDEX('PROJETO PERFURAÇÃO'!$AH:$AH,MATCH(MEDIÇÃO!R815,'PROJETO PERFURAÇÃO'!$B:$B,0)),"")</f>
        <v/>
      </c>
      <c r="T815" s="8" t="str">
        <f>IFERROR(INDEX('PROJETO PERFURAÇÃO'!$AN:$AN,MATCH(MEDIÇÃO!R815,'PROJETO PERFURAÇÃO'!$B:$B,0)),"")</f>
        <v/>
      </c>
      <c r="U815" s="3"/>
      <c r="V815" s="3"/>
    </row>
    <row r="816" spans="1:23" ht="45" customHeight="1" x14ac:dyDescent="0.25">
      <c r="B816" s="3" t="str">
        <f>IFERROR(ROUND(INDEX('PROJETO PERFURAÇÃO'!$AB:$AB,MATCH(MEDIÇÃO!D816,'PROJETO PERFURAÇÃO'!$B:$B,0)),1)&amp;"''","")</f>
        <v/>
      </c>
      <c r="C816" s="3" t="str">
        <f>IFERROR(IF(INDEX('PROJETO PERFURAÇÃO'!$P:$P,MATCH(MEDIÇÃO!D816,'PROJETO PERFURAÇÃO'!$B:$B,0))="Production","P",IF(INDEX('PROJETO PERFURAÇÃO'!$P:$P,MATCH(MEDIÇÃO!D816,'PROJETO PERFURAÇÃO'!$B:$B,0))="Buffer","B",IF(INDEX('PROJETO PERFURAÇÃO'!$P:$P,MATCH(MEDIÇÃO!D816,'PROJETO PERFURAÇÃO'!$B:$B,0))="Pre-Splitting","S"))),"")</f>
        <v/>
      </c>
      <c r="D816" s="14">
        <f t="shared" si="78"/>
        <v>1800</v>
      </c>
      <c r="E816" s="4" t="str">
        <f>IFERROR(INDEX('LEV R&amp;D'!$D:$D,MATCH(MEDIÇÃO!D816,'LEV R&amp;D'!$A:$A,0))-INDEX('PROJETO PERFURAÇÃO'!$AH:$AH,MATCH(MEDIÇÃO!D816,'PROJETO PERFURAÇÃO'!$B:$B,0)),"")</f>
        <v/>
      </c>
      <c r="F816" s="8" t="str">
        <f>IFERROR(INDEX('PROJETO PERFURAÇÃO'!$AN:$AN,MATCH(MEDIÇÃO!D816,'PROJETO PERFURAÇÃO'!$B:$B,0)),"")</f>
        <v/>
      </c>
      <c r="G816" s="3"/>
      <c r="H816" s="3"/>
      <c r="I816" s="3" t="str">
        <f>IFERROR(ROUND(INDEX('PROJETO PERFURAÇÃO'!$AB:$AB,MATCH(MEDIÇÃO!K816,'PROJETO PERFURAÇÃO'!$B:$B,0)),1)&amp;"''","")</f>
        <v/>
      </c>
      <c r="J816" s="3" t="str">
        <f>IFERROR(IF(INDEX('PROJETO PERFURAÇÃO'!$P:$P,MATCH(MEDIÇÃO!K816,'PROJETO PERFURAÇÃO'!$B:$B,0))="Production","P",IF(INDEX('PROJETO PERFURAÇÃO'!$P:$P,MATCH(MEDIÇÃO!K816,'PROJETO PERFURAÇÃO'!$B:$B,0))="Buffer","B",IF(INDEX('PROJETO PERFURAÇÃO'!$P:$P,MATCH(MEDIÇÃO!K816,'PROJETO PERFURAÇÃO'!$B:$B,0))="Pre-Splitting","S"))),"")</f>
        <v/>
      </c>
      <c r="K816" s="14">
        <f t="shared" si="79"/>
        <v>1823</v>
      </c>
      <c r="L816" s="4" t="str">
        <f>IFERROR(INDEX('LEV R&amp;D'!$D:$D,MATCH(MEDIÇÃO!K816,'LEV R&amp;D'!$A:$A,0))-INDEX('PROJETO PERFURAÇÃO'!$AH:$AH,MATCH(MEDIÇÃO!K816,'PROJETO PERFURAÇÃO'!$B:$B,0)),"")</f>
        <v/>
      </c>
      <c r="M816" s="8" t="str">
        <f>IFERROR(INDEX('PROJETO PERFURAÇÃO'!$AN:$AN,MATCH(MEDIÇÃO!K816,'PROJETO PERFURAÇÃO'!$B:$B,0)),"")</f>
        <v/>
      </c>
      <c r="N816" s="3"/>
      <c r="O816" s="3"/>
      <c r="P816" s="3" t="str">
        <f>IFERROR(ROUND(INDEX('PROJETO PERFURAÇÃO'!$AB:$AB,MATCH(MEDIÇÃO!R816,'PROJETO PERFURAÇÃO'!$B:$B,0)),1)&amp;"''","")</f>
        <v/>
      </c>
      <c r="Q816" s="3" t="str">
        <f>IFERROR(IF(INDEX('PROJETO PERFURAÇÃO'!$P:$P,MATCH(MEDIÇÃO!R816,'PROJETO PERFURAÇÃO'!$B:$B,0))="Production","P",IF(INDEX('PROJETO PERFURAÇÃO'!$P:$P,MATCH(MEDIÇÃO!R816,'PROJETO PERFURAÇÃO'!$B:$B,0))="Buffer","B",IF(INDEX('PROJETO PERFURAÇÃO'!$P:$P,MATCH(MEDIÇÃO!R816,'PROJETO PERFURAÇÃO'!$B:$B,0))="Pre-Splitting","S"))),"")</f>
        <v/>
      </c>
      <c r="R816" s="14">
        <f t="shared" si="80"/>
        <v>1846</v>
      </c>
      <c r="S816" s="4" t="str">
        <f>IFERROR(INDEX('LEV R&amp;D'!$D:$D,MATCH(MEDIÇÃO!R816,'LEV R&amp;D'!$A:$A,0))-INDEX('PROJETO PERFURAÇÃO'!$AH:$AH,MATCH(MEDIÇÃO!R816,'PROJETO PERFURAÇÃO'!$B:$B,0)),"")</f>
        <v/>
      </c>
      <c r="T816" s="8" t="str">
        <f>IFERROR(INDEX('PROJETO PERFURAÇÃO'!$AN:$AN,MATCH(MEDIÇÃO!R816,'PROJETO PERFURAÇÃO'!$B:$B,0)),"")</f>
        <v/>
      </c>
      <c r="U816" s="3"/>
      <c r="V816" s="3"/>
    </row>
    <row r="817" spans="2:22" ht="45" customHeight="1" x14ac:dyDescent="0.25">
      <c r="B817" s="3" t="str">
        <f>IFERROR(ROUND(INDEX('PROJETO PERFURAÇÃO'!$AB:$AB,MATCH(MEDIÇÃO!D817,'PROJETO PERFURAÇÃO'!$B:$B,0)),1)&amp;"''","")</f>
        <v/>
      </c>
      <c r="C817" s="3" t="str">
        <f>IFERROR(IF(INDEX('PROJETO PERFURAÇÃO'!$P:$P,MATCH(MEDIÇÃO!D817,'PROJETO PERFURAÇÃO'!$B:$B,0))="Production","P",IF(INDEX('PROJETO PERFURAÇÃO'!$P:$P,MATCH(MEDIÇÃO!D817,'PROJETO PERFURAÇÃO'!$B:$B,0))="Buffer","B",IF(INDEX('PROJETO PERFURAÇÃO'!$P:$P,MATCH(MEDIÇÃO!D817,'PROJETO PERFURAÇÃO'!$B:$B,0))="Pre-Splitting","S"))),"")</f>
        <v/>
      </c>
      <c r="D817" s="14">
        <f t="shared" si="78"/>
        <v>1801</v>
      </c>
      <c r="E817" s="4" t="str">
        <f>IFERROR(INDEX('LEV R&amp;D'!$D:$D,MATCH(MEDIÇÃO!D817,'LEV R&amp;D'!$A:$A,0))-INDEX('PROJETO PERFURAÇÃO'!$AH:$AH,MATCH(MEDIÇÃO!D817,'PROJETO PERFURAÇÃO'!$B:$B,0)),"")</f>
        <v/>
      </c>
      <c r="F817" s="8" t="str">
        <f>IFERROR(INDEX('PROJETO PERFURAÇÃO'!$AN:$AN,MATCH(MEDIÇÃO!D817,'PROJETO PERFURAÇÃO'!$B:$B,0)),"")</f>
        <v/>
      </c>
      <c r="G817" s="3"/>
      <c r="H817" s="3"/>
      <c r="I817" s="3" t="str">
        <f>IFERROR(ROUND(INDEX('PROJETO PERFURAÇÃO'!$AB:$AB,MATCH(MEDIÇÃO!K817,'PROJETO PERFURAÇÃO'!$B:$B,0)),1)&amp;"''","")</f>
        <v/>
      </c>
      <c r="J817" s="3" t="str">
        <f>IFERROR(IF(INDEX('PROJETO PERFURAÇÃO'!$P:$P,MATCH(MEDIÇÃO!K817,'PROJETO PERFURAÇÃO'!$B:$B,0))="Production","P",IF(INDEX('PROJETO PERFURAÇÃO'!$P:$P,MATCH(MEDIÇÃO!K817,'PROJETO PERFURAÇÃO'!$B:$B,0))="Buffer","B",IF(INDEX('PROJETO PERFURAÇÃO'!$P:$P,MATCH(MEDIÇÃO!K817,'PROJETO PERFURAÇÃO'!$B:$B,0))="Pre-Splitting","S"))),"")</f>
        <v/>
      </c>
      <c r="K817" s="14">
        <f t="shared" si="79"/>
        <v>1824</v>
      </c>
      <c r="L817" s="4" t="str">
        <f>IFERROR(INDEX('LEV R&amp;D'!$D:$D,MATCH(MEDIÇÃO!K817,'LEV R&amp;D'!$A:$A,0))-INDEX('PROJETO PERFURAÇÃO'!$AH:$AH,MATCH(MEDIÇÃO!K817,'PROJETO PERFURAÇÃO'!$B:$B,0)),"")</f>
        <v/>
      </c>
      <c r="M817" s="8" t="str">
        <f>IFERROR(INDEX('PROJETO PERFURAÇÃO'!$AN:$AN,MATCH(MEDIÇÃO!K817,'PROJETO PERFURAÇÃO'!$B:$B,0)),"")</f>
        <v/>
      </c>
      <c r="N817" s="3"/>
      <c r="O817" s="3"/>
      <c r="P817" s="3" t="str">
        <f>IFERROR(ROUND(INDEX('PROJETO PERFURAÇÃO'!$AB:$AB,MATCH(MEDIÇÃO!R817,'PROJETO PERFURAÇÃO'!$B:$B,0)),1)&amp;"''","")</f>
        <v/>
      </c>
      <c r="Q817" s="3" t="str">
        <f>IFERROR(IF(INDEX('PROJETO PERFURAÇÃO'!$P:$P,MATCH(MEDIÇÃO!R817,'PROJETO PERFURAÇÃO'!$B:$B,0))="Production","P",IF(INDEX('PROJETO PERFURAÇÃO'!$P:$P,MATCH(MEDIÇÃO!R817,'PROJETO PERFURAÇÃO'!$B:$B,0))="Buffer","B",IF(INDEX('PROJETO PERFURAÇÃO'!$P:$P,MATCH(MEDIÇÃO!R817,'PROJETO PERFURAÇÃO'!$B:$B,0))="Pre-Splitting","S"))),"")</f>
        <v/>
      </c>
      <c r="R817" s="14">
        <f t="shared" si="80"/>
        <v>1847</v>
      </c>
      <c r="S817" s="4" t="str">
        <f>IFERROR(INDEX('LEV R&amp;D'!$D:$D,MATCH(MEDIÇÃO!R817,'LEV R&amp;D'!$A:$A,0))-INDEX('PROJETO PERFURAÇÃO'!$AH:$AH,MATCH(MEDIÇÃO!R817,'PROJETO PERFURAÇÃO'!$B:$B,0)),"")</f>
        <v/>
      </c>
      <c r="T817" s="8" t="str">
        <f>IFERROR(INDEX('PROJETO PERFURAÇÃO'!$AN:$AN,MATCH(MEDIÇÃO!R817,'PROJETO PERFURAÇÃO'!$B:$B,0)),"")</f>
        <v/>
      </c>
      <c r="U817" s="3"/>
      <c r="V817" s="3"/>
    </row>
    <row r="818" spans="2:22" ht="45" customHeight="1" x14ac:dyDescent="0.25">
      <c r="B818" s="3" t="str">
        <f>IFERROR(ROUND(INDEX('PROJETO PERFURAÇÃO'!$AB:$AB,MATCH(MEDIÇÃO!D818,'PROJETO PERFURAÇÃO'!$B:$B,0)),1)&amp;"''","")</f>
        <v/>
      </c>
      <c r="C818" s="3" t="str">
        <f>IFERROR(IF(INDEX('PROJETO PERFURAÇÃO'!$P:$P,MATCH(MEDIÇÃO!D818,'PROJETO PERFURAÇÃO'!$B:$B,0))="Production","P",IF(INDEX('PROJETO PERFURAÇÃO'!$P:$P,MATCH(MEDIÇÃO!D818,'PROJETO PERFURAÇÃO'!$B:$B,0))="Buffer","B",IF(INDEX('PROJETO PERFURAÇÃO'!$P:$P,MATCH(MEDIÇÃO!D818,'PROJETO PERFURAÇÃO'!$B:$B,0))="Pre-Splitting","S"))),"")</f>
        <v/>
      </c>
      <c r="D818" s="14">
        <f t="shared" si="78"/>
        <v>1802</v>
      </c>
      <c r="E818" s="4" t="str">
        <f>IFERROR(INDEX('LEV R&amp;D'!$D:$D,MATCH(MEDIÇÃO!D818,'LEV R&amp;D'!$A:$A,0))-INDEX('PROJETO PERFURAÇÃO'!$AH:$AH,MATCH(MEDIÇÃO!D818,'PROJETO PERFURAÇÃO'!$B:$B,0)),"")</f>
        <v/>
      </c>
      <c r="F818" s="8" t="str">
        <f>IFERROR(INDEX('PROJETO PERFURAÇÃO'!$AN:$AN,MATCH(MEDIÇÃO!D818,'PROJETO PERFURAÇÃO'!$B:$B,0)),"")</f>
        <v/>
      </c>
      <c r="G818" s="3"/>
      <c r="H818" s="3"/>
      <c r="I818" s="3" t="str">
        <f>IFERROR(ROUND(INDEX('PROJETO PERFURAÇÃO'!$AB:$AB,MATCH(MEDIÇÃO!K818,'PROJETO PERFURAÇÃO'!$B:$B,0)),1)&amp;"''","")</f>
        <v/>
      </c>
      <c r="J818" s="3" t="str">
        <f>IFERROR(IF(INDEX('PROJETO PERFURAÇÃO'!$P:$P,MATCH(MEDIÇÃO!K818,'PROJETO PERFURAÇÃO'!$B:$B,0))="Production","P",IF(INDEX('PROJETO PERFURAÇÃO'!$P:$P,MATCH(MEDIÇÃO!K818,'PROJETO PERFURAÇÃO'!$B:$B,0))="Buffer","B",IF(INDEX('PROJETO PERFURAÇÃO'!$P:$P,MATCH(MEDIÇÃO!K818,'PROJETO PERFURAÇÃO'!$B:$B,0))="Pre-Splitting","S"))),"")</f>
        <v/>
      </c>
      <c r="K818" s="14">
        <f t="shared" si="79"/>
        <v>1825</v>
      </c>
      <c r="L818" s="4" t="str">
        <f>IFERROR(INDEX('LEV R&amp;D'!$D:$D,MATCH(MEDIÇÃO!K818,'LEV R&amp;D'!$A:$A,0))-INDEX('PROJETO PERFURAÇÃO'!$AH:$AH,MATCH(MEDIÇÃO!K818,'PROJETO PERFURAÇÃO'!$B:$B,0)),"")</f>
        <v/>
      </c>
      <c r="M818" s="8" t="str">
        <f>IFERROR(INDEX('PROJETO PERFURAÇÃO'!$AN:$AN,MATCH(MEDIÇÃO!K818,'PROJETO PERFURAÇÃO'!$B:$B,0)),"")</f>
        <v/>
      </c>
      <c r="N818" s="3"/>
      <c r="O818" s="3"/>
      <c r="P818" s="3" t="str">
        <f>IFERROR(ROUND(INDEX('PROJETO PERFURAÇÃO'!$AB:$AB,MATCH(MEDIÇÃO!R818,'PROJETO PERFURAÇÃO'!$B:$B,0)),1)&amp;"''","")</f>
        <v/>
      </c>
      <c r="Q818" s="3" t="str">
        <f>IFERROR(IF(INDEX('PROJETO PERFURAÇÃO'!$P:$P,MATCH(MEDIÇÃO!R818,'PROJETO PERFURAÇÃO'!$B:$B,0))="Production","P",IF(INDEX('PROJETO PERFURAÇÃO'!$P:$P,MATCH(MEDIÇÃO!R818,'PROJETO PERFURAÇÃO'!$B:$B,0))="Buffer","B",IF(INDEX('PROJETO PERFURAÇÃO'!$P:$P,MATCH(MEDIÇÃO!R818,'PROJETO PERFURAÇÃO'!$B:$B,0))="Pre-Splitting","S"))),"")</f>
        <v/>
      </c>
      <c r="R818" s="14">
        <f t="shared" si="80"/>
        <v>1848</v>
      </c>
      <c r="S818" s="4" t="str">
        <f>IFERROR(INDEX('LEV R&amp;D'!$D:$D,MATCH(MEDIÇÃO!R818,'LEV R&amp;D'!$A:$A,0))-INDEX('PROJETO PERFURAÇÃO'!$AH:$AH,MATCH(MEDIÇÃO!R818,'PROJETO PERFURAÇÃO'!$B:$B,0)),"")</f>
        <v/>
      </c>
      <c r="T818" s="8" t="str">
        <f>IFERROR(INDEX('PROJETO PERFURAÇÃO'!$AN:$AN,MATCH(MEDIÇÃO!R818,'PROJETO PERFURAÇÃO'!$B:$B,0)),"")</f>
        <v/>
      </c>
      <c r="U818" s="3"/>
      <c r="V818" s="3"/>
    </row>
    <row r="819" spans="2:22" ht="45" customHeight="1" x14ac:dyDescent="0.25">
      <c r="B819" s="3" t="str">
        <f>IFERROR(ROUND(INDEX('PROJETO PERFURAÇÃO'!$AB:$AB,MATCH(MEDIÇÃO!D819,'PROJETO PERFURAÇÃO'!$B:$B,0)),1)&amp;"''","")</f>
        <v/>
      </c>
      <c r="C819" s="3" t="str">
        <f>IFERROR(IF(INDEX('PROJETO PERFURAÇÃO'!$P:$P,MATCH(MEDIÇÃO!D819,'PROJETO PERFURAÇÃO'!$B:$B,0))="Production","P",IF(INDEX('PROJETO PERFURAÇÃO'!$P:$P,MATCH(MEDIÇÃO!D819,'PROJETO PERFURAÇÃO'!$B:$B,0))="Buffer","B",IF(INDEX('PROJETO PERFURAÇÃO'!$P:$P,MATCH(MEDIÇÃO!D819,'PROJETO PERFURAÇÃO'!$B:$B,0))="Pre-Splitting","S"))),"")</f>
        <v/>
      </c>
      <c r="D819" s="14">
        <f t="shared" si="78"/>
        <v>1803</v>
      </c>
      <c r="E819" s="4" t="str">
        <f>IFERROR(INDEX('LEV R&amp;D'!$D:$D,MATCH(MEDIÇÃO!D819,'LEV R&amp;D'!$A:$A,0))-INDEX('PROJETO PERFURAÇÃO'!$AH:$AH,MATCH(MEDIÇÃO!D819,'PROJETO PERFURAÇÃO'!$B:$B,0)),"")</f>
        <v/>
      </c>
      <c r="F819" s="8" t="str">
        <f>IFERROR(INDEX('PROJETO PERFURAÇÃO'!$AN:$AN,MATCH(MEDIÇÃO!D819,'PROJETO PERFURAÇÃO'!$B:$B,0)),"")</f>
        <v/>
      </c>
      <c r="G819" s="3"/>
      <c r="H819" s="3"/>
      <c r="I819" s="3" t="str">
        <f>IFERROR(ROUND(INDEX('PROJETO PERFURAÇÃO'!$AB:$AB,MATCH(MEDIÇÃO!K819,'PROJETO PERFURAÇÃO'!$B:$B,0)),1)&amp;"''","")</f>
        <v/>
      </c>
      <c r="J819" s="3" t="str">
        <f>IFERROR(IF(INDEX('PROJETO PERFURAÇÃO'!$P:$P,MATCH(MEDIÇÃO!K819,'PROJETO PERFURAÇÃO'!$B:$B,0))="Production","P",IF(INDEX('PROJETO PERFURAÇÃO'!$P:$P,MATCH(MEDIÇÃO!K819,'PROJETO PERFURAÇÃO'!$B:$B,0))="Buffer","B",IF(INDEX('PROJETO PERFURAÇÃO'!$P:$P,MATCH(MEDIÇÃO!K819,'PROJETO PERFURAÇÃO'!$B:$B,0))="Pre-Splitting","S"))),"")</f>
        <v/>
      </c>
      <c r="K819" s="14">
        <f t="shared" si="79"/>
        <v>1826</v>
      </c>
      <c r="L819" s="4" t="str">
        <f>IFERROR(INDEX('LEV R&amp;D'!$D:$D,MATCH(MEDIÇÃO!K819,'LEV R&amp;D'!$A:$A,0))-INDEX('PROJETO PERFURAÇÃO'!$AH:$AH,MATCH(MEDIÇÃO!K819,'PROJETO PERFURAÇÃO'!$B:$B,0)),"")</f>
        <v/>
      </c>
      <c r="M819" s="8" t="str">
        <f>IFERROR(INDEX('PROJETO PERFURAÇÃO'!$AN:$AN,MATCH(MEDIÇÃO!K819,'PROJETO PERFURAÇÃO'!$B:$B,0)),"")</f>
        <v/>
      </c>
      <c r="N819" s="3"/>
      <c r="O819" s="3"/>
      <c r="P819" s="3" t="str">
        <f>IFERROR(ROUND(INDEX('PROJETO PERFURAÇÃO'!$AB:$AB,MATCH(MEDIÇÃO!R819,'PROJETO PERFURAÇÃO'!$B:$B,0)),1)&amp;"''","")</f>
        <v/>
      </c>
      <c r="Q819" s="3" t="str">
        <f>IFERROR(IF(INDEX('PROJETO PERFURAÇÃO'!$P:$P,MATCH(MEDIÇÃO!R819,'PROJETO PERFURAÇÃO'!$B:$B,0))="Production","P",IF(INDEX('PROJETO PERFURAÇÃO'!$P:$P,MATCH(MEDIÇÃO!R819,'PROJETO PERFURAÇÃO'!$B:$B,0))="Buffer","B",IF(INDEX('PROJETO PERFURAÇÃO'!$P:$P,MATCH(MEDIÇÃO!R819,'PROJETO PERFURAÇÃO'!$B:$B,0))="Pre-Splitting","S"))),"")</f>
        <v/>
      </c>
      <c r="R819" s="14">
        <f t="shared" si="80"/>
        <v>1849</v>
      </c>
      <c r="S819" s="4" t="str">
        <f>IFERROR(INDEX('LEV R&amp;D'!$D:$D,MATCH(MEDIÇÃO!R819,'LEV R&amp;D'!$A:$A,0))-INDEX('PROJETO PERFURAÇÃO'!$AH:$AH,MATCH(MEDIÇÃO!R819,'PROJETO PERFURAÇÃO'!$B:$B,0)),"")</f>
        <v/>
      </c>
      <c r="T819" s="8" t="str">
        <f>IFERROR(INDEX('PROJETO PERFURAÇÃO'!$AN:$AN,MATCH(MEDIÇÃO!R819,'PROJETO PERFURAÇÃO'!$B:$B,0)),"")</f>
        <v/>
      </c>
      <c r="U819" s="3"/>
      <c r="V819" s="3"/>
    </row>
    <row r="820" spans="2:22" ht="45" customHeight="1" x14ac:dyDescent="0.25">
      <c r="B820" s="3" t="str">
        <f>IFERROR(ROUND(INDEX('PROJETO PERFURAÇÃO'!$AB:$AB,MATCH(MEDIÇÃO!D820,'PROJETO PERFURAÇÃO'!$B:$B,0)),1)&amp;"''","")</f>
        <v/>
      </c>
      <c r="C820" s="3" t="str">
        <f>IFERROR(IF(INDEX('PROJETO PERFURAÇÃO'!$P:$P,MATCH(MEDIÇÃO!D820,'PROJETO PERFURAÇÃO'!$B:$B,0))="Production","P",IF(INDEX('PROJETO PERFURAÇÃO'!$P:$P,MATCH(MEDIÇÃO!D820,'PROJETO PERFURAÇÃO'!$B:$B,0))="Buffer","B",IF(INDEX('PROJETO PERFURAÇÃO'!$P:$P,MATCH(MEDIÇÃO!D820,'PROJETO PERFURAÇÃO'!$B:$B,0))="Pre-Splitting","S"))),"")</f>
        <v/>
      </c>
      <c r="D820" s="14">
        <f t="shared" si="78"/>
        <v>1804</v>
      </c>
      <c r="E820" s="4" t="str">
        <f>IFERROR(INDEX('LEV R&amp;D'!$D:$D,MATCH(MEDIÇÃO!D820,'LEV R&amp;D'!$A:$A,0))-INDEX('PROJETO PERFURAÇÃO'!$AH:$AH,MATCH(MEDIÇÃO!D820,'PROJETO PERFURAÇÃO'!$B:$B,0)),"")</f>
        <v/>
      </c>
      <c r="F820" s="8" t="str">
        <f>IFERROR(INDEX('PROJETO PERFURAÇÃO'!$AN:$AN,MATCH(MEDIÇÃO!D820,'PROJETO PERFURAÇÃO'!$B:$B,0)),"")</f>
        <v/>
      </c>
      <c r="G820" s="3"/>
      <c r="H820" s="3"/>
      <c r="I820" s="3" t="str">
        <f>IFERROR(ROUND(INDEX('PROJETO PERFURAÇÃO'!$AB:$AB,MATCH(MEDIÇÃO!K820,'PROJETO PERFURAÇÃO'!$B:$B,0)),1)&amp;"''","")</f>
        <v/>
      </c>
      <c r="J820" s="3" t="str">
        <f>IFERROR(IF(INDEX('PROJETO PERFURAÇÃO'!$P:$P,MATCH(MEDIÇÃO!K820,'PROJETO PERFURAÇÃO'!$B:$B,0))="Production","P",IF(INDEX('PROJETO PERFURAÇÃO'!$P:$P,MATCH(MEDIÇÃO!K820,'PROJETO PERFURAÇÃO'!$B:$B,0))="Buffer","B",IF(INDEX('PROJETO PERFURAÇÃO'!$P:$P,MATCH(MEDIÇÃO!K820,'PROJETO PERFURAÇÃO'!$B:$B,0))="Pre-Splitting","S"))),"")</f>
        <v/>
      </c>
      <c r="K820" s="14">
        <f t="shared" si="79"/>
        <v>1827</v>
      </c>
      <c r="L820" s="4" t="str">
        <f>IFERROR(INDEX('LEV R&amp;D'!$D:$D,MATCH(MEDIÇÃO!K820,'LEV R&amp;D'!$A:$A,0))-INDEX('PROJETO PERFURAÇÃO'!$AH:$AH,MATCH(MEDIÇÃO!K820,'PROJETO PERFURAÇÃO'!$B:$B,0)),"")</f>
        <v/>
      </c>
      <c r="M820" s="8" t="str">
        <f>IFERROR(INDEX('PROJETO PERFURAÇÃO'!$AN:$AN,MATCH(MEDIÇÃO!K820,'PROJETO PERFURAÇÃO'!$B:$B,0)),"")</f>
        <v/>
      </c>
      <c r="N820" s="3"/>
      <c r="O820" s="3"/>
      <c r="P820" s="3" t="str">
        <f>IFERROR(ROUND(INDEX('PROJETO PERFURAÇÃO'!$AB:$AB,MATCH(MEDIÇÃO!R820,'PROJETO PERFURAÇÃO'!$B:$B,0)),1)&amp;"''","")</f>
        <v/>
      </c>
      <c r="Q820" s="3" t="str">
        <f>IFERROR(IF(INDEX('PROJETO PERFURAÇÃO'!$P:$P,MATCH(MEDIÇÃO!R820,'PROJETO PERFURAÇÃO'!$B:$B,0))="Production","P",IF(INDEX('PROJETO PERFURAÇÃO'!$P:$P,MATCH(MEDIÇÃO!R820,'PROJETO PERFURAÇÃO'!$B:$B,0))="Buffer","B",IF(INDEX('PROJETO PERFURAÇÃO'!$P:$P,MATCH(MEDIÇÃO!R820,'PROJETO PERFURAÇÃO'!$B:$B,0))="Pre-Splitting","S"))),"")</f>
        <v/>
      </c>
      <c r="R820" s="14">
        <f t="shared" si="80"/>
        <v>1850</v>
      </c>
      <c r="S820" s="4" t="str">
        <f>IFERROR(INDEX('LEV R&amp;D'!$D:$D,MATCH(MEDIÇÃO!R820,'LEV R&amp;D'!$A:$A,0))-INDEX('PROJETO PERFURAÇÃO'!$AH:$AH,MATCH(MEDIÇÃO!R820,'PROJETO PERFURAÇÃO'!$B:$B,0)),"")</f>
        <v/>
      </c>
      <c r="T820" s="8" t="str">
        <f>IFERROR(INDEX('PROJETO PERFURAÇÃO'!$AN:$AN,MATCH(MEDIÇÃO!R820,'PROJETO PERFURAÇÃO'!$B:$B,0)),"")</f>
        <v/>
      </c>
      <c r="U820" s="3"/>
      <c r="V820" s="3"/>
    </row>
    <row r="821" spans="2:22" ht="45" customHeight="1" x14ac:dyDescent="0.25">
      <c r="B821" s="3" t="str">
        <f>IFERROR(ROUND(INDEX('PROJETO PERFURAÇÃO'!$AB:$AB,MATCH(MEDIÇÃO!D821,'PROJETO PERFURAÇÃO'!$B:$B,0)),1)&amp;"''","")</f>
        <v/>
      </c>
      <c r="C821" s="3" t="str">
        <f>IFERROR(IF(INDEX('PROJETO PERFURAÇÃO'!$P:$P,MATCH(MEDIÇÃO!D821,'PROJETO PERFURAÇÃO'!$B:$B,0))="Production","P",IF(INDEX('PROJETO PERFURAÇÃO'!$P:$P,MATCH(MEDIÇÃO!D821,'PROJETO PERFURAÇÃO'!$B:$B,0))="Buffer","B",IF(INDEX('PROJETO PERFURAÇÃO'!$P:$P,MATCH(MEDIÇÃO!D821,'PROJETO PERFURAÇÃO'!$B:$B,0))="Pre-Splitting","S"))),"")</f>
        <v/>
      </c>
      <c r="D821" s="14">
        <f t="shared" si="78"/>
        <v>1805</v>
      </c>
      <c r="E821" s="4" t="str">
        <f>IFERROR(INDEX('LEV R&amp;D'!$D:$D,MATCH(MEDIÇÃO!D821,'LEV R&amp;D'!$A:$A,0))-INDEX('PROJETO PERFURAÇÃO'!$AH:$AH,MATCH(MEDIÇÃO!D821,'PROJETO PERFURAÇÃO'!$B:$B,0)),"")</f>
        <v/>
      </c>
      <c r="F821" s="8" t="str">
        <f>IFERROR(INDEX('PROJETO PERFURAÇÃO'!$AN:$AN,MATCH(MEDIÇÃO!D821,'PROJETO PERFURAÇÃO'!$B:$B,0)),"")</f>
        <v/>
      </c>
      <c r="G821" s="3"/>
      <c r="H821" s="3"/>
      <c r="I821" s="3" t="str">
        <f>IFERROR(ROUND(INDEX('PROJETO PERFURAÇÃO'!$AB:$AB,MATCH(MEDIÇÃO!K821,'PROJETO PERFURAÇÃO'!$B:$B,0)),1)&amp;"''","")</f>
        <v/>
      </c>
      <c r="J821" s="3" t="str">
        <f>IFERROR(IF(INDEX('PROJETO PERFURAÇÃO'!$P:$P,MATCH(MEDIÇÃO!K821,'PROJETO PERFURAÇÃO'!$B:$B,0))="Production","P",IF(INDEX('PROJETO PERFURAÇÃO'!$P:$P,MATCH(MEDIÇÃO!K821,'PROJETO PERFURAÇÃO'!$B:$B,0))="Buffer","B",IF(INDEX('PROJETO PERFURAÇÃO'!$P:$P,MATCH(MEDIÇÃO!K821,'PROJETO PERFURAÇÃO'!$B:$B,0))="Pre-Splitting","S"))),"")</f>
        <v/>
      </c>
      <c r="K821" s="14">
        <f t="shared" si="79"/>
        <v>1828</v>
      </c>
      <c r="L821" s="4" t="str">
        <f>IFERROR(INDEX('LEV R&amp;D'!$D:$D,MATCH(MEDIÇÃO!K821,'LEV R&amp;D'!$A:$A,0))-INDEX('PROJETO PERFURAÇÃO'!$AH:$AH,MATCH(MEDIÇÃO!K821,'PROJETO PERFURAÇÃO'!$B:$B,0)),"")</f>
        <v/>
      </c>
      <c r="M821" s="8" t="str">
        <f>IFERROR(INDEX('PROJETO PERFURAÇÃO'!$AN:$AN,MATCH(MEDIÇÃO!K821,'PROJETO PERFURAÇÃO'!$B:$B,0)),"")</f>
        <v/>
      </c>
      <c r="N821" s="3"/>
      <c r="O821" s="3"/>
      <c r="P821" s="3" t="str">
        <f>IFERROR(ROUND(INDEX('PROJETO PERFURAÇÃO'!$AB:$AB,MATCH(MEDIÇÃO!R821,'PROJETO PERFURAÇÃO'!$B:$B,0)),1)&amp;"''","")</f>
        <v/>
      </c>
      <c r="Q821" s="3" t="str">
        <f>IFERROR(IF(INDEX('PROJETO PERFURAÇÃO'!$P:$P,MATCH(MEDIÇÃO!R821,'PROJETO PERFURAÇÃO'!$B:$B,0))="Production","P",IF(INDEX('PROJETO PERFURAÇÃO'!$P:$P,MATCH(MEDIÇÃO!R821,'PROJETO PERFURAÇÃO'!$B:$B,0))="Buffer","B",IF(INDEX('PROJETO PERFURAÇÃO'!$P:$P,MATCH(MEDIÇÃO!R821,'PROJETO PERFURAÇÃO'!$B:$B,0))="Pre-Splitting","S"))),"")</f>
        <v/>
      </c>
      <c r="R821" s="14">
        <f t="shared" si="80"/>
        <v>1851</v>
      </c>
      <c r="S821" s="4" t="str">
        <f>IFERROR(INDEX('LEV R&amp;D'!$D:$D,MATCH(MEDIÇÃO!R821,'LEV R&amp;D'!$A:$A,0))-INDEX('PROJETO PERFURAÇÃO'!$AH:$AH,MATCH(MEDIÇÃO!R821,'PROJETO PERFURAÇÃO'!$B:$B,0)),"")</f>
        <v/>
      </c>
      <c r="T821" s="8" t="str">
        <f>IFERROR(INDEX('PROJETO PERFURAÇÃO'!$AN:$AN,MATCH(MEDIÇÃO!R821,'PROJETO PERFURAÇÃO'!$B:$B,0)),"")</f>
        <v/>
      </c>
      <c r="U821" s="3"/>
      <c r="V821" s="3"/>
    </row>
    <row r="822" spans="2:22" ht="45" customHeight="1" x14ac:dyDescent="0.25">
      <c r="B822" s="3" t="str">
        <f>IFERROR(ROUND(INDEX('PROJETO PERFURAÇÃO'!$AB:$AB,MATCH(MEDIÇÃO!D822,'PROJETO PERFURAÇÃO'!$B:$B,0)),1)&amp;"''","")</f>
        <v/>
      </c>
      <c r="C822" s="3" t="str">
        <f>IFERROR(IF(INDEX('PROJETO PERFURAÇÃO'!$P:$P,MATCH(MEDIÇÃO!D822,'PROJETO PERFURAÇÃO'!$B:$B,0))="Production","P",IF(INDEX('PROJETO PERFURAÇÃO'!$P:$P,MATCH(MEDIÇÃO!D822,'PROJETO PERFURAÇÃO'!$B:$B,0))="Buffer","B",IF(INDEX('PROJETO PERFURAÇÃO'!$P:$P,MATCH(MEDIÇÃO!D822,'PROJETO PERFURAÇÃO'!$B:$B,0))="Pre-Splitting","S"))),"")</f>
        <v/>
      </c>
      <c r="D822" s="14">
        <f t="shared" si="78"/>
        <v>1806</v>
      </c>
      <c r="E822" s="4" t="str">
        <f>IFERROR(INDEX('LEV R&amp;D'!$D:$D,MATCH(MEDIÇÃO!D822,'LEV R&amp;D'!$A:$A,0))-INDEX('PROJETO PERFURAÇÃO'!$AH:$AH,MATCH(MEDIÇÃO!D822,'PROJETO PERFURAÇÃO'!$B:$B,0)),"")</f>
        <v/>
      </c>
      <c r="F822" s="8" t="str">
        <f>IFERROR(INDEX('PROJETO PERFURAÇÃO'!$AN:$AN,MATCH(MEDIÇÃO!D822,'PROJETO PERFURAÇÃO'!$B:$B,0)),"")</f>
        <v/>
      </c>
      <c r="G822" s="3"/>
      <c r="H822" s="3"/>
      <c r="I822" s="3" t="str">
        <f>IFERROR(ROUND(INDEX('PROJETO PERFURAÇÃO'!$AB:$AB,MATCH(MEDIÇÃO!K822,'PROJETO PERFURAÇÃO'!$B:$B,0)),1)&amp;"''","")</f>
        <v/>
      </c>
      <c r="J822" s="3" t="str">
        <f>IFERROR(IF(INDEX('PROJETO PERFURAÇÃO'!$P:$P,MATCH(MEDIÇÃO!K822,'PROJETO PERFURAÇÃO'!$B:$B,0))="Production","P",IF(INDEX('PROJETO PERFURAÇÃO'!$P:$P,MATCH(MEDIÇÃO!K822,'PROJETO PERFURAÇÃO'!$B:$B,0))="Buffer","B",IF(INDEX('PROJETO PERFURAÇÃO'!$P:$P,MATCH(MEDIÇÃO!K822,'PROJETO PERFURAÇÃO'!$B:$B,0))="Pre-Splitting","S"))),"")</f>
        <v/>
      </c>
      <c r="K822" s="14">
        <f t="shared" si="79"/>
        <v>1829</v>
      </c>
      <c r="L822" s="4" t="str">
        <f>IFERROR(INDEX('LEV R&amp;D'!$D:$D,MATCH(MEDIÇÃO!K822,'LEV R&amp;D'!$A:$A,0))-INDEX('PROJETO PERFURAÇÃO'!$AH:$AH,MATCH(MEDIÇÃO!K822,'PROJETO PERFURAÇÃO'!$B:$B,0)),"")</f>
        <v/>
      </c>
      <c r="M822" s="8" t="str">
        <f>IFERROR(INDEX('PROJETO PERFURAÇÃO'!$AN:$AN,MATCH(MEDIÇÃO!K822,'PROJETO PERFURAÇÃO'!$B:$B,0)),"")</f>
        <v/>
      </c>
      <c r="N822" s="3"/>
      <c r="O822" s="3"/>
      <c r="P822" s="3" t="str">
        <f>IFERROR(ROUND(INDEX('PROJETO PERFURAÇÃO'!$AB:$AB,MATCH(MEDIÇÃO!R822,'PROJETO PERFURAÇÃO'!$B:$B,0)),1)&amp;"''","")</f>
        <v/>
      </c>
      <c r="Q822" s="3" t="str">
        <f>IFERROR(IF(INDEX('PROJETO PERFURAÇÃO'!$P:$P,MATCH(MEDIÇÃO!R822,'PROJETO PERFURAÇÃO'!$B:$B,0))="Production","P",IF(INDEX('PROJETO PERFURAÇÃO'!$P:$P,MATCH(MEDIÇÃO!R822,'PROJETO PERFURAÇÃO'!$B:$B,0))="Buffer","B",IF(INDEX('PROJETO PERFURAÇÃO'!$P:$P,MATCH(MEDIÇÃO!R822,'PROJETO PERFURAÇÃO'!$B:$B,0))="Pre-Splitting","S"))),"")</f>
        <v/>
      </c>
      <c r="R822" s="14">
        <f t="shared" si="80"/>
        <v>1852</v>
      </c>
      <c r="S822" s="4" t="str">
        <f>IFERROR(INDEX('LEV R&amp;D'!$D:$D,MATCH(MEDIÇÃO!R822,'LEV R&amp;D'!$A:$A,0))-INDEX('PROJETO PERFURAÇÃO'!$AH:$AH,MATCH(MEDIÇÃO!R822,'PROJETO PERFURAÇÃO'!$B:$B,0)),"")</f>
        <v/>
      </c>
      <c r="T822" s="8" t="str">
        <f>IFERROR(INDEX('PROJETO PERFURAÇÃO'!$AN:$AN,MATCH(MEDIÇÃO!R822,'PROJETO PERFURAÇÃO'!$B:$B,0)),"")</f>
        <v/>
      </c>
      <c r="U822" s="3"/>
      <c r="V822" s="3"/>
    </row>
    <row r="823" spans="2:22" ht="45" customHeight="1" x14ac:dyDescent="0.25">
      <c r="B823" s="3" t="str">
        <f>IFERROR(ROUND(INDEX('PROJETO PERFURAÇÃO'!$AB:$AB,MATCH(MEDIÇÃO!D823,'PROJETO PERFURAÇÃO'!$B:$B,0)),1)&amp;"''","")</f>
        <v/>
      </c>
      <c r="C823" s="3" t="str">
        <f>IFERROR(IF(INDEX('PROJETO PERFURAÇÃO'!$P:$P,MATCH(MEDIÇÃO!D823,'PROJETO PERFURAÇÃO'!$B:$B,0))="Production","P",IF(INDEX('PROJETO PERFURAÇÃO'!$P:$P,MATCH(MEDIÇÃO!D823,'PROJETO PERFURAÇÃO'!$B:$B,0))="Buffer","B",IF(INDEX('PROJETO PERFURAÇÃO'!$P:$P,MATCH(MEDIÇÃO!D823,'PROJETO PERFURAÇÃO'!$B:$B,0))="Pre-Splitting","S"))),"")</f>
        <v/>
      </c>
      <c r="D823" s="14">
        <f t="shared" si="78"/>
        <v>1807</v>
      </c>
      <c r="E823" s="4" t="str">
        <f>IFERROR(INDEX('LEV R&amp;D'!$D:$D,MATCH(MEDIÇÃO!D823,'LEV R&amp;D'!$A:$A,0))-INDEX('PROJETO PERFURAÇÃO'!$AH:$AH,MATCH(MEDIÇÃO!D823,'PROJETO PERFURAÇÃO'!$B:$B,0)),"")</f>
        <v/>
      </c>
      <c r="F823" s="8" t="str">
        <f>IFERROR(INDEX('PROJETO PERFURAÇÃO'!$AN:$AN,MATCH(MEDIÇÃO!D823,'PROJETO PERFURAÇÃO'!$B:$B,0)),"")</f>
        <v/>
      </c>
      <c r="G823" s="3"/>
      <c r="H823" s="3"/>
      <c r="I823" s="3" t="str">
        <f>IFERROR(ROUND(INDEX('PROJETO PERFURAÇÃO'!$AB:$AB,MATCH(MEDIÇÃO!K823,'PROJETO PERFURAÇÃO'!$B:$B,0)),1)&amp;"''","")</f>
        <v/>
      </c>
      <c r="J823" s="3" t="str">
        <f>IFERROR(IF(INDEX('PROJETO PERFURAÇÃO'!$P:$P,MATCH(MEDIÇÃO!K823,'PROJETO PERFURAÇÃO'!$B:$B,0))="Production","P",IF(INDEX('PROJETO PERFURAÇÃO'!$P:$P,MATCH(MEDIÇÃO!K823,'PROJETO PERFURAÇÃO'!$B:$B,0))="Buffer","B",IF(INDEX('PROJETO PERFURAÇÃO'!$P:$P,MATCH(MEDIÇÃO!K823,'PROJETO PERFURAÇÃO'!$B:$B,0))="Pre-Splitting","S"))),"")</f>
        <v/>
      </c>
      <c r="K823" s="14">
        <f t="shared" si="79"/>
        <v>1830</v>
      </c>
      <c r="L823" s="4" t="str">
        <f>IFERROR(INDEX('LEV R&amp;D'!$D:$D,MATCH(MEDIÇÃO!K823,'LEV R&amp;D'!$A:$A,0))-INDEX('PROJETO PERFURAÇÃO'!$AH:$AH,MATCH(MEDIÇÃO!K823,'PROJETO PERFURAÇÃO'!$B:$B,0)),"")</f>
        <v/>
      </c>
      <c r="M823" s="8" t="str">
        <f>IFERROR(INDEX('PROJETO PERFURAÇÃO'!$AN:$AN,MATCH(MEDIÇÃO!K823,'PROJETO PERFURAÇÃO'!$B:$B,0)),"")</f>
        <v/>
      </c>
      <c r="N823" s="3"/>
      <c r="O823" s="3"/>
      <c r="P823" s="3" t="str">
        <f>IFERROR(ROUND(INDEX('PROJETO PERFURAÇÃO'!$AB:$AB,MATCH(MEDIÇÃO!R823,'PROJETO PERFURAÇÃO'!$B:$B,0)),1)&amp;"''","")</f>
        <v/>
      </c>
      <c r="Q823" s="3" t="str">
        <f>IFERROR(IF(INDEX('PROJETO PERFURAÇÃO'!$P:$P,MATCH(MEDIÇÃO!R823,'PROJETO PERFURAÇÃO'!$B:$B,0))="Production","P",IF(INDEX('PROJETO PERFURAÇÃO'!$P:$P,MATCH(MEDIÇÃO!R823,'PROJETO PERFURAÇÃO'!$B:$B,0))="Buffer","B",IF(INDEX('PROJETO PERFURAÇÃO'!$P:$P,MATCH(MEDIÇÃO!R823,'PROJETO PERFURAÇÃO'!$B:$B,0))="Pre-Splitting","S"))),"")</f>
        <v/>
      </c>
      <c r="R823" s="14">
        <f t="shared" si="80"/>
        <v>1853</v>
      </c>
      <c r="S823" s="4" t="str">
        <f>IFERROR(INDEX('LEV R&amp;D'!$D:$D,MATCH(MEDIÇÃO!R823,'LEV R&amp;D'!$A:$A,0))-INDEX('PROJETO PERFURAÇÃO'!$AH:$AH,MATCH(MEDIÇÃO!R823,'PROJETO PERFURAÇÃO'!$B:$B,0)),"")</f>
        <v/>
      </c>
      <c r="T823" s="8" t="str">
        <f>IFERROR(INDEX('PROJETO PERFURAÇÃO'!$AN:$AN,MATCH(MEDIÇÃO!R823,'PROJETO PERFURAÇÃO'!$B:$B,0)),"")</f>
        <v/>
      </c>
      <c r="U823" s="3"/>
      <c r="V823" s="3"/>
    </row>
    <row r="824" spans="2:22" ht="45" customHeight="1" x14ac:dyDescent="0.25">
      <c r="B824" s="3" t="str">
        <f>IFERROR(ROUND(INDEX('PROJETO PERFURAÇÃO'!$AB:$AB,MATCH(MEDIÇÃO!D824,'PROJETO PERFURAÇÃO'!$B:$B,0)),1)&amp;"''","")</f>
        <v/>
      </c>
      <c r="C824" s="3" t="str">
        <f>IFERROR(IF(INDEX('PROJETO PERFURAÇÃO'!$P:$P,MATCH(MEDIÇÃO!D824,'PROJETO PERFURAÇÃO'!$B:$B,0))="Production","P",IF(INDEX('PROJETO PERFURAÇÃO'!$P:$P,MATCH(MEDIÇÃO!D824,'PROJETO PERFURAÇÃO'!$B:$B,0))="Buffer","B",IF(INDEX('PROJETO PERFURAÇÃO'!$P:$P,MATCH(MEDIÇÃO!D824,'PROJETO PERFURAÇÃO'!$B:$B,0))="Pre-Splitting","S"))),"")</f>
        <v/>
      </c>
      <c r="D824" s="14">
        <f t="shared" si="78"/>
        <v>1808</v>
      </c>
      <c r="E824" s="4" t="str">
        <f>IFERROR(INDEX('LEV R&amp;D'!$D:$D,MATCH(MEDIÇÃO!D824,'LEV R&amp;D'!$A:$A,0))-INDEX('PROJETO PERFURAÇÃO'!$AH:$AH,MATCH(MEDIÇÃO!D824,'PROJETO PERFURAÇÃO'!$B:$B,0)),"")</f>
        <v/>
      </c>
      <c r="F824" s="8" t="str">
        <f>IFERROR(INDEX('PROJETO PERFURAÇÃO'!$AN:$AN,MATCH(MEDIÇÃO!D824,'PROJETO PERFURAÇÃO'!$B:$B,0)),"")</f>
        <v/>
      </c>
      <c r="G824" s="3"/>
      <c r="H824" s="3"/>
      <c r="I824" s="3" t="str">
        <f>IFERROR(ROUND(INDEX('PROJETO PERFURAÇÃO'!$AB:$AB,MATCH(MEDIÇÃO!K824,'PROJETO PERFURAÇÃO'!$B:$B,0)),1)&amp;"''","")</f>
        <v/>
      </c>
      <c r="J824" s="3" t="str">
        <f>IFERROR(IF(INDEX('PROJETO PERFURAÇÃO'!$P:$P,MATCH(MEDIÇÃO!K824,'PROJETO PERFURAÇÃO'!$B:$B,0))="Production","P",IF(INDEX('PROJETO PERFURAÇÃO'!$P:$P,MATCH(MEDIÇÃO!K824,'PROJETO PERFURAÇÃO'!$B:$B,0))="Buffer","B",IF(INDEX('PROJETO PERFURAÇÃO'!$P:$P,MATCH(MEDIÇÃO!K824,'PROJETO PERFURAÇÃO'!$B:$B,0))="Pre-Splitting","S"))),"")</f>
        <v/>
      </c>
      <c r="K824" s="14">
        <f t="shared" si="79"/>
        <v>1831</v>
      </c>
      <c r="L824" s="4" t="str">
        <f>IFERROR(INDEX('LEV R&amp;D'!$D:$D,MATCH(MEDIÇÃO!K824,'LEV R&amp;D'!$A:$A,0))-INDEX('PROJETO PERFURAÇÃO'!$AH:$AH,MATCH(MEDIÇÃO!K824,'PROJETO PERFURAÇÃO'!$B:$B,0)),"")</f>
        <v/>
      </c>
      <c r="M824" s="8" t="str">
        <f>IFERROR(INDEX('PROJETO PERFURAÇÃO'!$AN:$AN,MATCH(MEDIÇÃO!K824,'PROJETO PERFURAÇÃO'!$B:$B,0)),"")</f>
        <v/>
      </c>
      <c r="N824" s="3"/>
      <c r="O824" s="3"/>
      <c r="P824" s="3" t="str">
        <f>IFERROR(ROUND(INDEX('PROJETO PERFURAÇÃO'!$AB:$AB,MATCH(MEDIÇÃO!R824,'PROJETO PERFURAÇÃO'!$B:$B,0)),1)&amp;"''","")</f>
        <v/>
      </c>
      <c r="Q824" s="3" t="str">
        <f>IFERROR(IF(INDEX('PROJETO PERFURAÇÃO'!$P:$P,MATCH(MEDIÇÃO!R824,'PROJETO PERFURAÇÃO'!$B:$B,0))="Production","P",IF(INDEX('PROJETO PERFURAÇÃO'!$P:$P,MATCH(MEDIÇÃO!R824,'PROJETO PERFURAÇÃO'!$B:$B,0))="Buffer","B",IF(INDEX('PROJETO PERFURAÇÃO'!$P:$P,MATCH(MEDIÇÃO!R824,'PROJETO PERFURAÇÃO'!$B:$B,0))="Pre-Splitting","S"))),"")</f>
        <v/>
      </c>
      <c r="R824" s="14">
        <f t="shared" si="80"/>
        <v>1854</v>
      </c>
      <c r="S824" s="4" t="str">
        <f>IFERROR(INDEX('LEV R&amp;D'!$D:$D,MATCH(MEDIÇÃO!R824,'LEV R&amp;D'!$A:$A,0))-INDEX('PROJETO PERFURAÇÃO'!$AH:$AH,MATCH(MEDIÇÃO!R824,'PROJETO PERFURAÇÃO'!$B:$B,0)),"")</f>
        <v/>
      </c>
      <c r="T824" s="8" t="str">
        <f>IFERROR(INDEX('PROJETO PERFURAÇÃO'!$AN:$AN,MATCH(MEDIÇÃO!R824,'PROJETO PERFURAÇÃO'!$B:$B,0)),"")</f>
        <v/>
      </c>
      <c r="U824" s="3"/>
      <c r="V824" s="3"/>
    </row>
    <row r="825" spans="2:22" ht="45" customHeight="1" x14ac:dyDescent="0.25">
      <c r="B825" s="3" t="str">
        <f>IFERROR(ROUND(INDEX('PROJETO PERFURAÇÃO'!$AB:$AB,MATCH(MEDIÇÃO!D825,'PROJETO PERFURAÇÃO'!$B:$B,0)),1)&amp;"''","")</f>
        <v/>
      </c>
      <c r="C825" s="3" t="str">
        <f>IFERROR(IF(INDEX('PROJETO PERFURAÇÃO'!$P:$P,MATCH(MEDIÇÃO!D825,'PROJETO PERFURAÇÃO'!$B:$B,0))="Production","P",IF(INDEX('PROJETO PERFURAÇÃO'!$P:$P,MATCH(MEDIÇÃO!D825,'PROJETO PERFURAÇÃO'!$B:$B,0))="Buffer","B",IF(INDEX('PROJETO PERFURAÇÃO'!$P:$P,MATCH(MEDIÇÃO!D825,'PROJETO PERFURAÇÃO'!$B:$B,0))="Pre-Splitting","S"))),"")</f>
        <v/>
      </c>
      <c r="D825" s="14">
        <f t="shared" si="78"/>
        <v>1809</v>
      </c>
      <c r="E825" s="4" t="str">
        <f>IFERROR(INDEX('LEV R&amp;D'!$D:$D,MATCH(MEDIÇÃO!D825,'LEV R&amp;D'!$A:$A,0))-INDEX('PROJETO PERFURAÇÃO'!$AH:$AH,MATCH(MEDIÇÃO!D825,'PROJETO PERFURAÇÃO'!$B:$B,0)),"")</f>
        <v/>
      </c>
      <c r="F825" s="8" t="str">
        <f>IFERROR(INDEX('PROJETO PERFURAÇÃO'!$AN:$AN,MATCH(MEDIÇÃO!D825,'PROJETO PERFURAÇÃO'!$B:$B,0)),"")</f>
        <v/>
      </c>
      <c r="G825" s="3"/>
      <c r="H825" s="3"/>
      <c r="I825" s="3" t="str">
        <f>IFERROR(ROUND(INDEX('PROJETO PERFURAÇÃO'!$AB:$AB,MATCH(MEDIÇÃO!K825,'PROJETO PERFURAÇÃO'!$B:$B,0)),1)&amp;"''","")</f>
        <v/>
      </c>
      <c r="J825" s="3" t="str">
        <f>IFERROR(IF(INDEX('PROJETO PERFURAÇÃO'!$P:$P,MATCH(MEDIÇÃO!K825,'PROJETO PERFURAÇÃO'!$B:$B,0))="Production","P",IF(INDEX('PROJETO PERFURAÇÃO'!$P:$P,MATCH(MEDIÇÃO!K825,'PROJETO PERFURAÇÃO'!$B:$B,0))="Buffer","B",IF(INDEX('PROJETO PERFURAÇÃO'!$P:$P,MATCH(MEDIÇÃO!K825,'PROJETO PERFURAÇÃO'!$B:$B,0))="Pre-Splitting","S"))),"")</f>
        <v/>
      </c>
      <c r="K825" s="14">
        <f t="shared" si="79"/>
        <v>1832</v>
      </c>
      <c r="L825" s="4" t="str">
        <f>IFERROR(INDEX('LEV R&amp;D'!$D:$D,MATCH(MEDIÇÃO!K825,'LEV R&amp;D'!$A:$A,0))-INDEX('PROJETO PERFURAÇÃO'!$AH:$AH,MATCH(MEDIÇÃO!K825,'PROJETO PERFURAÇÃO'!$B:$B,0)),"")</f>
        <v/>
      </c>
      <c r="M825" s="8" t="str">
        <f>IFERROR(INDEX('PROJETO PERFURAÇÃO'!$AN:$AN,MATCH(MEDIÇÃO!K825,'PROJETO PERFURAÇÃO'!$B:$B,0)),"")</f>
        <v/>
      </c>
      <c r="N825" s="3"/>
      <c r="O825" s="3"/>
      <c r="P825" s="3" t="str">
        <f>IFERROR(ROUND(INDEX('PROJETO PERFURAÇÃO'!$AB:$AB,MATCH(MEDIÇÃO!R825,'PROJETO PERFURAÇÃO'!$B:$B,0)),1)&amp;"''","")</f>
        <v/>
      </c>
      <c r="Q825" s="3" t="str">
        <f>IFERROR(IF(INDEX('PROJETO PERFURAÇÃO'!$P:$P,MATCH(MEDIÇÃO!R825,'PROJETO PERFURAÇÃO'!$B:$B,0))="Production","P",IF(INDEX('PROJETO PERFURAÇÃO'!$P:$P,MATCH(MEDIÇÃO!R825,'PROJETO PERFURAÇÃO'!$B:$B,0))="Buffer","B",IF(INDEX('PROJETO PERFURAÇÃO'!$P:$P,MATCH(MEDIÇÃO!R825,'PROJETO PERFURAÇÃO'!$B:$B,0))="Pre-Splitting","S"))),"")</f>
        <v/>
      </c>
      <c r="R825" s="14">
        <f t="shared" si="80"/>
        <v>1855</v>
      </c>
      <c r="S825" s="4" t="str">
        <f>IFERROR(INDEX('LEV R&amp;D'!$D:$D,MATCH(MEDIÇÃO!R825,'LEV R&amp;D'!$A:$A,0))-INDEX('PROJETO PERFURAÇÃO'!$AH:$AH,MATCH(MEDIÇÃO!R825,'PROJETO PERFURAÇÃO'!$B:$B,0)),"")</f>
        <v/>
      </c>
      <c r="T825" s="8" t="str">
        <f>IFERROR(INDEX('PROJETO PERFURAÇÃO'!$AN:$AN,MATCH(MEDIÇÃO!R825,'PROJETO PERFURAÇÃO'!$B:$B,0)),"")</f>
        <v/>
      </c>
      <c r="U825" s="3"/>
      <c r="V825" s="3"/>
    </row>
    <row r="826" spans="2:22" ht="45" customHeight="1" x14ac:dyDescent="0.25">
      <c r="B826" s="3" t="str">
        <f>IFERROR(ROUND(INDEX('PROJETO PERFURAÇÃO'!$AB:$AB,MATCH(MEDIÇÃO!D826,'PROJETO PERFURAÇÃO'!$B:$B,0)),1)&amp;"''","")</f>
        <v/>
      </c>
      <c r="C826" s="3" t="str">
        <f>IFERROR(IF(INDEX('PROJETO PERFURAÇÃO'!$P:$P,MATCH(MEDIÇÃO!D826,'PROJETO PERFURAÇÃO'!$B:$B,0))="Production","P",IF(INDEX('PROJETO PERFURAÇÃO'!$P:$P,MATCH(MEDIÇÃO!D826,'PROJETO PERFURAÇÃO'!$B:$B,0))="Buffer","B",IF(INDEX('PROJETO PERFURAÇÃO'!$P:$P,MATCH(MEDIÇÃO!D826,'PROJETO PERFURAÇÃO'!$B:$B,0))="Pre-Splitting","S"))),"")</f>
        <v/>
      </c>
      <c r="D826" s="14">
        <f t="shared" si="78"/>
        <v>1810</v>
      </c>
      <c r="E826" s="4" t="str">
        <f>IFERROR(INDEX('LEV R&amp;D'!$D:$D,MATCH(MEDIÇÃO!D826,'LEV R&amp;D'!$A:$A,0))-INDEX('PROJETO PERFURAÇÃO'!$AH:$AH,MATCH(MEDIÇÃO!D826,'PROJETO PERFURAÇÃO'!$B:$B,0)),"")</f>
        <v/>
      </c>
      <c r="F826" s="8" t="str">
        <f>IFERROR(INDEX('PROJETO PERFURAÇÃO'!$AN:$AN,MATCH(MEDIÇÃO!D826,'PROJETO PERFURAÇÃO'!$B:$B,0)),"")</f>
        <v/>
      </c>
      <c r="G826" s="3"/>
      <c r="H826" s="3"/>
      <c r="I826" s="3" t="str">
        <f>IFERROR(ROUND(INDEX('PROJETO PERFURAÇÃO'!$AB:$AB,MATCH(MEDIÇÃO!K826,'PROJETO PERFURAÇÃO'!$B:$B,0)),1)&amp;"''","")</f>
        <v/>
      </c>
      <c r="J826" s="3" t="str">
        <f>IFERROR(IF(INDEX('PROJETO PERFURAÇÃO'!$P:$P,MATCH(MEDIÇÃO!K826,'PROJETO PERFURAÇÃO'!$B:$B,0))="Production","P",IF(INDEX('PROJETO PERFURAÇÃO'!$P:$P,MATCH(MEDIÇÃO!K826,'PROJETO PERFURAÇÃO'!$B:$B,0))="Buffer","B",IF(INDEX('PROJETO PERFURAÇÃO'!$P:$P,MATCH(MEDIÇÃO!K826,'PROJETO PERFURAÇÃO'!$B:$B,0))="Pre-Splitting","S"))),"")</f>
        <v/>
      </c>
      <c r="K826" s="14">
        <f t="shared" si="79"/>
        <v>1833</v>
      </c>
      <c r="L826" s="4" t="str">
        <f>IFERROR(INDEX('LEV R&amp;D'!$D:$D,MATCH(MEDIÇÃO!K826,'LEV R&amp;D'!$A:$A,0))-INDEX('PROJETO PERFURAÇÃO'!$AH:$AH,MATCH(MEDIÇÃO!K826,'PROJETO PERFURAÇÃO'!$B:$B,0)),"")</f>
        <v/>
      </c>
      <c r="M826" s="8" t="str">
        <f>IFERROR(INDEX('PROJETO PERFURAÇÃO'!$AN:$AN,MATCH(MEDIÇÃO!K826,'PROJETO PERFURAÇÃO'!$B:$B,0)),"")</f>
        <v/>
      </c>
      <c r="N826" s="3"/>
      <c r="O826" s="3"/>
      <c r="P826" s="3" t="str">
        <f>IFERROR(ROUND(INDEX('PROJETO PERFURAÇÃO'!$AB:$AB,MATCH(MEDIÇÃO!R826,'PROJETO PERFURAÇÃO'!$B:$B,0)),1)&amp;"''","")</f>
        <v/>
      </c>
      <c r="Q826" s="3" t="str">
        <f>IFERROR(IF(INDEX('PROJETO PERFURAÇÃO'!$P:$P,MATCH(MEDIÇÃO!R826,'PROJETO PERFURAÇÃO'!$B:$B,0))="Production","P",IF(INDEX('PROJETO PERFURAÇÃO'!$P:$P,MATCH(MEDIÇÃO!R826,'PROJETO PERFURAÇÃO'!$B:$B,0))="Buffer","B",IF(INDEX('PROJETO PERFURAÇÃO'!$P:$P,MATCH(MEDIÇÃO!R826,'PROJETO PERFURAÇÃO'!$B:$B,0))="Pre-Splitting","S"))),"")</f>
        <v/>
      </c>
      <c r="R826" s="14">
        <f t="shared" si="80"/>
        <v>1856</v>
      </c>
      <c r="S826" s="4" t="str">
        <f>IFERROR(INDEX('LEV R&amp;D'!$D:$D,MATCH(MEDIÇÃO!R826,'LEV R&amp;D'!$A:$A,0))-INDEX('PROJETO PERFURAÇÃO'!$AH:$AH,MATCH(MEDIÇÃO!R826,'PROJETO PERFURAÇÃO'!$B:$B,0)),"")</f>
        <v/>
      </c>
      <c r="T826" s="8" t="str">
        <f>IFERROR(INDEX('PROJETO PERFURAÇÃO'!$AN:$AN,MATCH(MEDIÇÃO!R826,'PROJETO PERFURAÇÃO'!$B:$B,0)),"")</f>
        <v/>
      </c>
      <c r="U826" s="3"/>
      <c r="V826" s="3"/>
    </row>
    <row r="827" spans="2:22" ht="45" customHeight="1" x14ac:dyDescent="0.25">
      <c r="B827" s="3" t="str">
        <f>IFERROR(ROUND(INDEX('PROJETO PERFURAÇÃO'!$AB:$AB,MATCH(MEDIÇÃO!D827,'PROJETO PERFURAÇÃO'!$B:$B,0)),1)&amp;"''","")</f>
        <v/>
      </c>
      <c r="C827" s="3" t="str">
        <f>IFERROR(IF(INDEX('PROJETO PERFURAÇÃO'!$P:$P,MATCH(MEDIÇÃO!D827,'PROJETO PERFURAÇÃO'!$B:$B,0))="Production","P",IF(INDEX('PROJETO PERFURAÇÃO'!$P:$P,MATCH(MEDIÇÃO!D827,'PROJETO PERFURAÇÃO'!$B:$B,0))="Buffer","B",IF(INDEX('PROJETO PERFURAÇÃO'!$P:$P,MATCH(MEDIÇÃO!D827,'PROJETO PERFURAÇÃO'!$B:$B,0))="Pre-Splitting","S"))),"")</f>
        <v/>
      </c>
      <c r="D827" s="14">
        <f t="shared" si="78"/>
        <v>1811</v>
      </c>
      <c r="E827" s="4" t="str">
        <f>IFERROR(INDEX('LEV R&amp;D'!$D:$D,MATCH(MEDIÇÃO!D827,'LEV R&amp;D'!$A:$A,0))-INDEX('PROJETO PERFURAÇÃO'!$AH:$AH,MATCH(MEDIÇÃO!D827,'PROJETO PERFURAÇÃO'!$B:$B,0)),"")</f>
        <v/>
      </c>
      <c r="F827" s="8" t="str">
        <f>IFERROR(INDEX('PROJETO PERFURAÇÃO'!$AN:$AN,MATCH(MEDIÇÃO!D827,'PROJETO PERFURAÇÃO'!$B:$B,0)),"")</f>
        <v/>
      </c>
      <c r="G827" s="3"/>
      <c r="H827" s="3"/>
      <c r="I827" s="3" t="str">
        <f>IFERROR(ROUND(INDEX('PROJETO PERFURAÇÃO'!$AB:$AB,MATCH(MEDIÇÃO!K827,'PROJETO PERFURAÇÃO'!$B:$B,0)),1)&amp;"''","")</f>
        <v/>
      </c>
      <c r="J827" s="3" t="str">
        <f>IFERROR(IF(INDEX('PROJETO PERFURAÇÃO'!$P:$P,MATCH(MEDIÇÃO!K827,'PROJETO PERFURAÇÃO'!$B:$B,0))="Production","P",IF(INDEX('PROJETO PERFURAÇÃO'!$P:$P,MATCH(MEDIÇÃO!K827,'PROJETO PERFURAÇÃO'!$B:$B,0))="Buffer","B",IF(INDEX('PROJETO PERFURAÇÃO'!$P:$P,MATCH(MEDIÇÃO!K827,'PROJETO PERFURAÇÃO'!$B:$B,0))="Pre-Splitting","S"))),"")</f>
        <v/>
      </c>
      <c r="K827" s="14">
        <f t="shared" si="79"/>
        <v>1834</v>
      </c>
      <c r="L827" s="4" t="str">
        <f>IFERROR(INDEX('LEV R&amp;D'!$D:$D,MATCH(MEDIÇÃO!K827,'LEV R&amp;D'!$A:$A,0))-INDEX('PROJETO PERFURAÇÃO'!$AH:$AH,MATCH(MEDIÇÃO!K827,'PROJETO PERFURAÇÃO'!$B:$B,0)),"")</f>
        <v/>
      </c>
      <c r="M827" s="8" t="str">
        <f>IFERROR(INDEX('PROJETO PERFURAÇÃO'!$AN:$AN,MATCH(MEDIÇÃO!K827,'PROJETO PERFURAÇÃO'!$B:$B,0)),"")</f>
        <v/>
      </c>
      <c r="N827" s="3"/>
      <c r="O827" s="3"/>
      <c r="P827" s="3" t="str">
        <f>IFERROR(ROUND(INDEX('PROJETO PERFURAÇÃO'!$AB:$AB,MATCH(MEDIÇÃO!R827,'PROJETO PERFURAÇÃO'!$B:$B,0)),1)&amp;"''","")</f>
        <v/>
      </c>
      <c r="Q827" s="3" t="str">
        <f>IFERROR(IF(INDEX('PROJETO PERFURAÇÃO'!$P:$P,MATCH(MEDIÇÃO!R827,'PROJETO PERFURAÇÃO'!$B:$B,0))="Production","P",IF(INDEX('PROJETO PERFURAÇÃO'!$P:$P,MATCH(MEDIÇÃO!R827,'PROJETO PERFURAÇÃO'!$B:$B,0))="Buffer","B",IF(INDEX('PROJETO PERFURAÇÃO'!$P:$P,MATCH(MEDIÇÃO!R827,'PROJETO PERFURAÇÃO'!$B:$B,0))="Pre-Splitting","S"))),"")</f>
        <v/>
      </c>
      <c r="R827" s="14">
        <f t="shared" si="80"/>
        <v>1857</v>
      </c>
      <c r="S827" s="4" t="str">
        <f>IFERROR(INDEX('LEV R&amp;D'!$D:$D,MATCH(MEDIÇÃO!R827,'LEV R&amp;D'!$A:$A,0))-INDEX('PROJETO PERFURAÇÃO'!$AH:$AH,MATCH(MEDIÇÃO!R827,'PROJETO PERFURAÇÃO'!$B:$B,0)),"")</f>
        <v/>
      </c>
      <c r="T827" s="8" t="str">
        <f>IFERROR(INDEX('PROJETO PERFURAÇÃO'!$AN:$AN,MATCH(MEDIÇÃO!R827,'PROJETO PERFURAÇÃO'!$B:$B,0)),"")</f>
        <v/>
      </c>
      <c r="U827" s="3"/>
      <c r="V827" s="3"/>
    </row>
    <row r="828" spans="2:22" ht="45" customHeight="1" x14ac:dyDescent="0.25">
      <c r="B828" s="3" t="str">
        <f>IFERROR(ROUND(INDEX('PROJETO PERFURAÇÃO'!$AB:$AB,MATCH(MEDIÇÃO!D828,'PROJETO PERFURAÇÃO'!$B:$B,0)),1)&amp;"''","")</f>
        <v/>
      </c>
      <c r="C828" s="3" t="str">
        <f>IFERROR(IF(INDEX('PROJETO PERFURAÇÃO'!$P:$P,MATCH(MEDIÇÃO!D828,'PROJETO PERFURAÇÃO'!$B:$B,0))="Production","P",IF(INDEX('PROJETO PERFURAÇÃO'!$P:$P,MATCH(MEDIÇÃO!D828,'PROJETO PERFURAÇÃO'!$B:$B,0))="Buffer","B",IF(INDEX('PROJETO PERFURAÇÃO'!$P:$P,MATCH(MEDIÇÃO!D828,'PROJETO PERFURAÇÃO'!$B:$B,0))="Pre-Splitting","S"))),"")</f>
        <v/>
      </c>
      <c r="D828" s="14">
        <f t="shared" si="78"/>
        <v>1812</v>
      </c>
      <c r="E828" s="4" t="str">
        <f>IFERROR(INDEX('LEV R&amp;D'!$D:$D,MATCH(MEDIÇÃO!D828,'LEV R&amp;D'!$A:$A,0))-INDEX('PROJETO PERFURAÇÃO'!$AH:$AH,MATCH(MEDIÇÃO!D828,'PROJETO PERFURAÇÃO'!$B:$B,0)),"")</f>
        <v/>
      </c>
      <c r="F828" s="8" t="str">
        <f>IFERROR(INDEX('PROJETO PERFURAÇÃO'!$AN:$AN,MATCH(MEDIÇÃO!D828,'PROJETO PERFURAÇÃO'!$B:$B,0)),"")</f>
        <v/>
      </c>
      <c r="G828" s="3"/>
      <c r="H828" s="3"/>
      <c r="I828" s="3" t="str">
        <f>IFERROR(ROUND(INDEX('PROJETO PERFURAÇÃO'!$AB:$AB,MATCH(MEDIÇÃO!K828,'PROJETO PERFURAÇÃO'!$B:$B,0)),1)&amp;"''","")</f>
        <v/>
      </c>
      <c r="J828" s="3" t="str">
        <f>IFERROR(IF(INDEX('PROJETO PERFURAÇÃO'!$P:$P,MATCH(MEDIÇÃO!K828,'PROJETO PERFURAÇÃO'!$B:$B,0))="Production","P",IF(INDEX('PROJETO PERFURAÇÃO'!$P:$P,MATCH(MEDIÇÃO!K828,'PROJETO PERFURAÇÃO'!$B:$B,0))="Buffer","B",IF(INDEX('PROJETO PERFURAÇÃO'!$P:$P,MATCH(MEDIÇÃO!K828,'PROJETO PERFURAÇÃO'!$B:$B,0))="Pre-Splitting","S"))),"")</f>
        <v/>
      </c>
      <c r="K828" s="14">
        <f t="shared" si="79"/>
        <v>1835</v>
      </c>
      <c r="L828" s="4" t="str">
        <f>IFERROR(INDEX('LEV R&amp;D'!$D:$D,MATCH(MEDIÇÃO!K828,'LEV R&amp;D'!$A:$A,0))-INDEX('PROJETO PERFURAÇÃO'!$AH:$AH,MATCH(MEDIÇÃO!K828,'PROJETO PERFURAÇÃO'!$B:$B,0)),"")</f>
        <v/>
      </c>
      <c r="M828" s="8" t="str">
        <f>IFERROR(INDEX('PROJETO PERFURAÇÃO'!$AN:$AN,MATCH(MEDIÇÃO!K828,'PROJETO PERFURAÇÃO'!$B:$B,0)),"")</f>
        <v/>
      </c>
      <c r="N828" s="3"/>
      <c r="O828" s="3"/>
      <c r="P828" s="3" t="str">
        <f>IFERROR(ROUND(INDEX('PROJETO PERFURAÇÃO'!$AB:$AB,MATCH(MEDIÇÃO!R828,'PROJETO PERFURAÇÃO'!$B:$B,0)),1)&amp;"''","")</f>
        <v/>
      </c>
      <c r="Q828" s="3" t="str">
        <f>IFERROR(IF(INDEX('PROJETO PERFURAÇÃO'!$P:$P,MATCH(MEDIÇÃO!R828,'PROJETO PERFURAÇÃO'!$B:$B,0))="Production","P",IF(INDEX('PROJETO PERFURAÇÃO'!$P:$P,MATCH(MEDIÇÃO!R828,'PROJETO PERFURAÇÃO'!$B:$B,0))="Buffer","B",IF(INDEX('PROJETO PERFURAÇÃO'!$P:$P,MATCH(MEDIÇÃO!R828,'PROJETO PERFURAÇÃO'!$B:$B,0))="Pre-Splitting","S"))),"")</f>
        <v/>
      </c>
      <c r="R828" s="14">
        <f t="shared" si="80"/>
        <v>1858</v>
      </c>
      <c r="S828" s="4" t="str">
        <f>IFERROR(INDEX('LEV R&amp;D'!$D:$D,MATCH(MEDIÇÃO!R828,'LEV R&amp;D'!$A:$A,0))-INDEX('PROJETO PERFURAÇÃO'!$AH:$AH,MATCH(MEDIÇÃO!R828,'PROJETO PERFURAÇÃO'!$B:$B,0)),"")</f>
        <v/>
      </c>
      <c r="T828" s="8" t="str">
        <f>IFERROR(INDEX('PROJETO PERFURAÇÃO'!$AN:$AN,MATCH(MEDIÇÃO!R828,'PROJETO PERFURAÇÃO'!$B:$B,0)),"")</f>
        <v/>
      </c>
      <c r="U828" s="3"/>
      <c r="V828" s="3"/>
    </row>
    <row r="829" spans="2:22" ht="45" customHeight="1" x14ac:dyDescent="0.25">
      <c r="B829" s="3" t="str">
        <f>IFERROR(ROUND(INDEX('PROJETO PERFURAÇÃO'!$AB:$AB,MATCH(MEDIÇÃO!D829,'PROJETO PERFURAÇÃO'!$B:$B,0)),1)&amp;"''","")</f>
        <v/>
      </c>
      <c r="C829" s="3" t="str">
        <f>IFERROR(IF(INDEX('PROJETO PERFURAÇÃO'!$P:$P,MATCH(MEDIÇÃO!D829,'PROJETO PERFURAÇÃO'!$B:$B,0))="Production","P",IF(INDEX('PROJETO PERFURAÇÃO'!$P:$P,MATCH(MEDIÇÃO!D829,'PROJETO PERFURAÇÃO'!$B:$B,0))="Buffer","B",IF(INDEX('PROJETO PERFURAÇÃO'!$P:$P,MATCH(MEDIÇÃO!D829,'PROJETO PERFURAÇÃO'!$B:$B,0))="Pre-Splitting","S"))),"")</f>
        <v/>
      </c>
      <c r="D829" s="14">
        <f t="shared" si="78"/>
        <v>1813</v>
      </c>
      <c r="E829" s="4" t="str">
        <f>IFERROR(INDEX('LEV R&amp;D'!$D:$D,MATCH(MEDIÇÃO!D829,'LEV R&amp;D'!$A:$A,0))-INDEX('PROJETO PERFURAÇÃO'!$AH:$AH,MATCH(MEDIÇÃO!D829,'PROJETO PERFURAÇÃO'!$B:$B,0)),"")</f>
        <v/>
      </c>
      <c r="F829" s="8" t="str">
        <f>IFERROR(INDEX('PROJETO PERFURAÇÃO'!$AN:$AN,MATCH(MEDIÇÃO!D829,'PROJETO PERFURAÇÃO'!$B:$B,0)),"")</f>
        <v/>
      </c>
      <c r="G829" s="3"/>
      <c r="H829" s="3"/>
      <c r="I829" s="3" t="str">
        <f>IFERROR(ROUND(INDEX('PROJETO PERFURAÇÃO'!$AB:$AB,MATCH(MEDIÇÃO!K829,'PROJETO PERFURAÇÃO'!$B:$B,0)),1)&amp;"''","")</f>
        <v/>
      </c>
      <c r="J829" s="3" t="str">
        <f>IFERROR(IF(INDEX('PROJETO PERFURAÇÃO'!$P:$P,MATCH(MEDIÇÃO!K829,'PROJETO PERFURAÇÃO'!$B:$B,0))="Production","P",IF(INDEX('PROJETO PERFURAÇÃO'!$P:$P,MATCH(MEDIÇÃO!K829,'PROJETO PERFURAÇÃO'!$B:$B,0))="Buffer","B",IF(INDEX('PROJETO PERFURAÇÃO'!$P:$P,MATCH(MEDIÇÃO!K829,'PROJETO PERFURAÇÃO'!$B:$B,0))="Pre-Splitting","S"))),"")</f>
        <v/>
      </c>
      <c r="K829" s="14">
        <f t="shared" si="79"/>
        <v>1836</v>
      </c>
      <c r="L829" s="4" t="str">
        <f>IFERROR(INDEX('LEV R&amp;D'!$D:$D,MATCH(MEDIÇÃO!K829,'LEV R&amp;D'!$A:$A,0))-INDEX('PROJETO PERFURAÇÃO'!$AH:$AH,MATCH(MEDIÇÃO!K829,'PROJETO PERFURAÇÃO'!$B:$B,0)),"")</f>
        <v/>
      </c>
      <c r="M829" s="8" t="str">
        <f>IFERROR(INDEX('PROJETO PERFURAÇÃO'!$AN:$AN,MATCH(MEDIÇÃO!K829,'PROJETO PERFURAÇÃO'!$B:$B,0)),"")</f>
        <v/>
      </c>
      <c r="N829" s="3"/>
      <c r="O829" s="3"/>
      <c r="P829" s="3" t="str">
        <f>IFERROR(ROUND(INDEX('PROJETO PERFURAÇÃO'!$AB:$AB,MATCH(MEDIÇÃO!R829,'PROJETO PERFURAÇÃO'!$B:$B,0)),1)&amp;"''","")</f>
        <v/>
      </c>
      <c r="Q829" s="3" t="str">
        <f>IFERROR(IF(INDEX('PROJETO PERFURAÇÃO'!$P:$P,MATCH(MEDIÇÃO!R829,'PROJETO PERFURAÇÃO'!$B:$B,0))="Production","P",IF(INDEX('PROJETO PERFURAÇÃO'!$P:$P,MATCH(MEDIÇÃO!R829,'PROJETO PERFURAÇÃO'!$B:$B,0))="Buffer","B",IF(INDEX('PROJETO PERFURAÇÃO'!$P:$P,MATCH(MEDIÇÃO!R829,'PROJETO PERFURAÇÃO'!$B:$B,0))="Pre-Splitting","S"))),"")</f>
        <v/>
      </c>
      <c r="R829" s="14">
        <f t="shared" si="80"/>
        <v>1859</v>
      </c>
      <c r="S829" s="4" t="str">
        <f>IFERROR(INDEX('LEV R&amp;D'!$D:$D,MATCH(MEDIÇÃO!R829,'LEV R&amp;D'!$A:$A,0))-INDEX('PROJETO PERFURAÇÃO'!$AH:$AH,MATCH(MEDIÇÃO!R829,'PROJETO PERFURAÇÃO'!$B:$B,0)),"")</f>
        <v/>
      </c>
      <c r="T829" s="8" t="str">
        <f>IFERROR(INDEX('PROJETO PERFURAÇÃO'!$AN:$AN,MATCH(MEDIÇÃO!R829,'PROJETO PERFURAÇÃO'!$B:$B,0)),"")</f>
        <v/>
      </c>
      <c r="U829" s="3"/>
      <c r="V829" s="3"/>
    </row>
    <row r="830" spans="2:22" ht="45" customHeight="1" x14ac:dyDescent="0.25">
      <c r="B830" s="3" t="str">
        <f>IFERROR(ROUND(INDEX('PROJETO PERFURAÇÃO'!$AB:$AB,MATCH(MEDIÇÃO!D830,'PROJETO PERFURAÇÃO'!$B:$B,0)),1)&amp;"''","")</f>
        <v/>
      </c>
      <c r="C830" s="3" t="str">
        <f>IFERROR(IF(INDEX('PROJETO PERFURAÇÃO'!$P:$P,MATCH(MEDIÇÃO!D830,'PROJETO PERFURAÇÃO'!$B:$B,0))="Production","P",IF(INDEX('PROJETO PERFURAÇÃO'!$P:$P,MATCH(MEDIÇÃO!D830,'PROJETO PERFURAÇÃO'!$B:$B,0))="Buffer","B",IF(INDEX('PROJETO PERFURAÇÃO'!$P:$P,MATCH(MEDIÇÃO!D830,'PROJETO PERFURAÇÃO'!$B:$B,0))="Pre-Splitting","S"))),"")</f>
        <v/>
      </c>
      <c r="D830" s="14">
        <f t="shared" si="78"/>
        <v>1814</v>
      </c>
      <c r="E830" s="4" t="str">
        <f>IFERROR(INDEX('LEV R&amp;D'!$D:$D,MATCH(MEDIÇÃO!D830,'LEV R&amp;D'!$A:$A,0))-INDEX('PROJETO PERFURAÇÃO'!$AH:$AH,MATCH(MEDIÇÃO!D830,'PROJETO PERFURAÇÃO'!$B:$B,0)),"")</f>
        <v/>
      </c>
      <c r="F830" s="8" t="str">
        <f>IFERROR(INDEX('PROJETO PERFURAÇÃO'!$AN:$AN,MATCH(MEDIÇÃO!D830,'PROJETO PERFURAÇÃO'!$B:$B,0)),"")</f>
        <v/>
      </c>
      <c r="G830" s="3"/>
      <c r="H830" s="3"/>
      <c r="I830" s="3" t="str">
        <f>IFERROR(ROUND(INDEX('PROJETO PERFURAÇÃO'!$AB:$AB,MATCH(MEDIÇÃO!K830,'PROJETO PERFURAÇÃO'!$B:$B,0)),1)&amp;"''","")</f>
        <v/>
      </c>
      <c r="J830" s="3" t="str">
        <f>IFERROR(IF(INDEX('PROJETO PERFURAÇÃO'!$P:$P,MATCH(MEDIÇÃO!K830,'PROJETO PERFURAÇÃO'!$B:$B,0))="Production","P",IF(INDEX('PROJETO PERFURAÇÃO'!$P:$P,MATCH(MEDIÇÃO!K830,'PROJETO PERFURAÇÃO'!$B:$B,0))="Buffer","B",IF(INDEX('PROJETO PERFURAÇÃO'!$P:$P,MATCH(MEDIÇÃO!K830,'PROJETO PERFURAÇÃO'!$B:$B,0))="Pre-Splitting","S"))),"")</f>
        <v/>
      </c>
      <c r="K830" s="14">
        <f t="shared" si="79"/>
        <v>1837</v>
      </c>
      <c r="L830" s="4" t="str">
        <f>IFERROR(INDEX('LEV R&amp;D'!$D:$D,MATCH(MEDIÇÃO!K830,'LEV R&amp;D'!$A:$A,0))-INDEX('PROJETO PERFURAÇÃO'!$AH:$AH,MATCH(MEDIÇÃO!K830,'PROJETO PERFURAÇÃO'!$B:$B,0)),"")</f>
        <v/>
      </c>
      <c r="M830" s="8" t="str">
        <f>IFERROR(INDEX('PROJETO PERFURAÇÃO'!$AN:$AN,MATCH(MEDIÇÃO!K830,'PROJETO PERFURAÇÃO'!$B:$B,0)),"")</f>
        <v/>
      </c>
      <c r="N830" s="3"/>
      <c r="O830" s="3"/>
      <c r="P830" s="3" t="str">
        <f>IFERROR(ROUND(INDEX('PROJETO PERFURAÇÃO'!$AB:$AB,MATCH(MEDIÇÃO!R830,'PROJETO PERFURAÇÃO'!$B:$B,0)),1)&amp;"''","")</f>
        <v/>
      </c>
      <c r="Q830" s="3" t="str">
        <f>IFERROR(IF(INDEX('PROJETO PERFURAÇÃO'!$P:$P,MATCH(MEDIÇÃO!R830,'PROJETO PERFURAÇÃO'!$B:$B,0))="Production","P",IF(INDEX('PROJETO PERFURAÇÃO'!$P:$P,MATCH(MEDIÇÃO!R830,'PROJETO PERFURAÇÃO'!$B:$B,0))="Buffer","B",IF(INDEX('PROJETO PERFURAÇÃO'!$P:$P,MATCH(MEDIÇÃO!R830,'PROJETO PERFURAÇÃO'!$B:$B,0))="Pre-Splitting","S"))),"")</f>
        <v/>
      </c>
      <c r="R830" s="14">
        <f t="shared" si="80"/>
        <v>1860</v>
      </c>
      <c r="S830" s="4" t="str">
        <f>IFERROR(INDEX('LEV R&amp;D'!$D:$D,MATCH(MEDIÇÃO!R830,'LEV R&amp;D'!$A:$A,0))-INDEX('PROJETO PERFURAÇÃO'!$AH:$AH,MATCH(MEDIÇÃO!R830,'PROJETO PERFURAÇÃO'!$B:$B,0)),"")</f>
        <v/>
      </c>
      <c r="T830" s="8" t="str">
        <f>IFERROR(INDEX('PROJETO PERFURAÇÃO'!$AN:$AN,MATCH(MEDIÇÃO!R830,'PROJETO PERFURAÇÃO'!$B:$B,0)),"")</f>
        <v/>
      </c>
      <c r="U830" s="3"/>
      <c r="V830" s="3"/>
    </row>
    <row r="831" spans="2:22" ht="45" customHeight="1" x14ac:dyDescent="0.25">
      <c r="B831" s="3" t="str">
        <f>IFERROR(ROUND(INDEX('PROJETO PERFURAÇÃO'!$AB:$AB,MATCH(MEDIÇÃO!D831,'PROJETO PERFURAÇÃO'!$B:$B,0)),1)&amp;"''","")</f>
        <v/>
      </c>
      <c r="C831" s="3" t="str">
        <f>IFERROR(IF(INDEX('PROJETO PERFURAÇÃO'!$P:$P,MATCH(MEDIÇÃO!D831,'PROJETO PERFURAÇÃO'!$B:$B,0))="Production","P",IF(INDEX('PROJETO PERFURAÇÃO'!$P:$P,MATCH(MEDIÇÃO!D831,'PROJETO PERFURAÇÃO'!$B:$B,0))="Buffer","B",IF(INDEX('PROJETO PERFURAÇÃO'!$P:$P,MATCH(MEDIÇÃO!D831,'PROJETO PERFURAÇÃO'!$B:$B,0))="Pre-Splitting","S"))),"")</f>
        <v/>
      </c>
      <c r="D831" s="14">
        <f t="shared" si="78"/>
        <v>1815</v>
      </c>
      <c r="E831" s="4" t="str">
        <f>IFERROR(INDEX('LEV R&amp;D'!$D:$D,MATCH(MEDIÇÃO!D831,'LEV R&amp;D'!$A:$A,0))-INDEX('PROJETO PERFURAÇÃO'!$AH:$AH,MATCH(MEDIÇÃO!D831,'PROJETO PERFURAÇÃO'!$B:$B,0)),"")</f>
        <v/>
      </c>
      <c r="F831" s="8" t="str">
        <f>IFERROR(INDEX('PROJETO PERFURAÇÃO'!$AN:$AN,MATCH(MEDIÇÃO!D831,'PROJETO PERFURAÇÃO'!$B:$B,0)),"")</f>
        <v/>
      </c>
      <c r="G831" s="3"/>
      <c r="H831" s="3"/>
      <c r="I831" s="3" t="str">
        <f>IFERROR(ROUND(INDEX('PROJETO PERFURAÇÃO'!$AB:$AB,MATCH(MEDIÇÃO!K831,'PROJETO PERFURAÇÃO'!$B:$B,0)),1)&amp;"''","")</f>
        <v/>
      </c>
      <c r="J831" s="3" t="str">
        <f>IFERROR(IF(INDEX('PROJETO PERFURAÇÃO'!$P:$P,MATCH(MEDIÇÃO!K831,'PROJETO PERFURAÇÃO'!$B:$B,0))="Production","P",IF(INDEX('PROJETO PERFURAÇÃO'!$P:$P,MATCH(MEDIÇÃO!K831,'PROJETO PERFURAÇÃO'!$B:$B,0))="Buffer","B",IF(INDEX('PROJETO PERFURAÇÃO'!$P:$P,MATCH(MEDIÇÃO!K831,'PROJETO PERFURAÇÃO'!$B:$B,0))="Pre-Splitting","S"))),"")</f>
        <v/>
      </c>
      <c r="K831" s="14">
        <f t="shared" si="79"/>
        <v>1838</v>
      </c>
      <c r="L831" s="4" t="str">
        <f>IFERROR(INDEX('LEV R&amp;D'!$D:$D,MATCH(MEDIÇÃO!K831,'LEV R&amp;D'!$A:$A,0))-INDEX('PROJETO PERFURAÇÃO'!$AH:$AH,MATCH(MEDIÇÃO!K831,'PROJETO PERFURAÇÃO'!$B:$B,0)),"")</f>
        <v/>
      </c>
      <c r="M831" s="8" t="str">
        <f>IFERROR(INDEX('PROJETO PERFURAÇÃO'!$AN:$AN,MATCH(MEDIÇÃO!K831,'PROJETO PERFURAÇÃO'!$B:$B,0)),"")</f>
        <v/>
      </c>
      <c r="N831" s="3"/>
      <c r="O831" s="3"/>
      <c r="P831" s="3" t="str">
        <f>IFERROR(ROUND(INDEX('PROJETO PERFURAÇÃO'!$AB:$AB,MATCH(MEDIÇÃO!R831,'PROJETO PERFURAÇÃO'!$B:$B,0)),1)&amp;"''","")</f>
        <v/>
      </c>
      <c r="Q831" s="3" t="str">
        <f>IFERROR(IF(INDEX('PROJETO PERFURAÇÃO'!$P:$P,MATCH(MEDIÇÃO!R831,'PROJETO PERFURAÇÃO'!$B:$B,0))="Production","P",IF(INDEX('PROJETO PERFURAÇÃO'!$P:$P,MATCH(MEDIÇÃO!R831,'PROJETO PERFURAÇÃO'!$B:$B,0))="Buffer","B",IF(INDEX('PROJETO PERFURAÇÃO'!$P:$P,MATCH(MEDIÇÃO!R831,'PROJETO PERFURAÇÃO'!$B:$B,0))="Pre-Splitting","S"))),"")</f>
        <v/>
      </c>
      <c r="R831" s="14">
        <f t="shared" si="80"/>
        <v>1861</v>
      </c>
      <c r="S831" s="4" t="str">
        <f>IFERROR(INDEX('LEV R&amp;D'!$D:$D,MATCH(MEDIÇÃO!R831,'LEV R&amp;D'!$A:$A,0))-INDEX('PROJETO PERFURAÇÃO'!$AH:$AH,MATCH(MEDIÇÃO!R831,'PROJETO PERFURAÇÃO'!$B:$B,0)),"")</f>
        <v/>
      </c>
      <c r="T831" s="8" t="str">
        <f>IFERROR(INDEX('PROJETO PERFURAÇÃO'!$AN:$AN,MATCH(MEDIÇÃO!R831,'PROJETO PERFURAÇÃO'!$B:$B,0)),"")</f>
        <v/>
      </c>
      <c r="U831" s="3"/>
      <c r="V831" s="3"/>
    </row>
    <row r="832" spans="2:22" ht="45" customHeight="1" x14ac:dyDescent="0.25">
      <c r="B832" s="3" t="str">
        <f>IFERROR(ROUND(INDEX('PROJETO PERFURAÇÃO'!$AB:$AB,MATCH(MEDIÇÃO!D832,'PROJETO PERFURAÇÃO'!$B:$B,0)),1)&amp;"''","")</f>
        <v/>
      </c>
      <c r="C832" s="3" t="str">
        <f>IFERROR(IF(INDEX('PROJETO PERFURAÇÃO'!$P:$P,MATCH(MEDIÇÃO!D832,'PROJETO PERFURAÇÃO'!$B:$B,0))="Production","P",IF(INDEX('PROJETO PERFURAÇÃO'!$P:$P,MATCH(MEDIÇÃO!D832,'PROJETO PERFURAÇÃO'!$B:$B,0))="Buffer","B",IF(INDEX('PROJETO PERFURAÇÃO'!$P:$P,MATCH(MEDIÇÃO!D832,'PROJETO PERFURAÇÃO'!$B:$B,0))="Pre-Splitting","S"))),"")</f>
        <v/>
      </c>
      <c r="D832" s="14">
        <f t="shared" si="78"/>
        <v>1816</v>
      </c>
      <c r="E832" s="4" t="str">
        <f>IFERROR(INDEX('LEV R&amp;D'!$D:$D,MATCH(MEDIÇÃO!D832,'LEV R&amp;D'!$A:$A,0))-INDEX('PROJETO PERFURAÇÃO'!$AH:$AH,MATCH(MEDIÇÃO!D832,'PROJETO PERFURAÇÃO'!$B:$B,0)),"")</f>
        <v/>
      </c>
      <c r="F832" s="8" t="str">
        <f>IFERROR(INDEX('PROJETO PERFURAÇÃO'!$AN:$AN,MATCH(MEDIÇÃO!D832,'PROJETO PERFURAÇÃO'!$B:$B,0)),"")</f>
        <v/>
      </c>
      <c r="G832" s="3"/>
      <c r="H832" s="3"/>
      <c r="I832" s="3" t="str">
        <f>IFERROR(ROUND(INDEX('PROJETO PERFURAÇÃO'!$AB:$AB,MATCH(MEDIÇÃO!K832,'PROJETO PERFURAÇÃO'!$B:$B,0)),1)&amp;"''","")</f>
        <v/>
      </c>
      <c r="J832" s="3" t="str">
        <f>IFERROR(IF(INDEX('PROJETO PERFURAÇÃO'!$P:$P,MATCH(MEDIÇÃO!K832,'PROJETO PERFURAÇÃO'!$B:$B,0))="Production","P",IF(INDEX('PROJETO PERFURAÇÃO'!$P:$P,MATCH(MEDIÇÃO!K832,'PROJETO PERFURAÇÃO'!$B:$B,0))="Buffer","B",IF(INDEX('PROJETO PERFURAÇÃO'!$P:$P,MATCH(MEDIÇÃO!K832,'PROJETO PERFURAÇÃO'!$B:$B,0))="Pre-Splitting","S"))),"")</f>
        <v/>
      </c>
      <c r="K832" s="14">
        <f t="shared" si="79"/>
        <v>1839</v>
      </c>
      <c r="L832" s="4" t="str">
        <f>IFERROR(INDEX('LEV R&amp;D'!$D:$D,MATCH(MEDIÇÃO!K832,'LEV R&amp;D'!$A:$A,0))-INDEX('PROJETO PERFURAÇÃO'!$AH:$AH,MATCH(MEDIÇÃO!K832,'PROJETO PERFURAÇÃO'!$B:$B,0)),"")</f>
        <v/>
      </c>
      <c r="M832" s="8" t="str">
        <f>IFERROR(INDEX('PROJETO PERFURAÇÃO'!$AN:$AN,MATCH(MEDIÇÃO!K832,'PROJETO PERFURAÇÃO'!$B:$B,0)),"")</f>
        <v/>
      </c>
      <c r="N832" s="3"/>
      <c r="O832" s="3"/>
      <c r="P832" s="3" t="str">
        <f>IFERROR(ROUND(INDEX('PROJETO PERFURAÇÃO'!$AB:$AB,MATCH(MEDIÇÃO!R832,'PROJETO PERFURAÇÃO'!$B:$B,0)),1)&amp;"''","")</f>
        <v/>
      </c>
      <c r="Q832" s="3" t="str">
        <f>IFERROR(IF(INDEX('PROJETO PERFURAÇÃO'!$P:$P,MATCH(MEDIÇÃO!R832,'PROJETO PERFURAÇÃO'!$B:$B,0))="Production","P",IF(INDEX('PROJETO PERFURAÇÃO'!$P:$P,MATCH(MEDIÇÃO!R832,'PROJETO PERFURAÇÃO'!$B:$B,0))="Buffer","B",IF(INDEX('PROJETO PERFURAÇÃO'!$P:$P,MATCH(MEDIÇÃO!R832,'PROJETO PERFURAÇÃO'!$B:$B,0))="Pre-Splitting","S"))),"")</f>
        <v/>
      </c>
      <c r="R832" s="14">
        <f t="shared" si="80"/>
        <v>1862</v>
      </c>
      <c r="S832" s="4" t="str">
        <f>IFERROR(INDEX('LEV R&amp;D'!$D:$D,MATCH(MEDIÇÃO!R832,'LEV R&amp;D'!$A:$A,0))-INDEX('PROJETO PERFURAÇÃO'!$AH:$AH,MATCH(MEDIÇÃO!R832,'PROJETO PERFURAÇÃO'!$B:$B,0)),"")</f>
        <v/>
      </c>
      <c r="T832" s="8" t="str">
        <f>IFERROR(INDEX('PROJETO PERFURAÇÃO'!$AN:$AN,MATCH(MEDIÇÃO!R832,'PROJETO PERFURAÇÃO'!$B:$B,0)),"")</f>
        <v/>
      </c>
      <c r="U832" s="3"/>
      <c r="V832" s="3"/>
    </row>
    <row r="833" spans="1:23" ht="45" customHeight="1" x14ac:dyDescent="0.25">
      <c r="B833" s="3" t="str">
        <f>IFERROR(ROUND(INDEX('PROJETO PERFURAÇÃO'!$AB:$AB,MATCH(MEDIÇÃO!D833,'PROJETO PERFURAÇÃO'!$B:$B,0)),1)&amp;"''","")</f>
        <v/>
      </c>
      <c r="C833" s="3" t="str">
        <f>IFERROR(IF(INDEX('PROJETO PERFURAÇÃO'!$P:$P,MATCH(MEDIÇÃO!D833,'PROJETO PERFURAÇÃO'!$B:$B,0))="Production","P",IF(INDEX('PROJETO PERFURAÇÃO'!$P:$P,MATCH(MEDIÇÃO!D833,'PROJETO PERFURAÇÃO'!$B:$B,0))="Buffer","B",IF(INDEX('PROJETO PERFURAÇÃO'!$P:$P,MATCH(MEDIÇÃO!D833,'PROJETO PERFURAÇÃO'!$B:$B,0))="Pre-Splitting","S"))),"")</f>
        <v/>
      </c>
      <c r="D833" s="14">
        <f t="shared" si="78"/>
        <v>1817</v>
      </c>
      <c r="E833" s="4" t="str">
        <f>IFERROR(INDEX('LEV R&amp;D'!$D:$D,MATCH(MEDIÇÃO!D833,'LEV R&amp;D'!$A:$A,0))-INDEX('PROJETO PERFURAÇÃO'!$AH:$AH,MATCH(MEDIÇÃO!D833,'PROJETO PERFURAÇÃO'!$B:$B,0)),"")</f>
        <v/>
      </c>
      <c r="F833" s="8" t="str">
        <f>IFERROR(INDEX('PROJETO PERFURAÇÃO'!$AN:$AN,MATCH(MEDIÇÃO!D833,'PROJETO PERFURAÇÃO'!$B:$B,0)),"")</f>
        <v/>
      </c>
      <c r="G833" s="3"/>
      <c r="H833" s="3"/>
      <c r="I833" s="3" t="str">
        <f>IFERROR(ROUND(INDEX('PROJETO PERFURAÇÃO'!$AB:$AB,MATCH(MEDIÇÃO!K833,'PROJETO PERFURAÇÃO'!$B:$B,0)),1)&amp;"''","")</f>
        <v/>
      </c>
      <c r="J833" s="3" t="str">
        <f>IFERROR(IF(INDEX('PROJETO PERFURAÇÃO'!$P:$P,MATCH(MEDIÇÃO!K833,'PROJETO PERFURAÇÃO'!$B:$B,0))="Production","P",IF(INDEX('PROJETO PERFURAÇÃO'!$P:$P,MATCH(MEDIÇÃO!K833,'PROJETO PERFURAÇÃO'!$B:$B,0))="Buffer","B",IF(INDEX('PROJETO PERFURAÇÃO'!$P:$P,MATCH(MEDIÇÃO!K833,'PROJETO PERFURAÇÃO'!$B:$B,0))="Pre-Splitting","S"))),"")</f>
        <v/>
      </c>
      <c r="K833" s="14">
        <f>K832+1</f>
        <v>1840</v>
      </c>
      <c r="L833" s="4" t="str">
        <f>IFERROR(INDEX('LEV R&amp;D'!$D:$D,MATCH(MEDIÇÃO!K833,'LEV R&amp;D'!$A:$A,0))-INDEX('PROJETO PERFURAÇÃO'!$AH:$AH,MATCH(MEDIÇÃO!K833,'PROJETO PERFURAÇÃO'!$B:$B,0)),"")</f>
        <v/>
      </c>
      <c r="M833" s="8" t="str">
        <f>IFERROR(INDEX('PROJETO PERFURAÇÃO'!$AN:$AN,MATCH(MEDIÇÃO!K833,'PROJETO PERFURAÇÃO'!$B:$B,0)),"")</f>
        <v/>
      </c>
      <c r="N833" s="3"/>
      <c r="O833" s="3"/>
      <c r="P833" s="3" t="str">
        <f>IFERROR(ROUND(INDEX('PROJETO PERFURAÇÃO'!$AB:$AB,MATCH(MEDIÇÃO!R833,'PROJETO PERFURAÇÃO'!$B:$B,0)),1)&amp;"''","")</f>
        <v/>
      </c>
      <c r="Q833" s="3" t="str">
        <f>IFERROR(IF(INDEX('PROJETO PERFURAÇÃO'!$P:$P,MATCH(MEDIÇÃO!R833,'PROJETO PERFURAÇÃO'!$B:$B,0))="Production","P",IF(INDEX('PROJETO PERFURAÇÃO'!$P:$P,MATCH(MEDIÇÃO!R833,'PROJETO PERFURAÇÃO'!$B:$B,0))="Buffer","B",IF(INDEX('PROJETO PERFURAÇÃO'!$P:$P,MATCH(MEDIÇÃO!R833,'PROJETO PERFURAÇÃO'!$B:$B,0))="Pre-Splitting","S"))),"")</f>
        <v/>
      </c>
      <c r="R833" s="14">
        <f>R832+1</f>
        <v>1863</v>
      </c>
      <c r="S833" s="4" t="str">
        <f>IFERROR(INDEX('LEV R&amp;D'!$D:$D,MATCH(MEDIÇÃO!R833,'LEV R&amp;D'!$A:$A,0))-INDEX('PROJETO PERFURAÇÃO'!$AH:$AH,MATCH(MEDIÇÃO!R833,'PROJETO PERFURAÇÃO'!$B:$B,0)),"")</f>
        <v/>
      </c>
      <c r="T833" s="8" t="str">
        <f>IFERROR(INDEX('PROJETO PERFURAÇÃO'!$AN:$AN,MATCH(MEDIÇÃO!R833,'PROJETO PERFURAÇÃO'!$B:$B,0)),"")</f>
        <v/>
      </c>
      <c r="U833" s="3"/>
      <c r="V833" s="3"/>
    </row>
    <row r="834" spans="1:23" ht="30" customHeight="1" x14ac:dyDescent="0.25">
      <c r="B834" s="1"/>
      <c r="C834" s="1"/>
      <c r="D834" s="15"/>
      <c r="E834" s="2"/>
      <c r="F834" s="16"/>
      <c r="G834" s="1"/>
      <c r="H834" s="1"/>
      <c r="I834" s="1"/>
      <c r="J834" s="1"/>
      <c r="K834" s="15"/>
      <c r="L834" s="2"/>
      <c r="M834" s="16"/>
      <c r="N834" s="1"/>
      <c r="O834" s="1"/>
      <c r="P834" s="1"/>
      <c r="Q834" s="1"/>
      <c r="R834" s="15"/>
      <c r="S834" s="2"/>
      <c r="T834" s="16"/>
      <c r="U834" s="1"/>
      <c r="V834" s="1"/>
    </row>
    <row r="835" spans="1:23" ht="30" customHeight="1" x14ac:dyDescent="0.25">
      <c r="C835" s="20"/>
      <c r="D835" s="20"/>
      <c r="E835" s="20"/>
      <c r="F835" s="20"/>
      <c r="G835" s="20"/>
      <c r="H835" s="20"/>
      <c r="I835" s="20"/>
      <c r="J835" s="20"/>
      <c r="K835" s="20"/>
      <c r="M835" s="20"/>
      <c r="N835" s="20"/>
      <c r="O835" s="20"/>
      <c r="P835" s="20"/>
      <c r="Q835" s="20"/>
      <c r="R835" s="20"/>
      <c r="S835" s="20"/>
      <c r="T835" s="20"/>
      <c r="U835" s="20"/>
    </row>
    <row r="836" spans="1:23" ht="30" customHeight="1" x14ac:dyDescent="0.25">
      <c r="C836" s="21" t="s">
        <v>40</v>
      </c>
      <c r="D836" s="21"/>
      <c r="E836" s="21"/>
      <c r="F836" s="21"/>
      <c r="G836" s="21"/>
      <c r="H836" s="21"/>
      <c r="I836" s="21"/>
      <c r="J836" s="21"/>
      <c r="K836" s="21"/>
      <c r="L836" s="9"/>
      <c r="M836" s="21" t="s">
        <v>40</v>
      </c>
      <c r="N836" s="21"/>
      <c r="O836" s="21"/>
      <c r="P836" s="21"/>
      <c r="Q836" s="21"/>
      <c r="R836" s="21"/>
      <c r="S836" s="21"/>
      <c r="T836" s="21"/>
      <c r="U836" s="21"/>
      <c r="V836" s="9"/>
    </row>
    <row r="837" spans="1:23" ht="30" customHeight="1" x14ac:dyDescent="0.25">
      <c r="D837" s="9"/>
      <c r="E837" s="9"/>
      <c r="F837" s="9"/>
      <c r="G837" s="9"/>
      <c r="H837" s="9"/>
      <c r="I837" s="9"/>
      <c r="J837" s="9"/>
      <c r="K837" s="9"/>
      <c r="L837" s="9"/>
      <c r="M837" s="9"/>
      <c r="N837" s="9"/>
      <c r="Q837" s="9"/>
      <c r="R837" s="9"/>
      <c r="S837" s="9"/>
      <c r="T837" s="9"/>
      <c r="U837" s="9"/>
      <c r="V837" s="9"/>
    </row>
    <row r="838" spans="1:23" ht="30" customHeight="1" x14ac:dyDescent="0.25">
      <c r="B838" s="19" t="str">
        <f>'PROJETO PERFURAÇÃO'!$C$2&amp;" - "&amp;'PROJETO PERFURAÇÃO'!$H$2</f>
        <v>LIB065 - PP0651026</v>
      </c>
      <c r="C838" s="19"/>
      <c r="D838" s="19"/>
      <c r="E838" s="19"/>
      <c r="F838" s="19"/>
      <c r="G838" s="19"/>
      <c r="H838" s="19"/>
      <c r="I838" s="11" t="s">
        <v>34</v>
      </c>
      <c r="J838" s="10" t="s">
        <v>37</v>
      </c>
    </row>
    <row r="839" spans="1:23" ht="30" customHeight="1" x14ac:dyDescent="0.25">
      <c r="B839" s="19"/>
      <c r="C839" s="19"/>
      <c r="D839" s="19"/>
      <c r="E839" s="19"/>
      <c r="F839" s="19"/>
      <c r="G839" s="19"/>
      <c r="H839" s="19"/>
      <c r="I839" s="12" t="s">
        <v>35</v>
      </c>
      <c r="J839" s="10" t="s">
        <v>38</v>
      </c>
      <c r="K839" s="9"/>
      <c r="L839" s="9"/>
      <c r="M839" s="9"/>
      <c r="N839" s="9"/>
      <c r="O839" s="9"/>
      <c r="P839" s="9"/>
      <c r="Q839" s="9"/>
      <c r="R839" s="9"/>
      <c r="S839" s="9"/>
      <c r="T839" s="9"/>
      <c r="U839" s="9"/>
      <c r="V839" s="9"/>
    </row>
    <row r="840" spans="1:23" ht="30" customHeight="1" x14ac:dyDescent="0.25">
      <c r="B840" s="19"/>
      <c r="C840" s="19"/>
      <c r="D840" s="19"/>
      <c r="E840" s="19"/>
      <c r="F840" s="19"/>
      <c r="G840" s="19"/>
      <c r="H840" s="19"/>
      <c r="I840" s="13" t="s">
        <v>36</v>
      </c>
      <c r="J840" s="10" t="s">
        <v>39</v>
      </c>
    </row>
    <row r="841" spans="1:23" ht="30" customHeight="1" x14ac:dyDescent="0.25">
      <c r="A841" s="1"/>
      <c r="B841" s="6" t="s">
        <v>33</v>
      </c>
      <c r="C841" s="6" t="s">
        <v>13</v>
      </c>
      <c r="D841" s="7" t="s">
        <v>1</v>
      </c>
      <c r="E841" s="7" t="s">
        <v>29</v>
      </c>
      <c r="F841" s="7" t="s">
        <v>30</v>
      </c>
      <c r="G841" s="7" t="s">
        <v>31</v>
      </c>
      <c r="H841" s="7" t="s">
        <v>32</v>
      </c>
      <c r="I841" s="6" t="s">
        <v>33</v>
      </c>
      <c r="J841" s="6" t="s">
        <v>13</v>
      </c>
      <c r="K841" s="7" t="s">
        <v>1</v>
      </c>
      <c r="L841" s="7" t="s">
        <v>29</v>
      </c>
      <c r="M841" s="7" t="s">
        <v>30</v>
      </c>
      <c r="N841" s="7" t="s">
        <v>31</v>
      </c>
      <c r="O841" s="7" t="s">
        <v>32</v>
      </c>
      <c r="P841" s="6" t="s">
        <v>33</v>
      </c>
      <c r="Q841" s="6" t="s">
        <v>13</v>
      </c>
      <c r="R841" s="7" t="s">
        <v>1</v>
      </c>
      <c r="S841" s="7" t="s">
        <v>29</v>
      </c>
      <c r="T841" s="7" t="s">
        <v>30</v>
      </c>
      <c r="U841" s="7" t="s">
        <v>31</v>
      </c>
      <c r="V841" s="7" t="s">
        <v>32</v>
      </c>
      <c r="W841" s="1"/>
    </row>
    <row r="842" spans="1:23" ht="45" customHeight="1" x14ac:dyDescent="0.25">
      <c r="B842" s="3" t="str">
        <f>IFERROR(ROUND(INDEX('PROJETO PERFURAÇÃO'!$AB:$AB,MATCH(MEDIÇÃO!D842,'PROJETO PERFURAÇÃO'!$B:$B,0)),1)&amp;"''","")</f>
        <v/>
      </c>
      <c r="C842" s="3" t="str">
        <f>IFERROR(IF(INDEX('PROJETO PERFURAÇÃO'!$P:$P,MATCH(MEDIÇÃO!D842,'PROJETO PERFURAÇÃO'!$B:$B,0))="Production","P",IF(INDEX('PROJETO PERFURAÇÃO'!$P:$P,MATCH(MEDIÇÃO!D842,'PROJETO PERFURAÇÃO'!$B:$B,0))="Buffer","B",IF(INDEX('PROJETO PERFURAÇÃO'!$P:$P,MATCH(MEDIÇÃO!D842,'PROJETO PERFURAÇÃO'!$B:$B,0))="Pre-Splitting","S"))),"")</f>
        <v/>
      </c>
      <c r="D842" s="14">
        <f>R833+1</f>
        <v>1864</v>
      </c>
      <c r="E842" s="4" t="str">
        <f>IFERROR(INDEX('LEV R&amp;D'!$D:$D,MATCH(MEDIÇÃO!D842,'LEV R&amp;D'!$A:$A,0))-INDEX('PROJETO PERFURAÇÃO'!$AH:$AH,MATCH(MEDIÇÃO!D842,'PROJETO PERFURAÇÃO'!$B:$B,0)),"")</f>
        <v/>
      </c>
      <c r="F842" s="8" t="str">
        <f>IFERROR(INDEX('PROJETO PERFURAÇÃO'!$AN:$AN,MATCH(MEDIÇÃO!D842,'PROJETO PERFURAÇÃO'!$B:$B,0)),"")</f>
        <v/>
      </c>
      <c r="G842" s="3"/>
      <c r="H842" s="3"/>
      <c r="I842" s="3" t="str">
        <f>IFERROR(ROUND(INDEX('PROJETO PERFURAÇÃO'!$AB:$AB,MATCH(MEDIÇÃO!K842,'PROJETO PERFURAÇÃO'!$B:$B,0)),1)&amp;"''","")</f>
        <v/>
      </c>
      <c r="J842" s="3" t="str">
        <f>IFERROR(IF(INDEX('PROJETO PERFURAÇÃO'!$P:$P,MATCH(MEDIÇÃO!K842,'PROJETO PERFURAÇÃO'!$B:$B,0))="Production","P",IF(INDEX('PROJETO PERFURAÇÃO'!$P:$P,MATCH(MEDIÇÃO!K842,'PROJETO PERFURAÇÃO'!$B:$B,0))="Buffer","B",IF(INDEX('PROJETO PERFURAÇÃO'!$P:$P,MATCH(MEDIÇÃO!K842,'PROJETO PERFURAÇÃO'!$B:$B,0))="Pre-Splitting","S"))),"")</f>
        <v/>
      </c>
      <c r="K842" s="14">
        <f>D864+1</f>
        <v>1887</v>
      </c>
      <c r="L842" s="4" t="str">
        <f>IFERROR(INDEX('LEV R&amp;D'!$D:$D,MATCH(MEDIÇÃO!K842,'LEV R&amp;D'!$A:$A,0))-INDEX('PROJETO PERFURAÇÃO'!$AH:$AH,MATCH(MEDIÇÃO!K842,'PROJETO PERFURAÇÃO'!$B:$B,0)),"")</f>
        <v/>
      </c>
      <c r="M842" s="8" t="str">
        <f>IFERROR(INDEX('PROJETO PERFURAÇÃO'!$AN:$AN,MATCH(MEDIÇÃO!K842,'PROJETO PERFURAÇÃO'!$B:$B,0)),"")</f>
        <v/>
      </c>
      <c r="N842" s="3"/>
      <c r="O842" s="3"/>
      <c r="P842" s="3" t="str">
        <f>IFERROR(ROUND(INDEX('PROJETO PERFURAÇÃO'!$AB:$AB,MATCH(MEDIÇÃO!R842,'PROJETO PERFURAÇÃO'!$B:$B,0)),1)&amp;"''","")</f>
        <v/>
      </c>
      <c r="Q842" s="3" t="str">
        <f>IFERROR(IF(INDEX('PROJETO PERFURAÇÃO'!$P:$P,MATCH(MEDIÇÃO!R842,'PROJETO PERFURAÇÃO'!$B:$B,0))="Production","P",IF(INDEX('PROJETO PERFURAÇÃO'!$P:$P,MATCH(MEDIÇÃO!R842,'PROJETO PERFURAÇÃO'!$B:$B,0))="Buffer","B",IF(INDEX('PROJETO PERFURAÇÃO'!$P:$P,MATCH(MEDIÇÃO!R842,'PROJETO PERFURAÇÃO'!$B:$B,0))="Pre-Splitting","S"))),"")</f>
        <v/>
      </c>
      <c r="R842" s="14">
        <f>K864+1</f>
        <v>1910</v>
      </c>
      <c r="S842" s="4" t="str">
        <f>IFERROR(INDEX('LEV R&amp;D'!$D:$D,MATCH(MEDIÇÃO!R842,'LEV R&amp;D'!$A:$A,0))-INDEX('PROJETO PERFURAÇÃO'!$AH:$AH,MATCH(MEDIÇÃO!R842,'PROJETO PERFURAÇÃO'!$B:$B,0)),"")</f>
        <v/>
      </c>
      <c r="T842" s="8" t="str">
        <f>IFERROR(INDEX('PROJETO PERFURAÇÃO'!$AN:$AN,MATCH(MEDIÇÃO!R842,'PROJETO PERFURAÇÃO'!$B:$B,0)),"")</f>
        <v/>
      </c>
      <c r="U842" s="3"/>
      <c r="V842" s="3"/>
    </row>
    <row r="843" spans="1:23" ht="45" customHeight="1" x14ac:dyDescent="0.25">
      <c r="B843" s="3" t="str">
        <f>IFERROR(ROUND(INDEX('PROJETO PERFURAÇÃO'!$AB:$AB,MATCH(MEDIÇÃO!D843,'PROJETO PERFURAÇÃO'!$B:$B,0)),1)&amp;"''","")</f>
        <v/>
      </c>
      <c r="C843" s="3" t="str">
        <f>IFERROR(IF(INDEX('PROJETO PERFURAÇÃO'!$P:$P,MATCH(MEDIÇÃO!D843,'PROJETO PERFURAÇÃO'!$B:$B,0))="Production","P",IF(INDEX('PROJETO PERFURAÇÃO'!$P:$P,MATCH(MEDIÇÃO!D843,'PROJETO PERFURAÇÃO'!$B:$B,0))="Buffer","B",IF(INDEX('PROJETO PERFURAÇÃO'!$P:$P,MATCH(MEDIÇÃO!D843,'PROJETO PERFURAÇÃO'!$B:$B,0))="Pre-Splitting","S"))),"")</f>
        <v/>
      </c>
      <c r="D843" s="14">
        <f>D842+1</f>
        <v>1865</v>
      </c>
      <c r="E843" s="4" t="str">
        <f>IFERROR(INDEX('LEV R&amp;D'!$D:$D,MATCH(MEDIÇÃO!D843,'LEV R&amp;D'!$A:$A,0))-INDEX('PROJETO PERFURAÇÃO'!$AH:$AH,MATCH(MEDIÇÃO!D843,'PROJETO PERFURAÇÃO'!$B:$B,0)),"")</f>
        <v/>
      </c>
      <c r="F843" s="8" t="str">
        <f>IFERROR(INDEX('PROJETO PERFURAÇÃO'!$AN:$AN,MATCH(MEDIÇÃO!D843,'PROJETO PERFURAÇÃO'!$B:$B,0)),"")</f>
        <v/>
      </c>
      <c r="G843" s="3"/>
      <c r="H843" s="3"/>
      <c r="I843" s="3" t="str">
        <f>IFERROR(ROUND(INDEX('PROJETO PERFURAÇÃO'!$AB:$AB,MATCH(MEDIÇÃO!K843,'PROJETO PERFURAÇÃO'!$B:$B,0)),1)&amp;"''","")</f>
        <v/>
      </c>
      <c r="J843" s="3" t="str">
        <f>IFERROR(IF(INDEX('PROJETO PERFURAÇÃO'!$P:$P,MATCH(MEDIÇÃO!K843,'PROJETO PERFURAÇÃO'!$B:$B,0))="Production","P",IF(INDEX('PROJETO PERFURAÇÃO'!$P:$P,MATCH(MEDIÇÃO!K843,'PROJETO PERFURAÇÃO'!$B:$B,0))="Buffer","B",IF(INDEX('PROJETO PERFURAÇÃO'!$P:$P,MATCH(MEDIÇÃO!K843,'PROJETO PERFURAÇÃO'!$B:$B,0))="Pre-Splitting","S"))),"")</f>
        <v/>
      </c>
      <c r="K843" s="14">
        <f>K842+1</f>
        <v>1888</v>
      </c>
      <c r="L843" s="4" t="str">
        <f>IFERROR(INDEX('LEV R&amp;D'!$D:$D,MATCH(MEDIÇÃO!K843,'LEV R&amp;D'!$A:$A,0))-INDEX('PROJETO PERFURAÇÃO'!$AH:$AH,MATCH(MEDIÇÃO!K843,'PROJETO PERFURAÇÃO'!$B:$B,0)),"")</f>
        <v/>
      </c>
      <c r="M843" s="8" t="str">
        <f>IFERROR(INDEX('PROJETO PERFURAÇÃO'!$AN:$AN,MATCH(MEDIÇÃO!K843,'PROJETO PERFURAÇÃO'!$B:$B,0)),"")</f>
        <v/>
      </c>
      <c r="N843" s="3"/>
      <c r="O843" s="3"/>
      <c r="P843" s="3" t="str">
        <f>IFERROR(ROUND(INDEX('PROJETO PERFURAÇÃO'!$AB:$AB,MATCH(MEDIÇÃO!R843,'PROJETO PERFURAÇÃO'!$B:$B,0)),1)&amp;"''","")</f>
        <v/>
      </c>
      <c r="Q843" s="3" t="str">
        <f>IFERROR(IF(INDEX('PROJETO PERFURAÇÃO'!$P:$P,MATCH(MEDIÇÃO!R843,'PROJETO PERFURAÇÃO'!$B:$B,0))="Production","P",IF(INDEX('PROJETO PERFURAÇÃO'!$P:$P,MATCH(MEDIÇÃO!R843,'PROJETO PERFURAÇÃO'!$B:$B,0))="Buffer","B",IF(INDEX('PROJETO PERFURAÇÃO'!$P:$P,MATCH(MEDIÇÃO!R843,'PROJETO PERFURAÇÃO'!$B:$B,0))="Pre-Splitting","S"))),"")</f>
        <v/>
      </c>
      <c r="R843" s="14">
        <f>R842+1</f>
        <v>1911</v>
      </c>
      <c r="S843" s="4" t="str">
        <f>IFERROR(INDEX('LEV R&amp;D'!$D:$D,MATCH(MEDIÇÃO!R843,'LEV R&amp;D'!$A:$A,0))-INDEX('PROJETO PERFURAÇÃO'!$AH:$AH,MATCH(MEDIÇÃO!R843,'PROJETO PERFURAÇÃO'!$B:$B,0)),"")</f>
        <v/>
      </c>
      <c r="T843" s="8" t="str">
        <f>IFERROR(INDEX('PROJETO PERFURAÇÃO'!$AN:$AN,MATCH(MEDIÇÃO!R843,'PROJETO PERFURAÇÃO'!$B:$B,0)),"")</f>
        <v/>
      </c>
      <c r="U843" s="3"/>
      <c r="V843" s="3"/>
    </row>
    <row r="844" spans="1:23" ht="45" customHeight="1" x14ac:dyDescent="0.25">
      <c r="B844" s="3" t="str">
        <f>IFERROR(ROUND(INDEX('PROJETO PERFURAÇÃO'!$AB:$AB,MATCH(MEDIÇÃO!D844,'PROJETO PERFURAÇÃO'!$B:$B,0)),1)&amp;"''","")</f>
        <v/>
      </c>
      <c r="C844" s="3" t="str">
        <f>IFERROR(IF(INDEX('PROJETO PERFURAÇÃO'!$P:$P,MATCH(MEDIÇÃO!D844,'PROJETO PERFURAÇÃO'!$B:$B,0))="Production","P",IF(INDEX('PROJETO PERFURAÇÃO'!$P:$P,MATCH(MEDIÇÃO!D844,'PROJETO PERFURAÇÃO'!$B:$B,0))="Buffer","B",IF(INDEX('PROJETO PERFURAÇÃO'!$P:$P,MATCH(MEDIÇÃO!D844,'PROJETO PERFURAÇÃO'!$B:$B,0))="Pre-Splitting","S"))),"")</f>
        <v/>
      </c>
      <c r="D844" s="14">
        <f t="shared" ref="D844:D864" si="81">D843+1</f>
        <v>1866</v>
      </c>
      <c r="E844" s="4" t="str">
        <f>IFERROR(INDEX('LEV R&amp;D'!$D:$D,MATCH(MEDIÇÃO!D844,'LEV R&amp;D'!$A:$A,0))-INDEX('PROJETO PERFURAÇÃO'!$AH:$AH,MATCH(MEDIÇÃO!D844,'PROJETO PERFURAÇÃO'!$B:$B,0)),"")</f>
        <v/>
      </c>
      <c r="F844" s="8" t="str">
        <f>IFERROR(INDEX('PROJETO PERFURAÇÃO'!$AN:$AN,MATCH(MEDIÇÃO!D844,'PROJETO PERFURAÇÃO'!$B:$B,0)),"")</f>
        <v/>
      </c>
      <c r="G844" s="3"/>
      <c r="H844" s="3"/>
      <c r="I844" s="3" t="str">
        <f>IFERROR(ROUND(INDEX('PROJETO PERFURAÇÃO'!$AB:$AB,MATCH(MEDIÇÃO!K844,'PROJETO PERFURAÇÃO'!$B:$B,0)),1)&amp;"''","")</f>
        <v/>
      </c>
      <c r="J844" s="3" t="str">
        <f>IFERROR(IF(INDEX('PROJETO PERFURAÇÃO'!$P:$P,MATCH(MEDIÇÃO!K844,'PROJETO PERFURAÇÃO'!$B:$B,0))="Production","P",IF(INDEX('PROJETO PERFURAÇÃO'!$P:$P,MATCH(MEDIÇÃO!K844,'PROJETO PERFURAÇÃO'!$B:$B,0))="Buffer","B",IF(INDEX('PROJETO PERFURAÇÃO'!$P:$P,MATCH(MEDIÇÃO!K844,'PROJETO PERFURAÇÃO'!$B:$B,0))="Pre-Splitting","S"))),"")</f>
        <v/>
      </c>
      <c r="K844" s="14">
        <f t="shared" ref="K844:K863" si="82">K843+1</f>
        <v>1889</v>
      </c>
      <c r="L844" s="4" t="str">
        <f>IFERROR(INDEX('LEV R&amp;D'!$D:$D,MATCH(MEDIÇÃO!K844,'LEV R&amp;D'!$A:$A,0))-INDEX('PROJETO PERFURAÇÃO'!$AH:$AH,MATCH(MEDIÇÃO!K844,'PROJETO PERFURAÇÃO'!$B:$B,0)),"")</f>
        <v/>
      </c>
      <c r="M844" s="8" t="str">
        <f>IFERROR(INDEX('PROJETO PERFURAÇÃO'!$AN:$AN,MATCH(MEDIÇÃO!K844,'PROJETO PERFURAÇÃO'!$B:$B,0)),"")</f>
        <v/>
      </c>
      <c r="N844" s="3"/>
      <c r="O844" s="3"/>
      <c r="P844" s="3" t="str">
        <f>IFERROR(ROUND(INDEX('PROJETO PERFURAÇÃO'!$AB:$AB,MATCH(MEDIÇÃO!R844,'PROJETO PERFURAÇÃO'!$B:$B,0)),1)&amp;"''","")</f>
        <v/>
      </c>
      <c r="Q844" s="3" t="str">
        <f>IFERROR(IF(INDEX('PROJETO PERFURAÇÃO'!$P:$P,MATCH(MEDIÇÃO!R844,'PROJETO PERFURAÇÃO'!$B:$B,0))="Production","P",IF(INDEX('PROJETO PERFURAÇÃO'!$P:$P,MATCH(MEDIÇÃO!R844,'PROJETO PERFURAÇÃO'!$B:$B,0))="Buffer","B",IF(INDEX('PROJETO PERFURAÇÃO'!$P:$P,MATCH(MEDIÇÃO!R844,'PROJETO PERFURAÇÃO'!$B:$B,0))="Pre-Splitting","S"))),"")</f>
        <v/>
      </c>
      <c r="R844" s="14">
        <f t="shared" ref="R844:R863" si="83">R843+1</f>
        <v>1912</v>
      </c>
      <c r="S844" s="4" t="str">
        <f>IFERROR(INDEX('LEV R&amp;D'!$D:$D,MATCH(MEDIÇÃO!R844,'LEV R&amp;D'!$A:$A,0))-INDEX('PROJETO PERFURAÇÃO'!$AH:$AH,MATCH(MEDIÇÃO!R844,'PROJETO PERFURAÇÃO'!$B:$B,0)),"")</f>
        <v/>
      </c>
      <c r="T844" s="8" t="str">
        <f>IFERROR(INDEX('PROJETO PERFURAÇÃO'!$AN:$AN,MATCH(MEDIÇÃO!R844,'PROJETO PERFURAÇÃO'!$B:$B,0)),"")</f>
        <v/>
      </c>
      <c r="U844" s="3"/>
      <c r="V844" s="3"/>
    </row>
    <row r="845" spans="1:23" ht="45" customHeight="1" x14ac:dyDescent="0.25">
      <c r="B845" s="3" t="str">
        <f>IFERROR(ROUND(INDEX('PROJETO PERFURAÇÃO'!$AB:$AB,MATCH(MEDIÇÃO!D845,'PROJETO PERFURAÇÃO'!$B:$B,0)),1)&amp;"''","")</f>
        <v/>
      </c>
      <c r="C845" s="3" t="str">
        <f>IFERROR(IF(INDEX('PROJETO PERFURAÇÃO'!$P:$P,MATCH(MEDIÇÃO!D845,'PROJETO PERFURAÇÃO'!$B:$B,0))="Production","P",IF(INDEX('PROJETO PERFURAÇÃO'!$P:$P,MATCH(MEDIÇÃO!D845,'PROJETO PERFURAÇÃO'!$B:$B,0))="Buffer","B",IF(INDEX('PROJETO PERFURAÇÃO'!$P:$P,MATCH(MEDIÇÃO!D845,'PROJETO PERFURAÇÃO'!$B:$B,0))="Pre-Splitting","S"))),"")</f>
        <v/>
      </c>
      <c r="D845" s="14">
        <f t="shared" si="81"/>
        <v>1867</v>
      </c>
      <c r="E845" s="4" t="str">
        <f>IFERROR(INDEX('LEV R&amp;D'!$D:$D,MATCH(MEDIÇÃO!D845,'LEV R&amp;D'!$A:$A,0))-INDEX('PROJETO PERFURAÇÃO'!$AH:$AH,MATCH(MEDIÇÃO!D845,'PROJETO PERFURAÇÃO'!$B:$B,0)),"")</f>
        <v/>
      </c>
      <c r="F845" s="8" t="str">
        <f>IFERROR(INDEX('PROJETO PERFURAÇÃO'!$AN:$AN,MATCH(MEDIÇÃO!D845,'PROJETO PERFURAÇÃO'!$B:$B,0)),"")</f>
        <v/>
      </c>
      <c r="G845" s="3"/>
      <c r="H845" s="3"/>
      <c r="I845" s="3" t="str">
        <f>IFERROR(ROUND(INDEX('PROJETO PERFURAÇÃO'!$AB:$AB,MATCH(MEDIÇÃO!K845,'PROJETO PERFURAÇÃO'!$B:$B,0)),1)&amp;"''","")</f>
        <v/>
      </c>
      <c r="J845" s="3" t="str">
        <f>IFERROR(IF(INDEX('PROJETO PERFURAÇÃO'!$P:$P,MATCH(MEDIÇÃO!K845,'PROJETO PERFURAÇÃO'!$B:$B,0))="Production","P",IF(INDEX('PROJETO PERFURAÇÃO'!$P:$P,MATCH(MEDIÇÃO!K845,'PROJETO PERFURAÇÃO'!$B:$B,0))="Buffer","B",IF(INDEX('PROJETO PERFURAÇÃO'!$P:$P,MATCH(MEDIÇÃO!K845,'PROJETO PERFURAÇÃO'!$B:$B,0))="Pre-Splitting","S"))),"")</f>
        <v/>
      </c>
      <c r="K845" s="14">
        <f t="shared" si="82"/>
        <v>1890</v>
      </c>
      <c r="L845" s="4" t="str">
        <f>IFERROR(INDEX('LEV R&amp;D'!$D:$D,MATCH(MEDIÇÃO!K845,'LEV R&amp;D'!$A:$A,0))-INDEX('PROJETO PERFURAÇÃO'!$AH:$AH,MATCH(MEDIÇÃO!K845,'PROJETO PERFURAÇÃO'!$B:$B,0)),"")</f>
        <v/>
      </c>
      <c r="M845" s="8" t="str">
        <f>IFERROR(INDEX('PROJETO PERFURAÇÃO'!$AN:$AN,MATCH(MEDIÇÃO!K845,'PROJETO PERFURAÇÃO'!$B:$B,0)),"")</f>
        <v/>
      </c>
      <c r="N845" s="3"/>
      <c r="O845" s="3"/>
      <c r="P845" s="3" t="str">
        <f>IFERROR(ROUND(INDEX('PROJETO PERFURAÇÃO'!$AB:$AB,MATCH(MEDIÇÃO!R845,'PROJETO PERFURAÇÃO'!$B:$B,0)),1)&amp;"''","")</f>
        <v/>
      </c>
      <c r="Q845" s="3" t="str">
        <f>IFERROR(IF(INDEX('PROJETO PERFURAÇÃO'!$P:$P,MATCH(MEDIÇÃO!R845,'PROJETO PERFURAÇÃO'!$B:$B,0))="Production","P",IF(INDEX('PROJETO PERFURAÇÃO'!$P:$P,MATCH(MEDIÇÃO!R845,'PROJETO PERFURAÇÃO'!$B:$B,0))="Buffer","B",IF(INDEX('PROJETO PERFURAÇÃO'!$P:$P,MATCH(MEDIÇÃO!R845,'PROJETO PERFURAÇÃO'!$B:$B,0))="Pre-Splitting","S"))),"")</f>
        <v/>
      </c>
      <c r="R845" s="14">
        <f t="shared" si="83"/>
        <v>1913</v>
      </c>
      <c r="S845" s="4" t="str">
        <f>IFERROR(INDEX('LEV R&amp;D'!$D:$D,MATCH(MEDIÇÃO!R845,'LEV R&amp;D'!$A:$A,0))-INDEX('PROJETO PERFURAÇÃO'!$AH:$AH,MATCH(MEDIÇÃO!R845,'PROJETO PERFURAÇÃO'!$B:$B,0)),"")</f>
        <v/>
      </c>
      <c r="T845" s="8" t="str">
        <f>IFERROR(INDEX('PROJETO PERFURAÇÃO'!$AN:$AN,MATCH(MEDIÇÃO!R845,'PROJETO PERFURAÇÃO'!$B:$B,0)),"")</f>
        <v/>
      </c>
      <c r="U845" s="3"/>
      <c r="V845" s="3"/>
    </row>
    <row r="846" spans="1:23" ht="45" customHeight="1" x14ac:dyDescent="0.25">
      <c r="B846" s="3" t="str">
        <f>IFERROR(ROUND(INDEX('PROJETO PERFURAÇÃO'!$AB:$AB,MATCH(MEDIÇÃO!D846,'PROJETO PERFURAÇÃO'!$B:$B,0)),1)&amp;"''","")</f>
        <v/>
      </c>
      <c r="C846" s="3" t="str">
        <f>IFERROR(IF(INDEX('PROJETO PERFURAÇÃO'!$P:$P,MATCH(MEDIÇÃO!D846,'PROJETO PERFURAÇÃO'!$B:$B,0))="Production","P",IF(INDEX('PROJETO PERFURAÇÃO'!$P:$P,MATCH(MEDIÇÃO!D846,'PROJETO PERFURAÇÃO'!$B:$B,0))="Buffer","B",IF(INDEX('PROJETO PERFURAÇÃO'!$P:$P,MATCH(MEDIÇÃO!D846,'PROJETO PERFURAÇÃO'!$B:$B,0))="Pre-Splitting","S"))),"")</f>
        <v/>
      </c>
      <c r="D846" s="14">
        <f t="shared" si="81"/>
        <v>1868</v>
      </c>
      <c r="E846" s="4" t="str">
        <f>IFERROR(INDEX('LEV R&amp;D'!$D:$D,MATCH(MEDIÇÃO!D846,'LEV R&amp;D'!$A:$A,0))-INDEX('PROJETO PERFURAÇÃO'!$AH:$AH,MATCH(MEDIÇÃO!D846,'PROJETO PERFURAÇÃO'!$B:$B,0)),"")</f>
        <v/>
      </c>
      <c r="F846" s="8" t="str">
        <f>IFERROR(INDEX('PROJETO PERFURAÇÃO'!$AN:$AN,MATCH(MEDIÇÃO!D846,'PROJETO PERFURAÇÃO'!$B:$B,0)),"")</f>
        <v/>
      </c>
      <c r="G846" s="3"/>
      <c r="H846" s="3"/>
      <c r="I846" s="3" t="str">
        <f>IFERROR(ROUND(INDEX('PROJETO PERFURAÇÃO'!$AB:$AB,MATCH(MEDIÇÃO!K846,'PROJETO PERFURAÇÃO'!$B:$B,0)),1)&amp;"''","")</f>
        <v/>
      </c>
      <c r="J846" s="3" t="str">
        <f>IFERROR(IF(INDEX('PROJETO PERFURAÇÃO'!$P:$P,MATCH(MEDIÇÃO!K846,'PROJETO PERFURAÇÃO'!$B:$B,0))="Production","P",IF(INDEX('PROJETO PERFURAÇÃO'!$P:$P,MATCH(MEDIÇÃO!K846,'PROJETO PERFURAÇÃO'!$B:$B,0))="Buffer","B",IF(INDEX('PROJETO PERFURAÇÃO'!$P:$P,MATCH(MEDIÇÃO!K846,'PROJETO PERFURAÇÃO'!$B:$B,0))="Pre-Splitting","S"))),"")</f>
        <v/>
      </c>
      <c r="K846" s="14">
        <f t="shared" si="82"/>
        <v>1891</v>
      </c>
      <c r="L846" s="4" t="str">
        <f>IFERROR(INDEX('LEV R&amp;D'!$D:$D,MATCH(MEDIÇÃO!K846,'LEV R&amp;D'!$A:$A,0))-INDEX('PROJETO PERFURAÇÃO'!$AH:$AH,MATCH(MEDIÇÃO!K846,'PROJETO PERFURAÇÃO'!$B:$B,0)),"")</f>
        <v/>
      </c>
      <c r="M846" s="8" t="str">
        <f>IFERROR(INDEX('PROJETO PERFURAÇÃO'!$AN:$AN,MATCH(MEDIÇÃO!K846,'PROJETO PERFURAÇÃO'!$B:$B,0)),"")</f>
        <v/>
      </c>
      <c r="N846" s="3"/>
      <c r="O846" s="3"/>
      <c r="P846" s="3" t="str">
        <f>IFERROR(ROUND(INDEX('PROJETO PERFURAÇÃO'!$AB:$AB,MATCH(MEDIÇÃO!R846,'PROJETO PERFURAÇÃO'!$B:$B,0)),1)&amp;"''","")</f>
        <v/>
      </c>
      <c r="Q846" s="3" t="str">
        <f>IFERROR(IF(INDEX('PROJETO PERFURAÇÃO'!$P:$P,MATCH(MEDIÇÃO!R846,'PROJETO PERFURAÇÃO'!$B:$B,0))="Production","P",IF(INDEX('PROJETO PERFURAÇÃO'!$P:$P,MATCH(MEDIÇÃO!R846,'PROJETO PERFURAÇÃO'!$B:$B,0))="Buffer","B",IF(INDEX('PROJETO PERFURAÇÃO'!$P:$P,MATCH(MEDIÇÃO!R846,'PROJETO PERFURAÇÃO'!$B:$B,0))="Pre-Splitting","S"))),"")</f>
        <v/>
      </c>
      <c r="R846" s="14">
        <f t="shared" si="83"/>
        <v>1914</v>
      </c>
      <c r="S846" s="4" t="str">
        <f>IFERROR(INDEX('LEV R&amp;D'!$D:$D,MATCH(MEDIÇÃO!R846,'LEV R&amp;D'!$A:$A,0))-INDEX('PROJETO PERFURAÇÃO'!$AH:$AH,MATCH(MEDIÇÃO!R846,'PROJETO PERFURAÇÃO'!$B:$B,0)),"")</f>
        <v/>
      </c>
      <c r="T846" s="8" t="str">
        <f>IFERROR(INDEX('PROJETO PERFURAÇÃO'!$AN:$AN,MATCH(MEDIÇÃO!R846,'PROJETO PERFURAÇÃO'!$B:$B,0)),"")</f>
        <v/>
      </c>
      <c r="U846" s="3"/>
      <c r="V846" s="3"/>
    </row>
    <row r="847" spans="1:23" ht="45" customHeight="1" x14ac:dyDescent="0.25">
      <c r="B847" s="3" t="str">
        <f>IFERROR(ROUND(INDEX('PROJETO PERFURAÇÃO'!$AB:$AB,MATCH(MEDIÇÃO!D847,'PROJETO PERFURAÇÃO'!$B:$B,0)),1)&amp;"''","")</f>
        <v/>
      </c>
      <c r="C847" s="3" t="str">
        <f>IFERROR(IF(INDEX('PROJETO PERFURAÇÃO'!$P:$P,MATCH(MEDIÇÃO!D847,'PROJETO PERFURAÇÃO'!$B:$B,0))="Production","P",IF(INDEX('PROJETO PERFURAÇÃO'!$P:$P,MATCH(MEDIÇÃO!D847,'PROJETO PERFURAÇÃO'!$B:$B,0))="Buffer","B",IF(INDEX('PROJETO PERFURAÇÃO'!$P:$P,MATCH(MEDIÇÃO!D847,'PROJETO PERFURAÇÃO'!$B:$B,0))="Pre-Splitting","S"))),"")</f>
        <v/>
      </c>
      <c r="D847" s="14">
        <f t="shared" si="81"/>
        <v>1869</v>
      </c>
      <c r="E847" s="4" t="str">
        <f>IFERROR(INDEX('LEV R&amp;D'!$D:$D,MATCH(MEDIÇÃO!D847,'LEV R&amp;D'!$A:$A,0))-INDEX('PROJETO PERFURAÇÃO'!$AH:$AH,MATCH(MEDIÇÃO!D847,'PROJETO PERFURAÇÃO'!$B:$B,0)),"")</f>
        <v/>
      </c>
      <c r="F847" s="8" t="str">
        <f>IFERROR(INDEX('PROJETO PERFURAÇÃO'!$AN:$AN,MATCH(MEDIÇÃO!D847,'PROJETO PERFURAÇÃO'!$B:$B,0)),"")</f>
        <v/>
      </c>
      <c r="G847" s="3"/>
      <c r="H847" s="3"/>
      <c r="I847" s="3" t="str">
        <f>IFERROR(ROUND(INDEX('PROJETO PERFURAÇÃO'!$AB:$AB,MATCH(MEDIÇÃO!K847,'PROJETO PERFURAÇÃO'!$B:$B,0)),1)&amp;"''","")</f>
        <v/>
      </c>
      <c r="J847" s="3" t="str">
        <f>IFERROR(IF(INDEX('PROJETO PERFURAÇÃO'!$P:$P,MATCH(MEDIÇÃO!K847,'PROJETO PERFURAÇÃO'!$B:$B,0))="Production","P",IF(INDEX('PROJETO PERFURAÇÃO'!$P:$P,MATCH(MEDIÇÃO!K847,'PROJETO PERFURAÇÃO'!$B:$B,0))="Buffer","B",IF(INDEX('PROJETO PERFURAÇÃO'!$P:$P,MATCH(MEDIÇÃO!K847,'PROJETO PERFURAÇÃO'!$B:$B,0))="Pre-Splitting","S"))),"")</f>
        <v/>
      </c>
      <c r="K847" s="14">
        <f t="shared" si="82"/>
        <v>1892</v>
      </c>
      <c r="L847" s="4" t="str">
        <f>IFERROR(INDEX('LEV R&amp;D'!$D:$D,MATCH(MEDIÇÃO!K847,'LEV R&amp;D'!$A:$A,0))-INDEX('PROJETO PERFURAÇÃO'!$AH:$AH,MATCH(MEDIÇÃO!K847,'PROJETO PERFURAÇÃO'!$B:$B,0)),"")</f>
        <v/>
      </c>
      <c r="M847" s="8" t="str">
        <f>IFERROR(INDEX('PROJETO PERFURAÇÃO'!$AN:$AN,MATCH(MEDIÇÃO!K847,'PROJETO PERFURAÇÃO'!$B:$B,0)),"")</f>
        <v/>
      </c>
      <c r="N847" s="3"/>
      <c r="O847" s="3"/>
      <c r="P847" s="3" t="str">
        <f>IFERROR(ROUND(INDEX('PROJETO PERFURAÇÃO'!$AB:$AB,MATCH(MEDIÇÃO!R847,'PROJETO PERFURAÇÃO'!$B:$B,0)),1)&amp;"''","")</f>
        <v/>
      </c>
      <c r="Q847" s="3" t="str">
        <f>IFERROR(IF(INDEX('PROJETO PERFURAÇÃO'!$P:$P,MATCH(MEDIÇÃO!R847,'PROJETO PERFURAÇÃO'!$B:$B,0))="Production","P",IF(INDEX('PROJETO PERFURAÇÃO'!$P:$P,MATCH(MEDIÇÃO!R847,'PROJETO PERFURAÇÃO'!$B:$B,0))="Buffer","B",IF(INDEX('PROJETO PERFURAÇÃO'!$P:$P,MATCH(MEDIÇÃO!R847,'PROJETO PERFURAÇÃO'!$B:$B,0))="Pre-Splitting","S"))),"")</f>
        <v/>
      </c>
      <c r="R847" s="14">
        <f t="shared" si="83"/>
        <v>1915</v>
      </c>
      <c r="S847" s="4" t="str">
        <f>IFERROR(INDEX('LEV R&amp;D'!$D:$D,MATCH(MEDIÇÃO!R847,'LEV R&amp;D'!$A:$A,0))-INDEX('PROJETO PERFURAÇÃO'!$AH:$AH,MATCH(MEDIÇÃO!R847,'PROJETO PERFURAÇÃO'!$B:$B,0)),"")</f>
        <v/>
      </c>
      <c r="T847" s="8" t="str">
        <f>IFERROR(INDEX('PROJETO PERFURAÇÃO'!$AN:$AN,MATCH(MEDIÇÃO!R847,'PROJETO PERFURAÇÃO'!$B:$B,0)),"")</f>
        <v/>
      </c>
      <c r="U847" s="3"/>
      <c r="V847" s="3"/>
    </row>
    <row r="848" spans="1:23" ht="45" customHeight="1" x14ac:dyDescent="0.25">
      <c r="B848" s="3" t="str">
        <f>IFERROR(ROUND(INDEX('PROJETO PERFURAÇÃO'!$AB:$AB,MATCH(MEDIÇÃO!D848,'PROJETO PERFURAÇÃO'!$B:$B,0)),1)&amp;"''","")</f>
        <v/>
      </c>
      <c r="C848" s="3" t="str">
        <f>IFERROR(IF(INDEX('PROJETO PERFURAÇÃO'!$P:$P,MATCH(MEDIÇÃO!D848,'PROJETO PERFURAÇÃO'!$B:$B,0))="Production","P",IF(INDEX('PROJETO PERFURAÇÃO'!$P:$P,MATCH(MEDIÇÃO!D848,'PROJETO PERFURAÇÃO'!$B:$B,0))="Buffer","B",IF(INDEX('PROJETO PERFURAÇÃO'!$P:$P,MATCH(MEDIÇÃO!D848,'PROJETO PERFURAÇÃO'!$B:$B,0))="Pre-Splitting","S"))),"")</f>
        <v/>
      </c>
      <c r="D848" s="14">
        <f t="shared" si="81"/>
        <v>1870</v>
      </c>
      <c r="E848" s="4" t="str">
        <f>IFERROR(INDEX('LEV R&amp;D'!$D:$D,MATCH(MEDIÇÃO!D848,'LEV R&amp;D'!$A:$A,0))-INDEX('PROJETO PERFURAÇÃO'!$AH:$AH,MATCH(MEDIÇÃO!D848,'PROJETO PERFURAÇÃO'!$B:$B,0)),"")</f>
        <v/>
      </c>
      <c r="F848" s="8" t="str">
        <f>IFERROR(INDEX('PROJETO PERFURAÇÃO'!$AN:$AN,MATCH(MEDIÇÃO!D848,'PROJETO PERFURAÇÃO'!$B:$B,0)),"")</f>
        <v/>
      </c>
      <c r="G848" s="3"/>
      <c r="H848" s="3"/>
      <c r="I848" s="3" t="str">
        <f>IFERROR(ROUND(INDEX('PROJETO PERFURAÇÃO'!$AB:$AB,MATCH(MEDIÇÃO!K848,'PROJETO PERFURAÇÃO'!$B:$B,0)),1)&amp;"''","")</f>
        <v/>
      </c>
      <c r="J848" s="3" t="str">
        <f>IFERROR(IF(INDEX('PROJETO PERFURAÇÃO'!$P:$P,MATCH(MEDIÇÃO!K848,'PROJETO PERFURAÇÃO'!$B:$B,0))="Production","P",IF(INDEX('PROJETO PERFURAÇÃO'!$P:$P,MATCH(MEDIÇÃO!K848,'PROJETO PERFURAÇÃO'!$B:$B,0))="Buffer","B",IF(INDEX('PROJETO PERFURAÇÃO'!$P:$P,MATCH(MEDIÇÃO!K848,'PROJETO PERFURAÇÃO'!$B:$B,0))="Pre-Splitting","S"))),"")</f>
        <v/>
      </c>
      <c r="K848" s="14">
        <f t="shared" si="82"/>
        <v>1893</v>
      </c>
      <c r="L848" s="4" t="str">
        <f>IFERROR(INDEX('LEV R&amp;D'!$D:$D,MATCH(MEDIÇÃO!K848,'LEV R&amp;D'!$A:$A,0))-INDEX('PROJETO PERFURAÇÃO'!$AH:$AH,MATCH(MEDIÇÃO!K848,'PROJETO PERFURAÇÃO'!$B:$B,0)),"")</f>
        <v/>
      </c>
      <c r="M848" s="8" t="str">
        <f>IFERROR(INDEX('PROJETO PERFURAÇÃO'!$AN:$AN,MATCH(MEDIÇÃO!K848,'PROJETO PERFURAÇÃO'!$B:$B,0)),"")</f>
        <v/>
      </c>
      <c r="N848" s="3"/>
      <c r="O848" s="3"/>
      <c r="P848" s="3" t="str">
        <f>IFERROR(ROUND(INDEX('PROJETO PERFURAÇÃO'!$AB:$AB,MATCH(MEDIÇÃO!R848,'PROJETO PERFURAÇÃO'!$B:$B,0)),1)&amp;"''","")</f>
        <v/>
      </c>
      <c r="Q848" s="3" t="str">
        <f>IFERROR(IF(INDEX('PROJETO PERFURAÇÃO'!$P:$P,MATCH(MEDIÇÃO!R848,'PROJETO PERFURAÇÃO'!$B:$B,0))="Production","P",IF(INDEX('PROJETO PERFURAÇÃO'!$P:$P,MATCH(MEDIÇÃO!R848,'PROJETO PERFURAÇÃO'!$B:$B,0))="Buffer","B",IF(INDEX('PROJETO PERFURAÇÃO'!$P:$P,MATCH(MEDIÇÃO!R848,'PROJETO PERFURAÇÃO'!$B:$B,0))="Pre-Splitting","S"))),"")</f>
        <v/>
      </c>
      <c r="R848" s="14">
        <f t="shared" si="83"/>
        <v>1916</v>
      </c>
      <c r="S848" s="4" t="str">
        <f>IFERROR(INDEX('LEV R&amp;D'!$D:$D,MATCH(MEDIÇÃO!R848,'LEV R&amp;D'!$A:$A,0))-INDEX('PROJETO PERFURAÇÃO'!$AH:$AH,MATCH(MEDIÇÃO!R848,'PROJETO PERFURAÇÃO'!$B:$B,0)),"")</f>
        <v/>
      </c>
      <c r="T848" s="8" t="str">
        <f>IFERROR(INDEX('PROJETO PERFURAÇÃO'!$AN:$AN,MATCH(MEDIÇÃO!R848,'PROJETO PERFURAÇÃO'!$B:$B,0)),"")</f>
        <v/>
      </c>
      <c r="U848" s="3"/>
      <c r="V848" s="3"/>
    </row>
    <row r="849" spans="2:22" ht="45" customHeight="1" x14ac:dyDescent="0.25">
      <c r="B849" s="3" t="str">
        <f>IFERROR(ROUND(INDEX('PROJETO PERFURAÇÃO'!$AB:$AB,MATCH(MEDIÇÃO!D849,'PROJETO PERFURAÇÃO'!$B:$B,0)),1)&amp;"''","")</f>
        <v/>
      </c>
      <c r="C849" s="3" t="str">
        <f>IFERROR(IF(INDEX('PROJETO PERFURAÇÃO'!$P:$P,MATCH(MEDIÇÃO!D849,'PROJETO PERFURAÇÃO'!$B:$B,0))="Production","P",IF(INDEX('PROJETO PERFURAÇÃO'!$P:$P,MATCH(MEDIÇÃO!D849,'PROJETO PERFURAÇÃO'!$B:$B,0))="Buffer","B",IF(INDEX('PROJETO PERFURAÇÃO'!$P:$P,MATCH(MEDIÇÃO!D849,'PROJETO PERFURAÇÃO'!$B:$B,0))="Pre-Splitting","S"))),"")</f>
        <v/>
      </c>
      <c r="D849" s="14">
        <f t="shared" si="81"/>
        <v>1871</v>
      </c>
      <c r="E849" s="4" t="str">
        <f>IFERROR(INDEX('LEV R&amp;D'!$D:$D,MATCH(MEDIÇÃO!D849,'LEV R&amp;D'!$A:$A,0))-INDEX('PROJETO PERFURAÇÃO'!$AH:$AH,MATCH(MEDIÇÃO!D849,'PROJETO PERFURAÇÃO'!$B:$B,0)),"")</f>
        <v/>
      </c>
      <c r="F849" s="8" t="str">
        <f>IFERROR(INDEX('PROJETO PERFURAÇÃO'!$AN:$AN,MATCH(MEDIÇÃO!D849,'PROJETO PERFURAÇÃO'!$B:$B,0)),"")</f>
        <v/>
      </c>
      <c r="G849" s="3"/>
      <c r="H849" s="3"/>
      <c r="I849" s="3" t="str">
        <f>IFERROR(ROUND(INDEX('PROJETO PERFURAÇÃO'!$AB:$AB,MATCH(MEDIÇÃO!K849,'PROJETO PERFURAÇÃO'!$B:$B,0)),1)&amp;"''","")</f>
        <v/>
      </c>
      <c r="J849" s="3" t="str">
        <f>IFERROR(IF(INDEX('PROJETO PERFURAÇÃO'!$P:$P,MATCH(MEDIÇÃO!K849,'PROJETO PERFURAÇÃO'!$B:$B,0))="Production","P",IF(INDEX('PROJETO PERFURAÇÃO'!$P:$P,MATCH(MEDIÇÃO!K849,'PROJETO PERFURAÇÃO'!$B:$B,0))="Buffer","B",IF(INDEX('PROJETO PERFURAÇÃO'!$P:$P,MATCH(MEDIÇÃO!K849,'PROJETO PERFURAÇÃO'!$B:$B,0))="Pre-Splitting","S"))),"")</f>
        <v/>
      </c>
      <c r="K849" s="14">
        <f t="shared" si="82"/>
        <v>1894</v>
      </c>
      <c r="L849" s="4" t="str">
        <f>IFERROR(INDEX('LEV R&amp;D'!$D:$D,MATCH(MEDIÇÃO!K849,'LEV R&amp;D'!$A:$A,0))-INDEX('PROJETO PERFURAÇÃO'!$AH:$AH,MATCH(MEDIÇÃO!K849,'PROJETO PERFURAÇÃO'!$B:$B,0)),"")</f>
        <v/>
      </c>
      <c r="M849" s="8" t="str">
        <f>IFERROR(INDEX('PROJETO PERFURAÇÃO'!$AN:$AN,MATCH(MEDIÇÃO!K849,'PROJETO PERFURAÇÃO'!$B:$B,0)),"")</f>
        <v/>
      </c>
      <c r="N849" s="3"/>
      <c r="O849" s="3"/>
      <c r="P849" s="3" t="str">
        <f>IFERROR(ROUND(INDEX('PROJETO PERFURAÇÃO'!$AB:$AB,MATCH(MEDIÇÃO!R849,'PROJETO PERFURAÇÃO'!$B:$B,0)),1)&amp;"''","")</f>
        <v/>
      </c>
      <c r="Q849" s="3" t="str">
        <f>IFERROR(IF(INDEX('PROJETO PERFURAÇÃO'!$P:$P,MATCH(MEDIÇÃO!R849,'PROJETO PERFURAÇÃO'!$B:$B,0))="Production","P",IF(INDEX('PROJETO PERFURAÇÃO'!$P:$P,MATCH(MEDIÇÃO!R849,'PROJETO PERFURAÇÃO'!$B:$B,0))="Buffer","B",IF(INDEX('PROJETO PERFURAÇÃO'!$P:$P,MATCH(MEDIÇÃO!R849,'PROJETO PERFURAÇÃO'!$B:$B,0))="Pre-Splitting","S"))),"")</f>
        <v/>
      </c>
      <c r="R849" s="14">
        <f t="shared" si="83"/>
        <v>1917</v>
      </c>
      <c r="S849" s="4" t="str">
        <f>IFERROR(INDEX('LEV R&amp;D'!$D:$D,MATCH(MEDIÇÃO!R849,'LEV R&amp;D'!$A:$A,0))-INDEX('PROJETO PERFURAÇÃO'!$AH:$AH,MATCH(MEDIÇÃO!R849,'PROJETO PERFURAÇÃO'!$B:$B,0)),"")</f>
        <v/>
      </c>
      <c r="T849" s="8" t="str">
        <f>IFERROR(INDEX('PROJETO PERFURAÇÃO'!$AN:$AN,MATCH(MEDIÇÃO!R849,'PROJETO PERFURAÇÃO'!$B:$B,0)),"")</f>
        <v/>
      </c>
      <c r="U849" s="3"/>
      <c r="V849" s="3"/>
    </row>
    <row r="850" spans="2:22" ht="45" customHeight="1" x14ac:dyDescent="0.25">
      <c r="B850" s="3" t="str">
        <f>IFERROR(ROUND(INDEX('PROJETO PERFURAÇÃO'!$AB:$AB,MATCH(MEDIÇÃO!D850,'PROJETO PERFURAÇÃO'!$B:$B,0)),1)&amp;"''","")</f>
        <v/>
      </c>
      <c r="C850" s="3" t="str">
        <f>IFERROR(IF(INDEX('PROJETO PERFURAÇÃO'!$P:$P,MATCH(MEDIÇÃO!D850,'PROJETO PERFURAÇÃO'!$B:$B,0))="Production","P",IF(INDEX('PROJETO PERFURAÇÃO'!$P:$P,MATCH(MEDIÇÃO!D850,'PROJETO PERFURAÇÃO'!$B:$B,0))="Buffer","B",IF(INDEX('PROJETO PERFURAÇÃO'!$P:$P,MATCH(MEDIÇÃO!D850,'PROJETO PERFURAÇÃO'!$B:$B,0))="Pre-Splitting","S"))),"")</f>
        <v/>
      </c>
      <c r="D850" s="14">
        <f t="shared" si="81"/>
        <v>1872</v>
      </c>
      <c r="E850" s="4" t="str">
        <f>IFERROR(INDEX('LEV R&amp;D'!$D:$D,MATCH(MEDIÇÃO!D850,'LEV R&amp;D'!$A:$A,0))-INDEX('PROJETO PERFURAÇÃO'!$AH:$AH,MATCH(MEDIÇÃO!D850,'PROJETO PERFURAÇÃO'!$B:$B,0)),"")</f>
        <v/>
      </c>
      <c r="F850" s="8" t="str">
        <f>IFERROR(INDEX('PROJETO PERFURAÇÃO'!$AN:$AN,MATCH(MEDIÇÃO!D850,'PROJETO PERFURAÇÃO'!$B:$B,0)),"")</f>
        <v/>
      </c>
      <c r="G850" s="3"/>
      <c r="H850" s="3"/>
      <c r="I850" s="3" t="str">
        <f>IFERROR(ROUND(INDEX('PROJETO PERFURAÇÃO'!$AB:$AB,MATCH(MEDIÇÃO!K850,'PROJETO PERFURAÇÃO'!$B:$B,0)),1)&amp;"''","")</f>
        <v/>
      </c>
      <c r="J850" s="3" t="str">
        <f>IFERROR(IF(INDEX('PROJETO PERFURAÇÃO'!$P:$P,MATCH(MEDIÇÃO!K850,'PROJETO PERFURAÇÃO'!$B:$B,0))="Production","P",IF(INDEX('PROJETO PERFURAÇÃO'!$P:$P,MATCH(MEDIÇÃO!K850,'PROJETO PERFURAÇÃO'!$B:$B,0))="Buffer","B",IF(INDEX('PROJETO PERFURAÇÃO'!$P:$P,MATCH(MEDIÇÃO!K850,'PROJETO PERFURAÇÃO'!$B:$B,0))="Pre-Splitting","S"))),"")</f>
        <v/>
      </c>
      <c r="K850" s="14">
        <f t="shared" si="82"/>
        <v>1895</v>
      </c>
      <c r="L850" s="4" t="str">
        <f>IFERROR(INDEX('LEV R&amp;D'!$D:$D,MATCH(MEDIÇÃO!K850,'LEV R&amp;D'!$A:$A,0))-INDEX('PROJETO PERFURAÇÃO'!$AH:$AH,MATCH(MEDIÇÃO!K850,'PROJETO PERFURAÇÃO'!$B:$B,0)),"")</f>
        <v/>
      </c>
      <c r="M850" s="8" t="str">
        <f>IFERROR(INDEX('PROJETO PERFURAÇÃO'!$AN:$AN,MATCH(MEDIÇÃO!K850,'PROJETO PERFURAÇÃO'!$B:$B,0)),"")</f>
        <v/>
      </c>
      <c r="N850" s="3"/>
      <c r="O850" s="3"/>
      <c r="P850" s="3" t="str">
        <f>IFERROR(ROUND(INDEX('PROJETO PERFURAÇÃO'!$AB:$AB,MATCH(MEDIÇÃO!R850,'PROJETO PERFURAÇÃO'!$B:$B,0)),1)&amp;"''","")</f>
        <v/>
      </c>
      <c r="Q850" s="3" t="str">
        <f>IFERROR(IF(INDEX('PROJETO PERFURAÇÃO'!$P:$P,MATCH(MEDIÇÃO!R850,'PROJETO PERFURAÇÃO'!$B:$B,0))="Production","P",IF(INDEX('PROJETO PERFURAÇÃO'!$P:$P,MATCH(MEDIÇÃO!R850,'PROJETO PERFURAÇÃO'!$B:$B,0))="Buffer","B",IF(INDEX('PROJETO PERFURAÇÃO'!$P:$P,MATCH(MEDIÇÃO!R850,'PROJETO PERFURAÇÃO'!$B:$B,0))="Pre-Splitting","S"))),"")</f>
        <v/>
      </c>
      <c r="R850" s="14">
        <f t="shared" si="83"/>
        <v>1918</v>
      </c>
      <c r="S850" s="4" t="str">
        <f>IFERROR(INDEX('LEV R&amp;D'!$D:$D,MATCH(MEDIÇÃO!R850,'LEV R&amp;D'!$A:$A,0))-INDEX('PROJETO PERFURAÇÃO'!$AH:$AH,MATCH(MEDIÇÃO!R850,'PROJETO PERFURAÇÃO'!$B:$B,0)),"")</f>
        <v/>
      </c>
      <c r="T850" s="8" t="str">
        <f>IFERROR(INDEX('PROJETO PERFURAÇÃO'!$AN:$AN,MATCH(MEDIÇÃO!R850,'PROJETO PERFURAÇÃO'!$B:$B,0)),"")</f>
        <v/>
      </c>
      <c r="U850" s="3"/>
      <c r="V850" s="3"/>
    </row>
    <row r="851" spans="2:22" ht="45" customHeight="1" x14ac:dyDescent="0.25">
      <c r="B851" s="3" t="str">
        <f>IFERROR(ROUND(INDEX('PROJETO PERFURAÇÃO'!$AB:$AB,MATCH(MEDIÇÃO!D851,'PROJETO PERFURAÇÃO'!$B:$B,0)),1)&amp;"''","")</f>
        <v/>
      </c>
      <c r="C851" s="3" t="str">
        <f>IFERROR(IF(INDEX('PROJETO PERFURAÇÃO'!$P:$P,MATCH(MEDIÇÃO!D851,'PROJETO PERFURAÇÃO'!$B:$B,0))="Production","P",IF(INDEX('PROJETO PERFURAÇÃO'!$P:$P,MATCH(MEDIÇÃO!D851,'PROJETO PERFURAÇÃO'!$B:$B,0))="Buffer","B",IF(INDEX('PROJETO PERFURAÇÃO'!$P:$P,MATCH(MEDIÇÃO!D851,'PROJETO PERFURAÇÃO'!$B:$B,0))="Pre-Splitting","S"))),"")</f>
        <v/>
      </c>
      <c r="D851" s="14">
        <f t="shared" si="81"/>
        <v>1873</v>
      </c>
      <c r="E851" s="4" t="str">
        <f>IFERROR(INDEX('LEV R&amp;D'!$D:$D,MATCH(MEDIÇÃO!D851,'LEV R&amp;D'!$A:$A,0))-INDEX('PROJETO PERFURAÇÃO'!$AH:$AH,MATCH(MEDIÇÃO!D851,'PROJETO PERFURAÇÃO'!$B:$B,0)),"")</f>
        <v/>
      </c>
      <c r="F851" s="8" t="str">
        <f>IFERROR(INDEX('PROJETO PERFURAÇÃO'!$AN:$AN,MATCH(MEDIÇÃO!D851,'PROJETO PERFURAÇÃO'!$B:$B,0)),"")</f>
        <v/>
      </c>
      <c r="G851" s="3"/>
      <c r="H851" s="3"/>
      <c r="I851" s="3" t="str">
        <f>IFERROR(ROUND(INDEX('PROJETO PERFURAÇÃO'!$AB:$AB,MATCH(MEDIÇÃO!K851,'PROJETO PERFURAÇÃO'!$B:$B,0)),1)&amp;"''","")</f>
        <v/>
      </c>
      <c r="J851" s="3" t="str">
        <f>IFERROR(IF(INDEX('PROJETO PERFURAÇÃO'!$P:$P,MATCH(MEDIÇÃO!K851,'PROJETO PERFURAÇÃO'!$B:$B,0))="Production","P",IF(INDEX('PROJETO PERFURAÇÃO'!$P:$P,MATCH(MEDIÇÃO!K851,'PROJETO PERFURAÇÃO'!$B:$B,0))="Buffer","B",IF(INDEX('PROJETO PERFURAÇÃO'!$P:$P,MATCH(MEDIÇÃO!K851,'PROJETO PERFURAÇÃO'!$B:$B,0))="Pre-Splitting","S"))),"")</f>
        <v/>
      </c>
      <c r="K851" s="14">
        <f t="shared" si="82"/>
        <v>1896</v>
      </c>
      <c r="L851" s="4" t="str">
        <f>IFERROR(INDEX('LEV R&amp;D'!$D:$D,MATCH(MEDIÇÃO!K851,'LEV R&amp;D'!$A:$A,0))-INDEX('PROJETO PERFURAÇÃO'!$AH:$AH,MATCH(MEDIÇÃO!K851,'PROJETO PERFURAÇÃO'!$B:$B,0)),"")</f>
        <v/>
      </c>
      <c r="M851" s="8" t="str">
        <f>IFERROR(INDEX('PROJETO PERFURAÇÃO'!$AN:$AN,MATCH(MEDIÇÃO!K851,'PROJETO PERFURAÇÃO'!$B:$B,0)),"")</f>
        <v/>
      </c>
      <c r="N851" s="3"/>
      <c r="O851" s="3"/>
      <c r="P851" s="3" t="str">
        <f>IFERROR(ROUND(INDEX('PROJETO PERFURAÇÃO'!$AB:$AB,MATCH(MEDIÇÃO!R851,'PROJETO PERFURAÇÃO'!$B:$B,0)),1)&amp;"''","")</f>
        <v/>
      </c>
      <c r="Q851" s="3" t="str">
        <f>IFERROR(IF(INDEX('PROJETO PERFURAÇÃO'!$P:$P,MATCH(MEDIÇÃO!R851,'PROJETO PERFURAÇÃO'!$B:$B,0))="Production","P",IF(INDEX('PROJETO PERFURAÇÃO'!$P:$P,MATCH(MEDIÇÃO!R851,'PROJETO PERFURAÇÃO'!$B:$B,0))="Buffer","B",IF(INDEX('PROJETO PERFURAÇÃO'!$P:$P,MATCH(MEDIÇÃO!R851,'PROJETO PERFURAÇÃO'!$B:$B,0))="Pre-Splitting","S"))),"")</f>
        <v/>
      </c>
      <c r="R851" s="14">
        <f t="shared" si="83"/>
        <v>1919</v>
      </c>
      <c r="S851" s="4" t="str">
        <f>IFERROR(INDEX('LEV R&amp;D'!$D:$D,MATCH(MEDIÇÃO!R851,'LEV R&amp;D'!$A:$A,0))-INDEX('PROJETO PERFURAÇÃO'!$AH:$AH,MATCH(MEDIÇÃO!R851,'PROJETO PERFURAÇÃO'!$B:$B,0)),"")</f>
        <v/>
      </c>
      <c r="T851" s="8" t="str">
        <f>IFERROR(INDEX('PROJETO PERFURAÇÃO'!$AN:$AN,MATCH(MEDIÇÃO!R851,'PROJETO PERFURAÇÃO'!$B:$B,0)),"")</f>
        <v/>
      </c>
      <c r="U851" s="3"/>
      <c r="V851" s="3"/>
    </row>
    <row r="852" spans="2:22" ht="45" customHeight="1" x14ac:dyDescent="0.25">
      <c r="B852" s="3" t="str">
        <f>IFERROR(ROUND(INDEX('PROJETO PERFURAÇÃO'!$AB:$AB,MATCH(MEDIÇÃO!D852,'PROJETO PERFURAÇÃO'!$B:$B,0)),1)&amp;"''","")</f>
        <v/>
      </c>
      <c r="C852" s="3" t="str">
        <f>IFERROR(IF(INDEX('PROJETO PERFURAÇÃO'!$P:$P,MATCH(MEDIÇÃO!D852,'PROJETO PERFURAÇÃO'!$B:$B,0))="Production","P",IF(INDEX('PROJETO PERFURAÇÃO'!$P:$P,MATCH(MEDIÇÃO!D852,'PROJETO PERFURAÇÃO'!$B:$B,0))="Buffer","B",IF(INDEX('PROJETO PERFURAÇÃO'!$P:$P,MATCH(MEDIÇÃO!D852,'PROJETO PERFURAÇÃO'!$B:$B,0))="Pre-Splitting","S"))),"")</f>
        <v/>
      </c>
      <c r="D852" s="14">
        <f t="shared" si="81"/>
        <v>1874</v>
      </c>
      <c r="E852" s="4" t="str">
        <f>IFERROR(INDEX('LEV R&amp;D'!$D:$D,MATCH(MEDIÇÃO!D852,'LEV R&amp;D'!$A:$A,0))-INDEX('PROJETO PERFURAÇÃO'!$AH:$AH,MATCH(MEDIÇÃO!D852,'PROJETO PERFURAÇÃO'!$B:$B,0)),"")</f>
        <v/>
      </c>
      <c r="F852" s="8" t="str">
        <f>IFERROR(INDEX('PROJETO PERFURAÇÃO'!$AN:$AN,MATCH(MEDIÇÃO!D852,'PROJETO PERFURAÇÃO'!$B:$B,0)),"")</f>
        <v/>
      </c>
      <c r="G852" s="3"/>
      <c r="H852" s="3"/>
      <c r="I852" s="3" t="str">
        <f>IFERROR(ROUND(INDEX('PROJETO PERFURAÇÃO'!$AB:$AB,MATCH(MEDIÇÃO!K852,'PROJETO PERFURAÇÃO'!$B:$B,0)),1)&amp;"''","")</f>
        <v/>
      </c>
      <c r="J852" s="3" t="str">
        <f>IFERROR(IF(INDEX('PROJETO PERFURAÇÃO'!$P:$P,MATCH(MEDIÇÃO!K852,'PROJETO PERFURAÇÃO'!$B:$B,0))="Production","P",IF(INDEX('PROJETO PERFURAÇÃO'!$P:$P,MATCH(MEDIÇÃO!K852,'PROJETO PERFURAÇÃO'!$B:$B,0))="Buffer","B",IF(INDEX('PROJETO PERFURAÇÃO'!$P:$P,MATCH(MEDIÇÃO!K852,'PROJETO PERFURAÇÃO'!$B:$B,0))="Pre-Splitting","S"))),"")</f>
        <v/>
      </c>
      <c r="K852" s="14">
        <f t="shared" si="82"/>
        <v>1897</v>
      </c>
      <c r="L852" s="4" t="str">
        <f>IFERROR(INDEX('LEV R&amp;D'!$D:$D,MATCH(MEDIÇÃO!K852,'LEV R&amp;D'!$A:$A,0))-INDEX('PROJETO PERFURAÇÃO'!$AH:$AH,MATCH(MEDIÇÃO!K852,'PROJETO PERFURAÇÃO'!$B:$B,0)),"")</f>
        <v/>
      </c>
      <c r="M852" s="8" t="str">
        <f>IFERROR(INDEX('PROJETO PERFURAÇÃO'!$AN:$AN,MATCH(MEDIÇÃO!K852,'PROJETO PERFURAÇÃO'!$B:$B,0)),"")</f>
        <v/>
      </c>
      <c r="N852" s="3"/>
      <c r="O852" s="3"/>
      <c r="P852" s="3" t="str">
        <f>IFERROR(ROUND(INDEX('PROJETO PERFURAÇÃO'!$AB:$AB,MATCH(MEDIÇÃO!R852,'PROJETO PERFURAÇÃO'!$B:$B,0)),1)&amp;"''","")</f>
        <v/>
      </c>
      <c r="Q852" s="3" t="str">
        <f>IFERROR(IF(INDEX('PROJETO PERFURAÇÃO'!$P:$P,MATCH(MEDIÇÃO!R852,'PROJETO PERFURAÇÃO'!$B:$B,0))="Production","P",IF(INDEX('PROJETO PERFURAÇÃO'!$P:$P,MATCH(MEDIÇÃO!R852,'PROJETO PERFURAÇÃO'!$B:$B,0))="Buffer","B",IF(INDEX('PROJETO PERFURAÇÃO'!$P:$P,MATCH(MEDIÇÃO!R852,'PROJETO PERFURAÇÃO'!$B:$B,0))="Pre-Splitting","S"))),"")</f>
        <v/>
      </c>
      <c r="R852" s="14">
        <f t="shared" si="83"/>
        <v>1920</v>
      </c>
      <c r="S852" s="4" t="str">
        <f>IFERROR(INDEX('LEV R&amp;D'!$D:$D,MATCH(MEDIÇÃO!R852,'LEV R&amp;D'!$A:$A,0))-INDEX('PROJETO PERFURAÇÃO'!$AH:$AH,MATCH(MEDIÇÃO!R852,'PROJETO PERFURAÇÃO'!$B:$B,0)),"")</f>
        <v/>
      </c>
      <c r="T852" s="8" t="str">
        <f>IFERROR(INDEX('PROJETO PERFURAÇÃO'!$AN:$AN,MATCH(MEDIÇÃO!R852,'PROJETO PERFURAÇÃO'!$B:$B,0)),"")</f>
        <v/>
      </c>
      <c r="U852" s="3"/>
      <c r="V852" s="3"/>
    </row>
    <row r="853" spans="2:22" ht="45" customHeight="1" x14ac:dyDescent="0.25">
      <c r="B853" s="3" t="str">
        <f>IFERROR(ROUND(INDEX('PROJETO PERFURAÇÃO'!$AB:$AB,MATCH(MEDIÇÃO!D853,'PROJETO PERFURAÇÃO'!$B:$B,0)),1)&amp;"''","")</f>
        <v/>
      </c>
      <c r="C853" s="3" t="str">
        <f>IFERROR(IF(INDEX('PROJETO PERFURAÇÃO'!$P:$P,MATCH(MEDIÇÃO!D853,'PROJETO PERFURAÇÃO'!$B:$B,0))="Production","P",IF(INDEX('PROJETO PERFURAÇÃO'!$P:$P,MATCH(MEDIÇÃO!D853,'PROJETO PERFURAÇÃO'!$B:$B,0))="Buffer","B",IF(INDEX('PROJETO PERFURAÇÃO'!$P:$P,MATCH(MEDIÇÃO!D853,'PROJETO PERFURAÇÃO'!$B:$B,0))="Pre-Splitting","S"))),"")</f>
        <v/>
      </c>
      <c r="D853" s="14">
        <f t="shared" si="81"/>
        <v>1875</v>
      </c>
      <c r="E853" s="4" t="str">
        <f>IFERROR(INDEX('LEV R&amp;D'!$D:$D,MATCH(MEDIÇÃO!D853,'LEV R&amp;D'!$A:$A,0))-INDEX('PROJETO PERFURAÇÃO'!$AH:$AH,MATCH(MEDIÇÃO!D853,'PROJETO PERFURAÇÃO'!$B:$B,0)),"")</f>
        <v/>
      </c>
      <c r="F853" s="8" t="str">
        <f>IFERROR(INDEX('PROJETO PERFURAÇÃO'!$AN:$AN,MATCH(MEDIÇÃO!D853,'PROJETO PERFURAÇÃO'!$B:$B,0)),"")</f>
        <v/>
      </c>
      <c r="G853" s="3"/>
      <c r="H853" s="3"/>
      <c r="I853" s="3" t="str">
        <f>IFERROR(ROUND(INDEX('PROJETO PERFURAÇÃO'!$AB:$AB,MATCH(MEDIÇÃO!K853,'PROJETO PERFURAÇÃO'!$B:$B,0)),1)&amp;"''","")</f>
        <v/>
      </c>
      <c r="J853" s="3" t="str">
        <f>IFERROR(IF(INDEX('PROJETO PERFURAÇÃO'!$P:$P,MATCH(MEDIÇÃO!K853,'PROJETO PERFURAÇÃO'!$B:$B,0))="Production","P",IF(INDEX('PROJETO PERFURAÇÃO'!$P:$P,MATCH(MEDIÇÃO!K853,'PROJETO PERFURAÇÃO'!$B:$B,0))="Buffer","B",IF(INDEX('PROJETO PERFURAÇÃO'!$P:$P,MATCH(MEDIÇÃO!K853,'PROJETO PERFURAÇÃO'!$B:$B,0))="Pre-Splitting","S"))),"")</f>
        <v/>
      </c>
      <c r="K853" s="14">
        <f t="shared" si="82"/>
        <v>1898</v>
      </c>
      <c r="L853" s="4" t="str">
        <f>IFERROR(INDEX('LEV R&amp;D'!$D:$D,MATCH(MEDIÇÃO!K853,'LEV R&amp;D'!$A:$A,0))-INDEX('PROJETO PERFURAÇÃO'!$AH:$AH,MATCH(MEDIÇÃO!K853,'PROJETO PERFURAÇÃO'!$B:$B,0)),"")</f>
        <v/>
      </c>
      <c r="M853" s="8" t="str">
        <f>IFERROR(INDEX('PROJETO PERFURAÇÃO'!$AN:$AN,MATCH(MEDIÇÃO!K853,'PROJETO PERFURAÇÃO'!$B:$B,0)),"")</f>
        <v/>
      </c>
      <c r="N853" s="3"/>
      <c r="O853" s="3"/>
      <c r="P853" s="3" t="str">
        <f>IFERROR(ROUND(INDEX('PROJETO PERFURAÇÃO'!$AB:$AB,MATCH(MEDIÇÃO!R853,'PROJETO PERFURAÇÃO'!$B:$B,0)),1)&amp;"''","")</f>
        <v/>
      </c>
      <c r="Q853" s="3" t="str">
        <f>IFERROR(IF(INDEX('PROJETO PERFURAÇÃO'!$P:$P,MATCH(MEDIÇÃO!R853,'PROJETO PERFURAÇÃO'!$B:$B,0))="Production","P",IF(INDEX('PROJETO PERFURAÇÃO'!$P:$P,MATCH(MEDIÇÃO!R853,'PROJETO PERFURAÇÃO'!$B:$B,0))="Buffer","B",IF(INDEX('PROJETO PERFURAÇÃO'!$P:$P,MATCH(MEDIÇÃO!R853,'PROJETO PERFURAÇÃO'!$B:$B,0))="Pre-Splitting","S"))),"")</f>
        <v/>
      </c>
      <c r="R853" s="14">
        <f t="shared" si="83"/>
        <v>1921</v>
      </c>
      <c r="S853" s="4" t="str">
        <f>IFERROR(INDEX('LEV R&amp;D'!$D:$D,MATCH(MEDIÇÃO!R853,'LEV R&amp;D'!$A:$A,0))-INDEX('PROJETO PERFURAÇÃO'!$AH:$AH,MATCH(MEDIÇÃO!R853,'PROJETO PERFURAÇÃO'!$B:$B,0)),"")</f>
        <v/>
      </c>
      <c r="T853" s="8" t="str">
        <f>IFERROR(INDEX('PROJETO PERFURAÇÃO'!$AN:$AN,MATCH(MEDIÇÃO!R853,'PROJETO PERFURAÇÃO'!$B:$B,0)),"")</f>
        <v/>
      </c>
      <c r="U853" s="3"/>
      <c r="V853" s="3"/>
    </row>
    <row r="854" spans="2:22" ht="45" customHeight="1" x14ac:dyDescent="0.25">
      <c r="B854" s="3" t="str">
        <f>IFERROR(ROUND(INDEX('PROJETO PERFURAÇÃO'!$AB:$AB,MATCH(MEDIÇÃO!D854,'PROJETO PERFURAÇÃO'!$B:$B,0)),1)&amp;"''","")</f>
        <v/>
      </c>
      <c r="C854" s="3" t="str">
        <f>IFERROR(IF(INDEX('PROJETO PERFURAÇÃO'!$P:$P,MATCH(MEDIÇÃO!D854,'PROJETO PERFURAÇÃO'!$B:$B,0))="Production","P",IF(INDEX('PROJETO PERFURAÇÃO'!$P:$P,MATCH(MEDIÇÃO!D854,'PROJETO PERFURAÇÃO'!$B:$B,0))="Buffer","B",IF(INDEX('PROJETO PERFURAÇÃO'!$P:$P,MATCH(MEDIÇÃO!D854,'PROJETO PERFURAÇÃO'!$B:$B,0))="Pre-Splitting","S"))),"")</f>
        <v/>
      </c>
      <c r="D854" s="14">
        <f t="shared" si="81"/>
        <v>1876</v>
      </c>
      <c r="E854" s="4" t="str">
        <f>IFERROR(INDEX('LEV R&amp;D'!$D:$D,MATCH(MEDIÇÃO!D854,'LEV R&amp;D'!$A:$A,0))-INDEX('PROJETO PERFURAÇÃO'!$AH:$AH,MATCH(MEDIÇÃO!D854,'PROJETO PERFURAÇÃO'!$B:$B,0)),"")</f>
        <v/>
      </c>
      <c r="F854" s="8" t="str">
        <f>IFERROR(INDEX('PROJETO PERFURAÇÃO'!$AN:$AN,MATCH(MEDIÇÃO!D854,'PROJETO PERFURAÇÃO'!$B:$B,0)),"")</f>
        <v/>
      </c>
      <c r="G854" s="3"/>
      <c r="H854" s="3"/>
      <c r="I854" s="3" t="str">
        <f>IFERROR(ROUND(INDEX('PROJETO PERFURAÇÃO'!$AB:$AB,MATCH(MEDIÇÃO!K854,'PROJETO PERFURAÇÃO'!$B:$B,0)),1)&amp;"''","")</f>
        <v/>
      </c>
      <c r="J854" s="3" t="str">
        <f>IFERROR(IF(INDEX('PROJETO PERFURAÇÃO'!$P:$P,MATCH(MEDIÇÃO!K854,'PROJETO PERFURAÇÃO'!$B:$B,0))="Production","P",IF(INDEX('PROJETO PERFURAÇÃO'!$P:$P,MATCH(MEDIÇÃO!K854,'PROJETO PERFURAÇÃO'!$B:$B,0))="Buffer","B",IF(INDEX('PROJETO PERFURAÇÃO'!$P:$P,MATCH(MEDIÇÃO!K854,'PROJETO PERFURAÇÃO'!$B:$B,0))="Pre-Splitting","S"))),"")</f>
        <v/>
      </c>
      <c r="K854" s="14">
        <f t="shared" si="82"/>
        <v>1899</v>
      </c>
      <c r="L854" s="4" t="str">
        <f>IFERROR(INDEX('LEV R&amp;D'!$D:$D,MATCH(MEDIÇÃO!K854,'LEV R&amp;D'!$A:$A,0))-INDEX('PROJETO PERFURAÇÃO'!$AH:$AH,MATCH(MEDIÇÃO!K854,'PROJETO PERFURAÇÃO'!$B:$B,0)),"")</f>
        <v/>
      </c>
      <c r="M854" s="8" t="str">
        <f>IFERROR(INDEX('PROJETO PERFURAÇÃO'!$AN:$AN,MATCH(MEDIÇÃO!K854,'PROJETO PERFURAÇÃO'!$B:$B,0)),"")</f>
        <v/>
      </c>
      <c r="N854" s="3"/>
      <c r="O854" s="3"/>
      <c r="P854" s="3" t="str">
        <f>IFERROR(ROUND(INDEX('PROJETO PERFURAÇÃO'!$AB:$AB,MATCH(MEDIÇÃO!R854,'PROJETO PERFURAÇÃO'!$B:$B,0)),1)&amp;"''","")</f>
        <v/>
      </c>
      <c r="Q854" s="3" t="str">
        <f>IFERROR(IF(INDEX('PROJETO PERFURAÇÃO'!$P:$P,MATCH(MEDIÇÃO!R854,'PROJETO PERFURAÇÃO'!$B:$B,0))="Production","P",IF(INDEX('PROJETO PERFURAÇÃO'!$P:$P,MATCH(MEDIÇÃO!R854,'PROJETO PERFURAÇÃO'!$B:$B,0))="Buffer","B",IF(INDEX('PROJETO PERFURAÇÃO'!$P:$P,MATCH(MEDIÇÃO!R854,'PROJETO PERFURAÇÃO'!$B:$B,0))="Pre-Splitting","S"))),"")</f>
        <v/>
      </c>
      <c r="R854" s="14">
        <f t="shared" si="83"/>
        <v>1922</v>
      </c>
      <c r="S854" s="4" t="str">
        <f>IFERROR(INDEX('LEV R&amp;D'!$D:$D,MATCH(MEDIÇÃO!R854,'LEV R&amp;D'!$A:$A,0))-INDEX('PROJETO PERFURAÇÃO'!$AH:$AH,MATCH(MEDIÇÃO!R854,'PROJETO PERFURAÇÃO'!$B:$B,0)),"")</f>
        <v/>
      </c>
      <c r="T854" s="8" t="str">
        <f>IFERROR(INDEX('PROJETO PERFURAÇÃO'!$AN:$AN,MATCH(MEDIÇÃO!R854,'PROJETO PERFURAÇÃO'!$B:$B,0)),"")</f>
        <v/>
      </c>
      <c r="U854" s="3"/>
      <c r="V854" s="3"/>
    </row>
    <row r="855" spans="2:22" ht="45" customHeight="1" x14ac:dyDescent="0.25">
      <c r="B855" s="3" t="str">
        <f>IFERROR(ROUND(INDEX('PROJETO PERFURAÇÃO'!$AB:$AB,MATCH(MEDIÇÃO!D855,'PROJETO PERFURAÇÃO'!$B:$B,0)),1)&amp;"''","")</f>
        <v/>
      </c>
      <c r="C855" s="3" t="str">
        <f>IFERROR(IF(INDEX('PROJETO PERFURAÇÃO'!$P:$P,MATCH(MEDIÇÃO!D855,'PROJETO PERFURAÇÃO'!$B:$B,0))="Production","P",IF(INDEX('PROJETO PERFURAÇÃO'!$P:$P,MATCH(MEDIÇÃO!D855,'PROJETO PERFURAÇÃO'!$B:$B,0))="Buffer","B",IF(INDEX('PROJETO PERFURAÇÃO'!$P:$P,MATCH(MEDIÇÃO!D855,'PROJETO PERFURAÇÃO'!$B:$B,0))="Pre-Splitting","S"))),"")</f>
        <v/>
      </c>
      <c r="D855" s="14">
        <f t="shared" si="81"/>
        <v>1877</v>
      </c>
      <c r="E855" s="4" t="str">
        <f>IFERROR(INDEX('LEV R&amp;D'!$D:$D,MATCH(MEDIÇÃO!D855,'LEV R&amp;D'!$A:$A,0))-INDEX('PROJETO PERFURAÇÃO'!$AH:$AH,MATCH(MEDIÇÃO!D855,'PROJETO PERFURAÇÃO'!$B:$B,0)),"")</f>
        <v/>
      </c>
      <c r="F855" s="8" t="str">
        <f>IFERROR(INDEX('PROJETO PERFURAÇÃO'!$AN:$AN,MATCH(MEDIÇÃO!D855,'PROJETO PERFURAÇÃO'!$B:$B,0)),"")</f>
        <v/>
      </c>
      <c r="G855" s="3"/>
      <c r="H855" s="3"/>
      <c r="I855" s="3" t="str">
        <f>IFERROR(ROUND(INDEX('PROJETO PERFURAÇÃO'!$AB:$AB,MATCH(MEDIÇÃO!K855,'PROJETO PERFURAÇÃO'!$B:$B,0)),1)&amp;"''","")</f>
        <v/>
      </c>
      <c r="J855" s="3" t="str">
        <f>IFERROR(IF(INDEX('PROJETO PERFURAÇÃO'!$P:$P,MATCH(MEDIÇÃO!K855,'PROJETO PERFURAÇÃO'!$B:$B,0))="Production","P",IF(INDEX('PROJETO PERFURAÇÃO'!$P:$P,MATCH(MEDIÇÃO!K855,'PROJETO PERFURAÇÃO'!$B:$B,0))="Buffer","B",IF(INDEX('PROJETO PERFURAÇÃO'!$P:$P,MATCH(MEDIÇÃO!K855,'PROJETO PERFURAÇÃO'!$B:$B,0))="Pre-Splitting","S"))),"")</f>
        <v/>
      </c>
      <c r="K855" s="14">
        <f t="shared" si="82"/>
        <v>1900</v>
      </c>
      <c r="L855" s="4" t="str">
        <f>IFERROR(INDEX('LEV R&amp;D'!$D:$D,MATCH(MEDIÇÃO!K855,'LEV R&amp;D'!$A:$A,0))-INDEX('PROJETO PERFURAÇÃO'!$AH:$AH,MATCH(MEDIÇÃO!K855,'PROJETO PERFURAÇÃO'!$B:$B,0)),"")</f>
        <v/>
      </c>
      <c r="M855" s="8" t="str">
        <f>IFERROR(INDEX('PROJETO PERFURAÇÃO'!$AN:$AN,MATCH(MEDIÇÃO!K855,'PROJETO PERFURAÇÃO'!$B:$B,0)),"")</f>
        <v/>
      </c>
      <c r="N855" s="3"/>
      <c r="O855" s="3"/>
      <c r="P855" s="3" t="str">
        <f>IFERROR(ROUND(INDEX('PROJETO PERFURAÇÃO'!$AB:$AB,MATCH(MEDIÇÃO!R855,'PROJETO PERFURAÇÃO'!$B:$B,0)),1)&amp;"''","")</f>
        <v/>
      </c>
      <c r="Q855" s="3" t="str">
        <f>IFERROR(IF(INDEX('PROJETO PERFURAÇÃO'!$P:$P,MATCH(MEDIÇÃO!R855,'PROJETO PERFURAÇÃO'!$B:$B,0))="Production","P",IF(INDEX('PROJETO PERFURAÇÃO'!$P:$P,MATCH(MEDIÇÃO!R855,'PROJETO PERFURAÇÃO'!$B:$B,0))="Buffer","B",IF(INDEX('PROJETO PERFURAÇÃO'!$P:$P,MATCH(MEDIÇÃO!R855,'PROJETO PERFURAÇÃO'!$B:$B,0))="Pre-Splitting","S"))),"")</f>
        <v/>
      </c>
      <c r="R855" s="14">
        <f t="shared" si="83"/>
        <v>1923</v>
      </c>
      <c r="S855" s="4" t="str">
        <f>IFERROR(INDEX('LEV R&amp;D'!$D:$D,MATCH(MEDIÇÃO!R855,'LEV R&amp;D'!$A:$A,0))-INDEX('PROJETO PERFURAÇÃO'!$AH:$AH,MATCH(MEDIÇÃO!R855,'PROJETO PERFURAÇÃO'!$B:$B,0)),"")</f>
        <v/>
      </c>
      <c r="T855" s="8" t="str">
        <f>IFERROR(INDEX('PROJETO PERFURAÇÃO'!$AN:$AN,MATCH(MEDIÇÃO!R855,'PROJETO PERFURAÇÃO'!$B:$B,0)),"")</f>
        <v/>
      </c>
      <c r="U855" s="3"/>
      <c r="V855" s="3"/>
    </row>
    <row r="856" spans="2:22" ht="45" customHeight="1" x14ac:dyDescent="0.25">
      <c r="B856" s="3" t="str">
        <f>IFERROR(ROUND(INDEX('PROJETO PERFURAÇÃO'!$AB:$AB,MATCH(MEDIÇÃO!D856,'PROJETO PERFURAÇÃO'!$B:$B,0)),1)&amp;"''","")</f>
        <v/>
      </c>
      <c r="C856" s="3" t="str">
        <f>IFERROR(IF(INDEX('PROJETO PERFURAÇÃO'!$P:$P,MATCH(MEDIÇÃO!D856,'PROJETO PERFURAÇÃO'!$B:$B,0))="Production","P",IF(INDEX('PROJETO PERFURAÇÃO'!$P:$P,MATCH(MEDIÇÃO!D856,'PROJETO PERFURAÇÃO'!$B:$B,0))="Buffer","B",IF(INDEX('PROJETO PERFURAÇÃO'!$P:$P,MATCH(MEDIÇÃO!D856,'PROJETO PERFURAÇÃO'!$B:$B,0))="Pre-Splitting","S"))),"")</f>
        <v/>
      </c>
      <c r="D856" s="14">
        <f t="shared" si="81"/>
        <v>1878</v>
      </c>
      <c r="E856" s="4" t="str">
        <f>IFERROR(INDEX('LEV R&amp;D'!$D:$D,MATCH(MEDIÇÃO!D856,'LEV R&amp;D'!$A:$A,0))-INDEX('PROJETO PERFURAÇÃO'!$AH:$AH,MATCH(MEDIÇÃO!D856,'PROJETO PERFURAÇÃO'!$B:$B,0)),"")</f>
        <v/>
      </c>
      <c r="F856" s="8" t="str">
        <f>IFERROR(INDEX('PROJETO PERFURAÇÃO'!$AN:$AN,MATCH(MEDIÇÃO!D856,'PROJETO PERFURAÇÃO'!$B:$B,0)),"")</f>
        <v/>
      </c>
      <c r="G856" s="3"/>
      <c r="H856" s="3"/>
      <c r="I856" s="3" t="str">
        <f>IFERROR(ROUND(INDEX('PROJETO PERFURAÇÃO'!$AB:$AB,MATCH(MEDIÇÃO!K856,'PROJETO PERFURAÇÃO'!$B:$B,0)),1)&amp;"''","")</f>
        <v/>
      </c>
      <c r="J856" s="3" t="str">
        <f>IFERROR(IF(INDEX('PROJETO PERFURAÇÃO'!$P:$P,MATCH(MEDIÇÃO!K856,'PROJETO PERFURAÇÃO'!$B:$B,0))="Production","P",IF(INDEX('PROJETO PERFURAÇÃO'!$P:$P,MATCH(MEDIÇÃO!K856,'PROJETO PERFURAÇÃO'!$B:$B,0))="Buffer","B",IF(INDEX('PROJETO PERFURAÇÃO'!$P:$P,MATCH(MEDIÇÃO!K856,'PROJETO PERFURAÇÃO'!$B:$B,0))="Pre-Splitting","S"))),"")</f>
        <v/>
      </c>
      <c r="K856" s="14">
        <f t="shared" si="82"/>
        <v>1901</v>
      </c>
      <c r="L856" s="4" t="str">
        <f>IFERROR(INDEX('LEV R&amp;D'!$D:$D,MATCH(MEDIÇÃO!K856,'LEV R&amp;D'!$A:$A,0))-INDEX('PROJETO PERFURAÇÃO'!$AH:$AH,MATCH(MEDIÇÃO!K856,'PROJETO PERFURAÇÃO'!$B:$B,0)),"")</f>
        <v/>
      </c>
      <c r="M856" s="8" t="str">
        <f>IFERROR(INDEX('PROJETO PERFURAÇÃO'!$AN:$AN,MATCH(MEDIÇÃO!K856,'PROJETO PERFURAÇÃO'!$B:$B,0)),"")</f>
        <v/>
      </c>
      <c r="N856" s="3"/>
      <c r="O856" s="3"/>
      <c r="P856" s="3" t="str">
        <f>IFERROR(ROUND(INDEX('PROJETO PERFURAÇÃO'!$AB:$AB,MATCH(MEDIÇÃO!R856,'PROJETO PERFURAÇÃO'!$B:$B,0)),1)&amp;"''","")</f>
        <v/>
      </c>
      <c r="Q856" s="3" t="str">
        <f>IFERROR(IF(INDEX('PROJETO PERFURAÇÃO'!$P:$P,MATCH(MEDIÇÃO!R856,'PROJETO PERFURAÇÃO'!$B:$B,0))="Production","P",IF(INDEX('PROJETO PERFURAÇÃO'!$P:$P,MATCH(MEDIÇÃO!R856,'PROJETO PERFURAÇÃO'!$B:$B,0))="Buffer","B",IF(INDEX('PROJETO PERFURAÇÃO'!$P:$P,MATCH(MEDIÇÃO!R856,'PROJETO PERFURAÇÃO'!$B:$B,0))="Pre-Splitting","S"))),"")</f>
        <v/>
      </c>
      <c r="R856" s="14">
        <f t="shared" si="83"/>
        <v>1924</v>
      </c>
      <c r="S856" s="4" t="str">
        <f>IFERROR(INDEX('LEV R&amp;D'!$D:$D,MATCH(MEDIÇÃO!R856,'LEV R&amp;D'!$A:$A,0))-INDEX('PROJETO PERFURAÇÃO'!$AH:$AH,MATCH(MEDIÇÃO!R856,'PROJETO PERFURAÇÃO'!$B:$B,0)),"")</f>
        <v/>
      </c>
      <c r="T856" s="8" t="str">
        <f>IFERROR(INDEX('PROJETO PERFURAÇÃO'!$AN:$AN,MATCH(MEDIÇÃO!R856,'PROJETO PERFURAÇÃO'!$B:$B,0)),"")</f>
        <v/>
      </c>
      <c r="U856" s="3"/>
      <c r="V856" s="3"/>
    </row>
    <row r="857" spans="2:22" ht="45" customHeight="1" x14ac:dyDescent="0.25">
      <c r="B857" s="3" t="str">
        <f>IFERROR(ROUND(INDEX('PROJETO PERFURAÇÃO'!$AB:$AB,MATCH(MEDIÇÃO!D857,'PROJETO PERFURAÇÃO'!$B:$B,0)),1)&amp;"''","")</f>
        <v/>
      </c>
      <c r="C857" s="3" t="str">
        <f>IFERROR(IF(INDEX('PROJETO PERFURAÇÃO'!$P:$P,MATCH(MEDIÇÃO!D857,'PROJETO PERFURAÇÃO'!$B:$B,0))="Production","P",IF(INDEX('PROJETO PERFURAÇÃO'!$P:$P,MATCH(MEDIÇÃO!D857,'PROJETO PERFURAÇÃO'!$B:$B,0))="Buffer","B",IF(INDEX('PROJETO PERFURAÇÃO'!$P:$P,MATCH(MEDIÇÃO!D857,'PROJETO PERFURAÇÃO'!$B:$B,0))="Pre-Splitting","S"))),"")</f>
        <v/>
      </c>
      <c r="D857" s="14">
        <f t="shared" si="81"/>
        <v>1879</v>
      </c>
      <c r="E857" s="4" t="str">
        <f>IFERROR(INDEX('LEV R&amp;D'!$D:$D,MATCH(MEDIÇÃO!D857,'LEV R&amp;D'!$A:$A,0))-INDEX('PROJETO PERFURAÇÃO'!$AH:$AH,MATCH(MEDIÇÃO!D857,'PROJETO PERFURAÇÃO'!$B:$B,0)),"")</f>
        <v/>
      </c>
      <c r="F857" s="8" t="str">
        <f>IFERROR(INDEX('PROJETO PERFURAÇÃO'!$AN:$AN,MATCH(MEDIÇÃO!D857,'PROJETO PERFURAÇÃO'!$B:$B,0)),"")</f>
        <v/>
      </c>
      <c r="G857" s="3"/>
      <c r="H857" s="3"/>
      <c r="I857" s="3" t="str">
        <f>IFERROR(ROUND(INDEX('PROJETO PERFURAÇÃO'!$AB:$AB,MATCH(MEDIÇÃO!K857,'PROJETO PERFURAÇÃO'!$B:$B,0)),1)&amp;"''","")</f>
        <v/>
      </c>
      <c r="J857" s="3" t="str">
        <f>IFERROR(IF(INDEX('PROJETO PERFURAÇÃO'!$P:$P,MATCH(MEDIÇÃO!K857,'PROJETO PERFURAÇÃO'!$B:$B,0))="Production","P",IF(INDEX('PROJETO PERFURAÇÃO'!$P:$P,MATCH(MEDIÇÃO!K857,'PROJETO PERFURAÇÃO'!$B:$B,0))="Buffer","B",IF(INDEX('PROJETO PERFURAÇÃO'!$P:$P,MATCH(MEDIÇÃO!K857,'PROJETO PERFURAÇÃO'!$B:$B,0))="Pre-Splitting","S"))),"")</f>
        <v/>
      </c>
      <c r="K857" s="14">
        <f t="shared" si="82"/>
        <v>1902</v>
      </c>
      <c r="L857" s="4" t="str">
        <f>IFERROR(INDEX('LEV R&amp;D'!$D:$D,MATCH(MEDIÇÃO!K857,'LEV R&amp;D'!$A:$A,0))-INDEX('PROJETO PERFURAÇÃO'!$AH:$AH,MATCH(MEDIÇÃO!K857,'PROJETO PERFURAÇÃO'!$B:$B,0)),"")</f>
        <v/>
      </c>
      <c r="M857" s="8" t="str">
        <f>IFERROR(INDEX('PROJETO PERFURAÇÃO'!$AN:$AN,MATCH(MEDIÇÃO!K857,'PROJETO PERFURAÇÃO'!$B:$B,0)),"")</f>
        <v/>
      </c>
      <c r="N857" s="3"/>
      <c r="O857" s="3"/>
      <c r="P857" s="3" t="str">
        <f>IFERROR(ROUND(INDEX('PROJETO PERFURAÇÃO'!$AB:$AB,MATCH(MEDIÇÃO!R857,'PROJETO PERFURAÇÃO'!$B:$B,0)),1)&amp;"''","")</f>
        <v/>
      </c>
      <c r="Q857" s="3" t="str">
        <f>IFERROR(IF(INDEX('PROJETO PERFURAÇÃO'!$P:$P,MATCH(MEDIÇÃO!R857,'PROJETO PERFURAÇÃO'!$B:$B,0))="Production","P",IF(INDEX('PROJETO PERFURAÇÃO'!$P:$P,MATCH(MEDIÇÃO!R857,'PROJETO PERFURAÇÃO'!$B:$B,0))="Buffer","B",IF(INDEX('PROJETO PERFURAÇÃO'!$P:$P,MATCH(MEDIÇÃO!R857,'PROJETO PERFURAÇÃO'!$B:$B,0))="Pre-Splitting","S"))),"")</f>
        <v/>
      </c>
      <c r="R857" s="14">
        <f t="shared" si="83"/>
        <v>1925</v>
      </c>
      <c r="S857" s="4" t="str">
        <f>IFERROR(INDEX('LEV R&amp;D'!$D:$D,MATCH(MEDIÇÃO!R857,'LEV R&amp;D'!$A:$A,0))-INDEX('PROJETO PERFURAÇÃO'!$AH:$AH,MATCH(MEDIÇÃO!R857,'PROJETO PERFURAÇÃO'!$B:$B,0)),"")</f>
        <v/>
      </c>
      <c r="T857" s="8" t="str">
        <f>IFERROR(INDEX('PROJETO PERFURAÇÃO'!$AN:$AN,MATCH(MEDIÇÃO!R857,'PROJETO PERFURAÇÃO'!$B:$B,0)),"")</f>
        <v/>
      </c>
      <c r="U857" s="3"/>
      <c r="V857" s="3"/>
    </row>
    <row r="858" spans="2:22" ht="45" customHeight="1" x14ac:dyDescent="0.25">
      <c r="B858" s="3" t="str">
        <f>IFERROR(ROUND(INDEX('PROJETO PERFURAÇÃO'!$AB:$AB,MATCH(MEDIÇÃO!D858,'PROJETO PERFURAÇÃO'!$B:$B,0)),1)&amp;"''","")</f>
        <v/>
      </c>
      <c r="C858" s="3" t="str">
        <f>IFERROR(IF(INDEX('PROJETO PERFURAÇÃO'!$P:$P,MATCH(MEDIÇÃO!D858,'PROJETO PERFURAÇÃO'!$B:$B,0))="Production","P",IF(INDEX('PROJETO PERFURAÇÃO'!$P:$P,MATCH(MEDIÇÃO!D858,'PROJETO PERFURAÇÃO'!$B:$B,0))="Buffer","B",IF(INDEX('PROJETO PERFURAÇÃO'!$P:$P,MATCH(MEDIÇÃO!D858,'PROJETO PERFURAÇÃO'!$B:$B,0))="Pre-Splitting","S"))),"")</f>
        <v/>
      </c>
      <c r="D858" s="14">
        <f t="shared" si="81"/>
        <v>1880</v>
      </c>
      <c r="E858" s="4" t="str">
        <f>IFERROR(INDEX('LEV R&amp;D'!$D:$D,MATCH(MEDIÇÃO!D858,'LEV R&amp;D'!$A:$A,0))-INDEX('PROJETO PERFURAÇÃO'!$AH:$AH,MATCH(MEDIÇÃO!D858,'PROJETO PERFURAÇÃO'!$B:$B,0)),"")</f>
        <v/>
      </c>
      <c r="F858" s="8" t="str">
        <f>IFERROR(INDEX('PROJETO PERFURAÇÃO'!$AN:$AN,MATCH(MEDIÇÃO!D858,'PROJETO PERFURAÇÃO'!$B:$B,0)),"")</f>
        <v/>
      </c>
      <c r="G858" s="3"/>
      <c r="H858" s="3"/>
      <c r="I858" s="3" t="str">
        <f>IFERROR(ROUND(INDEX('PROJETO PERFURAÇÃO'!$AB:$AB,MATCH(MEDIÇÃO!K858,'PROJETO PERFURAÇÃO'!$B:$B,0)),1)&amp;"''","")</f>
        <v/>
      </c>
      <c r="J858" s="3" t="str">
        <f>IFERROR(IF(INDEX('PROJETO PERFURAÇÃO'!$P:$P,MATCH(MEDIÇÃO!K858,'PROJETO PERFURAÇÃO'!$B:$B,0))="Production","P",IF(INDEX('PROJETO PERFURAÇÃO'!$P:$P,MATCH(MEDIÇÃO!K858,'PROJETO PERFURAÇÃO'!$B:$B,0))="Buffer","B",IF(INDEX('PROJETO PERFURAÇÃO'!$P:$P,MATCH(MEDIÇÃO!K858,'PROJETO PERFURAÇÃO'!$B:$B,0))="Pre-Splitting","S"))),"")</f>
        <v/>
      </c>
      <c r="K858" s="14">
        <f t="shared" si="82"/>
        <v>1903</v>
      </c>
      <c r="L858" s="4" t="str">
        <f>IFERROR(INDEX('LEV R&amp;D'!$D:$D,MATCH(MEDIÇÃO!K858,'LEV R&amp;D'!$A:$A,0))-INDEX('PROJETO PERFURAÇÃO'!$AH:$AH,MATCH(MEDIÇÃO!K858,'PROJETO PERFURAÇÃO'!$B:$B,0)),"")</f>
        <v/>
      </c>
      <c r="M858" s="8" t="str">
        <f>IFERROR(INDEX('PROJETO PERFURAÇÃO'!$AN:$AN,MATCH(MEDIÇÃO!K858,'PROJETO PERFURAÇÃO'!$B:$B,0)),"")</f>
        <v/>
      </c>
      <c r="N858" s="3"/>
      <c r="O858" s="3"/>
      <c r="P858" s="3" t="str">
        <f>IFERROR(ROUND(INDEX('PROJETO PERFURAÇÃO'!$AB:$AB,MATCH(MEDIÇÃO!R858,'PROJETO PERFURAÇÃO'!$B:$B,0)),1)&amp;"''","")</f>
        <v/>
      </c>
      <c r="Q858" s="3" t="str">
        <f>IFERROR(IF(INDEX('PROJETO PERFURAÇÃO'!$P:$P,MATCH(MEDIÇÃO!R858,'PROJETO PERFURAÇÃO'!$B:$B,0))="Production","P",IF(INDEX('PROJETO PERFURAÇÃO'!$P:$P,MATCH(MEDIÇÃO!R858,'PROJETO PERFURAÇÃO'!$B:$B,0))="Buffer","B",IF(INDEX('PROJETO PERFURAÇÃO'!$P:$P,MATCH(MEDIÇÃO!R858,'PROJETO PERFURAÇÃO'!$B:$B,0))="Pre-Splitting","S"))),"")</f>
        <v/>
      </c>
      <c r="R858" s="14">
        <f t="shared" si="83"/>
        <v>1926</v>
      </c>
      <c r="S858" s="4" t="str">
        <f>IFERROR(INDEX('LEV R&amp;D'!$D:$D,MATCH(MEDIÇÃO!R858,'LEV R&amp;D'!$A:$A,0))-INDEX('PROJETO PERFURAÇÃO'!$AH:$AH,MATCH(MEDIÇÃO!R858,'PROJETO PERFURAÇÃO'!$B:$B,0)),"")</f>
        <v/>
      </c>
      <c r="T858" s="8" t="str">
        <f>IFERROR(INDEX('PROJETO PERFURAÇÃO'!$AN:$AN,MATCH(MEDIÇÃO!R858,'PROJETO PERFURAÇÃO'!$B:$B,0)),"")</f>
        <v/>
      </c>
      <c r="U858" s="3"/>
      <c r="V858" s="3"/>
    </row>
    <row r="859" spans="2:22" ht="45" customHeight="1" x14ac:dyDescent="0.25">
      <c r="B859" s="3" t="str">
        <f>IFERROR(ROUND(INDEX('PROJETO PERFURAÇÃO'!$AB:$AB,MATCH(MEDIÇÃO!D859,'PROJETO PERFURAÇÃO'!$B:$B,0)),1)&amp;"''","")</f>
        <v/>
      </c>
      <c r="C859" s="3" t="str">
        <f>IFERROR(IF(INDEX('PROJETO PERFURAÇÃO'!$P:$P,MATCH(MEDIÇÃO!D859,'PROJETO PERFURAÇÃO'!$B:$B,0))="Production","P",IF(INDEX('PROJETO PERFURAÇÃO'!$P:$P,MATCH(MEDIÇÃO!D859,'PROJETO PERFURAÇÃO'!$B:$B,0))="Buffer","B",IF(INDEX('PROJETO PERFURAÇÃO'!$P:$P,MATCH(MEDIÇÃO!D859,'PROJETO PERFURAÇÃO'!$B:$B,0))="Pre-Splitting","S"))),"")</f>
        <v/>
      </c>
      <c r="D859" s="14">
        <f t="shared" si="81"/>
        <v>1881</v>
      </c>
      <c r="E859" s="4" t="str">
        <f>IFERROR(INDEX('LEV R&amp;D'!$D:$D,MATCH(MEDIÇÃO!D859,'LEV R&amp;D'!$A:$A,0))-INDEX('PROJETO PERFURAÇÃO'!$AH:$AH,MATCH(MEDIÇÃO!D859,'PROJETO PERFURAÇÃO'!$B:$B,0)),"")</f>
        <v/>
      </c>
      <c r="F859" s="8" t="str">
        <f>IFERROR(INDEX('PROJETO PERFURAÇÃO'!$AN:$AN,MATCH(MEDIÇÃO!D859,'PROJETO PERFURAÇÃO'!$B:$B,0)),"")</f>
        <v/>
      </c>
      <c r="G859" s="3"/>
      <c r="H859" s="3"/>
      <c r="I859" s="3" t="str">
        <f>IFERROR(ROUND(INDEX('PROJETO PERFURAÇÃO'!$AB:$AB,MATCH(MEDIÇÃO!K859,'PROJETO PERFURAÇÃO'!$B:$B,0)),1)&amp;"''","")</f>
        <v/>
      </c>
      <c r="J859" s="3" t="str">
        <f>IFERROR(IF(INDEX('PROJETO PERFURAÇÃO'!$P:$P,MATCH(MEDIÇÃO!K859,'PROJETO PERFURAÇÃO'!$B:$B,0))="Production","P",IF(INDEX('PROJETO PERFURAÇÃO'!$P:$P,MATCH(MEDIÇÃO!K859,'PROJETO PERFURAÇÃO'!$B:$B,0))="Buffer","B",IF(INDEX('PROJETO PERFURAÇÃO'!$P:$P,MATCH(MEDIÇÃO!K859,'PROJETO PERFURAÇÃO'!$B:$B,0))="Pre-Splitting","S"))),"")</f>
        <v/>
      </c>
      <c r="K859" s="14">
        <f t="shared" si="82"/>
        <v>1904</v>
      </c>
      <c r="L859" s="4" t="str">
        <f>IFERROR(INDEX('LEV R&amp;D'!$D:$D,MATCH(MEDIÇÃO!K859,'LEV R&amp;D'!$A:$A,0))-INDEX('PROJETO PERFURAÇÃO'!$AH:$AH,MATCH(MEDIÇÃO!K859,'PROJETO PERFURAÇÃO'!$B:$B,0)),"")</f>
        <v/>
      </c>
      <c r="M859" s="8" t="str">
        <f>IFERROR(INDEX('PROJETO PERFURAÇÃO'!$AN:$AN,MATCH(MEDIÇÃO!K859,'PROJETO PERFURAÇÃO'!$B:$B,0)),"")</f>
        <v/>
      </c>
      <c r="N859" s="3"/>
      <c r="O859" s="3"/>
      <c r="P859" s="3" t="str">
        <f>IFERROR(ROUND(INDEX('PROJETO PERFURAÇÃO'!$AB:$AB,MATCH(MEDIÇÃO!R859,'PROJETO PERFURAÇÃO'!$B:$B,0)),1)&amp;"''","")</f>
        <v/>
      </c>
      <c r="Q859" s="3" t="str">
        <f>IFERROR(IF(INDEX('PROJETO PERFURAÇÃO'!$P:$P,MATCH(MEDIÇÃO!R859,'PROJETO PERFURAÇÃO'!$B:$B,0))="Production","P",IF(INDEX('PROJETO PERFURAÇÃO'!$P:$P,MATCH(MEDIÇÃO!R859,'PROJETO PERFURAÇÃO'!$B:$B,0))="Buffer","B",IF(INDEX('PROJETO PERFURAÇÃO'!$P:$P,MATCH(MEDIÇÃO!R859,'PROJETO PERFURAÇÃO'!$B:$B,0))="Pre-Splitting","S"))),"")</f>
        <v/>
      </c>
      <c r="R859" s="14">
        <f t="shared" si="83"/>
        <v>1927</v>
      </c>
      <c r="S859" s="4" t="str">
        <f>IFERROR(INDEX('LEV R&amp;D'!$D:$D,MATCH(MEDIÇÃO!R859,'LEV R&amp;D'!$A:$A,0))-INDEX('PROJETO PERFURAÇÃO'!$AH:$AH,MATCH(MEDIÇÃO!R859,'PROJETO PERFURAÇÃO'!$B:$B,0)),"")</f>
        <v/>
      </c>
      <c r="T859" s="8" t="str">
        <f>IFERROR(INDEX('PROJETO PERFURAÇÃO'!$AN:$AN,MATCH(MEDIÇÃO!R859,'PROJETO PERFURAÇÃO'!$B:$B,0)),"")</f>
        <v/>
      </c>
      <c r="U859" s="3"/>
      <c r="V859" s="3"/>
    </row>
    <row r="860" spans="2:22" ht="45" customHeight="1" x14ac:dyDescent="0.25">
      <c r="B860" s="3" t="str">
        <f>IFERROR(ROUND(INDEX('PROJETO PERFURAÇÃO'!$AB:$AB,MATCH(MEDIÇÃO!D860,'PROJETO PERFURAÇÃO'!$B:$B,0)),1)&amp;"''","")</f>
        <v/>
      </c>
      <c r="C860" s="3" t="str">
        <f>IFERROR(IF(INDEX('PROJETO PERFURAÇÃO'!$P:$P,MATCH(MEDIÇÃO!D860,'PROJETO PERFURAÇÃO'!$B:$B,0))="Production","P",IF(INDEX('PROJETO PERFURAÇÃO'!$P:$P,MATCH(MEDIÇÃO!D860,'PROJETO PERFURAÇÃO'!$B:$B,0))="Buffer","B",IF(INDEX('PROJETO PERFURAÇÃO'!$P:$P,MATCH(MEDIÇÃO!D860,'PROJETO PERFURAÇÃO'!$B:$B,0))="Pre-Splitting","S"))),"")</f>
        <v/>
      </c>
      <c r="D860" s="14">
        <f t="shared" si="81"/>
        <v>1882</v>
      </c>
      <c r="E860" s="4" t="str">
        <f>IFERROR(INDEX('LEV R&amp;D'!$D:$D,MATCH(MEDIÇÃO!D860,'LEV R&amp;D'!$A:$A,0))-INDEX('PROJETO PERFURAÇÃO'!$AH:$AH,MATCH(MEDIÇÃO!D860,'PROJETO PERFURAÇÃO'!$B:$B,0)),"")</f>
        <v/>
      </c>
      <c r="F860" s="8" t="str">
        <f>IFERROR(INDEX('PROJETO PERFURAÇÃO'!$AN:$AN,MATCH(MEDIÇÃO!D860,'PROJETO PERFURAÇÃO'!$B:$B,0)),"")</f>
        <v/>
      </c>
      <c r="G860" s="3"/>
      <c r="H860" s="3"/>
      <c r="I860" s="3" t="str">
        <f>IFERROR(ROUND(INDEX('PROJETO PERFURAÇÃO'!$AB:$AB,MATCH(MEDIÇÃO!K860,'PROJETO PERFURAÇÃO'!$B:$B,0)),1)&amp;"''","")</f>
        <v/>
      </c>
      <c r="J860" s="3" t="str">
        <f>IFERROR(IF(INDEX('PROJETO PERFURAÇÃO'!$P:$P,MATCH(MEDIÇÃO!K860,'PROJETO PERFURAÇÃO'!$B:$B,0))="Production","P",IF(INDEX('PROJETO PERFURAÇÃO'!$P:$P,MATCH(MEDIÇÃO!K860,'PROJETO PERFURAÇÃO'!$B:$B,0))="Buffer","B",IF(INDEX('PROJETO PERFURAÇÃO'!$P:$P,MATCH(MEDIÇÃO!K860,'PROJETO PERFURAÇÃO'!$B:$B,0))="Pre-Splitting","S"))),"")</f>
        <v/>
      </c>
      <c r="K860" s="14">
        <f t="shared" si="82"/>
        <v>1905</v>
      </c>
      <c r="L860" s="4" t="str">
        <f>IFERROR(INDEX('LEV R&amp;D'!$D:$D,MATCH(MEDIÇÃO!K860,'LEV R&amp;D'!$A:$A,0))-INDEX('PROJETO PERFURAÇÃO'!$AH:$AH,MATCH(MEDIÇÃO!K860,'PROJETO PERFURAÇÃO'!$B:$B,0)),"")</f>
        <v/>
      </c>
      <c r="M860" s="8" t="str">
        <f>IFERROR(INDEX('PROJETO PERFURAÇÃO'!$AN:$AN,MATCH(MEDIÇÃO!K860,'PROJETO PERFURAÇÃO'!$B:$B,0)),"")</f>
        <v/>
      </c>
      <c r="N860" s="3"/>
      <c r="O860" s="3"/>
      <c r="P860" s="3" t="str">
        <f>IFERROR(ROUND(INDEX('PROJETO PERFURAÇÃO'!$AB:$AB,MATCH(MEDIÇÃO!R860,'PROJETO PERFURAÇÃO'!$B:$B,0)),1)&amp;"''","")</f>
        <v/>
      </c>
      <c r="Q860" s="3" t="str">
        <f>IFERROR(IF(INDEX('PROJETO PERFURAÇÃO'!$P:$P,MATCH(MEDIÇÃO!R860,'PROJETO PERFURAÇÃO'!$B:$B,0))="Production","P",IF(INDEX('PROJETO PERFURAÇÃO'!$P:$P,MATCH(MEDIÇÃO!R860,'PROJETO PERFURAÇÃO'!$B:$B,0))="Buffer","B",IF(INDEX('PROJETO PERFURAÇÃO'!$P:$P,MATCH(MEDIÇÃO!R860,'PROJETO PERFURAÇÃO'!$B:$B,0))="Pre-Splitting","S"))),"")</f>
        <v/>
      </c>
      <c r="R860" s="14">
        <f t="shared" si="83"/>
        <v>1928</v>
      </c>
      <c r="S860" s="4" t="str">
        <f>IFERROR(INDEX('LEV R&amp;D'!$D:$D,MATCH(MEDIÇÃO!R860,'LEV R&amp;D'!$A:$A,0))-INDEX('PROJETO PERFURAÇÃO'!$AH:$AH,MATCH(MEDIÇÃO!R860,'PROJETO PERFURAÇÃO'!$B:$B,0)),"")</f>
        <v/>
      </c>
      <c r="T860" s="8" t="str">
        <f>IFERROR(INDEX('PROJETO PERFURAÇÃO'!$AN:$AN,MATCH(MEDIÇÃO!R860,'PROJETO PERFURAÇÃO'!$B:$B,0)),"")</f>
        <v/>
      </c>
      <c r="U860" s="3"/>
      <c r="V860" s="3"/>
    </row>
    <row r="861" spans="2:22" ht="45" customHeight="1" x14ac:dyDescent="0.25">
      <c r="B861" s="3" t="str">
        <f>IFERROR(ROUND(INDEX('PROJETO PERFURAÇÃO'!$AB:$AB,MATCH(MEDIÇÃO!D861,'PROJETO PERFURAÇÃO'!$B:$B,0)),1)&amp;"''","")</f>
        <v/>
      </c>
      <c r="C861" s="3" t="str">
        <f>IFERROR(IF(INDEX('PROJETO PERFURAÇÃO'!$P:$P,MATCH(MEDIÇÃO!D861,'PROJETO PERFURAÇÃO'!$B:$B,0))="Production","P",IF(INDEX('PROJETO PERFURAÇÃO'!$P:$P,MATCH(MEDIÇÃO!D861,'PROJETO PERFURAÇÃO'!$B:$B,0))="Buffer","B",IF(INDEX('PROJETO PERFURAÇÃO'!$P:$P,MATCH(MEDIÇÃO!D861,'PROJETO PERFURAÇÃO'!$B:$B,0))="Pre-Splitting","S"))),"")</f>
        <v/>
      </c>
      <c r="D861" s="14">
        <f t="shared" si="81"/>
        <v>1883</v>
      </c>
      <c r="E861" s="4" t="str">
        <f>IFERROR(INDEX('LEV R&amp;D'!$D:$D,MATCH(MEDIÇÃO!D861,'LEV R&amp;D'!$A:$A,0))-INDEX('PROJETO PERFURAÇÃO'!$AH:$AH,MATCH(MEDIÇÃO!D861,'PROJETO PERFURAÇÃO'!$B:$B,0)),"")</f>
        <v/>
      </c>
      <c r="F861" s="8" t="str">
        <f>IFERROR(INDEX('PROJETO PERFURAÇÃO'!$AN:$AN,MATCH(MEDIÇÃO!D861,'PROJETO PERFURAÇÃO'!$B:$B,0)),"")</f>
        <v/>
      </c>
      <c r="G861" s="3"/>
      <c r="H861" s="3"/>
      <c r="I861" s="3" t="str">
        <f>IFERROR(ROUND(INDEX('PROJETO PERFURAÇÃO'!$AB:$AB,MATCH(MEDIÇÃO!K861,'PROJETO PERFURAÇÃO'!$B:$B,0)),1)&amp;"''","")</f>
        <v/>
      </c>
      <c r="J861" s="3" t="str">
        <f>IFERROR(IF(INDEX('PROJETO PERFURAÇÃO'!$P:$P,MATCH(MEDIÇÃO!K861,'PROJETO PERFURAÇÃO'!$B:$B,0))="Production","P",IF(INDEX('PROJETO PERFURAÇÃO'!$P:$P,MATCH(MEDIÇÃO!K861,'PROJETO PERFURAÇÃO'!$B:$B,0))="Buffer","B",IF(INDEX('PROJETO PERFURAÇÃO'!$P:$P,MATCH(MEDIÇÃO!K861,'PROJETO PERFURAÇÃO'!$B:$B,0))="Pre-Splitting","S"))),"")</f>
        <v/>
      </c>
      <c r="K861" s="14">
        <f t="shared" si="82"/>
        <v>1906</v>
      </c>
      <c r="L861" s="4" t="str">
        <f>IFERROR(INDEX('LEV R&amp;D'!$D:$D,MATCH(MEDIÇÃO!K861,'LEV R&amp;D'!$A:$A,0))-INDEX('PROJETO PERFURAÇÃO'!$AH:$AH,MATCH(MEDIÇÃO!K861,'PROJETO PERFURAÇÃO'!$B:$B,0)),"")</f>
        <v/>
      </c>
      <c r="M861" s="8" t="str">
        <f>IFERROR(INDEX('PROJETO PERFURAÇÃO'!$AN:$AN,MATCH(MEDIÇÃO!K861,'PROJETO PERFURAÇÃO'!$B:$B,0)),"")</f>
        <v/>
      </c>
      <c r="N861" s="3"/>
      <c r="O861" s="3"/>
      <c r="P861" s="3" t="str">
        <f>IFERROR(ROUND(INDEX('PROJETO PERFURAÇÃO'!$AB:$AB,MATCH(MEDIÇÃO!R861,'PROJETO PERFURAÇÃO'!$B:$B,0)),1)&amp;"''","")</f>
        <v/>
      </c>
      <c r="Q861" s="3" t="str">
        <f>IFERROR(IF(INDEX('PROJETO PERFURAÇÃO'!$P:$P,MATCH(MEDIÇÃO!R861,'PROJETO PERFURAÇÃO'!$B:$B,0))="Production","P",IF(INDEX('PROJETO PERFURAÇÃO'!$P:$P,MATCH(MEDIÇÃO!R861,'PROJETO PERFURAÇÃO'!$B:$B,0))="Buffer","B",IF(INDEX('PROJETO PERFURAÇÃO'!$P:$P,MATCH(MEDIÇÃO!R861,'PROJETO PERFURAÇÃO'!$B:$B,0))="Pre-Splitting","S"))),"")</f>
        <v/>
      </c>
      <c r="R861" s="14">
        <f t="shared" si="83"/>
        <v>1929</v>
      </c>
      <c r="S861" s="4" t="str">
        <f>IFERROR(INDEX('LEV R&amp;D'!$D:$D,MATCH(MEDIÇÃO!R861,'LEV R&amp;D'!$A:$A,0))-INDEX('PROJETO PERFURAÇÃO'!$AH:$AH,MATCH(MEDIÇÃO!R861,'PROJETO PERFURAÇÃO'!$B:$B,0)),"")</f>
        <v/>
      </c>
      <c r="T861" s="8" t="str">
        <f>IFERROR(INDEX('PROJETO PERFURAÇÃO'!$AN:$AN,MATCH(MEDIÇÃO!R861,'PROJETO PERFURAÇÃO'!$B:$B,0)),"")</f>
        <v/>
      </c>
      <c r="U861" s="3"/>
      <c r="V861" s="3"/>
    </row>
    <row r="862" spans="2:22" ht="45" customHeight="1" x14ac:dyDescent="0.25">
      <c r="B862" s="3" t="str">
        <f>IFERROR(ROUND(INDEX('PROJETO PERFURAÇÃO'!$AB:$AB,MATCH(MEDIÇÃO!D862,'PROJETO PERFURAÇÃO'!$B:$B,0)),1)&amp;"''","")</f>
        <v/>
      </c>
      <c r="C862" s="3" t="str">
        <f>IFERROR(IF(INDEX('PROJETO PERFURAÇÃO'!$P:$P,MATCH(MEDIÇÃO!D862,'PROJETO PERFURAÇÃO'!$B:$B,0))="Production","P",IF(INDEX('PROJETO PERFURAÇÃO'!$P:$P,MATCH(MEDIÇÃO!D862,'PROJETO PERFURAÇÃO'!$B:$B,0))="Buffer","B",IF(INDEX('PROJETO PERFURAÇÃO'!$P:$P,MATCH(MEDIÇÃO!D862,'PROJETO PERFURAÇÃO'!$B:$B,0))="Pre-Splitting","S"))),"")</f>
        <v/>
      </c>
      <c r="D862" s="14">
        <f t="shared" si="81"/>
        <v>1884</v>
      </c>
      <c r="E862" s="4" t="str">
        <f>IFERROR(INDEX('LEV R&amp;D'!$D:$D,MATCH(MEDIÇÃO!D862,'LEV R&amp;D'!$A:$A,0))-INDEX('PROJETO PERFURAÇÃO'!$AH:$AH,MATCH(MEDIÇÃO!D862,'PROJETO PERFURAÇÃO'!$B:$B,0)),"")</f>
        <v/>
      </c>
      <c r="F862" s="8" t="str">
        <f>IFERROR(INDEX('PROJETO PERFURAÇÃO'!$AN:$AN,MATCH(MEDIÇÃO!D862,'PROJETO PERFURAÇÃO'!$B:$B,0)),"")</f>
        <v/>
      </c>
      <c r="G862" s="3"/>
      <c r="H862" s="3"/>
      <c r="I862" s="3" t="str">
        <f>IFERROR(ROUND(INDEX('PROJETO PERFURAÇÃO'!$AB:$AB,MATCH(MEDIÇÃO!K862,'PROJETO PERFURAÇÃO'!$B:$B,0)),1)&amp;"''","")</f>
        <v/>
      </c>
      <c r="J862" s="3" t="str">
        <f>IFERROR(IF(INDEX('PROJETO PERFURAÇÃO'!$P:$P,MATCH(MEDIÇÃO!K862,'PROJETO PERFURAÇÃO'!$B:$B,0))="Production","P",IF(INDEX('PROJETO PERFURAÇÃO'!$P:$P,MATCH(MEDIÇÃO!K862,'PROJETO PERFURAÇÃO'!$B:$B,0))="Buffer","B",IF(INDEX('PROJETO PERFURAÇÃO'!$P:$P,MATCH(MEDIÇÃO!K862,'PROJETO PERFURAÇÃO'!$B:$B,0))="Pre-Splitting","S"))),"")</f>
        <v/>
      </c>
      <c r="K862" s="14">
        <f t="shared" si="82"/>
        <v>1907</v>
      </c>
      <c r="L862" s="4" t="str">
        <f>IFERROR(INDEX('LEV R&amp;D'!$D:$D,MATCH(MEDIÇÃO!K862,'LEV R&amp;D'!$A:$A,0))-INDEX('PROJETO PERFURAÇÃO'!$AH:$AH,MATCH(MEDIÇÃO!K862,'PROJETO PERFURAÇÃO'!$B:$B,0)),"")</f>
        <v/>
      </c>
      <c r="M862" s="8" t="str">
        <f>IFERROR(INDEX('PROJETO PERFURAÇÃO'!$AN:$AN,MATCH(MEDIÇÃO!K862,'PROJETO PERFURAÇÃO'!$B:$B,0)),"")</f>
        <v/>
      </c>
      <c r="N862" s="3"/>
      <c r="O862" s="3"/>
      <c r="P862" s="3" t="str">
        <f>IFERROR(ROUND(INDEX('PROJETO PERFURAÇÃO'!$AB:$AB,MATCH(MEDIÇÃO!R862,'PROJETO PERFURAÇÃO'!$B:$B,0)),1)&amp;"''","")</f>
        <v/>
      </c>
      <c r="Q862" s="3" t="str">
        <f>IFERROR(IF(INDEX('PROJETO PERFURAÇÃO'!$P:$P,MATCH(MEDIÇÃO!R862,'PROJETO PERFURAÇÃO'!$B:$B,0))="Production","P",IF(INDEX('PROJETO PERFURAÇÃO'!$P:$P,MATCH(MEDIÇÃO!R862,'PROJETO PERFURAÇÃO'!$B:$B,0))="Buffer","B",IF(INDEX('PROJETO PERFURAÇÃO'!$P:$P,MATCH(MEDIÇÃO!R862,'PROJETO PERFURAÇÃO'!$B:$B,0))="Pre-Splitting","S"))),"")</f>
        <v/>
      </c>
      <c r="R862" s="14">
        <f t="shared" si="83"/>
        <v>1930</v>
      </c>
      <c r="S862" s="4" t="str">
        <f>IFERROR(INDEX('LEV R&amp;D'!$D:$D,MATCH(MEDIÇÃO!R862,'LEV R&amp;D'!$A:$A,0))-INDEX('PROJETO PERFURAÇÃO'!$AH:$AH,MATCH(MEDIÇÃO!R862,'PROJETO PERFURAÇÃO'!$B:$B,0)),"")</f>
        <v/>
      </c>
      <c r="T862" s="8" t="str">
        <f>IFERROR(INDEX('PROJETO PERFURAÇÃO'!$AN:$AN,MATCH(MEDIÇÃO!R862,'PROJETO PERFURAÇÃO'!$B:$B,0)),"")</f>
        <v/>
      </c>
      <c r="U862" s="3"/>
      <c r="V862" s="3"/>
    </row>
    <row r="863" spans="2:22" ht="45" customHeight="1" x14ac:dyDescent="0.25">
      <c r="B863" s="3" t="str">
        <f>IFERROR(ROUND(INDEX('PROJETO PERFURAÇÃO'!$AB:$AB,MATCH(MEDIÇÃO!D863,'PROJETO PERFURAÇÃO'!$B:$B,0)),1)&amp;"''","")</f>
        <v/>
      </c>
      <c r="C863" s="3" t="str">
        <f>IFERROR(IF(INDEX('PROJETO PERFURAÇÃO'!$P:$P,MATCH(MEDIÇÃO!D863,'PROJETO PERFURAÇÃO'!$B:$B,0))="Production","P",IF(INDEX('PROJETO PERFURAÇÃO'!$P:$P,MATCH(MEDIÇÃO!D863,'PROJETO PERFURAÇÃO'!$B:$B,0))="Buffer","B",IF(INDEX('PROJETO PERFURAÇÃO'!$P:$P,MATCH(MEDIÇÃO!D863,'PROJETO PERFURAÇÃO'!$B:$B,0))="Pre-Splitting","S"))),"")</f>
        <v/>
      </c>
      <c r="D863" s="14">
        <f t="shared" si="81"/>
        <v>1885</v>
      </c>
      <c r="E863" s="4" t="str">
        <f>IFERROR(INDEX('LEV R&amp;D'!$D:$D,MATCH(MEDIÇÃO!D863,'LEV R&amp;D'!$A:$A,0))-INDEX('PROJETO PERFURAÇÃO'!$AH:$AH,MATCH(MEDIÇÃO!D863,'PROJETO PERFURAÇÃO'!$B:$B,0)),"")</f>
        <v/>
      </c>
      <c r="F863" s="8" t="str">
        <f>IFERROR(INDEX('PROJETO PERFURAÇÃO'!$AN:$AN,MATCH(MEDIÇÃO!D863,'PROJETO PERFURAÇÃO'!$B:$B,0)),"")</f>
        <v/>
      </c>
      <c r="G863" s="3"/>
      <c r="H863" s="3"/>
      <c r="I863" s="3" t="str">
        <f>IFERROR(ROUND(INDEX('PROJETO PERFURAÇÃO'!$AB:$AB,MATCH(MEDIÇÃO!K863,'PROJETO PERFURAÇÃO'!$B:$B,0)),1)&amp;"''","")</f>
        <v/>
      </c>
      <c r="J863" s="3" t="str">
        <f>IFERROR(IF(INDEX('PROJETO PERFURAÇÃO'!$P:$P,MATCH(MEDIÇÃO!K863,'PROJETO PERFURAÇÃO'!$B:$B,0))="Production","P",IF(INDEX('PROJETO PERFURAÇÃO'!$P:$P,MATCH(MEDIÇÃO!K863,'PROJETO PERFURAÇÃO'!$B:$B,0))="Buffer","B",IF(INDEX('PROJETO PERFURAÇÃO'!$P:$P,MATCH(MEDIÇÃO!K863,'PROJETO PERFURAÇÃO'!$B:$B,0))="Pre-Splitting","S"))),"")</f>
        <v/>
      </c>
      <c r="K863" s="14">
        <f t="shared" si="82"/>
        <v>1908</v>
      </c>
      <c r="L863" s="4" t="str">
        <f>IFERROR(INDEX('LEV R&amp;D'!$D:$D,MATCH(MEDIÇÃO!K863,'LEV R&amp;D'!$A:$A,0))-INDEX('PROJETO PERFURAÇÃO'!$AH:$AH,MATCH(MEDIÇÃO!K863,'PROJETO PERFURAÇÃO'!$B:$B,0)),"")</f>
        <v/>
      </c>
      <c r="M863" s="8" t="str">
        <f>IFERROR(INDEX('PROJETO PERFURAÇÃO'!$AN:$AN,MATCH(MEDIÇÃO!K863,'PROJETO PERFURAÇÃO'!$B:$B,0)),"")</f>
        <v/>
      </c>
      <c r="N863" s="3"/>
      <c r="O863" s="3"/>
      <c r="P863" s="3" t="str">
        <f>IFERROR(ROUND(INDEX('PROJETO PERFURAÇÃO'!$AB:$AB,MATCH(MEDIÇÃO!R863,'PROJETO PERFURAÇÃO'!$B:$B,0)),1)&amp;"''","")</f>
        <v/>
      </c>
      <c r="Q863" s="3" t="str">
        <f>IFERROR(IF(INDEX('PROJETO PERFURAÇÃO'!$P:$P,MATCH(MEDIÇÃO!R863,'PROJETO PERFURAÇÃO'!$B:$B,0))="Production","P",IF(INDEX('PROJETO PERFURAÇÃO'!$P:$P,MATCH(MEDIÇÃO!R863,'PROJETO PERFURAÇÃO'!$B:$B,0))="Buffer","B",IF(INDEX('PROJETO PERFURAÇÃO'!$P:$P,MATCH(MEDIÇÃO!R863,'PROJETO PERFURAÇÃO'!$B:$B,0))="Pre-Splitting","S"))),"")</f>
        <v/>
      </c>
      <c r="R863" s="14">
        <f t="shared" si="83"/>
        <v>1931</v>
      </c>
      <c r="S863" s="4" t="str">
        <f>IFERROR(INDEX('LEV R&amp;D'!$D:$D,MATCH(MEDIÇÃO!R863,'LEV R&amp;D'!$A:$A,0))-INDEX('PROJETO PERFURAÇÃO'!$AH:$AH,MATCH(MEDIÇÃO!R863,'PROJETO PERFURAÇÃO'!$B:$B,0)),"")</f>
        <v/>
      </c>
      <c r="T863" s="8" t="str">
        <f>IFERROR(INDEX('PROJETO PERFURAÇÃO'!$AN:$AN,MATCH(MEDIÇÃO!R863,'PROJETO PERFURAÇÃO'!$B:$B,0)),"")</f>
        <v/>
      </c>
      <c r="U863" s="3"/>
      <c r="V863" s="3"/>
    </row>
    <row r="864" spans="2:22" ht="45" customHeight="1" x14ac:dyDescent="0.25">
      <c r="B864" s="3" t="str">
        <f>IFERROR(ROUND(INDEX('PROJETO PERFURAÇÃO'!$AB:$AB,MATCH(MEDIÇÃO!D864,'PROJETO PERFURAÇÃO'!$B:$B,0)),1)&amp;"''","")</f>
        <v/>
      </c>
      <c r="C864" s="3" t="str">
        <f>IFERROR(IF(INDEX('PROJETO PERFURAÇÃO'!$P:$P,MATCH(MEDIÇÃO!D864,'PROJETO PERFURAÇÃO'!$B:$B,0))="Production","P",IF(INDEX('PROJETO PERFURAÇÃO'!$P:$P,MATCH(MEDIÇÃO!D864,'PROJETO PERFURAÇÃO'!$B:$B,0))="Buffer","B",IF(INDEX('PROJETO PERFURAÇÃO'!$P:$P,MATCH(MEDIÇÃO!D864,'PROJETO PERFURAÇÃO'!$B:$B,0))="Pre-Splitting","S"))),"")</f>
        <v/>
      </c>
      <c r="D864" s="14">
        <f t="shared" si="81"/>
        <v>1886</v>
      </c>
      <c r="E864" s="4" t="str">
        <f>IFERROR(INDEX('LEV R&amp;D'!$D:$D,MATCH(MEDIÇÃO!D864,'LEV R&amp;D'!$A:$A,0))-INDEX('PROJETO PERFURAÇÃO'!$AH:$AH,MATCH(MEDIÇÃO!D864,'PROJETO PERFURAÇÃO'!$B:$B,0)),"")</f>
        <v/>
      </c>
      <c r="F864" s="8" t="str">
        <f>IFERROR(INDEX('PROJETO PERFURAÇÃO'!$AN:$AN,MATCH(MEDIÇÃO!D864,'PROJETO PERFURAÇÃO'!$B:$B,0)),"")</f>
        <v/>
      </c>
      <c r="G864" s="3"/>
      <c r="H864" s="3"/>
      <c r="I864" s="3" t="str">
        <f>IFERROR(ROUND(INDEX('PROJETO PERFURAÇÃO'!$AB:$AB,MATCH(MEDIÇÃO!K864,'PROJETO PERFURAÇÃO'!$B:$B,0)),1)&amp;"''","")</f>
        <v/>
      </c>
      <c r="J864" s="3" t="str">
        <f>IFERROR(IF(INDEX('PROJETO PERFURAÇÃO'!$P:$P,MATCH(MEDIÇÃO!K864,'PROJETO PERFURAÇÃO'!$B:$B,0))="Production","P",IF(INDEX('PROJETO PERFURAÇÃO'!$P:$P,MATCH(MEDIÇÃO!K864,'PROJETO PERFURAÇÃO'!$B:$B,0))="Buffer","B",IF(INDEX('PROJETO PERFURAÇÃO'!$P:$P,MATCH(MEDIÇÃO!K864,'PROJETO PERFURAÇÃO'!$B:$B,0))="Pre-Splitting","S"))),"")</f>
        <v/>
      </c>
      <c r="K864" s="14">
        <f>K863+1</f>
        <v>1909</v>
      </c>
      <c r="L864" s="4" t="str">
        <f>IFERROR(INDEX('LEV R&amp;D'!$D:$D,MATCH(MEDIÇÃO!K864,'LEV R&amp;D'!$A:$A,0))-INDEX('PROJETO PERFURAÇÃO'!$AH:$AH,MATCH(MEDIÇÃO!K864,'PROJETO PERFURAÇÃO'!$B:$B,0)),"")</f>
        <v/>
      </c>
      <c r="M864" s="8" t="str">
        <f>IFERROR(INDEX('PROJETO PERFURAÇÃO'!$AN:$AN,MATCH(MEDIÇÃO!K864,'PROJETO PERFURAÇÃO'!$B:$B,0)),"")</f>
        <v/>
      </c>
      <c r="N864" s="3"/>
      <c r="O864" s="3"/>
      <c r="P864" s="3" t="str">
        <f>IFERROR(ROUND(INDEX('PROJETO PERFURAÇÃO'!$AB:$AB,MATCH(MEDIÇÃO!R864,'PROJETO PERFURAÇÃO'!$B:$B,0)),1)&amp;"''","")</f>
        <v/>
      </c>
      <c r="Q864" s="3" t="str">
        <f>IFERROR(IF(INDEX('PROJETO PERFURAÇÃO'!$P:$P,MATCH(MEDIÇÃO!R864,'PROJETO PERFURAÇÃO'!$B:$B,0))="Production","P",IF(INDEX('PROJETO PERFURAÇÃO'!$P:$P,MATCH(MEDIÇÃO!R864,'PROJETO PERFURAÇÃO'!$B:$B,0))="Buffer","B",IF(INDEX('PROJETO PERFURAÇÃO'!$P:$P,MATCH(MEDIÇÃO!R864,'PROJETO PERFURAÇÃO'!$B:$B,0))="Pre-Splitting","S"))),"")</f>
        <v/>
      </c>
      <c r="R864" s="14">
        <f>R863+1</f>
        <v>1932</v>
      </c>
      <c r="S864" s="4" t="str">
        <f>IFERROR(INDEX('LEV R&amp;D'!$D:$D,MATCH(MEDIÇÃO!R864,'LEV R&amp;D'!$A:$A,0))-INDEX('PROJETO PERFURAÇÃO'!$AH:$AH,MATCH(MEDIÇÃO!R864,'PROJETO PERFURAÇÃO'!$B:$B,0)),"")</f>
        <v/>
      </c>
      <c r="T864" s="8" t="str">
        <f>IFERROR(INDEX('PROJETO PERFURAÇÃO'!$AN:$AN,MATCH(MEDIÇÃO!R864,'PROJETO PERFURAÇÃO'!$B:$B,0)),"")</f>
        <v/>
      </c>
      <c r="U864" s="3"/>
      <c r="V864" s="3"/>
    </row>
    <row r="865" spans="1:23" ht="30" customHeight="1" x14ac:dyDescent="0.25">
      <c r="B865" s="1"/>
      <c r="C865" s="1"/>
      <c r="D865" s="15"/>
      <c r="E865" s="2"/>
      <c r="F865" s="16"/>
      <c r="G865" s="1"/>
      <c r="H865" s="1"/>
      <c r="I865" s="1"/>
      <c r="J865" s="1"/>
      <c r="K865" s="15"/>
      <c r="L865" s="2"/>
      <c r="M865" s="16"/>
      <c r="N865" s="1"/>
      <c r="O865" s="1"/>
      <c r="P865" s="1"/>
      <c r="Q865" s="1"/>
      <c r="R865" s="15"/>
      <c r="S865" s="2"/>
      <c r="T865" s="16"/>
      <c r="U865" s="1"/>
      <c r="V865" s="1"/>
    </row>
    <row r="866" spans="1:23" ht="30" customHeight="1" x14ac:dyDescent="0.25">
      <c r="C866" s="20"/>
      <c r="D866" s="20"/>
      <c r="E866" s="20"/>
      <c r="F866" s="20"/>
      <c r="G866" s="20"/>
      <c r="H866" s="20"/>
      <c r="I866" s="20"/>
      <c r="J866" s="20"/>
      <c r="K866" s="20"/>
      <c r="M866" s="20"/>
      <c r="N866" s="20"/>
      <c r="O866" s="20"/>
      <c r="P866" s="20"/>
      <c r="Q866" s="20"/>
      <c r="R866" s="20"/>
      <c r="S866" s="20"/>
      <c r="T866" s="20"/>
      <c r="U866" s="20"/>
    </row>
    <row r="867" spans="1:23" ht="30" customHeight="1" x14ac:dyDescent="0.25">
      <c r="C867" s="21" t="s">
        <v>40</v>
      </c>
      <c r="D867" s="21"/>
      <c r="E867" s="21"/>
      <c r="F867" s="21"/>
      <c r="G867" s="21"/>
      <c r="H867" s="21"/>
      <c r="I867" s="21"/>
      <c r="J867" s="21"/>
      <c r="K867" s="21"/>
      <c r="L867" s="9"/>
      <c r="M867" s="21" t="s">
        <v>40</v>
      </c>
      <c r="N867" s="21"/>
      <c r="O867" s="21"/>
      <c r="P867" s="21"/>
      <c r="Q867" s="21"/>
      <c r="R867" s="21"/>
      <c r="S867" s="21"/>
      <c r="T867" s="21"/>
      <c r="U867" s="21"/>
      <c r="V867" s="9"/>
    </row>
    <row r="868" spans="1:23" ht="30" customHeight="1" x14ac:dyDescent="0.25">
      <c r="D868" s="9"/>
      <c r="E868" s="9"/>
      <c r="F868" s="9"/>
      <c r="G868" s="9"/>
      <c r="H868" s="9"/>
      <c r="I868" s="9"/>
      <c r="J868" s="9"/>
      <c r="K868" s="9"/>
      <c r="L868" s="9"/>
      <c r="M868" s="9"/>
      <c r="N868" s="9"/>
      <c r="Q868" s="9"/>
      <c r="R868" s="9"/>
      <c r="S868" s="9"/>
      <c r="T868" s="9"/>
      <c r="U868" s="9"/>
      <c r="V868" s="9"/>
    </row>
    <row r="869" spans="1:23" ht="30" customHeight="1" x14ac:dyDescent="0.25">
      <c r="B869" s="19" t="str">
        <f>'PROJETO PERFURAÇÃO'!$C$2&amp;" - "&amp;'PROJETO PERFURAÇÃO'!$H$2</f>
        <v>LIB065 - PP0651026</v>
      </c>
      <c r="C869" s="19"/>
      <c r="D869" s="19"/>
      <c r="E869" s="19"/>
      <c r="F869" s="19"/>
      <c r="G869" s="19"/>
      <c r="H869" s="19"/>
      <c r="I869" s="11" t="s">
        <v>34</v>
      </c>
      <c r="J869" s="10" t="s">
        <v>37</v>
      </c>
    </row>
    <row r="870" spans="1:23" ht="30" customHeight="1" x14ac:dyDescent="0.25">
      <c r="B870" s="19"/>
      <c r="C870" s="19"/>
      <c r="D870" s="19"/>
      <c r="E870" s="19"/>
      <c r="F870" s="19"/>
      <c r="G870" s="19"/>
      <c r="H870" s="19"/>
      <c r="I870" s="12" t="s">
        <v>35</v>
      </c>
      <c r="J870" s="10" t="s">
        <v>38</v>
      </c>
      <c r="K870" s="9"/>
      <c r="L870" s="9"/>
      <c r="M870" s="9"/>
      <c r="N870" s="9"/>
      <c r="O870" s="9"/>
      <c r="P870" s="9"/>
      <c r="Q870" s="9"/>
      <c r="R870" s="9"/>
      <c r="S870" s="9"/>
      <c r="T870" s="9"/>
      <c r="U870" s="9"/>
      <c r="V870" s="9"/>
    </row>
    <row r="871" spans="1:23" ht="30" customHeight="1" x14ac:dyDescent="0.25">
      <c r="B871" s="19"/>
      <c r="C871" s="19"/>
      <c r="D871" s="19"/>
      <c r="E871" s="19"/>
      <c r="F871" s="19"/>
      <c r="G871" s="19"/>
      <c r="H871" s="19"/>
      <c r="I871" s="13" t="s">
        <v>36</v>
      </c>
      <c r="J871" s="10" t="s">
        <v>39</v>
      </c>
    </row>
    <row r="872" spans="1:23" ht="30" customHeight="1" x14ac:dyDescent="0.25">
      <c r="A872" s="1"/>
      <c r="B872" s="6" t="s">
        <v>33</v>
      </c>
      <c r="C872" s="6" t="s">
        <v>13</v>
      </c>
      <c r="D872" s="7" t="s">
        <v>1</v>
      </c>
      <c r="E872" s="7" t="s">
        <v>29</v>
      </c>
      <c r="F872" s="7" t="s">
        <v>30</v>
      </c>
      <c r="G872" s="7" t="s">
        <v>31</v>
      </c>
      <c r="H872" s="7" t="s">
        <v>32</v>
      </c>
      <c r="I872" s="6" t="s">
        <v>33</v>
      </c>
      <c r="J872" s="6" t="s">
        <v>13</v>
      </c>
      <c r="K872" s="7" t="s">
        <v>1</v>
      </c>
      <c r="L872" s="7" t="s">
        <v>29</v>
      </c>
      <c r="M872" s="7" t="s">
        <v>30</v>
      </c>
      <c r="N872" s="7" t="s">
        <v>31</v>
      </c>
      <c r="O872" s="7" t="s">
        <v>32</v>
      </c>
      <c r="P872" s="6" t="s">
        <v>33</v>
      </c>
      <c r="Q872" s="6" t="s">
        <v>13</v>
      </c>
      <c r="R872" s="7" t="s">
        <v>1</v>
      </c>
      <c r="S872" s="7" t="s">
        <v>29</v>
      </c>
      <c r="T872" s="7" t="s">
        <v>30</v>
      </c>
      <c r="U872" s="7" t="s">
        <v>31</v>
      </c>
      <c r="V872" s="7" t="s">
        <v>32</v>
      </c>
      <c r="W872" s="1"/>
    </row>
    <row r="873" spans="1:23" ht="45" customHeight="1" x14ac:dyDescent="0.25">
      <c r="B873" s="3" t="str">
        <f>IFERROR(ROUND(INDEX('PROJETO PERFURAÇÃO'!$AB:$AB,MATCH(MEDIÇÃO!D873,'PROJETO PERFURAÇÃO'!$B:$B,0)),1)&amp;"''","")</f>
        <v/>
      </c>
      <c r="C873" s="3" t="str">
        <f>IFERROR(IF(INDEX('PROJETO PERFURAÇÃO'!$P:$P,MATCH(MEDIÇÃO!D873,'PROJETO PERFURAÇÃO'!$B:$B,0))="Production","P",IF(INDEX('PROJETO PERFURAÇÃO'!$P:$P,MATCH(MEDIÇÃO!D873,'PROJETO PERFURAÇÃO'!$B:$B,0))="Buffer","B",IF(INDEX('PROJETO PERFURAÇÃO'!$P:$P,MATCH(MEDIÇÃO!D873,'PROJETO PERFURAÇÃO'!$B:$B,0))="Pre-Splitting","S"))),"")</f>
        <v/>
      </c>
      <c r="D873" s="14">
        <f>R864+1</f>
        <v>1933</v>
      </c>
      <c r="E873" s="4" t="str">
        <f>IFERROR(INDEX('LEV R&amp;D'!$D:$D,MATCH(MEDIÇÃO!D873,'LEV R&amp;D'!$A:$A,0))-INDEX('PROJETO PERFURAÇÃO'!$AH:$AH,MATCH(MEDIÇÃO!D873,'PROJETO PERFURAÇÃO'!$B:$B,0)),"")</f>
        <v/>
      </c>
      <c r="F873" s="8" t="str">
        <f>IFERROR(INDEX('PROJETO PERFURAÇÃO'!$AN:$AN,MATCH(MEDIÇÃO!D873,'PROJETO PERFURAÇÃO'!$B:$B,0)),"")</f>
        <v/>
      </c>
      <c r="G873" s="3"/>
      <c r="H873" s="3"/>
      <c r="I873" s="3" t="str">
        <f>IFERROR(ROUND(INDEX('PROJETO PERFURAÇÃO'!$AB:$AB,MATCH(MEDIÇÃO!K873,'PROJETO PERFURAÇÃO'!$B:$B,0)),1)&amp;"''","")</f>
        <v/>
      </c>
      <c r="J873" s="3" t="str">
        <f>IFERROR(IF(INDEX('PROJETO PERFURAÇÃO'!$P:$P,MATCH(MEDIÇÃO!K873,'PROJETO PERFURAÇÃO'!$B:$B,0))="Production","P",IF(INDEX('PROJETO PERFURAÇÃO'!$P:$P,MATCH(MEDIÇÃO!K873,'PROJETO PERFURAÇÃO'!$B:$B,0))="Buffer","B",IF(INDEX('PROJETO PERFURAÇÃO'!$P:$P,MATCH(MEDIÇÃO!K873,'PROJETO PERFURAÇÃO'!$B:$B,0))="Pre-Splitting","S"))),"")</f>
        <v/>
      </c>
      <c r="K873" s="14">
        <f>D895+1</f>
        <v>1956</v>
      </c>
      <c r="L873" s="4" t="str">
        <f>IFERROR(INDEX('LEV R&amp;D'!$D:$D,MATCH(MEDIÇÃO!K873,'LEV R&amp;D'!$A:$A,0))-INDEX('PROJETO PERFURAÇÃO'!$AH:$AH,MATCH(MEDIÇÃO!K873,'PROJETO PERFURAÇÃO'!$B:$B,0)),"")</f>
        <v/>
      </c>
      <c r="M873" s="8" t="str">
        <f>IFERROR(INDEX('PROJETO PERFURAÇÃO'!$AN:$AN,MATCH(MEDIÇÃO!K873,'PROJETO PERFURAÇÃO'!$B:$B,0)),"")</f>
        <v/>
      </c>
      <c r="N873" s="3"/>
      <c r="O873" s="3"/>
      <c r="P873" s="3" t="str">
        <f>IFERROR(ROUND(INDEX('PROJETO PERFURAÇÃO'!$AB:$AB,MATCH(MEDIÇÃO!R873,'PROJETO PERFURAÇÃO'!$B:$B,0)),1)&amp;"''","")</f>
        <v/>
      </c>
      <c r="Q873" s="3" t="str">
        <f>IFERROR(IF(INDEX('PROJETO PERFURAÇÃO'!$P:$P,MATCH(MEDIÇÃO!R873,'PROJETO PERFURAÇÃO'!$B:$B,0))="Production","P",IF(INDEX('PROJETO PERFURAÇÃO'!$P:$P,MATCH(MEDIÇÃO!R873,'PROJETO PERFURAÇÃO'!$B:$B,0))="Buffer","B",IF(INDEX('PROJETO PERFURAÇÃO'!$P:$P,MATCH(MEDIÇÃO!R873,'PROJETO PERFURAÇÃO'!$B:$B,0))="Pre-Splitting","S"))),"")</f>
        <v/>
      </c>
      <c r="R873" s="14">
        <f>K895+1</f>
        <v>1979</v>
      </c>
      <c r="S873" s="4" t="str">
        <f>IFERROR(INDEX('LEV R&amp;D'!$D:$D,MATCH(MEDIÇÃO!R873,'LEV R&amp;D'!$A:$A,0))-INDEX('PROJETO PERFURAÇÃO'!$AH:$AH,MATCH(MEDIÇÃO!R873,'PROJETO PERFURAÇÃO'!$B:$B,0)),"")</f>
        <v/>
      </c>
      <c r="T873" s="8" t="str">
        <f>IFERROR(INDEX('PROJETO PERFURAÇÃO'!$AN:$AN,MATCH(MEDIÇÃO!R873,'PROJETO PERFURAÇÃO'!$B:$B,0)),"")</f>
        <v/>
      </c>
      <c r="U873" s="3"/>
      <c r="V873" s="3"/>
    </row>
    <row r="874" spans="1:23" ht="45" customHeight="1" x14ac:dyDescent="0.25">
      <c r="B874" s="3" t="str">
        <f>IFERROR(ROUND(INDEX('PROJETO PERFURAÇÃO'!$AB:$AB,MATCH(MEDIÇÃO!D874,'PROJETO PERFURAÇÃO'!$B:$B,0)),1)&amp;"''","")</f>
        <v/>
      </c>
      <c r="C874" s="3" t="str">
        <f>IFERROR(IF(INDEX('PROJETO PERFURAÇÃO'!$P:$P,MATCH(MEDIÇÃO!D874,'PROJETO PERFURAÇÃO'!$B:$B,0))="Production","P",IF(INDEX('PROJETO PERFURAÇÃO'!$P:$P,MATCH(MEDIÇÃO!D874,'PROJETO PERFURAÇÃO'!$B:$B,0))="Buffer","B",IF(INDEX('PROJETO PERFURAÇÃO'!$P:$P,MATCH(MEDIÇÃO!D874,'PROJETO PERFURAÇÃO'!$B:$B,0))="Pre-Splitting","S"))),"")</f>
        <v/>
      </c>
      <c r="D874" s="14">
        <f>D873+1</f>
        <v>1934</v>
      </c>
      <c r="E874" s="4" t="str">
        <f>IFERROR(INDEX('LEV R&amp;D'!$D:$D,MATCH(MEDIÇÃO!D874,'LEV R&amp;D'!$A:$A,0))-INDEX('PROJETO PERFURAÇÃO'!$AH:$AH,MATCH(MEDIÇÃO!D874,'PROJETO PERFURAÇÃO'!$B:$B,0)),"")</f>
        <v/>
      </c>
      <c r="F874" s="8" t="str">
        <f>IFERROR(INDEX('PROJETO PERFURAÇÃO'!$AN:$AN,MATCH(MEDIÇÃO!D874,'PROJETO PERFURAÇÃO'!$B:$B,0)),"")</f>
        <v/>
      </c>
      <c r="G874" s="3"/>
      <c r="H874" s="3"/>
      <c r="I874" s="3" t="str">
        <f>IFERROR(ROUND(INDEX('PROJETO PERFURAÇÃO'!$AB:$AB,MATCH(MEDIÇÃO!K874,'PROJETO PERFURAÇÃO'!$B:$B,0)),1)&amp;"''","")</f>
        <v/>
      </c>
      <c r="J874" s="3" t="str">
        <f>IFERROR(IF(INDEX('PROJETO PERFURAÇÃO'!$P:$P,MATCH(MEDIÇÃO!K874,'PROJETO PERFURAÇÃO'!$B:$B,0))="Production","P",IF(INDEX('PROJETO PERFURAÇÃO'!$P:$P,MATCH(MEDIÇÃO!K874,'PROJETO PERFURAÇÃO'!$B:$B,0))="Buffer","B",IF(INDEX('PROJETO PERFURAÇÃO'!$P:$P,MATCH(MEDIÇÃO!K874,'PROJETO PERFURAÇÃO'!$B:$B,0))="Pre-Splitting","S"))),"")</f>
        <v/>
      </c>
      <c r="K874" s="14">
        <f>K873+1</f>
        <v>1957</v>
      </c>
      <c r="L874" s="4" t="str">
        <f>IFERROR(INDEX('LEV R&amp;D'!$D:$D,MATCH(MEDIÇÃO!K874,'LEV R&amp;D'!$A:$A,0))-INDEX('PROJETO PERFURAÇÃO'!$AH:$AH,MATCH(MEDIÇÃO!K874,'PROJETO PERFURAÇÃO'!$B:$B,0)),"")</f>
        <v/>
      </c>
      <c r="M874" s="8" t="str">
        <f>IFERROR(INDEX('PROJETO PERFURAÇÃO'!$AN:$AN,MATCH(MEDIÇÃO!K874,'PROJETO PERFURAÇÃO'!$B:$B,0)),"")</f>
        <v/>
      </c>
      <c r="N874" s="3"/>
      <c r="O874" s="3"/>
      <c r="P874" s="3" t="str">
        <f>IFERROR(ROUND(INDEX('PROJETO PERFURAÇÃO'!$AB:$AB,MATCH(MEDIÇÃO!R874,'PROJETO PERFURAÇÃO'!$B:$B,0)),1)&amp;"''","")</f>
        <v/>
      </c>
      <c r="Q874" s="3" t="str">
        <f>IFERROR(IF(INDEX('PROJETO PERFURAÇÃO'!$P:$P,MATCH(MEDIÇÃO!R874,'PROJETO PERFURAÇÃO'!$B:$B,0))="Production","P",IF(INDEX('PROJETO PERFURAÇÃO'!$P:$P,MATCH(MEDIÇÃO!R874,'PROJETO PERFURAÇÃO'!$B:$B,0))="Buffer","B",IF(INDEX('PROJETO PERFURAÇÃO'!$P:$P,MATCH(MEDIÇÃO!R874,'PROJETO PERFURAÇÃO'!$B:$B,0))="Pre-Splitting","S"))),"")</f>
        <v/>
      </c>
      <c r="R874" s="14">
        <f>R873+1</f>
        <v>1980</v>
      </c>
      <c r="S874" s="4" t="str">
        <f>IFERROR(INDEX('LEV R&amp;D'!$D:$D,MATCH(MEDIÇÃO!R874,'LEV R&amp;D'!$A:$A,0))-INDEX('PROJETO PERFURAÇÃO'!$AH:$AH,MATCH(MEDIÇÃO!R874,'PROJETO PERFURAÇÃO'!$B:$B,0)),"")</f>
        <v/>
      </c>
      <c r="T874" s="8" t="str">
        <f>IFERROR(INDEX('PROJETO PERFURAÇÃO'!$AN:$AN,MATCH(MEDIÇÃO!R874,'PROJETO PERFURAÇÃO'!$B:$B,0)),"")</f>
        <v/>
      </c>
      <c r="U874" s="3"/>
      <c r="V874" s="3"/>
    </row>
    <row r="875" spans="1:23" ht="45" customHeight="1" x14ac:dyDescent="0.25">
      <c r="B875" s="3" t="str">
        <f>IFERROR(ROUND(INDEX('PROJETO PERFURAÇÃO'!$AB:$AB,MATCH(MEDIÇÃO!D875,'PROJETO PERFURAÇÃO'!$B:$B,0)),1)&amp;"''","")</f>
        <v/>
      </c>
      <c r="C875" s="3" t="str">
        <f>IFERROR(IF(INDEX('PROJETO PERFURAÇÃO'!$P:$P,MATCH(MEDIÇÃO!D875,'PROJETO PERFURAÇÃO'!$B:$B,0))="Production","P",IF(INDEX('PROJETO PERFURAÇÃO'!$P:$P,MATCH(MEDIÇÃO!D875,'PROJETO PERFURAÇÃO'!$B:$B,0))="Buffer","B",IF(INDEX('PROJETO PERFURAÇÃO'!$P:$P,MATCH(MEDIÇÃO!D875,'PROJETO PERFURAÇÃO'!$B:$B,0))="Pre-Splitting","S"))),"")</f>
        <v/>
      </c>
      <c r="D875" s="14">
        <f t="shared" ref="D875:D895" si="84">D874+1</f>
        <v>1935</v>
      </c>
      <c r="E875" s="4" t="str">
        <f>IFERROR(INDEX('LEV R&amp;D'!$D:$D,MATCH(MEDIÇÃO!D875,'LEV R&amp;D'!$A:$A,0))-INDEX('PROJETO PERFURAÇÃO'!$AH:$AH,MATCH(MEDIÇÃO!D875,'PROJETO PERFURAÇÃO'!$B:$B,0)),"")</f>
        <v/>
      </c>
      <c r="F875" s="8" t="str">
        <f>IFERROR(INDEX('PROJETO PERFURAÇÃO'!$AN:$AN,MATCH(MEDIÇÃO!D875,'PROJETO PERFURAÇÃO'!$B:$B,0)),"")</f>
        <v/>
      </c>
      <c r="G875" s="3"/>
      <c r="H875" s="3"/>
      <c r="I875" s="3" t="str">
        <f>IFERROR(ROUND(INDEX('PROJETO PERFURAÇÃO'!$AB:$AB,MATCH(MEDIÇÃO!K875,'PROJETO PERFURAÇÃO'!$B:$B,0)),1)&amp;"''","")</f>
        <v/>
      </c>
      <c r="J875" s="3" t="str">
        <f>IFERROR(IF(INDEX('PROJETO PERFURAÇÃO'!$P:$P,MATCH(MEDIÇÃO!K875,'PROJETO PERFURAÇÃO'!$B:$B,0))="Production","P",IF(INDEX('PROJETO PERFURAÇÃO'!$P:$P,MATCH(MEDIÇÃO!K875,'PROJETO PERFURAÇÃO'!$B:$B,0))="Buffer","B",IF(INDEX('PROJETO PERFURAÇÃO'!$P:$P,MATCH(MEDIÇÃO!K875,'PROJETO PERFURAÇÃO'!$B:$B,0))="Pre-Splitting","S"))),"")</f>
        <v/>
      </c>
      <c r="K875" s="14">
        <f t="shared" ref="K875:K894" si="85">K874+1</f>
        <v>1958</v>
      </c>
      <c r="L875" s="4" t="str">
        <f>IFERROR(INDEX('LEV R&amp;D'!$D:$D,MATCH(MEDIÇÃO!K875,'LEV R&amp;D'!$A:$A,0))-INDEX('PROJETO PERFURAÇÃO'!$AH:$AH,MATCH(MEDIÇÃO!K875,'PROJETO PERFURAÇÃO'!$B:$B,0)),"")</f>
        <v/>
      </c>
      <c r="M875" s="8" t="str">
        <f>IFERROR(INDEX('PROJETO PERFURAÇÃO'!$AN:$AN,MATCH(MEDIÇÃO!K875,'PROJETO PERFURAÇÃO'!$B:$B,0)),"")</f>
        <v/>
      </c>
      <c r="N875" s="3"/>
      <c r="O875" s="3"/>
      <c r="P875" s="3" t="str">
        <f>IFERROR(ROUND(INDEX('PROJETO PERFURAÇÃO'!$AB:$AB,MATCH(MEDIÇÃO!R875,'PROJETO PERFURAÇÃO'!$B:$B,0)),1)&amp;"''","")</f>
        <v/>
      </c>
      <c r="Q875" s="3" t="str">
        <f>IFERROR(IF(INDEX('PROJETO PERFURAÇÃO'!$P:$P,MATCH(MEDIÇÃO!R875,'PROJETO PERFURAÇÃO'!$B:$B,0))="Production","P",IF(INDEX('PROJETO PERFURAÇÃO'!$P:$P,MATCH(MEDIÇÃO!R875,'PROJETO PERFURAÇÃO'!$B:$B,0))="Buffer","B",IF(INDEX('PROJETO PERFURAÇÃO'!$P:$P,MATCH(MEDIÇÃO!R875,'PROJETO PERFURAÇÃO'!$B:$B,0))="Pre-Splitting","S"))),"")</f>
        <v/>
      </c>
      <c r="R875" s="14">
        <f t="shared" ref="R875:R894" si="86">R874+1</f>
        <v>1981</v>
      </c>
      <c r="S875" s="4" t="str">
        <f>IFERROR(INDEX('LEV R&amp;D'!$D:$D,MATCH(MEDIÇÃO!R875,'LEV R&amp;D'!$A:$A,0))-INDEX('PROJETO PERFURAÇÃO'!$AH:$AH,MATCH(MEDIÇÃO!R875,'PROJETO PERFURAÇÃO'!$B:$B,0)),"")</f>
        <v/>
      </c>
      <c r="T875" s="8" t="str">
        <f>IFERROR(INDEX('PROJETO PERFURAÇÃO'!$AN:$AN,MATCH(MEDIÇÃO!R875,'PROJETO PERFURAÇÃO'!$B:$B,0)),"")</f>
        <v/>
      </c>
      <c r="U875" s="3"/>
      <c r="V875" s="3"/>
    </row>
    <row r="876" spans="1:23" ht="45" customHeight="1" x14ac:dyDescent="0.25">
      <c r="B876" s="3" t="str">
        <f>IFERROR(ROUND(INDEX('PROJETO PERFURAÇÃO'!$AB:$AB,MATCH(MEDIÇÃO!D876,'PROJETO PERFURAÇÃO'!$B:$B,0)),1)&amp;"''","")</f>
        <v/>
      </c>
      <c r="C876" s="3" t="str">
        <f>IFERROR(IF(INDEX('PROJETO PERFURAÇÃO'!$P:$P,MATCH(MEDIÇÃO!D876,'PROJETO PERFURAÇÃO'!$B:$B,0))="Production","P",IF(INDEX('PROJETO PERFURAÇÃO'!$P:$P,MATCH(MEDIÇÃO!D876,'PROJETO PERFURAÇÃO'!$B:$B,0))="Buffer","B",IF(INDEX('PROJETO PERFURAÇÃO'!$P:$P,MATCH(MEDIÇÃO!D876,'PROJETO PERFURAÇÃO'!$B:$B,0))="Pre-Splitting","S"))),"")</f>
        <v/>
      </c>
      <c r="D876" s="14">
        <f t="shared" si="84"/>
        <v>1936</v>
      </c>
      <c r="E876" s="4" t="str">
        <f>IFERROR(INDEX('LEV R&amp;D'!$D:$D,MATCH(MEDIÇÃO!D876,'LEV R&amp;D'!$A:$A,0))-INDEX('PROJETO PERFURAÇÃO'!$AH:$AH,MATCH(MEDIÇÃO!D876,'PROJETO PERFURAÇÃO'!$B:$B,0)),"")</f>
        <v/>
      </c>
      <c r="F876" s="8" t="str">
        <f>IFERROR(INDEX('PROJETO PERFURAÇÃO'!$AN:$AN,MATCH(MEDIÇÃO!D876,'PROJETO PERFURAÇÃO'!$B:$B,0)),"")</f>
        <v/>
      </c>
      <c r="G876" s="3"/>
      <c r="H876" s="3"/>
      <c r="I876" s="3" t="str">
        <f>IFERROR(ROUND(INDEX('PROJETO PERFURAÇÃO'!$AB:$AB,MATCH(MEDIÇÃO!K876,'PROJETO PERFURAÇÃO'!$B:$B,0)),1)&amp;"''","")</f>
        <v/>
      </c>
      <c r="J876" s="3" t="str">
        <f>IFERROR(IF(INDEX('PROJETO PERFURAÇÃO'!$P:$P,MATCH(MEDIÇÃO!K876,'PROJETO PERFURAÇÃO'!$B:$B,0))="Production","P",IF(INDEX('PROJETO PERFURAÇÃO'!$P:$P,MATCH(MEDIÇÃO!K876,'PROJETO PERFURAÇÃO'!$B:$B,0))="Buffer","B",IF(INDEX('PROJETO PERFURAÇÃO'!$P:$P,MATCH(MEDIÇÃO!K876,'PROJETO PERFURAÇÃO'!$B:$B,0))="Pre-Splitting","S"))),"")</f>
        <v/>
      </c>
      <c r="K876" s="14">
        <f t="shared" si="85"/>
        <v>1959</v>
      </c>
      <c r="L876" s="4" t="str">
        <f>IFERROR(INDEX('LEV R&amp;D'!$D:$D,MATCH(MEDIÇÃO!K876,'LEV R&amp;D'!$A:$A,0))-INDEX('PROJETO PERFURAÇÃO'!$AH:$AH,MATCH(MEDIÇÃO!K876,'PROJETO PERFURAÇÃO'!$B:$B,0)),"")</f>
        <v/>
      </c>
      <c r="M876" s="8" t="str">
        <f>IFERROR(INDEX('PROJETO PERFURAÇÃO'!$AN:$AN,MATCH(MEDIÇÃO!K876,'PROJETO PERFURAÇÃO'!$B:$B,0)),"")</f>
        <v/>
      </c>
      <c r="N876" s="3"/>
      <c r="O876" s="3"/>
      <c r="P876" s="3" t="str">
        <f>IFERROR(ROUND(INDEX('PROJETO PERFURAÇÃO'!$AB:$AB,MATCH(MEDIÇÃO!R876,'PROJETO PERFURAÇÃO'!$B:$B,0)),1)&amp;"''","")</f>
        <v/>
      </c>
      <c r="Q876" s="3" t="str">
        <f>IFERROR(IF(INDEX('PROJETO PERFURAÇÃO'!$P:$P,MATCH(MEDIÇÃO!R876,'PROJETO PERFURAÇÃO'!$B:$B,0))="Production","P",IF(INDEX('PROJETO PERFURAÇÃO'!$P:$P,MATCH(MEDIÇÃO!R876,'PROJETO PERFURAÇÃO'!$B:$B,0))="Buffer","B",IF(INDEX('PROJETO PERFURAÇÃO'!$P:$P,MATCH(MEDIÇÃO!R876,'PROJETO PERFURAÇÃO'!$B:$B,0))="Pre-Splitting","S"))),"")</f>
        <v/>
      </c>
      <c r="R876" s="14">
        <f t="shared" si="86"/>
        <v>1982</v>
      </c>
      <c r="S876" s="4" t="str">
        <f>IFERROR(INDEX('LEV R&amp;D'!$D:$D,MATCH(MEDIÇÃO!R876,'LEV R&amp;D'!$A:$A,0))-INDEX('PROJETO PERFURAÇÃO'!$AH:$AH,MATCH(MEDIÇÃO!R876,'PROJETO PERFURAÇÃO'!$B:$B,0)),"")</f>
        <v/>
      </c>
      <c r="T876" s="8" t="str">
        <f>IFERROR(INDEX('PROJETO PERFURAÇÃO'!$AN:$AN,MATCH(MEDIÇÃO!R876,'PROJETO PERFURAÇÃO'!$B:$B,0)),"")</f>
        <v/>
      </c>
      <c r="U876" s="3"/>
      <c r="V876" s="3"/>
    </row>
    <row r="877" spans="1:23" ht="45" customHeight="1" x14ac:dyDescent="0.25">
      <c r="B877" s="3" t="str">
        <f>IFERROR(ROUND(INDEX('PROJETO PERFURAÇÃO'!$AB:$AB,MATCH(MEDIÇÃO!D877,'PROJETO PERFURAÇÃO'!$B:$B,0)),1)&amp;"''","")</f>
        <v/>
      </c>
      <c r="C877" s="3" t="str">
        <f>IFERROR(IF(INDEX('PROJETO PERFURAÇÃO'!$P:$P,MATCH(MEDIÇÃO!D877,'PROJETO PERFURAÇÃO'!$B:$B,0))="Production","P",IF(INDEX('PROJETO PERFURAÇÃO'!$P:$P,MATCH(MEDIÇÃO!D877,'PROJETO PERFURAÇÃO'!$B:$B,0))="Buffer","B",IF(INDEX('PROJETO PERFURAÇÃO'!$P:$P,MATCH(MEDIÇÃO!D877,'PROJETO PERFURAÇÃO'!$B:$B,0))="Pre-Splitting","S"))),"")</f>
        <v/>
      </c>
      <c r="D877" s="14">
        <f t="shared" si="84"/>
        <v>1937</v>
      </c>
      <c r="E877" s="4" t="str">
        <f>IFERROR(INDEX('LEV R&amp;D'!$D:$D,MATCH(MEDIÇÃO!D877,'LEV R&amp;D'!$A:$A,0))-INDEX('PROJETO PERFURAÇÃO'!$AH:$AH,MATCH(MEDIÇÃO!D877,'PROJETO PERFURAÇÃO'!$B:$B,0)),"")</f>
        <v/>
      </c>
      <c r="F877" s="8" t="str">
        <f>IFERROR(INDEX('PROJETO PERFURAÇÃO'!$AN:$AN,MATCH(MEDIÇÃO!D877,'PROJETO PERFURAÇÃO'!$B:$B,0)),"")</f>
        <v/>
      </c>
      <c r="G877" s="3"/>
      <c r="H877" s="3"/>
      <c r="I877" s="3" t="str">
        <f>IFERROR(ROUND(INDEX('PROJETO PERFURAÇÃO'!$AB:$AB,MATCH(MEDIÇÃO!K877,'PROJETO PERFURAÇÃO'!$B:$B,0)),1)&amp;"''","")</f>
        <v/>
      </c>
      <c r="J877" s="3" t="str">
        <f>IFERROR(IF(INDEX('PROJETO PERFURAÇÃO'!$P:$P,MATCH(MEDIÇÃO!K877,'PROJETO PERFURAÇÃO'!$B:$B,0))="Production","P",IF(INDEX('PROJETO PERFURAÇÃO'!$P:$P,MATCH(MEDIÇÃO!K877,'PROJETO PERFURAÇÃO'!$B:$B,0))="Buffer","B",IF(INDEX('PROJETO PERFURAÇÃO'!$P:$P,MATCH(MEDIÇÃO!K877,'PROJETO PERFURAÇÃO'!$B:$B,0))="Pre-Splitting","S"))),"")</f>
        <v/>
      </c>
      <c r="K877" s="14">
        <f t="shared" si="85"/>
        <v>1960</v>
      </c>
      <c r="L877" s="4" t="str">
        <f>IFERROR(INDEX('LEV R&amp;D'!$D:$D,MATCH(MEDIÇÃO!K877,'LEV R&amp;D'!$A:$A,0))-INDEX('PROJETO PERFURAÇÃO'!$AH:$AH,MATCH(MEDIÇÃO!K877,'PROJETO PERFURAÇÃO'!$B:$B,0)),"")</f>
        <v/>
      </c>
      <c r="M877" s="8" t="str">
        <f>IFERROR(INDEX('PROJETO PERFURAÇÃO'!$AN:$AN,MATCH(MEDIÇÃO!K877,'PROJETO PERFURAÇÃO'!$B:$B,0)),"")</f>
        <v/>
      </c>
      <c r="N877" s="3"/>
      <c r="O877" s="3"/>
      <c r="P877" s="3" t="str">
        <f>IFERROR(ROUND(INDEX('PROJETO PERFURAÇÃO'!$AB:$AB,MATCH(MEDIÇÃO!R877,'PROJETO PERFURAÇÃO'!$B:$B,0)),1)&amp;"''","")</f>
        <v/>
      </c>
      <c r="Q877" s="3" t="str">
        <f>IFERROR(IF(INDEX('PROJETO PERFURAÇÃO'!$P:$P,MATCH(MEDIÇÃO!R877,'PROJETO PERFURAÇÃO'!$B:$B,0))="Production","P",IF(INDEX('PROJETO PERFURAÇÃO'!$P:$P,MATCH(MEDIÇÃO!R877,'PROJETO PERFURAÇÃO'!$B:$B,0))="Buffer","B",IF(INDEX('PROJETO PERFURAÇÃO'!$P:$P,MATCH(MEDIÇÃO!R877,'PROJETO PERFURAÇÃO'!$B:$B,0))="Pre-Splitting","S"))),"")</f>
        <v/>
      </c>
      <c r="R877" s="14">
        <f t="shared" si="86"/>
        <v>1983</v>
      </c>
      <c r="S877" s="4" t="str">
        <f>IFERROR(INDEX('LEV R&amp;D'!$D:$D,MATCH(MEDIÇÃO!R877,'LEV R&amp;D'!$A:$A,0))-INDEX('PROJETO PERFURAÇÃO'!$AH:$AH,MATCH(MEDIÇÃO!R877,'PROJETO PERFURAÇÃO'!$B:$B,0)),"")</f>
        <v/>
      </c>
      <c r="T877" s="8" t="str">
        <f>IFERROR(INDEX('PROJETO PERFURAÇÃO'!$AN:$AN,MATCH(MEDIÇÃO!R877,'PROJETO PERFURAÇÃO'!$B:$B,0)),"")</f>
        <v/>
      </c>
      <c r="U877" s="3"/>
      <c r="V877" s="3"/>
    </row>
    <row r="878" spans="1:23" ht="45" customHeight="1" x14ac:dyDescent="0.25">
      <c r="B878" s="3" t="str">
        <f>IFERROR(ROUND(INDEX('PROJETO PERFURAÇÃO'!$AB:$AB,MATCH(MEDIÇÃO!D878,'PROJETO PERFURAÇÃO'!$B:$B,0)),1)&amp;"''","")</f>
        <v/>
      </c>
      <c r="C878" s="3" t="str">
        <f>IFERROR(IF(INDEX('PROJETO PERFURAÇÃO'!$P:$P,MATCH(MEDIÇÃO!D878,'PROJETO PERFURAÇÃO'!$B:$B,0))="Production","P",IF(INDEX('PROJETO PERFURAÇÃO'!$P:$P,MATCH(MEDIÇÃO!D878,'PROJETO PERFURAÇÃO'!$B:$B,0))="Buffer","B",IF(INDEX('PROJETO PERFURAÇÃO'!$P:$P,MATCH(MEDIÇÃO!D878,'PROJETO PERFURAÇÃO'!$B:$B,0))="Pre-Splitting","S"))),"")</f>
        <v/>
      </c>
      <c r="D878" s="14">
        <f t="shared" si="84"/>
        <v>1938</v>
      </c>
      <c r="E878" s="4" t="str">
        <f>IFERROR(INDEX('LEV R&amp;D'!$D:$D,MATCH(MEDIÇÃO!D878,'LEV R&amp;D'!$A:$A,0))-INDEX('PROJETO PERFURAÇÃO'!$AH:$AH,MATCH(MEDIÇÃO!D878,'PROJETO PERFURAÇÃO'!$B:$B,0)),"")</f>
        <v/>
      </c>
      <c r="F878" s="8" t="str">
        <f>IFERROR(INDEX('PROJETO PERFURAÇÃO'!$AN:$AN,MATCH(MEDIÇÃO!D878,'PROJETO PERFURAÇÃO'!$B:$B,0)),"")</f>
        <v/>
      </c>
      <c r="G878" s="3"/>
      <c r="H878" s="3"/>
      <c r="I878" s="3" t="str">
        <f>IFERROR(ROUND(INDEX('PROJETO PERFURAÇÃO'!$AB:$AB,MATCH(MEDIÇÃO!K878,'PROJETO PERFURAÇÃO'!$B:$B,0)),1)&amp;"''","")</f>
        <v/>
      </c>
      <c r="J878" s="3" t="str">
        <f>IFERROR(IF(INDEX('PROJETO PERFURAÇÃO'!$P:$P,MATCH(MEDIÇÃO!K878,'PROJETO PERFURAÇÃO'!$B:$B,0))="Production","P",IF(INDEX('PROJETO PERFURAÇÃO'!$P:$P,MATCH(MEDIÇÃO!K878,'PROJETO PERFURAÇÃO'!$B:$B,0))="Buffer","B",IF(INDEX('PROJETO PERFURAÇÃO'!$P:$P,MATCH(MEDIÇÃO!K878,'PROJETO PERFURAÇÃO'!$B:$B,0))="Pre-Splitting","S"))),"")</f>
        <v/>
      </c>
      <c r="K878" s="14">
        <f t="shared" si="85"/>
        <v>1961</v>
      </c>
      <c r="L878" s="4" t="str">
        <f>IFERROR(INDEX('LEV R&amp;D'!$D:$D,MATCH(MEDIÇÃO!K878,'LEV R&amp;D'!$A:$A,0))-INDEX('PROJETO PERFURAÇÃO'!$AH:$AH,MATCH(MEDIÇÃO!K878,'PROJETO PERFURAÇÃO'!$B:$B,0)),"")</f>
        <v/>
      </c>
      <c r="M878" s="8" t="str">
        <f>IFERROR(INDEX('PROJETO PERFURAÇÃO'!$AN:$AN,MATCH(MEDIÇÃO!K878,'PROJETO PERFURAÇÃO'!$B:$B,0)),"")</f>
        <v/>
      </c>
      <c r="N878" s="3"/>
      <c r="O878" s="3"/>
      <c r="P878" s="3" t="str">
        <f>IFERROR(ROUND(INDEX('PROJETO PERFURAÇÃO'!$AB:$AB,MATCH(MEDIÇÃO!R878,'PROJETO PERFURAÇÃO'!$B:$B,0)),1)&amp;"''","")</f>
        <v/>
      </c>
      <c r="Q878" s="3" t="str">
        <f>IFERROR(IF(INDEX('PROJETO PERFURAÇÃO'!$P:$P,MATCH(MEDIÇÃO!R878,'PROJETO PERFURAÇÃO'!$B:$B,0))="Production","P",IF(INDEX('PROJETO PERFURAÇÃO'!$P:$P,MATCH(MEDIÇÃO!R878,'PROJETO PERFURAÇÃO'!$B:$B,0))="Buffer","B",IF(INDEX('PROJETO PERFURAÇÃO'!$P:$P,MATCH(MEDIÇÃO!R878,'PROJETO PERFURAÇÃO'!$B:$B,0))="Pre-Splitting","S"))),"")</f>
        <v/>
      </c>
      <c r="R878" s="14">
        <f t="shared" si="86"/>
        <v>1984</v>
      </c>
      <c r="S878" s="4" t="str">
        <f>IFERROR(INDEX('LEV R&amp;D'!$D:$D,MATCH(MEDIÇÃO!R878,'LEV R&amp;D'!$A:$A,0))-INDEX('PROJETO PERFURAÇÃO'!$AH:$AH,MATCH(MEDIÇÃO!R878,'PROJETO PERFURAÇÃO'!$B:$B,0)),"")</f>
        <v/>
      </c>
      <c r="T878" s="8" t="str">
        <f>IFERROR(INDEX('PROJETO PERFURAÇÃO'!$AN:$AN,MATCH(MEDIÇÃO!R878,'PROJETO PERFURAÇÃO'!$B:$B,0)),"")</f>
        <v/>
      </c>
      <c r="U878" s="3"/>
      <c r="V878" s="3"/>
    </row>
    <row r="879" spans="1:23" ht="45" customHeight="1" x14ac:dyDescent="0.25">
      <c r="B879" s="3" t="str">
        <f>IFERROR(ROUND(INDEX('PROJETO PERFURAÇÃO'!$AB:$AB,MATCH(MEDIÇÃO!D879,'PROJETO PERFURAÇÃO'!$B:$B,0)),1)&amp;"''","")</f>
        <v/>
      </c>
      <c r="C879" s="3" t="str">
        <f>IFERROR(IF(INDEX('PROJETO PERFURAÇÃO'!$P:$P,MATCH(MEDIÇÃO!D879,'PROJETO PERFURAÇÃO'!$B:$B,0))="Production","P",IF(INDEX('PROJETO PERFURAÇÃO'!$P:$P,MATCH(MEDIÇÃO!D879,'PROJETO PERFURAÇÃO'!$B:$B,0))="Buffer","B",IF(INDEX('PROJETO PERFURAÇÃO'!$P:$P,MATCH(MEDIÇÃO!D879,'PROJETO PERFURAÇÃO'!$B:$B,0))="Pre-Splitting","S"))),"")</f>
        <v/>
      </c>
      <c r="D879" s="14">
        <f t="shared" si="84"/>
        <v>1939</v>
      </c>
      <c r="E879" s="4" t="str">
        <f>IFERROR(INDEX('LEV R&amp;D'!$D:$D,MATCH(MEDIÇÃO!D879,'LEV R&amp;D'!$A:$A,0))-INDEX('PROJETO PERFURAÇÃO'!$AH:$AH,MATCH(MEDIÇÃO!D879,'PROJETO PERFURAÇÃO'!$B:$B,0)),"")</f>
        <v/>
      </c>
      <c r="F879" s="8" t="str">
        <f>IFERROR(INDEX('PROJETO PERFURAÇÃO'!$AN:$AN,MATCH(MEDIÇÃO!D879,'PROJETO PERFURAÇÃO'!$B:$B,0)),"")</f>
        <v/>
      </c>
      <c r="G879" s="3"/>
      <c r="H879" s="3"/>
      <c r="I879" s="3" t="str">
        <f>IFERROR(ROUND(INDEX('PROJETO PERFURAÇÃO'!$AB:$AB,MATCH(MEDIÇÃO!K879,'PROJETO PERFURAÇÃO'!$B:$B,0)),1)&amp;"''","")</f>
        <v/>
      </c>
      <c r="J879" s="3" t="str">
        <f>IFERROR(IF(INDEX('PROJETO PERFURAÇÃO'!$P:$P,MATCH(MEDIÇÃO!K879,'PROJETO PERFURAÇÃO'!$B:$B,0))="Production","P",IF(INDEX('PROJETO PERFURAÇÃO'!$P:$P,MATCH(MEDIÇÃO!K879,'PROJETO PERFURAÇÃO'!$B:$B,0))="Buffer","B",IF(INDEX('PROJETO PERFURAÇÃO'!$P:$P,MATCH(MEDIÇÃO!K879,'PROJETO PERFURAÇÃO'!$B:$B,0))="Pre-Splitting","S"))),"")</f>
        <v/>
      </c>
      <c r="K879" s="14">
        <f t="shared" si="85"/>
        <v>1962</v>
      </c>
      <c r="L879" s="4" t="str">
        <f>IFERROR(INDEX('LEV R&amp;D'!$D:$D,MATCH(MEDIÇÃO!K879,'LEV R&amp;D'!$A:$A,0))-INDEX('PROJETO PERFURAÇÃO'!$AH:$AH,MATCH(MEDIÇÃO!K879,'PROJETO PERFURAÇÃO'!$B:$B,0)),"")</f>
        <v/>
      </c>
      <c r="M879" s="8" t="str">
        <f>IFERROR(INDEX('PROJETO PERFURAÇÃO'!$AN:$AN,MATCH(MEDIÇÃO!K879,'PROJETO PERFURAÇÃO'!$B:$B,0)),"")</f>
        <v/>
      </c>
      <c r="N879" s="3"/>
      <c r="O879" s="3"/>
      <c r="P879" s="3" t="str">
        <f>IFERROR(ROUND(INDEX('PROJETO PERFURAÇÃO'!$AB:$AB,MATCH(MEDIÇÃO!R879,'PROJETO PERFURAÇÃO'!$B:$B,0)),1)&amp;"''","")</f>
        <v/>
      </c>
      <c r="Q879" s="3" t="str">
        <f>IFERROR(IF(INDEX('PROJETO PERFURAÇÃO'!$P:$P,MATCH(MEDIÇÃO!R879,'PROJETO PERFURAÇÃO'!$B:$B,0))="Production","P",IF(INDEX('PROJETO PERFURAÇÃO'!$P:$P,MATCH(MEDIÇÃO!R879,'PROJETO PERFURAÇÃO'!$B:$B,0))="Buffer","B",IF(INDEX('PROJETO PERFURAÇÃO'!$P:$P,MATCH(MEDIÇÃO!R879,'PROJETO PERFURAÇÃO'!$B:$B,0))="Pre-Splitting","S"))),"")</f>
        <v/>
      </c>
      <c r="R879" s="14">
        <f t="shared" si="86"/>
        <v>1985</v>
      </c>
      <c r="S879" s="4" t="str">
        <f>IFERROR(INDEX('LEV R&amp;D'!$D:$D,MATCH(MEDIÇÃO!R879,'LEV R&amp;D'!$A:$A,0))-INDEX('PROJETO PERFURAÇÃO'!$AH:$AH,MATCH(MEDIÇÃO!R879,'PROJETO PERFURAÇÃO'!$B:$B,0)),"")</f>
        <v/>
      </c>
      <c r="T879" s="8" t="str">
        <f>IFERROR(INDEX('PROJETO PERFURAÇÃO'!$AN:$AN,MATCH(MEDIÇÃO!R879,'PROJETO PERFURAÇÃO'!$B:$B,0)),"")</f>
        <v/>
      </c>
      <c r="U879" s="3"/>
      <c r="V879" s="3"/>
    </row>
    <row r="880" spans="1:23" ht="45" customHeight="1" x14ac:dyDescent="0.25">
      <c r="B880" s="3" t="str">
        <f>IFERROR(ROUND(INDEX('PROJETO PERFURAÇÃO'!$AB:$AB,MATCH(MEDIÇÃO!D880,'PROJETO PERFURAÇÃO'!$B:$B,0)),1)&amp;"''","")</f>
        <v/>
      </c>
      <c r="C880" s="3" t="str">
        <f>IFERROR(IF(INDEX('PROJETO PERFURAÇÃO'!$P:$P,MATCH(MEDIÇÃO!D880,'PROJETO PERFURAÇÃO'!$B:$B,0))="Production","P",IF(INDEX('PROJETO PERFURAÇÃO'!$P:$P,MATCH(MEDIÇÃO!D880,'PROJETO PERFURAÇÃO'!$B:$B,0))="Buffer","B",IF(INDEX('PROJETO PERFURAÇÃO'!$P:$P,MATCH(MEDIÇÃO!D880,'PROJETO PERFURAÇÃO'!$B:$B,0))="Pre-Splitting","S"))),"")</f>
        <v/>
      </c>
      <c r="D880" s="14">
        <f t="shared" si="84"/>
        <v>1940</v>
      </c>
      <c r="E880" s="4" t="str">
        <f>IFERROR(INDEX('LEV R&amp;D'!$D:$D,MATCH(MEDIÇÃO!D880,'LEV R&amp;D'!$A:$A,0))-INDEX('PROJETO PERFURAÇÃO'!$AH:$AH,MATCH(MEDIÇÃO!D880,'PROJETO PERFURAÇÃO'!$B:$B,0)),"")</f>
        <v/>
      </c>
      <c r="F880" s="8" t="str">
        <f>IFERROR(INDEX('PROJETO PERFURAÇÃO'!$AN:$AN,MATCH(MEDIÇÃO!D880,'PROJETO PERFURAÇÃO'!$B:$B,0)),"")</f>
        <v/>
      </c>
      <c r="G880" s="3"/>
      <c r="H880" s="3"/>
      <c r="I880" s="3" t="str">
        <f>IFERROR(ROUND(INDEX('PROJETO PERFURAÇÃO'!$AB:$AB,MATCH(MEDIÇÃO!K880,'PROJETO PERFURAÇÃO'!$B:$B,0)),1)&amp;"''","")</f>
        <v/>
      </c>
      <c r="J880" s="3" t="str">
        <f>IFERROR(IF(INDEX('PROJETO PERFURAÇÃO'!$P:$P,MATCH(MEDIÇÃO!K880,'PROJETO PERFURAÇÃO'!$B:$B,0))="Production","P",IF(INDEX('PROJETO PERFURAÇÃO'!$P:$P,MATCH(MEDIÇÃO!K880,'PROJETO PERFURAÇÃO'!$B:$B,0))="Buffer","B",IF(INDEX('PROJETO PERFURAÇÃO'!$P:$P,MATCH(MEDIÇÃO!K880,'PROJETO PERFURAÇÃO'!$B:$B,0))="Pre-Splitting","S"))),"")</f>
        <v/>
      </c>
      <c r="K880" s="14">
        <f t="shared" si="85"/>
        <v>1963</v>
      </c>
      <c r="L880" s="4" t="str">
        <f>IFERROR(INDEX('LEV R&amp;D'!$D:$D,MATCH(MEDIÇÃO!K880,'LEV R&amp;D'!$A:$A,0))-INDEX('PROJETO PERFURAÇÃO'!$AH:$AH,MATCH(MEDIÇÃO!K880,'PROJETO PERFURAÇÃO'!$B:$B,0)),"")</f>
        <v/>
      </c>
      <c r="M880" s="8" t="str">
        <f>IFERROR(INDEX('PROJETO PERFURAÇÃO'!$AN:$AN,MATCH(MEDIÇÃO!K880,'PROJETO PERFURAÇÃO'!$B:$B,0)),"")</f>
        <v/>
      </c>
      <c r="N880" s="3"/>
      <c r="O880" s="3"/>
      <c r="P880" s="3" t="str">
        <f>IFERROR(ROUND(INDEX('PROJETO PERFURAÇÃO'!$AB:$AB,MATCH(MEDIÇÃO!R880,'PROJETO PERFURAÇÃO'!$B:$B,0)),1)&amp;"''","")</f>
        <v/>
      </c>
      <c r="Q880" s="3" t="str">
        <f>IFERROR(IF(INDEX('PROJETO PERFURAÇÃO'!$P:$P,MATCH(MEDIÇÃO!R880,'PROJETO PERFURAÇÃO'!$B:$B,0))="Production","P",IF(INDEX('PROJETO PERFURAÇÃO'!$P:$P,MATCH(MEDIÇÃO!R880,'PROJETO PERFURAÇÃO'!$B:$B,0))="Buffer","B",IF(INDEX('PROJETO PERFURAÇÃO'!$P:$P,MATCH(MEDIÇÃO!R880,'PROJETO PERFURAÇÃO'!$B:$B,0))="Pre-Splitting","S"))),"")</f>
        <v/>
      </c>
      <c r="R880" s="14">
        <f t="shared" si="86"/>
        <v>1986</v>
      </c>
      <c r="S880" s="4" t="str">
        <f>IFERROR(INDEX('LEV R&amp;D'!$D:$D,MATCH(MEDIÇÃO!R880,'LEV R&amp;D'!$A:$A,0))-INDEX('PROJETO PERFURAÇÃO'!$AH:$AH,MATCH(MEDIÇÃO!R880,'PROJETO PERFURAÇÃO'!$B:$B,0)),"")</f>
        <v/>
      </c>
      <c r="T880" s="8" t="str">
        <f>IFERROR(INDEX('PROJETO PERFURAÇÃO'!$AN:$AN,MATCH(MEDIÇÃO!R880,'PROJETO PERFURAÇÃO'!$B:$B,0)),"")</f>
        <v/>
      </c>
      <c r="U880" s="3"/>
      <c r="V880" s="3"/>
    </row>
    <row r="881" spans="2:22" ht="45" customHeight="1" x14ac:dyDescent="0.25">
      <c r="B881" s="3" t="str">
        <f>IFERROR(ROUND(INDEX('PROJETO PERFURAÇÃO'!$AB:$AB,MATCH(MEDIÇÃO!D881,'PROJETO PERFURAÇÃO'!$B:$B,0)),1)&amp;"''","")</f>
        <v/>
      </c>
      <c r="C881" s="3" t="str">
        <f>IFERROR(IF(INDEX('PROJETO PERFURAÇÃO'!$P:$P,MATCH(MEDIÇÃO!D881,'PROJETO PERFURAÇÃO'!$B:$B,0))="Production","P",IF(INDEX('PROJETO PERFURAÇÃO'!$P:$P,MATCH(MEDIÇÃO!D881,'PROJETO PERFURAÇÃO'!$B:$B,0))="Buffer","B",IF(INDEX('PROJETO PERFURAÇÃO'!$P:$P,MATCH(MEDIÇÃO!D881,'PROJETO PERFURAÇÃO'!$B:$B,0))="Pre-Splitting","S"))),"")</f>
        <v/>
      </c>
      <c r="D881" s="14">
        <f t="shared" si="84"/>
        <v>1941</v>
      </c>
      <c r="E881" s="4" t="str">
        <f>IFERROR(INDEX('LEV R&amp;D'!$D:$D,MATCH(MEDIÇÃO!D881,'LEV R&amp;D'!$A:$A,0))-INDEX('PROJETO PERFURAÇÃO'!$AH:$AH,MATCH(MEDIÇÃO!D881,'PROJETO PERFURAÇÃO'!$B:$B,0)),"")</f>
        <v/>
      </c>
      <c r="F881" s="8" t="str">
        <f>IFERROR(INDEX('PROJETO PERFURAÇÃO'!$AN:$AN,MATCH(MEDIÇÃO!D881,'PROJETO PERFURAÇÃO'!$B:$B,0)),"")</f>
        <v/>
      </c>
      <c r="G881" s="3"/>
      <c r="H881" s="3"/>
      <c r="I881" s="3" t="str">
        <f>IFERROR(ROUND(INDEX('PROJETO PERFURAÇÃO'!$AB:$AB,MATCH(MEDIÇÃO!K881,'PROJETO PERFURAÇÃO'!$B:$B,0)),1)&amp;"''","")</f>
        <v/>
      </c>
      <c r="J881" s="3" t="str">
        <f>IFERROR(IF(INDEX('PROJETO PERFURAÇÃO'!$P:$P,MATCH(MEDIÇÃO!K881,'PROJETO PERFURAÇÃO'!$B:$B,0))="Production","P",IF(INDEX('PROJETO PERFURAÇÃO'!$P:$P,MATCH(MEDIÇÃO!K881,'PROJETO PERFURAÇÃO'!$B:$B,0))="Buffer","B",IF(INDEX('PROJETO PERFURAÇÃO'!$P:$P,MATCH(MEDIÇÃO!K881,'PROJETO PERFURAÇÃO'!$B:$B,0))="Pre-Splitting","S"))),"")</f>
        <v/>
      </c>
      <c r="K881" s="14">
        <f t="shared" si="85"/>
        <v>1964</v>
      </c>
      <c r="L881" s="4" t="str">
        <f>IFERROR(INDEX('LEV R&amp;D'!$D:$D,MATCH(MEDIÇÃO!K881,'LEV R&amp;D'!$A:$A,0))-INDEX('PROJETO PERFURAÇÃO'!$AH:$AH,MATCH(MEDIÇÃO!K881,'PROJETO PERFURAÇÃO'!$B:$B,0)),"")</f>
        <v/>
      </c>
      <c r="M881" s="8" t="str">
        <f>IFERROR(INDEX('PROJETO PERFURAÇÃO'!$AN:$AN,MATCH(MEDIÇÃO!K881,'PROJETO PERFURAÇÃO'!$B:$B,0)),"")</f>
        <v/>
      </c>
      <c r="N881" s="3"/>
      <c r="O881" s="3"/>
      <c r="P881" s="3" t="str">
        <f>IFERROR(ROUND(INDEX('PROJETO PERFURAÇÃO'!$AB:$AB,MATCH(MEDIÇÃO!R881,'PROJETO PERFURAÇÃO'!$B:$B,0)),1)&amp;"''","")</f>
        <v/>
      </c>
      <c r="Q881" s="3" t="str">
        <f>IFERROR(IF(INDEX('PROJETO PERFURAÇÃO'!$P:$P,MATCH(MEDIÇÃO!R881,'PROJETO PERFURAÇÃO'!$B:$B,0))="Production","P",IF(INDEX('PROJETO PERFURAÇÃO'!$P:$P,MATCH(MEDIÇÃO!R881,'PROJETO PERFURAÇÃO'!$B:$B,0))="Buffer","B",IF(INDEX('PROJETO PERFURAÇÃO'!$P:$P,MATCH(MEDIÇÃO!R881,'PROJETO PERFURAÇÃO'!$B:$B,0))="Pre-Splitting","S"))),"")</f>
        <v/>
      </c>
      <c r="R881" s="14">
        <f t="shared" si="86"/>
        <v>1987</v>
      </c>
      <c r="S881" s="4" t="str">
        <f>IFERROR(INDEX('LEV R&amp;D'!$D:$D,MATCH(MEDIÇÃO!R881,'LEV R&amp;D'!$A:$A,0))-INDEX('PROJETO PERFURAÇÃO'!$AH:$AH,MATCH(MEDIÇÃO!R881,'PROJETO PERFURAÇÃO'!$B:$B,0)),"")</f>
        <v/>
      </c>
      <c r="T881" s="8" t="str">
        <f>IFERROR(INDEX('PROJETO PERFURAÇÃO'!$AN:$AN,MATCH(MEDIÇÃO!R881,'PROJETO PERFURAÇÃO'!$B:$B,0)),"")</f>
        <v/>
      </c>
      <c r="U881" s="3"/>
      <c r="V881" s="3"/>
    </row>
    <row r="882" spans="2:22" ht="45" customHeight="1" x14ac:dyDescent="0.25">
      <c r="B882" s="3" t="str">
        <f>IFERROR(ROUND(INDEX('PROJETO PERFURAÇÃO'!$AB:$AB,MATCH(MEDIÇÃO!D882,'PROJETO PERFURAÇÃO'!$B:$B,0)),1)&amp;"''","")</f>
        <v/>
      </c>
      <c r="C882" s="3" t="str">
        <f>IFERROR(IF(INDEX('PROJETO PERFURAÇÃO'!$P:$P,MATCH(MEDIÇÃO!D882,'PROJETO PERFURAÇÃO'!$B:$B,0))="Production","P",IF(INDEX('PROJETO PERFURAÇÃO'!$P:$P,MATCH(MEDIÇÃO!D882,'PROJETO PERFURAÇÃO'!$B:$B,0))="Buffer","B",IF(INDEX('PROJETO PERFURAÇÃO'!$P:$P,MATCH(MEDIÇÃO!D882,'PROJETO PERFURAÇÃO'!$B:$B,0))="Pre-Splitting","S"))),"")</f>
        <v/>
      </c>
      <c r="D882" s="14">
        <f t="shared" si="84"/>
        <v>1942</v>
      </c>
      <c r="E882" s="4" t="str">
        <f>IFERROR(INDEX('LEV R&amp;D'!$D:$D,MATCH(MEDIÇÃO!D882,'LEV R&amp;D'!$A:$A,0))-INDEX('PROJETO PERFURAÇÃO'!$AH:$AH,MATCH(MEDIÇÃO!D882,'PROJETO PERFURAÇÃO'!$B:$B,0)),"")</f>
        <v/>
      </c>
      <c r="F882" s="8" t="str">
        <f>IFERROR(INDEX('PROJETO PERFURAÇÃO'!$AN:$AN,MATCH(MEDIÇÃO!D882,'PROJETO PERFURAÇÃO'!$B:$B,0)),"")</f>
        <v/>
      </c>
      <c r="G882" s="3"/>
      <c r="H882" s="3"/>
      <c r="I882" s="3" t="str">
        <f>IFERROR(ROUND(INDEX('PROJETO PERFURAÇÃO'!$AB:$AB,MATCH(MEDIÇÃO!K882,'PROJETO PERFURAÇÃO'!$B:$B,0)),1)&amp;"''","")</f>
        <v/>
      </c>
      <c r="J882" s="3" t="str">
        <f>IFERROR(IF(INDEX('PROJETO PERFURAÇÃO'!$P:$P,MATCH(MEDIÇÃO!K882,'PROJETO PERFURAÇÃO'!$B:$B,0))="Production","P",IF(INDEX('PROJETO PERFURAÇÃO'!$P:$P,MATCH(MEDIÇÃO!K882,'PROJETO PERFURAÇÃO'!$B:$B,0))="Buffer","B",IF(INDEX('PROJETO PERFURAÇÃO'!$P:$P,MATCH(MEDIÇÃO!K882,'PROJETO PERFURAÇÃO'!$B:$B,0))="Pre-Splitting","S"))),"")</f>
        <v/>
      </c>
      <c r="K882" s="14">
        <f t="shared" si="85"/>
        <v>1965</v>
      </c>
      <c r="L882" s="4" t="str">
        <f>IFERROR(INDEX('LEV R&amp;D'!$D:$D,MATCH(MEDIÇÃO!K882,'LEV R&amp;D'!$A:$A,0))-INDEX('PROJETO PERFURAÇÃO'!$AH:$AH,MATCH(MEDIÇÃO!K882,'PROJETO PERFURAÇÃO'!$B:$B,0)),"")</f>
        <v/>
      </c>
      <c r="M882" s="8" t="str">
        <f>IFERROR(INDEX('PROJETO PERFURAÇÃO'!$AN:$AN,MATCH(MEDIÇÃO!K882,'PROJETO PERFURAÇÃO'!$B:$B,0)),"")</f>
        <v/>
      </c>
      <c r="N882" s="3"/>
      <c r="O882" s="3"/>
      <c r="P882" s="3" t="str">
        <f>IFERROR(ROUND(INDEX('PROJETO PERFURAÇÃO'!$AB:$AB,MATCH(MEDIÇÃO!R882,'PROJETO PERFURAÇÃO'!$B:$B,0)),1)&amp;"''","")</f>
        <v/>
      </c>
      <c r="Q882" s="3" t="str">
        <f>IFERROR(IF(INDEX('PROJETO PERFURAÇÃO'!$P:$P,MATCH(MEDIÇÃO!R882,'PROJETO PERFURAÇÃO'!$B:$B,0))="Production","P",IF(INDEX('PROJETO PERFURAÇÃO'!$P:$P,MATCH(MEDIÇÃO!R882,'PROJETO PERFURAÇÃO'!$B:$B,0))="Buffer","B",IF(INDEX('PROJETO PERFURAÇÃO'!$P:$P,MATCH(MEDIÇÃO!R882,'PROJETO PERFURAÇÃO'!$B:$B,0))="Pre-Splitting","S"))),"")</f>
        <v/>
      </c>
      <c r="R882" s="14">
        <f t="shared" si="86"/>
        <v>1988</v>
      </c>
      <c r="S882" s="4" t="str">
        <f>IFERROR(INDEX('LEV R&amp;D'!$D:$D,MATCH(MEDIÇÃO!R882,'LEV R&amp;D'!$A:$A,0))-INDEX('PROJETO PERFURAÇÃO'!$AH:$AH,MATCH(MEDIÇÃO!R882,'PROJETO PERFURAÇÃO'!$B:$B,0)),"")</f>
        <v/>
      </c>
      <c r="T882" s="8" t="str">
        <f>IFERROR(INDEX('PROJETO PERFURAÇÃO'!$AN:$AN,MATCH(MEDIÇÃO!R882,'PROJETO PERFURAÇÃO'!$B:$B,0)),"")</f>
        <v/>
      </c>
      <c r="U882" s="3"/>
      <c r="V882" s="3"/>
    </row>
    <row r="883" spans="2:22" ht="45" customHeight="1" x14ac:dyDescent="0.25">
      <c r="B883" s="3" t="str">
        <f>IFERROR(ROUND(INDEX('PROJETO PERFURAÇÃO'!$AB:$AB,MATCH(MEDIÇÃO!D883,'PROJETO PERFURAÇÃO'!$B:$B,0)),1)&amp;"''","")</f>
        <v/>
      </c>
      <c r="C883" s="3" t="str">
        <f>IFERROR(IF(INDEX('PROJETO PERFURAÇÃO'!$P:$P,MATCH(MEDIÇÃO!D883,'PROJETO PERFURAÇÃO'!$B:$B,0))="Production","P",IF(INDEX('PROJETO PERFURAÇÃO'!$P:$P,MATCH(MEDIÇÃO!D883,'PROJETO PERFURAÇÃO'!$B:$B,0))="Buffer","B",IF(INDEX('PROJETO PERFURAÇÃO'!$P:$P,MATCH(MEDIÇÃO!D883,'PROJETO PERFURAÇÃO'!$B:$B,0))="Pre-Splitting","S"))),"")</f>
        <v/>
      </c>
      <c r="D883" s="14">
        <f t="shared" si="84"/>
        <v>1943</v>
      </c>
      <c r="E883" s="4" t="str">
        <f>IFERROR(INDEX('LEV R&amp;D'!$D:$D,MATCH(MEDIÇÃO!D883,'LEV R&amp;D'!$A:$A,0))-INDEX('PROJETO PERFURAÇÃO'!$AH:$AH,MATCH(MEDIÇÃO!D883,'PROJETO PERFURAÇÃO'!$B:$B,0)),"")</f>
        <v/>
      </c>
      <c r="F883" s="8" t="str">
        <f>IFERROR(INDEX('PROJETO PERFURAÇÃO'!$AN:$AN,MATCH(MEDIÇÃO!D883,'PROJETO PERFURAÇÃO'!$B:$B,0)),"")</f>
        <v/>
      </c>
      <c r="G883" s="3"/>
      <c r="H883" s="3"/>
      <c r="I883" s="3" t="str">
        <f>IFERROR(ROUND(INDEX('PROJETO PERFURAÇÃO'!$AB:$AB,MATCH(MEDIÇÃO!K883,'PROJETO PERFURAÇÃO'!$B:$B,0)),1)&amp;"''","")</f>
        <v/>
      </c>
      <c r="J883" s="3" t="str">
        <f>IFERROR(IF(INDEX('PROJETO PERFURAÇÃO'!$P:$P,MATCH(MEDIÇÃO!K883,'PROJETO PERFURAÇÃO'!$B:$B,0))="Production","P",IF(INDEX('PROJETO PERFURAÇÃO'!$P:$P,MATCH(MEDIÇÃO!K883,'PROJETO PERFURAÇÃO'!$B:$B,0))="Buffer","B",IF(INDEX('PROJETO PERFURAÇÃO'!$P:$P,MATCH(MEDIÇÃO!K883,'PROJETO PERFURAÇÃO'!$B:$B,0))="Pre-Splitting","S"))),"")</f>
        <v/>
      </c>
      <c r="K883" s="14">
        <f t="shared" si="85"/>
        <v>1966</v>
      </c>
      <c r="L883" s="4" t="str">
        <f>IFERROR(INDEX('LEV R&amp;D'!$D:$D,MATCH(MEDIÇÃO!K883,'LEV R&amp;D'!$A:$A,0))-INDEX('PROJETO PERFURAÇÃO'!$AH:$AH,MATCH(MEDIÇÃO!K883,'PROJETO PERFURAÇÃO'!$B:$B,0)),"")</f>
        <v/>
      </c>
      <c r="M883" s="8" t="str">
        <f>IFERROR(INDEX('PROJETO PERFURAÇÃO'!$AN:$AN,MATCH(MEDIÇÃO!K883,'PROJETO PERFURAÇÃO'!$B:$B,0)),"")</f>
        <v/>
      </c>
      <c r="N883" s="3"/>
      <c r="O883" s="3"/>
      <c r="P883" s="3" t="str">
        <f>IFERROR(ROUND(INDEX('PROJETO PERFURAÇÃO'!$AB:$AB,MATCH(MEDIÇÃO!R883,'PROJETO PERFURAÇÃO'!$B:$B,0)),1)&amp;"''","")</f>
        <v/>
      </c>
      <c r="Q883" s="3" t="str">
        <f>IFERROR(IF(INDEX('PROJETO PERFURAÇÃO'!$P:$P,MATCH(MEDIÇÃO!R883,'PROJETO PERFURAÇÃO'!$B:$B,0))="Production","P",IF(INDEX('PROJETO PERFURAÇÃO'!$P:$P,MATCH(MEDIÇÃO!R883,'PROJETO PERFURAÇÃO'!$B:$B,0))="Buffer","B",IF(INDEX('PROJETO PERFURAÇÃO'!$P:$P,MATCH(MEDIÇÃO!R883,'PROJETO PERFURAÇÃO'!$B:$B,0))="Pre-Splitting","S"))),"")</f>
        <v/>
      </c>
      <c r="R883" s="14">
        <f t="shared" si="86"/>
        <v>1989</v>
      </c>
      <c r="S883" s="4" t="str">
        <f>IFERROR(INDEX('LEV R&amp;D'!$D:$D,MATCH(MEDIÇÃO!R883,'LEV R&amp;D'!$A:$A,0))-INDEX('PROJETO PERFURAÇÃO'!$AH:$AH,MATCH(MEDIÇÃO!R883,'PROJETO PERFURAÇÃO'!$B:$B,0)),"")</f>
        <v/>
      </c>
      <c r="T883" s="8" t="str">
        <f>IFERROR(INDEX('PROJETO PERFURAÇÃO'!$AN:$AN,MATCH(MEDIÇÃO!R883,'PROJETO PERFURAÇÃO'!$B:$B,0)),"")</f>
        <v/>
      </c>
      <c r="U883" s="3"/>
      <c r="V883" s="3"/>
    </row>
    <row r="884" spans="2:22" ht="45" customHeight="1" x14ac:dyDescent="0.25">
      <c r="B884" s="3" t="str">
        <f>IFERROR(ROUND(INDEX('PROJETO PERFURAÇÃO'!$AB:$AB,MATCH(MEDIÇÃO!D884,'PROJETO PERFURAÇÃO'!$B:$B,0)),1)&amp;"''","")</f>
        <v/>
      </c>
      <c r="C884" s="3" t="str">
        <f>IFERROR(IF(INDEX('PROJETO PERFURAÇÃO'!$P:$P,MATCH(MEDIÇÃO!D884,'PROJETO PERFURAÇÃO'!$B:$B,0))="Production","P",IF(INDEX('PROJETO PERFURAÇÃO'!$P:$P,MATCH(MEDIÇÃO!D884,'PROJETO PERFURAÇÃO'!$B:$B,0))="Buffer","B",IF(INDEX('PROJETO PERFURAÇÃO'!$P:$P,MATCH(MEDIÇÃO!D884,'PROJETO PERFURAÇÃO'!$B:$B,0))="Pre-Splitting","S"))),"")</f>
        <v/>
      </c>
      <c r="D884" s="14">
        <f t="shared" si="84"/>
        <v>1944</v>
      </c>
      <c r="E884" s="4" t="str">
        <f>IFERROR(INDEX('LEV R&amp;D'!$D:$D,MATCH(MEDIÇÃO!D884,'LEV R&amp;D'!$A:$A,0))-INDEX('PROJETO PERFURAÇÃO'!$AH:$AH,MATCH(MEDIÇÃO!D884,'PROJETO PERFURAÇÃO'!$B:$B,0)),"")</f>
        <v/>
      </c>
      <c r="F884" s="8" t="str">
        <f>IFERROR(INDEX('PROJETO PERFURAÇÃO'!$AN:$AN,MATCH(MEDIÇÃO!D884,'PROJETO PERFURAÇÃO'!$B:$B,0)),"")</f>
        <v/>
      </c>
      <c r="G884" s="3"/>
      <c r="H884" s="3"/>
      <c r="I884" s="3" t="str">
        <f>IFERROR(ROUND(INDEX('PROJETO PERFURAÇÃO'!$AB:$AB,MATCH(MEDIÇÃO!K884,'PROJETO PERFURAÇÃO'!$B:$B,0)),1)&amp;"''","")</f>
        <v/>
      </c>
      <c r="J884" s="3" t="str">
        <f>IFERROR(IF(INDEX('PROJETO PERFURAÇÃO'!$P:$P,MATCH(MEDIÇÃO!K884,'PROJETO PERFURAÇÃO'!$B:$B,0))="Production","P",IF(INDEX('PROJETO PERFURAÇÃO'!$P:$P,MATCH(MEDIÇÃO!K884,'PROJETO PERFURAÇÃO'!$B:$B,0))="Buffer","B",IF(INDEX('PROJETO PERFURAÇÃO'!$P:$P,MATCH(MEDIÇÃO!K884,'PROJETO PERFURAÇÃO'!$B:$B,0))="Pre-Splitting","S"))),"")</f>
        <v/>
      </c>
      <c r="K884" s="14">
        <f t="shared" si="85"/>
        <v>1967</v>
      </c>
      <c r="L884" s="4" t="str">
        <f>IFERROR(INDEX('LEV R&amp;D'!$D:$D,MATCH(MEDIÇÃO!K884,'LEV R&amp;D'!$A:$A,0))-INDEX('PROJETO PERFURAÇÃO'!$AH:$AH,MATCH(MEDIÇÃO!K884,'PROJETO PERFURAÇÃO'!$B:$B,0)),"")</f>
        <v/>
      </c>
      <c r="M884" s="8" t="str">
        <f>IFERROR(INDEX('PROJETO PERFURAÇÃO'!$AN:$AN,MATCH(MEDIÇÃO!K884,'PROJETO PERFURAÇÃO'!$B:$B,0)),"")</f>
        <v/>
      </c>
      <c r="N884" s="3"/>
      <c r="O884" s="3"/>
      <c r="P884" s="3" t="str">
        <f>IFERROR(ROUND(INDEX('PROJETO PERFURAÇÃO'!$AB:$AB,MATCH(MEDIÇÃO!R884,'PROJETO PERFURAÇÃO'!$B:$B,0)),1)&amp;"''","")</f>
        <v/>
      </c>
      <c r="Q884" s="3" t="str">
        <f>IFERROR(IF(INDEX('PROJETO PERFURAÇÃO'!$P:$P,MATCH(MEDIÇÃO!R884,'PROJETO PERFURAÇÃO'!$B:$B,0))="Production","P",IF(INDEX('PROJETO PERFURAÇÃO'!$P:$P,MATCH(MEDIÇÃO!R884,'PROJETO PERFURAÇÃO'!$B:$B,0))="Buffer","B",IF(INDEX('PROJETO PERFURAÇÃO'!$P:$P,MATCH(MEDIÇÃO!R884,'PROJETO PERFURAÇÃO'!$B:$B,0))="Pre-Splitting","S"))),"")</f>
        <v/>
      </c>
      <c r="R884" s="14">
        <f t="shared" si="86"/>
        <v>1990</v>
      </c>
      <c r="S884" s="4" t="str">
        <f>IFERROR(INDEX('LEV R&amp;D'!$D:$D,MATCH(MEDIÇÃO!R884,'LEV R&amp;D'!$A:$A,0))-INDEX('PROJETO PERFURAÇÃO'!$AH:$AH,MATCH(MEDIÇÃO!R884,'PROJETO PERFURAÇÃO'!$B:$B,0)),"")</f>
        <v/>
      </c>
      <c r="T884" s="8" t="str">
        <f>IFERROR(INDEX('PROJETO PERFURAÇÃO'!$AN:$AN,MATCH(MEDIÇÃO!R884,'PROJETO PERFURAÇÃO'!$B:$B,0)),"")</f>
        <v/>
      </c>
      <c r="U884" s="3"/>
      <c r="V884" s="3"/>
    </row>
    <row r="885" spans="2:22" ht="45" customHeight="1" x14ac:dyDescent="0.25">
      <c r="B885" s="3" t="str">
        <f>IFERROR(ROUND(INDEX('PROJETO PERFURAÇÃO'!$AB:$AB,MATCH(MEDIÇÃO!D885,'PROJETO PERFURAÇÃO'!$B:$B,0)),1)&amp;"''","")</f>
        <v/>
      </c>
      <c r="C885" s="3" t="str">
        <f>IFERROR(IF(INDEX('PROJETO PERFURAÇÃO'!$P:$P,MATCH(MEDIÇÃO!D885,'PROJETO PERFURAÇÃO'!$B:$B,0))="Production","P",IF(INDEX('PROJETO PERFURAÇÃO'!$P:$P,MATCH(MEDIÇÃO!D885,'PROJETO PERFURAÇÃO'!$B:$B,0))="Buffer","B",IF(INDEX('PROJETO PERFURAÇÃO'!$P:$P,MATCH(MEDIÇÃO!D885,'PROJETO PERFURAÇÃO'!$B:$B,0))="Pre-Splitting","S"))),"")</f>
        <v/>
      </c>
      <c r="D885" s="14">
        <f t="shared" si="84"/>
        <v>1945</v>
      </c>
      <c r="E885" s="4" t="str">
        <f>IFERROR(INDEX('LEV R&amp;D'!$D:$D,MATCH(MEDIÇÃO!D885,'LEV R&amp;D'!$A:$A,0))-INDEX('PROJETO PERFURAÇÃO'!$AH:$AH,MATCH(MEDIÇÃO!D885,'PROJETO PERFURAÇÃO'!$B:$B,0)),"")</f>
        <v/>
      </c>
      <c r="F885" s="8" t="str">
        <f>IFERROR(INDEX('PROJETO PERFURAÇÃO'!$AN:$AN,MATCH(MEDIÇÃO!D885,'PROJETO PERFURAÇÃO'!$B:$B,0)),"")</f>
        <v/>
      </c>
      <c r="G885" s="3"/>
      <c r="H885" s="3"/>
      <c r="I885" s="3" t="str">
        <f>IFERROR(ROUND(INDEX('PROJETO PERFURAÇÃO'!$AB:$AB,MATCH(MEDIÇÃO!K885,'PROJETO PERFURAÇÃO'!$B:$B,0)),1)&amp;"''","")</f>
        <v/>
      </c>
      <c r="J885" s="3" t="str">
        <f>IFERROR(IF(INDEX('PROJETO PERFURAÇÃO'!$P:$P,MATCH(MEDIÇÃO!K885,'PROJETO PERFURAÇÃO'!$B:$B,0))="Production","P",IF(INDEX('PROJETO PERFURAÇÃO'!$P:$P,MATCH(MEDIÇÃO!K885,'PROJETO PERFURAÇÃO'!$B:$B,0))="Buffer","B",IF(INDEX('PROJETO PERFURAÇÃO'!$P:$P,MATCH(MEDIÇÃO!K885,'PROJETO PERFURAÇÃO'!$B:$B,0))="Pre-Splitting","S"))),"")</f>
        <v/>
      </c>
      <c r="K885" s="14">
        <f t="shared" si="85"/>
        <v>1968</v>
      </c>
      <c r="L885" s="4" t="str">
        <f>IFERROR(INDEX('LEV R&amp;D'!$D:$D,MATCH(MEDIÇÃO!K885,'LEV R&amp;D'!$A:$A,0))-INDEX('PROJETO PERFURAÇÃO'!$AH:$AH,MATCH(MEDIÇÃO!K885,'PROJETO PERFURAÇÃO'!$B:$B,0)),"")</f>
        <v/>
      </c>
      <c r="M885" s="8" t="str">
        <f>IFERROR(INDEX('PROJETO PERFURAÇÃO'!$AN:$AN,MATCH(MEDIÇÃO!K885,'PROJETO PERFURAÇÃO'!$B:$B,0)),"")</f>
        <v/>
      </c>
      <c r="N885" s="3"/>
      <c r="O885" s="3"/>
      <c r="P885" s="3" t="str">
        <f>IFERROR(ROUND(INDEX('PROJETO PERFURAÇÃO'!$AB:$AB,MATCH(MEDIÇÃO!R885,'PROJETO PERFURAÇÃO'!$B:$B,0)),1)&amp;"''","")</f>
        <v/>
      </c>
      <c r="Q885" s="3" t="str">
        <f>IFERROR(IF(INDEX('PROJETO PERFURAÇÃO'!$P:$P,MATCH(MEDIÇÃO!R885,'PROJETO PERFURAÇÃO'!$B:$B,0))="Production","P",IF(INDEX('PROJETO PERFURAÇÃO'!$P:$P,MATCH(MEDIÇÃO!R885,'PROJETO PERFURAÇÃO'!$B:$B,0))="Buffer","B",IF(INDEX('PROJETO PERFURAÇÃO'!$P:$P,MATCH(MEDIÇÃO!R885,'PROJETO PERFURAÇÃO'!$B:$B,0))="Pre-Splitting","S"))),"")</f>
        <v/>
      </c>
      <c r="R885" s="14">
        <f t="shared" si="86"/>
        <v>1991</v>
      </c>
      <c r="S885" s="4" t="str">
        <f>IFERROR(INDEX('LEV R&amp;D'!$D:$D,MATCH(MEDIÇÃO!R885,'LEV R&amp;D'!$A:$A,0))-INDEX('PROJETO PERFURAÇÃO'!$AH:$AH,MATCH(MEDIÇÃO!R885,'PROJETO PERFURAÇÃO'!$B:$B,0)),"")</f>
        <v/>
      </c>
      <c r="T885" s="8" t="str">
        <f>IFERROR(INDEX('PROJETO PERFURAÇÃO'!$AN:$AN,MATCH(MEDIÇÃO!R885,'PROJETO PERFURAÇÃO'!$B:$B,0)),"")</f>
        <v/>
      </c>
      <c r="U885" s="3"/>
      <c r="V885" s="3"/>
    </row>
    <row r="886" spans="2:22" ht="45" customHeight="1" x14ac:dyDescent="0.25">
      <c r="B886" s="3" t="str">
        <f>IFERROR(ROUND(INDEX('PROJETO PERFURAÇÃO'!$AB:$AB,MATCH(MEDIÇÃO!D886,'PROJETO PERFURAÇÃO'!$B:$B,0)),1)&amp;"''","")</f>
        <v/>
      </c>
      <c r="C886" s="3" t="str">
        <f>IFERROR(IF(INDEX('PROJETO PERFURAÇÃO'!$P:$P,MATCH(MEDIÇÃO!D886,'PROJETO PERFURAÇÃO'!$B:$B,0))="Production","P",IF(INDEX('PROJETO PERFURAÇÃO'!$P:$P,MATCH(MEDIÇÃO!D886,'PROJETO PERFURAÇÃO'!$B:$B,0))="Buffer","B",IF(INDEX('PROJETO PERFURAÇÃO'!$P:$P,MATCH(MEDIÇÃO!D886,'PROJETO PERFURAÇÃO'!$B:$B,0))="Pre-Splitting","S"))),"")</f>
        <v/>
      </c>
      <c r="D886" s="14">
        <f t="shared" si="84"/>
        <v>1946</v>
      </c>
      <c r="E886" s="4" t="str">
        <f>IFERROR(INDEX('LEV R&amp;D'!$D:$D,MATCH(MEDIÇÃO!D886,'LEV R&amp;D'!$A:$A,0))-INDEX('PROJETO PERFURAÇÃO'!$AH:$AH,MATCH(MEDIÇÃO!D886,'PROJETO PERFURAÇÃO'!$B:$B,0)),"")</f>
        <v/>
      </c>
      <c r="F886" s="8" t="str">
        <f>IFERROR(INDEX('PROJETO PERFURAÇÃO'!$AN:$AN,MATCH(MEDIÇÃO!D886,'PROJETO PERFURAÇÃO'!$B:$B,0)),"")</f>
        <v/>
      </c>
      <c r="G886" s="3"/>
      <c r="H886" s="3"/>
      <c r="I886" s="3" t="str">
        <f>IFERROR(ROUND(INDEX('PROJETO PERFURAÇÃO'!$AB:$AB,MATCH(MEDIÇÃO!K886,'PROJETO PERFURAÇÃO'!$B:$B,0)),1)&amp;"''","")</f>
        <v/>
      </c>
      <c r="J886" s="3" t="str">
        <f>IFERROR(IF(INDEX('PROJETO PERFURAÇÃO'!$P:$P,MATCH(MEDIÇÃO!K886,'PROJETO PERFURAÇÃO'!$B:$B,0))="Production","P",IF(INDEX('PROJETO PERFURAÇÃO'!$P:$P,MATCH(MEDIÇÃO!K886,'PROJETO PERFURAÇÃO'!$B:$B,0))="Buffer","B",IF(INDEX('PROJETO PERFURAÇÃO'!$P:$P,MATCH(MEDIÇÃO!K886,'PROJETO PERFURAÇÃO'!$B:$B,0))="Pre-Splitting","S"))),"")</f>
        <v/>
      </c>
      <c r="K886" s="14">
        <f t="shared" si="85"/>
        <v>1969</v>
      </c>
      <c r="L886" s="4" t="str">
        <f>IFERROR(INDEX('LEV R&amp;D'!$D:$D,MATCH(MEDIÇÃO!K886,'LEV R&amp;D'!$A:$A,0))-INDEX('PROJETO PERFURAÇÃO'!$AH:$AH,MATCH(MEDIÇÃO!K886,'PROJETO PERFURAÇÃO'!$B:$B,0)),"")</f>
        <v/>
      </c>
      <c r="M886" s="8" t="str">
        <f>IFERROR(INDEX('PROJETO PERFURAÇÃO'!$AN:$AN,MATCH(MEDIÇÃO!K886,'PROJETO PERFURAÇÃO'!$B:$B,0)),"")</f>
        <v/>
      </c>
      <c r="N886" s="3"/>
      <c r="O886" s="3"/>
      <c r="P886" s="3" t="str">
        <f>IFERROR(ROUND(INDEX('PROJETO PERFURAÇÃO'!$AB:$AB,MATCH(MEDIÇÃO!R886,'PROJETO PERFURAÇÃO'!$B:$B,0)),1)&amp;"''","")</f>
        <v/>
      </c>
      <c r="Q886" s="3" t="str">
        <f>IFERROR(IF(INDEX('PROJETO PERFURAÇÃO'!$P:$P,MATCH(MEDIÇÃO!R886,'PROJETO PERFURAÇÃO'!$B:$B,0))="Production","P",IF(INDEX('PROJETO PERFURAÇÃO'!$P:$P,MATCH(MEDIÇÃO!R886,'PROJETO PERFURAÇÃO'!$B:$B,0))="Buffer","B",IF(INDEX('PROJETO PERFURAÇÃO'!$P:$P,MATCH(MEDIÇÃO!R886,'PROJETO PERFURAÇÃO'!$B:$B,0))="Pre-Splitting","S"))),"")</f>
        <v/>
      </c>
      <c r="R886" s="14">
        <f t="shared" si="86"/>
        <v>1992</v>
      </c>
      <c r="S886" s="4" t="str">
        <f>IFERROR(INDEX('LEV R&amp;D'!$D:$D,MATCH(MEDIÇÃO!R886,'LEV R&amp;D'!$A:$A,0))-INDEX('PROJETO PERFURAÇÃO'!$AH:$AH,MATCH(MEDIÇÃO!R886,'PROJETO PERFURAÇÃO'!$B:$B,0)),"")</f>
        <v/>
      </c>
      <c r="T886" s="8" t="str">
        <f>IFERROR(INDEX('PROJETO PERFURAÇÃO'!$AN:$AN,MATCH(MEDIÇÃO!R886,'PROJETO PERFURAÇÃO'!$B:$B,0)),"")</f>
        <v/>
      </c>
      <c r="U886" s="3"/>
      <c r="V886" s="3"/>
    </row>
    <row r="887" spans="2:22" ht="45" customHeight="1" x14ac:dyDescent="0.25">
      <c r="B887" s="3" t="str">
        <f>IFERROR(ROUND(INDEX('PROJETO PERFURAÇÃO'!$AB:$AB,MATCH(MEDIÇÃO!D887,'PROJETO PERFURAÇÃO'!$B:$B,0)),1)&amp;"''","")</f>
        <v/>
      </c>
      <c r="C887" s="3" t="str">
        <f>IFERROR(IF(INDEX('PROJETO PERFURAÇÃO'!$P:$P,MATCH(MEDIÇÃO!D887,'PROJETO PERFURAÇÃO'!$B:$B,0))="Production","P",IF(INDEX('PROJETO PERFURAÇÃO'!$P:$P,MATCH(MEDIÇÃO!D887,'PROJETO PERFURAÇÃO'!$B:$B,0))="Buffer","B",IF(INDEX('PROJETO PERFURAÇÃO'!$P:$P,MATCH(MEDIÇÃO!D887,'PROJETO PERFURAÇÃO'!$B:$B,0))="Pre-Splitting","S"))),"")</f>
        <v/>
      </c>
      <c r="D887" s="14">
        <f t="shared" si="84"/>
        <v>1947</v>
      </c>
      <c r="E887" s="4" t="str">
        <f>IFERROR(INDEX('LEV R&amp;D'!$D:$D,MATCH(MEDIÇÃO!D887,'LEV R&amp;D'!$A:$A,0))-INDEX('PROJETO PERFURAÇÃO'!$AH:$AH,MATCH(MEDIÇÃO!D887,'PROJETO PERFURAÇÃO'!$B:$B,0)),"")</f>
        <v/>
      </c>
      <c r="F887" s="8" t="str">
        <f>IFERROR(INDEX('PROJETO PERFURAÇÃO'!$AN:$AN,MATCH(MEDIÇÃO!D887,'PROJETO PERFURAÇÃO'!$B:$B,0)),"")</f>
        <v/>
      </c>
      <c r="G887" s="3"/>
      <c r="H887" s="3"/>
      <c r="I887" s="3" t="str">
        <f>IFERROR(ROUND(INDEX('PROJETO PERFURAÇÃO'!$AB:$AB,MATCH(MEDIÇÃO!K887,'PROJETO PERFURAÇÃO'!$B:$B,0)),1)&amp;"''","")</f>
        <v/>
      </c>
      <c r="J887" s="3" t="str">
        <f>IFERROR(IF(INDEX('PROJETO PERFURAÇÃO'!$P:$P,MATCH(MEDIÇÃO!K887,'PROJETO PERFURAÇÃO'!$B:$B,0))="Production","P",IF(INDEX('PROJETO PERFURAÇÃO'!$P:$P,MATCH(MEDIÇÃO!K887,'PROJETO PERFURAÇÃO'!$B:$B,0))="Buffer","B",IF(INDEX('PROJETO PERFURAÇÃO'!$P:$P,MATCH(MEDIÇÃO!K887,'PROJETO PERFURAÇÃO'!$B:$B,0))="Pre-Splitting","S"))),"")</f>
        <v/>
      </c>
      <c r="K887" s="14">
        <f t="shared" si="85"/>
        <v>1970</v>
      </c>
      <c r="L887" s="4" t="str">
        <f>IFERROR(INDEX('LEV R&amp;D'!$D:$D,MATCH(MEDIÇÃO!K887,'LEV R&amp;D'!$A:$A,0))-INDEX('PROJETO PERFURAÇÃO'!$AH:$AH,MATCH(MEDIÇÃO!K887,'PROJETO PERFURAÇÃO'!$B:$B,0)),"")</f>
        <v/>
      </c>
      <c r="M887" s="8" t="str">
        <f>IFERROR(INDEX('PROJETO PERFURAÇÃO'!$AN:$AN,MATCH(MEDIÇÃO!K887,'PROJETO PERFURAÇÃO'!$B:$B,0)),"")</f>
        <v/>
      </c>
      <c r="N887" s="3"/>
      <c r="O887" s="3"/>
      <c r="P887" s="3" t="str">
        <f>IFERROR(ROUND(INDEX('PROJETO PERFURAÇÃO'!$AB:$AB,MATCH(MEDIÇÃO!R887,'PROJETO PERFURAÇÃO'!$B:$B,0)),1)&amp;"''","")</f>
        <v/>
      </c>
      <c r="Q887" s="3" t="str">
        <f>IFERROR(IF(INDEX('PROJETO PERFURAÇÃO'!$P:$P,MATCH(MEDIÇÃO!R887,'PROJETO PERFURAÇÃO'!$B:$B,0))="Production","P",IF(INDEX('PROJETO PERFURAÇÃO'!$P:$P,MATCH(MEDIÇÃO!R887,'PROJETO PERFURAÇÃO'!$B:$B,0))="Buffer","B",IF(INDEX('PROJETO PERFURAÇÃO'!$P:$P,MATCH(MEDIÇÃO!R887,'PROJETO PERFURAÇÃO'!$B:$B,0))="Pre-Splitting","S"))),"")</f>
        <v/>
      </c>
      <c r="R887" s="14">
        <f t="shared" si="86"/>
        <v>1993</v>
      </c>
      <c r="S887" s="4" t="str">
        <f>IFERROR(INDEX('LEV R&amp;D'!$D:$D,MATCH(MEDIÇÃO!R887,'LEV R&amp;D'!$A:$A,0))-INDEX('PROJETO PERFURAÇÃO'!$AH:$AH,MATCH(MEDIÇÃO!R887,'PROJETO PERFURAÇÃO'!$B:$B,0)),"")</f>
        <v/>
      </c>
      <c r="T887" s="8" t="str">
        <f>IFERROR(INDEX('PROJETO PERFURAÇÃO'!$AN:$AN,MATCH(MEDIÇÃO!R887,'PROJETO PERFURAÇÃO'!$B:$B,0)),"")</f>
        <v/>
      </c>
      <c r="U887" s="3"/>
      <c r="V887" s="3"/>
    </row>
    <row r="888" spans="2:22" ht="45" customHeight="1" x14ac:dyDescent="0.25">
      <c r="B888" s="3" t="str">
        <f>IFERROR(ROUND(INDEX('PROJETO PERFURAÇÃO'!$AB:$AB,MATCH(MEDIÇÃO!D888,'PROJETO PERFURAÇÃO'!$B:$B,0)),1)&amp;"''","")</f>
        <v/>
      </c>
      <c r="C888" s="3" t="str">
        <f>IFERROR(IF(INDEX('PROJETO PERFURAÇÃO'!$P:$P,MATCH(MEDIÇÃO!D888,'PROJETO PERFURAÇÃO'!$B:$B,0))="Production","P",IF(INDEX('PROJETO PERFURAÇÃO'!$P:$P,MATCH(MEDIÇÃO!D888,'PROJETO PERFURAÇÃO'!$B:$B,0))="Buffer","B",IF(INDEX('PROJETO PERFURAÇÃO'!$P:$P,MATCH(MEDIÇÃO!D888,'PROJETO PERFURAÇÃO'!$B:$B,0))="Pre-Splitting","S"))),"")</f>
        <v/>
      </c>
      <c r="D888" s="14">
        <f t="shared" si="84"/>
        <v>1948</v>
      </c>
      <c r="E888" s="4" t="str">
        <f>IFERROR(INDEX('LEV R&amp;D'!$D:$D,MATCH(MEDIÇÃO!D888,'LEV R&amp;D'!$A:$A,0))-INDEX('PROJETO PERFURAÇÃO'!$AH:$AH,MATCH(MEDIÇÃO!D888,'PROJETO PERFURAÇÃO'!$B:$B,0)),"")</f>
        <v/>
      </c>
      <c r="F888" s="8" t="str">
        <f>IFERROR(INDEX('PROJETO PERFURAÇÃO'!$AN:$AN,MATCH(MEDIÇÃO!D888,'PROJETO PERFURAÇÃO'!$B:$B,0)),"")</f>
        <v/>
      </c>
      <c r="G888" s="3"/>
      <c r="H888" s="3"/>
      <c r="I888" s="3" t="str">
        <f>IFERROR(ROUND(INDEX('PROJETO PERFURAÇÃO'!$AB:$AB,MATCH(MEDIÇÃO!K888,'PROJETO PERFURAÇÃO'!$B:$B,0)),1)&amp;"''","")</f>
        <v/>
      </c>
      <c r="J888" s="3" t="str">
        <f>IFERROR(IF(INDEX('PROJETO PERFURAÇÃO'!$P:$P,MATCH(MEDIÇÃO!K888,'PROJETO PERFURAÇÃO'!$B:$B,0))="Production","P",IF(INDEX('PROJETO PERFURAÇÃO'!$P:$P,MATCH(MEDIÇÃO!K888,'PROJETO PERFURAÇÃO'!$B:$B,0))="Buffer","B",IF(INDEX('PROJETO PERFURAÇÃO'!$P:$P,MATCH(MEDIÇÃO!K888,'PROJETO PERFURAÇÃO'!$B:$B,0))="Pre-Splitting","S"))),"")</f>
        <v/>
      </c>
      <c r="K888" s="14">
        <f t="shared" si="85"/>
        <v>1971</v>
      </c>
      <c r="L888" s="4" t="str">
        <f>IFERROR(INDEX('LEV R&amp;D'!$D:$D,MATCH(MEDIÇÃO!K888,'LEV R&amp;D'!$A:$A,0))-INDEX('PROJETO PERFURAÇÃO'!$AH:$AH,MATCH(MEDIÇÃO!K888,'PROJETO PERFURAÇÃO'!$B:$B,0)),"")</f>
        <v/>
      </c>
      <c r="M888" s="8" t="str">
        <f>IFERROR(INDEX('PROJETO PERFURAÇÃO'!$AN:$AN,MATCH(MEDIÇÃO!K888,'PROJETO PERFURAÇÃO'!$B:$B,0)),"")</f>
        <v/>
      </c>
      <c r="N888" s="3"/>
      <c r="O888" s="3"/>
      <c r="P888" s="3" t="str">
        <f>IFERROR(ROUND(INDEX('PROJETO PERFURAÇÃO'!$AB:$AB,MATCH(MEDIÇÃO!R888,'PROJETO PERFURAÇÃO'!$B:$B,0)),1)&amp;"''","")</f>
        <v/>
      </c>
      <c r="Q888" s="3" t="str">
        <f>IFERROR(IF(INDEX('PROJETO PERFURAÇÃO'!$P:$P,MATCH(MEDIÇÃO!R888,'PROJETO PERFURAÇÃO'!$B:$B,0))="Production","P",IF(INDEX('PROJETO PERFURAÇÃO'!$P:$P,MATCH(MEDIÇÃO!R888,'PROJETO PERFURAÇÃO'!$B:$B,0))="Buffer","B",IF(INDEX('PROJETO PERFURAÇÃO'!$P:$P,MATCH(MEDIÇÃO!R888,'PROJETO PERFURAÇÃO'!$B:$B,0))="Pre-Splitting","S"))),"")</f>
        <v/>
      </c>
      <c r="R888" s="14">
        <f t="shared" si="86"/>
        <v>1994</v>
      </c>
      <c r="S888" s="4" t="str">
        <f>IFERROR(INDEX('LEV R&amp;D'!$D:$D,MATCH(MEDIÇÃO!R888,'LEV R&amp;D'!$A:$A,0))-INDEX('PROJETO PERFURAÇÃO'!$AH:$AH,MATCH(MEDIÇÃO!R888,'PROJETO PERFURAÇÃO'!$B:$B,0)),"")</f>
        <v/>
      </c>
      <c r="T888" s="8" t="str">
        <f>IFERROR(INDEX('PROJETO PERFURAÇÃO'!$AN:$AN,MATCH(MEDIÇÃO!R888,'PROJETO PERFURAÇÃO'!$B:$B,0)),"")</f>
        <v/>
      </c>
      <c r="U888" s="3"/>
      <c r="V888" s="3"/>
    </row>
    <row r="889" spans="2:22" ht="45" customHeight="1" x14ac:dyDescent="0.25">
      <c r="B889" s="3" t="str">
        <f>IFERROR(ROUND(INDEX('PROJETO PERFURAÇÃO'!$AB:$AB,MATCH(MEDIÇÃO!D889,'PROJETO PERFURAÇÃO'!$B:$B,0)),1)&amp;"''","")</f>
        <v/>
      </c>
      <c r="C889" s="3" t="str">
        <f>IFERROR(IF(INDEX('PROJETO PERFURAÇÃO'!$P:$P,MATCH(MEDIÇÃO!D889,'PROJETO PERFURAÇÃO'!$B:$B,0))="Production","P",IF(INDEX('PROJETO PERFURAÇÃO'!$P:$P,MATCH(MEDIÇÃO!D889,'PROJETO PERFURAÇÃO'!$B:$B,0))="Buffer","B",IF(INDEX('PROJETO PERFURAÇÃO'!$P:$P,MATCH(MEDIÇÃO!D889,'PROJETO PERFURAÇÃO'!$B:$B,0))="Pre-Splitting","S"))),"")</f>
        <v/>
      </c>
      <c r="D889" s="14">
        <f t="shared" si="84"/>
        <v>1949</v>
      </c>
      <c r="E889" s="4" t="str">
        <f>IFERROR(INDEX('LEV R&amp;D'!$D:$D,MATCH(MEDIÇÃO!D889,'LEV R&amp;D'!$A:$A,0))-INDEX('PROJETO PERFURAÇÃO'!$AH:$AH,MATCH(MEDIÇÃO!D889,'PROJETO PERFURAÇÃO'!$B:$B,0)),"")</f>
        <v/>
      </c>
      <c r="F889" s="8" t="str">
        <f>IFERROR(INDEX('PROJETO PERFURAÇÃO'!$AN:$AN,MATCH(MEDIÇÃO!D889,'PROJETO PERFURAÇÃO'!$B:$B,0)),"")</f>
        <v/>
      </c>
      <c r="G889" s="3"/>
      <c r="H889" s="3"/>
      <c r="I889" s="3" t="str">
        <f>IFERROR(ROUND(INDEX('PROJETO PERFURAÇÃO'!$AB:$AB,MATCH(MEDIÇÃO!K889,'PROJETO PERFURAÇÃO'!$B:$B,0)),1)&amp;"''","")</f>
        <v/>
      </c>
      <c r="J889" s="3" t="str">
        <f>IFERROR(IF(INDEX('PROJETO PERFURAÇÃO'!$P:$P,MATCH(MEDIÇÃO!K889,'PROJETO PERFURAÇÃO'!$B:$B,0))="Production","P",IF(INDEX('PROJETO PERFURAÇÃO'!$P:$P,MATCH(MEDIÇÃO!K889,'PROJETO PERFURAÇÃO'!$B:$B,0))="Buffer","B",IF(INDEX('PROJETO PERFURAÇÃO'!$P:$P,MATCH(MEDIÇÃO!K889,'PROJETO PERFURAÇÃO'!$B:$B,0))="Pre-Splitting","S"))),"")</f>
        <v/>
      </c>
      <c r="K889" s="14">
        <f t="shared" si="85"/>
        <v>1972</v>
      </c>
      <c r="L889" s="4" t="str">
        <f>IFERROR(INDEX('LEV R&amp;D'!$D:$D,MATCH(MEDIÇÃO!K889,'LEV R&amp;D'!$A:$A,0))-INDEX('PROJETO PERFURAÇÃO'!$AH:$AH,MATCH(MEDIÇÃO!K889,'PROJETO PERFURAÇÃO'!$B:$B,0)),"")</f>
        <v/>
      </c>
      <c r="M889" s="8" t="str">
        <f>IFERROR(INDEX('PROJETO PERFURAÇÃO'!$AN:$AN,MATCH(MEDIÇÃO!K889,'PROJETO PERFURAÇÃO'!$B:$B,0)),"")</f>
        <v/>
      </c>
      <c r="N889" s="3"/>
      <c r="O889" s="3"/>
      <c r="P889" s="3" t="str">
        <f>IFERROR(ROUND(INDEX('PROJETO PERFURAÇÃO'!$AB:$AB,MATCH(MEDIÇÃO!R889,'PROJETO PERFURAÇÃO'!$B:$B,0)),1)&amp;"''","")</f>
        <v/>
      </c>
      <c r="Q889" s="3" t="str">
        <f>IFERROR(IF(INDEX('PROJETO PERFURAÇÃO'!$P:$P,MATCH(MEDIÇÃO!R889,'PROJETO PERFURAÇÃO'!$B:$B,0))="Production","P",IF(INDEX('PROJETO PERFURAÇÃO'!$P:$P,MATCH(MEDIÇÃO!R889,'PROJETO PERFURAÇÃO'!$B:$B,0))="Buffer","B",IF(INDEX('PROJETO PERFURAÇÃO'!$P:$P,MATCH(MEDIÇÃO!R889,'PROJETO PERFURAÇÃO'!$B:$B,0))="Pre-Splitting","S"))),"")</f>
        <v/>
      </c>
      <c r="R889" s="14">
        <f t="shared" si="86"/>
        <v>1995</v>
      </c>
      <c r="S889" s="4" t="str">
        <f>IFERROR(INDEX('LEV R&amp;D'!$D:$D,MATCH(MEDIÇÃO!R889,'LEV R&amp;D'!$A:$A,0))-INDEX('PROJETO PERFURAÇÃO'!$AH:$AH,MATCH(MEDIÇÃO!R889,'PROJETO PERFURAÇÃO'!$B:$B,0)),"")</f>
        <v/>
      </c>
      <c r="T889" s="8" t="str">
        <f>IFERROR(INDEX('PROJETO PERFURAÇÃO'!$AN:$AN,MATCH(MEDIÇÃO!R889,'PROJETO PERFURAÇÃO'!$B:$B,0)),"")</f>
        <v/>
      </c>
      <c r="U889" s="3"/>
      <c r="V889" s="3"/>
    </row>
    <row r="890" spans="2:22" ht="45" customHeight="1" x14ac:dyDescent="0.25">
      <c r="B890" s="3" t="str">
        <f>IFERROR(ROUND(INDEX('PROJETO PERFURAÇÃO'!$AB:$AB,MATCH(MEDIÇÃO!D890,'PROJETO PERFURAÇÃO'!$B:$B,0)),1)&amp;"''","")</f>
        <v/>
      </c>
      <c r="C890" s="3" t="str">
        <f>IFERROR(IF(INDEX('PROJETO PERFURAÇÃO'!$P:$P,MATCH(MEDIÇÃO!D890,'PROJETO PERFURAÇÃO'!$B:$B,0))="Production","P",IF(INDEX('PROJETO PERFURAÇÃO'!$P:$P,MATCH(MEDIÇÃO!D890,'PROJETO PERFURAÇÃO'!$B:$B,0))="Buffer","B",IF(INDEX('PROJETO PERFURAÇÃO'!$P:$P,MATCH(MEDIÇÃO!D890,'PROJETO PERFURAÇÃO'!$B:$B,0))="Pre-Splitting","S"))),"")</f>
        <v/>
      </c>
      <c r="D890" s="14">
        <f t="shared" si="84"/>
        <v>1950</v>
      </c>
      <c r="E890" s="4" t="str">
        <f>IFERROR(INDEX('LEV R&amp;D'!$D:$D,MATCH(MEDIÇÃO!D890,'LEV R&amp;D'!$A:$A,0))-INDEX('PROJETO PERFURAÇÃO'!$AH:$AH,MATCH(MEDIÇÃO!D890,'PROJETO PERFURAÇÃO'!$B:$B,0)),"")</f>
        <v/>
      </c>
      <c r="F890" s="8" t="str">
        <f>IFERROR(INDEX('PROJETO PERFURAÇÃO'!$AN:$AN,MATCH(MEDIÇÃO!D890,'PROJETO PERFURAÇÃO'!$B:$B,0)),"")</f>
        <v/>
      </c>
      <c r="G890" s="3"/>
      <c r="H890" s="3"/>
      <c r="I890" s="3" t="str">
        <f>IFERROR(ROUND(INDEX('PROJETO PERFURAÇÃO'!$AB:$AB,MATCH(MEDIÇÃO!K890,'PROJETO PERFURAÇÃO'!$B:$B,0)),1)&amp;"''","")</f>
        <v/>
      </c>
      <c r="J890" s="3" t="str">
        <f>IFERROR(IF(INDEX('PROJETO PERFURAÇÃO'!$P:$P,MATCH(MEDIÇÃO!K890,'PROJETO PERFURAÇÃO'!$B:$B,0))="Production","P",IF(INDEX('PROJETO PERFURAÇÃO'!$P:$P,MATCH(MEDIÇÃO!K890,'PROJETO PERFURAÇÃO'!$B:$B,0))="Buffer","B",IF(INDEX('PROJETO PERFURAÇÃO'!$P:$P,MATCH(MEDIÇÃO!K890,'PROJETO PERFURAÇÃO'!$B:$B,0))="Pre-Splitting","S"))),"")</f>
        <v/>
      </c>
      <c r="K890" s="14">
        <f t="shared" si="85"/>
        <v>1973</v>
      </c>
      <c r="L890" s="4" t="str">
        <f>IFERROR(INDEX('LEV R&amp;D'!$D:$D,MATCH(MEDIÇÃO!K890,'LEV R&amp;D'!$A:$A,0))-INDEX('PROJETO PERFURAÇÃO'!$AH:$AH,MATCH(MEDIÇÃO!K890,'PROJETO PERFURAÇÃO'!$B:$B,0)),"")</f>
        <v/>
      </c>
      <c r="M890" s="8" t="str">
        <f>IFERROR(INDEX('PROJETO PERFURAÇÃO'!$AN:$AN,MATCH(MEDIÇÃO!K890,'PROJETO PERFURAÇÃO'!$B:$B,0)),"")</f>
        <v/>
      </c>
      <c r="N890" s="3"/>
      <c r="O890" s="3"/>
      <c r="P890" s="3" t="str">
        <f>IFERROR(ROUND(INDEX('PROJETO PERFURAÇÃO'!$AB:$AB,MATCH(MEDIÇÃO!R890,'PROJETO PERFURAÇÃO'!$B:$B,0)),1)&amp;"''","")</f>
        <v/>
      </c>
      <c r="Q890" s="3" t="str">
        <f>IFERROR(IF(INDEX('PROJETO PERFURAÇÃO'!$P:$P,MATCH(MEDIÇÃO!R890,'PROJETO PERFURAÇÃO'!$B:$B,0))="Production","P",IF(INDEX('PROJETO PERFURAÇÃO'!$P:$P,MATCH(MEDIÇÃO!R890,'PROJETO PERFURAÇÃO'!$B:$B,0))="Buffer","B",IF(INDEX('PROJETO PERFURAÇÃO'!$P:$P,MATCH(MEDIÇÃO!R890,'PROJETO PERFURAÇÃO'!$B:$B,0))="Pre-Splitting","S"))),"")</f>
        <v/>
      </c>
      <c r="R890" s="14">
        <f t="shared" si="86"/>
        <v>1996</v>
      </c>
      <c r="S890" s="4" t="str">
        <f>IFERROR(INDEX('LEV R&amp;D'!$D:$D,MATCH(MEDIÇÃO!R890,'LEV R&amp;D'!$A:$A,0))-INDEX('PROJETO PERFURAÇÃO'!$AH:$AH,MATCH(MEDIÇÃO!R890,'PROJETO PERFURAÇÃO'!$B:$B,0)),"")</f>
        <v/>
      </c>
      <c r="T890" s="8" t="str">
        <f>IFERROR(INDEX('PROJETO PERFURAÇÃO'!$AN:$AN,MATCH(MEDIÇÃO!R890,'PROJETO PERFURAÇÃO'!$B:$B,0)),"")</f>
        <v/>
      </c>
      <c r="U890" s="3"/>
      <c r="V890" s="3"/>
    </row>
    <row r="891" spans="2:22" ht="45" customHeight="1" x14ac:dyDescent="0.25">
      <c r="B891" s="3" t="str">
        <f>IFERROR(ROUND(INDEX('PROJETO PERFURAÇÃO'!$AB:$AB,MATCH(MEDIÇÃO!D891,'PROJETO PERFURAÇÃO'!$B:$B,0)),1)&amp;"''","")</f>
        <v/>
      </c>
      <c r="C891" s="3" t="str">
        <f>IFERROR(IF(INDEX('PROJETO PERFURAÇÃO'!$P:$P,MATCH(MEDIÇÃO!D891,'PROJETO PERFURAÇÃO'!$B:$B,0))="Production","P",IF(INDEX('PROJETO PERFURAÇÃO'!$P:$P,MATCH(MEDIÇÃO!D891,'PROJETO PERFURAÇÃO'!$B:$B,0))="Buffer","B",IF(INDEX('PROJETO PERFURAÇÃO'!$P:$P,MATCH(MEDIÇÃO!D891,'PROJETO PERFURAÇÃO'!$B:$B,0))="Pre-Splitting","S"))),"")</f>
        <v/>
      </c>
      <c r="D891" s="14">
        <f t="shared" si="84"/>
        <v>1951</v>
      </c>
      <c r="E891" s="4" t="str">
        <f>IFERROR(INDEX('LEV R&amp;D'!$D:$D,MATCH(MEDIÇÃO!D891,'LEV R&amp;D'!$A:$A,0))-INDEX('PROJETO PERFURAÇÃO'!$AH:$AH,MATCH(MEDIÇÃO!D891,'PROJETO PERFURAÇÃO'!$B:$B,0)),"")</f>
        <v/>
      </c>
      <c r="F891" s="8" t="str">
        <f>IFERROR(INDEX('PROJETO PERFURAÇÃO'!$AN:$AN,MATCH(MEDIÇÃO!D891,'PROJETO PERFURAÇÃO'!$B:$B,0)),"")</f>
        <v/>
      </c>
      <c r="G891" s="3"/>
      <c r="H891" s="3"/>
      <c r="I891" s="3" t="str">
        <f>IFERROR(ROUND(INDEX('PROJETO PERFURAÇÃO'!$AB:$AB,MATCH(MEDIÇÃO!K891,'PROJETO PERFURAÇÃO'!$B:$B,0)),1)&amp;"''","")</f>
        <v/>
      </c>
      <c r="J891" s="3" t="str">
        <f>IFERROR(IF(INDEX('PROJETO PERFURAÇÃO'!$P:$P,MATCH(MEDIÇÃO!K891,'PROJETO PERFURAÇÃO'!$B:$B,0))="Production","P",IF(INDEX('PROJETO PERFURAÇÃO'!$P:$P,MATCH(MEDIÇÃO!K891,'PROJETO PERFURAÇÃO'!$B:$B,0))="Buffer","B",IF(INDEX('PROJETO PERFURAÇÃO'!$P:$P,MATCH(MEDIÇÃO!K891,'PROJETO PERFURAÇÃO'!$B:$B,0))="Pre-Splitting","S"))),"")</f>
        <v/>
      </c>
      <c r="K891" s="14">
        <f t="shared" si="85"/>
        <v>1974</v>
      </c>
      <c r="L891" s="4" t="str">
        <f>IFERROR(INDEX('LEV R&amp;D'!$D:$D,MATCH(MEDIÇÃO!K891,'LEV R&amp;D'!$A:$A,0))-INDEX('PROJETO PERFURAÇÃO'!$AH:$AH,MATCH(MEDIÇÃO!K891,'PROJETO PERFURAÇÃO'!$B:$B,0)),"")</f>
        <v/>
      </c>
      <c r="M891" s="8" t="str">
        <f>IFERROR(INDEX('PROJETO PERFURAÇÃO'!$AN:$AN,MATCH(MEDIÇÃO!K891,'PROJETO PERFURAÇÃO'!$B:$B,0)),"")</f>
        <v/>
      </c>
      <c r="N891" s="3"/>
      <c r="O891" s="3"/>
      <c r="P891" s="3" t="str">
        <f>IFERROR(ROUND(INDEX('PROJETO PERFURAÇÃO'!$AB:$AB,MATCH(MEDIÇÃO!R891,'PROJETO PERFURAÇÃO'!$B:$B,0)),1)&amp;"''","")</f>
        <v/>
      </c>
      <c r="Q891" s="3" t="str">
        <f>IFERROR(IF(INDEX('PROJETO PERFURAÇÃO'!$P:$P,MATCH(MEDIÇÃO!R891,'PROJETO PERFURAÇÃO'!$B:$B,0))="Production","P",IF(INDEX('PROJETO PERFURAÇÃO'!$P:$P,MATCH(MEDIÇÃO!R891,'PROJETO PERFURAÇÃO'!$B:$B,0))="Buffer","B",IF(INDEX('PROJETO PERFURAÇÃO'!$P:$P,MATCH(MEDIÇÃO!R891,'PROJETO PERFURAÇÃO'!$B:$B,0))="Pre-Splitting","S"))),"")</f>
        <v/>
      </c>
      <c r="R891" s="14">
        <f t="shared" si="86"/>
        <v>1997</v>
      </c>
      <c r="S891" s="4" t="str">
        <f>IFERROR(INDEX('LEV R&amp;D'!$D:$D,MATCH(MEDIÇÃO!R891,'LEV R&amp;D'!$A:$A,0))-INDEX('PROJETO PERFURAÇÃO'!$AH:$AH,MATCH(MEDIÇÃO!R891,'PROJETO PERFURAÇÃO'!$B:$B,0)),"")</f>
        <v/>
      </c>
      <c r="T891" s="8" t="str">
        <f>IFERROR(INDEX('PROJETO PERFURAÇÃO'!$AN:$AN,MATCH(MEDIÇÃO!R891,'PROJETO PERFURAÇÃO'!$B:$B,0)),"")</f>
        <v/>
      </c>
      <c r="U891" s="3"/>
      <c r="V891" s="3"/>
    </row>
    <row r="892" spans="2:22" ht="45" customHeight="1" x14ac:dyDescent="0.25">
      <c r="B892" s="3" t="str">
        <f>IFERROR(ROUND(INDEX('PROJETO PERFURAÇÃO'!$AB:$AB,MATCH(MEDIÇÃO!D892,'PROJETO PERFURAÇÃO'!$B:$B,0)),1)&amp;"''","")</f>
        <v/>
      </c>
      <c r="C892" s="3" t="str">
        <f>IFERROR(IF(INDEX('PROJETO PERFURAÇÃO'!$P:$P,MATCH(MEDIÇÃO!D892,'PROJETO PERFURAÇÃO'!$B:$B,0))="Production","P",IF(INDEX('PROJETO PERFURAÇÃO'!$P:$P,MATCH(MEDIÇÃO!D892,'PROJETO PERFURAÇÃO'!$B:$B,0))="Buffer","B",IF(INDEX('PROJETO PERFURAÇÃO'!$P:$P,MATCH(MEDIÇÃO!D892,'PROJETO PERFURAÇÃO'!$B:$B,0))="Pre-Splitting","S"))),"")</f>
        <v/>
      </c>
      <c r="D892" s="14">
        <f t="shared" si="84"/>
        <v>1952</v>
      </c>
      <c r="E892" s="4" t="str">
        <f>IFERROR(INDEX('LEV R&amp;D'!$D:$D,MATCH(MEDIÇÃO!D892,'LEV R&amp;D'!$A:$A,0))-INDEX('PROJETO PERFURAÇÃO'!$AH:$AH,MATCH(MEDIÇÃO!D892,'PROJETO PERFURAÇÃO'!$B:$B,0)),"")</f>
        <v/>
      </c>
      <c r="F892" s="8" t="str">
        <f>IFERROR(INDEX('PROJETO PERFURAÇÃO'!$AN:$AN,MATCH(MEDIÇÃO!D892,'PROJETO PERFURAÇÃO'!$B:$B,0)),"")</f>
        <v/>
      </c>
      <c r="G892" s="3"/>
      <c r="H892" s="3"/>
      <c r="I892" s="3" t="str">
        <f>IFERROR(ROUND(INDEX('PROJETO PERFURAÇÃO'!$AB:$AB,MATCH(MEDIÇÃO!K892,'PROJETO PERFURAÇÃO'!$B:$B,0)),1)&amp;"''","")</f>
        <v/>
      </c>
      <c r="J892" s="3" t="str">
        <f>IFERROR(IF(INDEX('PROJETO PERFURAÇÃO'!$P:$P,MATCH(MEDIÇÃO!K892,'PROJETO PERFURAÇÃO'!$B:$B,0))="Production","P",IF(INDEX('PROJETO PERFURAÇÃO'!$P:$P,MATCH(MEDIÇÃO!K892,'PROJETO PERFURAÇÃO'!$B:$B,0))="Buffer","B",IF(INDEX('PROJETO PERFURAÇÃO'!$P:$P,MATCH(MEDIÇÃO!K892,'PROJETO PERFURAÇÃO'!$B:$B,0))="Pre-Splitting","S"))),"")</f>
        <v/>
      </c>
      <c r="K892" s="14">
        <f t="shared" si="85"/>
        <v>1975</v>
      </c>
      <c r="L892" s="4" t="str">
        <f>IFERROR(INDEX('LEV R&amp;D'!$D:$D,MATCH(MEDIÇÃO!K892,'LEV R&amp;D'!$A:$A,0))-INDEX('PROJETO PERFURAÇÃO'!$AH:$AH,MATCH(MEDIÇÃO!K892,'PROJETO PERFURAÇÃO'!$B:$B,0)),"")</f>
        <v/>
      </c>
      <c r="M892" s="8" t="str">
        <f>IFERROR(INDEX('PROJETO PERFURAÇÃO'!$AN:$AN,MATCH(MEDIÇÃO!K892,'PROJETO PERFURAÇÃO'!$B:$B,0)),"")</f>
        <v/>
      </c>
      <c r="N892" s="3"/>
      <c r="O892" s="3"/>
      <c r="P892" s="3" t="str">
        <f>IFERROR(ROUND(INDEX('PROJETO PERFURAÇÃO'!$AB:$AB,MATCH(MEDIÇÃO!R892,'PROJETO PERFURAÇÃO'!$B:$B,0)),1)&amp;"''","")</f>
        <v/>
      </c>
      <c r="Q892" s="3" t="str">
        <f>IFERROR(IF(INDEX('PROJETO PERFURAÇÃO'!$P:$P,MATCH(MEDIÇÃO!R892,'PROJETO PERFURAÇÃO'!$B:$B,0))="Production","P",IF(INDEX('PROJETO PERFURAÇÃO'!$P:$P,MATCH(MEDIÇÃO!R892,'PROJETO PERFURAÇÃO'!$B:$B,0))="Buffer","B",IF(INDEX('PROJETO PERFURAÇÃO'!$P:$P,MATCH(MEDIÇÃO!R892,'PROJETO PERFURAÇÃO'!$B:$B,0))="Pre-Splitting","S"))),"")</f>
        <v/>
      </c>
      <c r="R892" s="14">
        <f t="shared" si="86"/>
        <v>1998</v>
      </c>
      <c r="S892" s="4" t="str">
        <f>IFERROR(INDEX('LEV R&amp;D'!$D:$D,MATCH(MEDIÇÃO!R892,'LEV R&amp;D'!$A:$A,0))-INDEX('PROJETO PERFURAÇÃO'!$AH:$AH,MATCH(MEDIÇÃO!R892,'PROJETO PERFURAÇÃO'!$B:$B,0)),"")</f>
        <v/>
      </c>
      <c r="T892" s="8" t="str">
        <f>IFERROR(INDEX('PROJETO PERFURAÇÃO'!$AN:$AN,MATCH(MEDIÇÃO!R892,'PROJETO PERFURAÇÃO'!$B:$B,0)),"")</f>
        <v/>
      </c>
      <c r="U892" s="3"/>
      <c r="V892" s="3"/>
    </row>
    <row r="893" spans="2:22" ht="45" customHeight="1" x14ac:dyDescent="0.25">
      <c r="B893" s="3" t="str">
        <f>IFERROR(ROUND(INDEX('PROJETO PERFURAÇÃO'!$AB:$AB,MATCH(MEDIÇÃO!D893,'PROJETO PERFURAÇÃO'!$B:$B,0)),1)&amp;"''","")</f>
        <v/>
      </c>
      <c r="C893" s="3" t="str">
        <f>IFERROR(IF(INDEX('PROJETO PERFURAÇÃO'!$P:$P,MATCH(MEDIÇÃO!D893,'PROJETO PERFURAÇÃO'!$B:$B,0))="Production","P",IF(INDEX('PROJETO PERFURAÇÃO'!$P:$P,MATCH(MEDIÇÃO!D893,'PROJETO PERFURAÇÃO'!$B:$B,0))="Buffer","B",IF(INDEX('PROJETO PERFURAÇÃO'!$P:$P,MATCH(MEDIÇÃO!D893,'PROJETO PERFURAÇÃO'!$B:$B,0))="Pre-Splitting","S"))),"")</f>
        <v/>
      </c>
      <c r="D893" s="14">
        <f t="shared" si="84"/>
        <v>1953</v>
      </c>
      <c r="E893" s="4" t="str">
        <f>IFERROR(INDEX('LEV R&amp;D'!$D:$D,MATCH(MEDIÇÃO!D893,'LEV R&amp;D'!$A:$A,0))-INDEX('PROJETO PERFURAÇÃO'!$AH:$AH,MATCH(MEDIÇÃO!D893,'PROJETO PERFURAÇÃO'!$B:$B,0)),"")</f>
        <v/>
      </c>
      <c r="F893" s="8" t="str">
        <f>IFERROR(INDEX('PROJETO PERFURAÇÃO'!$AN:$AN,MATCH(MEDIÇÃO!D893,'PROJETO PERFURAÇÃO'!$B:$B,0)),"")</f>
        <v/>
      </c>
      <c r="G893" s="3"/>
      <c r="H893" s="3"/>
      <c r="I893" s="3" t="str">
        <f>IFERROR(ROUND(INDEX('PROJETO PERFURAÇÃO'!$AB:$AB,MATCH(MEDIÇÃO!K893,'PROJETO PERFURAÇÃO'!$B:$B,0)),1)&amp;"''","")</f>
        <v/>
      </c>
      <c r="J893" s="3" t="str">
        <f>IFERROR(IF(INDEX('PROJETO PERFURAÇÃO'!$P:$P,MATCH(MEDIÇÃO!K893,'PROJETO PERFURAÇÃO'!$B:$B,0))="Production","P",IF(INDEX('PROJETO PERFURAÇÃO'!$P:$P,MATCH(MEDIÇÃO!K893,'PROJETO PERFURAÇÃO'!$B:$B,0))="Buffer","B",IF(INDEX('PROJETO PERFURAÇÃO'!$P:$P,MATCH(MEDIÇÃO!K893,'PROJETO PERFURAÇÃO'!$B:$B,0))="Pre-Splitting","S"))),"")</f>
        <v/>
      </c>
      <c r="K893" s="14">
        <f t="shared" si="85"/>
        <v>1976</v>
      </c>
      <c r="L893" s="4" t="str">
        <f>IFERROR(INDEX('LEV R&amp;D'!$D:$D,MATCH(MEDIÇÃO!K893,'LEV R&amp;D'!$A:$A,0))-INDEX('PROJETO PERFURAÇÃO'!$AH:$AH,MATCH(MEDIÇÃO!K893,'PROJETO PERFURAÇÃO'!$B:$B,0)),"")</f>
        <v/>
      </c>
      <c r="M893" s="8" t="str">
        <f>IFERROR(INDEX('PROJETO PERFURAÇÃO'!$AN:$AN,MATCH(MEDIÇÃO!K893,'PROJETO PERFURAÇÃO'!$B:$B,0)),"")</f>
        <v/>
      </c>
      <c r="N893" s="3"/>
      <c r="O893" s="3"/>
      <c r="P893" s="3" t="str">
        <f>IFERROR(ROUND(INDEX('PROJETO PERFURAÇÃO'!$AB:$AB,MATCH(MEDIÇÃO!R893,'PROJETO PERFURAÇÃO'!$B:$B,0)),1)&amp;"''","")</f>
        <v/>
      </c>
      <c r="Q893" s="3" t="str">
        <f>IFERROR(IF(INDEX('PROJETO PERFURAÇÃO'!$P:$P,MATCH(MEDIÇÃO!R893,'PROJETO PERFURAÇÃO'!$B:$B,0))="Production","P",IF(INDEX('PROJETO PERFURAÇÃO'!$P:$P,MATCH(MEDIÇÃO!R893,'PROJETO PERFURAÇÃO'!$B:$B,0))="Buffer","B",IF(INDEX('PROJETO PERFURAÇÃO'!$P:$P,MATCH(MEDIÇÃO!R893,'PROJETO PERFURAÇÃO'!$B:$B,0))="Pre-Splitting","S"))),"")</f>
        <v/>
      </c>
      <c r="R893" s="14">
        <f t="shared" si="86"/>
        <v>1999</v>
      </c>
      <c r="S893" s="4" t="str">
        <f>IFERROR(INDEX('LEV R&amp;D'!$D:$D,MATCH(MEDIÇÃO!R893,'LEV R&amp;D'!$A:$A,0))-INDEX('PROJETO PERFURAÇÃO'!$AH:$AH,MATCH(MEDIÇÃO!R893,'PROJETO PERFURAÇÃO'!$B:$B,0)),"")</f>
        <v/>
      </c>
      <c r="T893" s="8" t="str">
        <f>IFERROR(INDEX('PROJETO PERFURAÇÃO'!$AN:$AN,MATCH(MEDIÇÃO!R893,'PROJETO PERFURAÇÃO'!$B:$B,0)),"")</f>
        <v/>
      </c>
      <c r="U893" s="3"/>
      <c r="V893" s="3"/>
    </row>
    <row r="894" spans="2:22" ht="45" customHeight="1" x14ac:dyDescent="0.25">
      <c r="B894" s="3" t="str">
        <f>IFERROR(ROUND(INDEX('PROJETO PERFURAÇÃO'!$AB:$AB,MATCH(MEDIÇÃO!D894,'PROJETO PERFURAÇÃO'!$B:$B,0)),1)&amp;"''","")</f>
        <v/>
      </c>
      <c r="C894" s="3" t="str">
        <f>IFERROR(IF(INDEX('PROJETO PERFURAÇÃO'!$P:$P,MATCH(MEDIÇÃO!D894,'PROJETO PERFURAÇÃO'!$B:$B,0))="Production","P",IF(INDEX('PROJETO PERFURAÇÃO'!$P:$P,MATCH(MEDIÇÃO!D894,'PROJETO PERFURAÇÃO'!$B:$B,0))="Buffer","B",IF(INDEX('PROJETO PERFURAÇÃO'!$P:$P,MATCH(MEDIÇÃO!D894,'PROJETO PERFURAÇÃO'!$B:$B,0))="Pre-Splitting","S"))),"")</f>
        <v/>
      </c>
      <c r="D894" s="14">
        <f t="shared" si="84"/>
        <v>1954</v>
      </c>
      <c r="E894" s="4" t="str">
        <f>IFERROR(INDEX('LEV R&amp;D'!$D:$D,MATCH(MEDIÇÃO!D894,'LEV R&amp;D'!$A:$A,0))-INDEX('PROJETO PERFURAÇÃO'!$AH:$AH,MATCH(MEDIÇÃO!D894,'PROJETO PERFURAÇÃO'!$B:$B,0)),"")</f>
        <v/>
      </c>
      <c r="F894" s="8" t="str">
        <f>IFERROR(INDEX('PROJETO PERFURAÇÃO'!$AN:$AN,MATCH(MEDIÇÃO!D894,'PROJETO PERFURAÇÃO'!$B:$B,0)),"")</f>
        <v/>
      </c>
      <c r="G894" s="3"/>
      <c r="H894" s="3"/>
      <c r="I894" s="3" t="str">
        <f>IFERROR(ROUND(INDEX('PROJETO PERFURAÇÃO'!$AB:$AB,MATCH(MEDIÇÃO!K894,'PROJETO PERFURAÇÃO'!$B:$B,0)),1)&amp;"''","")</f>
        <v/>
      </c>
      <c r="J894" s="3" t="str">
        <f>IFERROR(IF(INDEX('PROJETO PERFURAÇÃO'!$P:$P,MATCH(MEDIÇÃO!K894,'PROJETO PERFURAÇÃO'!$B:$B,0))="Production","P",IF(INDEX('PROJETO PERFURAÇÃO'!$P:$P,MATCH(MEDIÇÃO!K894,'PROJETO PERFURAÇÃO'!$B:$B,0))="Buffer","B",IF(INDEX('PROJETO PERFURAÇÃO'!$P:$P,MATCH(MEDIÇÃO!K894,'PROJETO PERFURAÇÃO'!$B:$B,0))="Pre-Splitting","S"))),"")</f>
        <v/>
      </c>
      <c r="K894" s="14">
        <f t="shared" si="85"/>
        <v>1977</v>
      </c>
      <c r="L894" s="4" t="str">
        <f>IFERROR(INDEX('LEV R&amp;D'!$D:$D,MATCH(MEDIÇÃO!K894,'LEV R&amp;D'!$A:$A,0))-INDEX('PROJETO PERFURAÇÃO'!$AH:$AH,MATCH(MEDIÇÃO!K894,'PROJETO PERFURAÇÃO'!$B:$B,0)),"")</f>
        <v/>
      </c>
      <c r="M894" s="8" t="str">
        <f>IFERROR(INDEX('PROJETO PERFURAÇÃO'!$AN:$AN,MATCH(MEDIÇÃO!K894,'PROJETO PERFURAÇÃO'!$B:$B,0)),"")</f>
        <v/>
      </c>
      <c r="N894" s="3"/>
      <c r="O894" s="3"/>
      <c r="P894" s="3" t="str">
        <f>IFERROR(ROUND(INDEX('PROJETO PERFURAÇÃO'!$AB:$AB,MATCH(MEDIÇÃO!R894,'PROJETO PERFURAÇÃO'!$B:$B,0)),1)&amp;"''","")</f>
        <v/>
      </c>
      <c r="Q894" s="3" t="str">
        <f>IFERROR(IF(INDEX('PROJETO PERFURAÇÃO'!$P:$P,MATCH(MEDIÇÃO!R894,'PROJETO PERFURAÇÃO'!$B:$B,0))="Production","P",IF(INDEX('PROJETO PERFURAÇÃO'!$P:$P,MATCH(MEDIÇÃO!R894,'PROJETO PERFURAÇÃO'!$B:$B,0))="Buffer","B",IF(INDEX('PROJETO PERFURAÇÃO'!$P:$P,MATCH(MEDIÇÃO!R894,'PROJETO PERFURAÇÃO'!$B:$B,0))="Pre-Splitting","S"))),"")</f>
        <v/>
      </c>
      <c r="R894" s="14">
        <f t="shared" si="86"/>
        <v>2000</v>
      </c>
      <c r="S894" s="4" t="str">
        <f>IFERROR(INDEX('LEV R&amp;D'!$D:$D,MATCH(MEDIÇÃO!R894,'LEV R&amp;D'!$A:$A,0))-INDEX('PROJETO PERFURAÇÃO'!$AH:$AH,MATCH(MEDIÇÃO!R894,'PROJETO PERFURAÇÃO'!$B:$B,0)),"")</f>
        <v/>
      </c>
      <c r="T894" s="8" t="str">
        <f>IFERROR(INDEX('PROJETO PERFURAÇÃO'!$AN:$AN,MATCH(MEDIÇÃO!R894,'PROJETO PERFURAÇÃO'!$B:$B,0)),"")</f>
        <v/>
      </c>
      <c r="U894" s="3"/>
      <c r="V894" s="3"/>
    </row>
    <row r="895" spans="2:22" ht="45" customHeight="1" x14ac:dyDescent="0.25">
      <c r="B895" s="3" t="str">
        <f>IFERROR(ROUND(INDEX('PROJETO PERFURAÇÃO'!$AB:$AB,MATCH(MEDIÇÃO!D895,'PROJETO PERFURAÇÃO'!$B:$B,0)),1)&amp;"''","")</f>
        <v/>
      </c>
      <c r="C895" s="3" t="str">
        <f>IFERROR(IF(INDEX('PROJETO PERFURAÇÃO'!$P:$P,MATCH(MEDIÇÃO!D895,'PROJETO PERFURAÇÃO'!$B:$B,0))="Production","P",IF(INDEX('PROJETO PERFURAÇÃO'!$P:$P,MATCH(MEDIÇÃO!D895,'PROJETO PERFURAÇÃO'!$B:$B,0))="Buffer","B",IF(INDEX('PROJETO PERFURAÇÃO'!$P:$P,MATCH(MEDIÇÃO!D895,'PROJETO PERFURAÇÃO'!$B:$B,0))="Pre-Splitting","S"))),"")</f>
        <v/>
      </c>
      <c r="D895" s="14">
        <f t="shared" si="84"/>
        <v>1955</v>
      </c>
      <c r="E895" s="4" t="str">
        <f>IFERROR(INDEX('LEV R&amp;D'!$D:$D,MATCH(MEDIÇÃO!D895,'LEV R&amp;D'!$A:$A,0))-INDEX('PROJETO PERFURAÇÃO'!$AH:$AH,MATCH(MEDIÇÃO!D895,'PROJETO PERFURAÇÃO'!$B:$B,0)),"")</f>
        <v/>
      </c>
      <c r="F895" s="8" t="str">
        <f>IFERROR(INDEX('PROJETO PERFURAÇÃO'!$AN:$AN,MATCH(MEDIÇÃO!D895,'PROJETO PERFURAÇÃO'!$B:$B,0)),"")</f>
        <v/>
      </c>
      <c r="G895" s="3"/>
      <c r="H895" s="3"/>
      <c r="I895" s="3" t="str">
        <f>IFERROR(ROUND(INDEX('PROJETO PERFURAÇÃO'!$AB:$AB,MATCH(MEDIÇÃO!K895,'PROJETO PERFURAÇÃO'!$B:$B,0)),1)&amp;"''","")</f>
        <v/>
      </c>
      <c r="J895" s="3" t="str">
        <f>IFERROR(IF(INDEX('PROJETO PERFURAÇÃO'!$P:$P,MATCH(MEDIÇÃO!K895,'PROJETO PERFURAÇÃO'!$B:$B,0))="Production","P",IF(INDEX('PROJETO PERFURAÇÃO'!$P:$P,MATCH(MEDIÇÃO!K895,'PROJETO PERFURAÇÃO'!$B:$B,0))="Buffer","B",IF(INDEX('PROJETO PERFURAÇÃO'!$P:$P,MATCH(MEDIÇÃO!K895,'PROJETO PERFURAÇÃO'!$B:$B,0))="Pre-Splitting","S"))),"")</f>
        <v/>
      </c>
      <c r="K895" s="14">
        <f>K894+1</f>
        <v>1978</v>
      </c>
      <c r="L895" s="4" t="str">
        <f>IFERROR(INDEX('LEV R&amp;D'!$D:$D,MATCH(MEDIÇÃO!K895,'LEV R&amp;D'!$A:$A,0))-INDEX('PROJETO PERFURAÇÃO'!$AH:$AH,MATCH(MEDIÇÃO!K895,'PROJETO PERFURAÇÃO'!$B:$B,0)),"")</f>
        <v/>
      </c>
      <c r="M895" s="8" t="str">
        <f>IFERROR(INDEX('PROJETO PERFURAÇÃO'!$AN:$AN,MATCH(MEDIÇÃO!K895,'PROJETO PERFURAÇÃO'!$B:$B,0)),"")</f>
        <v/>
      </c>
      <c r="N895" s="3"/>
      <c r="O895" s="3"/>
      <c r="P895" s="3" t="str">
        <f>IFERROR(ROUND(INDEX('PROJETO PERFURAÇÃO'!$AB:$AB,MATCH(MEDIÇÃO!R895,'PROJETO PERFURAÇÃO'!$B:$B,0)),1)&amp;"''","")</f>
        <v/>
      </c>
      <c r="Q895" s="3" t="str">
        <f>IFERROR(IF(INDEX('PROJETO PERFURAÇÃO'!$P:$P,MATCH(MEDIÇÃO!R895,'PROJETO PERFURAÇÃO'!$B:$B,0))="Production","P",IF(INDEX('PROJETO PERFURAÇÃO'!$P:$P,MATCH(MEDIÇÃO!R895,'PROJETO PERFURAÇÃO'!$B:$B,0))="Buffer","B",IF(INDEX('PROJETO PERFURAÇÃO'!$P:$P,MATCH(MEDIÇÃO!R895,'PROJETO PERFURAÇÃO'!$B:$B,0))="Pre-Splitting","S"))),"")</f>
        <v/>
      </c>
      <c r="R895" s="14">
        <f>R894+1</f>
        <v>2001</v>
      </c>
      <c r="S895" s="4" t="str">
        <f>IFERROR(INDEX('LEV R&amp;D'!$D:$D,MATCH(MEDIÇÃO!R895,'LEV R&amp;D'!$A:$A,0))-INDEX('PROJETO PERFURAÇÃO'!$AH:$AH,MATCH(MEDIÇÃO!R895,'PROJETO PERFURAÇÃO'!$B:$B,0)),"")</f>
        <v/>
      </c>
      <c r="T895" s="8" t="str">
        <f>IFERROR(INDEX('PROJETO PERFURAÇÃO'!$AN:$AN,MATCH(MEDIÇÃO!R895,'PROJETO PERFURAÇÃO'!$B:$B,0)),"")</f>
        <v/>
      </c>
      <c r="U895" s="3"/>
      <c r="V895" s="3"/>
    </row>
    <row r="896" spans="2:22" ht="30" customHeight="1" x14ac:dyDescent="0.25">
      <c r="B896" s="1"/>
      <c r="C896" s="1"/>
      <c r="D896" s="15"/>
      <c r="E896" s="2"/>
      <c r="F896" s="16"/>
      <c r="G896" s="1"/>
      <c r="H896" s="1"/>
      <c r="I896" s="1"/>
      <c r="J896" s="1"/>
      <c r="K896" s="15"/>
      <c r="L896" s="2"/>
      <c r="M896" s="16"/>
      <c r="N896" s="1"/>
      <c r="O896" s="1"/>
      <c r="P896" s="1"/>
      <c r="Q896" s="1"/>
      <c r="R896" s="15"/>
      <c r="S896" s="2"/>
      <c r="T896" s="16"/>
      <c r="U896" s="1"/>
      <c r="V896" s="1"/>
    </row>
    <row r="897" spans="1:23" ht="30" customHeight="1" x14ac:dyDescent="0.25">
      <c r="C897" s="20"/>
      <c r="D897" s="20"/>
      <c r="E897" s="20"/>
      <c r="F897" s="20"/>
      <c r="G897" s="20"/>
      <c r="H897" s="20"/>
      <c r="I897" s="20"/>
      <c r="J897" s="20"/>
      <c r="K897" s="20"/>
      <c r="M897" s="20"/>
      <c r="N897" s="20"/>
      <c r="O897" s="20"/>
      <c r="P897" s="20"/>
      <c r="Q897" s="20"/>
      <c r="R897" s="20"/>
      <c r="S897" s="20"/>
      <c r="T897" s="20"/>
      <c r="U897" s="20"/>
    </row>
    <row r="898" spans="1:23" ht="30" customHeight="1" x14ac:dyDescent="0.25">
      <c r="C898" s="21" t="s">
        <v>40</v>
      </c>
      <c r="D898" s="21"/>
      <c r="E898" s="21"/>
      <c r="F898" s="21"/>
      <c r="G898" s="21"/>
      <c r="H898" s="21"/>
      <c r="I898" s="21"/>
      <c r="J898" s="21"/>
      <c r="K898" s="21"/>
      <c r="L898" s="9"/>
      <c r="M898" s="21" t="s">
        <v>40</v>
      </c>
      <c r="N898" s="21"/>
      <c r="O898" s="21"/>
      <c r="P898" s="21"/>
      <c r="Q898" s="21"/>
      <c r="R898" s="21"/>
      <c r="S898" s="21"/>
      <c r="T898" s="21"/>
      <c r="U898" s="21"/>
      <c r="V898" s="9"/>
    </row>
    <row r="899" spans="1:23" ht="30" customHeight="1" x14ac:dyDescent="0.25">
      <c r="D899" s="9"/>
      <c r="E899" s="9"/>
      <c r="F899" s="9"/>
      <c r="G899" s="9"/>
      <c r="H899" s="9"/>
      <c r="I899" s="9"/>
      <c r="J899" s="9"/>
      <c r="K899" s="9"/>
      <c r="L899" s="9"/>
      <c r="M899" s="9"/>
      <c r="N899" s="9"/>
      <c r="Q899" s="9"/>
      <c r="R899" s="9"/>
      <c r="S899" s="9"/>
      <c r="T899" s="9"/>
      <c r="U899" s="9"/>
      <c r="V899" s="9"/>
    </row>
    <row r="900" spans="1:23" ht="30" customHeight="1" x14ac:dyDescent="0.25">
      <c r="B900" s="19" t="str">
        <f>'PROJETO PERFURAÇÃO'!$C$2&amp;" - "&amp;'PROJETO PERFURAÇÃO'!$H$2</f>
        <v>LIB065 - PP0651026</v>
      </c>
      <c r="C900" s="19"/>
      <c r="D900" s="19"/>
      <c r="E900" s="19"/>
      <c r="F900" s="19"/>
      <c r="G900" s="19"/>
      <c r="H900" s="19"/>
      <c r="I900" s="11" t="s">
        <v>34</v>
      </c>
      <c r="J900" s="10" t="s">
        <v>37</v>
      </c>
    </row>
    <row r="901" spans="1:23" ht="30" customHeight="1" x14ac:dyDescent="0.25">
      <c r="B901" s="19"/>
      <c r="C901" s="19"/>
      <c r="D901" s="19"/>
      <c r="E901" s="19"/>
      <c r="F901" s="19"/>
      <c r="G901" s="19"/>
      <c r="H901" s="19"/>
      <c r="I901" s="12" t="s">
        <v>35</v>
      </c>
      <c r="J901" s="10" t="s">
        <v>38</v>
      </c>
      <c r="K901" s="9"/>
      <c r="L901" s="9"/>
      <c r="M901" s="9"/>
      <c r="N901" s="9"/>
      <c r="O901" s="9"/>
      <c r="P901" s="9"/>
      <c r="Q901" s="9"/>
      <c r="R901" s="9"/>
      <c r="S901" s="9"/>
      <c r="T901" s="9"/>
      <c r="U901" s="9"/>
      <c r="V901" s="9"/>
    </row>
    <row r="902" spans="1:23" ht="30" customHeight="1" x14ac:dyDescent="0.25">
      <c r="B902" s="19"/>
      <c r="C902" s="19"/>
      <c r="D902" s="19"/>
      <c r="E902" s="19"/>
      <c r="F902" s="19"/>
      <c r="G902" s="19"/>
      <c r="H902" s="19"/>
      <c r="I902" s="13" t="s">
        <v>36</v>
      </c>
      <c r="J902" s="10" t="s">
        <v>39</v>
      </c>
    </row>
    <row r="903" spans="1:23" ht="30" customHeight="1" x14ac:dyDescent="0.25">
      <c r="A903" s="1"/>
      <c r="B903" s="6" t="s">
        <v>33</v>
      </c>
      <c r="C903" s="6" t="s">
        <v>13</v>
      </c>
      <c r="D903" s="7" t="s">
        <v>1</v>
      </c>
      <c r="E903" s="7" t="s">
        <v>29</v>
      </c>
      <c r="F903" s="7" t="s">
        <v>30</v>
      </c>
      <c r="G903" s="7" t="s">
        <v>31</v>
      </c>
      <c r="H903" s="7" t="s">
        <v>32</v>
      </c>
      <c r="I903" s="6" t="s">
        <v>33</v>
      </c>
      <c r="J903" s="6" t="s">
        <v>13</v>
      </c>
      <c r="K903" s="7" t="s">
        <v>1</v>
      </c>
      <c r="L903" s="7" t="s">
        <v>29</v>
      </c>
      <c r="M903" s="7" t="s">
        <v>30</v>
      </c>
      <c r="N903" s="7" t="s">
        <v>31</v>
      </c>
      <c r="O903" s="7" t="s">
        <v>32</v>
      </c>
      <c r="P903" s="6" t="s">
        <v>33</v>
      </c>
      <c r="Q903" s="6" t="s">
        <v>13</v>
      </c>
      <c r="R903" s="7" t="s">
        <v>1</v>
      </c>
      <c r="S903" s="7" t="s">
        <v>29</v>
      </c>
      <c r="T903" s="7" t="s">
        <v>30</v>
      </c>
      <c r="U903" s="7" t="s">
        <v>31</v>
      </c>
      <c r="V903" s="7" t="s">
        <v>32</v>
      </c>
      <c r="W903" s="1"/>
    </row>
    <row r="904" spans="1:23" ht="45" customHeight="1" x14ac:dyDescent="0.25">
      <c r="B904" s="3" t="str">
        <f>IFERROR(ROUND(INDEX('PROJETO PERFURAÇÃO'!$AB:$AB,MATCH(MEDIÇÃO!D904,'PROJETO PERFURAÇÃO'!$B:$B,0)),1)&amp;"''","")</f>
        <v/>
      </c>
      <c r="C904" s="3" t="str">
        <f>IFERROR(IF(INDEX('PROJETO PERFURAÇÃO'!$P:$P,MATCH(MEDIÇÃO!D904,'PROJETO PERFURAÇÃO'!$B:$B,0))="Production","P",IF(INDEX('PROJETO PERFURAÇÃO'!$P:$P,MATCH(MEDIÇÃO!D904,'PROJETO PERFURAÇÃO'!$B:$B,0))="Buffer","B",IF(INDEX('PROJETO PERFURAÇÃO'!$P:$P,MATCH(MEDIÇÃO!D904,'PROJETO PERFURAÇÃO'!$B:$B,0))="Pre-Splitting","S"))),"")</f>
        <v/>
      </c>
      <c r="D904" s="14">
        <f>R895+1</f>
        <v>2002</v>
      </c>
      <c r="E904" s="4" t="str">
        <f>IFERROR(INDEX('LEV R&amp;D'!$D:$D,MATCH(MEDIÇÃO!D904,'LEV R&amp;D'!$A:$A,0))-INDEX('PROJETO PERFURAÇÃO'!$AH:$AH,MATCH(MEDIÇÃO!D904,'PROJETO PERFURAÇÃO'!$B:$B,0)),"")</f>
        <v/>
      </c>
      <c r="F904" s="8" t="str">
        <f>IFERROR(INDEX('PROJETO PERFURAÇÃO'!$AN:$AN,MATCH(MEDIÇÃO!D904,'PROJETO PERFURAÇÃO'!$B:$B,0)),"")</f>
        <v/>
      </c>
      <c r="G904" s="3"/>
      <c r="H904" s="3"/>
      <c r="I904" s="3" t="str">
        <f>IFERROR(ROUND(INDEX('PROJETO PERFURAÇÃO'!$AB:$AB,MATCH(MEDIÇÃO!K904,'PROJETO PERFURAÇÃO'!$B:$B,0)),1)&amp;"''","")</f>
        <v/>
      </c>
      <c r="J904" s="3" t="str">
        <f>IFERROR(IF(INDEX('PROJETO PERFURAÇÃO'!$P:$P,MATCH(MEDIÇÃO!K904,'PROJETO PERFURAÇÃO'!$B:$B,0))="Production","P",IF(INDEX('PROJETO PERFURAÇÃO'!$P:$P,MATCH(MEDIÇÃO!K904,'PROJETO PERFURAÇÃO'!$B:$B,0))="Buffer","B",IF(INDEX('PROJETO PERFURAÇÃO'!$P:$P,MATCH(MEDIÇÃO!K904,'PROJETO PERFURAÇÃO'!$B:$B,0))="Pre-Splitting","S"))),"")</f>
        <v/>
      </c>
      <c r="K904" s="14">
        <f>D926+1</f>
        <v>2025</v>
      </c>
      <c r="L904" s="4" t="str">
        <f>IFERROR(INDEX('LEV R&amp;D'!$D:$D,MATCH(MEDIÇÃO!K904,'LEV R&amp;D'!$A:$A,0))-INDEX('PROJETO PERFURAÇÃO'!$AH:$AH,MATCH(MEDIÇÃO!K904,'PROJETO PERFURAÇÃO'!$B:$B,0)),"")</f>
        <v/>
      </c>
      <c r="M904" s="8" t="str">
        <f>IFERROR(INDEX('PROJETO PERFURAÇÃO'!$AN:$AN,MATCH(MEDIÇÃO!K904,'PROJETO PERFURAÇÃO'!$B:$B,0)),"")</f>
        <v/>
      </c>
      <c r="N904" s="3"/>
      <c r="O904" s="3"/>
      <c r="P904" s="3" t="str">
        <f>IFERROR(ROUND(INDEX('PROJETO PERFURAÇÃO'!$AB:$AB,MATCH(MEDIÇÃO!R904,'PROJETO PERFURAÇÃO'!$B:$B,0)),1)&amp;"''","")</f>
        <v/>
      </c>
      <c r="Q904" s="3" t="str">
        <f>IFERROR(IF(INDEX('PROJETO PERFURAÇÃO'!$P:$P,MATCH(MEDIÇÃO!R904,'PROJETO PERFURAÇÃO'!$B:$B,0))="Production","P",IF(INDEX('PROJETO PERFURAÇÃO'!$P:$P,MATCH(MEDIÇÃO!R904,'PROJETO PERFURAÇÃO'!$B:$B,0))="Buffer","B",IF(INDEX('PROJETO PERFURAÇÃO'!$P:$P,MATCH(MEDIÇÃO!R904,'PROJETO PERFURAÇÃO'!$B:$B,0))="Pre-Splitting","S"))),"")</f>
        <v/>
      </c>
      <c r="R904" s="14">
        <f>K926+1</f>
        <v>2048</v>
      </c>
      <c r="S904" s="4" t="str">
        <f>IFERROR(INDEX('LEV R&amp;D'!$D:$D,MATCH(MEDIÇÃO!R904,'LEV R&amp;D'!$A:$A,0))-INDEX('PROJETO PERFURAÇÃO'!$AH:$AH,MATCH(MEDIÇÃO!R904,'PROJETO PERFURAÇÃO'!$B:$B,0)),"")</f>
        <v/>
      </c>
      <c r="T904" s="8" t="str">
        <f>IFERROR(INDEX('PROJETO PERFURAÇÃO'!$AN:$AN,MATCH(MEDIÇÃO!R904,'PROJETO PERFURAÇÃO'!$B:$B,0)),"")</f>
        <v/>
      </c>
      <c r="U904" s="3"/>
      <c r="V904" s="3"/>
    </row>
    <row r="905" spans="1:23" ht="45" customHeight="1" x14ac:dyDescent="0.25">
      <c r="B905" s="3" t="str">
        <f>IFERROR(ROUND(INDEX('PROJETO PERFURAÇÃO'!$AB:$AB,MATCH(MEDIÇÃO!D905,'PROJETO PERFURAÇÃO'!$B:$B,0)),1)&amp;"''","")</f>
        <v/>
      </c>
      <c r="C905" s="3" t="str">
        <f>IFERROR(IF(INDEX('PROJETO PERFURAÇÃO'!$P:$P,MATCH(MEDIÇÃO!D905,'PROJETO PERFURAÇÃO'!$B:$B,0))="Production","P",IF(INDEX('PROJETO PERFURAÇÃO'!$P:$P,MATCH(MEDIÇÃO!D905,'PROJETO PERFURAÇÃO'!$B:$B,0))="Buffer","B",IF(INDEX('PROJETO PERFURAÇÃO'!$P:$P,MATCH(MEDIÇÃO!D905,'PROJETO PERFURAÇÃO'!$B:$B,0))="Pre-Splitting","S"))),"")</f>
        <v/>
      </c>
      <c r="D905" s="14">
        <f>D904+1</f>
        <v>2003</v>
      </c>
      <c r="E905" s="4" t="str">
        <f>IFERROR(INDEX('LEV R&amp;D'!$D:$D,MATCH(MEDIÇÃO!D905,'LEV R&amp;D'!$A:$A,0))-INDEX('PROJETO PERFURAÇÃO'!$AH:$AH,MATCH(MEDIÇÃO!D905,'PROJETO PERFURAÇÃO'!$B:$B,0)),"")</f>
        <v/>
      </c>
      <c r="F905" s="8" t="str">
        <f>IFERROR(INDEX('PROJETO PERFURAÇÃO'!$AN:$AN,MATCH(MEDIÇÃO!D905,'PROJETO PERFURAÇÃO'!$B:$B,0)),"")</f>
        <v/>
      </c>
      <c r="G905" s="3"/>
      <c r="H905" s="3"/>
      <c r="I905" s="3" t="str">
        <f>IFERROR(ROUND(INDEX('PROJETO PERFURAÇÃO'!$AB:$AB,MATCH(MEDIÇÃO!K905,'PROJETO PERFURAÇÃO'!$B:$B,0)),1)&amp;"''","")</f>
        <v/>
      </c>
      <c r="J905" s="3" t="str">
        <f>IFERROR(IF(INDEX('PROJETO PERFURAÇÃO'!$P:$P,MATCH(MEDIÇÃO!K905,'PROJETO PERFURAÇÃO'!$B:$B,0))="Production","P",IF(INDEX('PROJETO PERFURAÇÃO'!$P:$P,MATCH(MEDIÇÃO!K905,'PROJETO PERFURAÇÃO'!$B:$B,0))="Buffer","B",IF(INDEX('PROJETO PERFURAÇÃO'!$P:$P,MATCH(MEDIÇÃO!K905,'PROJETO PERFURAÇÃO'!$B:$B,0))="Pre-Splitting","S"))),"")</f>
        <v/>
      </c>
      <c r="K905" s="14">
        <f>K904+1</f>
        <v>2026</v>
      </c>
      <c r="L905" s="4" t="str">
        <f>IFERROR(INDEX('LEV R&amp;D'!$D:$D,MATCH(MEDIÇÃO!K905,'LEV R&amp;D'!$A:$A,0))-INDEX('PROJETO PERFURAÇÃO'!$AH:$AH,MATCH(MEDIÇÃO!K905,'PROJETO PERFURAÇÃO'!$B:$B,0)),"")</f>
        <v/>
      </c>
      <c r="M905" s="8" t="str">
        <f>IFERROR(INDEX('PROJETO PERFURAÇÃO'!$AN:$AN,MATCH(MEDIÇÃO!K905,'PROJETO PERFURAÇÃO'!$B:$B,0)),"")</f>
        <v/>
      </c>
      <c r="N905" s="3"/>
      <c r="O905" s="3"/>
      <c r="P905" s="3" t="str">
        <f>IFERROR(ROUND(INDEX('PROJETO PERFURAÇÃO'!$AB:$AB,MATCH(MEDIÇÃO!R905,'PROJETO PERFURAÇÃO'!$B:$B,0)),1)&amp;"''","")</f>
        <v/>
      </c>
      <c r="Q905" s="3" t="str">
        <f>IFERROR(IF(INDEX('PROJETO PERFURAÇÃO'!$P:$P,MATCH(MEDIÇÃO!R905,'PROJETO PERFURAÇÃO'!$B:$B,0))="Production","P",IF(INDEX('PROJETO PERFURAÇÃO'!$P:$P,MATCH(MEDIÇÃO!R905,'PROJETO PERFURAÇÃO'!$B:$B,0))="Buffer","B",IF(INDEX('PROJETO PERFURAÇÃO'!$P:$P,MATCH(MEDIÇÃO!R905,'PROJETO PERFURAÇÃO'!$B:$B,0))="Pre-Splitting","S"))),"")</f>
        <v/>
      </c>
      <c r="R905" s="14">
        <f>R904+1</f>
        <v>2049</v>
      </c>
      <c r="S905" s="4" t="str">
        <f>IFERROR(INDEX('LEV R&amp;D'!$D:$D,MATCH(MEDIÇÃO!R905,'LEV R&amp;D'!$A:$A,0))-INDEX('PROJETO PERFURAÇÃO'!$AH:$AH,MATCH(MEDIÇÃO!R905,'PROJETO PERFURAÇÃO'!$B:$B,0)),"")</f>
        <v/>
      </c>
      <c r="T905" s="8" t="str">
        <f>IFERROR(INDEX('PROJETO PERFURAÇÃO'!$AN:$AN,MATCH(MEDIÇÃO!R905,'PROJETO PERFURAÇÃO'!$B:$B,0)),"")</f>
        <v/>
      </c>
      <c r="U905" s="3"/>
      <c r="V905" s="3"/>
    </row>
    <row r="906" spans="1:23" ht="45" customHeight="1" x14ac:dyDescent="0.25">
      <c r="B906" s="3" t="str">
        <f>IFERROR(ROUND(INDEX('PROJETO PERFURAÇÃO'!$AB:$AB,MATCH(MEDIÇÃO!D906,'PROJETO PERFURAÇÃO'!$B:$B,0)),1)&amp;"''","")</f>
        <v/>
      </c>
      <c r="C906" s="3" t="str">
        <f>IFERROR(IF(INDEX('PROJETO PERFURAÇÃO'!$P:$P,MATCH(MEDIÇÃO!D906,'PROJETO PERFURAÇÃO'!$B:$B,0))="Production","P",IF(INDEX('PROJETO PERFURAÇÃO'!$P:$P,MATCH(MEDIÇÃO!D906,'PROJETO PERFURAÇÃO'!$B:$B,0))="Buffer","B",IF(INDEX('PROJETO PERFURAÇÃO'!$P:$P,MATCH(MEDIÇÃO!D906,'PROJETO PERFURAÇÃO'!$B:$B,0))="Pre-Splitting","S"))),"")</f>
        <v/>
      </c>
      <c r="D906" s="14">
        <f t="shared" ref="D906:D926" si="87">D905+1</f>
        <v>2004</v>
      </c>
      <c r="E906" s="4" t="str">
        <f>IFERROR(INDEX('LEV R&amp;D'!$D:$D,MATCH(MEDIÇÃO!D906,'LEV R&amp;D'!$A:$A,0))-INDEX('PROJETO PERFURAÇÃO'!$AH:$AH,MATCH(MEDIÇÃO!D906,'PROJETO PERFURAÇÃO'!$B:$B,0)),"")</f>
        <v/>
      </c>
      <c r="F906" s="8" t="str">
        <f>IFERROR(INDEX('PROJETO PERFURAÇÃO'!$AN:$AN,MATCH(MEDIÇÃO!D906,'PROJETO PERFURAÇÃO'!$B:$B,0)),"")</f>
        <v/>
      </c>
      <c r="G906" s="3"/>
      <c r="H906" s="3"/>
      <c r="I906" s="3" t="str">
        <f>IFERROR(ROUND(INDEX('PROJETO PERFURAÇÃO'!$AB:$AB,MATCH(MEDIÇÃO!K906,'PROJETO PERFURAÇÃO'!$B:$B,0)),1)&amp;"''","")</f>
        <v/>
      </c>
      <c r="J906" s="3" t="str">
        <f>IFERROR(IF(INDEX('PROJETO PERFURAÇÃO'!$P:$P,MATCH(MEDIÇÃO!K906,'PROJETO PERFURAÇÃO'!$B:$B,0))="Production","P",IF(INDEX('PROJETO PERFURAÇÃO'!$P:$P,MATCH(MEDIÇÃO!K906,'PROJETO PERFURAÇÃO'!$B:$B,0))="Buffer","B",IF(INDEX('PROJETO PERFURAÇÃO'!$P:$P,MATCH(MEDIÇÃO!K906,'PROJETO PERFURAÇÃO'!$B:$B,0))="Pre-Splitting","S"))),"")</f>
        <v/>
      </c>
      <c r="K906" s="14">
        <f t="shared" ref="K906:K925" si="88">K905+1</f>
        <v>2027</v>
      </c>
      <c r="L906" s="4" t="str">
        <f>IFERROR(INDEX('LEV R&amp;D'!$D:$D,MATCH(MEDIÇÃO!K906,'LEV R&amp;D'!$A:$A,0))-INDEX('PROJETO PERFURAÇÃO'!$AH:$AH,MATCH(MEDIÇÃO!K906,'PROJETO PERFURAÇÃO'!$B:$B,0)),"")</f>
        <v/>
      </c>
      <c r="M906" s="8" t="str">
        <f>IFERROR(INDEX('PROJETO PERFURAÇÃO'!$AN:$AN,MATCH(MEDIÇÃO!K906,'PROJETO PERFURAÇÃO'!$B:$B,0)),"")</f>
        <v/>
      </c>
      <c r="N906" s="3"/>
      <c r="O906" s="3"/>
      <c r="P906" s="3" t="str">
        <f>IFERROR(ROUND(INDEX('PROJETO PERFURAÇÃO'!$AB:$AB,MATCH(MEDIÇÃO!R906,'PROJETO PERFURAÇÃO'!$B:$B,0)),1)&amp;"''","")</f>
        <v/>
      </c>
      <c r="Q906" s="3" t="str">
        <f>IFERROR(IF(INDEX('PROJETO PERFURAÇÃO'!$P:$P,MATCH(MEDIÇÃO!R906,'PROJETO PERFURAÇÃO'!$B:$B,0))="Production","P",IF(INDEX('PROJETO PERFURAÇÃO'!$P:$P,MATCH(MEDIÇÃO!R906,'PROJETO PERFURAÇÃO'!$B:$B,0))="Buffer","B",IF(INDEX('PROJETO PERFURAÇÃO'!$P:$P,MATCH(MEDIÇÃO!R906,'PROJETO PERFURAÇÃO'!$B:$B,0))="Pre-Splitting","S"))),"")</f>
        <v/>
      </c>
      <c r="R906" s="14">
        <f t="shared" ref="R906:R925" si="89">R905+1</f>
        <v>2050</v>
      </c>
      <c r="S906" s="4" t="str">
        <f>IFERROR(INDEX('LEV R&amp;D'!$D:$D,MATCH(MEDIÇÃO!R906,'LEV R&amp;D'!$A:$A,0))-INDEX('PROJETO PERFURAÇÃO'!$AH:$AH,MATCH(MEDIÇÃO!R906,'PROJETO PERFURAÇÃO'!$B:$B,0)),"")</f>
        <v/>
      </c>
      <c r="T906" s="8" t="str">
        <f>IFERROR(INDEX('PROJETO PERFURAÇÃO'!$AN:$AN,MATCH(MEDIÇÃO!R906,'PROJETO PERFURAÇÃO'!$B:$B,0)),"")</f>
        <v/>
      </c>
      <c r="U906" s="3"/>
      <c r="V906" s="3"/>
    </row>
    <row r="907" spans="1:23" ht="45" customHeight="1" x14ac:dyDescent="0.25">
      <c r="B907" s="3" t="str">
        <f>IFERROR(ROUND(INDEX('PROJETO PERFURAÇÃO'!$AB:$AB,MATCH(MEDIÇÃO!D907,'PROJETO PERFURAÇÃO'!$B:$B,0)),1)&amp;"''","")</f>
        <v/>
      </c>
      <c r="C907" s="3" t="str">
        <f>IFERROR(IF(INDEX('PROJETO PERFURAÇÃO'!$P:$P,MATCH(MEDIÇÃO!D907,'PROJETO PERFURAÇÃO'!$B:$B,0))="Production","P",IF(INDEX('PROJETO PERFURAÇÃO'!$P:$P,MATCH(MEDIÇÃO!D907,'PROJETO PERFURAÇÃO'!$B:$B,0))="Buffer","B",IF(INDEX('PROJETO PERFURAÇÃO'!$P:$P,MATCH(MEDIÇÃO!D907,'PROJETO PERFURAÇÃO'!$B:$B,0))="Pre-Splitting","S"))),"")</f>
        <v/>
      </c>
      <c r="D907" s="14">
        <f t="shared" si="87"/>
        <v>2005</v>
      </c>
      <c r="E907" s="4" t="str">
        <f>IFERROR(INDEX('LEV R&amp;D'!$D:$D,MATCH(MEDIÇÃO!D907,'LEV R&amp;D'!$A:$A,0))-INDEX('PROJETO PERFURAÇÃO'!$AH:$AH,MATCH(MEDIÇÃO!D907,'PROJETO PERFURAÇÃO'!$B:$B,0)),"")</f>
        <v/>
      </c>
      <c r="F907" s="8" t="str">
        <f>IFERROR(INDEX('PROJETO PERFURAÇÃO'!$AN:$AN,MATCH(MEDIÇÃO!D907,'PROJETO PERFURAÇÃO'!$B:$B,0)),"")</f>
        <v/>
      </c>
      <c r="G907" s="3"/>
      <c r="H907" s="3"/>
      <c r="I907" s="3" t="str">
        <f>IFERROR(ROUND(INDEX('PROJETO PERFURAÇÃO'!$AB:$AB,MATCH(MEDIÇÃO!K907,'PROJETO PERFURAÇÃO'!$B:$B,0)),1)&amp;"''","")</f>
        <v/>
      </c>
      <c r="J907" s="3" t="str">
        <f>IFERROR(IF(INDEX('PROJETO PERFURAÇÃO'!$P:$P,MATCH(MEDIÇÃO!K907,'PROJETO PERFURAÇÃO'!$B:$B,0))="Production","P",IF(INDEX('PROJETO PERFURAÇÃO'!$P:$P,MATCH(MEDIÇÃO!K907,'PROJETO PERFURAÇÃO'!$B:$B,0))="Buffer","B",IF(INDEX('PROJETO PERFURAÇÃO'!$P:$P,MATCH(MEDIÇÃO!K907,'PROJETO PERFURAÇÃO'!$B:$B,0))="Pre-Splitting","S"))),"")</f>
        <v/>
      </c>
      <c r="K907" s="14">
        <f t="shared" si="88"/>
        <v>2028</v>
      </c>
      <c r="L907" s="4" t="str">
        <f>IFERROR(INDEX('LEV R&amp;D'!$D:$D,MATCH(MEDIÇÃO!K907,'LEV R&amp;D'!$A:$A,0))-INDEX('PROJETO PERFURAÇÃO'!$AH:$AH,MATCH(MEDIÇÃO!K907,'PROJETO PERFURAÇÃO'!$B:$B,0)),"")</f>
        <v/>
      </c>
      <c r="M907" s="8" t="str">
        <f>IFERROR(INDEX('PROJETO PERFURAÇÃO'!$AN:$AN,MATCH(MEDIÇÃO!K907,'PROJETO PERFURAÇÃO'!$B:$B,0)),"")</f>
        <v/>
      </c>
      <c r="N907" s="3"/>
      <c r="O907" s="3"/>
      <c r="P907" s="3" t="str">
        <f>IFERROR(ROUND(INDEX('PROJETO PERFURAÇÃO'!$AB:$AB,MATCH(MEDIÇÃO!R907,'PROJETO PERFURAÇÃO'!$B:$B,0)),1)&amp;"''","")</f>
        <v/>
      </c>
      <c r="Q907" s="3" t="str">
        <f>IFERROR(IF(INDEX('PROJETO PERFURAÇÃO'!$P:$P,MATCH(MEDIÇÃO!R907,'PROJETO PERFURAÇÃO'!$B:$B,0))="Production","P",IF(INDEX('PROJETO PERFURAÇÃO'!$P:$P,MATCH(MEDIÇÃO!R907,'PROJETO PERFURAÇÃO'!$B:$B,0))="Buffer","B",IF(INDEX('PROJETO PERFURAÇÃO'!$P:$P,MATCH(MEDIÇÃO!R907,'PROJETO PERFURAÇÃO'!$B:$B,0))="Pre-Splitting","S"))),"")</f>
        <v/>
      </c>
      <c r="R907" s="14">
        <f t="shared" si="89"/>
        <v>2051</v>
      </c>
      <c r="S907" s="4" t="str">
        <f>IFERROR(INDEX('LEV R&amp;D'!$D:$D,MATCH(MEDIÇÃO!R907,'LEV R&amp;D'!$A:$A,0))-INDEX('PROJETO PERFURAÇÃO'!$AH:$AH,MATCH(MEDIÇÃO!R907,'PROJETO PERFURAÇÃO'!$B:$B,0)),"")</f>
        <v/>
      </c>
      <c r="T907" s="8" t="str">
        <f>IFERROR(INDEX('PROJETO PERFURAÇÃO'!$AN:$AN,MATCH(MEDIÇÃO!R907,'PROJETO PERFURAÇÃO'!$B:$B,0)),"")</f>
        <v/>
      </c>
      <c r="U907" s="3"/>
      <c r="V907" s="3"/>
    </row>
    <row r="908" spans="1:23" ht="45" customHeight="1" x14ac:dyDescent="0.25">
      <c r="B908" s="3" t="str">
        <f>IFERROR(ROUND(INDEX('PROJETO PERFURAÇÃO'!$AB:$AB,MATCH(MEDIÇÃO!D908,'PROJETO PERFURAÇÃO'!$B:$B,0)),1)&amp;"''","")</f>
        <v/>
      </c>
      <c r="C908" s="3" t="str">
        <f>IFERROR(IF(INDEX('PROJETO PERFURAÇÃO'!$P:$P,MATCH(MEDIÇÃO!D908,'PROJETO PERFURAÇÃO'!$B:$B,0))="Production","P",IF(INDEX('PROJETO PERFURAÇÃO'!$P:$P,MATCH(MEDIÇÃO!D908,'PROJETO PERFURAÇÃO'!$B:$B,0))="Buffer","B",IF(INDEX('PROJETO PERFURAÇÃO'!$P:$P,MATCH(MEDIÇÃO!D908,'PROJETO PERFURAÇÃO'!$B:$B,0))="Pre-Splitting","S"))),"")</f>
        <v/>
      </c>
      <c r="D908" s="14">
        <f t="shared" si="87"/>
        <v>2006</v>
      </c>
      <c r="E908" s="4" t="str">
        <f>IFERROR(INDEX('LEV R&amp;D'!$D:$D,MATCH(MEDIÇÃO!D908,'LEV R&amp;D'!$A:$A,0))-INDEX('PROJETO PERFURAÇÃO'!$AH:$AH,MATCH(MEDIÇÃO!D908,'PROJETO PERFURAÇÃO'!$B:$B,0)),"")</f>
        <v/>
      </c>
      <c r="F908" s="8" t="str">
        <f>IFERROR(INDEX('PROJETO PERFURAÇÃO'!$AN:$AN,MATCH(MEDIÇÃO!D908,'PROJETO PERFURAÇÃO'!$B:$B,0)),"")</f>
        <v/>
      </c>
      <c r="G908" s="3"/>
      <c r="H908" s="3"/>
      <c r="I908" s="3" t="str">
        <f>IFERROR(ROUND(INDEX('PROJETO PERFURAÇÃO'!$AB:$AB,MATCH(MEDIÇÃO!K908,'PROJETO PERFURAÇÃO'!$B:$B,0)),1)&amp;"''","")</f>
        <v/>
      </c>
      <c r="J908" s="3" t="str">
        <f>IFERROR(IF(INDEX('PROJETO PERFURAÇÃO'!$P:$P,MATCH(MEDIÇÃO!K908,'PROJETO PERFURAÇÃO'!$B:$B,0))="Production","P",IF(INDEX('PROJETO PERFURAÇÃO'!$P:$P,MATCH(MEDIÇÃO!K908,'PROJETO PERFURAÇÃO'!$B:$B,0))="Buffer","B",IF(INDEX('PROJETO PERFURAÇÃO'!$P:$P,MATCH(MEDIÇÃO!K908,'PROJETO PERFURAÇÃO'!$B:$B,0))="Pre-Splitting","S"))),"")</f>
        <v/>
      </c>
      <c r="K908" s="14">
        <f t="shared" si="88"/>
        <v>2029</v>
      </c>
      <c r="L908" s="4" t="str">
        <f>IFERROR(INDEX('LEV R&amp;D'!$D:$D,MATCH(MEDIÇÃO!K908,'LEV R&amp;D'!$A:$A,0))-INDEX('PROJETO PERFURAÇÃO'!$AH:$AH,MATCH(MEDIÇÃO!K908,'PROJETO PERFURAÇÃO'!$B:$B,0)),"")</f>
        <v/>
      </c>
      <c r="M908" s="8" t="str">
        <f>IFERROR(INDEX('PROJETO PERFURAÇÃO'!$AN:$AN,MATCH(MEDIÇÃO!K908,'PROJETO PERFURAÇÃO'!$B:$B,0)),"")</f>
        <v/>
      </c>
      <c r="N908" s="3"/>
      <c r="O908" s="3"/>
      <c r="P908" s="3" t="str">
        <f>IFERROR(ROUND(INDEX('PROJETO PERFURAÇÃO'!$AB:$AB,MATCH(MEDIÇÃO!R908,'PROJETO PERFURAÇÃO'!$B:$B,0)),1)&amp;"''","")</f>
        <v/>
      </c>
      <c r="Q908" s="3" t="str">
        <f>IFERROR(IF(INDEX('PROJETO PERFURAÇÃO'!$P:$P,MATCH(MEDIÇÃO!R908,'PROJETO PERFURAÇÃO'!$B:$B,0))="Production","P",IF(INDEX('PROJETO PERFURAÇÃO'!$P:$P,MATCH(MEDIÇÃO!R908,'PROJETO PERFURAÇÃO'!$B:$B,0))="Buffer","B",IF(INDEX('PROJETO PERFURAÇÃO'!$P:$P,MATCH(MEDIÇÃO!R908,'PROJETO PERFURAÇÃO'!$B:$B,0))="Pre-Splitting","S"))),"")</f>
        <v/>
      </c>
      <c r="R908" s="14">
        <f t="shared" si="89"/>
        <v>2052</v>
      </c>
      <c r="S908" s="4" t="str">
        <f>IFERROR(INDEX('LEV R&amp;D'!$D:$D,MATCH(MEDIÇÃO!R908,'LEV R&amp;D'!$A:$A,0))-INDEX('PROJETO PERFURAÇÃO'!$AH:$AH,MATCH(MEDIÇÃO!R908,'PROJETO PERFURAÇÃO'!$B:$B,0)),"")</f>
        <v/>
      </c>
      <c r="T908" s="8" t="str">
        <f>IFERROR(INDEX('PROJETO PERFURAÇÃO'!$AN:$AN,MATCH(MEDIÇÃO!R908,'PROJETO PERFURAÇÃO'!$B:$B,0)),"")</f>
        <v/>
      </c>
      <c r="U908" s="3"/>
      <c r="V908" s="3"/>
    </row>
    <row r="909" spans="1:23" ht="45" customHeight="1" x14ac:dyDescent="0.25">
      <c r="B909" s="3" t="str">
        <f>IFERROR(ROUND(INDEX('PROJETO PERFURAÇÃO'!$AB:$AB,MATCH(MEDIÇÃO!D909,'PROJETO PERFURAÇÃO'!$B:$B,0)),1)&amp;"''","")</f>
        <v/>
      </c>
      <c r="C909" s="3" t="str">
        <f>IFERROR(IF(INDEX('PROJETO PERFURAÇÃO'!$P:$P,MATCH(MEDIÇÃO!D909,'PROJETO PERFURAÇÃO'!$B:$B,0))="Production","P",IF(INDEX('PROJETO PERFURAÇÃO'!$P:$P,MATCH(MEDIÇÃO!D909,'PROJETO PERFURAÇÃO'!$B:$B,0))="Buffer","B",IF(INDEX('PROJETO PERFURAÇÃO'!$P:$P,MATCH(MEDIÇÃO!D909,'PROJETO PERFURAÇÃO'!$B:$B,0))="Pre-Splitting","S"))),"")</f>
        <v/>
      </c>
      <c r="D909" s="14">
        <f t="shared" si="87"/>
        <v>2007</v>
      </c>
      <c r="E909" s="4" t="str">
        <f>IFERROR(INDEX('LEV R&amp;D'!$D:$D,MATCH(MEDIÇÃO!D909,'LEV R&amp;D'!$A:$A,0))-INDEX('PROJETO PERFURAÇÃO'!$AH:$AH,MATCH(MEDIÇÃO!D909,'PROJETO PERFURAÇÃO'!$B:$B,0)),"")</f>
        <v/>
      </c>
      <c r="F909" s="8" t="str">
        <f>IFERROR(INDEX('PROJETO PERFURAÇÃO'!$AN:$AN,MATCH(MEDIÇÃO!D909,'PROJETO PERFURAÇÃO'!$B:$B,0)),"")</f>
        <v/>
      </c>
      <c r="G909" s="3"/>
      <c r="H909" s="3"/>
      <c r="I909" s="3" t="str">
        <f>IFERROR(ROUND(INDEX('PROJETO PERFURAÇÃO'!$AB:$AB,MATCH(MEDIÇÃO!K909,'PROJETO PERFURAÇÃO'!$B:$B,0)),1)&amp;"''","")</f>
        <v/>
      </c>
      <c r="J909" s="3" t="str">
        <f>IFERROR(IF(INDEX('PROJETO PERFURAÇÃO'!$P:$P,MATCH(MEDIÇÃO!K909,'PROJETO PERFURAÇÃO'!$B:$B,0))="Production","P",IF(INDEX('PROJETO PERFURAÇÃO'!$P:$P,MATCH(MEDIÇÃO!K909,'PROJETO PERFURAÇÃO'!$B:$B,0))="Buffer","B",IF(INDEX('PROJETO PERFURAÇÃO'!$P:$P,MATCH(MEDIÇÃO!K909,'PROJETO PERFURAÇÃO'!$B:$B,0))="Pre-Splitting","S"))),"")</f>
        <v/>
      </c>
      <c r="K909" s="14">
        <f t="shared" si="88"/>
        <v>2030</v>
      </c>
      <c r="L909" s="4" t="str">
        <f>IFERROR(INDEX('LEV R&amp;D'!$D:$D,MATCH(MEDIÇÃO!K909,'LEV R&amp;D'!$A:$A,0))-INDEX('PROJETO PERFURAÇÃO'!$AH:$AH,MATCH(MEDIÇÃO!K909,'PROJETO PERFURAÇÃO'!$B:$B,0)),"")</f>
        <v/>
      </c>
      <c r="M909" s="8" t="str">
        <f>IFERROR(INDEX('PROJETO PERFURAÇÃO'!$AN:$AN,MATCH(MEDIÇÃO!K909,'PROJETO PERFURAÇÃO'!$B:$B,0)),"")</f>
        <v/>
      </c>
      <c r="N909" s="3"/>
      <c r="O909" s="3"/>
      <c r="P909" s="3" t="str">
        <f>IFERROR(ROUND(INDEX('PROJETO PERFURAÇÃO'!$AB:$AB,MATCH(MEDIÇÃO!R909,'PROJETO PERFURAÇÃO'!$B:$B,0)),1)&amp;"''","")</f>
        <v/>
      </c>
      <c r="Q909" s="3" t="str">
        <f>IFERROR(IF(INDEX('PROJETO PERFURAÇÃO'!$P:$P,MATCH(MEDIÇÃO!R909,'PROJETO PERFURAÇÃO'!$B:$B,0))="Production","P",IF(INDEX('PROJETO PERFURAÇÃO'!$P:$P,MATCH(MEDIÇÃO!R909,'PROJETO PERFURAÇÃO'!$B:$B,0))="Buffer","B",IF(INDEX('PROJETO PERFURAÇÃO'!$P:$P,MATCH(MEDIÇÃO!R909,'PROJETO PERFURAÇÃO'!$B:$B,0))="Pre-Splitting","S"))),"")</f>
        <v/>
      </c>
      <c r="R909" s="14">
        <f t="shared" si="89"/>
        <v>2053</v>
      </c>
      <c r="S909" s="4" t="str">
        <f>IFERROR(INDEX('LEV R&amp;D'!$D:$D,MATCH(MEDIÇÃO!R909,'LEV R&amp;D'!$A:$A,0))-INDEX('PROJETO PERFURAÇÃO'!$AH:$AH,MATCH(MEDIÇÃO!R909,'PROJETO PERFURAÇÃO'!$B:$B,0)),"")</f>
        <v/>
      </c>
      <c r="T909" s="8" t="str">
        <f>IFERROR(INDEX('PROJETO PERFURAÇÃO'!$AN:$AN,MATCH(MEDIÇÃO!R909,'PROJETO PERFURAÇÃO'!$B:$B,0)),"")</f>
        <v/>
      </c>
      <c r="U909" s="3"/>
      <c r="V909" s="3"/>
    </row>
    <row r="910" spans="1:23" ht="45" customHeight="1" x14ac:dyDescent="0.25">
      <c r="B910" s="3" t="str">
        <f>IFERROR(ROUND(INDEX('PROJETO PERFURAÇÃO'!$AB:$AB,MATCH(MEDIÇÃO!D910,'PROJETO PERFURAÇÃO'!$B:$B,0)),1)&amp;"''","")</f>
        <v/>
      </c>
      <c r="C910" s="3" t="str">
        <f>IFERROR(IF(INDEX('PROJETO PERFURAÇÃO'!$P:$P,MATCH(MEDIÇÃO!D910,'PROJETO PERFURAÇÃO'!$B:$B,0))="Production","P",IF(INDEX('PROJETO PERFURAÇÃO'!$P:$P,MATCH(MEDIÇÃO!D910,'PROJETO PERFURAÇÃO'!$B:$B,0))="Buffer","B",IF(INDEX('PROJETO PERFURAÇÃO'!$P:$P,MATCH(MEDIÇÃO!D910,'PROJETO PERFURAÇÃO'!$B:$B,0))="Pre-Splitting","S"))),"")</f>
        <v/>
      </c>
      <c r="D910" s="14">
        <f t="shared" si="87"/>
        <v>2008</v>
      </c>
      <c r="E910" s="4" t="str">
        <f>IFERROR(INDEX('LEV R&amp;D'!$D:$D,MATCH(MEDIÇÃO!D910,'LEV R&amp;D'!$A:$A,0))-INDEX('PROJETO PERFURAÇÃO'!$AH:$AH,MATCH(MEDIÇÃO!D910,'PROJETO PERFURAÇÃO'!$B:$B,0)),"")</f>
        <v/>
      </c>
      <c r="F910" s="8" t="str">
        <f>IFERROR(INDEX('PROJETO PERFURAÇÃO'!$AN:$AN,MATCH(MEDIÇÃO!D910,'PROJETO PERFURAÇÃO'!$B:$B,0)),"")</f>
        <v/>
      </c>
      <c r="G910" s="3"/>
      <c r="H910" s="3"/>
      <c r="I910" s="3" t="str">
        <f>IFERROR(ROUND(INDEX('PROJETO PERFURAÇÃO'!$AB:$AB,MATCH(MEDIÇÃO!K910,'PROJETO PERFURAÇÃO'!$B:$B,0)),1)&amp;"''","")</f>
        <v/>
      </c>
      <c r="J910" s="3" t="str">
        <f>IFERROR(IF(INDEX('PROJETO PERFURAÇÃO'!$P:$P,MATCH(MEDIÇÃO!K910,'PROJETO PERFURAÇÃO'!$B:$B,0))="Production","P",IF(INDEX('PROJETO PERFURAÇÃO'!$P:$P,MATCH(MEDIÇÃO!K910,'PROJETO PERFURAÇÃO'!$B:$B,0))="Buffer","B",IF(INDEX('PROJETO PERFURAÇÃO'!$P:$P,MATCH(MEDIÇÃO!K910,'PROJETO PERFURAÇÃO'!$B:$B,0))="Pre-Splitting","S"))),"")</f>
        <v/>
      </c>
      <c r="K910" s="14">
        <f t="shared" si="88"/>
        <v>2031</v>
      </c>
      <c r="L910" s="4" t="str">
        <f>IFERROR(INDEX('LEV R&amp;D'!$D:$D,MATCH(MEDIÇÃO!K910,'LEV R&amp;D'!$A:$A,0))-INDEX('PROJETO PERFURAÇÃO'!$AH:$AH,MATCH(MEDIÇÃO!K910,'PROJETO PERFURAÇÃO'!$B:$B,0)),"")</f>
        <v/>
      </c>
      <c r="M910" s="8" t="str">
        <f>IFERROR(INDEX('PROJETO PERFURAÇÃO'!$AN:$AN,MATCH(MEDIÇÃO!K910,'PROJETO PERFURAÇÃO'!$B:$B,0)),"")</f>
        <v/>
      </c>
      <c r="N910" s="3"/>
      <c r="O910" s="3"/>
      <c r="P910" s="3" t="str">
        <f>IFERROR(ROUND(INDEX('PROJETO PERFURAÇÃO'!$AB:$AB,MATCH(MEDIÇÃO!R910,'PROJETO PERFURAÇÃO'!$B:$B,0)),1)&amp;"''","")</f>
        <v/>
      </c>
      <c r="Q910" s="3" t="str">
        <f>IFERROR(IF(INDEX('PROJETO PERFURAÇÃO'!$P:$P,MATCH(MEDIÇÃO!R910,'PROJETO PERFURAÇÃO'!$B:$B,0))="Production","P",IF(INDEX('PROJETO PERFURAÇÃO'!$P:$P,MATCH(MEDIÇÃO!R910,'PROJETO PERFURAÇÃO'!$B:$B,0))="Buffer","B",IF(INDEX('PROJETO PERFURAÇÃO'!$P:$P,MATCH(MEDIÇÃO!R910,'PROJETO PERFURAÇÃO'!$B:$B,0))="Pre-Splitting","S"))),"")</f>
        <v/>
      </c>
      <c r="R910" s="14">
        <f t="shared" si="89"/>
        <v>2054</v>
      </c>
      <c r="S910" s="4" t="str">
        <f>IFERROR(INDEX('LEV R&amp;D'!$D:$D,MATCH(MEDIÇÃO!R910,'LEV R&amp;D'!$A:$A,0))-INDEX('PROJETO PERFURAÇÃO'!$AH:$AH,MATCH(MEDIÇÃO!R910,'PROJETO PERFURAÇÃO'!$B:$B,0)),"")</f>
        <v/>
      </c>
      <c r="T910" s="8" t="str">
        <f>IFERROR(INDEX('PROJETO PERFURAÇÃO'!$AN:$AN,MATCH(MEDIÇÃO!R910,'PROJETO PERFURAÇÃO'!$B:$B,0)),"")</f>
        <v/>
      </c>
      <c r="U910" s="3"/>
      <c r="V910" s="3"/>
    </row>
    <row r="911" spans="1:23" ht="45" customHeight="1" x14ac:dyDescent="0.25">
      <c r="B911" s="3" t="str">
        <f>IFERROR(ROUND(INDEX('PROJETO PERFURAÇÃO'!$AB:$AB,MATCH(MEDIÇÃO!D911,'PROJETO PERFURAÇÃO'!$B:$B,0)),1)&amp;"''","")</f>
        <v/>
      </c>
      <c r="C911" s="3" t="str">
        <f>IFERROR(IF(INDEX('PROJETO PERFURAÇÃO'!$P:$P,MATCH(MEDIÇÃO!D911,'PROJETO PERFURAÇÃO'!$B:$B,0))="Production","P",IF(INDEX('PROJETO PERFURAÇÃO'!$P:$P,MATCH(MEDIÇÃO!D911,'PROJETO PERFURAÇÃO'!$B:$B,0))="Buffer","B",IF(INDEX('PROJETO PERFURAÇÃO'!$P:$P,MATCH(MEDIÇÃO!D911,'PROJETO PERFURAÇÃO'!$B:$B,0))="Pre-Splitting","S"))),"")</f>
        <v/>
      </c>
      <c r="D911" s="14">
        <f t="shared" si="87"/>
        <v>2009</v>
      </c>
      <c r="E911" s="4" t="str">
        <f>IFERROR(INDEX('LEV R&amp;D'!$D:$D,MATCH(MEDIÇÃO!D911,'LEV R&amp;D'!$A:$A,0))-INDEX('PROJETO PERFURAÇÃO'!$AH:$AH,MATCH(MEDIÇÃO!D911,'PROJETO PERFURAÇÃO'!$B:$B,0)),"")</f>
        <v/>
      </c>
      <c r="F911" s="8" t="str">
        <f>IFERROR(INDEX('PROJETO PERFURAÇÃO'!$AN:$AN,MATCH(MEDIÇÃO!D911,'PROJETO PERFURAÇÃO'!$B:$B,0)),"")</f>
        <v/>
      </c>
      <c r="G911" s="3"/>
      <c r="H911" s="3"/>
      <c r="I911" s="3" t="str">
        <f>IFERROR(ROUND(INDEX('PROJETO PERFURAÇÃO'!$AB:$AB,MATCH(MEDIÇÃO!K911,'PROJETO PERFURAÇÃO'!$B:$B,0)),1)&amp;"''","")</f>
        <v/>
      </c>
      <c r="J911" s="3" t="str">
        <f>IFERROR(IF(INDEX('PROJETO PERFURAÇÃO'!$P:$P,MATCH(MEDIÇÃO!K911,'PROJETO PERFURAÇÃO'!$B:$B,0))="Production","P",IF(INDEX('PROJETO PERFURAÇÃO'!$P:$P,MATCH(MEDIÇÃO!K911,'PROJETO PERFURAÇÃO'!$B:$B,0))="Buffer","B",IF(INDEX('PROJETO PERFURAÇÃO'!$P:$P,MATCH(MEDIÇÃO!K911,'PROJETO PERFURAÇÃO'!$B:$B,0))="Pre-Splitting","S"))),"")</f>
        <v/>
      </c>
      <c r="K911" s="14">
        <f t="shared" si="88"/>
        <v>2032</v>
      </c>
      <c r="L911" s="4" t="str">
        <f>IFERROR(INDEX('LEV R&amp;D'!$D:$D,MATCH(MEDIÇÃO!K911,'LEV R&amp;D'!$A:$A,0))-INDEX('PROJETO PERFURAÇÃO'!$AH:$AH,MATCH(MEDIÇÃO!K911,'PROJETO PERFURAÇÃO'!$B:$B,0)),"")</f>
        <v/>
      </c>
      <c r="M911" s="8" t="str">
        <f>IFERROR(INDEX('PROJETO PERFURAÇÃO'!$AN:$AN,MATCH(MEDIÇÃO!K911,'PROJETO PERFURAÇÃO'!$B:$B,0)),"")</f>
        <v/>
      </c>
      <c r="N911" s="3"/>
      <c r="O911" s="3"/>
      <c r="P911" s="3" t="str">
        <f>IFERROR(ROUND(INDEX('PROJETO PERFURAÇÃO'!$AB:$AB,MATCH(MEDIÇÃO!R911,'PROJETO PERFURAÇÃO'!$B:$B,0)),1)&amp;"''","")</f>
        <v/>
      </c>
      <c r="Q911" s="3" t="str">
        <f>IFERROR(IF(INDEX('PROJETO PERFURAÇÃO'!$P:$P,MATCH(MEDIÇÃO!R911,'PROJETO PERFURAÇÃO'!$B:$B,0))="Production","P",IF(INDEX('PROJETO PERFURAÇÃO'!$P:$P,MATCH(MEDIÇÃO!R911,'PROJETO PERFURAÇÃO'!$B:$B,0))="Buffer","B",IF(INDEX('PROJETO PERFURAÇÃO'!$P:$P,MATCH(MEDIÇÃO!R911,'PROJETO PERFURAÇÃO'!$B:$B,0))="Pre-Splitting","S"))),"")</f>
        <v/>
      </c>
      <c r="R911" s="14">
        <f t="shared" si="89"/>
        <v>2055</v>
      </c>
      <c r="S911" s="4" t="str">
        <f>IFERROR(INDEX('LEV R&amp;D'!$D:$D,MATCH(MEDIÇÃO!R911,'LEV R&amp;D'!$A:$A,0))-INDEX('PROJETO PERFURAÇÃO'!$AH:$AH,MATCH(MEDIÇÃO!R911,'PROJETO PERFURAÇÃO'!$B:$B,0)),"")</f>
        <v/>
      </c>
      <c r="T911" s="8" t="str">
        <f>IFERROR(INDEX('PROJETO PERFURAÇÃO'!$AN:$AN,MATCH(MEDIÇÃO!R911,'PROJETO PERFURAÇÃO'!$B:$B,0)),"")</f>
        <v/>
      </c>
      <c r="U911" s="3"/>
      <c r="V911" s="3"/>
    </row>
    <row r="912" spans="1:23" ht="45" customHeight="1" x14ac:dyDescent="0.25">
      <c r="B912" s="3" t="str">
        <f>IFERROR(ROUND(INDEX('PROJETO PERFURAÇÃO'!$AB:$AB,MATCH(MEDIÇÃO!D912,'PROJETO PERFURAÇÃO'!$B:$B,0)),1)&amp;"''","")</f>
        <v/>
      </c>
      <c r="C912" s="3" t="str">
        <f>IFERROR(IF(INDEX('PROJETO PERFURAÇÃO'!$P:$P,MATCH(MEDIÇÃO!D912,'PROJETO PERFURAÇÃO'!$B:$B,0))="Production","P",IF(INDEX('PROJETO PERFURAÇÃO'!$P:$P,MATCH(MEDIÇÃO!D912,'PROJETO PERFURAÇÃO'!$B:$B,0))="Buffer","B",IF(INDEX('PROJETO PERFURAÇÃO'!$P:$P,MATCH(MEDIÇÃO!D912,'PROJETO PERFURAÇÃO'!$B:$B,0))="Pre-Splitting","S"))),"")</f>
        <v/>
      </c>
      <c r="D912" s="14">
        <f t="shared" si="87"/>
        <v>2010</v>
      </c>
      <c r="E912" s="4" t="str">
        <f>IFERROR(INDEX('LEV R&amp;D'!$D:$D,MATCH(MEDIÇÃO!D912,'LEV R&amp;D'!$A:$A,0))-INDEX('PROJETO PERFURAÇÃO'!$AH:$AH,MATCH(MEDIÇÃO!D912,'PROJETO PERFURAÇÃO'!$B:$B,0)),"")</f>
        <v/>
      </c>
      <c r="F912" s="8" t="str">
        <f>IFERROR(INDEX('PROJETO PERFURAÇÃO'!$AN:$AN,MATCH(MEDIÇÃO!D912,'PROJETO PERFURAÇÃO'!$B:$B,0)),"")</f>
        <v/>
      </c>
      <c r="G912" s="3"/>
      <c r="H912" s="3"/>
      <c r="I912" s="3" t="str">
        <f>IFERROR(ROUND(INDEX('PROJETO PERFURAÇÃO'!$AB:$AB,MATCH(MEDIÇÃO!K912,'PROJETO PERFURAÇÃO'!$B:$B,0)),1)&amp;"''","")</f>
        <v/>
      </c>
      <c r="J912" s="3" t="str">
        <f>IFERROR(IF(INDEX('PROJETO PERFURAÇÃO'!$P:$P,MATCH(MEDIÇÃO!K912,'PROJETO PERFURAÇÃO'!$B:$B,0))="Production","P",IF(INDEX('PROJETO PERFURAÇÃO'!$P:$P,MATCH(MEDIÇÃO!K912,'PROJETO PERFURAÇÃO'!$B:$B,0))="Buffer","B",IF(INDEX('PROJETO PERFURAÇÃO'!$P:$P,MATCH(MEDIÇÃO!K912,'PROJETO PERFURAÇÃO'!$B:$B,0))="Pre-Splitting","S"))),"")</f>
        <v/>
      </c>
      <c r="K912" s="14">
        <f t="shared" si="88"/>
        <v>2033</v>
      </c>
      <c r="L912" s="4" t="str">
        <f>IFERROR(INDEX('LEV R&amp;D'!$D:$D,MATCH(MEDIÇÃO!K912,'LEV R&amp;D'!$A:$A,0))-INDEX('PROJETO PERFURAÇÃO'!$AH:$AH,MATCH(MEDIÇÃO!K912,'PROJETO PERFURAÇÃO'!$B:$B,0)),"")</f>
        <v/>
      </c>
      <c r="M912" s="8" t="str">
        <f>IFERROR(INDEX('PROJETO PERFURAÇÃO'!$AN:$AN,MATCH(MEDIÇÃO!K912,'PROJETO PERFURAÇÃO'!$B:$B,0)),"")</f>
        <v/>
      </c>
      <c r="N912" s="3"/>
      <c r="O912" s="3"/>
      <c r="P912" s="3" t="str">
        <f>IFERROR(ROUND(INDEX('PROJETO PERFURAÇÃO'!$AB:$AB,MATCH(MEDIÇÃO!R912,'PROJETO PERFURAÇÃO'!$B:$B,0)),1)&amp;"''","")</f>
        <v/>
      </c>
      <c r="Q912" s="3" t="str">
        <f>IFERROR(IF(INDEX('PROJETO PERFURAÇÃO'!$P:$P,MATCH(MEDIÇÃO!R912,'PROJETO PERFURAÇÃO'!$B:$B,0))="Production","P",IF(INDEX('PROJETO PERFURAÇÃO'!$P:$P,MATCH(MEDIÇÃO!R912,'PROJETO PERFURAÇÃO'!$B:$B,0))="Buffer","B",IF(INDEX('PROJETO PERFURAÇÃO'!$P:$P,MATCH(MEDIÇÃO!R912,'PROJETO PERFURAÇÃO'!$B:$B,0))="Pre-Splitting","S"))),"")</f>
        <v/>
      </c>
      <c r="R912" s="14">
        <f t="shared" si="89"/>
        <v>2056</v>
      </c>
      <c r="S912" s="4" t="str">
        <f>IFERROR(INDEX('LEV R&amp;D'!$D:$D,MATCH(MEDIÇÃO!R912,'LEV R&amp;D'!$A:$A,0))-INDEX('PROJETO PERFURAÇÃO'!$AH:$AH,MATCH(MEDIÇÃO!R912,'PROJETO PERFURAÇÃO'!$B:$B,0)),"")</f>
        <v/>
      </c>
      <c r="T912" s="8" t="str">
        <f>IFERROR(INDEX('PROJETO PERFURAÇÃO'!$AN:$AN,MATCH(MEDIÇÃO!R912,'PROJETO PERFURAÇÃO'!$B:$B,0)),"")</f>
        <v/>
      </c>
      <c r="U912" s="3"/>
      <c r="V912" s="3"/>
    </row>
    <row r="913" spans="2:22" ht="45" customHeight="1" x14ac:dyDescent="0.25">
      <c r="B913" s="3" t="str">
        <f>IFERROR(ROUND(INDEX('PROJETO PERFURAÇÃO'!$AB:$AB,MATCH(MEDIÇÃO!D913,'PROJETO PERFURAÇÃO'!$B:$B,0)),1)&amp;"''","")</f>
        <v/>
      </c>
      <c r="C913" s="3" t="str">
        <f>IFERROR(IF(INDEX('PROJETO PERFURAÇÃO'!$P:$P,MATCH(MEDIÇÃO!D913,'PROJETO PERFURAÇÃO'!$B:$B,0))="Production","P",IF(INDEX('PROJETO PERFURAÇÃO'!$P:$P,MATCH(MEDIÇÃO!D913,'PROJETO PERFURAÇÃO'!$B:$B,0))="Buffer","B",IF(INDEX('PROJETO PERFURAÇÃO'!$P:$P,MATCH(MEDIÇÃO!D913,'PROJETO PERFURAÇÃO'!$B:$B,0))="Pre-Splitting","S"))),"")</f>
        <v/>
      </c>
      <c r="D913" s="14">
        <f t="shared" si="87"/>
        <v>2011</v>
      </c>
      <c r="E913" s="4" t="str">
        <f>IFERROR(INDEX('LEV R&amp;D'!$D:$D,MATCH(MEDIÇÃO!D913,'LEV R&amp;D'!$A:$A,0))-INDEX('PROJETO PERFURAÇÃO'!$AH:$AH,MATCH(MEDIÇÃO!D913,'PROJETO PERFURAÇÃO'!$B:$B,0)),"")</f>
        <v/>
      </c>
      <c r="F913" s="8" t="str">
        <f>IFERROR(INDEX('PROJETO PERFURAÇÃO'!$AN:$AN,MATCH(MEDIÇÃO!D913,'PROJETO PERFURAÇÃO'!$B:$B,0)),"")</f>
        <v/>
      </c>
      <c r="G913" s="3"/>
      <c r="H913" s="3"/>
      <c r="I913" s="3" t="str">
        <f>IFERROR(ROUND(INDEX('PROJETO PERFURAÇÃO'!$AB:$AB,MATCH(MEDIÇÃO!K913,'PROJETO PERFURAÇÃO'!$B:$B,0)),1)&amp;"''","")</f>
        <v/>
      </c>
      <c r="J913" s="3" t="str">
        <f>IFERROR(IF(INDEX('PROJETO PERFURAÇÃO'!$P:$P,MATCH(MEDIÇÃO!K913,'PROJETO PERFURAÇÃO'!$B:$B,0))="Production","P",IF(INDEX('PROJETO PERFURAÇÃO'!$P:$P,MATCH(MEDIÇÃO!K913,'PROJETO PERFURAÇÃO'!$B:$B,0))="Buffer","B",IF(INDEX('PROJETO PERFURAÇÃO'!$P:$P,MATCH(MEDIÇÃO!K913,'PROJETO PERFURAÇÃO'!$B:$B,0))="Pre-Splitting","S"))),"")</f>
        <v/>
      </c>
      <c r="K913" s="14">
        <f t="shared" si="88"/>
        <v>2034</v>
      </c>
      <c r="L913" s="4" t="str">
        <f>IFERROR(INDEX('LEV R&amp;D'!$D:$D,MATCH(MEDIÇÃO!K913,'LEV R&amp;D'!$A:$A,0))-INDEX('PROJETO PERFURAÇÃO'!$AH:$AH,MATCH(MEDIÇÃO!K913,'PROJETO PERFURAÇÃO'!$B:$B,0)),"")</f>
        <v/>
      </c>
      <c r="M913" s="8" t="str">
        <f>IFERROR(INDEX('PROJETO PERFURAÇÃO'!$AN:$AN,MATCH(MEDIÇÃO!K913,'PROJETO PERFURAÇÃO'!$B:$B,0)),"")</f>
        <v/>
      </c>
      <c r="N913" s="3"/>
      <c r="O913" s="3"/>
      <c r="P913" s="3" t="str">
        <f>IFERROR(ROUND(INDEX('PROJETO PERFURAÇÃO'!$AB:$AB,MATCH(MEDIÇÃO!R913,'PROJETO PERFURAÇÃO'!$B:$B,0)),1)&amp;"''","")</f>
        <v/>
      </c>
      <c r="Q913" s="3" t="str">
        <f>IFERROR(IF(INDEX('PROJETO PERFURAÇÃO'!$P:$P,MATCH(MEDIÇÃO!R913,'PROJETO PERFURAÇÃO'!$B:$B,0))="Production","P",IF(INDEX('PROJETO PERFURAÇÃO'!$P:$P,MATCH(MEDIÇÃO!R913,'PROJETO PERFURAÇÃO'!$B:$B,0))="Buffer","B",IF(INDEX('PROJETO PERFURAÇÃO'!$P:$P,MATCH(MEDIÇÃO!R913,'PROJETO PERFURAÇÃO'!$B:$B,0))="Pre-Splitting","S"))),"")</f>
        <v/>
      </c>
      <c r="R913" s="14">
        <f t="shared" si="89"/>
        <v>2057</v>
      </c>
      <c r="S913" s="4" t="str">
        <f>IFERROR(INDEX('LEV R&amp;D'!$D:$D,MATCH(MEDIÇÃO!R913,'LEV R&amp;D'!$A:$A,0))-INDEX('PROJETO PERFURAÇÃO'!$AH:$AH,MATCH(MEDIÇÃO!R913,'PROJETO PERFURAÇÃO'!$B:$B,0)),"")</f>
        <v/>
      </c>
      <c r="T913" s="8" t="str">
        <f>IFERROR(INDEX('PROJETO PERFURAÇÃO'!$AN:$AN,MATCH(MEDIÇÃO!R913,'PROJETO PERFURAÇÃO'!$B:$B,0)),"")</f>
        <v/>
      </c>
      <c r="U913" s="3"/>
      <c r="V913" s="3"/>
    </row>
    <row r="914" spans="2:22" ht="45" customHeight="1" x14ac:dyDescent="0.25">
      <c r="B914" s="3" t="str">
        <f>IFERROR(ROUND(INDEX('PROJETO PERFURAÇÃO'!$AB:$AB,MATCH(MEDIÇÃO!D914,'PROJETO PERFURAÇÃO'!$B:$B,0)),1)&amp;"''","")</f>
        <v/>
      </c>
      <c r="C914" s="3" t="str">
        <f>IFERROR(IF(INDEX('PROJETO PERFURAÇÃO'!$P:$P,MATCH(MEDIÇÃO!D914,'PROJETO PERFURAÇÃO'!$B:$B,0))="Production","P",IF(INDEX('PROJETO PERFURAÇÃO'!$P:$P,MATCH(MEDIÇÃO!D914,'PROJETO PERFURAÇÃO'!$B:$B,0))="Buffer","B",IF(INDEX('PROJETO PERFURAÇÃO'!$P:$P,MATCH(MEDIÇÃO!D914,'PROJETO PERFURAÇÃO'!$B:$B,0))="Pre-Splitting","S"))),"")</f>
        <v/>
      </c>
      <c r="D914" s="14">
        <f t="shared" si="87"/>
        <v>2012</v>
      </c>
      <c r="E914" s="4" t="str">
        <f>IFERROR(INDEX('LEV R&amp;D'!$D:$D,MATCH(MEDIÇÃO!D914,'LEV R&amp;D'!$A:$A,0))-INDEX('PROJETO PERFURAÇÃO'!$AH:$AH,MATCH(MEDIÇÃO!D914,'PROJETO PERFURAÇÃO'!$B:$B,0)),"")</f>
        <v/>
      </c>
      <c r="F914" s="8" t="str">
        <f>IFERROR(INDEX('PROJETO PERFURAÇÃO'!$AN:$AN,MATCH(MEDIÇÃO!D914,'PROJETO PERFURAÇÃO'!$B:$B,0)),"")</f>
        <v/>
      </c>
      <c r="G914" s="3"/>
      <c r="H914" s="3"/>
      <c r="I914" s="3" t="str">
        <f>IFERROR(ROUND(INDEX('PROJETO PERFURAÇÃO'!$AB:$AB,MATCH(MEDIÇÃO!K914,'PROJETO PERFURAÇÃO'!$B:$B,0)),1)&amp;"''","")</f>
        <v/>
      </c>
      <c r="J914" s="3" t="str">
        <f>IFERROR(IF(INDEX('PROJETO PERFURAÇÃO'!$P:$P,MATCH(MEDIÇÃO!K914,'PROJETO PERFURAÇÃO'!$B:$B,0))="Production","P",IF(INDEX('PROJETO PERFURAÇÃO'!$P:$P,MATCH(MEDIÇÃO!K914,'PROJETO PERFURAÇÃO'!$B:$B,0))="Buffer","B",IF(INDEX('PROJETO PERFURAÇÃO'!$P:$P,MATCH(MEDIÇÃO!K914,'PROJETO PERFURAÇÃO'!$B:$B,0))="Pre-Splitting","S"))),"")</f>
        <v/>
      </c>
      <c r="K914" s="14">
        <f t="shared" si="88"/>
        <v>2035</v>
      </c>
      <c r="L914" s="4" t="str">
        <f>IFERROR(INDEX('LEV R&amp;D'!$D:$D,MATCH(MEDIÇÃO!K914,'LEV R&amp;D'!$A:$A,0))-INDEX('PROJETO PERFURAÇÃO'!$AH:$AH,MATCH(MEDIÇÃO!K914,'PROJETO PERFURAÇÃO'!$B:$B,0)),"")</f>
        <v/>
      </c>
      <c r="M914" s="8" t="str">
        <f>IFERROR(INDEX('PROJETO PERFURAÇÃO'!$AN:$AN,MATCH(MEDIÇÃO!K914,'PROJETO PERFURAÇÃO'!$B:$B,0)),"")</f>
        <v/>
      </c>
      <c r="N914" s="3"/>
      <c r="O914" s="3"/>
      <c r="P914" s="3" t="str">
        <f>IFERROR(ROUND(INDEX('PROJETO PERFURAÇÃO'!$AB:$AB,MATCH(MEDIÇÃO!R914,'PROJETO PERFURAÇÃO'!$B:$B,0)),1)&amp;"''","")</f>
        <v/>
      </c>
      <c r="Q914" s="3" t="str">
        <f>IFERROR(IF(INDEX('PROJETO PERFURAÇÃO'!$P:$P,MATCH(MEDIÇÃO!R914,'PROJETO PERFURAÇÃO'!$B:$B,0))="Production","P",IF(INDEX('PROJETO PERFURAÇÃO'!$P:$P,MATCH(MEDIÇÃO!R914,'PROJETO PERFURAÇÃO'!$B:$B,0))="Buffer","B",IF(INDEX('PROJETO PERFURAÇÃO'!$P:$P,MATCH(MEDIÇÃO!R914,'PROJETO PERFURAÇÃO'!$B:$B,0))="Pre-Splitting","S"))),"")</f>
        <v/>
      </c>
      <c r="R914" s="14">
        <f t="shared" si="89"/>
        <v>2058</v>
      </c>
      <c r="S914" s="4" t="str">
        <f>IFERROR(INDEX('LEV R&amp;D'!$D:$D,MATCH(MEDIÇÃO!R914,'LEV R&amp;D'!$A:$A,0))-INDEX('PROJETO PERFURAÇÃO'!$AH:$AH,MATCH(MEDIÇÃO!R914,'PROJETO PERFURAÇÃO'!$B:$B,0)),"")</f>
        <v/>
      </c>
      <c r="T914" s="8" t="str">
        <f>IFERROR(INDEX('PROJETO PERFURAÇÃO'!$AN:$AN,MATCH(MEDIÇÃO!R914,'PROJETO PERFURAÇÃO'!$B:$B,0)),"")</f>
        <v/>
      </c>
      <c r="U914" s="3"/>
      <c r="V914" s="3"/>
    </row>
    <row r="915" spans="2:22" ht="45" customHeight="1" x14ac:dyDescent="0.25">
      <c r="B915" s="3" t="str">
        <f>IFERROR(ROUND(INDEX('PROJETO PERFURAÇÃO'!$AB:$AB,MATCH(MEDIÇÃO!D915,'PROJETO PERFURAÇÃO'!$B:$B,0)),1)&amp;"''","")</f>
        <v/>
      </c>
      <c r="C915" s="3" t="str">
        <f>IFERROR(IF(INDEX('PROJETO PERFURAÇÃO'!$P:$P,MATCH(MEDIÇÃO!D915,'PROJETO PERFURAÇÃO'!$B:$B,0))="Production","P",IF(INDEX('PROJETO PERFURAÇÃO'!$P:$P,MATCH(MEDIÇÃO!D915,'PROJETO PERFURAÇÃO'!$B:$B,0))="Buffer","B",IF(INDEX('PROJETO PERFURAÇÃO'!$P:$P,MATCH(MEDIÇÃO!D915,'PROJETO PERFURAÇÃO'!$B:$B,0))="Pre-Splitting","S"))),"")</f>
        <v/>
      </c>
      <c r="D915" s="14">
        <f t="shared" si="87"/>
        <v>2013</v>
      </c>
      <c r="E915" s="4" t="str">
        <f>IFERROR(INDEX('LEV R&amp;D'!$D:$D,MATCH(MEDIÇÃO!D915,'LEV R&amp;D'!$A:$A,0))-INDEX('PROJETO PERFURAÇÃO'!$AH:$AH,MATCH(MEDIÇÃO!D915,'PROJETO PERFURAÇÃO'!$B:$B,0)),"")</f>
        <v/>
      </c>
      <c r="F915" s="8" t="str">
        <f>IFERROR(INDEX('PROJETO PERFURAÇÃO'!$AN:$AN,MATCH(MEDIÇÃO!D915,'PROJETO PERFURAÇÃO'!$B:$B,0)),"")</f>
        <v/>
      </c>
      <c r="G915" s="3"/>
      <c r="H915" s="3"/>
      <c r="I915" s="3" t="str">
        <f>IFERROR(ROUND(INDEX('PROJETO PERFURAÇÃO'!$AB:$AB,MATCH(MEDIÇÃO!K915,'PROJETO PERFURAÇÃO'!$B:$B,0)),1)&amp;"''","")</f>
        <v/>
      </c>
      <c r="J915" s="3" t="str">
        <f>IFERROR(IF(INDEX('PROJETO PERFURAÇÃO'!$P:$P,MATCH(MEDIÇÃO!K915,'PROJETO PERFURAÇÃO'!$B:$B,0))="Production","P",IF(INDEX('PROJETO PERFURAÇÃO'!$P:$P,MATCH(MEDIÇÃO!K915,'PROJETO PERFURAÇÃO'!$B:$B,0))="Buffer","B",IF(INDEX('PROJETO PERFURAÇÃO'!$P:$P,MATCH(MEDIÇÃO!K915,'PROJETO PERFURAÇÃO'!$B:$B,0))="Pre-Splitting","S"))),"")</f>
        <v/>
      </c>
      <c r="K915" s="14">
        <f t="shared" si="88"/>
        <v>2036</v>
      </c>
      <c r="L915" s="4" t="str">
        <f>IFERROR(INDEX('LEV R&amp;D'!$D:$D,MATCH(MEDIÇÃO!K915,'LEV R&amp;D'!$A:$A,0))-INDEX('PROJETO PERFURAÇÃO'!$AH:$AH,MATCH(MEDIÇÃO!K915,'PROJETO PERFURAÇÃO'!$B:$B,0)),"")</f>
        <v/>
      </c>
      <c r="M915" s="8" t="str">
        <f>IFERROR(INDEX('PROJETO PERFURAÇÃO'!$AN:$AN,MATCH(MEDIÇÃO!K915,'PROJETO PERFURAÇÃO'!$B:$B,0)),"")</f>
        <v/>
      </c>
      <c r="N915" s="3"/>
      <c r="O915" s="3"/>
      <c r="P915" s="3" t="str">
        <f>IFERROR(ROUND(INDEX('PROJETO PERFURAÇÃO'!$AB:$AB,MATCH(MEDIÇÃO!R915,'PROJETO PERFURAÇÃO'!$B:$B,0)),1)&amp;"''","")</f>
        <v/>
      </c>
      <c r="Q915" s="3" t="str">
        <f>IFERROR(IF(INDEX('PROJETO PERFURAÇÃO'!$P:$P,MATCH(MEDIÇÃO!R915,'PROJETO PERFURAÇÃO'!$B:$B,0))="Production","P",IF(INDEX('PROJETO PERFURAÇÃO'!$P:$P,MATCH(MEDIÇÃO!R915,'PROJETO PERFURAÇÃO'!$B:$B,0))="Buffer","B",IF(INDEX('PROJETO PERFURAÇÃO'!$P:$P,MATCH(MEDIÇÃO!R915,'PROJETO PERFURAÇÃO'!$B:$B,0))="Pre-Splitting","S"))),"")</f>
        <v/>
      </c>
      <c r="R915" s="14">
        <f t="shared" si="89"/>
        <v>2059</v>
      </c>
      <c r="S915" s="4" t="str">
        <f>IFERROR(INDEX('LEV R&amp;D'!$D:$D,MATCH(MEDIÇÃO!R915,'LEV R&amp;D'!$A:$A,0))-INDEX('PROJETO PERFURAÇÃO'!$AH:$AH,MATCH(MEDIÇÃO!R915,'PROJETO PERFURAÇÃO'!$B:$B,0)),"")</f>
        <v/>
      </c>
      <c r="T915" s="8" t="str">
        <f>IFERROR(INDEX('PROJETO PERFURAÇÃO'!$AN:$AN,MATCH(MEDIÇÃO!R915,'PROJETO PERFURAÇÃO'!$B:$B,0)),"")</f>
        <v/>
      </c>
      <c r="U915" s="3"/>
      <c r="V915" s="3"/>
    </row>
    <row r="916" spans="2:22" ht="45" customHeight="1" x14ac:dyDescent="0.25">
      <c r="B916" s="3" t="str">
        <f>IFERROR(ROUND(INDEX('PROJETO PERFURAÇÃO'!$AB:$AB,MATCH(MEDIÇÃO!D916,'PROJETO PERFURAÇÃO'!$B:$B,0)),1)&amp;"''","")</f>
        <v/>
      </c>
      <c r="C916" s="3" t="str">
        <f>IFERROR(IF(INDEX('PROJETO PERFURAÇÃO'!$P:$P,MATCH(MEDIÇÃO!D916,'PROJETO PERFURAÇÃO'!$B:$B,0))="Production","P",IF(INDEX('PROJETO PERFURAÇÃO'!$P:$P,MATCH(MEDIÇÃO!D916,'PROJETO PERFURAÇÃO'!$B:$B,0))="Buffer","B",IF(INDEX('PROJETO PERFURAÇÃO'!$P:$P,MATCH(MEDIÇÃO!D916,'PROJETO PERFURAÇÃO'!$B:$B,0))="Pre-Splitting","S"))),"")</f>
        <v/>
      </c>
      <c r="D916" s="14">
        <f t="shared" si="87"/>
        <v>2014</v>
      </c>
      <c r="E916" s="4" t="str">
        <f>IFERROR(INDEX('LEV R&amp;D'!$D:$D,MATCH(MEDIÇÃO!D916,'LEV R&amp;D'!$A:$A,0))-INDEX('PROJETO PERFURAÇÃO'!$AH:$AH,MATCH(MEDIÇÃO!D916,'PROJETO PERFURAÇÃO'!$B:$B,0)),"")</f>
        <v/>
      </c>
      <c r="F916" s="8" t="str">
        <f>IFERROR(INDEX('PROJETO PERFURAÇÃO'!$AN:$AN,MATCH(MEDIÇÃO!D916,'PROJETO PERFURAÇÃO'!$B:$B,0)),"")</f>
        <v/>
      </c>
      <c r="G916" s="3"/>
      <c r="H916" s="3"/>
      <c r="I916" s="3" t="str">
        <f>IFERROR(ROUND(INDEX('PROJETO PERFURAÇÃO'!$AB:$AB,MATCH(MEDIÇÃO!K916,'PROJETO PERFURAÇÃO'!$B:$B,0)),1)&amp;"''","")</f>
        <v/>
      </c>
      <c r="J916" s="3" t="str">
        <f>IFERROR(IF(INDEX('PROJETO PERFURAÇÃO'!$P:$P,MATCH(MEDIÇÃO!K916,'PROJETO PERFURAÇÃO'!$B:$B,0))="Production","P",IF(INDEX('PROJETO PERFURAÇÃO'!$P:$P,MATCH(MEDIÇÃO!K916,'PROJETO PERFURAÇÃO'!$B:$B,0))="Buffer","B",IF(INDEX('PROJETO PERFURAÇÃO'!$P:$P,MATCH(MEDIÇÃO!K916,'PROJETO PERFURAÇÃO'!$B:$B,0))="Pre-Splitting","S"))),"")</f>
        <v/>
      </c>
      <c r="K916" s="14">
        <f t="shared" si="88"/>
        <v>2037</v>
      </c>
      <c r="L916" s="4" t="str">
        <f>IFERROR(INDEX('LEV R&amp;D'!$D:$D,MATCH(MEDIÇÃO!K916,'LEV R&amp;D'!$A:$A,0))-INDEX('PROJETO PERFURAÇÃO'!$AH:$AH,MATCH(MEDIÇÃO!K916,'PROJETO PERFURAÇÃO'!$B:$B,0)),"")</f>
        <v/>
      </c>
      <c r="M916" s="8" t="str">
        <f>IFERROR(INDEX('PROJETO PERFURAÇÃO'!$AN:$AN,MATCH(MEDIÇÃO!K916,'PROJETO PERFURAÇÃO'!$B:$B,0)),"")</f>
        <v/>
      </c>
      <c r="N916" s="3"/>
      <c r="O916" s="3"/>
      <c r="P916" s="3" t="str">
        <f>IFERROR(ROUND(INDEX('PROJETO PERFURAÇÃO'!$AB:$AB,MATCH(MEDIÇÃO!R916,'PROJETO PERFURAÇÃO'!$B:$B,0)),1)&amp;"''","")</f>
        <v/>
      </c>
      <c r="Q916" s="3" t="str">
        <f>IFERROR(IF(INDEX('PROJETO PERFURAÇÃO'!$P:$P,MATCH(MEDIÇÃO!R916,'PROJETO PERFURAÇÃO'!$B:$B,0))="Production","P",IF(INDEX('PROJETO PERFURAÇÃO'!$P:$P,MATCH(MEDIÇÃO!R916,'PROJETO PERFURAÇÃO'!$B:$B,0))="Buffer","B",IF(INDEX('PROJETO PERFURAÇÃO'!$P:$P,MATCH(MEDIÇÃO!R916,'PROJETO PERFURAÇÃO'!$B:$B,0))="Pre-Splitting","S"))),"")</f>
        <v/>
      </c>
      <c r="R916" s="14">
        <f t="shared" si="89"/>
        <v>2060</v>
      </c>
      <c r="S916" s="4" t="str">
        <f>IFERROR(INDEX('LEV R&amp;D'!$D:$D,MATCH(MEDIÇÃO!R916,'LEV R&amp;D'!$A:$A,0))-INDEX('PROJETO PERFURAÇÃO'!$AH:$AH,MATCH(MEDIÇÃO!R916,'PROJETO PERFURAÇÃO'!$B:$B,0)),"")</f>
        <v/>
      </c>
      <c r="T916" s="8" t="str">
        <f>IFERROR(INDEX('PROJETO PERFURAÇÃO'!$AN:$AN,MATCH(MEDIÇÃO!R916,'PROJETO PERFURAÇÃO'!$B:$B,0)),"")</f>
        <v/>
      </c>
      <c r="U916" s="3"/>
      <c r="V916" s="3"/>
    </row>
    <row r="917" spans="2:22" ht="45" customHeight="1" x14ac:dyDescent="0.25">
      <c r="B917" s="3" t="str">
        <f>IFERROR(ROUND(INDEX('PROJETO PERFURAÇÃO'!$AB:$AB,MATCH(MEDIÇÃO!D917,'PROJETO PERFURAÇÃO'!$B:$B,0)),1)&amp;"''","")</f>
        <v/>
      </c>
      <c r="C917" s="3" t="str">
        <f>IFERROR(IF(INDEX('PROJETO PERFURAÇÃO'!$P:$P,MATCH(MEDIÇÃO!D917,'PROJETO PERFURAÇÃO'!$B:$B,0))="Production","P",IF(INDEX('PROJETO PERFURAÇÃO'!$P:$P,MATCH(MEDIÇÃO!D917,'PROJETO PERFURAÇÃO'!$B:$B,0))="Buffer","B",IF(INDEX('PROJETO PERFURAÇÃO'!$P:$P,MATCH(MEDIÇÃO!D917,'PROJETO PERFURAÇÃO'!$B:$B,0))="Pre-Splitting","S"))),"")</f>
        <v/>
      </c>
      <c r="D917" s="14">
        <f t="shared" si="87"/>
        <v>2015</v>
      </c>
      <c r="E917" s="4" t="str">
        <f>IFERROR(INDEX('LEV R&amp;D'!$D:$D,MATCH(MEDIÇÃO!D917,'LEV R&amp;D'!$A:$A,0))-INDEX('PROJETO PERFURAÇÃO'!$AH:$AH,MATCH(MEDIÇÃO!D917,'PROJETO PERFURAÇÃO'!$B:$B,0)),"")</f>
        <v/>
      </c>
      <c r="F917" s="8" t="str">
        <f>IFERROR(INDEX('PROJETO PERFURAÇÃO'!$AN:$AN,MATCH(MEDIÇÃO!D917,'PROJETO PERFURAÇÃO'!$B:$B,0)),"")</f>
        <v/>
      </c>
      <c r="G917" s="3"/>
      <c r="H917" s="3"/>
      <c r="I917" s="3" t="str">
        <f>IFERROR(ROUND(INDEX('PROJETO PERFURAÇÃO'!$AB:$AB,MATCH(MEDIÇÃO!K917,'PROJETO PERFURAÇÃO'!$B:$B,0)),1)&amp;"''","")</f>
        <v/>
      </c>
      <c r="J917" s="3" t="str">
        <f>IFERROR(IF(INDEX('PROJETO PERFURAÇÃO'!$P:$P,MATCH(MEDIÇÃO!K917,'PROJETO PERFURAÇÃO'!$B:$B,0))="Production","P",IF(INDEX('PROJETO PERFURAÇÃO'!$P:$P,MATCH(MEDIÇÃO!K917,'PROJETO PERFURAÇÃO'!$B:$B,0))="Buffer","B",IF(INDEX('PROJETO PERFURAÇÃO'!$P:$P,MATCH(MEDIÇÃO!K917,'PROJETO PERFURAÇÃO'!$B:$B,0))="Pre-Splitting","S"))),"")</f>
        <v/>
      </c>
      <c r="K917" s="14">
        <f t="shared" si="88"/>
        <v>2038</v>
      </c>
      <c r="L917" s="4" t="str">
        <f>IFERROR(INDEX('LEV R&amp;D'!$D:$D,MATCH(MEDIÇÃO!K917,'LEV R&amp;D'!$A:$A,0))-INDEX('PROJETO PERFURAÇÃO'!$AH:$AH,MATCH(MEDIÇÃO!K917,'PROJETO PERFURAÇÃO'!$B:$B,0)),"")</f>
        <v/>
      </c>
      <c r="M917" s="8" t="str">
        <f>IFERROR(INDEX('PROJETO PERFURAÇÃO'!$AN:$AN,MATCH(MEDIÇÃO!K917,'PROJETO PERFURAÇÃO'!$B:$B,0)),"")</f>
        <v/>
      </c>
      <c r="N917" s="3"/>
      <c r="O917" s="3"/>
      <c r="P917" s="3" t="str">
        <f>IFERROR(ROUND(INDEX('PROJETO PERFURAÇÃO'!$AB:$AB,MATCH(MEDIÇÃO!R917,'PROJETO PERFURAÇÃO'!$B:$B,0)),1)&amp;"''","")</f>
        <v/>
      </c>
      <c r="Q917" s="3" t="str">
        <f>IFERROR(IF(INDEX('PROJETO PERFURAÇÃO'!$P:$P,MATCH(MEDIÇÃO!R917,'PROJETO PERFURAÇÃO'!$B:$B,0))="Production","P",IF(INDEX('PROJETO PERFURAÇÃO'!$P:$P,MATCH(MEDIÇÃO!R917,'PROJETO PERFURAÇÃO'!$B:$B,0))="Buffer","B",IF(INDEX('PROJETO PERFURAÇÃO'!$P:$P,MATCH(MEDIÇÃO!R917,'PROJETO PERFURAÇÃO'!$B:$B,0))="Pre-Splitting","S"))),"")</f>
        <v/>
      </c>
      <c r="R917" s="14">
        <f t="shared" si="89"/>
        <v>2061</v>
      </c>
      <c r="S917" s="4" t="str">
        <f>IFERROR(INDEX('LEV R&amp;D'!$D:$D,MATCH(MEDIÇÃO!R917,'LEV R&amp;D'!$A:$A,0))-INDEX('PROJETO PERFURAÇÃO'!$AH:$AH,MATCH(MEDIÇÃO!R917,'PROJETO PERFURAÇÃO'!$B:$B,0)),"")</f>
        <v/>
      </c>
      <c r="T917" s="8" t="str">
        <f>IFERROR(INDEX('PROJETO PERFURAÇÃO'!$AN:$AN,MATCH(MEDIÇÃO!R917,'PROJETO PERFURAÇÃO'!$B:$B,0)),"")</f>
        <v/>
      </c>
      <c r="U917" s="3"/>
      <c r="V917" s="3"/>
    </row>
    <row r="918" spans="2:22" ht="45" customHeight="1" x14ac:dyDescent="0.25">
      <c r="B918" s="3" t="str">
        <f>IFERROR(ROUND(INDEX('PROJETO PERFURAÇÃO'!$AB:$AB,MATCH(MEDIÇÃO!D918,'PROJETO PERFURAÇÃO'!$B:$B,0)),1)&amp;"''","")</f>
        <v/>
      </c>
      <c r="C918" s="3" t="str">
        <f>IFERROR(IF(INDEX('PROJETO PERFURAÇÃO'!$P:$P,MATCH(MEDIÇÃO!D918,'PROJETO PERFURAÇÃO'!$B:$B,0))="Production","P",IF(INDEX('PROJETO PERFURAÇÃO'!$P:$P,MATCH(MEDIÇÃO!D918,'PROJETO PERFURAÇÃO'!$B:$B,0))="Buffer","B",IF(INDEX('PROJETO PERFURAÇÃO'!$P:$P,MATCH(MEDIÇÃO!D918,'PROJETO PERFURAÇÃO'!$B:$B,0))="Pre-Splitting","S"))),"")</f>
        <v/>
      </c>
      <c r="D918" s="14">
        <f t="shared" si="87"/>
        <v>2016</v>
      </c>
      <c r="E918" s="4" t="str">
        <f>IFERROR(INDEX('LEV R&amp;D'!$D:$D,MATCH(MEDIÇÃO!D918,'LEV R&amp;D'!$A:$A,0))-INDEX('PROJETO PERFURAÇÃO'!$AH:$AH,MATCH(MEDIÇÃO!D918,'PROJETO PERFURAÇÃO'!$B:$B,0)),"")</f>
        <v/>
      </c>
      <c r="F918" s="8" t="str">
        <f>IFERROR(INDEX('PROJETO PERFURAÇÃO'!$AN:$AN,MATCH(MEDIÇÃO!D918,'PROJETO PERFURAÇÃO'!$B:$B,0)),"")</f>
        <v/>
      </c>
      <c r="G918" s="3"/>
      <c r="H918" s="3"/>
      <c r="I918" s="3" t="str">
        <f>IFERROR(ROUND(INDEX('PROJETO PERFURAÇÃO'!$AB:$AB,MATCH(MEDIÇÃO!K918,'PROJETO PERFURAÇÃO'!$B:$B,0)),1)&amp;"''","")</f>
        <v/>
      </c>
      <c r="J918" s="3" t="str">
        <f>IFERROR(IF(INDEX('PROJETO PERFURAÇÃO'!$P:$P,MATCH(MEDIÇÃO!K918,'PROJETO PERFURAÇÃO'!$B:$B,0))="Production","P",IF(INDEX('PROJETO PERFURAÇÃO'!$P:$P,MATCH(MEDIÇÃO!K918,'PROJETO PERFURAÇÃO'!$B:$B,0))="Buffer","B",IF(INDEX('PROJETO PERFURAÇÃO'!$P:$P,MATCH(MEDIÇÃO!K918,'PROJETO PERFURAÇÃO'!$B:$B,0))="Pre-Splitting","S"))),"")</f>
        <v/>
      </c>
      <c r="K918" s="14">
        <f t="shared" si="88"/>
        <v>2039</v>
      </c>
      <c r="L918" s="4" t="str">
        <f>IFERROR(INDEX('LEV R&amp;D'!$D:$D,MATCH(MEDIÇÃO!K918,'LEV R&amp;D'!$A:$A,0))-INDEX('PROJETO PERFURAÇÃO'!$AH:$AH,MATCH(MEDIÇÃO!K918,'PROJETO PERFURAÇÃO'!$B:$B,0)),"")</f>
        <v/>
      </c>
      <c r="M918" s="8" t="str">
        <f>IFERROR(INDEX('PROJETO PERFURAÇÃO'!$AN:$AN,MATCH(MEDIÇÃO!K918,'PROJETO PERFURAÇÃO'!$B:$B,0)),"")</f>
        <v/>
      </c>
      <c r="N918" s="3"/>
      <c r="O918" s="3"/>
      <c r="P918" s="3" t="str">
        <f>IFERROR(ROUND(INDEX('PROJETO PERFURAÇÃO'!$AB:$AB,MATCH(MEDIÇÃO!R918,'PROJETO PERFURAÇÃO'!$B:$B,0)),1)&amp;"''","")</f>
        <v/>
      </c>
      <c r="Q918" s="3" t="str">
        <f>IFERROR(IF(INDEX('PROJETO PERFURAÇÃO'!$P:$P,MATCH(MEDIÇÃO!R918,'PROJETO PERFURAÇÃO'!$B:$B,0))="Production","P",IF(INDEX('PROJETO PERFURAÇÃO'!$P:$P,MATCH(MEDIÇÃO!R918,'PROJETO PERFURAÇÃO'!$B:$B,0))="Buffer","B",IF(INDEX('PROJETO PERFURAÇÃO'!$P:$P,MATCH(MEDIÇÃO!R918,'PROJETO PERFURAÇÃO'!$B:$B,0))="Pre-Splitting","S"))),"")</f>
        <v/>
      </c>
      <c r="R918" s="14">
        <f t="shared" si="89"/>
        <v>2062</v>
      </c>
      <c r="S918" s="4" t="str">
        <f>IFERROR(INDEX('LEV R&amp;D'!$D:$D,MATCH(MEDIÇÃO!R918,'LEV R&amp;D'!$A:$A,0))-INDEX('PROJETO PERFURAÇÃO'!$AH:$AH,MATCH(MEDIÇÃO!R918,'PROJETO PERFURAÇÃO'!$B:$B,0)),"")</f>
        <v/>
      </c>
      <c r="T918" s="8" t="str">
        <f>IFERROR(INDEX('PROJETO PERFURAÇÃO'!$AN:$AN,MATCH(MEDIÇÃO!R918,'PROJETO PERFURAÇÃO'!$B:$B,0)),"")</f>
        <v/>
      </c>
      <c r="U918" s="3"/>
      <c r="V918" s="3"/>
    </row>
    <row r="919" spans="2:22" ht="45" customHeight="1" x14ac:dyDescent="0.25">
      <c r="B919" s="3" t="str">
        <f>IFERROR(ROUND(INDEX('PROJETO PERFURAÇÃO'!$AB:$AB,MATCH(MEDIÇÃO!D919,'PROJETO PERFURAÇÃO'!$B:$B,0)),1)&amp;"''","")</f>
        <v/>
      </c>
      <c r="C919" s="3" t="str">
        <f>IFERROR(IF(INDEX('PROJETO PERFURAÇÃO'!$P:$P,MATCH(MEDIÇÃO!D919,'PROJETO PERFURAÇÃO'!$B:$B,0))="Production","P",IF(INDEX('PROJETO PERFURAÇÃO'!$P:$P,MATCH(MEDIÇÃO!D919,'PROJETO PERFURAÇÃO'!$B:$B,0))="Buffer","B",IF(INDEX('PROJETO PERFURAÇÃO'!$P:$P,MATCH(MEDIÇÃO!D919,'PROJETO PERFURAÇÃO'!$B:$B,0))="Pre-Splitting","S"))),"")</f>
        <v/>
      </c>
      <c r="D919" s="14">
        <f t="shared" si="87"/>
        <v>2017</v>
      </c>
      <c r="E919" s="4" t="str">
        <f>IFERROR(INDEX('LEV R&amp;D'!$D:$D,MATCH(MEDIÇÃO!D919,'LEV R&amp;D'!$A:$A,0))-INDEX('PROJETO PERFURAÇÃO'!$AH:$AH,MATCH(MEDIÇÃO!D919,'PROJETO PERFURAÇÃO'!$B:$B,0)),"")</f>
        <v/>
      </c>
      <c r="F919" s="8" t="str">
        <f>IFERROR(INDEX('PROJETO PERFURAÇÃO'!$AN:$AN,MATCH(MEDIÇÃO!D919,'PROJETO PERFURAÇÃO'!$B:$B,0)),"")</f>
        <v/>
      </c>
      <c r="G919" s="3"/>
      <c r="H919" s="3"/>
      <c r="I919" s="3" t="str">
        <f>IFERROR(ROUND(INDEX('PROJETO PERFURAÇÃO'!$AB:$AB,MATCH(MEDIÇÃO!K919,'PROJETO PERFURAÇÃO'!$B:$B,0)),1)&amp;"''","")</f>
        <v/>
      </c>
      <c r="J919" s="3" t="str">
        <f>IFERROR(IF(INDEX('PROJETO PERFURAÇÃO'!$P:$P,MATCH(MEDIÇÃO!K919,'PROJETO PERFURAÇÃO'!$B:$B,0))="Production","P",IF(INDEX('PROJETO PERFURAÇÃO'!$P:$P,MATCH(MEDIÇÃO!K919,'PROJETO PERFURAÇÃO'!$B:$B,0))="Buffer","B",IF(INDEX('PROJETO PERFURAÇÃO'!$P:$P,MATCH(MEDIÇÃO!K919,'PROJETO PERFURAÇÃO'!$B:$B,0))="Pre-Splitting","S"))),"")</f>
        <v/>
      </c>
      <c r="K919" s="14">
        <f t="shared" si="88"/>
        <v>2040</v>
      </c>
      <c r="L919" s="4" t="str">
        <f>IFERROR(INDEX('LEV R&amp;D'!$D:$D,MATCH(MEDIÇÃO!K919,'LEV R&amp;D'!$A:$A,0))-INDEX('PROJETO PERFURAÇÃO'!$AH:$AH,MATCH(MEDIÇÃO!K919,'PROJETO PERFURAÇÃO'!$B:$B,0)),"")</f>
        <v/>
      </c>
      <c r="M919" s="8" t="str">
        <f>IFERROR(INDEX('PROJETO PERFURAÇÃO'!$AN:$AN,MATCH(MEDIÇÃO!K919,'PROJETO PERFURAÇÃO'!$B:$B,0)),"")</f>
        <v/>
      </c>
      <c r="N919" s="3"/>
      <c r="O919" s="3"/>
      <c r="P919" s="3" t="str">
        <f>IFERROR(ROUND(INDEX('PROJETO PERFURAÇÃO'!$AB:$AB,MATCH(MEDIÇÃO!R919,'PROJETO PERFURAÇÃO'!$B:$B,0)),1)&amp;"''","")</f>
        <v/>
      </c>
      <c r="Q919" s="3" t="str">
        <f>IFERROR(IF(INDEX('PROJETO PERFURAÇÃO'!$P:$P,MATCH(MEDIÇÃO!R919,'PROJETO PERFURAÇÃO'!$B:$B,0))="Production","P",IF(INDEX('PROJETO PERFURAÇÃO'!$P:$P,MATCH(MEDIÇÃO!R919,'PROJETO PERFURAÇÃO'!$B:$B,0))="Buffer","B",IF(INDEX('PROJETO PERFURAÇÃO'!$P:$P,MATCH(MEDIÇÃO!R919,'PROJETO PERFURAÇÃO'!$B:$B,0))="Pre-Splitting","S"))),"")</f>
        <v/>
      </c>
      <c r="R919" s="14">
        <f t="shared" si="89"/>
        <v>2063</v>
      </c>
      <c r="S919" s="4" t="str">
        <f>IFERROR(INDEX('LEV R&amp;D'!$D:$D,MATCH(MEDIÇÃO!R919,'LEV R&amp;D'!$A:$A,0))-INDEX('PROJETO PERFURAÇÃO'!$AH:$AH,MATCH(MEDIÇÃO!R919,'PROJETO PERFURAÇÃO'!$B:$B,0)),"")</f>
        <v/>
      </c>
      <c r="T919" s="8" t="str">
        <f>IFERROR(INDEX('PROJETO PERFURAÇÃO'!$AN:$AN,MATCH(MEDIÇÃO!R919,'PROJETO PERFURAÇÃO'!$B:$B,0)),"")</f>
        <v/>
      </c>
      <c r="U919" s="3"/>
      <c r="V919" s="3"/>
    </row>
    <row r="920" spans="2:22" ht="45" customHeight="1" x14ac:dyDescent="0.25">
      <c r="B920" s="3" t="str">
        <f>IFERROR(ROUND(INDEX('PROJETO PERFURAÇÃO'!$AB:$AB,MATCH(MEDIÇÃO!D920,'PROJETO PERFURAÇÃO'!$B:$B,0)),1)&amp;"''","")</f>
        <v/>
      </c>
      <c r="C920" s="3" t="str">
        <f>IFERROR(IF(INDEX('PROJETO PERFURAÇÃO'!$P:$P,MATCH(MEDIÇÃO!D920,'PROJETO PERFURAÇÃO'!$B:$B,0))="Production","P",IF(INDEX('PROJETO PERFURAÇÃO'!$P:$P,MATCH(MEDIÇÃO!D920,'PROJETO PERFURAÇÃO'!$B:$B,0))="Buffer","B",IF(INDEX('PROJETO PERFURAÇÃO'!$P:$P,MATCH(MEDIÇÃO!D920,'PROJETO PERFURAÇÃO'!$B:$B,0))="Pre-Splitting","S"))),"")</f>
        <v/>
      </c>
      <c r="D920" s="14">
        <f t="shared" si="87"/>
        <v>2018</v>
      </c>
      <c r="E920" s="4" t="str">
        <f>IFERROR(INDEX('LEV R&amp;D'!$D:$D,MATCH(MEDIÇÃO!D920,'LEV R&amp;D'!$A:$A,0))-INDEX('PROJETO PERFURAÇÃO'!$AH:$AH,MATCH(MEDIÇÃO!D920,'PROJETO PERFURAÇÃO'!$B:$B,0)),"")</f>
        <v/>
      </c>
      <c r="F920" s="8" t="str">
        <f>IFERROR(INDEX('PROJETO PERFURAÇÃO'!$AN:$AN,MATCH(MEDIÇÃO!D920,'PROJETO PERFURAÇÃO'!$B:$B,0)),"")</f>
        <v/>
      </c>
      <c r="G920" s="3"/>
      <c r="H920" s="3"/>
      <c r="I920" s="3" t="str">
        <f>IFERROR(ROUND(INDEX('PROJETO PERFURAÇÃO'!$AB:$AB,MATCH(MEDIÇÃO!K920,'PROJETO PERFURAÇÃO'!$B:$B,0)),1)&amp;"''","")</f>
        <v/>
      </c>
      <c r="J920" s="3" t="str">
        <f>IFERROR(IF(INDEX('PROJETO PERFURAÇÃO'!$P:$P,MATCH(MEDIÇÃO!K920,'PROJETO PERFURAÇÃO'!$B:$B,0))="Production","P",IF(INDEX('PROJETO PERFURAÇÃO'!$P:$P,MATCH(MEDIÇÃO!K920,'PROJETO PERFURAÇÃO'!$B:$B,0))="Buffer","B",IF(INDEX('PROJETO PERFURAÇÃO'!$P:$P,MATCH(MEDIÇÃO!K920,'PROJETO PERFURAÇÃO'!$B:$B,0))="Pre-Splitting","S"))),"")</f>
        <v/>
      </c>
      <c r="K920" s="14">
        <f t="shared" si="88"/>
        <v>2041</v>
      </c>
      <c r="L920" s="4" t="str">
        <f>IFERROR(INDEX('LEV R&amp;D'!$D:$D,MATCH(MEDIÇÃO!K920,'LEV R&amp;D'!$A:$A,0))-INDEX('PROJETO PERFURAÇÃO'!$AH:$AH,MATCH(MEDIÇÃO!K920,'PROJETO PERFURAÇÃO'!$B:$B,0)),"")</f>
        <v/>
      </c>
      <c r="M920" s="8" t="str">
        <f>IFERROR(INDEX('PROJETO PERFURAÇÃO'!$AN:$AN,MATCH(MEDIÇÃO!K920,'PROJETO PERFURAÇÃO'!$B:$B,0)),"")</f>
        <v/>
      </c>
      <c r="N920" s="3"/>
      <c r="O920" s="3"/>
      <c r="P920" s="3" t="str">
        <f>IFERROR(ROUND(INDEX('PROJETO PERFURAÇÃO'!$AB:$AB,MATCH(MEDIÇÃO!R920,'PROJETO PERFURAÇÃO'!$B:$B,0)),1)&amp;"''","")</f>
        <v/>
      </c>
      <c r="Q920" s="3" t="str">
        <f>IFERROR(IF(INDEX('PROJETO PERFURAÇÃO'!$P:$P,MATCH(MEDIÇÃO!R920,'PROJETO PERFURAÇÃO'!$B:$B,0))="Production","P",IF(INDEX('PROJETO PERFURAÇÃO'!$P:$P,MATCH(MEDIÇÃO!R920,'PROJETO PERFURAÇÃO'!$B:$B,0))="Buffer","B",IF(INDEX('PROJETO PERFURAÇÃO'!$P:$P,MATCH(MEDIÇÃO!R920,'PROJETO PERFURAÇÃO'!$B:$B,0))="Pre-Splitting","S"))),"")</f>
        <v/>
      </c>
      <c r="R920" s="14">
        <f t="shared" si="89"/>
        <v>2064</v>
      </c>
      <c r="S920" s="4" t="str">
        <f>IFERROR(INDEX('LEV R&amp;D'!$D:$D,MATCH(MEDIÇÃO!R920,'LEV R&amp;D'!$A:$A,0))-INDEX('PROJETO PERFURAÇÃO'!$AH:$AH,MATCH(MEDIÇÃO!R920,'PROJETO PERFURAÇÃO'!$B:$B,0)),"")</f>
        <v/>
      </c>
      <c r="T920" s="8" t="str">
        <f>IFERROR(INDEX('PROJETO PERFURAÇÃO'!$AN:$AN,MATCH(MEDIÇÃO!R920,'PROJETO PERFURAÇÃO'!$B:$B,0)),"")</f>
        <v/>
      </c>
      <c r="U920" s="3"/>
      <c r="V920" s="3"/>
    </row>
    <row r="921" spans="2:22" ht="45" customHeight="1" x14ac:dyDescent="0.25">
      <c r="B921" s="3" t="str">
        <f>IFERROR(ROUND(INDEX('PROJETO PERFURAÇÃO'!$AB:$AB,MATCH(MEDIÇÃO!D921,'PROJETO PERFURAÇÃO'!$B:$B,0)),1)&amp;"''","")</f>
        <v/>
      </c>
      <c r="C921" s="3" t="str">
        <f>IFERROR(IF(INDEX('PROJETO PERFURAÇÃO'!$P:$P,MATCH(MEDIÇÃO!D921,'PROJETO PERFURAÇÃO'!$B:$B,0))="Production","P",IF(INDEX('PROJETO PERFURAÇÃO'!$P:$P,MATCH(MEDIÇÃO!D921,'PROJETO PERFURAÇÃO'!$B:$B,0))="Buffer","B",IF(INDEX('PROJETO PERFURAÇÃO'!$P:$P,MATCH(MEDIÇÃO!D921,'PROJETO PERFURAÇÃO'!$B:$B,0))="Pre-Splitting","S"))),"")</f>
        <v/>
      </c>
      <c r="D921" s="14">
        <f t="shared" si="87"/>
        <v>2019</v>
      </c>
      <c r="E921" s="4" t="str">
        <f>IFERROR(INDEX('LEV R&amp;D'!$D:$D,MATCH(MEDIÇÃO!D921,'LEV R&amp;D'!$A:$A,0))-INDEX('PROJETO PERFURAÇÃO'!$AH:$AH,MATCH(MEDIÇÃO!D921,'PROJETO PERFURAÇÃO'!$B:$B,0)),"")</f>
        <v/>
      </c>
      <c r="F921" s="8" t="str">
        <f>IFERROR(INDEX('PROJETO PERFURAÇÃO'!$AN:$AN,MATCH(MEDIÇÃO!D921,'PROJETO PERFURAÇÃO'!$B:$B,0)),"")</f>
        <v/>
      </c>
      <c r="G921" s="3"/>
      <c r="H921" s="3"/>
      <c r="I921" s="3" t="str">
        <f>IFERROR(ROUND(INDEX('PROJETO PERFURAÇÃO'!$AB:$AB,MATCH(MEDIÇÃO!K921,'PROJETO PERFURAÇÃO'!$B:$B,0)),1)&amp;"''","")</f>
        <v/>
      </c>
      <c r="J921" s="3" t="str">
        <f>IFERROR(IF(INDEX('PROJETO PERFURAÇÃO'!$P:$P,MATCH(MEDIÇÃO!K921,'PROJETO PERFURAÇÃO'!$B:$B,0))="Production","P",IF(INDEX('PROJETO PERFURAÇÃO'!$P:$P,MATCH(MEDIÇÃO!K921,'PROJETO PERFURAÇÃO'!$B:$B,0))="Buffer","B",IF(INDEX('PROJETO PERFURAÇÃO'!$P:$P,MATCH(MEDIÇÃO!K921,'PROJETO PERFURAÇÃO'!$B:$B,0))="Pre-Splitting","S"))),"")</f>
        <v/>
      </c>
      <c r="K921" s="14">
        <f t="shared" si="88"/>
        <v>2042</v>
      </c>
      <c r="L921" s="4" t="str">
        <f>IFERROR(INDEX('LEV R&amp;D'!$D:$D,MATCH(MEDIÇÃO!K921,'LEV R&amp;D'!$A:$A,0))-INDEX('PROJETO PERFURAÇÃO'!$AH:$AH,MATCH(MEDIÇÃO!K921,'PROJETO PERFURAÇÃO'!$B:$B,0)),"")</f>
        <v/>
      </c>
      <c r="M921" s="8" t="str">
        <f>IFERROR(INDEX('PROJETO PERFURAÇÃO'!$AN:$AN,MATCH(MEDIÇÃO!K921,'PROJETO PERFURAÇÃO'!$B:$B,0)),"")</f>
        <v/>
      </c>
      <c r="N921" s="3"/>
      <c r="O921" s="3"/>
      <c r="P921" s="3" t="str">
        <f>IFERROR(ROUND(INDEX('PROJETO PERFURAÇÃO'!$AB:$AB,MATCH(MEDIÇÃO!R921,'PROJETO PERFURAÇÃO'!$B:$B,0)),1)&amp;"''","")</f>
        <v/>
      </c>
      <c r="Q921" s="3" t="str">
        <f>IFERROR(IF(INDEX('PROJETO PERFURAÇÃO'!$P:$P,MATCH(MEDIÇÃO!R921,'PROJETO PERFURAÇÃO'!$B:$B,0))="Production","P",IF(INDEX('PROJETO PERFURAÇÃO'!$P:$P,MATCH(MEDIÇÃO!R921,'PROJETO PERFURAÇÃO'!$B:$B,0))="Buffer","B",IF(INDEX('PROJETO PERFURAÇÃO'!$P:$P,MATCH(MEDIÇÃO!R921,'PROJETO PERFURAÇÃO'!$B:$B,0))="Pre-Splitting","S"))),"")</f>
        <v/>
      </c>
      <c r="R921" s="14">
        <f t="shared" si="89"/>
        <v>2065</v>
      </c>
      <c r="S921" s="4" t="str">
        <f>IFERROR(INDEX('LEV R&amp;D'!$D:$D,MATCH(MEDIÇÃO!R921,'LEV R&amp;D'!$A:$A,0))-INDEX('PROJETO PERFURAÇÃO'!$AH:$AH,MATCH(MEDIÇÃO!R921,'PROJETO PERFURAÇÃO'!$B:$B,0)),"")</f>
        <v/>
      </c>
      <c r="T921" s="8" t="str">
        <f>IFERROR(INDEX('PROJETO PERFURAÇÃO'!$AN:$AN,MATCH(MEDIÇÃO!R921,'PROJETO PERFURAÇÃO'!$B:$B,0)),"")</f>
        <v/>
      </c>
      <c r="U921" s="3"/>
      <c r="V921" s="3"/>
    </row>
    <row r="922" spans="2:22" ht="45" customHeight="1" x14ac:dyDescent="0.25">
      <c r="B922" s="3" t="str">
        <f>IFERROR(ROUND(INDEX('PROJETO PERFURAÇÃO'!$AB:$AB,MATCH(MEDIÇÃO!D922,'PROJETO PERFURAÇÃO'!$B:$B,0)),1)&amp;"''","")</f>
        <v/>
      </c>
      <c r="C922" s="3" t="str">
        <f>IFERROR(IF(INDEX('PROJETO PERFURAÇÃO'!$P:$P,MATCH(MEDIÇÃO!D922,'PROJETO PERFURAÇÃO'!$B:$B,0))="Production","P",IF(INDEX('PROJETO PERFURAÇÃO'!$P:$P,MATCH(MEDIÇÃO!D922,'PROJETO PERFURAÇÃO'!$B:$B,0))="Buffer","B",IF(INDEX('PROJETO PERFURAÇÃO'!$P:$P,MATCH(MEDIÇÃO!D922,'PROJETO PERFURAÇÃO'!$B:$B,0))="Pre-Splitting","S"))),"")</f>
        <v/>
      </c>
      <c r="D922" s="14">
        <f t="shared" si="87"/>
        <v>2020</v>
      </c>
      <c r="E922" s="4" t="str">
        <f>IFERROR(INDEX('LEV R&amp;D'!$D:$D,MATCH(MEDIÇÃO!D922,'LEV R&amp;D'!$A:$A,0))-INDEX('PROJETO PERFURAÇÃO'!$AH:$AH,MATCH(MEDIÇÃO!D922,'PROJETO PERFURAÇÃO'!$B:$B,0)),"")</f>
        <v/>
      </c>
      <c r="F922" s="8" t="str">
        <f>IFERROR(INDEX('PROJETO PERFURAÇÃO'!$AN:$AN,MATCH(MEDIÇÃO!D922,'PROJETO PERFURAÇÃO'!$B:$B,0)),"")</f>
        <v/>
      </c>
      <c r="G922" s="3"/>
      <c r="H922" s="3"/>
      <c r="I922" s="3" t="str">
        <f>IFERROR(ROUND(INDEX('PROJETO PERFURAÇÃO'!$AB:$AB,MATCH(MEDIÇÃO!K922,'PROJETO PERFURAÇÃO'!$B:$B,0)),1)&amp;"''","")</f>
        <v/>
      </c>
      <c r="J922" s="3" t="str">
        <f>IFERROR(IF(INDEX('PROJETO PERFURAÇÃO'!$P:$P,MATCH(MEDIÇÃO!K922,'PROJETO PERFURAÇÃO'!$B:$B,0))="Production","P",IF(INDEX('PROJETO PERFURAÇÃO'!$P:$P,MATCH(MEDIÇÃO!K922,'PROJETO PERFURAÇÃO'!$B:$B,0))="Buffer","B",IF(INDEX('PROJETO PERFURAÇÃO'!$P:$P,MATCH(MEDIÇÃO!K922,'PROJETO PERFURAÇÃO'!$B:$B,0))="Pre-Splitting","S"))),"")</f>
        <v/>
      </c>
      <c r="K922" s="14">
        <f t="shared" si="88"/>
        <v>2043</v>
      </c>
      <c r="L922" s="4" t="str">
        <f>IFERROR(INDEX('LEV R&amp;D'!$D:$D,MATCH(MEDIÇÃO!K922,'LEV R&amp;D'!$A:$A,0))-INDEX('PROJETO PERFURAÇÃO'!$AH:$AH,MATCH(MEDIÇÃO!K922,'PROJETO PERFURAÇÃO'!$B:$B,0)),"")</f>
        <v/>
      </c>
      <c r="M922" s="8" t="str">
        <f>IFERROR(INDEX('PROJETO PERFURAÇÃO'!$AN:$AN,MATCH(MEDIÇÃO!K922,'PROJETO PERFURAÇÃO'!$B:$B,0)),"")</f>
        <v/>
      </c>
      <c r="N922" s="3"/>
      <c r="O922" s="3"/>
      <c r="P922" s="3" t="str">
        <f>IFERROR(ROUND(INDEX('PROJETO PERFURAÇÃO'!$AB:$AB,MATCH(MEDIÇÃO!R922,'PROJETO PERFURAÇÃO'!$B:$B,0)),1)&amp;"''","")</f>
        <v/>
      </c>
      <c r="Q922" s="3" t="str">
        <f>IFERROR(IF(INDEX('PROJETO PERFURAÇÃO'!$P:$P,MATCH(MEDIÇÃO!R922,'PROJETO PERFURAÇÃO'!$B:$B,0))="Production","P",IF(INDEX('PROJETO PERFURAÇÃO'!$P:$P,MATCH(MEDIÇÃO!R922,'PROJETO PERFURAÇÃO'!$B:$B,0))="Buffer","B",IF(INDEX('PROJETO PERFURAÇÃO'!$P:$P,MATCH(MEDIÇÃO!R922,'PROJETO PERFURAÇÃO'!$B:$B,0))="Pre-Splitting","S"))),"")</f>
        <v/>
      </c>
      <c r="R922" s="14">
        <f t="shared" si="89"/>
        <v>2066</v>
      </c>
      <c r="S922" s="4" t="str">
        <f>IFERROR(INDEX('LEV R&amp;D'!$D:$D,MATCH(MEDIÇÃO!R922,'LEV R&amp;D'!$A:$A,0))-INDEX('PROJETO PERFURAÇÃO'!$AH:$AH,MATCH(MEDIÇÃO!R922,'PROJETO PERFURAÇÃO'!$B:$B,0)),"")</f>
        <v/>
      </c>
      <c r="T922" s="8" t="str">
        <f>IFERROR(INDEX('PROJETO PERFURAÇÃO'!$AN:$AN,MATCH(MEDIÇÃO!R922,'PROJETO PERFURAÇÃO'!$B:$B,0)),"")</f>
        <v/>
      </c>
      <c r="U922" s="3"/>
      <c r="V922" s="3"/>
    </row>
    <row r="923" spans="2:22" ht="45" customHeight="1" x14ac:dyDescent="0.25">
      <c r="B923" s="3" t="str">
        <f>IFERROR(ROUND(INDEX('PROJETO PERFURAÇÃO'!$AB:$AB,MATCH(MEDIÇÃO!D923,'PROJETO PERFURAÇÃO'!$B:$B,0)),1)&amp;"''","")</f>
        <v/>
      </c>
      <c r="C923" s="3" t="str">
        <f>IFERROR(IF(INDEX('PROJETO PERFURAÇÃO'!$P:$P,MATCH(MEDIÇÃO!D923,'PROJETO PERFURAÇÃO'!$B:$B,0))="Production","P",IF(INDEX('PROJETO PERFURAÇÃO'!$P:$P,MATCH(MEDIÇÃO!D923,'PROJETO PERFURAÇÃO'!$B:$B,0))="Buffer","B",IF(INDEX('PROJETO PERFURAÇÃO'!$P:$P,MATCH(MEDIÇÃO!D923,'PROJETO PERFURAÇÃO'!$B:$B,0))="Pre-Splitting","S"))),"")</f>
        <v/>
      </c>
      <c r="D923" s="14">
        <f t="shared" si="87"/>
        <v>2021</v>
      </c>
      <c r="E923" s="4" t="str">
        <f>IFERROR(INDEX('LEV R&amp;D'!$D:$D,MATCH(MEDIÇÃO!D923,'LEV R&amp;D'!$A:$A,0))-INDEX('PROJETO PERFURAÇÃO'!$AH:$AH,MATCH(MEDIÇÃO!D923,'PROJETO PERFURAÇÃO'!$B:$B,0)),"")</f>
        <v/>
      </c>
      <c r="F923" s="8" t="str">
        <f>IFERROR(INDEX('PROJETO PERFURAÇÃO'!$AN:$AN,MATCH(MEDIÇÃO!D923,'PROJETO PERFURAÇÃO'!$B:$B,0)),"")</f>
        <v/>
      </c>
      <c r="G923" s="3"/>
      <c r="H923" s="3"/>
      <c r="I923" s="3" t="str">
        <f>IFERROR(ROUND(INDEX('PROJETO PERFURAÇÃO'!$AB:$AB,MATCH(MEDIÇÃO!K923,'PROJETO PERFURAÇÃO'!$B:$B,0)),1)&amp;"''","")</f>
        <v/>
      </c>
      <c r="J923" s="3" t="str">
        <f>IFERROR(IF(INDEX('PROJETO PERFURAÇÃO'!$P:$P,MATCH(MEDIÇÃO!K923,'PROJETO PERFURAÇÃO'!$B:$B,0))="Production","P",IF(INDEX('PROJETO PERFURAÇÃO'!$P:$P,MATCH(MEDIÇÃO!K923,'PROJETO PERFURAÇÃO'!$B:$B,0))="Buffer","B",IF(INDEX('PROJETO PERFURAÇÃO'!$P:$P,MATCH(MEDIÇÃO!K923,'PROJETO PERFURAÇÃO'!$B:$B,0))="Pre-Splitting","S"))),"")</f>
        <v/>
      </c>
      <c r="K923" s="14">
        <f t="shared" si="88"/>
        <v>2044</v>
      </c>
      <c r="L923" s="4" t="str">
        <f>IFERROR(INDEX('LEV R&amp;D'!$D:$D,MATCH(MEDIÇÃO!K923,'LEV R&amp;D'!$A:$A,0))-INDEX('PROJETO PERFURAÇÃO'!$AH:$AH,MATCH(MEDIÇÃO!K923,'PROJETO PERFURAÇÃO'!$B:$B,0)),"")</f>
        <v/>
      </c>
      <c r="M923" s="8" t="str">
        <f>IFERROR(INDEX('PROJETO PERFURAÇÃO'!$AN:$AN,MATCH(MEDIÇÃO!K923,'PROJETO PERFURAÇÃO'!$B:$B,0)),"")</f>
        <v/>
      </c>
      <c r="N923" s="3"/>
      <c r="O923" s="3"/>
      <c r="P923" s="3" t="str">
        <f>IFERROR(ROUND(INDEX('PROJETO PERFURAÇÃO'!$AB:$AB,MATCH(MEDIÇÃO!R923,'PROJETO PERFURAÇÃO'!$B:$B,0)),1)&amp;"''","")</f>
        <v/>
      </c>
      <c r="Q923" s="3" t="str">
        <f>IFERROR(IF(INDEX('PROJETO PERFURAÇÃO'!$P:$P,MATCH(MEDIÇÃO!R923,'PROJETO PERFURAÇÃO'!$B:$B,0))="Production","P",IF(INDEX('PROJETO PERFURAÇÃO'!$P:$P,MATCH(MEDIÇÃO!R923,'PROJETO PERFURAÇÃO'!$B:$B,0))="Buffer","B",IF(INDEX('PROJETO PERFURAÇÃO'!$P:$P,MATCH(MEDIÇÃO!R923,'PROJETO PERFURAÇÃO'!$B:$B,0))="Pre-Splitting","S"))),"")</f>
        <v/>
      </c>
      <c r="R923" s="14">
        <f t="shared" si="89"/>
        <v>2067</v>
      </c>
      <c r="S923" s="4" t="str">
        <f>IFERROR(INDEX('LEV R&amp;D'!$D:$D,MATCH(MEDIÇÃO!R923,'LEV R&amp;D'!$A:$A,0))-INDEX('PROJETO PERFURAÇÃO'!$AH:$AH,MATCH(MEDIÇÃO!R923,'PROJETO PERFURAÇÃO'!$B:$B,0)),"")</f>
        <v/>
      </c>
      <c r="T923" s="8" t="str">
        <f>IFERROR(INDEX('PROJETO PERFURAÇÃO'!$AN:$AN,MATCH(MEDIÇÃO!R923,'PROJETO PERFURAÇÃO'!$B:$B,0)),"")</f>
        <v/>
      </c>
      <c r="U923" s="3"/>
      <c r="V923" s="3"/>
    </row>
    <row r="924" spans="2:22" ht="45" customHeight="1" x14ac:dyDescent="0.25">
      <c r="B924" s="3" t="str">
        <f>IFERROR(ROUND(INDEX('PROJETO PERFURAÇÃO'!$AB:$AB,MATCH(MEDIÇÃO!D924,'PROJETO PERFURAÇÃO'!$B:$B,0)),1)&amp;"''","")</f>
        <v/>
      </c>
      <c r="C924" s="3" t="str">
        <f>IFERROR(IF(INDEX('PROJETO PERFURAÇÃO'!$P:$P,MATCH(MEDIÇÃO!D924,'PROJETO PERFURAÇÃO'!$B:$B,0))="Production","P",IF(INDEX('PROJETO PERFURAÇÃO'!$P:$P,MATCH(MEDIÇÃO!D924,'PROJETO PERFURAÇÃO'!$B:$B,0))="Buffer","B",IF(INDEX('PROJETO PERFURAÇÃO'!$P:$P,MATCH(MEDIÇÃO!D924,'PROJETO PERFURAÇÃO'!$B:$B,0))="Pre-Splitting","S"))),"")</f>
        <v/>
      </c>
      <c r="D924" s="14">
        <f t="shared" si="87"/>
        <v>2022</v>
      </c>
      <c r="E924" s="4" t="str">
        <f>IFERROR(INDEX('LEV R&amp;D'!$D:$D,MATCH(MEDIÇÃO!D924,'LEV R&amp;D'!$A:$A,0))-INDEX('PROJETO PERFURAÇÃO'!$AH:$AH,MATCH(MEDIÇÃO!D924,'PROJETO PERFURAÇÃO'!$B:$B,0)),"")</f>
        <v/>
      </c>
      <c r="F924" s="8" t="str">
        <f>IFERROR(INDEX('PROJETO PERFURAÇÃO'!$AN:$AN,MATCH(MEDIÇÃO!D924,'PROJETO PERFURAÇÃO'!$B:$B,0)),"")</f>
        <v/>
      </c>
      <c r="G924" s="3"/>
      <c r="H924" s="3"/>
      <c r="I924" s="3" t="str">
        <f>IFERROR(ROUND(INDEX('PROJETO PERFURAÇÃO'!$AB:$AB,MATCH(MEDIÇÃO!K924,'PROJETO PERFURAÇÃO'!$B:$B,0)),1)&amp;"''","")</f>
        <v/>
      </c>
      <c r="J924" s="3" t="str">
        <f>IFERROR(IF(INDEX('PROJETO PERFURAÇÃO'!$P:$P,MATCH(MEDIÇÃO!K924,'PROJETO PERFURAÇÃO'!$B:$B,0))="Production","P",IF(INDEX('PROJETO PERFURAÇÃO'!$P:$P,MATCH(MEDIÇÃO!K924,'PROJETO PERFURAÇÃO'!$B:$B,0))="Buffer","B",IF(INDEX('PROJETO PERFURAÇÃO'!$P:$P,MATCH(MEDIÇÃO!K924,'PROJETO PERFURAÇÃO'!$B:$B,0))="Pre-Splitting","S"))),"")</f>
        <v/>
      </c>
      <c r="K924" s="14">
        <f t="shared" si="88"/>
        <v>2045</v>
      </c>
      <c r="L924" s="4" t="str">
        <f>IFERROR(INDEX('LEV R&amp;D'!$D:$D,MATCH(MEDIÇÃO!K924,'LEV R&amp;D'!$A:$A,0))-INDEX('PROJETO PERFURAÇÃO'!$AH:$AH,MATCH(MEDIÇÃO!K924,'PROJETO PERFURAÇÃO'!$B:$B,0)),"")</f>
        <v/>
      </c>
      <c r="M924" s="8" t="str">
        <f>IFERROR(INDEX('PROJETO PERFURAÇÃO'!$AN:$AN,MATCH(MEDIÇÃO!K924,'PROJETO PERFURAÇÃO'!$B:$B,0)),"")</f>
        <v/>
      </c>
      <c r="N924" s="3"/>
      <c r="O924" s="3"/>
      <c r="P924" s="3" t="str">
        <f>IFERROR(ROUND(INDEX('PROJETO PERFURAÇÃO'!$AB:$AB,MATCH(MEDIÇÃO!R924,'PROJETO PERFURAÇÃO'!$B:$B,0)),1)&amp;"''","")</f>
        <v/>
      </c>
      <c r="Q924" s="3" t="str">
        <f>IFERROR(IF(INDEX('PROJETO PERFURAÇÃO'!$P:$P,MATCH(MEDIÇÃO!R924,'PROJETO PERFURAÇÃO'!$B:$B,0))="Production","P",IF(INDEX('PROJETO PERFURAÇÃO'!$P:$P,MATCH(MEDIÇÃO!R924,'PROJETO PERFURAÇÃO'!$B:$B,0))="Buffer","B",IF(INDEX('PROJETO PERFURAÇÃO'!$P:$P,MATCH(MEDIÇÃO!R924,'PROJETO PERFURAÇÃO'!$B:$B,0))="Pre-Splitting","S"))),"")</f>
        <v/>
      </c>
      <c r="R924" s="14">
        <f t="shared" si="89"/>
        <v>2068</v>
      </c>
      <c r="S924" s="4" t="str">
        <f>IFERROR(INDEX('LEV R&amp;D'!$D:$D,MATCH(MEDIÇÃO!R924,'LEV R&amp;D'!$A:$A,0))-INDEX('PROJETO PERFURAÇÃO'!$AH:$AH,MATCH(MEDIÇÃO!R924,'PROJETO PERFURAÇÃO'!$B:$B,0)),"")</f>
        <v/>
      </c>
      <c r="T924" s="8" t="str">
        <f>IFERROR(INDEX('PROJETO PERFURAÇÃO'!$AN:$AN,MATCH(MEDIÇÃO!R924,'PROJETO PERFURAÇÃO'!$B:$B,0)),"")</f>
        <v/>
      </c>
      <c r="U924" s="3"/>
      <c r="V924" s="3"/>
    </row>
    <row r="925" spans="2:22" ht="45" customHeight="1" x14ac:dyDescent="0.25">
      <c r="B925" s="3" t="str">
        <f>IFERROR(ROUND(INDEX('PROJETO PERFURAÇÃO'!$AB:$AB,MATCH(MEDIÇÃO!D925,'PROJETO PERFURAÇÃO'!$B:$B,0)),1)&amp;"''","")</f>
        <v/>
      </c>
      <c r="C925" s="3" t="str">
        <f>IFERROR(IF(INDEX('PROJETO PERFURAÇÃO'!$P:$P,MATCH(MEDIÇÃO!D925,'PROJETO PERFURAÇÃO'!$B:$B,0))="Production","P",IF(INDEX('PROJETO PERFURAÇÃO'!$P:$P,MATCH(MEDIÇÃO!D925,'PROJETO PERFURAÇÃO'!$B:$B,0))="Buffer","B",IF(INDEX('PROJETO PERFURAÇÃO'!$P:$P,MATCH(MEDIÇÃO!D925,'PROJETO PERFURAÇÃO'!$B:$B,0))="Pre-Splitting","S"))),"")</f>
        <v/>
      </c>
      <c r="D925" s="14">
        <f t="shared" si="87"/>
        <v>2023</v>
      </c>
      <c r="E925" s="4" t="str">
        <f>IFERROR(INDEX('LEV R&amp;D'!$D:$D,MATCH(MEDIÇÃO!D925,'LEV R&amp;D'!$A:$A,0))-INDEX('PROJETO PERFURAÇÃO'!$AH:$AH,MATCH(MEDIÇÃO!D925,'PROJETO PERFURAÇÃO'!$B:$B,0)),"")</f>
        <v/>
      </c>
      <c r="F925" s="8" t="str">
        <f>IFERROR(INDEX('PROJETO PERFURAÇÃO'!$AN:$AN,MATCH(MEDIÇÃO!D925,'PROJETO PERFURAÇÃO'!$B:$B,0)),"")</f>
        <v/>
      </c>
      <c r="G925" s="3"/>
      <c r="H925" s="3"/>
      <c r="I925" s="3" t="str">
        <f>IFERROR(ROUND(INDEX('PROJETO PERFURAÇÃO'!$AB:$AB,MATCH(MEDIÇÃO!K925,'PROJETO PERFURAÇÃO'!$B:$B,0)),1)&amp;"''","")</f>
        <v/>
      </c>
      <c r="J925" s="3" t="str">
        <f>IFERROR(IF(INDEX('PROJETO PERFURAÇÃO'!$P:$P,MATCH(MEDIÇÃO!K925,'PROJETO PERFURAÇÃO'!$B:$B,0))="Production","P",IF(INDEX('PROJETO PERFURAÇÃO'!$P:$P,MATCH(MEDIÇÃO!K925,'PROJETO PERFURAÇÃO'!$B:$B,0))="Buffer","B",IF(INDEX('PROJETO PERFURAÇÃO'!$P:$P,MATCH(MEDIÇÃO!K925,'PROJETO PERFURAÇÃO'!$B:$B,0))="Pre-Splitting","S"))),"")</f>
        <v/>
      </c>
      <c r="K925" s="14">
        <f t="shared" si="88"/>
        <v>2046</v>
      </c>
      <c r="L925" s="4" t="str">
        <f>IFERROR(INDEX('LEV R&amp;D'!$D:$D,MATCH(MEDIÇÃO!K925,'LEV R&amp;D'!$A:$A,0))-INDEX('PROJETO PERFURAÇÃO'!$AH:$AH,MATCH(MEDIÇÃO!K925,'PROJETO PERFURAÇÃO'!$B:$B,0)),"")</f>
        <v/>
      </c>
      <c r="M925" s="8" t="str">
        <f>IFERROR(INDEX('PROJETO PERFURAÇÃO'!$AN:$AN,MATCH(MEDIÇÃO!K925,'PROJETO PERFURAÇÃO'!$B:$B,0)),"")</f>
        <v/>
      </c>
      <c r="N925" s="3"/>
      <c r="O925" s="3"/>
      <c r="P925" s="3" t="str">
        <f>IFERROR(ROUND(INDEX('PROJETO PERFURAÇÃO'!$AB:$AB,MATCH(MEDIÇÃO!R925,'PROJETO PERFURAÇÃO'!$B:$B,0)),1)&amp;"''","")</f>
        <v/>
      </c>
      <c r="Q925" s="3" t="str">
        <f>IFERROR(IF(INDEX('PROJETO PERFURAÇÃO'!$P:$P,MATCH(MEDIÇÃO!R925,'PROJETO PERFURAÇÃO'!$B:$B,0))="Production","P",IF(INDEX('PROJETO PERFURAÇÃO'!$P:$P,MATCH(MEDIÇÃO!R925,'PROJETO PERFURAÇÃO'!$B:$B,0))="Buffer","B",IF(INDEX('PROJETO PERFURAÇÃO'!$P:$P,MATCH(MEDIÇÃO!R925,'PROJETO PERFURAÇÃO'!$B:$B,0))="Pre-Splitting","S"))),"")</f>
        <v/>
      </c>
      <c r="R925" s="14">
        <f t="shared" si="89"/>
        <v>2069</v>
      </c>
      <c r="S925" s="4" t="str">
        <f>IFERROR(INDEX('LEV R&amp;D'!$D:$D,MATCH(MEDIÇÃO!R925,'LEV R&amp;D'!$A:$A,0))-INDEX('PROJETO PERFURAÇÃO'!$AH:$AH,MATCH(MEDIÇÃO!R925,'PROJETO PERFURAÇÃO'!$B:$B,0)),"")</f>
        <v/>
      </c>
      <c r="T925" s="8" t="str">
        <f>IFERROR(INDEX('PROJETO PERFURAÇÃO'!$AN:$AN,MATCH(MEDIÇÃO!R925,'PROJETO PERFURAÇÃO'!$B:$B,0)),"")</f>
        <v/>
      </c>
      <c r="U925" s="3"/>
      <c r="V925" s="3"/>
    </row>
    <row r="926" spans="2:22" ht="45" customHeight="1" x14ac:dyDescent="0.25">
      <c r="B926" s="3" t="str">
        <f>IFERROR(ROUND(INDEX('PROJETO PERFURAÇÃO'!$AB:$AB,MATCH(MEDIÇÃO!D926,'PROJETO PERFURAÇÃO'!$B:$B,0)),1)&amp;"''","")</f>
        <v/>
      </c>
      <c r="C926" s="3" t="str">
        <f>IFERROR(IF(INDEX('PROJETO PERFURAÇÃO'!$P:$P,MATCH(MEDIÇÃO!D926,'PROJETO PERFURAÇÃO'!$B:$B,0))="Production","P",IF(INDEX('PROJETO PERFURAÇÃO'!$P:$P,MATCH(MEDIÇÃO!D926,'PROJETO PERFURAÇÃO'!$B:$B,0))="Buffer","B",IF(INDEX('PROJETO PERFURAÇÃO'!$P:$P,MATCH(MEDIÇÃO!D926,'PROJETO PERFURAÇÃO'!$B:$B,0))="Pre-Splitting","S"))),"")</f>
        <v/>
      </c>
      <c r="D926" s="14">
        <f t="shared" si="87"/>
        <v>2024</v>
      </c>
      <c r="E926" s="4" t="str">
        <f>IFERROR(INDEX('LEV R&amp;D'!$D:$D,MATCH(MEDIÇÃO!D926,'LEV R&amp;D'!$A:$A,0))-INDEX('PROJETO PERFURAÇÃO'!$AH:$AH,MATCH(MEDIÇÃO!D926,'PROJETO PERFURAÇÃO'!$B:$B,0)),"")</f>
        <v/>
      </c>
      <c r="F926" s="8" t="str">
        <f>IFERROR(INDEX('PROJETO PERFURAÇÃO'!$AN:$AN,MATCH(MEDIÇÃO!D926,'PROJETO PERFURAÇÃO'!$B:$B,0)),"")</f>
        <v/>
      </c>
      <c r="G926" s="3"/>
      <c r="H926" s="3"/>
      <c r="I926" s="3" t="str">
        <f>IFERROR(ROUND(INDEX('PROJETO PERFURAÇÃO'!$AB:$AB,MATCH(MEDIÇÃO!K926,'PROJETO PERFURAÇÃO'!$B:$B,0)),1)&amp;"''","")</f>
        <v/>
      </c>
      <c r="J926" s="3" t="str">
        <f>IFERROR(IF(INDEX('PROJETO PERFURAÇÃO'!$P:$P,MATCH(MEDIÇÃO!K926,'PROJETO PERFURAÇÃO'!$B:$B,0))="Production","P",IF(INDEX('PROJETO PERFURAÇÃO'!$P:$P,MATCH(MEDIÇÃO!K926,'PROJETO PERFURAÇÃO'!$B:$B,0))="Buffer","B",IF(INDEX('PROJETO PERFURAÇÃO'!$P:$P,MATCH(MEDIÇÃO!K926,'PROJETO PERFURAÇÃO'!$B:$B,0))="Pre-Splitting","S"))),"")</f>
        <v/>
      </c>
      <c r="K926" s="14">
        <f>K925+1</f>
        <v>2047</v>
      </c>
      <c r="L926" s="4" t="str">
        <f>IFERROR(INDEX('LEV R&amp;D'!$D:$D,MATCH(MEDIÇÃO!K926,'LEV R&amp;D'!$A:$A,0))-INDEX('PROJETO PERFURAÇÃO'!$AH:$AH,MATCH(MEDIÇÃO!K926,'PROJETO PERFURAÇÃO'!$B:$B,0)),"")</f>
        <v/>
      </c>
      <c r="M926" s="8" t="str">
        <f>IFERROR(INDEX('PROJETO PERFURAÇÃO'!$AN:$AN,MATCH(MEDIÇÃO!K926,'PROJETO PERFURAÇÃO'!$B:$B,0)),"")</f>
        <v/>
      </c>
      <c r="N926" s="3"/>
      <c r="O926" s="3"/>
      <c r="P926" s="3" t="str">
        <f>IFERROR(ROUND(INDEX('PROJETO PERFURAÇÃO'!$AB:$AB,MATCH(MEDIÇÃO!R926,'PROJETO PERFURAÇÃO'!$B:$B,0)),1)&amp;"''","")</f>
        <v/>
      </c>
      <c r="Q926" s="3" t="str">
        <f>IFERROR(IF(INDEX('PROJETO PERFURAÇÃO'!$P:$P,MATCH(MEDIÇÃO!R926,'PROJETO PERFURAÇÃO'!$B:$B,0))="Production","P",IF(INDEX('PROJETO PERFURAÇÃO'!$P:$P,MATCH(MEDIÇÃO!R926,'PROJETO PERFURAÇÃO'!$B:$B,0))="Buffer","B",IF(INDEX('PROJETO PERFURAÇÃO'!$P:$P,MATCH(MEDIÇÃO!R926,'PROJETO PERFURAÇÃO'!$B:$B,0))="Pre-Splitting","S"))),"")</f>
        <v/>
      </c>
      <c r="R926" s="14">
        <f>R925+1</f>
        <v>2070</v>
      </c>
      <c r="S926" s="4" t="str">
        <f>IFERROR(INDEX('LEV R&amp;D'!$D:$D,MATCH(MEDIÇÃO!R926,'LEV R&amp;D'!$A:$A,0))-INDEX('PROJETO PERFURAÇÃO'!$AH:$AH,MATCH(MEDIÇÃO!R926,'PROJETO PERFURAÇÃO'!$B:$B,0)),"")</f>
        <v/>
      </c>
      <c r="T926" s="8" t="str">
        <f>IFERROR(INDEX('PROJETO PERFURAÇÃO'!$AN:$AN,MATCH(MEDIÇÃO!R926,'PROJETO PERFURAÇÃO'!$B:$B,0)),"")</f>
        <v/>
      </c>
      <c r="U926" s="3"/>
      <c r="V926" s="3"/>
    </row>
    <row r="927" spans="2:22" ht="30" customHeight="1" x14ac:dyDescent="0.25">
      <c r="B927" s="1"/>
      <c r="C927" s="1"/>
      <c r="D927" s="15"/>
      <c r="E927" s="2"/>
      <c r="F927" s="16"/>
      <c r="G927" s="1"/>
      <c r="H927" s="1"/>
      <c r="I927" s="1"/>
      <c r="J927" s="1"/>
      <c r="K927" s="15"/>
      <c r="L927" s="2"/>
      <c r="M927" s="16"/>
      <c r="N927" s="1"/>
      <c r="O927" s="1"/>
      <c r="P927" s="1"/>
      <c r="Q927" s="1"/>
      <c r="R927" s="15"/>
      <c r="S927" s="2"/>
      <c r="T927" s="16"/>
      <c r="U927" s="1"/>
      <c r="V927" s="1"/>
    </row>
    <row r="928" spans="2:22" ht="30" customHeight="1" x14ac:dyDescent="0.25">
      <c r="C928" s="20"/>
      <c r="D928" s="20"/>
      <c r="E928" s="20"/>
      <c r="F928" s="20"/>
      <c r="G928" s="20"/>
      <c r="H928" s="20"/>
      <c r="I928" s="20"/>
      <c r="J928" s="20"/>
      <c r="K928" s="20"/>
      <c r="M928" s="20"/>
      <c r="N928" s="20"/>
      <c r="O928" s="20"/>
      <c r="P928" s="20"/>
      <c r="Q928" s="20"/>
      <c r="R928" s="20"/>
      <c r="S928" s="20"/>
      <c r="T928" s="20"/>
      <c r="U928" s="20"/>
    </row>
    <row r="929" spans="1:23" ht="30" customHeight="1" x14ac:dyDescent="0.25">
      <c r="C929" s="21" t="s">
        <v>40</v>
      </c>
      <c r="D929" s="21"/>
      <c r="E929" s="21"/>
      <c r="F929" s="21"/>
      <c r="G929" s="21"/>
      <c r="H929" s="21"/>
      <c r="I929" s="21"/>
      <c r="J929" s="21"/>
      <c r="K929" s="21"/>
      <c r="L929" s="9"/>
      <c r="M929" s="21" t="s">
        <v>40</v>
      </c>
      <c r="N929" s="21"/>
      <c r="O929" s="21"/>
      <c r="P929" s="21"/>
      <c r="Q929" s="21"/>
      <c r="R929" s="21"/>
      <c r="S929" s="21"/>
      <c r="T929" s="21"/>
      <c r="U929" s="21"/>
      <c r="V929" s="9"/>
    </row>
    <row r="930" spans="1:23" ht="30" customHeight="1" x14ac:dyDescent="0.25">
      <c r="D930" s="9"/>
      <c r="E930" s="9"/>
      <c r="F930" s="9"/>
      <c r="G930" s="9"/>
      <c r="H930" s="9"/>
      <c r="I930" s="9"/>
      <c r="J930" s="9"/>
      <c r="K930" s="9"/>
      <c r="L930" s="9"/>
      <c r="M930" s="9"/>
      <c r="N930" s="9"/>
      <c r="Q930" s="9"/>
      <c r="R930" s="9"/>
      <c r="S930" s="9"/>
      <c r="T930" s="9"/>
      <c r="U930" s="9"/>
      <c r="V930" s="9"/>
    </row>
    <row r="931" spans="1:23" ht="30" customHeight="1" x14ac:dyDescent="0.25">
      <c r="B931" s="19" t="str">
        <f>'PROJETO PERFURAÇÃO'!$C$2&amp;" - "&amp;'PROJETO PERFURAÇÃO'!$H$2</f>
        <v>LIB065 - PP0651026</v>
      </c>
      <c r="C931" s="19"/>
      <c r="D931" s="19"/>
      <c r="E931" s="19"/>
      <c r="F931" s="19"/>
      <c r="G931" s="19"/>
      <c r="H931" s="19"/>
      <c r="I931" s="11" t="s">
        <v>34</v>
      </c>
      <c r="J931" s="10" t="s">
        <v>37</v>
      </c>
    </row>
    <row r="932" spans="1:23" ht="30" customHeight="1" x14ac:dyDescent="0.25">
      <c r="B932" s="19"/>
      <c r="C932" s="19"/>
      <c r="D932" s="19"/>
      <c r="E932" s="19"/>
      <c r="F932" s="19"/>
      <c r="G932" s="19"/>
      <c r="H932" s="19"/>
      <c r="I932" s="12" t="s">
        <v>35</v>
      </c>
      <c r="J932" s="10" t="s">
        <v>38</v>
      </c>
      <c r="K932" s="9"/>
      <c r="L932" s="9"/>
      <c r="M932" s="9"/>
      <c r="N932" s="9"/>
      <c r="O932" s="9"/>
      <c r="P932" s="9"/>
      <c r="Q932" s="9"/>
      <c r="R932" s="9"/>
      <c r="S932" s="9"/>
      <c r="T932" s="9"/>
      <c r="U932" s="9"/>
      <c r="V932" s="9"/>
    </row>
    <row r="933" spans="1:23" ht="30" customHeight="1" x14ac:dyDescent="0.25">
      <c r="B933" s="19"/>
      <c r="C933" s="19"/>
      <c r="D933" s="19"/>
      <c r="E933" s="19"/>
      <c r="F933" s="19"/>
      <c r="G933" s="19"/>
      <c r="H933" s="19"/>
      <c r="I933" s="13" t="s">
        <v>36</v>
      </c>
      <c r="J933" s="10" t="s">
        <v>39</v>
      </c>
    </row>
    <row r="934" spans="1:23" ht="30" customHeight="1" x14ac:dyDescent="0.25">
      <c r="A934" s="1"/>
      <c r="B934" s="6" t="s">
        <v>33</v>
      </c>
      <c r="C934" s="6" t="s">
        <v>13</v>
      </c>
      <c r="D934" s="7" t="s">
        <v>1</v>
      </c>
      <c r="E934" s="7" t="s">
        <v>29</v>
      </c>
      <c r="F934" s="7" t="s">
        <v>30</v>
      </c>
      <c r="G934" s="7" t="s">
        <v>31</v>
      </c>
      <c r="H934" s="7" t="s">
        <v>32</v>
      </c>
      <c r="I934" s="6" t="s">
        <v>33</v>
      </c>
      <c r="J934" s="6" t="s">
        <v>13</v>
      </c>
      <c r="K934" s="7" t="s">
        <v>1</v>
      </c>
      <c r="L934" s="7" t="s">
        <v>29</v>
      </c>
      <c r="M934" s="7" t="s">
        <v>30</v>
      </c>
      <c r="N934" s="7" t="s">
        <v>31</v>
      </c>
      <c r="O934" s="7" t="s">
        <v>32</v>
      </c>
      <c r="P934" s="6" t="s">
        <v>33</v>
      </c>
      <c r="Q934" s="6" t="s">
        <v>13</v>
      </c>
      <c r="R934" s="7" t="s">
        <v>1</v>
      </c>
      <c r="S934" s="7" t="s">
        <v>29</v>
      </c>
      <c r="T934" s="7" t="s">
        <v>30</v>
      </c>
      <c r="U934" s="7" t="s">
        <v>31</v>
      </c>
      <c r="V934" s="7" t="s">
        <v>32</v>
      </c>
      <c r="W934" s="1"/>
    </row>
    <row r="935" spans="1:23" ht="45" customHeight="1" x14ac:dyDescent="0.25">
      <c r="B935" s="3" t="str">
        <f>IFERROR(ROUND(INDEX('PROJETO PERFURAÇÃO'!$AB:$AB,MATCH(MEDIÇÃO!D935,'PROJETO PERFURAÇÃO'!$B:$B,0)),1)&amp;"''","")</f>
        <v/>
      </c>
      <c r="C935" s="3" t="str">
        <f>IFERROR(IF(INDEX('PROJETO PERFURAÇÃO'!$P:$P,MATCH(MEDIÇÃO!D935,'PROJETO PERFURAÇÃO'!$B:$B,0))="Production","P",IF(INDEX('PROJETO PERFURAÇÃO'!$P:$P,MATCH(MEDIÇÃO!D935,'PROJETO PERFURAÇÃO'!$B:$B,0))="Buffer","B",IF(INDEX('PROJETO PERFURAÇÃO'!$P:$P,MATCH(MEDIÇÃO!D935,'PROJETO PERFURAÇÃO'!$B:$B,0))="Pre-Splitting","S"))),"")</f>
        <v/>
      </c>
      <c r="D935" s="14">
        <f>R926+1</f>
        <v>2071</v>
      </c>
      <c r="E935" s="4" t="str">
        <f>IFERROR(INDEX('LEV R&amp;D'!$D:$D,MATCH(MEDIÇÃO!D935,'LEV R&amp;D'!$A:$A,0))-INDEX('PROJETO PERFURAÇÃO'!$AH:$AH,MATCH(MEDIÇÃO!D935,'PROJETO PERFURAÇÃO'!$B:$B,0)),"")</f>
        <v/>
      </c>
      <c r="F935" s="8" t="str">
        <f>IFERROR(INDEX('PROJETO PERFURAÇÃO'!$AN:$AN,MATCH(MEDIÇÃO!D935,'PROJETO PERFURAÇÃO'!$B:$B,0)),"")</f>
        <v/>
      </c>
      <c r="G935" s="3"/>
      <c r="H935" s="3"/>
      <c r="I935" s="3" t="str">
        <f>IFERROR(ROUND(INDEX('PROJETO PERFURAÇÃO'!$AB:$AB,MATCH(MEDIÇÃO!K935,'PROJETO PERFURAÇÃO'!$B:$B,0)),1)&amp;"''","")</f>
        <v/>
      </c>
      <c r="J935" s="3" t="str">
        <f>IFERROR(IF(INDEX('PROJETO PERFURAÇÃO'!$P:$P,MATCH(MEDIÇÃO!K935,'PROJETO PERFURAÇÃO'!$B:$B,0))="Production","P",IF(INDEX('PROJETO PERFURAÇÃO'!$P:$P,MATCH(MEDIÇÃO!K935,'PROJETO PERFURAÇÃO'!$B:$B,0))="Buffer","B",IF(INDEX('PROJETO PERFURAÇÃO'!$P:$P,MATCH(MEDIÇÃO!K935,'PROJETO PERFURAÇÃO'!$B:$B,0))="Pre-Splitting","S"))),"")</f>
        <v/>
      </c>
      <c r="K935" s="14">
        <f>D957+1</f>
        <v>2094</v>
      </c>
      <c r="L935" s="4" t="str">
        <f>IFERROR(INDEX('LEV R&amp;D'!$D:$D,MATCH(MEDIÇÃO!K935,'LEV R&amp;D'!$A:$A,0))-INDEX('PROJETO PERFURAÇÃO'!$AH:$AH,MATCH(MEDIÇÃO!K935,'PROJETO PERFURAÇÃO'!$B:$B,0)),"")</f>
        <v/>
      </c>
      <c r="M935" s="8" t="str">
        <f>IFERROR(INDEX('PROJETO PERFURAÇÃO'!$AN:$AN,MATCH(MEDIÇÃO!K935,'PROJETO PERFURAÇÃO'!$B:$B,0)),"")</f>
        <v/>
      </c>
      <c r="N935" s="3"/>
      <c r="O935" s="3"/>
      <c r="P935" s="3" t="str">
        <f>IFERROR(ROUND(INDEX('PROJETO PERFURAÇÃO'!$AB:$AB,MATCH(MEDIÇÃO!R935,'PROJETO PERFURAÇÃO'!$B:$B,0)),1)&amp;"''","")</f>
        <v/>
      </c>
      <c r="Q935" s="3" t="str">
        <f>IFERROR(IF(INDEX('PROJETO PERFURAÇÃO'!$P:$P,MATCH(MEDIÇÃO!R935,'PROJETO PERFURAÇÃO'!$B:$B,0))="Production","P",IF(INDEX('PROJETO PERFURAÇÃO'!$P:$P,MATCH(MEDIÇÃO!R935,'PROJETO PERFURAÇÃO'!$B:$B,0))="Buffer","B",IF(INDEX('PROJETO PERFURAÇÃO'!$P:$P,MATCH(MEDIÇÃO!R935,'PROJETO PERFURAÇÃO'!$B:$B,0))="Pre-Splitting","S"))),"")</f>
        <v/>
      </c>
      <c r="R935" s="14">
        <f>K957+1</f>
        <v>2117</v>
      </c>
      <c r="S935" s="4" t="str">
        <f>IFERROR(INDEX('LEV R&amp;D'!$D:$D,MATCH(MEDIÇÃO!R935,'LEV R&amp;D'!$A:$A,0))-INDEX('PROJETO PERFURAÇÃO'!$AH:$AH,MATCH(MEDIÇÃO!R935,'PROJETO PERFURAÇÃO'!$B:$B,0)),"")</f>
        <v/>
      </c>
      <c r="T935" s="8" t="str">
        <f>IFERROR(INDEX('PROJETO PERFURAÇÃO'!$AN:$AN,MATCH(MEDIÇÃO!R935,'PROJETO PERFURAÇÃO'!$B:$B,0)),"")</f>
        <v/>
      </c>
      <c r="U935" s="3"/>
      <c r="V935" s="3"/>
    </row>
    <row r="936" spans="1:23" ht="45" customHeight="1" x14ac:dyDescent="0.25">
      <c r="B936" s="3" t="str">
        <f>IFERROR(ROUND(INDEX('PROJETO PERFURAÇÃO'!$AB:$AB,MATCH(MEDIÇÃO!D936,'PROJETO PERFURAÇÃO'!$B:$B,0)),1)&amp;"''","")</f>
        <v/>
      </c>
      <c r="C936" s="3" t="str">
        <f>IFERROR(IF(INDEX('PROJETO PERFURAÇÃO'!$P:$P,MATCH(MEDIÇÃO!D936,'PROJETO PERFURAÇÃO'!$B:$B,0))="Production","P",IF(INDEX('PROJETO PERFURAÇÃO'!$P:$P,MATCH(MEDIÇÃO!D936,'PROJETO PERFURAÇÃO'!$B:$B,0))="Buffer","B",IF(INDEX('PROJETO PERFURAÇÃO'!$P:$P,MATCH(MEDIÇÃO!D936,'PROJETO PERFURAÇÃO'!$B:$B,0))="Pre-Splitting","S"))),"")</f>
        <v/>
      </c>
      <c r="D936" s="14">
        <f>D935+1</f>
        <v>2072</v>
      </c>
      <c r="E936" s="4" t="str">
        <f>IFERROR(INDEX('LEV R&amp;D'!$D:$D,MATCH(MEDIÇÃO!D936,'LEV R&amp;D'!$A:$A,0))-INDEX('PROJETO PERFURAÇÃO'!$AH:$AH,MATCH(MEDIÇÃO!D936,'PROJETO PERFURAÇÃO'!$B:$B,0)),"")</f>
        <v/>
      </c>
      <c r="F936" s="8" t="str">
        <f>IFERROR(INDEX('PROJETO PERFURAÇÃO'!$AN:$AN,MATCH(MEDIÇÃO!D936,'PROJETO PERFURAÇÃO'!$B:$B,0)),"")</f>
        <v/>
      </c>
      <c r="G936" s="3"/>
      <c r="H936" s="3"/>
      <c r="I936" s="3" t="str">
        <f>IFERROR(ROUND(INDEX('PROJETO PERFURAÇÃO'!$AB:$AB,MATCH(MEDIÇÃO!K936,'PROJETO PERFURAÇÃO'!$B:$B,0)),1)&amp;"''","")</f>
        <v/>
      </c>
      <c r="J936" s="3" t="str">
        <f>IFERROR(IF(INDEX('PROJETO PERFURAÇÃO'!$P:$P,MATCH(MEDIÇÃO!K936,'PROJETO PERFURAÇÃO'!$B:$B,0))="Production","P",IF(INDEX('PROJETO PERFURAÇÃO'!$P:$P,MATCH(MEDIÇÃO!K936,'PROJETO PERFURAÇÃO'!$B:$B,0))="Buffer","B",IF(INDEX('PROJETO PERFURAÇÃO'!$P:$P,MATCH(MEDIÇÃO!K936,'PROJETO PERFURAÇÃO'!$B:$B,0))="Pre-Splitting","S"))),"")</f>
        <v/>
      </c>
      <c r="K936" s="14">
        <f>K935+1</f>
        <v>2095</v>
      </c>
      <c r="L936" s="4" t="str">
        <f>IFERROR(INDEX('LEV R&amp;D'!$D:$D,MATCH(MEDIÇÃO!K936,'LEV R&amp;D'!$A:$A,0))-INDEX('PROJETO PERFURAÇÃO'!$AH:$AH,MATCH(MEDIÇÃO!K936,'PROJETO PERFURAÇÃO'!$B:$B,0)),"")</f>
        <v/>
      </c>
      <c r="M936" s="8" t="str">
        <f>IFERROR(INDEX('PROJETO PERFURAÇÃO'!$AN:$AN,MATCH(MEDIÇÃO!K936,'PROJETO PERFURAÇÃO'!$B:$B,0)),"")</f>
        <v/>
      </c>
      <c r="N936" s="3"/>
      <c r="O936" s="3"/>
      <c r="P936" s="3" t="str">
        <f>IFERROR(ROUND(INDEX('PROJETO PERFURAÇÃO'!$AB:$AB,MATCH(MEDIÇÃO!R936,'PROJETO PERFURAÇÃO'!$B:$B,0)),1)&amp;"''","")</f>
        <v/>
      </c>
      <c r="Q936" s="3" t="str">
        <f>IFERROR(IF(INDEX('PROJETO PERFURAÇÃO'!$P:$P,MATCH(MEDIÇÃO!R936,'PROJETO PERFURAÇÃO'!$B:$B,0))="Production","P",IF(INDEX('PROJETO PERFURAÇÃO'!$P:$P,MATCH(MEDIÇÃO!R936,'PROJETO PERFURAÇÃO'!$B:$B,0))="Buffer","B",IF(INDEX('PROJETO PERFURAÇÃO'!$P:$P,MATCH(MEDIÇÃO!R936,'PROJETO PERFURAÇÃO'!$B:$B,0))="Pre-Splitting","S"))),"")</f>
        <v/>
      </c>
      <c r="R936" s="14">
        <f>R935+1</f>
        <v>2118</v>
      </c>
      <c r="S936" s="4" t="str">
        <f>IFERROR(INDEX('LEV R&amp;D'!$D:$D,MATCH(MEDIÇÃO!R936,'LEV R&amp;D'!$A:$A,0))-INDEX('PROJETO PERFURAÇÃO'!$AH:$AH,MATCH(MEDIÇÃO!R936,'PROJETO PERFURAÇÃO'!$B:$B,0)),"")</f>
        <v/>
      </c>
      <c r="T936" s="8" t="str">
        <f>IFERROR(INDEX('PROJETO PERFURAÇÃO'!$AN:$AN,MATCH(MEDIÇÃO!R936,'PROJETO PERFURAÇÃO'!$B:$B,0)),"")</f>
        <v/>
      </c>
      <c r="U936" s="3"/>
      <c r="V936" s="3"/>
    </row>
    <row r="937" spans="1:23" ht="45" customHeight="1" x14ac:dyDescent="0.25">
      <c r="B937" s="3" t="str">
        <f>IFERROR(ROUND(INDEX('PROJETO PERFURAÇÃO'!$AB:$AB,MATCH(MEDIÇÃO!D937,'PROJETO PERFURAÇÃO'!$B:$B,0)),1)&amp;"''","")</f>
        <v/>
      </c>
      <c r="C937" s="3" t="str">
        <f>IFERROR(IF(INDEX('PROJETO PERFURAÇÃO'!$P:$P,MATCH(MEDIÇÃO!D937,'PROJETO PERFURAÇÃO'!$B:$B,0))="Production","P",IF(INDEX('PROJETO PERFURAÇÃO'!$P:$P,MATCH(MEDIÇÃO!D937,'PROJETO PERFURAÇÃO'!$B:$B,0))="Buffer","B",IF(INDEX('PROJETO PERFURAÇÃO'!$P:$P,MATCH(MEDIÇÃO!D937,'PROJETO PERFURAÇÃO'!$B:$B,0))="Pre-Splitting","S"))),"")</f>
        <v/>
      </c>
      <c r="D937" s="14">
        <f t="shared" ref="D937:D957" si="90">D936+1</f>
        <v>2073</v>
      </c>
      <c r="E937" s="4" t="str">
        <f>IFERROR(INDEX('LEV R&amp;D'!$D:$D,MATCH(MEDIÇÃO!D937,'LEV R&amp;D'!$A:$A,0))-INDEX('PROJETO PERFURAÇÃO'!$AH:$AH,MATCH(MEDIÇÃO!D937,'PROJETO PERFURAÇÃO'!$B:$B,0)),"")</f>
        <v/>
      </c>
      <c r="F937" s="8" t="str">
        <f>IFERROR(INDEX('PROJETO PERFURAÇÃO'!$AN:$AN,MATCH(MEDIÇÃO!D937,'PROJETO PERFURAÇÃO'!$B:$B,0)),"")</f>
        <v/>
      </c>
      <c r="G937" s="3"/>
      <c r="H937" s="3"/>
      <c r="I937" s="3" t="str">
        <f>IFERROR(ROUND(INDEX('PROJETO PERFURAÇÃO'!$AB:$AB,MATCH(MEDIÇÃO!K937,'PROJETO PERFURAÇÃO'!$B:$B,0)),1)&amp;"''","")</f>
        <v/>
      </c>
      <c r="J937" s="3" t="str">
        <f>IFERROR(IF(INDEX('PROJETO PERFURAÇÃO'!$P:$P,MATCH(MEDIÇÃO!K937,'PROJETO PERFURAÇÃO'!$B:$B,0))="Production","P",IF(INDEX('PROJETO PERFURAÇÃO'!$P:$P,MATCH(MEDIÇÃO!K937,'PROJETO PERFURAÇÃO'!$B:$B,0))="Buffer","B",IF(INDEX('PROJETO PERFURAÇÃO'!$P:$P,MATCH(MEDIÇÃO!K937,'PROJETO PERFURAÇÃO'!$B:$B,0))="Pre-Splitting","S"))),"")</f>
        <v/>
      </c>
      <c r="K937" s="14">
        <f t="shared" ref="K937:K956" si="91">K936+1</f>
        <v>2096</v>
      </c>
      <c r="L937" s="4" t="str">
        <f>IFERROR(INDEX('LEV R&amp;D'!$D:$D,MATCH(MEDIÇÃO!K937,'LEV R&amp;D'!$A:$A,0))-INDEX('PROJETO PERFURAÇÃO'!$AH:$AH,MATCH(MEDIÇÃO!K937,'PROJETO PERFURAÇÃO'!$B:$B,0)),"")</f>
        <v/>
      </c>
      <c r="M937" s="8" t="str">
        <f>IFERROR(INDEX('PROJETO PERFURAÇÃO'!$AN:$AN,MATCH(MEDIÇÃO!K937,'PROJETO PERFURAÇÃO'!$B:$B,0)),"")</f>
        <v/>
      </c>
      <c r="N937" s="3"/>
      <c r="O937" s="3"/>
      <c r="P937" s="3" t="str">
        <f>IFERROR(ROUND(INDEX('PROJETO PERFURAÇÃO'!$AB:$AB,MATCH(MEDIÇÃO!R937,'PROJETO PERFURAÇÃO'!$B:$B,0)),1)&amp;"''","")</f>
        <v/>
      </c>
      <c r="Q937" s="3" t="str">
        <f>IFERROR(IF(INDEX('PROJETO PERFURAÇÃO'!$P:$P,MATCH(MEDIÇÃO!R937,'PROJETO PERFURAÇÃO'!$B:$B,0))="Production","P",IF(INDEX('PROJETO PERFURAÇÃO'!$P:$P,MATCH(MEDIÇÃO!R937,'PROJETO PERFURAÇÃO'!$B:$B,0))="Buffer","B",IF(INDEX('PROJETO PERFURAÇÃO'!$P:$P,MATCH(MEDIÇÃO!R937,'PROJETO PERFURAÇÃO'!$B:$B,0))="Pre-Splitting","S"))),"")</f>
        <v/>
      </c>
      <c r="R937" s="14">
        <f t="shared" ref="R937:R956" si="92">R936+1</f>
        <v>2119</v>
      </c>
      <c r="S937" s="4" t="str">
        <f>IFERROR(INDEX('LEV R&amp;D'!$D:$D,MATCH(MEDIÇÃO!R937,'LEV R&amp;D'!$A:$A,0))-INDEX('PROJETO PERFURAÇÃO'!$AH:$AH,MATCH(MEDIÇÃO!R937,'PROJETO PERFURAÇÃO'!$B:$B,0)),"")</f>
        <v/>
      </c>
      <c r="T937" s="8" t="str">
        <f>IFERROR(INDEX('PROJETO PERFURAÇÃO'!$AN:$AN,MATCH(MEDIÇÃO!R937,'PROJETO PERFURAÇÃO'!$B:$B,0)),"")</f>
        <v/>
      </c>
      <c r="U937" s="3"/>
      <c r="V937" s="3"/>
    </row>
    <row r="938" spans="1:23" ht="45" customHeight="1" x14ac:dyDescent="0.25">
      <c r="B938" s="3" t="str">
        <f>IFERROR(ROUND(INDEX('PROJETO PERFURAÇÃO'!$AB:$AB,MATCH(MEDIÇÃO!D938,'PROJETO PERFURAÇÃO'!$B:$B,0)),1)&amp;"''","")</f>
        <v/>
      </c>
      <c r="C938" s="3" t="str">
        <f>IFERROR(IF(INDEX('PROJETO PERFURAÇÃO'!$P:$P,MATCH(MEDIÇÃO!D938,'PROJETO PERFURAÇÃO'!$B:$B,0))="Production","P",IF(INDEX('PROJETO PERFURAÇÃO'!$P:$P,MATCH(MEDIÇÃO!D938,'PROJETO PERFURAÇÃO'!$B:$B,0))="Buffer","B",IF(INDEX('PROJETO PERFURAÇÃO'!$P:$P,MATCH(MEDIÇÃO!D938,'PROJETO PERFURAÇÃO'!$B:$B,0))="Pre-Splitting","S"))),"")</f>
        <v/>
      </c>
      <c r="D938" s="14">
        <f t="shared" si="90"/>
        <v>2074</v>
      </c>
      <c r="E938" s="4" t="str">
        <f>IFERROR(INDEX('LEV R&amp;D'!$D:$D,MATCH(MEDIÇÃO!D938,'LEV R&amp;D'!$A:$A,0))-INDEX('PROJETO PERFURAÇÃO'!$AH:$AH,MATCH(MEDIÇÃO!D938,'PROJETO PERFURAÇÃO'!$B:$B,0)),"")</f>
        <v/>
      </c>
      <c r="F938" s="8" t="str">
        <f>IFERROR(INDEX('PROJETO PERFURAÇÃO'!$AN:$AN,MATCH(MEDIÇÃO!D938,'PROJETO PERFURAÇÃO'!$B:$B,0)),"")</f>
        <v/>
      </c>
      <c r="G938" s="3"/>
      <c r="H938" s="3"/>
      <c r="I938" s="3" t="str">
        <f>IFERROR(ROUND(INDEX('PROJETO PERFURAÇÃO'!$AB:$AB,MATCH(MEDIÇÃO!K938,'PROJETO PERFURAÇÃO'!$B:$B,0)),1)&amp;"''","")</f>
        <v/>
      </c>
      <c r="J938" s="3" t="str">
        <f>IFERROR(IF(INDEX('PROJETO PERFURAÇÃO'!$P:$P,MATCH(MEDIÇÃO!K938,'PROJETO PERFURAÇÃO'!$B:$B,0))="Production","P",IF(INDEX('PROJETO PERFURAÇÃO'!$P:$P,MATCH(MEDIÇÃO!K938,'PROJETO PERFURAÇÃO'!$B:$B,0))="Buffer","B",IF(INDEX('PROJETO PERFURAÇÃO'!$P:$P,MATCH(MEDIÇÃO!K938,'PROJETO PERFURAÇÃO'!$B:$B,0))="Pre-Splitting","S"))),"")</f>
        <v/>
      </c>
      <c r="K938" s="14">
        <f t="shared" si="91"/>
        <v>2097</v>
      </c>
      <c r="L938" s="4" t="str">
        <f>IFERROR(INDEX('LEV R&amp;D'!$D:$D,MATCH(MEDIÇÃO!K938,'LEV R&amp;D'!$A:$A,0))-INDEX('PROJETO PERFURAÇÃO'!$AH:$AH,MATCH(MEDIÇÃO!K938,'PROJETO PERFURAÇÃO'!$B:$B,0)),"")</f>
        <v/>
      </c>
      <c r="M938" s="8" t="str">
        <f>IFERROR(INDEX('PROJETO PERFURAÇÃO'!$AN:$AN,MATCH(MEDIÇÃO!K938,'PROJETO PERFURAÇÃO'!$B:$B,0)),"")</f>
        <v/>
      </c>
      <c r="N938" s="3"/>
      <c r="O938" s="3"/>
      <c r="P938" s="3" t="str">
        <f>IFERROR(ROUND(INDEX('PROJETO PERFURAÇÃO'!$AB:$AB,MATCH(MEDIÇÃO!R938,'PROJETO PERFURAÇÃO'!$B:$B,0)),1)&amp;"''","")</f>
        <v/>
      </c>
      <c r="Q938" s="3" t="str">
        <f>IFERROR(IF(INDEX('PROJETO PERFURAÇÃO'!$P:$P,MATCH(MEDIÇÃO!R938,'PROJETO PERFURAÇÃO'!$B:$B,0))="Production","P",IF(INDEX('PROJETO PERFURAÇÃO'!$P:$P,MATCH(MEDIÇÃO!R938,'PROJETO PERFURAÇÃO'!$B:$B,0))="Buffer","B",IF(INDEX('PROJETO PERFURAÇÃO'!$P:$P,MATCH(MEDIÇÃO!R938,'PROJETO PERFURAÇÃO'!$B:$B,0))="Pre-Splitting","S"))),"")</f>
        <v/>
      </c>
      <c r="R938" s="14">
        <f t="shared" si="92"/>
        <v>2120</v>
      </c>
      <c r="S938" s="4" t="str">
        <f>IFERROR(INDEX('LEV R&amp;D'!$D:$D,MATCH(MEDIÇÃO!R938,'LEV R&amp;D'!$A:$A,0))-INDEX('PROJETO PERFURAÇÃO'!$AH:$AH,MATCH(MEDIÇÃO!R938,'PROJETO PERFURAÇÃO'!$B:$B,0)),"")</f>
        <v/>
      </c>
      <c r="T938" s="8" t="str">
        <f>IFERROR(INDEX('PROJETO PERFURAÇÃO'!$AN:$AN,MATCH(MEDIÇÃO!R938,'PROJETO PERFURAÇÃO'!$B:$B,0)),"")</f>
        <v/>
      </c>
      <c r="U938" s="3"/>
      <c r="V938" s="3"/>
    </row>
    <row r="939" spans="1:23" ht="45" customHeight="1" x14ac:dyDescent="0.25">
      <c r="B939" s="3" t="str">
        <f>IFERROR(ROUND(INDEX('PROJETO PERFURAÇÃO'!$AB:$AB,MATCH(MEDIÇÃO!D939,'PROJETO PERFURAÇÃO'!$B:$B,0)),1)&amp;"''","")</f>
        <v/>
      </c>
      <c r="C939" s="3" t="str">
        <f>IFERROR(IF(INDEX('PROJETO PERFURAÇÃO'!$P:$P,MATCH(MEDIÇÃO!D939,'PROJETO PERFURAÇÃO'!$B:$B,0))="Production","P",IF(INDEX('PROJETO PERFURAÇÃO'!$P:$P,MATCH(MEDIÇÃO!D939,'PROJETO PERFURAÇÃO'!$B:$B,0))="Buffer","B",IF(INDEX('PROJETO PERFURAÇÃO'!$P:$P,MATCH(MEDIÇÃO!D939,'PROJETO PERFURAÇÃO'!$B:$B,0))="Pre-Splitting","S"))),"")</f>
        <v/>
      </c>
      <c r="D939" s="14">
        <f t="shared" si="90"/>
        <v>2075</v>
      </c>
      <c r="E939" s="4" t="str">
        <f>IFERROR(INDEX('LEV R&amp;D'!$D:$D,MATCH(MEDIÇÃO!D939,'LEV R&amp;D'!$A:$A,0))-INDEX('PROJETO PERFURAÇÃO'!$AH:$AH,MATCH(MEDIÇÃO!D939,'PROJETO PERFURAÇÃO'!$B:$B,0)),"")</f>
        <v/>
      </c>
      <c r="F939" s="8" t="str">
        <f>IFERROR(INDEX('PROJETO PERFURAÇÃO'!$AN:$AN,MATCH(MEDIÇÃO!D939,'PROJETO PERFURAÇÃO'!$B:$B,0)),"")</f>
        <v/>
      </c>
      <c r="G939" s="3"/>
      <c r="H939" s="3"/>
      <c r="I939" s="3" t="str">
        <f>IFERROR(ROUND(INDEX('PROJETO PERFURAÇÃO'!$AB:$AB,MATCH(MEDIÇÃO!K939,'PROJETO PERFURAÇÃO'!$B:$B,0)),1)&amp;"''","")</f>
        <v/>
      </c>
      <c r="J939" s="3" t="str">
        <f>IFERROR(IF(INDEX('PROJETO PERFURAÇÃO'!$P:$P,MATCH(MEDIÇÃO!K939,'PROJETO PERFURAÇÃO'!$B:$B,0))="Production","P",IF(INDEX('PROJETO PERFURAÇÃO'!$P:$P,MATCH(MEDIÇÃO!K939,'PROJETO PERFURAÇÃO'!$B:$B,0))="Buffer","B",IF(INDEX('PROJETO PERFURAÇÃO'!$P:$P,MATCH(MEDIÇÃO!K939,'PROJETO PERFURAÇÃO'!$B:$B,0))="Pre-Splitting","S"))),"")</f>
        <v/>
      </c>
      <c r="K939" s="14">
        <f t="shared" si="91"/>
        <v>2098</v>
      </c>
      <c r="L939" s="4" t="str">
        <f>IFERROR(INDEX('LEV R&amp;D'!$D:$D,MATCH(MEDIÇÃO!K939,'LEV R&amp;D'!$A:$A,0))-INDEX('PROJETO PERFURAÇÃO'!$AH:$AH,MATCH(MEDIÇÃO!K939,'PROJETO PERFURAÇÃO'!$B:$B,0)),"")</f>
        <v/>
      </c>
      <c r="M939" s="8" t="str">
        <f>IFERROR(INDEX('PROJETO PERFURAÇÃO'!$AN:$AN,MATCH(MEDIÇÃO!K939,'PROJETO PERFURAÇÃO'!$B:$B,0)),"")</f>
        <v/>
      </c>
      <c r="N939" s="3"/>
      <c r="O939" s="3"/>
      <c r="P939" s="3" t="str">
        <f>IFERROR(ROUND(INDEX('PROJETO PERFURAÇÃO'!$AB:$AB,MATCH(MEDIÇÃO!R939,'PROJETO PERFURAÇÃO'!$B:$B,0)),1)&amp;"''","")</f>
        <v/>
      </c>
      <c r="Q939" s="3" t="str">
        <f>IFERROR(IF(INDEX('PROJETO PERFURAÇÃO'!$P:$P,MATCH(MEDIÇÃO!R939,'PROJETO PERFURAÇÃO'!$B:$B,0))="Production","P",IF(INDEX('PROJETO PERFURAÇÃO'!$P:$P,MATCH(MEDIÇÃO!R939,'PROJETO PERFURAÇÃO'!$B:$B,0))="Buffer","B",IF(INDEX('PROJETO PERFURAÇÃO'!$P:$P,MATCH(MEDIÇÃO!R939,'PROJETO PERFURAÇÃO'!$B:$B,0))="Pre-Splitting","S"))),"")</f>
        <v/>
      </c>
      <c r="R939" s="14">
        <f t="shared" si="92"/>
        <v>2121</v>
      </c>
      <c r="S939" s="4" t="str">
        <f>IFERROR(INDEX('LEV R&amp;D'!$D:$D,MATCH(MEDIÇÃO!R939,'LEV R&amp;D'!$A:$A,0))-INDEX('PROJETO PERFURAÇÃO'!$AH:$AH,MATCH(MEDIÇÃO!R939,'PROJETO PERFURAÇÃO'!$B:$B,0)),"")</f>
        <v/>
      </c>
      <c r="T939" s="8" t="str">
        <f>IFERROR(INDEX('PROJETO PERFURAÇÃO'!$AN:$AN,MATCH(MEDIÇÃO!R939,'PROJETO PERFURAÇÃO'!$B:$B,0)),"")</f>
        <v/>
      </c>
      <c r="U939" s="3"/>
      <c r="V939" s="3"/>
    </row>
    <row r="940" spans="1:23" ht="45" customHeight="1" x14ac:dyDescent="0.25">
      <c r="B940" s="3" t="str">
        <f>IFERROR(ROUND(INDEX('PROJETO PERFURAÇÃO'!$AB:$AB,MATCH(MEDIÇÃO!D940,'PROJETO PERFURAÇÃO'!$B:$B,0)),1)&amp;"''","")</f>
        <v/>
      </c>
      <c r="C940" s="3" t="str">
        <f>IFERROR(IF(INDEX('PROJETO PERFURAÇÃO'!$P:$P,MATCH(MEDIÇÃO!D940,'PROJETO PERFURAÇÃO'!$B:$B,0))="Production","P",IF(INDEX('PROJETO PERFURAÇÃO'!$P:$P,MATCH(MEDIÇÃO!D940,'PROJETO PERFURAÇÃO'!$B:$B,0))="Buffer","B",IF(INDEX('PROJETO PERFURAÇÃO'!$P:$P,MATCH(MEDIÇÃO!D940,'PROJETO PERFURAÇÃO'!$B:$B,0))="Pre-Splitting","S"))),"")</f>
        <v/>
      </c>
      <c r="D940" s="14">
        <f t="shared" si="90"/>
        <v>2076</v>
      </c>
      <c r="E940" s="4" t="str">
        <f>IFERROR(INDEX('LEV R&amp;D'!$D:$D,MATCH(MEDIÇÃO!D940,'LEV R&amp;D'!$A:$A,0))-INDEX('PROJETO PERFURAÇÃO'!$AH:$AH,MATCH(MEDIÇÃO!D940,'PROJETO PERFURAÇÃO'!$B:$B,0)),"")</f>
        <v/>
      </c>
      <c r="F940" s="8" t="str">
        <f>IFERROR(INDEX('PROJETO PERFURAÇÃO'!$AN:$AN,MATCH(MEDIÇÃO!D940,'PROJETO PERFURAÇÃO'!$B:$B,0)),"")</f>
        <v/>
      </c>
      <c r="G940" s="3"/>
      <c r="H940" s="3"/>
      <c r="I940" s="3" t="str">
        <f>IFERROR(ROUND(INDEX('PROJETO PERFURAÇÃO'!$AB:$AB,MATCH(MEDIÇÃO!K940,'PROJETO PERFURAÇÃO'!$B:$B,0)),1)&amp;"''","")</f>
        <v/>
      </c>
      <c r="J940" s="3" t="str">
        <f>IFERROR(IF(INDEX('PROJETO PERFURAÇÃO'!$P:$P,MATCH(MEDIÇÃO!K940,'PROJETO PERFURAÇÃO'!$B:$B,0))="Production","P",IF(INDEX('PROJETO PERFURAÇÃO'!$P:$P,MATCH(MEDIÇÃO!K940,'PROJETO PERFURAÇÃO'!$B:$B,0))="Buffer","B",IF(INDEX('PROJETO PERFURAÇÃO'!$P:$P,MATCH(MEDIÇÃO!K940,'PROJETO PERFURAÇÃO'!$B:$B,0))="Pre-Splitting","S"))),"")</f>
        <v/>
      </c>
      <c r="K940" s="14">
        <f t="shared" si="91"/>
        <v>2099</v>
      </c>
      <c r="L940" s="4" t="str">
        <f>IFERROR(INDEX('LEV R&amp;D'!$D:$D,MATCH(MEDIÇÃO!K940,'LEV R&amp;D'!$A:$A,0))-INDEX('PROJETO PERFURAÇÃO'!$AH:$AH,MATCH(MEDIÇÃO!K940,'PROJETO PERFURAÇÃO'!$B:$B,0)),"")</f>
        <v/>
      </c>
      <c r="M940" s="8" t="str">
        <f>IFERROR(INDEX('PROJETO PERFURAÇÃO'!$AN:$AN,MATCH(MEDIÇÃO!K940,'PROJETO PERFURAÇÃO'!$B:$B,0)),"")</f>
        <v/>
      </c>
      <c r="N940" s="3"/>
      <c r="O940" s="3"/>
      <c r="P940" s="3" t="str">
        <f>IFERROR(ROUND(INDEX('PROJETO PERFURAÇÃO'!$AB:$AB,MATCH(MEDIÇÃO!R940,'PROJETO PERFURAÇÃO'!$B:$B,0)),1)&amp;"''","")</f>
        <v/>
      </c>
      <c r="Q940" s="3" t="str">
        <f>IFERROR(IF(INDEX('PROJETO PERFURAÇÃO'!$P:$P,MATCH(MEDIÇÃO!R940,'PROJETO PERFURAÇÃO'!$B:$B,0))="Production","P",IF(INDEX('PROJETO PERFURAÇÃO'!$P:$P,MATCH(MEDIÇÃO!R940,'PROJETO PERFURAÇÃO'!$B:$B,0))="Buffer","B",IF(INDEX('PROJETO PERFURAÇÃO'!$P:$P,MATCH(MEDIÇÃO!R940,'PROJETO PERFURAÇÃO'!$B:$B,0))="Pre-Splitting","S"))),"")</f>
        <v/>
      </c>
      <c r="R940" s="14">
        <f t="shared" si="92"/>
        <v>2122</v>
      </c>
      <c r="S940" s="4" t="str">
        <f>IFERROR(INDEX('LEV R&amp;D'!$D:$D,MATCH(MEDIÇÃO!R940,'LEV R&amp;D'!$A:$A,0))-INDEX('PROJETO PERFURAÇÃO'!$AH:$AH,MATCH(MEDIÇÃO!R940,'PROJETO PERFURAÇÃO'!$B:$B,0)),"")</f>
        <v/>
      </c>
      <c r="T940" s="8" t="str">
        <f>IFERROR(INDEX('PROJETO PERFURAÇÃO'!$AN:$AN,MATCH(MEDIÇÃO!R940,'PROJETO PERFURAÇÃO'!$B:$B,0)),"")</f>
        <v/>
      </c>
      <c r="U940" s="3"/>
      <c r="V940" s="3"/>
    </row>
    <row r="941" spans="1:23" ht="45" customHeight="1" x14ac:dyDescent="0.25">
      <c r="B941" s="3" t="str">
        <f>IFERROR(ROUND(INDEX('PROJETO PERFURAÇÃO'!$AB:$AB,MATCH(MEDIÇÃO!D941,'PROJETO PERFURAÇÃO'!$B:$B,0)),1)&amp;"''","")</f>
        <v/>
      </c>
      <c r="C941" s="3" t="str">
        <f>IFERROR(IF(INDEX('PROJETO PERFURAÇÃO'!$P:$P,MATCH(MEDIÇÃO!D941,'PROJETO PERFURAÇÃO'!$B:$B,0))="Production","P",IF(INDEX('PROJETO PERFURAÇÃO'!$P:$P,MATCH(MEDIÇÃO!D941,'PROJETO PERFURAÇÃO'!$B:$B,0))="Buffer","B",IF(INDEX('PROJETO PERFURAÇÃO'!$P:$P,MATCH(MEDIÇÃO!D941,'PROJETO PERFURAÇÃO'!$B:$B,0))="Pre-Splitting","S"))),"")</f>
        <v/>
      </c>
      <c r="D941" s="14">
        <f t="shared" si="90"/>
        <v>2077</v>
      </c>
      <c r="E941" s="4" t="str">
        <f>IFERROR(INDEX('LEV R&amp;D'!$D:$D,MATCH(MEDIÇÃO!D941,'LEV R&amp;D'!$A:$A,0))-INDEX('PROJETO PERFURAÇÃO'!$AH:$AH,MATCH(MEDIÇÃO!D941,'PROJETO PERFURAÇÃO'!$B:$B,0)),"")</f>
        <v/>
      </c>
      <c r="F941" s="8" t="str">
        <f>IFERROR(INDEX('PROJETO PERFURAÇÃO'!$AN:$AN,MATCH(MEDIÇÃO!D941,'PROJETO PERFURAÇÃO'!$B:$B,0)),"")</f>
        <v/>
      </c>
      <c r="G941" s="3"/>
      <c r="H941" s="3"/>
      <c r="I941" s="3" t="str">
        <f>IFERROR(ROUND(INDEX('PROJETO PERFURAÇÃO'!$AB:$AB,MATCH(MEDIÇÃO!K941,'PROJETO PERFURAÇÃO'!$B:$B,0)),1)&amp;"''","")</f>
        <v/>
      </c>
      <c r="J941" s="3" t="str">
        <f>IFERROR(IF(INDEX('PROJETO PERFURAÇÃO'!$P:$P,MATCH(MEDIÇÃO!K941,'PROJETO PERFURAÇÃO'!$B:$B,0))="Production","P",IF(INDEX('PROJETO PERFURAÇÃO'!$P:$P,MATCH(MEDIÇÃO!K941,'PROJETO PERFURAÇÃO'!$B:$B,0))="Buffer","B",IF(INDEX('PROJETO PERFURAÇÃO'!$P:$P,MATCH(MEDIÇÃO!K941,'PROJETO PERFURAÇÃO'!$B:$B,0))="Pre-Splitting","S"))),"")</f>
        <v/>
      </c>
      <c r="K941" s="14">
        <f t="shared" si="91"/>
        <v>2100</v>
      </c>
      <c r="L941" s="4" t="str">
        <f>IFERROR(INDEX('LEV R&amp;D'!$D:$D,MATCH(MEDIÇÃO!K941,'LEV R&amp;D'!$A:$A,0))-INDEX('PROJETO PERFURAÇÃO'!$AH:$AH,MATCH(MEDIÇÃO!K941,'PROJETO PERFURAÇÃO'!$B:$B,0)),"")</f>
        <v/>
      </c>
      <c r="M941" s="8" t="str">
        <f>IFERROR(INDEX('PROJETO PERFURAÇÃO'!$AN:$AN,MATCH(MEDIÇÃO!K941,'PROJETO PERFURAÇÃO'!$B:$B,0)),"")</f>
        <v/>
      </c>
      <c r="N941" s="3"/>
      <c r="O941" s="3"/>
      <c r="P941" s="3" t="str">
        <f>IFERROR(ROUND(INDEX('PROJETO PERFURAÇÃO'!$AB:$AB,MATCH(MEDIÇÃO!R941,'PROJETO PERFURAÇÃO'!$B:$B,0)),1)&amp;"''","")</f>
        <v/>
      </c>
      <c r="Q941" s="3" t="str">
        <f>IFERROR(IF(INDEX('PROJETO PERFURAÇÃO'!$P:$P,MATCH(MEDIÇÃO!R941,'PROJETO PERFURAÇÃO'!$B:$B,0))="Production","P",IF(INDEX('PROJETO PERFURAÇÃO'!$P:$P,MATCH(MEDIÇÃO!R941,'PROJETO PERFURAÇÃO'!$B:$B,0))="Buffer","B",IF(INDEX('PROJETO PERFURAÇÃO'!$P:$P,MATCH(MEDIÇÃO!R941,'PROJETO PERFURAÇÃO'!$B:$B,0))="Pre-Splitting","S"))),"")</f>
        <v/>
      </c>
      <c r="R941" s="14">
        <f t="shared" si="92"/>
        <v>2123</v>
      </c>
      <c r="S941" s="4" t="str">
        <f>IFERROR(INDEX('LEV R&amp;D'!$D:$D,MATCH(MEDIÇÃO!R941,'LEV R&amp;D'!$A:$A,0))-INDEX('PROJETO PERFURAÇÃO'!$AH:$AH,MATCH(MEDIÇÃO!R941,'PROJETO PERFURAÇÃO'!$B:$B,0)),"")</f>
        <v/>
      </c>
      <c r="T941" s="8" t="str">
        <f>IFERROR(INDEX('PROJETO PERFURAÇÃO'!$AN:$AN,MATCH(MEDIÇÃO!R941,'PROJETO PERFURAÇÃO'!$B:$B,0)),"")</f>
        <v/>
      </c>
      <c r="U941" s="3"/>
      <c r="V941" s="3"/>
    </row>
    <row r="942" spans="1:23" ht="45" customHeight="1" x14ac:dyDescent="0.25">
      <c r="B942" s="3" t="str">
        <f>IFERROR(ROUND(INDEX('PROJETO PERFURAÇÃO'!$AB:$AB,MATCH(MEDIÇÃO!D942,'PROJETO PERFURAÇÃO'!$B:$B,0)),1)&amp;"''","")</f>
        <v/>
      </c>
      <c r="C942" s="3" t="str">
        <f>IFERROR(IF(INDEX('PROJETO PERFURAÇÃO'!$P:$P,MATCH(MEDIÇÃO!D942,'PROJETO PERFURAÇÃO'!$B:$B,0))="Production","P",IF(INDEX('PROJETO PERFURAÇÃO'!$P:$P,MATCH(MEDIÇÃO!D942,'PROJETO PERFURAÇÃO'!$B:$B,0))="Buffer","B",IF(INDEX('PROJETO PERFURAÇÃO'!$P:$P,MATCH(MEDIÇÃO!D942,'PROJETO PERFURAÇÃO'!$B:$B,0))="Pre-Splitting","S"))),"")</f>
        <v/>
      </c>
      <c r="D942" s="14">
        <f t="shared" si="90"/>
        <v>2078</v>
      </c>
      <c r="E942" s="4" t="str">
        <f>IFERROR(INDEX('LEV R&amp;D'!$D:$D,MATCH(MEDIÇÃO!D942,'LEV R&amp;D'!$A:$A,0))-INDEX('PROJETO PERFURAÇÃO'!$AH:$AH,MATCH(MEDIÇÃO!D942,'PROJETO PERFURAÇÃO'!$B:$B,0)),"")</f>
        <v/>
      </c>
      <c r="F942" s="8" t="str">
        <f>IFERROR(INDEX('PROJETO PERFURAÇÃO'!$AN:$AN,MATCH(MEDIÇÃO!D942,'PROJETO PERFURAÇÃO'!$B:$B,0)),"")</f>
        <v/>
      </c>
      <c r="G942" s="3"/>
      <c r="H942" s="3"/>
      <c r="I942" s="3" t="str">
        <f>IFERROR(ROUND(INDEX('PROJETO PERFURAÇÃO'!$AB:$AB,MATCH(MEDIÇÃO!K942,'PROJETO PERFURAÇÃO'!$B:$B,0)),1)&amp;"''","")</f>
        <v/>
      </c>
      <c r="J942" s="3" t="str">
        <f>IFERROR(IF(INDEX('PROJETO PERFURAÇÃO'!$P:$P,MATCH(MEDIÇÃO!K942,'PROJETO PERFURAÇÃO'!$B:$B,0))="Production","P",IF(INDEX('PROJETO PERFURAÇÃO'!$P:$P,MATCH(MEDIÇÃO!K942,'PROJETO PERFURAÇÃO'!$B:$B,0))="Buffer","B",IF(INDEX('PROJETO PERFURAÇÃO'!$P:$P,MATCH(MEDIÇÃO!K942,'PROJETO PERFURAÇÃO'!$B:$B,0))="Pre-Splitting","S"))),"")</f>
        <v/>
      </c>
      <c r="K942" s="14">
        <f t="shared" si="91"/>
        <v>2101</v>
      </c>
      <c r="L942" s="4" t="str">
        <f>IFERROR(INDEX('LEV R&amp;D'!$D:$D,MATCH(MEDIÇÃO!K942,'LEV R&amp;D'!$A:$A,0))-INDEX('PROJETO PERFURAÇÃO'!$AH:$AH,MATCH(MEDIÇÃO!K942,'PROJETO PERFURAÇÃO'!$B:$B,0)),"")</f>
        <v/>
      </c>
      <c r="M942" s="8" t="str">
        <f>IFERROR(INDEX('PROJETO PERFURAÇÃO'!$AN:$AN,MATCH(MEDIÇÃO!K942,'PROJETO PERFURAÇÃO'!$B:$B,0)),"")</f>
        <v/>
      </c>
      <c r="N942" s="3"/>
      <c r="O942" s="3"/>
      <c r="P942" s="3" t="str">
        <f>IFERROR(ROUND(INDEX('PROJETO PERFURAÇÃO'!$AB:$AB,MATCH(MEDIÇÃO!R942,'PROJETO PERFURAÇÃO'!$B:$B,0)),1)&amp;"''","")</f>
        <v/>
      </c>
      <c r="Q942" s="3" t="str">
        <f>IFERROR(IF(INDEX('PROJETO PERFURAÇÃO'!$P:$P,MATCH(MEDIÇÃO!R942,'PROJETO PERFURAÇÃO'!$B:$B,0))="Production","P",IF(INDEX('PROJETO PERFURAÇÃO'!$P:$P,MATCH(MEDIÇÃO!R942,'PROJETO PERFURAÇÃO'!$B:$B,0))="Buffer","B",IF(INDEX('PROJETO PERFURAÇÃO'!$P:$P,MATCH(MEDIÇÃO!R942,'PROJETO PERFURAÇÃO'!$B:$B,0))="Pre-Splitting","S"))),"")</f>
        <v/>
      </c>
      <c r="R942" s="14">
        <f t="shared" si="92"/>
        <v>2124</v>
      </c>
      <c r="S942" s="4" t="str">
        <f>IFERROR(INDEX('LEV R&amp;D'!$D:$D,MATCH(MEDIÇÃO!R942,'LEV R&amp;D'!$A:$A,0))-INDEX('PROJETO PERFURAÇÃO'!$AH:$AH,MATCH(MEDIÇÃO!R942,'PROJETO PERFURAÇÃO'!$B:$B,0)),"")</f>
        <v/>
      </c>
      <c r="T942" s="8" t="str">
        <f>IFERROR(INDEX('PROJETO PERFURAÇÃO'!$AN:$AN,MATCH(MEDIÇÃO!R942,'PROJETO PERFURAÇÃO'!$B:$B,0)),"")</f>
        <v/>
      </c>
      <c r="U942" s="3"/>
      <c r="V942" s="3"/>
    </row>
    <row r="943" spans="1:23" ht="45" customHeight="1" x14ac:dyDescent="0.25">
      <c r="B943" s="3" t="str">
        <f>IFERROR(ROUND(INDEX('PROJETO PERFURAÇÃO'!$AB:$AB,MATCH(MEDIÇÃO!D943,'PROJETO PERFURAÇÃO'!$B:$B,0)),1)&amp;"''","")</f>
        <v/>
      </c>
      <c r="C943" s="3" t="str">
        <f>IFERROR(IF(INDEX('PROJETO PERFURAÇÃO'!$P:$P,MATCH(MEDIÇÃO!D943,'PROJETO PERFURAÇÃO'!$B:$B,0))="Production","P",IF(INDEX('PROJETO PERFURAÇÃO'!$P:$P,MATCH(MEDIÇÃO!D943,'PROJETO PERFURAÇÃO'!$B:$B,0))="Buffer","B",IF(INDEX('PROJETO PERFURAÇÃO'!$P:$P,MATCH(MEDIÇÃO!D943,'PROJETO PERFURAÇÃO'!$B:$B,0))="Pre-Splitting","S"))),"")</f>
        <v/>
      </c>
      <c r="D943" s="14">
        <f t="shared" si="90"/>
        <v>2079</v>
      </c>
      <c r="E943" s="4" t="str">
        <f>IFERROR(INDEX('LEV R&amp;D'!$D:$D,MATCH(MEDIÇÃO!D943,'LEV R&amp;D'!$A:$A,0))-INDEX('PROJETO PERFURAÇÃO'!$AH:$AH,MATCH(MEDIÇÃO!D943,'PROJETO PERFURAÇÃO'!$B:$B,0)),"")</f>
        <v/>
      </c>
      <c r="F943" s="8" t="str">
        <f>IFERROR(INDEX('PROJETO PERFURAÇÃO'!$AN:$AN,MATCH(MEDIÇÃO!D943,'PROJETO PERFURAÇÃO'!$B:$B,0)),"")</f>
        <v/>
      </c>
      <c r="G943" s="3"/>
      <c r="H943" s="3"/>
      <c r="I943" s="3" t="str">
        <f>IFERROR(ROUND(INDEX('PROJETO PERFURAÇÃO'!$AB:$AB,MATCH(MEDIÇÃO!K943,'PROJETO PERFURAÇÃO'!$B:$B,0)),1)&amp;"''","")</f>
        <v/>
      </c>
      <c r="J943" s="3" t="str">
        <f>IFERROR(IF(INDEX('PROJETO PERFURAÇÃO'!$P:$P,MATCH(MEDIÇÃO!K943,'PROJETO PERFURAÇÃO'!$B:$B,0))="Production","P",IF(INDEX('PROJETO PERFURAÇÃO'!$P:$P,MATCH(MEDIÇÃO!K943,'PROJETO PERFURAÇÃO'!$B:$B,0))="Buffer","B",IF(INDEX('PROJETO PERFURAÇÃO'!$P:$P,MATCH(MEDIÇÃO!K943,'PROJETO PERFURAÇÃO'!$B:$B,0))="Pre-Splitting","S"))),"")</f>
        <v/>
      </c>
      <c r="K943" s="14">
        <f t="shared" si="91"/>
        <v>2102</v>
      </c>
      <c r="L943" s="4" t="str">
        <f>IFERROR(INDEX('LEV R&amp;D'!$D:$D,MATCH(MEDIÇÃO!K943,'LEV R&amp;D'!$A:$A,0))-INDEX('PROJETO PERFURAÇÃO'!$AH:$AH,MATCH(MEDIÇÃO!K943,'PROJETO PERFURAÇÃO'!$B:$B,0)),"")</f>
        <v/>
      </c>
      <c r="M943" s="8" t="str">
        <f>IFERROR(INDEX('PROJETO PERFURAÇÃO'!$AN:$AN,MATCH(MEDIÇÃO!K943,'PROJETO PERFURAÇÃO'!$B:$B,0)),"")</f>
        <v/>
      </c>
      <c r="N943" s="3"/>
      <c r="O943" s="3"/>
      <c r="P943" s="3" t="str">
        <f>IFERROR(ROUND(INDEX('PROJETO PERFURAÇÃO'!$AB:$AB,MATCH(MEDIÇÃO!R943,'PROJETO PERFURAÇÃO'!$B:$B,0)),1)&amp;"''","")</f>
        <v/>
      </c>
      <c r="Q943" s="3" t="str">
        <f>IFERROR(IF(INDEX('PROJETO PERFURAÇÃO'!$P:$P,MATCH(MEDIÇÃO!R943,'PROJETO PERFURAÇÃO'!$B:$B,0))="Production","P",IF(INDEX('PROJETO PERFURAÇÃO'!$P:$P,MATCH(MEDIÇÃO!R943,'PROJETO PERFURAÇÃO'!$B:$B,0))="Buffer","B",IF(INDEX('PROJETO PERFURAÇÃO'!$P:$P,MATCH(MEDIÇÃO!R943,'PROJETO PERFURAÇÃO'!$B:$B,0))="Pre-Splitting","S"))),"")</f>
        <v/>
      </c>
      <c r="R943" s="14">
        <f t="shared" si="92"/>
        <v>2125</v>
      </c>
      <c r="S943" s="4" t="str">
        <f>IFERROR(INDEX('LEV R&amp;D'!$D:$D,MATCH(MEDIÇÃO!R943,'LEV R&amp;D'!$A:$A,0))-INDEX('PROJETO PERFURAÇÃO'!$AH:$AH,MATCH(MEDIÇÃO!R943,'PROJETO PERFURAÇÃO'!$B:$B,0)),"")</f>
        <v/>
      </c>
      <c r="T943" s="8" t="str">
        <f>IFERROR(INDEX('PROJETO PERFURAÇÃO'!$AN:$AN,MATCH(MEDIÇÃO!R943,'PROJETO PERFURAÇÃO'!$B:$B,0)),"")</f>
        <v/>
      </c>
      <c r="U943" s="3"/>
      <c r="V943" s="3"/>
    </row>
    <row r="944" spans="1:23" ht="45" customHeight="1" x14ac:dyDescent="0.25">
      <c r="B944" s="3" t="str">
        <f>IFERROR(ROUND(INDEX('PROJETO PERFURAÇÃO'!$AB:$AB,MATCH(MEDIÇÃO!D944,'PROJETO PERFURAÇÃO'!$B:$B,0)),1)&amp;"''","")</f>
        <v/>
      </c>
      <c r="C944" s="3" t="str">
        <f>IFERROR(IF(INDEX('PROJETO PERFURAÇÃO'!$P:$P,MATCH(MEDIÇÃO!D944,'PROJETO PERFURAÇÃO'!$B:$B,0))="Production","P",IF(INDEX('PROJETO PERFURAÇÃO'!$P:$P,MATCH(MEDIÇÃO!D944,'PROJETO PERFURAÇÃO'!$B:$B,0))="Buffer","B",IF(INDEX('PROJETO PERFURAÇÃO'!$P:$P,MATCH(MEDIÇÃO!D944,'PROJETO PERFURAÇÃO'!$B:$B,0))="Pre-Splitting","S"))),"")</f>
        <v/>
      </c>
      <c r="D944" s="14">
        <f t="shared" si="90"/>
        <v>2080</v>
      </c>
      <c r="E944" s="4" t="str">
        <f>IFERROR(INDEX('LEV R&amp;D'!$D:$D,MATCH(MEDIÇÃO!D944,'LEV R&amp;D'!$A:$A,0))-INDEX('PROJETO PERFURAÇÃO'!$AH:$AH,MATCH(MEDIÇÃO!D944,'PROJETO PERFURAÇÃO'!$B:$B,0)),"")</f>
        <v/>
      </c>
      <c r="F944" s="8" t="str">
        <f>IFERROR(INDEX('PROJETO PERFURAÇÃO'!$AN:$AN,MATCH(MEDIÇÃO!D944,'PROJETO PERFURAÇÃO'!$B:$B,0)),"")</f>
        <v/>
      </c>
      <c r="G944" s="3"/>
      <c r="H944" s="3"/>
      <c r="I944" s="3" t="str">
        <f>IFERROR(ROUND(INDEX('PROJETO PERFURAÇÃO'!$AB:$AB,MATCH(MEDIÇÃO!K944,'PROJETO PERFURAÇÃO'!$B:$B,0)),1)&amp;"''","")</f>
        <v/>
      </c>
      <c r="J944" s="3" t="str">
        <f>IFERROR(IF(INDEX('PROJETO PERFURAÇÃO'!$P:$P,MATCH(MEDIÇÃO!K944,'PROJETO PERFURAÇÃO'!$B:$B,0))="Production","P",IF(INDEX('PROJETO PERFURAÇÃO'!$P:$P,MATCH(MEDIÇÃO!K944,'PROJETO PERFURAÇÃO'!$B:$B,0))="Buffer","B",IF(INDEX('PROJETO PERFURAÇÃO'!$P:$P,MATCH(MEDIÇÃO!K944,'PROJETO PERFURAÇÃO'!$B:$B,0))="Pre-Splitting","S"))),"")</f>
        <v/>
      </c>
      <c r="K944" s="14">
        <f t="shared" si="91"/>
        <v>2103</v>
      </c>
      <c r="L944" s="4" t="str">
        <f>IFERROR(INDEX('LEV R&amp;D'!$D:$D,MATCH(MEDIÇÃO!K944,'LEV R&amp;D'!$A:$A,0))-INDEX('PROJETO PERFURAÇÃO'!$AH:$AH,MATCH(MEDIÇÃO!K944,'PROJETO PERFURAÇÃO'!$B:$B,0)),"")</f>
        <v/>
      </c>
      <c r="M944" s="8" t="str">
        <f>IFERROR(INDEX('PROJETO PERFURAÇÃO'!$AN:$AN,MATCH(MEDIÇÃO!K944,'PROJETO PERFURAÇÃO'!$B:$B,0)),"")</f>
        <v/>
      </c>
      <c r="N944" s="3"/>
      <c r="O944" s="3"/>
      <c r="P944" s="3" t="str">
        <f>IFERROR(ROUND(INDEX('PROJETO PERFURAÇÃO'!$AB:$AB,MATCH(MEDIÇÃO!R944,'PROJETO PERFURAÇÃO'!$B:$B,0)),1)&amp;"''","")</f>
        <v/>
      </c>
      <c r="Q944" s="3" t="str">
        <f>IFERROR(IF(INDEX('PROJETO PERFURAÇÃO'!$P:$P,MATCH(MEDIÇÃO!R944,'PROJETO PERFURAÇÃO'!$B:$B,0))="Production","P",IF(INDEX('PROJETO PERFURAÇÃO'!$P:$P,MATCH(MEDIÇÃO!R944,'PROJETO PERFURAÇÃO'!$B:$B,0))="Buffer","B",IF(INDEX('PROJETO PERFURAÇÃO'!$P:$P,MATCH(MEDIÇÃO!R944,'PROJETO PERFURAÇÃO'!$B:$B,0))="Pre-Splitting","S"))),"")</f>
        <v/>
      </c>
      <c r="R944" s="14">
        <f t="shared" si="92"/>
        <v>2126</v>
      </c>
      <c r="S944" s="4" t="str">
        <f>IFERROR(INDEX('LEV R&amp;D'!$D:$D,MATCH(MEDIÇÃO!R944,'LEV R&amp;D'!$A:$A,0))-INDEX('PROJETO PERFURAÇÃO'!$AH:$AH,MATCH(MEDIÇÃO!R944,'PROJETO PERFURAÇÃO'!$B:$B,0)),"")</f>
        <v/>
      </c>
      <c r="T944" s="8" t="str">
        <f>IFERROR(INDEX('PROJETO PERFURAÇÃO'!$AN:$AN,MATCH(MEDIÇÃO!R944,'PROJETO PERFURAÇÃO'!$B:$B,0)),"")</f>
        <v/>
      </c>
      <c r="U944" s="3"/>
      <c r="V944" s="3"/>
    </row>
    <row r="945" spans="2:22" ht="45" customHeight="1" x14ac:dyDescent="0.25">
      <c r="B945" s="3" t="str">
        <f>IFERROR(ROUND(INDEX('PROJETO PERFURAÇÃO'!$AB:$AB,MATCH(MEDIÇÃO!D945,'PROJETO PERFURAÇÃO'!$B:$B,0)),1)&amp;"''","")</f>
        <v/>
      </c>
      <c r="C945" s="3" t="str">
        <f>IFERROR(IF(INDEX('PROJETO PERFURAÇÃO'!$P:$P,MATCH(MEDIÇÃO!D945,'PROJETO PERFURAÇÃO'!$B:$B,0))="Production","P",IF(INDEX('PROJETO PERFURAÇÃO'!$P:$P,MATCH(MEDIÇÃO!D945,'PROJETO PERFURAÇÃO'!$B:$B,0))="Buffer","B",IF(INDEX('PROJETO PERFURAÇÃO'!$P:$P,MATCH(MEDIÇÃO!D945,'PROJETO PERFURAÇÃO'!$B:$B,0))="Pre-Splitting","S"))),"")</f>
        <v/>
      </c>
      <c r="D945" s="14">
        <f t="shared" si="90"/>
        <v>2081</v>
      </c>
      <c r="E945" s="4" t="str">
        <f>IFERROR(INDEX('LEV R&amp;D'!$D:$D,MATCH(MEDIÇÃO!D945,'LEV R&amp;D'!$A:$A,0))-INDEX('PROJETO PERFURAÇÃO'!$AH:$AH,MATCH(MEDIÇÃO!D945,'PROJETO PERFURAÇÃO'!$B:$B,0)),"")</f>
        <v/>
      </c>
      <c r="F945" s="8" t="str">
        <f>IFERROR(INDEX('PROJETO PERFURAÇÃO'!$AN:$AN,MATCH(MEDIÇÃO!D945,'PROJETO PERFURAÇÃO'!$B:$B,0)),"")</f>
        <v/>
      </c>
      <c r="G945" s="3"/>
      <c r="H945" s="3"/>
      <c r="I945" s="3" t="str">
        <f>IFERROR(ROUND(INDEX('PROJETO PERFURAÇÃO'!$AB:$AB,MATCH(MEDIÇÃO!K945,'PROJETO PERFURAÇÃO'!$B:$B,0)),1)&amp;"''","")</f>
        <v/>
      </c>
      <c r="J945" s="3" t="str">
        <f>IFERROR(IF(INDEX('PROJETO PERFURAÇÃO'!$P:$P,MATCH(MEDIÇÃO!K945,'PROJETO PERFURAÇÃO'!$B:$B,0))="Production","P",IF(INDEX('PROJETO PERFURAÇÃO'!$P:$P,MATCH(MEDIÇÃO!K945,'PROJETO PERFURAÇÃO'!$B:$B,0))="Buffer","B",IF(INDEX('PROJETO PERFURAÇÃO'!$P:$P,MATCH(MEDIÇÃO!K945,'PROJETO PERFURAÇÃO'!$B:$B,0))="Pre-Splitting","S"))),"")</f>
        <v/>
      </c>
      <c r="K945" s="14">
        <f t="shared" si="91"/>
        <v>2104</v>
      </c>
      <c r="L945" s="4" t="str">
        <f>IFERROR(INDEX('LEV R&amp;D'!$D:$D,MATCH(MEDIÇÃO!K945,'LEV R&amp;D'!$A:$A,0))-INDEX('PROJETO PERFURAÇÃO'!$AH:$AH,MATCH(MEDIÇÃO!K945,'PROJETO PERFURAÇÃO'!$B:$B,0)),"")</f>
        <v/>
      </c>
      <c r="M945" s="8" t="str">
        <f>IFERROR(INDEX('PROJETO PERFURAÇÃO'!$AN:$AN,MATCH(MEDIÇÃO!K945,'PROJETO PERFURAÇÃO'!$B:$B,0)),"")</f>
        <v/>
      </c>
      <c r="N945" s="3"/>
      <c r="O945" s="3"/>
      <c r="P945" s="3" t="str">
        <f>IFERROR(ROUND(INDEX('PROJETO PERFURAÇÃO'!$AB:$AB,MATCH(MEDIÇÃO!R945,'PROJETO PERFURAÇÃO'!$B:$B,0)),1)&amp;"''","")</f>
        <v/>
      </c>
      <c r="Q945" s="3" t="str">
        <f>IFERROR(IF(INDEX('PROJETO PERFURAÇÃO'!$P:$P,MATCH(MEDIÇÃO!R945,'PROJETO PERFURAÇÃO'!$B:$B,0))="Production","P",IF(INDEX('PROJETO PERFURAÇÃO'!$P:$P,MATCH(MEDIÇÃO!R945,'PROJETO PERFURAÇÃO'!$B:$B,0))="Buffer","B",IF(INDEX('PROJETO PERFURAÇÃO'!$P:$P,MATCH(MEDIÇÃO!R945,'PROJETO PERFURAÇÃO'!$B:$B,0))="Pre-Splitting","S"))),"")</f>
        <v/>
      </c>
      <c r="R945" s="14">
        <f t="shared" si="92"/>
        <v>2127</v>
      </c>
      <c r="S945" s="4" t="str">
        <f>IFERROR(INDEX('LEV R&amp;D'!$D:$D,MATCH(MEDIÇÃO!R945,'LEV R&amp;D'!$A:$A,0))-INDEX('PROJETO PERFURAÇÃO'!$AH:$AH,MATCH(MEDIÇÃO!R945,'PROJETO PERFURAÇÃO'!$B:$B,0)),"")</f>
        <v/>
      </c>
      <c r="T945" s="8" t="str">
        <f>IFERROR(INDEX('PROJETO PERFURAÇÃO'!$AN:$AN,MATCH(MEDIÇÃO!R945,'PROJETO PERFURAÇÃO'!$B:$B,0)),"")</f>
        <v/>
      </c>
      <c r="U945" s="3"/>
      <c r="V945" s="3"/>
    </row>
    <row r="946" spans="2:22" ht="45" customHeight="1" x14ac:dyDescent="0.25">
      <c r="B946" s="3" t="str">
        <f>IFERROR(ROUND(INDEX('PROJETO PERFURAÇÃO'!$AB:$AB,MATCH(MEDIÇÃO!D946,'PROJETO PERFURAÇÃO'!$B:$B,0)),1)&amp;"''","")</f>
        <v/>
      </c>
      <c r="C946" s="3" t="str">
        <f>IFERROR(IF(INDEX('PROJETO PERFURAÇÃO'!$P:$P,MATCH(MEDIÇÃO!D946,'PROJETO PERFURAÇÃO'!$B:$B,0))="Production","P",IF(INDEX('PROJETO PERFURAÇÃO'!$P:$P,MATCH(MEDIÇÃO!D946,'PROJETO PERFURAÇÃO'!$B:$B,0))="Buffer","B",IF(INDEX('PROJETO PERFURAÇÃO'!$P:$P,MATCH(MEDIÇÃO!D946,'PROJETO PERFURAÇÃO'!$B:$B,0))="Pre-Splitting","S"))),"")</f>
        <v/>
      </c>
      <c r="D946" s="14">
        <f t="shared" si="90"/>
        <v>2082</v>
      </c>
      <c r="E946" s="4" t="str">
        <f>IFERROR(INDEX('LEV R&amp;D'!$D:$D,MATCH(MEDIÇÃO!D946,'LEV R&amp;D'!$A:$A,0))-INDEX('PROJETO PERFURAÇÃO'!$AH:$AH,MATCH(MEDIÇÃO!D946,'PROJETO PERFURAÇÃO'!$B:$B,0)),"")</f>
        <v/>
      </c>
      <c r="F946" s="8" t="str">
        <f>IFERROR(INDEX('PROJETO PERFURAÇÃO'!$AN:$AN,MATCH(MEDIÇÃO!D946,'PROJETO PERFURAÇÃO'!$B:$B,0)),"")</f>
        <v/>
      </c>
      <c r="G946" s="3"/>
      <c r="H946" s="3"/>
      <c r="I946" s="3" t="str">
        <f>IFERROR(ROUND(INDEX('PROJETO PERFURAÇÃO'!$AB:$AB,MATCH(MEDIÇÃO!K946,'PROJETO PERFURAÇÃO'!$B:$B,0)),1)&amp;"''","")</f>
        <v/>
      </c>
      <c r="J946" s="3" t="str">
        <f>IFERROR(IF(INDEX('PROJETO PERFURAÇÃO'!$P:$P,MATCH(MEDIÇÃO!K946,'PROJETO PERFURAÇÃO'!$B:$B,0))="Production","P",IF(INDEX('PROJETO PERFURAÇÃO'!$P:$P,MATCH(MEDIÇÃO!K946,'PROJETO PERFURAÇÃO'!$B:$B,0))="Buffer","B",IF(INDEX('PROJETO PERFURAÇÃO'!$P:$P,MATCH(MEDIÇÃO!K946,'PROJETO PERFURAÇÃO'!$B:$B,0))="Pre-Splitting","S"))),"")</f>
        <v/>
      </c>
      <c r="K946" s="14">
        <f t="shared" si="91"/>
        <v>2105</v>
      </c>
      <c r="L946" s="4" t="str">
        <f>IFERROR(INDEX('LEV R&amp;D'!$D:$D,MATCH(MEDIÇÃO!K946,'LEV R&amp;D'!$A:$A,0))-INDEX('PROJETO PERFURAÇÃO'!$AH:$AH,MATCH(MEDIÇÃO!K946,'PROJETO PERFURAÇÃO'!$B:$B,0)),"")</f>
        <v/>
      </c>
      <c r="M946" s="8" t="str">
        <f>IFERROR(INDEX('PROJETO PERFURAÇÃO'!$AN:$AN,MATCH(MEDIÇÃO!K946,'PROJETO PERFURAÇÃO'!$B:$B,0)),"")</f>
        <v/>
      </c>
      <c r="N946" s="3"/>
      <c r="O946" s="3"/>
      <c r="P946" s="3" t="str">
        <f>IFERROR(ROUND(INDEX('PROJETO PERFURAÇÃO'!$AB:$AB,MATCH(MEDIÇÃO!R946,'PROJETO PERFURAÇÃO'!$B:$B,0)),1)&amp;"''","")</f>
        <v/>
      </c>
      <c r="Q946" s="3" t="str">
        <f>IFERROR(IF(INDEX('PROJETO PERFURAÇÃO'!$P:$P,MATCH(MEDIÇÃO!R946,'PROJETO PERFURAÇÃO'!$B:$B,0))="Production","P",IF(INDEX('PROJETO PERFURAÇÃO'!$P:$P,MATCH(MEDIÇÃO!R946,'PROJETO PERFURAÇÃO'!$B:$B,0))="Buffer","B",IF(INDEX('PROJETO PERFURAÇÃO'!$P:$P,MATCH(MEDIÇÃO!R946,'PROJETO PERFURAÇÃO'!$B:$B,0))="Pre-Splitting","S"))),"")</f>
        <v/>
      </c>
      <c r="R946" s="14">
        <f t="shared" si="92"/>
        <v>2128</v>
      </c>
      <c r="S946" s="4" t="str">
        <f>IFERROR(INDEX('LEV R&amp;D'!$D:$D,MATCH(MEDIÇÃO!R946,'LEV R&amp;D'!$A:$A,0))-INDEX('PROJETO PERFURAÇÃO'!$AH:$AH,MATCH(MEDIÇÃO!R946,'PROJETO PERFURAÇÃO'!$B:$B,0)),"")</f>
        <v/>
      </c>
      <c r="T946" s="8" t="str">
        <f>IFERROR(INDEX('PROJETO PERFURAÇÃO'!$AN:$AN,MATCH(MEDIÇÃO!R946,'PROJETO PERFURAÇÃO'!$B:$B,0)),"")</f>
        <v/>
      </c>
      <c r="U946" s="3"/>
      <c r="V946" s="3"/>
    </row>
    <row r="947" spans="2:22" ht="45" customHeight="1" x14ac:dyDescent="0.25">
      <c r="B947" s="3" t="str">
        <f>IFERROR(ROUND(INDEX('PROJETO PERFURAÇÃO'!$AB:$AB,MATCH(MEDIÇÃO!D947,'PROJETO PERFURAÇÃO'!$B:$B,0)),1)&amp;"''","")</f>
        <v/>
      </c>
      <c r="C947" s="3" t="str">
        <f>IFERROR(IF(INDEX('PROJETO PERFURAÇÃO'!$P:$P,MATCH(MEDIÇÃO!D947,'PROJETO PERFURAÇÃO'!$B:$B,0))="Production","P",IF(INDEX('PROJETO PERFURAÇÃO'!$P:$P,MATCH(MEDIÇÃO!D947,'PROJETO PERFURAÇÃO'!$B:$B,0))="Buffer","B",IF(INDEX('PROJETO PERFURAÇÃO'!$P:$P,MATCH(MEDIÇÃO!D947,'PROJETO PERFURAÇÃO'!$B:$B,0))="Pre-Splitting","S"))),"")</f>
        <v/>
      </c>
      <c r="D947" s="14">
        <f t="shared" si="90"/>
        <v>2083</v>
      </c>
      <c r="E947" s="4" t="str">
        <f>IFERROR(INDEX('LEV R&amp;D'!$D:$D,MATCH(MEDIÇÃO!D947,'LEV R&amp;D'!$A:$A,0))-INDEX('PROJETO PERFURAÇÃO'!$AH:$AH,MATCH(MEDIÇÃO!D947,'PROJETO PERFURAÇÃO'!$B:$B,0)),"")</f>
        <v/>
      </c>
      <c r="F947" s="8" t="str">
        <f>IFERROR(INDEX('PROJETO PERFURAÇÃO'!$AN:$AN,MATCH(MEDIÇÃO!D947,'PROJETO PERFURAÇÃO'!$B:$B,0)),"")</f>
        <v/>
      </c>
      <c r="G947" s="3"/>
      <c r="H947" s="3"/>
      <c r="I947" s="3" t="str">
        <f>IFERROR(ROUND(INDEX('PROJETO PERFURAÇÃO'!$AB:$AB,MATCH(MEDIÇÃO!K947,'PROJETO PERFURAÇÃO'!$B:$B,0)),1)&amp;"''","")</f>
        <v/>
      </c>
      <c r="J947" s="3" t="str">
        <f>IFERROR(IF(INDEX('PROJETO PERFURAÇÃO'!$P:$P,MATCH(MEDIÇÃO!K947,'PROJETO PERFURAÇÃO'!$B:$B,0))="Production","P",IF(INDEX('PROJETO PERFURAÇÃO'!$P:$P,MATCH(MEDIÇÃO!K947,'PROJETO PERFURAÇÃO'!$B:$B,0))="Buffer","B",IF(INDEX('PROJETO PERFURAÇÃO'!$P:$P,MATCH(MEDIÇÃO!K947,'PROJETO PERFURAÇÃO'!$B:$B,0))="Pre-Splitting","S"))),"")</f>
        <v/>
      </c>
      <c r="K947" s="14">
        <f t="shared" si="91"/>
        <v>2106</v>
      </c>
      <c r="L947" s="4" t="str">
        <f>IFERROR(INDEX('LEV R&amp;D'!$D:$D,MATCH(MEDIÇÃO!K947,'LEV R&amp;D'!$A:$A,0))-INDEX('PROJETO PERFURAÇÃO'!$AH:$AH,MATCH(MEDIÇÃO!K947,'PROJETO PERFURAÇÃO'!$B:$B,0)),"")</f>
        <v/>
      </c>
      <c r="M947" s="8" t="str">
        <f>IFERROR(INDEX('PROJETO PERFURAÇÃO'!$AN:$AN,MATCH(MEDIÇÃO!K947,'PROJETO PERFURAÇÃO'!$B:$B,0)),"")</f>
        <v/>
      </c>
      <c r="N947" s="3"/>
      <c r="O947" s="3"/>
      <c r="P947" s="3" t="str">
        <f>IFERROR(ROUND(INDEX('PROJETO PERFURAÇÃO'!$AB:$AB,MATCH(MEDIÇÃO!R947,'PROJETO PERFURAÇÃO'!$B:$B,0)),1)&amp;"''","")</f>
        <v/>
      </c>
      <c r="Q947" s="3" t="str">
        <f>IFERROR(IF(INDEX('PROJETO PERFURAÇÃO'!$P:$P,MATCH(MEDIÇÃO!R947,'PROJETO PERFURAÇÃO'!$B:$B,0))="Production","P",IF(INDEX('PROJETO PERFURAÇÃO'!$P:$P,MATCH(MEDIÇÃO!R947,'PROJETO PERFURAÇÃO'!$B:$B,0))="Buffer","B",IF(INDEX('PROJETO PERFURAÇÃO'!$P:$P,MATCH(MEDIÇÃO!R947,'PROJETO PERFURAÇÃO'!$B:$B,0))="Pre-Splitting","S"))),"")</f>
        <v/>
      </c>
      <c r="R947" s="14">
        <f t="shared" si="92"/>
        <v>2129</v>
      </c>
      <c r="S947" s="4" t="str">
        <f>IFERROR(INDEX('LEV R&amp;D'!$D:$D,MATCH(MEDIÇÃO!R947,'LEV R&amp;D'!$A:$A,0))-INDEX('PROJETO PERFURAÇÃO'!$AH:$AH,MATCH(MEDIÇÃO!R947,'PROJETO PERFURAÇÃO'!$B:$B,0)),"")</f>
        <v/>
      </c>
      <c r="T947" s="8" t="str">
        <f>IFERROR(INDEX('PROJETO PERFURAÇÃO'!$AN:$AN,MATCH(MEDIÇÃO!R947,'PROJETO PERFURAÇÃO'!$B:$B,0)),"")</f>
        <v/>
      </c>
      <c r="U947" s="3"/>
      <c r="V947" s="3"/>
    </row>
    <row r="948" spans="2:22" ht="45" customHeight="1" x14ac:dyDescent="0.25">
      <c r="B948" s="3" t="str">
        <f>IFERROR(ROUND(INDEX('PROJETO PERFURAÇÃO'!$AB:$AB,MATCH(MEDIÇÃO!D948,'PROJETO PERFURAÇÃO'!$B:$B,0)),1)&amp;"''","")</f>
        <v/>
      </c>
      <c r="C948" s="3" t="str">
        <f>IFERROR(IF(INDEX('PROJETO PERFURAÇÃO'!$P:$P,MATCH(MEDIÇÃO!D948,'PROJETO PERFURAÇÃO'!$B:$B,0))="Production","P",IF(INDEX('PROJETO PERFURAÇÃO'!$P:$P,MATCH(MEDIÇÃO!D948,'PROJETO PERFURAÇÃO'!$B:$B,0))="Buffer","B",IF(INDEX('PROJETO PERFURAÇÃO'!$P:$P,MATCH(MEDIÇÃO!D948,'PROJETO PERFURAÇÃO'!$B:$B,0))="Pre-Splitting","S"))),"")</f>
        <v/>
      </c>
      <c r="D948" s="14">
        <f t="shared" si="90"/>
        <v>2084</v>
      </c>
      <c r="E948" s="4" t="str">
        <f>IFERROR(INDEX('LEV R&amp;D'!$D:$D,MATCH(MEDIÇÃO!D948,'LEV R&amp;D'!$A:$A,0))-INDEX('PROJETO PERFURAÇÃO'!$AH:$AH,MATCH(MEDIÇÃO!D948,'PROJETO PERFURAÇÃO'!$B:$B,0)),"")</f>
        <v/>
      </c>
      <c r="F948" s="8" t="str">
        <f>IFERROR(INDEX('PROJETO PERFURAÇÃO'!$AN:$AN,MATCH(MEDIÇÃO!D948,'PROJETO PERFURAÇÃO'!$B:$B,0)),"")</f>
        <v/>
      </c>
      <c r="G948" s="3"/>
      <c r="H948" s="3"/>
      <c r="I948" s="3" t="str">
        <f>IFERROR(ROUND(INDEX('PROJETO PERFURAÇÃO'!$AB:$AB,MATCH(MEDIÇÃO!K948,'PROJETO PERFURAÇÃO'!$B:$B,0)),1)&amp;"''","")</f>
        <v/>
      </c>
      <c r="J948" s="3" t="str">
        <f>IFERROR(IF(INDEX('PROJETO PERFURAÇÃO'!$P:$P,MATCH(MEDIÇÃO!K948,'PROJETO PERFURAÇÃO'!$B:$B,0))="Production","P",IF(INDEX('PROJETO PERFURAÇÃO'!$P:$P,MATCH(MEDIÇÃO!K948,'PROJETO PERFURAÇÃO'!$B:$B,0))="Buffer","B",IF(INDEX('PROJETO PERFURAÇÃO'!$P:$P,MATCH(MEDIÇÃO!K948,'PROJETO PERFURAÇÃO'!$B:$B,0))="Pre-Splitting","S"))),"")</f>
        <v/>
      </c>
      <c r="K948" s="14">
        <f t="shared" si="91"/>
        <v>2107</v>
      </c>
      <c r="L948" s="4" t="str">
        <f>IFERROR(INDEX('LEV R&amp;D'!$D:$D,MATCH(MEDIÇÃO!K948,'LEV R&amp;D'!$A:$A,0))-INDEX('PROJETO PERFURAÇÃO'!$AH:$AH,MATCH(MEDIÇÃO!K948,'PROJETO PERFURAÇÃO'!$B:$B,0)),"")</f>
        <v/>
      </c>
      <c r="M948" s="8" t="str">
        <f>IFERROR(INDEX('PROJETO PERFURAÇÃO'!$AN:$AN,MATCH(MEDIÇÃO!K948,'PROJETO PERFURAÇÃO'!$B:$B,0)),"")</f>
        <v/>
      </c>
      <c r="N948" s="3"/>
      <c r="O948" s="3"/>
      <c r="P948" s="3" t="str">
        <f>IFERROR(ROUND(INDEX('PROJETO PERFURAÇÃO'!$AB:$AB,MATCH(MEDIÇÃO!R948,'PROJETO PERFURAÇÃO'!$B:$B,0)),1)&amp;"''","")</f>
        <v/>
      </c>
      <c r="Q948" s="3" t="str">
        <f>IFERROR(IF(INDEX('PROJETO PERFURAÇÃO'!$P:$P,MATCH(MEDIÇÃO!R948,'PROJETO PERFURAÇÃO'!$B:$B,0))="Production","P",IF(INDEX('PROJETO PERFURAÇÃO'!$P:$P,MATCH(MEDIÇÃO!R948,'PROJETO PERFURAÇÃO'!$B:$B,0))="Buffer","B",IF(INDEX('PROJETO PERFURAÇÃO'!$P:$P,MATCH(MEDIÇÃO!R948,'PROJETO PERFURAÇÃO'!$B:$B,0))="Pre-Splitting","S"))),"")</f>
        <v/>
      </c>
      <c r="R948" s="14">
        <f t="shared" si="92"/>
        <v>2130</v>
      </c>
      <c r="S948" s="4" t="str">
        <f>IFERROR(INDEX('LEV R&amp;D'!$D:$D,MATCH(MEDIÇÃO!R948,'LEV R&amp;D'!$A:$A,0))-INDEX('PROJETO PERFURAÇÃO'!$AH:$AH,MATCH(MEDIÇÃO!R948,'PROJETO PERFURAÇÃO'!$B:$B,0)),"")</f>
        <v/>
      </c>
      <c r="T948" s="8" t="str">
        <f>IFERROR(INDEX('PROJETO PERFURAÇÃO'!$AN:$AN,MATCH(MEDIÇÃO!R948,'PROJETO PERFURAÇÃO'!$B:$B,0)),"")</f>
        <v/>
      </c>
      <c r="U948" s="3"/>
      <c r="V948" s="3"/>
    </row>
    <row r="949" spans="2:22" ht="45" customHeight="1" x14ac:dyDescent="0.25">
      <c r="B949" s="3" t="str">
        <f>IFERROR(ROUND(INDEX('PROJETO PERFURAÇÃO'!$AB:$AB,MATCH(MEDIÇÃO!D949,'PROJETO PERFURAÇÃO'!$B:$B,0)),1)&amp;"''","")</f>
        <v/>
      </c>
      <c r="C949" s="3" t="str">
        <f>IFERROR(IF(INDEX('PROJETO PERFURAÇÃO'!$P:$P,MATCH(MEDIÇÃO!D949,'PROJETO PERFURAÇÃO'!$B:$B,0))="Production","P",IF(INDEX('PROJETO PERFURAÇÃO'!$P:$P,MATCH(MEDIÇÃO!D949,'PROJETO PERFURAÇÃO'!$B:$B,0))="Buffer","B",IF(INDEX('PROJETO PERFURAÇÃO'!$P:$P,MATCH(MEDIÇÃO!D949,'PROJETO PERFURAÇÃO'!$B:$B,0))="Pre-Splitting","S"))),"")</f>
        <v/>
      </c>
      <c r="D949" s="14">
        <f t="shared" si="90"/>
        <v>2085</v>
      </c>
      <c r="E949" s="4" t="str">
        <f>IFERROR(INDEX('LEV R&amp;D'!$D:$D,MATCH(MEDIÇÃO!D949,'LEV R&amp;D'!$A:$A,0))-INDEX('PROJETO PERFURAÇÃO'!$AH:$AH,MATCH(MEDIÇÃO!D949,'PROJETO PERFURAÇÃO'!$B:$B,0)),"")</f>
        <v/>
      </c>
      <c r="F949" s="8" t="str">
        <f>IFERROR(INDEX('PROJETO PERFURAÇÃO'!$AN:$AN,MATCH(MEDIÇÃO!D949,'PROJETO PERFURAÇÃO'!$B:$B,0)),"")</f>
        <v/>
      </c>
      <c r="G949" s="3"/>
      <c r="H949" s="3"/>
      <c r="I949" s="3" t="str">
        <f>IFERROR(ROUND(INDEX('PROJETO PERFURAÇÃO'!$AB:$AB,MATCH(MEDIÇÃO!K949,'PROJETO PERFURAÇÃO'!$B:$B,0)),1)&amp;"''","")</f>
        <v/>
      </c>
      <c r="J949" s="3" t="str">
        <f>IFERROR(IF(INDEX('PROJETO PERFURAÇÃO'!$P:$P,MATCH(MEDIÇÃO!K949,'PROJETO PERFURAÇÃO'!$B:$B,0))="Production","P",IF(INDEX('PROJETO PERFURAÇÃO'!$P:$P,MATCH(MEDIÇÃO!K949,'PROJETO PERFURAÇÃO'!$B:$B,0))="Buffer","B",IF(INDEX('PROJETO PERFURAÇÃO'!$P:$P,MATCH(MEDIÇÃO!K949,'PROJETO PERFURAÇÃO'!$B:$B,0))="Pre-Splitting","S"))),"")</f>
        <v/>
      </c>
      <c r="K949" s="14">
        <f t="shared" si="91"/>
        <v>2108</v>
      </c>
      <c r="L949" s="4" t="str">
        <f>IFERROR(INDEX('LEV R&amp;D'!$D:$D,MATCH(MEDIÇÃO!K949,'LEV R&amp;D'!$A:$A,0))-INDEX('PROJETO PERFURAÇÃO'!$AH:$AH,MATCH(MEDIÇÃO!K949,'PROJETO PERFURAÇÃO'!$B:$B,0)),"")</f>
        <v/>
      </c>
      <c r="M949" s="8" t="str">
        <f>IFERROR(INDEX('PROJETO PERFURAÇÃO'!$AN:$AN,MATCH(MEDIÇÃO!K949,'PROJETO PERFURAÇÃO'!$B:$B,0)),"")</f>
        <v/>
      </c>
      <c r="N949" s="3"/>
      <c r="O949" s="3"/>
      <c r="P949" s="3" t="str">
        <f>IFERROR(ROUND(INDEX('PROJETO PERFURAÇÃO'!$AB:$AB,MATCH(MEDIÇÃO!R949,'PROJETO PERFURAÇÃO'!$B:$B,0)),1)&amp;"''","")</f>
        <v/>
      </c>
      <c r="Q949" s="3" t="str">
        <f>IFERROR(IF(INDEX('PROJETO PERFURAÇÃO'!$P:$P,MATCH(MEDIÇÃO!R949,'PROJETO PERFURAÇÃO'!$B:$B,0))="Production","P",IF(INDEX('PROJETO PERFURAÇÃO'!$P:$P,MATCH(MEDIÇÃO!R949,'PROJETO PERFURAÇÃO'!$B:$B,0))="Buffer","B",IF(INDEX('PROJETO PERFURAÇÃO'!$P:$P,MATCH(MEDIÇÃO!R949,'PROJETO PERFURAÇÃO'!$B:$B,0))="Pre-Splitting","S"))),"")</f>
        <v/>
      </c>
      <c r="R949" s="14">
        <f t="shared" si="92"/>
        <v>2131</v>
      </c>
      <c r="S949" s="4" t="str">
        <f>IFERROR(INDEX('LEV R&amp;D'!$D:$D,MATCH(MEDIÇÃO!R949,'LEV R&amp;D'!$A:$A,0))-INDEX('PROJETO PERFURAÇÃO'!$AH:$AH,MATCH(MEDIÇÃO!R949,'PROJETO PERFURAÇÃO'!$B:$B,0)),"")</f>
        <v/>
      </c>
      <c r="T949" s="8" t="str">
        <f>IFERROR(INDEX('PROJETO PERFURAÇÃO'!$AN:$AN,MATCH(MEDIÇÃO!R949,'PROJETO PERFURAÇÃO'!$B:$B,0)),"")</f>
        <v/>
      </c>
      <c r="U949" s="3"/>
      <c r="V949" s="3"/>
    </row>
    <row r="950" spans="2:22" ht="45" customHeight="1" x14ac:dyDescent="0.25">
      <c r="B950" s="3" t="str">
        <f>IFERROR(ROUND(INDEX('PROJETO PERFURAÇÃO'!$AB:$AB,MATCH(MEDIÇÃO!D950,'PROJETO PERFURAÇÃO'!$B:$B,0)),1)&amp;"''","")</f>
        <v/>
      </c>
      <c r="C950" s="3" t="str">
        <f>IFERROR(IF(INDEX('PROJETO PERFURAÇÃO'!$P:$P,MATCH(MEDIÇÃO!D950,'PROJETO PERFURAÇÃO'!$B:$B,0))="Production","P",IF(INDEX('PROJETO PERFURAÇÃO'!$P:$P,MATCH(MEDIÇÃO!D950,'PROJETO PERFURAÇÃO'!$B:$B,0))="Buffer","B",IF(INDEX('PROJETO PERFURAÇÃO'!$P:$P,MATCH(MEDIÇÃO!D950,'PROJETO PERFURAÇÃO'!$B:$B,0))="Pre-Splitting","S"))),"")</f>
        <v/>
      </c>
      <c r="D950" s="14">
        <f t="shared" si="90"/>
        <v>2086</v>
      </c>
      <c r="E950" s="4" t="str">
        <f>IFERROR(INDEX('LEV R&amp;D'!$D:$D,MATCH(MEDIÇÃO!D950,'LEV R&amp;D'!$A:$A,0))-INDEX('PROJETO PERFURAÇÃO'!$AH:$AH,MATCH(MEDIÇÃO!D950,'PROJETO PERFURAÇÃO'!$B:$B,0)),"")</f>
        <v/>
      </c>
      <c r="F950" s="8" t="str">
        <f>IFERROR(INDEX('PROJETO PERFURAÇÃO'!$AN:$AN,MATCH(MEDIÇÃO!D950,'PROJETO PERFURAÇÃO'!$B:$B,0)),"")</f>
        <v/>
      </c>
      <c r="G950" s="3"/>
      <c r="H950" s="3"/>
      <c r="I950" s="3" t="str">
        <f>IFERROR(ROUND(INDEX('PROJETO PERFURAÇÃO'!$AB:$AB,MATCH(MEDIÇÃO!K950,'PROJETO PERFURAÇÃO'!$B:$B,0)),1)&amp;"''","")</f>
        <v/>
      </c>
      <c r="J950" s="3" t="str">
        <f>IFERROR(IF(INDEX('PROJETO PERFURAÇÃO'!$P:$P,MATCH(MEDIÇÃO!K950,'PROJETO PERFURAÇÃO'!$B:$B,0))="Production","P",IF(INDEX('PROJETO PERFURAÇÃO'!$P:$P,MATCH(MEDIÇÃO!K950,'PROJETO PERFURAÇÃO'!$B:$B,0))="Buffer","B",IF(INDEX('PROJETO PERFURAÇÃO'!$P:$P,MATCH(MEDIÇÃO!K950,'PROJETO PERFURAÇÃO'!$B:$B,0))="Pre-Splitting","S"))),"")</f>
        <v/>
      </c>
      <c r="K950" s="14">
        <f t="shared" si="91"/>
        <v>2109</v>
      </c>
      <c r="L950" s="4" t="str">
        <f>IFERROR(INDEX('LEV R&amp;D'!$D:$D,MATCH(MEDIÇÃO!K950,'LEV R&amp;D'!$A:$A,0))-INDEX('PROJETO PERFURAÇÃO'!$AH:$AH,MATCH(MEDIÇÃO!K950,'PROJETO PERFURAÇÃO'!$B:$B,0)),"")</f>
        <v/>
      </c>
      <c r="M950" s="8" t="str">
        <f>IFERROR(INDEX('PROJETO PERFURAÇÃO'!$AN:$AN,MATCH(MEDIÇÃO!K950,'PROJETO PERFURAÇÃO'!$B:$B,0)),"")</f>
        <v/>
      </c>
      <c r="N950" s="3"/>
      <c r="O950" s="3"/>
      <c r="P950" s="3" t="str">
        <f>IFERROR(ROUND(INDEX('PROJETO PERFURAÇÃO'!$AB:$AB,MATCH(MEDIÇÃO!R950,'PROJETO PERFURAÇÃO'!$B:$B,0)),1)&amp;"''","")</f>
        <v/>
      </c>
      <c r="Q950" s="3" t="str">
        <f>IFERROR(IF(INDEX('PROJETO PERFURAÇÃO'!$P:$P,MATCH(MEDIÇÃO!R950,'PROJETO PERFURAÇÃO'!$B:$B,0))="Production","P",IF(INDEX('PROJETO PERFURAÇÃO'!$P:$P,MATCH(MEDIÇÃO!R950,'PROJETO PERFURAÇÃO'!$B:$B,0))="Buffer","B",IF(INDEX('PROJETO PERFURAÇÃO'!$P:$P,MATCH(MEDIÇÃO!R950,'PROJETO PERFURAÇÃO'!$B:$B,0))="Pre-Splitting","S"))),"")</f>
        <v/>
      </c>
      <c r="R950" s="14">
        <f t="shared" si="92"/>
        <v>2132</v>
      </c>
      <c r="S950" s="4" t="str">
        <f>IFERROR(INDEX('LEV R&amp;D'!$D:$D,MATCH(MEDIÇÃO!R950,'LEV R&amp;D'!$A:$A,0))-INDEX('PROJETO PERFURAÇÃO'!$AH:$AH,MATCH(MEDIÇÃO!R950,'PROJETO PERFURAÇÃO'!$B:$B,0)),"")</f>
        <v/>
      </c>
      <c r="T950" s="8" t="str">
        <f>IFERROR(INDEX('PROJETO PERFURAÇÃO'!$AN:$AN,MATCH(MEDIÇÃO!R950,'PROJETO PERFURAÇÃO'!$B:$B,0)),"")</f>
        <v/>
      </c>
      <c r="U950" s="3"/>
      <c r="V950" s="3"/>
    </row>
    <row r="951" spans="2:22" ht="45" customHeight="1" x14ac:dyDescent="0.25">
      <c r="B951" s="3" t="str">
        <f>IFERROR(ROUND(INDEX('PROJETO PERFURAÇÃO'!$AB:$AB,MATCH(MEDIÇÃO!D951,'PROJETO PERFURAÇÃO'!$B:$B,0)),1)&amp;"''","")</f>
        <v/>
      </c>
      <c r="C951" s="3" t="str">
        <f>IFERROR(IF(INDEX('PROJETO PERFURAÇÃO'!$P:$P,MATCH(MEDIÇÃO!D951,'PROJETO PERFURAÇÃO'!$B:$B,0))="Production","P",IF(INDEX('PROJETO PERFURAÇÃO'!$P:$P,MATCH(MEDIÇÃO!D951,'PROJETO PERFURAÇÃO'!$B:$B,0))="Buffer","B",IF(INDEX('PROJETO PERFURAÇÃO'!$P:$P,MATCH(MEDIÇÃO!D951,'PROJETO PERFURAÇÃO'!$B:$B,0))="Pre-Splitting","S"))),"")</f>
        <v/>
      </c>
      <c r="D951" s="14">
        <f t="shared" si="90"/>
        <v>2087</v>
      </c>
      <c r="E951" s="4" t="str">
        <f>IFERROR(INDEX('LEV R&amp;D'!$D:$D,MATCH(MEDIÇÃO!D951,'LEV R&amp;D'!$A:$A,0))-INDEX('PROJETO PERFURAÇÃO'!$AH:$AH,MATCH(MEDIÇÃO!D951,'PROJETO PERFURAÇÃO'!$B:$B,0)),"")</f>
        <v/>
      </c>
      <c r="F951" s="8" t="str">
        <f>IFERROR(INDEX('PROJETO PERFURAÇÃO'!$AN:$AN,MATCH(MEDIÇÃO!D951,'PROJETO PERFURAÇÃO'!$B:$B,0)),"")</f>
        <v/>
      </c>
      <c r="G951" s="3"/>
      <c r="H951" s="3"/>
      <c r="I951" s="3" t="str">
        <f>IFERROR(ROUND(INDEX('PROJETO PERFURAÇÃO'!$AB:$AB,MATCH(MEDIÇÃO!K951,'PROJETO PERFURAÇÃO'!$B:$B,0)),1)&amp;"''","")</f>
        <v/>
      </c>
      <c r="J951" s="3" t="str">
        <f>IFERROR(IF(INDEX('PROJETO PERFURAÇÃO'!$P:$P,MATCH(MEDIÇÃO!K951,'PROJETO PERFURAÇÃO'!$B:$B,0))="Production","P",IF(INDEX('PROJETO PERFURAÇÃO'!$P:$P,MATCH(MEDIÇÃO!K951,'PROJETO PERFURAÇÃO'!$B:$B,0))="Buffer","B",IF(INDEX('PROJETO PERFURAÇÃO'!$P:$P,MATCH(MEDIÇÃO!K951,'PROJETO PERFURAÇÃO'!$B:$B,0))="Pre-Splitting","S"))),"")</f>
        <v/>
      </c>
      <c r="K951" s="14">
        <f t="shared" si="91"/>
        <v>2110</v>
      </c>
      <c r="L951" s="4" t="str">
        <f>IFERROR(INDEX('LEV R&amp;D'!$D:$D,MATCH(MEDIÇÃO!K951,'LEV R&amp;D'!$A:$A,0))-INDEX('PROJETO PERFURAÇÃO'!$AH:$AH,MATCH(MEDIÇÃO!K951,'PROJETO PERFURAÇÃO'!$B:$B,0)),"")</f>
        <v/>
      </c>
      <c r="M951" s="8" t="str">
        <f>IFERROR(INDEX('PROJETO PERFURAÇÃO'!$AN:$AN,MATCH(MEDIÇÃO!K951,'PROJETO PERFURAÇÃO'!$B:$B,0)),"")</f>
        <v/>
      </c>
      <c r="N951" s="3"/>
      <c r="O951" s="3"/>
      <c r="P951" s="3" t="str">
        <f>IFERROR(ROUND(INDEX('PROJETO PERFURAÇÃO'!$AB:$AB,MATCH(MEDIÇÃO!R951,'PROJETO PERFURAÇÃO'!$B:$B,0)),1)&amp;"''","")</f>
        <v/>
      </c>
      <c r="Q951" s="3" t="str">
        <f>IFERROR(IF(INDEX('PROJETO PERFURAÇÃO'!$P:$P,MATCH(MEDIÇÃO!R951,'PROJETO PERFURAÇÃO'!$B:$B,0))="Production","P",IF(INDEX('PROJETO PERFURAÇÃO'!$P:$P,MATCH(MEDIÇÃO!R951,'PROJETO PERFURAÇÃO'!$B:$B,0))="Buffer","B",IF(INDEX('PROJETO PERFURAÇÃO'!$P:$P,MATCH(MEDIÇÃO!R951,'PROJETO PERFURAÇÃO'!$B:$B,0))="Pre-Splitting","S"))),"")</f>
        <v/>
      </c>
      <c r="R951" s="14">
        <f t="shared" si="92"/>
        <v>2133</v>
      </c>
      <c r="S951" s="4" t="str">
        <f>IFERROR(INDEX('LEV R&amp;D'!$D:$D,MATCH(MEDIÇÃO!R951,'LEV R&amp;D'!$A:$A,0))-INDEX('PROJETO PERFURAÇÃO'!$AH:$AH,MATCH(MEDIÇÃO!R951,'PROJETO PERFURAÇÃO'!$B:$B,0)),"")</f>
        <v/>
      </c>
      <c r="T951" s="8" t="str">
        <f>IFERROR(INDEX('PROJETO PERFURAÇÃO'!$AN:$AN,MATCH(MEDIÇÃO!R951,'PROJETO PERFURAÇÃO'!$B:$B,0)),"")</f>
        <v/>
      </c>
      <c r="U951" s="3"/>
      <c r="V951" s="3"/>
    </row>
    <row r="952" spans="2:22" ht="45" customHeight="1" x14ac:dyDescent="0.25">
      <c r="B952" s="3" t="str">
        <f>IFERROR(ROUND(INDEX('PROJETO PERFURAÇÃO'!$AB:$AB,MATCH(MEDIÇÃO!D952,'PROJETO PERFURAÇÃO'!$B:$B,0)),1)&amp;"''","")</f>
        <v/>
      </c>
      <c r="C952" s="3" t="str">
        <f>IFERROR(IF(INDEX('PROJETO PERFURAÇÃO'!$P:$P,MATCH(MEDIÇÃO!D952,'PROJETO PERFURAÇÃO'!$B:$B,0))="Production","P",IF(INDEX('PROJETO PERFURAÇÃO'!$P:$P,MATCH(MEDIÇÃO!D952,'PROJETO PERFURAÇÃO'!$B:$B,0))="Buffer","B",IF(INDEX('PROJETO PERFURAÇÃO'!$P:$P,MATCH(MEDIÇÃO!D952,'PROJETO PERFURAÇÃO'!$B:$B,0))="Pre-Splitting","S"))),"")</f>
        <v/>
      </c>
      <c r="D952" s="14">
        <f t="shared" si="90"/>
        <v>2088</v>
      </c>
      <c r="E952" s="4" t="str">
        <f>IFERROR(INDEX('LEV R&amp;D'!$D:$D,MATCH(MEDIÇÃO!D952,'LEV R&amp;D'!$A:$A,0))-INDEX('PROJETO PERFURAÇÃO'!$AH:$AH,MATCH(MEDIÇÃO!D952,'PROJETO PERFURAÇÃO'!$B:$B,0)),"")</f>
        <v/>
      </c>
      <c r="F952" s="8" t="str">
        <f>IFERROR(INDEX('PROJETO PERFURAÇÃO'!$AN:$AN,MATCH(MEDIÇÃO!D952,'PROJETO PERFURAÇÃO'!$B:$B,0)),"")</f>
        <v/>
      </c>
      <c r="G952" s="3"/>
      <c r="H952" s="3"/>
      <c r="I952" s="3" t="str">
        <f>IFERROR(ROUND(INDEX('PROJETO PERFURAÇÃO'!$AB:$AB,MATCH(MEDIÇÃO!K952,'PROJETO PERFURAÇÃO'!$B:$B,0)),1)&amp;"''","")</f>
        <v/>
      </c>
      <c r="J952" s="3" t="str">
        <f>IFERROR(IF(INDEX('PROJETO PERFURAÇÃO'!$P:$P,MATCH(MEDIÇÃO!K952,'PROJETO PERFURAÇÃO'!$B:$B,0))="Production","P",IF(INDEX('PROJETO PERFURAÇÃO'!$P:$P,MATCH(MEDIÇÃO!K952,'PROJETO PERFURAÇÃO'!$B:$B,0))="Buffer","B",IF(INDEX('PROJETO PERFURAÇÃO'!$P:$P,MATCH(MEDIÇÃO!K952,'PROJETO PERFURAÇÃO'!$B:$B,0))="Pre-Splitting","S"))),"")</f>
        <v/>
      </c>
      <c r="K952" s="14">
        <f t="shared" si="91"/>
        <v>2111</v>
      </c>
      <c r="L952" s="4" t="str">
        <f>IFERROR(INDEX('LEV R&amp;D'!$D:$D,MATCH(MEDIÇÃO!K952,'LEV R&amp;D'!$A:$A,0))-INDEX('PROJETO PERFURAÇÃO'!$AH:$AH,MATCH(MEDIÇÃO!K952,'PROJETO PERFURAÇÃO'!$B:$B,0)),"")</f>
        <v/>
      </c>
      <c r="M952" s="8" t="str">
        <f>IFERROR(INDEX('PROJETO PERFURAÇÃO'!$AN:$AN,MATCH(MEDIÇÃO!K952,'PROJETO PERFURAÇÃO'!$B:$B,0)),"")</f>
        <v/>
      </c>
      <c r="N952" s="3"/>
      <c r="O952" s="3"/>
      <c r="P952" s="3" t="str">
        <f>IFERROR(ROUND(INDEX('PROJETO PERFURAÇÃO'!$AB:$AB,MATCH(MEDIÇÃO!R952,'PROJETO PERFURAÇÃO'!$B:$B,0)),1)&amp;"''","")</f>
        <v/>
      </c>
      <c r="Q952" s="3" t="str">
        <f>IFERROR(IF(INDEX('PROJETO PERFURAÇÃO'!$P:$P,MATCH(MEDIÇÃO!R952,'PROJETO PERFURAÇÃO'!$B:$B,0))="Production","P",IF(INDEX('PROJETO PERFURAÇÃO'!$P:$P,MATCH(MEDIÇÃO!R952,'PROJETO PERFURAÇÃO'!$B:$B,0))="Buffer","B",IF(INDEX('PROJETO PERFURAÇÃO'!$P:$P,MATCH(MEDIÇÃO!R952,'PROJETO PERFURAÇÃO'!$B:$B,0))="Pre-Splitting","S"))),"")</f>
        <v/>
      </c>
      <c r="R952" s="14">
        <f t="shared" si="92"/>
        <v>2134</v>
      </c>
      <c r="S952" s="4" t="str">
        <f>IFERROR(INDEX('LEV R&amp;D'!$D:$D,MATCH(MEDIÇÃO!R952,'LEV R&amp;D'!$A:$A,0))-INDEX('PROJETO PERFURAÇÃO'!$AH:$AH,MATCH(MEDIÇÃO!R952,'PROJETO PERFURAÇÃO'!$B:$B,0)),"")</f>
        <v/>
      </c>
      <c r="T952" s="8" t="str">
        <f>IFERROR(INDEX('PROJETO PERFURAÇÃO'!$AN:$AN,MATCH(MEDIÇÃO!R952,'PROJETO PERFURAÇÃO'!$B:$B,0)),"")</f>
        <v/>
      </c>
      <c r="U952" s="3"/>
      <c r="V952" s="3"/>
    </row>
    <row r="953" spans="2:22" ht="45" customHeight="1" x14ac:dyDescent="0.25">
      <c r="B953" s="3" t="str">
        <f>IFERROR(ROUND(INDEX('PROJETO PERFURAÇÃO'!$AB:$AB,MATCH(MEDIÇÃO!D953,'PROJETO PERFURAÇÃO'!$B:$B,0)),1)&amp;"''","")</f>
        <v/>
      </c>
      <c r="C953" s="3" t="str">
        <f>IFERROR(IF(INDEX('PROJETO PERFURAÇÃO'!$P:$P,MATCH(MEDIÇÃO!D953,'PROJETO PERFURAÇÃO'!$B:$B,0))="Production","P",IF(INDEX('PROJETO PERFURAÇÃO'!$P:$P,MATCH(MEDIÇÃO!D953,'PROJETO PERFURAÇÃO'!$B:$B,0))="Buffer","B",IF(INDEX('PROJETO PERFURAÇÃO'!$P:$P,MATCH(MEDIÇÃO!D953,'PROJETO PERFURAÇÃO'!$B:$B,0))="Pre-Splitting","S"))),"")</f>
        <v/>
      </c>
      <c r="D953" s="14">
        <f t="shared" si="90"/>
        <v>2089</v>
      </c>
      <c r="E953" s="4" t="str">
        <f>IFERROR(INDEX('LEV R&amp;D'!$D:$D,MATCH(MEDIÇÃO!D953,'LEV R&amp;D'!$A:$A,0))-INDEX('PROJETO PERFURAÇÃO'!$AH:$AH,MATCH(MEDIÇÃO!D953,'PROJETO PERFURAÇÃO'!$B:$B,0)),"")</f>
        <v/>
      </c>
      <c r="F953" s="8" t="str">
        <f>IFERROR(INDEX('PROJETO PERFURAÇÃO'!$AN:$AN,MATCH(MEDIÇÃO!D953,'PROJETO PERFURAÇÃO'!$B:$B,0)),"")</f>
        <v/>
      </c>
      <c r="G953" s="3"/>
      <c r="H953" s="3"/>
      <c r="I953" s="3" t="str">
        <f>IFERROR(ROUND(INDEX('PROJETO PERFURAÇÃO'!$AB:$AB,MATCH(MEDIÇÃO!K953,'PROJETO PERFURAÇÃO'!$B:$B,0)),1)&amp;"''","")</f>
        <v/>
      </c>
      <c r="J953" s="3" t="str">
        <f>IFERROR(IF(INDEX('PROJETO PERFURAÇÃO'!$P:$P,MATCH(MEDIÇÃO!K953,'PROJETO PERFURAÇÃO'!$B:$B,0))="Production","P",IF(INDEX('PROJETO PERFURAÇÃO'!$P:$P,MATCH(MEDIÇÃO!K953,'PROJETO PERFURAÇÃO'!$B:$B,0))="Buffer","B",IF(INDEX('PROJETO PERFURAÇÃO'!$P:$P,MATCH(MEDIÇÃO!K953,'PROJETO PERFURAÇÃO'!$B:$B,0))="Pre-Splitting","S"))),"")</f>
        <v/>
      </c>
      <c r="K953" s="14">
        <f t="shared" si="91"/>
        <v>2112</v>
      </c>
      <c r="L953" s="4" t="str">
        <f>IFERROR(INDEX('LEV R&amp;D'!$D:$D,MATCH(MEDIÇÃO!K953,'LEV R&amp;D'!$A:$A,0))-INDEX('PROJETO PERFURAÇÃO'!$AH:$AH,MATCH(MEDIÇÃO!K953,'PROJETO PERFURAÇÃO'!$B:$B,0)),"")</f>
        <v/>
      </c>
      <c r="M953" s="8" t="str">
        <f>IFERROR(INDEX('PROJETO PERFURAÇÃO'!$AN:$AN,MATCH(MEDIÇÃO!K953,'PROJETO PERFURAÇÃO'!$B:$B,0)),"")</f>
        <v/>
      </c>
      <c r="N953" s="3"/>
      <c r="O953" s="3"/>
      <c r="P953" s="3" t="str">
        <f>IFERROR(ROUND(INDEX('PROJETO PERFURAÇÃO'!$AB:$AB,MATCH(MEDIÇÃO!R953,'PROJETO PERFURAÇÃO'!$B:$B,0)),1)&amp;"''","")</f>
        <v/>
      </c>
      <c r="Q953" s="3" t="str">
        <f>IFERROR(IF(INDEX('PROJETO PERFURAÇÃO'!$P:$P,MATCH(MEDIÇÃO!R953,'PROJETO PERFURAÇÃO'!$B:$B,0))="Production","P",IF(INDEX('PROJETO PERFURAÇÃO'!$P:$P,MATCH(MEDIÇÃO!R953,'PROJETO PERFURAÇÃO'!$B:$B,0))="Buffer","B",IF(INDEX('PROJETO PERFURAÇÃO'!$P:$P,MATCH(MEDIÇÃO!R953,'PROJETO PERFURAÇÃO'!$B:$B,0))="Pre-Splitting","S"))),"")</f>
        <v/>
      </c>
      <c r="R953" s="14">
        <f t="shared" si="92"/>
        <v>2135</v>
      </c>
      <c r="S953" s="4" t="str">
        <f>IFERROR(INDEX('LEV R&amp;D'!$D:$D,MATCH(MEDIÇÃO!R953,'LEV R&amp;D'!$A:$A,0))-INDEX('PROJETO PERFURAÇÃO'!$AH:$AH,MATCH(MEDIÇÃO!R953,'PROJETO PERFURAÇÃO'!$B:$B,0)),"")</f>
        <v/>
      </c>
      <c r="T953" s="8" t="str">
        <f>IFERROR(INDEX('PROJETO PERFURAÇÃO'!$AN:$AN,MATCH(MEDIÇÃO!R953,'PROJETO PERFURAÇÃO'!$B:$B,0)),"")</f>
        <v/>
      </c>
      <c r="U953" s="3"/>
      <c r="V953" s="3"/>
    </row>
    <row r="954" spans="2:22" ht="45" customHeight="1" x14ac:dyDescent="0.25">
      <c r="B954" s="3" t="str">
        <f>IFERROR(ROUND(INDEX('PROJETO PERFURAÇÃO'!$AB:$AB,MATCH(MEDIÇÃO!D954,'PROJETO PERFURAÇÃO'!$B:$B,0)),1)&amp;"''","")</f>
        <v/>
      </c>
      <c r="C954" s="3" t="str">
        <f>IFERROR(IF(INDEX('PROJETO PERFURAÇÃO'!$P:$P,MATCH(MEDIÇÃO!D954,'PROJETO PERFURAÇÃO'!$B:$B,0))="Production","P",IF(INDEX('PROJETO PERFURAÇÃO'!$P:$P,MATCH(MEDIÇÃO!D954,'PROJETO PERFURAÇÃO'!$B:$B,0))="Buffer","B",IF(INDEX('PROJETO PERFURAÇÃO'!$P:$P,MATCH(MEDIÇÃO!D954,'PROJETO PERFURAÇÃO'!$B:$B,0))="Pre-Splitting","S"))),"")</f>
        <v/>
      </c>
      <c r="D954" s="14">
        <f t="shared" si="90"/>
        <v>2090</v>
      </c>
      <c r="E954" s="4" t="str">
        <f>IFERROR(INDEX('LEV R&amp;D'!$D:$D,MATCH(MEDIÇÃO!D954,'LEV R&amp;D'!$A:$A,0))-INDEX('PROJETO PERFURAÇÃO'!$AH:$AH,MATCH(MEDIÇÃO!D954,'PROJETO PERFURAÇÃO'!$B:$B,0)),"")</f>
        <v/>
      </c>
      <c r="F954" s="8" t="str">
        <f>IFERROR(INDEX('PROJETO PERFURAÇÃO'!$AN:$AN,MATCH(MEDIÇÃO!D954,'PROJETO PERFURAÇÃO'!$B:$B,0)),"")</f>
        <v/>
      </c>
      <c r="G954" s="3"/>
      <c r="H954" s="3"/>
      <c r="I954" s="3" t="str">
        <f>IFERROR(ROUND(INDEX('PROJETO PERFURAÇÃO'!$AB:$AB,MATCH(MEDIÇÃO!K954,'PROJETO PERFURAÇÃO'!$B:$B,0)),1)&amp;"''","")</f>
        <v/>
      </c>
      <c r="J954" s="3" t="str">
        <f>IFERROR(IF(INDEX('PROJETO PERFURAÇÃO'!$P:$P,MATCH(MEDIÇÃO!K954,'PROJETO PERFURAÇÃO'!$B:$B,0))="Production","P",IF(INDEX('PROJETO PERFURAÇÃO'!$P:$P,MATCH(MEDIÇÃO!K954,'PROJETO PERFURAÇÃO'!$B:$B,0))="Buffer","B",IF(INDEX('PROJETO PERFURAÇÃO'!$P:$P,MATCH(MEDIÇÃO!K954,'PROJETO PERFURAÇÃO'!$B:$B,0))="Pre-Splitting","S"))),"")</f>
        <v/>
      </c>
      <c r="K954" s="14">
        <f t="shared" si="91"/>
        <v>2113</v>
      </c>
      <c r="L954" s="4" t="str">
        <f>IFERROR(INDEX('LEV R&amp;D'!$D:$D,MATCH(MEDIÇÃO!K954,'LEV R&amp;D'!$A:$A,0))-INDEX('PROJETO PERFURAÇÃO'!$AH:$AH,MATCH(MEDIÇÃO!K954,'PROJETO PERFURAÇÃO'!$B:$B,0)),"")</f>
        <v/>
      </c>
      <c r="M954" s="8" t="str">
        <f>IFERROR(INDEX('PROJETO PERFURAÇÃO'!$AN:$AN,MATCH(MEDIÇÃO!K954,'PROJETO PERFURAÇÃO'!$B:$B,0)),"")</f>
        <v/>
      </c>
      <c r="N954" s="3"/>
      <c r="O954" s="3"/>
      <c r="P954" s="3" t="str">
        <f>IFERROR(ROUND(INDEX('PROJETO PERFURAÇÃO'!$AB:$AB,MATCH(MEDIÇÃO!R954,'PROJETO PERFURAÇÃO'!$B:$B,0)),1)&amp;"''","")</f>
        <v/>
      </c>
      <c r="Q954" s="3" t="str">
        <f>IFERROR(IF(INDEX('PROJETO PERFURAÇÃO'!$P:$P,MATCH(MEDIÇÃO!R954,'PROJETO PERFURAÇÃO'!$B:$B,0))="Production","P",IF(INDEX('PROJETO PERFURAÇÃO'!$P:$P,MATCH(MEDIÇÃO!R954,'PROJETO PERFURAÇÃO'!$B:$B,0))="Buffer","B",IF(INDEX('PROJETO PERFURAÇÃO'!$P:$P,MATCH(MEDIÇÃO!R954,'PROJETO PERFURAÇÃO'!$B:$B,0))="Pre-Splitting","S"))),"")</f>
        <v/>
      </c>
      <c r="R954" s="14">
        <f t="shared" si="92"/>
        <v>2136</v>
      </c>
      <c r="S954" s="4" t="str">
        <f>IFERROR(INDEX('LEV R&amp;D'!$D:$D,MATCH(MEDIÇÃO!R954,'LEV R&amp;D'!$A:$A,0))-INDEX('PROJETO PERFURAÇÃO'!$AH:$AH,MATCH(MEDIÇÃO!R954,'PROJETO PERFURAÇÃO'!$B:$B,0)),"")</f>
        <v/>
      </c>
      <c r="T954" s="8" t="str">
        <f>IFERROR(INDEX('PROJETO PERFURAÇÃO'!$AN:$AN,MATCH(MEDIÇÃO!R954,'PROJETO PERFURAÇÃO'!$B:$B,0)),"")</f>
        <v/>
      </c>
      <c r="U954" s="3"/>
      <c r="V954" s="3"/>
    </row>
    <row r="955" spans="2:22" ht="45" customHeight="1" x14ac:dyDescent="0.25">
      <c r="B955" s="3" t="str">
        <f>IFERROR(ROUND(INDEX('PROJETO PERFURAÇÃO'!$AB:$AB,MATCH(MEDIÇÃO!D955,'PROJETO PERFURAÇÃO'!$B:$B,0)),1)&amp;"''","")</f>
        <v/>
      </c>
      <c r="C955" s="3" t="str">
        <f>IFERROR(IF(INDEX('PROJETO PERFURAÇÃO'!$P:$P,MATCH(MEDIÇÃO!D955,'PROJETO PERFURAÇÃO'!$B:$B,0))="Production","P",IF(INDEX('PROJETO PERFURAÇÃO'!$P:$P,MATCH(MEDIÇÃO!D955,'PROJETO PERFURAÇÃO'!$B:$B,0))="Buffer","B",IF(INDEX('PROJETO PERFURAÇÃO'!$P:$P,MATCH(MEDIÇÃO!D955,'PROJETO PERFURAÇÃO'!$B:$B,0))="Pre-Splitting","S"))),"")</f>
        <v/>
      </c>
      <c r="D955" s="14">
        <f t="shared" si="90"/>
        <v>2091</v>
      </c>
      <c r="E955" s="4" t="str">
        <f>IFERROR(INDEX('LEV R&amp;D'!$D:$D,MATCH(MEDIÇÃO!D955,'LEV R&amp;D'!$A:$A,0))-INDEX('PROJETO PERFURAÇÃO'!$AH:$AH,MATCH(MEDIÇÃO!D955,'PROJETO PERFURAÇÃO'!$B:$B,0)),"")</f>
        <v/>
      </c>
      <c r="F955" s="8" t="str">
        <f>IFERROR(INDEX('PROJETO PERFURAÇÃO'!$AN:$AN,MATCH(MEDIÇÃO!D955,'PROJETO PERFURAÇÃO'!$B:$B,0)),"")</f>
        <v/>
      </c>
      <c r="G955" s="3"/>
      <c r="H955" s="3"/>
      <c r="I955" s="3" t="str">
        <f>IFERROR(ROUND(INDEX('PROJETO PERFURAÇÃO'!$AB:$AB,MATCH(MEDIÇÃO!K955,'PROJETO PERFURAÇÃO'!$B:$B,0)),1)&amp;"''","")</f>
        <v/>
      </c>
      <c r="J955" s="3" t="str">
        <f>IFERROR(IF(INDEX('PROJETO PERFURAÇÃO'!$P:$P,MATCH(MEDIÇÃO!K955,'PROJETO PERFURAÇÃO'!$B:$B,0))="Production","P",IF(INDEX('PROJETO PERFURAÇÃO'!$P:$P,MATCH(MEDIÇÃO!K955,'PROJETO PERFURAÇÃO'!$B:$B,0))="Buffer","B",IF(INDEX('PROJETO PERFURAÇÃO'!$P:$P,MATCH(MEDIÇÃO!K955,'PROJETO PERFURAÇÃO'!$B:$B,0))="Pre-Splitting","S"))),"")</f>
        <v/>
      </c>
      <c r="K955" s="14">
        <f t="shared" si="91"/>
        <v>2114</v>
      </c>
      <c r="L955" s="4" t="str">
        <f>IFERROR(INDEX('LEV R&amp;D'!$D:$D,MATCH(MEDIÇÃO!K955,'LEV R&amp;D'!$A:$A,0))-INDEX('PROJETO PERFURAÇÃO'!$AH:$AH,MATCH(MEDIÇÃO!K955,'PROJETO PERFURAÇÃO'!$B:$B,0)),"")</f>
        <v/>
      </c>
      <c r="M955" s="8" t="str">
        <f>IFERROR(INDEX('PROJETO PERFURAÇÃO'!$AN:$AN,MATCH(MEDIÇÃO!K955,'PROJETO PERFURAÇÃO'!$B:$B,0)),"")</f>
        <v/>
      </c>
      <c r="N955" s="3"/>
      <c r="O955" s="3"/>
      <c r="P955" s="3" t="str">
        <f>IFERROR(ROUND(INDEX('PROJETO PERFURAÇÃO'!$AB:$AB,MATCH(MEDIÇÃO!R955,'PROJETO PERFURAÇÃO'!$B:$B,0)),1)&amp;"''","")</f>
        <v/>
      </c>
      <c r="Q955" s="3" t="str">
        <f>IFERROR(IF(INDEX('PROJETO PERFURAÇÃO'!$P:$P,MATCH(MEDIÇÃO!R955,'PROJETO PERFURAÇÃO'!$B:$B,0))="Production","P",IF(INDEX('PROJETO PERFURAÇÃO'!$P:$P,MATCH(MEDIÇÃO!R955,'PROJETO PERFURAÇÃO'!$B:$B,0))="Buffer","B",IF(INDEX('PROJETO PERFURAÇÃO'!$P:$P,MATCH(MEDIÇÃO!R955,'PROJETO PERFURAÇÃO'!$B:$B,0))="Pre-Splitting","S"))),"")</f>
        <v/>
      </c>
      <c r="R955" s="14">
        <f t="shared" si="92"/>
        <v>2137</v>
      </c>
      <c r="S955" s="4" t="str">
        <f>IFERROR(INDEX('LEV R&amp;D'!$D:$D,MATCH(MEDIÇÃO!R955,'LEV R&amp;D'!$A:$A,0))-INDEX('PROJETO PERFURAÇÃO'!$AH:$AH,MATCH(MEDIÇÃO!R955,'PROJETO PERFURAÇÃO'!$B:$B,0)),"")</f>
        <v/>
      </c>
      <c r="T955" s="8" t="str">
        <f>IFERROR(INDEX('PROJETO PERFURAÇÃO'!$AN:$AN,MATCH(MEDIÇÃO!R955,'PROJETO PERFURAÇÃO'!$B:$B,0)),"")</f>
        <v/>
      </c>
      <c r="U955" s="3"/>
      <c r="V955" s="3"/>
    </row>
    <row r="956" spans="2:22" ht="45" customHeight="1" x14ac:dyDescent="0.25">
      <c r="B956" s="3" t="str">
        <f>IFERROR(ROUND(INDEX('PROJETO PERFURAÇÃO'!$AB:$AB,MATCH(MEDIÇÃO!D956,'PROJETO PERFURAÇÃO'!$B:$B,0)),1)&amp;"''","")</f>
        <v/>
      </c>
      <c r="C956" s="3" t="str">
        <f>IFERROR(IF(INDEX('PROJETO PERFURAÇÃO'!$P:$P,MATCH(MEDIÇÃO!D956,'PROJETO PERFURAÇÃO'!$B:$B,0))="Production","P",IF(INDEX('PROJETO PERFURAÇÃO'!$P:$P,MATCH(MEDIÇÃO!D956,'PROJETO PERFURAÇÃO'!$B:$B,0))="Buffer","B",IF(INDEX('PROJETO PERFURAÇÃO'!$P:$P,MATCH(MEDIÇÃO!D956,'PROJETO PERFURAÇÃO'!$B:$B,0))="Pre-Splitting","S"))),"")</f>
        <v/>
      </c>
      <c r="D956" s="14">
        <f t="shared" si="90"/>
        <v>2092</v>
      </c>
      <c r="E956" s="4" t="str">
        <f>IFERROR(INDEX('LEV R&amp;D'!$D:$D,MATCH(MEDIÇÃO!D956,'LEV R&amp;D'!$A:$A,0))-INDEX('PROJETO PERFURAÇÃO'!$AH:$AH,MATCH(MEDIÇÃO!D956,'PROJETO PERFURAÇÃO'!$B:$B,0)),"")</f>
        <v/>
      </c>
      <c r="F956" s="8" t="str">
        <f>IFERROR(INDEX('PROJETO PERFURAÇÃO'!$AN:$AN,MATCH(MEDIÇÃO!D956,'PROJETO PERFURAÇÃO'!$B:$B,0)),"")</f>
        <v/>
      </c>
      <c r="G956" s="3"/>
      <c r="H956" s="3"/>
      <c r="I956" s="3" t="str">
        <f>IFERROR(ROUND(INDEX('PROJETO PERFURAÇÃO'!$AB:$AB,MATCH(MEDIÇÃO!K956,'PROJETO PERFURAÇÃO'!$B:$B,0)),1)&amp;"''","")</f>
        <v/>
      </c>
      <c r="J956" s="3" t="str">
        <f>IFERROR(IF(INDEX('PROJETO PERFURAÇÃO'!$P:$P,MATCH(MEDIÇÃO!K956,'PROJETO PERFURAÇÃO'!$B:$B,0))="Production","P",IF(INDEX('PROJETO PERFURAÇÃO'!$P:$P,MATCH(MEDIÇÃO!K956,'PROJETO PERFURAÇÃO'!$B:$B,0))="Buffer","B",IF(INDEX('PROJETO PERFURAÇÃO'!$P:$P,MATCH(MEDIÇÃO!K956,'PROJETO PERFURAÇÃO'!$B:$B,0))="Pre-Splitting","S"))),"")</f>
        <v/>
      </c>
      <c r="K956" s="14">
        <f t="shared" si="91"/>
        <v>2115</v>
      </c>
      <c r="L956" s="4" t="str">
        <f>IFERROR(INDEX('LEV R&amp;D'!$D:$D,MATCH(MEDIÇÃO!K956,'LEV R&amp;D'!$A:$A,0))-INDEX('PROJETO PERFURAÇÃO'!$AH:$AH,MATCH(MEDIÇÃO!K956,'PROJETO PERFURAÇÃO'!$B:$B,0)),"")</f>
        <v/>
      </c>
      <c r="M956" s="8" t="str">
        <f>IFERROR(INDEX('PROJETO PERFURAÇÃO'!$AN:$AN,MATCH(MEDIÇÃO!K956,'PROJETO PERFURAÇÃO'!$B:$B,0)),"")</f>
        <v/>
      </c>
      <c r="N956" s="3"/>
      <c r="O956" s="3"/>
      <c r="P956" s="3" t="str">
        <f>IFERROR(ROUND(INDEX('PROJETO PERFURAÇÃO'!$AB:$AB,MATCH(MEDIÇÃO!R956,'PROJETO PERFURAÇÃO'!$B:$B,0)),1)&amp;"''","")</f>
        <v/>
      </c>
      <c r="Q956" s="3" t="str">
        <f>IFERROR(IF(INDEX('PROJETO PERFURAÇÃO'!$P:$P,MATCH(MEDIÇÃO!R956,'PROJETO PERFURAÇÃO'!$B:$B,0))="Production","P",IF(INDEX('PROJETO PERFURAÇÃO'!$P:$P,MATCH(MEDIÇÃO!R956,'PROJETO PERFURAÇÃO'!$B:$B,0))="Buffer","B",IF(INDEX('PROJETO PERFURAÇÃO'!$P:$P,MATCH(MEDIÇÃO!R956,'PROJETO PERFURAÇÃO'!$B:$B,0))="Pre-Splitting","S"))),"")</f>
        <v/>
      </c>
      <c r="R956" s="14">
        <f t="shared" si="92"/>
        <v>2138</v>
      </c>
      <c r="S956" s="4" t="str">
        <f>IFERROR(INDEX('LEV R&amp;D'!$D:$D,MATCH(MEDIÇÃO!R956,'LEV R&amp;D'!$A:$A,0))-INDEX('PROJETO PERFURAÇÃO'!$AH:$AH,MATCH(MEDIÇÃO!R956,'PROJETO PERFURAÇÃO'!$B:$B,0)),"")</f>
        <v/>
      </c>
      <c r="T956" s="8" t="str">
        <f>IFERROR(INDEX('PROJETO PERFURAÇÃO'!$AN:$AN,MATCH(MEDIÇÃO!R956,'PROJETO PERFURAÇÃO'!$B:$B,0)),"")</f>
        <v/>
      </c>
      <c r="U956" s="3"/>
      <c r="V956" s="3"/>
    </row>
    <row r="957" spans="2:22" ht="45" customHeight="1" x14ac:dyDescent="0.25">
      <c r="B957" s="3" t="str">
        <f>IFERROR(ROUND(INDEX('PROJETO PERFURAÇÃO'!$AB:$AB,MATCH(MEDIÇÃO!D957,'PROJETO PERFURAÇÃO'!$B:$B,0)),1)&amp;"''","")</f>
        <v/>
      </c>
      <c r="C957" s="3" t="str">
        <f>IFERROR(IF(INDEX('PROJETO PERFURAÇÃO'!$P:$P,MATCH(MEDIÇÃO!D957,'PROJETO PERFURAÇÃO'!$B:$B,0))="Production","P",IF(INDEX('PROJETO PERFURAÇÃO'!$P:$P,MATCH(MEDIÇÃO!D957,'PROJETO PERFURAÇÃO'!$B:$B,0))="Buffer","B",IF(INDEX('PROJETO PERFURAÇÃO'!$P:$P,MATCH(MEDIÇÃO!D957,'PROJETO PERFURAÇÃO'!$B:$B,0))="Pre-Splitting","S"))),"")</f>
        <v/>
      </c>
      <c r="D957" s="14">
        <f t="shared" si="90"/>
        <v>2093</v>
      </c>
      <c r="E957" s="4" t="str">
        <f>IFERROR(INDEX('LEV R&amp;D'!$D:$D,MATCH(MEDIÇÃO!D957,'LEV R&amp;D'!$A:$A,0))-INDEX('PROJETO PERFURAÇÃO'!$AH:$AH,MATCH(MEDIÇÃO!D957,'PROJETO PERFURAÇÃO'!$B:$B,0)),"")</f>
        <v/>
      </c>
      <c r="F957" s="8" t="str">
        <f>IFERROR(INDEX('PROJETO PERFURAÇÃO'!$AN:$AN,MATCH(MEDIÇÃO!D957,'PROJETO PERFURAÇÃO'!$B:$B,0)),"")</f>
        <v/>
      </c>
      <c r="G957" s="3"/>
      <c r="H957" s="3"/>
      <c r="I957" s="3" t="str">
        <f>IFERROR(ROUND(INDEX('PROJETO PERFURAÇÃO'!$AB:$AB,MATCH(MEDIÇÃO!K957,'PROJETO PERFURAÇÃO'!$B:$B,0)),1)&amp;"''","")</f>
        <v/>
      </c>
      <c r="J957" s="3" t="str">
        <f>IFERROR(IF(INDEX('PROJETO PERFURAÇÃO'!$P:$P,MATCH(MEDIÇÃO!K957,'PROJETO PERFURAÇÃO'!$B:$B,0))="Production","P",IF(INDEX('PROJETO PERFURAÇÃO'!$P:$P,MATCH(MEDIÇÃO!K957,'PROJETO PERFURAÇÃO'!$B:$B,0))="Buffer","B",IF(INDEX('PROJETO PERFURAÇÃO'!$P:$P,MATCH(MEDIÇÃO!K957,'PROJETO PERFURAÇÃO'!$B:$B,0))="Pre-Splitting","S"))),"")</f>
        <v/>
      </c>
      <c r="K957" s="14">
        <f>K956+1</f>
        <v>2116</v>
      </c>
      <c r="L957" s="4" t="str">
        <f>IFERROR(INDEX('LEV R&amp;D'!$D:$D,MATCH(MEDIÇÃO!K957,'LEV R&amp;D'!$A:$A,0))-INDEX('PROJETO PERFURAÇÃO'!$AH:$AH,MATCH(MEDIÇÃO!K957,'PROJETO PERFURAÇÃO'!$B:$B,0)),"")</f>
        <v/>
      </c>
      <c r="M957" s="8" t="str">
        <f>IFERROR(INDEX('PROJETO PERFURAÇÃO'!$AN:$AN,MATCH(MEDIÇÃO!K957,'PROJETO PERFURAÇÃO'!$B:$B,0)),"")</f>
        <v/>
      </c>
      <c r="N957" s="3"/>
      <c r="O957" s="3"/>
      <c r="P957" s="3" t="str">
        <f>IFERROR(ROUND(INDEX('PROJETO PERFURAÇÃO'!$AB:$AB,MATCH(MEDIÇÃO!R957,'PROJETO PERFURAÇÃO'!$B:$B,0)),1)&amp;"''","")</f>
        <v/>
      </c>
      <c r="Q957" s="3" t="str">
        <f>IFERROR(IF(INDEX('PROJETO PERFURAÇÃO'!$P:$P,MATCH(MEDIÇÃO!R957,'PROJETO PERFURAÇÃO'!$B:$B,0))="Production","P",IF(INDEX('PROJETO PERFURAÇÃO'!$P:$P,MATCH(MEDIÇÃO!R957,'PROJETO PERFURAÇÃO'!$B:$B,0))="Buffer","B",IF(INDEX('PROJETO PERFURAÇÃO'!$P:$P,MATCH(MEDIÇÃO!R957,'PROJETO PERFURAÇÃO'!$B:$B,0))="Pre-Splitting","S"))),"")</f>
        <v/>
      </c>
      <c r="R957" s="14">
        <f>R956+1</f>
        <v>2139</v>
      </c>
      <c r="S957" s="4" t="str">
        <f>IFERROR(INDEX('LEV R&amp;D'!$D:$D,MATCH(MEDIÇÃO!R957,'LEV R&amp;D'!$A:$A,0))-INDEX('PROJETO PERFURAÇÃO'!$AH:$AH,MATCH(MEDIÇÃO!R957,'PROJETO PERFURAÇÃO'!$B:$B,0)),"")</f>
        <v/>
      </c>
      <c r="T957" s="8" t="str">
        <f>IFERROR(INDEX('PROJETO PERFURAÇÃO'!$AN:$AN,MATCH(MEDIÇÃO!R957,'PROJETO PERFURAÇÃO'!$B:$B,0)),"")</f>
        <v/>
      </c>
      <c r="U957" s="3"/>
      <c r="V957" s="3"/>
    </row>
    <row r="958" spans="2:22" ht="30" customHeight="1" x14ac:dyDescent="0.25">
      <c r="B958" s="1"/>
      <c r="C958" s="1"/>
      <c r="D958" s="15"/>
      <c r="E958" s="2"/>
      <c r="F958" s="16"/>
      <c r="G958" s="1"/>
      <c r="H958" s="1"/>
      <c r="I958" s="1"/>
      <c r="J958" s="1"/>
      <c r="K958" s="15"/>
      <c r="L958" s="2"/>
      <c r="M958" s="16"/>
      <c r="N958" s="1"/>
      <c r="O958" s="1"/>
      <c r="P958" s="1"/>
      <c r="Q958" s="1"/>
      <c r="R958" s="15"/>
      <c r="S958" s="2"/>
      <c r="T958" s="16"/>
      <c r="U958" s="1"/>
      <c r="V958" s="1"/>
    </row>
    <row r="959" spans="2:22" ht="30" customHeight="1" x14ac:dyDescent="0.25">
      <c r="C959" s="20"/>
      <c r="D959" s="20"/>
      <c r="E959" s="20"/>
      <c r="F959" s="20"/>
      <c r="G959" s="20"/>
      <c r="H959" s="20"/>
      <c r="I959" s="20"/>
      <c r="J959" s="20"/>
      <c r="K959" s="20"/>
      <c r="M959" s="20"/>
      <c r="N959" s="20"/>
      <c r="O959" s="20"/>
      <c r="P959" s="20"/>
      <c r="Q959" s="20"/>
      <c r="R959" s="20"/>
      <c r="S959" s="20"/>
      <c r="T959" s="20"/>
      <c r="U959" s="20"/>
    </row>
    <row r="960" spans="2:22" ht="30" customHeight="1" x14ac:dyDescent="0.25">
      <c r="C960" s="21" t="s">
        <v>40</v>
      </c>
      <c r="D960" s="21"/>
      <c r="E960" s="21"/>
      <c r="F960" s="21"/>
      <c r="G960" s="21"/>
      <c r="H960" s="21"/>
      <c r="I960" s="21"/>
      <c r="J960" s="21"/>
      <c r="K960" s="21"/>
      <c r="L960" s="9"/>
      <c r="M960" s="21" t="s">
        <v>40</v>
      </c>
      <c r="N960" s="21"/>
      <c r="O960" s="21"/>
      <c r="P960" s="21"/>
      <c r="Q960" s="21"/>
      <c r="R960" s="21"/>
      <c r="S960" s="21"/>
      <c r="T960" s="21"/>
      <c r="U960" s="21"/>
      <c r="V960" s="9"/>
    </row>
    <row r="961" spans="1:23" ht="30" customHeight="1" x14ac:dyDescent="0.25">
      <c r="D961" s="9"/>
      <c r="E961" s="9"/>
      <c r="F961" s="9"/>
      <c r="G961" s="9"/>
      <c r="H961" s="9"/>
      <c r="I961" s="9"/>
      <c r="J961" s="9"/>
      <c r="K961" s="9"/>
      <c r="L961" s="9"/>
      <c r="M961" s="9"/>
      <c r="N961" s="9"/>
      <c r="Q961" s="9"/>
      <c r="R961" s="9"/>
      <c r="S961" s="9"/>
      <c r="T961" s="9"/>
      <c r="U961" s="9"/>
      <c r="V961" s="9"/>
    </row>
    <row r="962" spans="1:23" ht="30" customHeight="1" x14ac:dyDescent="0.25">
      <c r="B962" s="19" t="str">
        <f>'PROJETO PERFURAÇÃO'!$C$2&amp;" - "&amp;'PROJETO PERFURAÇÃO'!$H$2</f>
        <v>LIB065 - PP0651026</v>
      </c>
      <c r="C962" s="19"/>
      <c r="D962" s="19"/>
      <c r="E962" s="19"/>
      <c r="F962" s="19"/>
      <c r="G962" s="19"/>
      <c r="H962" s="19"/>
      <c r="I962" s="11" t="s">
        <v>34</v>
      </c>
      <c r="J962" s="10" t="s">
        <v>37</v>
      </c>
    </row>
    <row r="963" spans="1:23" ht="30" customHeight="1" x14ac:dyDescent="0.25">
      <c r="B963" s="19"/>
      <c r="C963" s="19"/>
      <c r="D963" s="19"/>
      <c r="E963" s="19"/>
      <c r="F963" s="19"/>
      <c r="G963" s="19"/>
      <c r="H963" s="19"/>
      <c r="I963" s="12" t="s">
        <v>35</v>
      </c>
      <c r="J963" s="10" t="s">
        <v>38</v>
      </c>
      <c r="K963" s="9"/>
      <c r="L963" s="9"/>
      <c r="M963" s="9"/>
      <c r="N963" s="9"/>
      <c r="O963" s="9"/>
      <c r="P963" s="9"/>
      <c r="Q963" s="9"/>
      <c r="R963" s="9"/>
      <c r="S963" s="9"/>
      <c r="T963" s="9"/>
      <c r="U963" s="9"/>
      <c r="V963" s="9"/>
    </row>
    <row r="964" spans="1:23" ht="30" customHeight="1" x14ac:dyDescent="0.25">
      <c r="B964" s="19"/>
      <c r="C964" s="19"/>
      <c r="D964" s="19"/>
      <c r="E964" s="19"/>
      <c r="F964" s="19"/>
      <c r="G964" s="19"/>
      <c r="H964" s="19"/>
      <c r="I964" s="13" t="s">
        <v>36</v>
      </c>
      <c r="J964" s="10" t="s">
        <v>39</v>
      </c>
    </row>
    <row r="965" spans="1:23" ht="30" customHeight="1" x14ac:dyDescent="0.25">
      <c r="A965" s="1"/>
      <c r="B965" s="6" t="s">
        <v>33</v>
      </c>
      <c r="C965" s="6" t="s">
        <v>13</v>
      </c>
      <c r="D965" s="7" t="s">
        <v>1</v>
      </c>
      <c r="E965" s="7" t="s">
        <v>29</v>
      </c>
      <c r="F965" s="7" t="s">
        <v>30</v>
      </c>
      <c r="G965" s="7" t="s">
        <v>31</v>
      </c>
      <c r="H965" s="7" t="s">
        <v>32</v>
      </c>
      <c r="I965" s="6" t="s">
        <v>33</v>
      </c>
      <c r="J965" s="6" t="s">
        <v>13</v>
      </c>
      <c r="K965" s="7" t="s">
        <v>1</v>
      </c>
      <c r="L965" s="7" t="s">
        <v>29</v>
      </c>
      <c r="M965" s="7" t="s">
        <v>30</v>
      </c>
      <c r="N965" s="7" t="s">
        <v>31</v>
      </c>
      <c r="O965" s="7" t="s">
        <v>32</v>
      </c>
      <c r="P965" s="6" t="s">
        <v>33</v>
      </c>
      <c r="Q965" s="6" t="s">
        <v>13</v>
      </c>
      <c r="R965" s="7" t="s">
        <v>1</v>
      </c>
      <c r="S965" s="7" t="s">
        <v>29</v>
      </c>
      <c r="T965" s="7" t="s">
        <v>30</v>
      </c>
      <c r="U965" s="7" t="s">
        <v>31</v>
      </c>
      <c r="V965" s="7" t="s">
        <v>32</v>
      </c>
      <c r="W965" s="1"/>
    </row>
    <row r="966" spans="1:23" ht="45" customHeight="1" x14ac:dyDescent="0.25">
      <c r="B966" s="3" t="str">
        <f>IFERROR(ROUND(INDEX('PROJETO PERFURAÇÃO'!$AB:$AB,MATCH(MEDIÇÃO!D966,'PROJETO PERFURAÇÃO'!$B:$B,0)),1)&amp;"''","")</f>
        <v/>
      </c>
      <c r="C966" s="3" t="str">
        <f>IFERROR(IF(INDEX('PROJETO PERFURAÇÃO'!$P:$P,MATCH(MEDIÇÃO!D966,'PROJETO PERFURAÇÃO'!$B:$B,0))="Production","P",IF(INDEX('PROJETO PERFURAÇÃO'!$P:$P,MATCH(MEDIÇÃO!D966,'PROJETO PERFURAÇÃO'!$B:$B,0))="Buffer","B",IF(INDEX('PROJETO PERFURAÇÃO'!$P:$P,MATCH(MEDIÇÃO!D966,'PROJETO PERFURAÇÃO'!$B:$B,0))="Pre-Splitting","S"))),"")</f>
        <v/>
      </c>
      <c r="D966" s="14">
        <f>R957+1</f>
        <v>2140</v>
      </c>
      <c r="E966" s="4" t="str">
        <f>IFERROR(INDEX('LEV R&amp;D'!$D:$D,MATCH(MEDIÇÃO!D966,'LEV R&amp;D'!$A:$A,0))-INDEX('PROJETO PERFURAÇÃO'!$AH:$AH,MATCH(MEDIÇÃO!D966,'PROJETO PERFURAÇÃO'!$B:$B,0)),"")</f>
        <v/>
      </c>
      <c r="F966" s="8" t="str">
        <f>IFERROR(INDEX('PROJETO PERFURAÇÃO'!$AN:$AN,MATCH(MEDIÇÃO!D966,'PROJETO PERFURAÇÃO'!$B:$B,0)),"")</f>
        <v/>
      </c>
      <c r="G966" s="3"/>
      <c r="H966" s="3"/>
      <c r="I966" s="3" t="str">
        <f>IFERROR(ROUND(INDEX('PROJETO PERFURAÇÃO'!$AB:$AB,MATCH(MEDIÇÃO!K966,'PROJETO PERFURAÇÃO'!$B:$B,0)),1)&amp;"''","")</f>
        <v/>
      </c>
      <c r="J966" s="3" t="str">
        <f>IFERROR(IF(INDEX('PROJETO PERFURAÇÃO'!$P:$P,MATCH(MEDIÇÃO!K966,'PROJETO PERFURAÇÃO'!$B:$B,0))="Production","P",IF(INDEX('PROJETO PERFURAÇÃO'!$P:$P,MATCH(MEDIÇÃO!K966,'PROJETO PERFURAÇÃO'!$B:$B,0))="Buffer","B",IF(INDEX('PROJETO PERFURAÇÃO'!$P:$P,MATCH(MEDIÇÃO!K966,'PROJETO PERFURAÇÃO'!$B:$B,0))="Pre-Splitting","S"))),"")</f>
        <v/>
      </c>
      <c r="K966" s="14">
        <f>D988+1</f>
        <v>2163</v>
      </c>
      <c r="L966" s="4" t="str">
        <f>IFERROR(INDEX('LEV R&amp;D'!$D:$D,MATCH(MEDIÇÃO!K966,'LEV R&amp;D'!$A:$A,0))-INDEX('PROJETO PERFURAÇÃO'!$AH:$AH,MATCH(MEDIÇÃO!K966,'PROJETO PERFURAÇÃO'!$B:$B,0)),"")</f>
        <v/>
      </c>
      <c r="M966" s="8" t="str">
        <f>IFERROR(INDEX('PROJETO PERFURAÇÃO'!$AN:$AN,MATCH(MEDIÇÃO!K966,'PROJETO PERFURAÇÃO'!$B:$B,0)),"")</f>
        <v/>
      </c>
      <c r="N966" s="3"/>
      <c r="O966" s="3"/>
      <c r="P966" s="3" t="str">
        <f>IFERROR(ROUND(INDEX('PROJETO PERFURAÇÃO'!$AB:$AB,MATCH(MEDIÇÃO!R966,'PROJETO PERFURAÇÃO'!$B:$B,0)),1)&amp;"''","")</f>
        <v/>
      </c>
      <c r="Q966" s="3" t="str">
        <f>IFERROR(IF(INDEX('PROJETO PERFURAÇÃO'!$P:$P,MATCH(MEDIÇÃO!R966,'PROJETO PERFURAÇÃO'!$B:$B,0))="Production","P",IF(INDEX('PROJETO PERFURAÇÃO'!$P:$P,MATCH(MEDIÇÃO!R966,'PROJETO PERFURAÇÃO'!$B:$B,0))="Buffer","B",IF(INDEX('PROJETO PERFURAÇÃO'!$P:$P,MATCH(MEDIÇÃO!R966,'PROJETO PERFURAÇÃO'!$B:$B,0))="Pre-Splitting","S"))),"")</f>
        <v/>
      </c>
      <c r="R966" s="14">
        <f>K988+1</f>
        <v>2186</v>
      </c>
      <c r="S966" s="4" t="str">
        <f>IFERROR(INDEX('LEV R&amp;D'!$D:$D,MATCH(MEDIÇÃO!R966,'LEV R&amp;D'!$A:$A,0))-INDEX('PROJETO PERFURAÇÃO'!$AH:$AH,MATCH(MEDIÇÃO!R966,'PROJETO PERFURAÇÃO'!$B:$B,0)),"")</f>
        <v/>
      </c>
      <c r="T966" s="8" t="str">
        <f>IFERROR(INDEX('PROJETO PERFURAÇÃO'!$AN:$AN,MATCH(MEDIÇÃO!R966,'PROJETO PERFURAÇÃO'!$B:$B,0)),"")</f>
        <v/>
      </c>
      <c r="U966" s="3"/>
      <c r="V966" s="3"/>
    </row>
    <row r="967" spans="1:23" ht="45" customHeight="1" x14ac:dyDescent="0.25">
      <c r="B967" s="3" t="str">
        <f>IFERROR(ROUND(INDEX('PROJETO PERFURAÇÃO'!$AB:$AB,MATCH(MEDIÇÃO!D967,'PROJETO PERFURAÇÃO'!$B:$B,0)),1)&amp;"''","")</f>
        <v/>
      </c>
      <c r="C967" s="3" t="str">
        <f>IFERROR(IF(INDEX('PROJETO PERFURAÇÃO'!$P:$P,MATCH(MEDIÇÃO!D967,'PROJETO PERFURAÇÃO'!$B:$B,0))="Production","P",IF(INDEX('PROJETO PERFURAÇÃO'!$P:$P,MATCH(MEDIÇÃO!D967,'PROJETO PERFURAÇÃO'!$B:$B,0))="Buffer","B",IF(INDEX('PROJETO PERFURAÇÃO'!$P:$P,MATCH(MEDIÇÃO!D967,'PROJETO PERFURAÇÃO'!$B:$B,0))="Pre-Splitting","S"))),"")</f>
        <v/>
      </c>
      <c r="D967" s="14">
        <f>D966+1</f>
        <v>2141</v>
      </c>
      <c r="E967" s="4" t="str">
        <f>IFERROR(INDEX('LEV R&amp;D'!$D:$D,MATCH(MEDIÇÃO!D967,'LEV R&amp;D'!$A:$A,0))-INDEX('PROJETO PERFURAÇÃO'!$AH:$AH,MATCH(MEDIÇÃO!D967,'PROJETO PERFURAÇÃO'!$B:$B,0)),"")</f>
        <v/>
      </c>
      <c r="F967" s="8" t="str">
        <f>IFERROR(INDEX('PROJETO PERFURAÇÃO'!$AN:$AN,MATCH(MEDIÇÃO!D967,'PROJETO PERFURAÇÃO'!$B:$B,0)),"")</f>
        <v/>
      </c>
      <c r="G967" s="3"/>
      <c r="H967" s="3"/>
      <c r="I967" s="3" t="str">
        <f>IFERROR(ROUND(INDEX('PROJETO PERFURAÇÃO'!$AB:$AB,MATCH(MEDIÇÃO!K967,'PROJETO PERFURAÇÃO'!$B:$B,0)),1)&amp;"''","")</f>
        <v/>
      </c>
      <c r="J967" s="3" t="str">
        <f>IFERROR(IF(INDEX('PROJETO PERFURAÇÃO'!$P:$P,MATCH(MEDIÇÃO!K967,'PROJETO PERFURAÇÃO'!$B:$B,0))="Production","P",IF(INDEX('PROJETO PERFURAÇÃO'!$P:$P,MATCH(MEDIÇÃO!K967,'PROJETO PERFURAÇÃO'!$B:$B,0))="Buffer","B",IF(INDEX('PROJETO PERFURAÇÃO'!$P:$P,MATCH(MEDIÇÃO!K967,'PROJETO PERFURAÇÃO'!$B:$B,0))="Pre-Splitting","S"))),"")</f>
        <v/>
      </c>
      <c r="K967" s="14">
        <f>K966+1</f>
        <v>2164</v>
      </c>
      <c r="L967" s="4" t="str">
        <f>IFERROR(INDEX('LEV R&amp;D'!$D:$D,MATCH(MEDIÇÃO!K967,'LEV R&amp;D'!$A:$A,0))-INDEX('PROJETO PERFURAÇÃO'!$AH:$AH,MATCH(MEDIÇÃO!K967,'PROJETO PERFURAÇÃO'!$B:$B,0)),"")</f>
        <v/>
      </c>
      <c r="M967" s="8" t="str">
        <f>IFERROR(INDEX('PROJETO PERFURAÇÃO'!$AN:$AN,MATCH(MEDIÇÃO!K967,'PROJETO PERFURAÇÃO'!$B:$B,0)),"")</f>
        <v/>
      </c>
      <c r="N967" s="3"/>
      <c r="O967" s="3"/>
      <c r="P967" s="3" t="str">
        <f>IFERROR(ROUND(INDEX('PROJETO PERFURAÇÃO'!$AB:$AB,MATCH(MEDIÇÃO!R967,'PROJETO PERFURAÇÃO'!$B:$B,0)),1)&amp;"''","")</f>
        <v/>
      </c>
      <c r="Q967" s="3" t="str">
        <f>IFERROR(IF(INDEX('PROJETO PERFURAÇÃO'!$P:$P,MATCH(MEDIÇÃO!R967,'PROJETO PERFURAÇÃO'!$B:$B,0))="Production","P",IF(INDEX('PROJETO PERFURAÇÃO'!$P:$P,MATCH(MEDIÇÃO!R967,'PROJETO PERFURAÇÃO'!$B:$B,0))="Buffer","B",IF(INDEX('PROJETO PERFURAÇÃO'!$P:$P,MATCH(MEDIÇÃO!R967,'PROJETO PERFURAÇÃO'!$B:$B,0))="Pre-Splitting","S"))),"")</f>
        <v/>
      </c>
      <c r="R967" s="14">
        <f>R966+1</f>
        <v>2187</v>
      </c>
      <c r="S967" s="4" t="str">
        <f>IFERROR(INDEX('LEV R&amp;D'!$D:$D,MATCH(MEDIÇÃO!R967,'LEV R&amp;D'!$A:$A,0))-INDEX('PROJETO PERFURAÇÃO'!$AH:$AH,MATCH(MEDIÇÃO!R967,'PROJETO PERFURAÇÃO'!$B:$B,0)),"")</f>
        <v/>
      </c>
      <c r="T967" s="8" t="str">
        <f>IFERROR(INDEX('PROJETO PERFURAÇÃO'!$AN:$AN,MATCH(MEDIÇÃO!R967,'PROJETO PERFURAÇÃO'!$B:$B,0)),"")</f>
        <v/>
      </c>
      <c r="U967" s="3"/>
      <c r="V967" s="3"/>
    </row>
    <row r="968" spans="1:23" ht="45" customHeight="1" x14ac:dyDescent="0.25">
      <c r="B968" s="3" t="str">
        <f>IFERROR(ROUND(INDEX('PROJETO PERFURAÇÃO'!$AB:$AB,MATCH(MEDIÇÃO!D968,'PROJETO PERFURAÇÃO'!$B:$B,0)),1)&amp;"''","")</f>
        <v/>
      </c>
      <c r="C968" s="3" t="str">
        <f>IFERROR(IF(INDEX('PROJETO PERFURAÇÃO'!$P:$P,MATCH(MEDIÇÃO!D968,'PROJETO PERFURAÇÃO'!$B:$B,0))="Production","P",IF(INDEX('PROJETO PERFURAÇÃO'!$P:$P,MATCH(MEDIÇÃO!D968,'PROJETO PERFURAÇÃO'!$B:$B,0))="Buffer","B",IF(INDEX('PROJETO PERFURAÇÃO'!$P:$P,MATCH(MEDIÇÃO!D968,'PROJETO PERFURAÇÃO'!$B:$B,0))="Pre-Splitting","S"))),"")</f>
        <v/>
      </c>
      <c r="D968" s="14">
        <f t="shared" ref="D968:D988" si="93">D967+1</f>
        <v>2142</v>
      </c>
      <c r="E968" s="4" t="str">
        <f>IFERROR(INDEX('LEV R&amp;D'!$D:$D,MATCH(MEDIÇÃO!D968,'LEV R&amp;D'!$A:$A,0))-INDEX('PROJETO PERFURAÇÃO'!$AH:$AH,MATCH(MEDIÇÃO!D968,'PROJETO PERFURAÇÃO'!$B:$B,0)),"")</f>
        <v/>
      </c>
      <c r="F968" s="8" t="str">
        <f>IFERROR(INDEX('PROJETO PERFURAÇÃO'!$AN:$AN,MATCH(MEDIÇÃO!D968,'PROJETO PERFURAÇÃO'!$B:$B,0)),"")</f>
        <v/>
      </c>
      <c r="G968" s="3"/>
      <c r="H968" s="3"/>
      <c r="I968" s="3" t="str">
        <f>IFERROR(ROUND(INDEX('PROJETO PERFURAÇÃO'!$AB:$AB,MATCH(MEDIÇÃO!K968,'PROJETO PERFURAÇÃO'!$B:$B,0)),1)&amp;"''","")</f>
        <v/>
      </c>
      <c r="J968" s="3" t="str">
        <f>IFERROR(IF(INDEX('PROJETO PERFURAÇÃO'!$P:$P,MATCH(MEDIÇÃO!K968,'PROJETO PERFURAÇÃO'!$B:$B,0))="Production","P",IF(INDEX('PROJETO PERFURAÇÃO'!$P:$P,MATCH(MEDIÇÃO!K968,'PROJETO PERFURAÇÃO'!$B:$B,0))="Buffer","B",IF(INDEX('PROJETO PERFURAÇÃO'!$P:$P,MATCH(MEDIÇÃO!K968,'PROJETO PERFURAÇÃO'!$B:$B,0))="Pre-Splitting","S"))),"")</f>
        <v/>
      </c>
      <c r="K968" s="14">
        <f t="shared" ref="K968:K987" si="94">K967+1</f>
        <v>2165</v>
      </c>
      <c r="L968" s="4" t="str">
        <f>IFERROR(INDEX('LEV R&amp;D'!$D:$D,MATCH(MEDIÇÃO!K968,'LEV R&amp;D'!$A:$A,0))-INDEX('PROJETO PERFURAÇÃO'!$AH:$AH,MATCH(MEDIÇÃO!K968,'PROJETO PERFURAÇÃO'!$B:$B,0)),"")</f>
        <v/>
      </c>
      <c r="M968" s="8" t="str">
        <f>IFERROR(INDEX('PROJETO PERFURAÇÃO'!$AN:$AN,MATCH(MEDIÇÃO!K968,'PROJETO PERFURAÇÃO'!$B:$B,0)),"")</f>
        <v/>
      </c>
      <c r="N968" s="3"/>
      <c r="O968" s="3"/>
      <c r="P968" s="3" t="str">
        <f>IFERROR(ROUND(INDEX('PROJETO PERFURAÇÃO'!$AB:$AB,MATCH(MEDIÇÃO!R968,'PROJETO PERFURAÇÃO'!$B:$B,0)),1)&amp;"''","")</f>
        <v/>
      </c>
      <c r="Q968" s="3" t="str">
        <f>IFERROR(IF(INDEX('PROJETO PERFURAÇÃO'!$P:$P,MATCH(MEDIÇÃO!R968,'PROJETO PERFURAÇÃO'!$B:$B,0))="Production","P",IF(INDEX('PROJETO PERFURAÇÃO'!$P:$P,MATCH(MEDIÇÃO!R968,'PROJETO PERFURAÇÃO'!$B:$B,0))="Buffer","B",IF(INDEX('PROJETO PERFURAÇÃO'!$P:$P,MATCH(MEDIÇÃO!R968,'PROJETO PERFURAÇÃO'!$B:$B,0))="Pre-Splitting","S"))),"")</f>
        <v/>
      </c>
      <c r="R968" s="14">
        <f t="shared" ref="R968:R987" si="95">R967+1</f>
        <v>2188</v>
      </c>
      <c r="S968" s="4" t="str">
        <f>IFERROR(INDEX('LEV R&amp;D'!$D:$D,MATCH(MEDIÇÃO!R968,'LEV R&amp;D'!$A:$A,0))-INDEX('PROJETO PERFURAÇÃO'!$AH:$AH,MATCH(MEDIÇÃO!R968,'PROJETO PERFURAÇÃO'!$B:$B,0)),"")</f>
        <v/>
      </c>
      <c r="T968" s="8" t="str">
        <f>IFERROR(INDEX('PROJETO PERFURAÇÃO'!$AN:$AN,MATCH(MEDIÇÃO!R968,'PROJETO PERFURAÇÃO'!$B:$B,0)),"")</f>
        <v/>
      </c>
      <c r="U968" s="3"/>
      <c r="V968" s="3"/>
    </row>
    <row r="969" spans="1:23" ht="45" customHeight="1" x14ac:dyDescent="0.25">
      <c r="B969" s="3" t="str">
        <f>IFERROR(ROUND(INDEX('PROJETO PERFURAÇÃO'!$AB:$AB,MATCH(MEDIÇÃO!D969,'PROJETO PERFURAÇÃO'!$B:$B,0)),1)&amp;"''","")</f>
        <v/>
      </c>
      <c r="C969" s="3" t="str">
        <f>IFERROR(IF(INDEX('PROJETO PERFURAÇÃO'!$P:$P,MATCH(MEDIÇÃO!D969,'PROJETO PERFURAÇÃO'!$B:$B,0))="Production","P",IF(INDEX('PROJETO PERFURAÇÃO'!$P:$P,MATCH(MEDIÇÃO!D969,'PROJETO PERFURAÇÃO'!$B:$B,0))="Buffer","B",IF(INDEX('PROJETO PERFURAÇÃO'!$P:$P,MATCH(MEDIÇÃO!D969,'PROJETO PERFURAÇÃO'!$B:$B,0))="Pre-Splitting","S"))),"")</f>
        <v/>
      </c>
      <c r="D969" s="14">
        <f t="shared" si="93"/>
        <v>2143</v>
      </c>
      <c r="E969" s="4" t="str">
        <f>IFERROR(INDEX('LEV R&amp;D'!$D:$D,MATCH(MEDIÇÃO!D969,'LEV R&amp;D'!$A:$A,0))-INDEX('PROJETO PERFURAÇÃO'!$AH:$AH,MATCH(MEDIÇÃO!D969,'PROJETO PERFURAÇÃO'!$B:$B,0)),"")</f>
        <v/>
      </c>
      <c r="F969" s="8" t="str">
        <f>IFERROR(INDEX('PROJETO PERFURAÇÃO'!$AN:$AN,MATCH(MEDIÇÃO!D969,'PROJETO PERFURAÇÃO'!$B:$B,0)),"")</f>
        <v/>
      </c>
      <c r="G969" s="3"/>
      <c r="H969" s="3"/>
      <c r="I969" s="3" t="str">
        <f>IFERROR(ROUND(INDEX('PROJETO PERFURAÇÃO'!$AB:$AB,MATCH(MEDIÇÃO!K969,'PROJETO PERFURAÇÃO'!$B:$B,0)),1)&amp;"''","")</f>
        <v/>
      </c>
      <c r="J969" s="3" t="str">
        <f>IFERROR(IF(INDEX('PROJETO PERFURAÇÃO'!$P:$P,MATCH(MEDIÇÃO!K969,'PROJETO PERFURAÇÃO'!$B:$B,0))="Production","P",IF(INDEX('PROJETO PERFURAÇÃO'!$P:$P,MATCH(MEDIÇÃO!K969,'PROJETO PERFURAÇÃO'!$B:$B,0))="Buffer","B",IF(INDEX('PROJETO PERFURAÇÃO'!$P:$P,MATCH(MEDIÇÃO!K969,'PROJETO PERFURAÇÃO'!$B:$B,0))="Pre-Splitting","S"))),"")</f>
        <v/>
      </c>
      <c r="K969" s="14">
        <f t="shared" si="94"/>
        <v>2166</v>
      </c>
      <c r="L969" s="4" t="str">
        <f>IFERROR(INDEX('LEV R&amp;D'!$D:$D,MATCH(MEDIÇÃO!K969,'LEV R&amp;D'!$A:$A,0))-INDEX('PROJETO PERFURAÇÃO'!$AH:$AH,MATCH(MEDIÇÃO!K969,'PROJETO PERFURAÇÃO'!$B:$B,0)),"")</f>
        <v/>
      </c>
      <c r="M969" s="8" t="str">
        <f>IFERROR(INDEX('PROJETO PERFURAÇÃO'!$AN:$AN,MATCH(MEDIÇÃO!K969,'PROJETO PERFURAÇÃO'!$B:$B,0)),"")</f>
        <v/>
      </c>
      <c r="N969" s="3"/>
      <c r="O969" s="3"/>
      <c r="P969" s="3" t="str">
        <f>IFERROR(ROUND(INDEX('PROJETO PERFURAÇÃO'!$AB:$AB,MATCH(MEDIÇÃO!R969,'PROJETO PERFURAÇÃO'!$B:$B,0)),1)&amp;"''","")</f>
        <v/>
      </c>
      <c r="Q969" s="3" t="str">
        <f>IFERROR(IF(INDEX('PROJETO PERFURAÇÃO'!$P:$P,MATCH(MEDIÇÃO!R969,'PROJETO PERFURAÇÃO'!$B:$B,0))="Production","P",IF(INDEX('PROJETO PERFURAÇÃO'!$P:$P,MATCH(MEDIÇÃO!R969,'PROJETO PERFURAÇÃO'!$B:$B,0))="Buffer","B",IF(INDEX('PROJETO PERFURAÇÃO'!$P:$P,MATCH(MEDIÇÃO!R969,'PROJETO PERFURAÇÃO'!$B:$B,0))="Pre-Splitting","S"))),"")</f>
        <v/>
      </c>
      <c r="R969" s="14">
        <f t="shared" si="95"/>
        <v>2189</v>
      </c>
      <c r="S969" s="4" t="str">
        <f>IFERROR(INDEX('LEV R&amp;D'!$D:$D,MATCH(MEDIÇÃO!R969,'LEV R&amp;D'!$A:$A,0))-INDEX('PROJETO PERFURAÇÃO'!$AH:$AH,MATCH(MEDIÇÃO!R969,'PROJETO PERFURAÇÃO'!$B:$B,0)),"")</f>
        <v/>
      </c>
      <c r="T969" s="8" t="str">
        <f>IFERROR(INDEX('PROJETO PERFURAÇÃO'!$AN:$AN,MATCH(MEDIÇÃO!R969,'PROJETO PERFURAÇÃO'!$B:$B,0)),"")</f>
        <v/>
      </c>
      <c r="U969" s="3"/>
      <c r="V969" s="3"/>
    </row>
    <row r="970" spans="1:23" ht="45" customHeight="1" x14ac:dyDescent="0.25">
      <c r="B970" s="3" t="str">
        <f>IFERROR(ROUND(INDEX('PROJETO PERFURAÇÃO'!$AB:$AB,MATCH(MEDIÇÃO!D970,'PROJETO PERFURAÇÃO'!$B:$B,0)),1)&amp;"''","")</f>
        <v/>
      </c>
      <c r="C970" s="3" t="str">
        <f>IFERROR(IF(INDEX('PROJETO PERFURAÇÃO'!$P:$P,MATCH(MEDIÇÃO!D970,'PROJETO PERFURAÇÃO'!$B:$B,0))="Production","P",IF(INDEX('PROJETO PERFURAÇÃO'!$P:$P,MATCH(MEDIÇÃO!D970,'PROJETO PERFURAÇÃO'!$B:$B,0))="Buffer","B",IF(INDEX('PROJETO PERFURAÇÃO'!$P:$P,MATCH(MEDIÇÃO!D970,'PROJETO PERFURAÇÃO'!$B:$B,0))="Pre-Splitting","S"))),"")</f>
        <v/>
      </c>
      <c r="D970" s="14">
        <f t="shared" si="93"/>
        <v>2144</v>
      </c>
      <c r="E970" s="4" t="str">
        <f>IFERROR(INDEX('LEV R&amp;D'!$D:$D,MATCH(MEDIÇÃO!D970,'LEV R&amp;D'!$A:$A,0))-INDEX('PROJETO PERFURAÇÃO'!$AH:$AH,MATCH(MEDIÇÃO!D970,'PROJETO PERFURAÇÃO'!$B:$B,0)),"")</f>
        <v/>
      </c>
      <c r="F970" s="8" t="str">
        <f>IFERROR(INDEX('PROJETO PERFURAÇÃO'!$AN:$AN,MATCH(MEDIÇÃO!D970,'PROJETO PERFURAÇÃO'!$B:$B,0)),"")</f>
        <v/>
      </c>
      <c r="G970" s="3"/>
      <c r="H970" s="3"/>
      <c r="I970" s="3" t="str">
        <f>IFERROR(ROUND(INDEX('PROJETO PERFURAÇÃO'!$AB:$AB,MATCH(MEDIÇÃO!K970,'PROJETO PERFURAÇÃO'!$B:$B,0)),1)&amp;"''","")</f>
        <v/>
      </c>
      <c r="J970" s="3" t="str">
        <f>IFERROR(IF(INDEX('PROJETO PERFURAÇÃO'!$P:$P,MATCH(MEDIÇÃO!K970,'PROJETO PERFURAÇÃO'!$B:$B,0))="Production","P",IF(INDEX('PROJETO PERFURAÇÃO'!$P:$P,MATCH(MEDIÇÃO!K970,'PROJETO PERFURAÇÃO'!$B:$B,0))="Buffer","B",IF(INDEX('PROJETO PERFURAÇÃO'!$P:$P,MATCH(MEDIÇÃO!K970,'PROJETO PERFURAÇÃO'!$B:$B,0))="Pre-Splitting","S"))),"")</f>
        <v/>
      </c>
      <c r="K970" s="14">
        <f t="shared" si="94"/>
        <v>2167</v>
      </c>
      <c r="L970" s="4" t="str">
        <f>IFERROR(INDEX('LEV R&amp;D'!$D:$D,MATCH(MEDIÇÃO!K970,'LEV R&amp;D'!$A:$A,0))-INDEX('PROJETO PERFURAÇÃO'!$AH:$AH,MATCH(MEDIÇÃO!K970,'PROJETO PERFURAÇÃO'!$B:$B,0)),"")</f>
        <v/>
      </c>
      <c r="M970" s="8" t="str">
        <f>IFERROR(INDEX('PROJETO PERFURAÇÃO'!$AN:$AN,MATCH(MEDIÇÃO!K970,'PROJETO PERFURAÇÃO'!$B:$B,0)),"")</f>
        <v/>
      </c>
      <c r="N970" s="3"/>
      <c r="O970" s="3"/>
      <c r="P970" s="3" t="str">
        <f>IFERROR(ROUND(INDEX('PROJETO PERFURAÇÃO'!$AB:$AB,MATCH(MEDIÇÃO!R970,'PROJETO PERFURAÇÃO'!$B:$B,0)),1)&amp;"''","")</f>
        <v/>
      </c>
      <c r="Q970" s="3" t="str">
        <f>IFERROR(IF(INDEX('PROJETO PERFURAÇÃO'!$P:$P,MATCH(MEDIÇÃO!R970,'PROJETO PERFURAÇÃO'!$B:$B,0))="Production","P",IF(INDEX('PROJETO PERFURAÇÃO'!$P:$P,MATCH(MEDIÇÃO!R970,'PROJETO PERFURAÇÃO'!$B:$B,0))="Buffer","B",IF(INDEX('PROJETO PERFURAÇÃO'!$P:$P,MATCH(MEDIÇÃO!R970,'PROJETO PERFURAÇÃO'!$B:$B,0))="Pre-Splitting","S"))),"")</f>
        <v/>
      </c>
      <c r="R970" s="14">
        <f t="shared" si="95"/>
        <v>2190</v>
      </c>
      <c r="S970" s="4" t="str">
        <f>IFERROR(INDEX('LEV R&amp;D'!$D:$D,MATCH(MEDIÇÃO!R970,'LEV R&amp;D'!$A:$A,0))-INDEX('PROJETO PERFURAÇÃO'!$AH:$AH,MATCH(MEDIÇÃO!R970,'PROJETO PERFURAÇÃO'!$B:$B,0)),"")</f>
        <v/>
      </c>
      <c r="T970" s="8" t="str">
        <f>IFERROR(INDEX('PROJETO PERFURAÇÃO'!$AN:$AN,MATCH(MEDIÇÃO!R970,'PROJETO PERFURAÇÃO'!$B:$B,0)),"")</f>
        <v/>
      </c>
      <c r="U970" s="3"/>
      <c r="V970" s="3"/>
    </row>
    <row r="971" spans="1:23" ht="45" customHeight="1" x14ac:dyDescent="0.25">
      <c r="B971" s="3" t="str">
        <f>IFERROR(ROUND(INDEX('PROJETO PERFURAÇÃO'!$AB:$AB,MATCH(MEDIÇÃO!D971,'PROJETO PERFURAÇÃO'!$B:$B,0)),1)&amp;"''","")</f>
        <v/>
      </c>
      <c r="C971" s="3" t="str">
        <f>IFERROR(IF(INDEX('PROJETO PERFURAÇÃO'!$P:$P,MATCH(MEDIÇÃO!D971,'PROJETO PERFURAÇÃO'!$B:$B,0))="Production","P",IF(INDEX('PROJETO PERFURAÇÃO'!$P:$P,MATCH(MEDIÇÃO!D971,'PROJETO PERFURAÇÃO'!$B:$B,0))="Buffer","B",IF(INDEX('PROJETO PERFURAÇÃO'!$P:$P,MATCH(MEDIÇÃO!D971,'PROJETO PERFURAÇÃO'!$B:$B,0))="Pre-Splitting","S"))),"")</f>
        <v/>
      </c>
      <c r="D971" s="14">
        <f t="shared" si="93"/>
        <v>2145</v>
      </c>
      <c r="E971" s="4" t="str">
        <f>IFERROR(INDEX('LEV R&amp;D'!$D:$D,MATCH(MEDIÇÃO!D971,'LEV R&amp;D'!$A:$A,0))-INDEX('PROJETO PERFURAÇÃO'!$AH:$AH,MATCH(MEDIÇÃO!D971,'PROJETO PERFURAÇÃO'!$B:$B,0)),"")</f>
        <v/>
      </c>
      <c r="F971" s="8" t="str">
        <f>IFERROR(INDEX('PROJETO PERFURAÇÃO'!$AN:$AN,MATCH(MEDIÇÃO!D971,'PROJETO PERFURAÇÃO'!$B:$B,0)),"")</f>
        <v/>
      </c>
      <c r="G971" s="3"/>
      <c r="H971" s="3"/>
      <c r="I971" s="3" t="str">
        <f>IFERROR(ROUND(INDEX('PROJETO PERFURAÇÃO'!$AB:$AB,MATCH(MEDIÇÃO!K971,'PROJETO PERFURAÇÃO'!$B:$B,0)),1)&amp;"''","")</f>
        <v/>
      </c>
      <c r="J971" s="3" t="str">
        <f>IFERROR(IF(INDEX('PROJETO PERFURAÇÃO'!$P:$P,MATCH(MEDIÇÃO!K971,'PROJETO PERFURAÇÃO'!$B:$B,0))="Production","P",IF(INDEX('PROJETO PERFURAÇÃO'!$P:$P,MATCH(MEDIÇÃO!K971,'PROJETO PERFURAÇÃO'!$B:$B,0))="Buffer","B",IF(INDEX('PROJETO PERFURAÇÃO'!$P:$P,MATCH(MEDIÇÃO!K971,'PROJETO PERFURAÇÃO'!$B:$B,0))="Pre-Splitting","S"))),"")</f>
        <v/>
      </c>
      <c r="K971" s="14">
        <f t="shared" si="94"/>
        <v>2168</v>
      </c>
      <c r="L971" s="4" t="str">
        <f>IFERROR(INDEX('LEV R&amp;D'!$D:$D,MATCH(MEDIÇÃO!K971,'LEV R&amp;D'!$A:$A,0))-INDEX('PROJETO PERFURAÇÃO'!$AH:$AH,MATCH(MEDIÇÃO!K971,'PROJETO PERFURAÇÃO'!$B:$B,0)),"")</f>
        <v/>
      </c>
      <c r="M971" s="8" t="str">
        <f>IFERROR(INDEX('PROJETO PERFURAÇÃO'!$AN:$AN,MATCH(MEDIÇÃO!K971,'PROJETO PERFURAÇÃO'!$B:$B,0)),"")</f>
        <v/>
      </c>
      <c r="N971" s="3"/>
      <c r="O971" s="3"/>
      <c r="P971" s="3" t="str">
        <f>IFERROR(ROUND(INDEX('PROJETO PERFURAÇÃO'!$AB:$AB,MATCH(MEDIÇÃO!R971,'PROJETO PERFURAÇÃO'!$B:$B,0)),1)&amp;"''","")</f>
        <v/>
      </c>
      <c r="Q971" s="3" t="str">
        <f>IFERROR(IF(INDEX('PROJETO PERFURAÇÃO'!$P:$P,MATCH(MEDIÇÃO!R971,'PROJETO PERFURAÇÃO'!$B:$B,0))="Production","P",IF(INDEX('PROJETO PERFURAÇÃO'!$P:$P,MATCH(MEDIÇÃO!R971,'PROJETO PERFURAÇÃO'!$B:$B,0))="Buffer","B",IF(INDEX('PROJETO PERFURAÇÃO'!$P:$P,MATCH(MEDIÇÃO!R971,'PROJETO PERFURAÇÃO'!$B:$B,0))="Pre-Splitting","S"))),"")</f>
        <v/>
      </c>
      <c r="R971" s="14">
        <f t="shared" si="95"/>
        <v>2191</v>
      </c>
      <c r="S971" s="4" t="str">
        <f>IFERROR(INDEX('LEV R&amp;D'!$D:$D,MATCH(MEDIÇÃO!R971,'LEV R&amp;D'!$A:$A,0))-INDEX('PROJETO PERFURAÇÃO'!$AH:$AH,MATCH(MEDIÇÃO!R971,'PROJETO PERFURAÇÃO'!$B:$B,0)),"")</f>
        <v/>
      </c>
      <c r="T971" s="8" t="str">
        <f>IFERROR(INDEX('PROJETO PERFURAÇÃO'!$AN:$AN,MATCH(MEDIÇÃO!R971,'PROJETO PERFURAÇÃO'!$B:$B,0)),"")</f>
        <v/>
      </c>
      <c r="U971" s="3"/>
      <c r="V971" s="3"/>
    </row>
    <row r="972" spans="1:23" ht="45" customHeight="1" x14ac:dyDescent="0.25">
      <c r="B972" s="3" t="str">
        <f>IFERROR(ROUND(INDEX('PROJETO PERFURAÇÃO'!$AB:$AB,MATCH(MEDIÇÃO!D972,'PROJETO PERFURAÇÃO'!$B:$B,0)),1)&amp;"''","")</f>
        <v/>
      </c>
      <c r="C972" s="3" t="str">
        <f>IFERROR(IF(INDEX('PROJETO PERFURAÇÃO'!$P:$P,MATCH(MEDIÇÃO!D972,'PROJETO PERFURAÇÃO'!$B:$B,0))="Production","P",IF(INDEX('PROJETO PERFURAÇÃO'!$P:$P,MATCH(MEDIÇÃO!D972,'PROJETO PERFURAÇÃO'!$B:$B,0))="Buffer","B",IF(INDEX('PROJETO PERFURAÇÃO'!$P:$P,MATCH(MEDIÇÃO!D972,'PROJETO PERFURAÇÃO'!$B:$B,0))="Pre-Splitting","S"))),"")</f>
        <v/>
      </c>
      <c r="D972" s="14">
        <f t="shared" si="93"/>
        <v>2146</v>
      </c>
      <c r="E972" s="4" t="str">
        <f>IFERROR(INDEX('LEV R&amp;D'!$D:$D,MATCH(MEDIÇÃO!D972,'LEV R&amp;D'!$A:$A,0))-INDEX('PROJETO PERFURAÇÃO'!$AH:$AH,MATCH(MEDIÇÃO!D972,'PROJETO PERFURAÇÃO'!$B:$B,0)),"")</f>
        <v/>
      </c>
      <c r="F972" s="8" t="str">
        <f>IFERROR(INDEX('PROJETO PERFURAÇÃO'!$AN:$AN,MATCH(MEDIÇÃO!D972,'PROJETO PERFURAÇÃO'!$B:$B,0)),"")</f>
        <v/>
      </c>
      <c r="G972" s="3"/>
      <c r="H972" s="3"/>
      <c r="I972" s="3" t="str">
        <f>IFERROR(ROUND(INDEX('PROJETO PERFURAÇÃO'!$AB:$AB,MATCH(MEDIÇÃO!K972,'PROJETO PERFURAÇÃO'!$B:$B,0)),1)&amp;"''","")</f>
        <v/>
      </c>
      <c r="J972" s="3" t="str">
        <f>IFERROR(IF(INDEX('PROJETO PERFURAÇÃO'!$P:$P,MATCH(MEDIÇÃO!K972,'PROJETO PERFURAÇÃO'!$B:$B,0))="Production","P",IF(INDEX('PROJETO PERFURAÇÃO'!$P:$P,MATCH(MEDIÇÃO!K972,'PROJETO PERFURAÇÃO'!$B:$B,0))="Buffer","B",IF(INDEX('PROJETO PERFURAÇÃO'!$P:$P,MATCH(MEDIÇÃO!K972,'PROJETO PERFURAÇÃO'!$B:$B,0))="Pre-Splitting","S"))),"")</f>
        <v/>
      </c>
      <c r="K972" s="14">
        <f t="shared" si="94"/>
        <v>2169</v>
      </c>
      <c r="L972" s="4" t="str">
        <f>IFERROR(INDEX('LEV R&amp;D'!$D:$D,MATCH(MEDIÇÃO!K972,'LEV R&amp;D'!$A:$A,0))-INDEX('PROJETO PERFURAÇÃO'!$AH:$AH,MATCH(MEDIÇÃO!K972,'PROJETO PERFURAÇÃO'!$B:$B,0)),"")</f>
        <v/>
      </c>
      <c r="M972" s="8" t="str">
        <f>IFERROR(INDEX('PROJETO PERFURAÇÃO'!$AN:$AN,MATCH(MEDIÇÃO!K972,'PROJETO PERFURAÇÃO'!$B:$B,0)),"")</f>
        <v/>
      </c>
      <c r="N972" s="3"/>
      <c r="O972" s="3"/>
      <c r="P972" s="3" t="str">
        <f>IFERROR(ROUND(INDEX('PROJETO PERFURAÇÃO'!$AB:$AB,MATCH(MEDIÇÃO!R972,'PROJETO PERFURAÇÃO'!$B:$B,0)),1)&amp;"''","")</f>
        <v/>
      </c>
      <c r="Q972" s="3" t="str">
        <f>IFERROR(IF(INDEX('PROJETO PERFURAÇÃO'!$P:$P,MATCH(MEDIÇÃO!R972,'PROJETO PERFURAÇÃO'!$B:$B,0))="Production","P",IF(INDEX('PROJETO PERFURAÇÃO'!$P:$P,MATCH(MEDIÇÃO!R972,'PROJETO PERFURAÇÃO'!$B:$B,0))="Buffer","B",IF(INDEX('PROJETO PERFURAÇÃO'!$P:$P,MATCH(MEDIÇÃO!R972,'PROJETO PERFURAÇÃO'!$B:$B,0))="Pre-Splitting","S"))),"")</f>
        <v/>
      </c>
      <c r="R972" s="14">
        <f t="shared" si="95"/>
        <v>2192</v>
      </c>
      <c r="S972" s="4" t="str">
        <f>IFERROR(INDEX('LEV R&amp;D'!$D:$D,MATCH(MEDIÇÃO!R972,'LEV R&amp;D'!$A:$A,0))-INDEX('PROJETO PERFURAÇÃO'!$AH:$AH,MATCH(MEDIÇÃO!R972,'PROJETO PERFURAÇÃO'!$B:$B,0)),"")</f>
        <v/>
      </c>
      <c r="T972" s="8" t="str">
        <f>IFERROR(INDEX('PROJETO PERFURAÇÃO'!$AN:$AN,MATCH(MEDIÇÃO!R972,'PROJETO PERFURAÇÃO'!$B:$B,0)),"")</f>
        <v/>
      </c>
      <c r="U972" s="3"/>
      <c r="V972" s="3"/>
    </row>
    <row r="973" spans="1:23" ht="45" customHeight="1" x14ac:dyDescent="0.25">
      <c r="B973" s="3" t="str">
        <f>IFERROR(ROUND(INDEX('PROJETO PERFURAÇÃO'!$AB:$AB,MATCH(MEDIÇÃO!D973,'PROJETO PERFURAÇÃO'!$B:$B,0)),1)&amp;"''","")</f>
        <v/>
      </c>
      <c r="C973" s="3" t="str">
        <f>IFERROR(IF(INDEX('PROJETO PERFURAÇÃO'!$P:$P,MATCH(MEDIÇÃO!D973,'PROJETO PERFURAÇÃO'!$B:$B,0))="Production","P",IF(INDEX('PROJETO PERFURAÇÃO'!$P:$P,MATCH(MEDIÇÃO!D973,'PROJETO PERFURAÇÃO'!$B:$B,0))="Buffer","B",IF(INDEX('PROJETO PERFURAÇÃO'!$P:$P,MATCH(MEDIÇÃO!D973,'PROJETO PERFURAÇÃO'!$B:$B,0))="Pre-Splitting","S"))),"")</f>
        <v/>
      </c>
      <c r="D973" s="14">
        <f t="shared" si="93"/>
        <v>2147</v>
      </c>
      <c r="E973" s="4" t="str">
        <f>IFERROR(INDEX('LEV R&amp;D'!$D:$D,MATCH(MEDIÇÃO!D973,'LEV R&amp;D'!$A:$A,0))-INDEX('PROJETO PERFURAÇÃO'!$AH:$AH,MATCH(MEDIÇÃO!D973,'PROJETO PERFURAÇÃO'!$B:$B,0)),"")</f>
        <v/>
      </c>
      <c r="F973" s="8" t="str">
        <f>IFERROR(INDEX('PROJETO PERFURAÇÃO'!$AN:$AN,MATCH(MEDIÇÃO!D973,'PROJETO PERFURAÇÃO'!$B:$B,0)),"")</f>
        <v/>
      </c>
      <c r="G973" s="3"/>
      <c r="H973" s="3"/>
      <c r="I973" s="3" t="str">
        <f>IFERROR(ROUND(INDEX('PROJETO PERFURAÇÃO'!$AB:$AB,MATCH(MEDIÇÃO!K973,'PROJETO PERFURAÇÃO'!$B:$B,0)),1)&amp;"''","")</f>
        <v/>
      </c>
      <c r="J973" s="3" t="str">
        <f>IFERROR(IF(INDEX('PROJETO PERFURAÇÃO'!$P:$P,MATCH(MEDIÇÃO!K973,'PROJETO PERFURAÇÃO'!$B:$B,0))="Production","P",IF(INDEX('PROJETO PERFURAÇÃO'!$P:$P,MATCH(MEDIÇÃO!K973,'PROJETO PERFURAÇÃO'!$B:$B,0))="Buffer","B",IF(INDEX('PROJETO PERFURAÇÃO'!$P:$P,MATCH(MEDIÇÃO!K973,'PROJETO PERFURAÇÃO'!$B:$B,0))="Pre-Splitting","S"))),"")</f>
        <v/>
      </c>
      <c r="K973" s="14">
        <f t="shared" si="94"/>
        <v>2170</v>
      </c>
      <c r="L973" s="4" t="str">
        <f>IFERROR(INDEX('LEV R&amp;D'!$D:$D,MATCH(MEDIÇÃO!K973,'LEV R&amp;D'!$A:$A,0))-INDEX('PROJETO PERFURAÇÃO'!$AH:$AH,MATCH(MEDIÇÃO!K973,'PROJETO PERFURAÇÃO'!$B:$B,0)),"")</f>
        <v/>
      </c>
      <c r="M973" s="8" t="str">
        <f>IFERROR(INDEX('PROJETO PERFURAÇÃO'!$AN:$AN,MATCH(MEDIÇÃO!K973,'PROJETO PERFURAÇÃO'!$B:$B,0)),"")</f>
        <v/>
      </c>
      <c r="N973" s="3"/>
      <c r="O973" s="3"/>
      <c r="P973" s="3" t="str">
        <f>IFERROR(ROUND(INDEX('PROJETO PERFURAÇÃO'!$AB:$AB,MATCH(MEDIÇÃO!R973,'PROJETO PERFURAÇÃO'!$B:$B,0)),1)&amp;"''","")</f>
        <v/>
      </c>
      <c r="Q973" s="3" t="str">
        <f>IFERROR(IF(INDEX('PROJETO PERFURAÇÃO'!$P:$P,MATCH(MEDIÇÃO!R973,'PROJETO PERFURAÇÃO'!$B:$B,0))="Production","P",IF(INDEX('PROJETO PERFURAÇÃO'!$P:$P,MATCH(MEDIÇÃO!R973,'PROJETO PERFURAÇÃO'!$B:$B,0))="Buffer","B",IF(INDEX('PROJETO PERFURAÇÃO'!$P:$P,MATCH(MEDIÇÃO!R973,'PROJETO PERFURAÇÃO'!$B:$B,0))="Pre-Splitting","S"))),"")</f>
        <v/>
      </c>
      <c r="R973" s="14">
        <f t="shared" si="95"/>
        <v>2193</v>
      </c>
      <c r="S973" s="4" t="str">
        <f>IFERROR(INDEX('LEV R&amp;D'!$D:$D,MATCH(MEDIÇÃO!R973,'LEV R&amp;D'!$A:$A,0))-INDEX('PROJETO PERFURAÇÃO'!$AH:$AH,MATCH(MEDIÇÃO!R973,'PROJETO PERFURAÇÃO'!$B:$B,0)),"")</f>
        <v/>
      </c>
      <c r="T973" s="8" t="str">
        <f>IFERROR(INDEX('PROJETO PERFURAÇÃO'!$AN:$AN,MATCH(MEDIÇÃO!R973,'PROJETO PERFURAÇÃO'!$B:$B,0)),"")</f>
        <v/>
      </c>
      <c r="U973" s="3"/>
      <c r="V973" s="3"/>
    </row>
    <row r="974" spans="1:23" ht="45" customHeight="1" x14ac:dyDescent="0.25">
      <c r="B974" s="3" t="str">
        <f>IFERROR(ROUND(INDEX('PROJETO PERFURAÇÃO'!$AB:$AB,MATCH(MEDIÇÃO!D974,'PROJETO PERFURAÇÃO'!$B:$B,0)),1)&amp;"''","")</f>
        <v/>
      </c>
      <c r="C974" s="3" t="str">
        <f>IFERROR(IF(INDEX('PROJETO PERFURAÇÃO'!$P:$P,MATCH(MEDIÇÃO!D974,'PROJETO PERFURAÇÃO'!$B:$B,0))="Production","P",IF(INDEX('PROJETO PERFURAÇÃO'!$P:$P,MATCH(MEDIÇÃO!D974,'PROJETO PERFURAÇÃO'!$B:$B,0))="Buffer","B",IF(INDEX('PROJETO PERFURAÇÃO'!$P:$P,MATCH(MEDIÇÃO!D974,'PROJETO PERFURAÇÃO'!$B:$B,0))="Pre-Splitting","S"))),"")</f>
        <v/>
      </c>
      <c r="D974" s="14">
        <f t="shared" si="93"/>
        <v>2148</v>
      </c>
      <c r="E974" s="4" t="str">
        <f>IFERROR(INDEX('LEV R&amp;D'!$D:$D,MATCH(MEDIÇÃO!D974,'LEV R&amp;D'!$A:$A,0))-INDEX('PROJETO PERFURAÇÃO'!$AH:$AH,MATCH(MEDIÇÃO!D974,'PROJETO PERFURAÇÃO'!$B:$B,0)),"")</f>
        <v/>
      </c>
      <c r="F974" s="8" t="str">
        <f>IFERROR(INDEX('PROJETO PERFURAÇÃO'!$AN:$AN,MATCH(MEDIÇÃO!D974,'PROJETO PERFURAÇÃO'!$B:$B,0)),"")</f>
        <v/>
      </c>
      <c r="G974" s="3"/>
      <c r="H974" s="3"/>
      <c r="I974" s="3" t="str">
        <f>IFERROR(ROUND(INDEX('PROJETO PERFURAÇÃO'!$AB:$AB,MATCH(MEDIÇÃO!K974,'PROJETO PERFURAÇÃO'!$B:$B,0)),1)&amp;"''","")</f>
        <v/>
      </c>
      <c r="J974" s="3" t="str">
        <f>IFERROR(IF(INDEX('PROJETO PERFURAÇÃO'!$P:$P,MATCH(MEDIÇÃO!K974,'PROJETO PERFURAÇÃO'!$B:$B,0))="Production","P",IF(INDEX('PROJETO PERFURAÇÃO'!$P:$P,MATCH(MEDIÇÃO!K974,'PROJETO PERFURAÇÃO'!$B:$B,0))="Buffer","B",IF(INDEX('PROJETO PERFURAÇÃO'!$P:$P,MATCH(MEDIÇÃO!K974,'PROJETO PERFURAÇÃO'!$B:$B,0))="Pre-Splitting","S"))),"")</f>
        <v/>
      </c>
      <c r="K974" s="14">
        <f t="shared" si="94"/>
        <v>2171</v>
      </c>
      <c r="L974" s="4" t="str">
        <f>IFERROR(INDEX('LEV R&amp;D'!$D:$D,MATCH(MEDIÇÃO!K974,'LEV R&amp;D'!$A:$A,0))-INDEX('PROJETO PERFURAÇÃO'!$AH:$AH,MATCH(MEDIÇÃO!K974,'PROJETO PERFURAÇÃO'!$B:$B,0)),"")</f>
        <v/>
      </c>
      <c r="M974" s="8" t="str">
        <f>IFERROR(INDEX('PROJETO PERFURAÇÃO'!$AN:$AN,MATCH(MEDIÇÃO!K974,'PROJETO PERFURAÇÃO'!$B:$B,0)),"")</f>
        <v/>
      </c>
      <c r="N974" s="3"/>
      <c r="O974" s="3"/>
      <c r="P974" s="3" t="str">
        <f>IFERROR(ROUND(INDEX('PROJETO PERFURAÇÃO'!$AB:$AB,MATCH(MEDIÇÃO!R974,'PROJETO PERFURAÇÃO'!$B:$B,0)),1)&amp;"''","")</f>
        <v/>
      </c>
      <c r="Q974" s="3" t="str">
        <f>IFERROR(IF(INDEX('PROJETO PERFURAÇÃO'!$P:$P,MATCH(MEDIÇÃO!R974,'PROJETO PERFURAÇÃO'!$B:$B,0))="Production","P",IF(INDEX('PROJETO PERFURAÇÃO'!$P:$P,MATCH(MEDIÇÃO!R974,'PROJETO PERFURAÇÃO'!$B:$B,0))="Buffer","B",IF(INDEX('PROJETO PERFURAÇÃO'!$P:$P,MATCH(MEDIÇÃO!R974,'PROJETO PERFURAÇÃO'!$B:$B,0))="Pre-Splitting","S"))),"")</f>
        <v/>
      </c>
      <c r="R974" s="14">
        <f t="shared" si="95"/>
        <v>2194</v>
      </c>
      <c r="S974" s="4" t="str">
        <f>IFERROR(INDEX('LEV R&amp;D'!$D:$D,MATCH(MEDIÇÃO!R974,'LEV R&amp;D'!$A:$A,0))-INDEX('PROJETO PERFURAÇÃO'!$AH:$AH,MATCH(MEDIÇÃO!R974,'PROJETO PERFURAÇÃO'!$B:$B,0)),"")</f>
        <v/>
      </c>
      <c r="T974" s="8" t="str">
        <f>IFERROR(INDEX('PROJETO PERFURAÇÃO'!$AN:$AN,MATCH(MEDIÇÃO!R974,'PROJETO PERFURAÇÃO'!$B:$B,0)),"")</f>
        <v/>
      </c>
      <c r="U974" s="3"/>
      <c r="V974" s="3"/>
    </row>
    <row r="975" spans="1:23" ht="45" customHeight="1" x14ac:dyDescent="0.25">
      <c r="B975" s="3" t="str">
        <f>IFERROR(ROUND(INDEX('PROJETO PERFURAÇÃO'!$AB:$AB,MATCH(MEDIÇÃO!D975,'PROJETO PERFURAÇÃO'!$B:$B,0)),1)&amp;"''","")</f>
        <v/>
      </c>
      <c r="C975" s="3" t="str">
        <f>IFERROR(IF(INDEX('PROJETO PERFURAÇÃO'!$P:$P,MATCH(MEDIÇÃO!D975,'PROJETO PERFURAÇÃO'!$B:$B,0))="Production","P",IF(INDEX('PROJETO PERFURAÇÃO'!$P:$P,MATCH(MEDIÇÃO!D975,'PROJETO PERFURAÇÃO'!$B:$B,0))="Buffer","B",IF(INDEX('PROJETO PERFURAÇÃO'!$P:$P,MATCH(MEDIÇÃO!D975,'PROJETO PERFURAÇÃO'!$B:$B,0))="Pre-Splitting","S"))),"")</f>
        <v/>
      </c>
      <c r="D975" s="14">
        <f t="shared" si="93"/>
        <v>2149</v>
      </c>
      <c r="E975" s="4" t="str">
        <f>IFERROR(INDEX('LEV R&amp;D'!$D:$D,MATCH(MEDIÇÃO!D975,'LEV R&amp;D'!$A:$A,0))-INDEX('PROJETO PERFURAÇÃO'!$AH:$AH,MATCH(MEDIÇÃO!D975,'PROJETO PERFURAÇÃO'!$B:$B,0)),"")</f>
        <v/>
      </c>
      <c r="F975" s="8" t="str">
        <f>IFERROR(INDEX('PROJETO PERFURAÇÃO'!$AN:$AN,MATCH(MEDIÇÃO!D975,'PROJETO PERFURAÇÃO'!$B:$B,0)),"")</f>
        <v/>
      </c>
      <c r="G975" s="3"/>
      <c r="H975" s="3"/>
      <c r="I975" s="3" t="str">
        <f>IFERROR(ROUND(INDEX('PROJETO PERFURAÇÃO'!$AB:$AB,MATCH(MEDIÇÃO!K975,'PROJETO PERFURAÇÃO'!$B:$B,0)),1)&amp;"''","")</f>
        <v/>
      </c>
      <c r="J975" s="3" t="str">
        <f>IFERROR(IF(INDEX('PROJETO PERFURAÇÃO'!$P:$P,MATCH(MEDIÇÃO!K975,'PROJETO PERFURAÇÃO'!$B:$B,0))="Production","P",IF(INDEX('PROJETO PERFURAÇÃO'!$P:$P,MATCH(MEDIÇÃO!K975,'PROJETO PERFURAÇÃO'!$B:$B,0))="Buffer","B",IF(INDEX('PROJETO PERFURAÇÃO'!$P:$P,MATCH(MEDIÇÃO!K975,'PROJETO PERFURAÇÃO'!$B:$B,0))="Pre-Splitting","S"))),"")</f>
        <v/>
      </c>
      <c r="K975" s="14">
        <f t="shared" si="94"/>
        <v>2172</v>
      </c>
      <c r="L975" s="4" t="str">
        <f>IFERROR(INDEX('LEV R&amp;D'!$D:$D,MATCH(MEDIÇÃO!K975,'LEV R&amp;D'!$A:$A,0))-INDEX('PROJETO PERFURAÇÃO'!$AH:$AH,MATCH(MEDIÇÃO!K975,'PROJETO PERFURAÇÃO'!$B:$B,0)),"")</f>
        <v/>
      </c>
      <c r="M975" s="8" t="str">
        <f>IFERROR(INDEX('PROJETO PERFURAÇÃO'!$AN:$AN,MATCH(MEDIÇÃO!K975,'PROJETO PERFURAÇÃO'!$B:$B,0)),"")</f>
        <v/>
      </c>
      <c r="N975" s="3"/>
      <c r="O975" s="3"/>
      <c r="P975" s="3" t="str">
        <f>IFERROR(ROUND(INDEX('PROJETO PERFURAÇÃO'!$AB:$AB,MATCH(MEDIÇÃO!R975,'PROJETO PERFURAÇÃO'!$B:$B,0)),1)&amp;"''","")</f>
        <v/>
      </c>
      <c r="Q975" s="3" t="str">
        <f>IFERROR(IF(INDEX('PROJETO PERFURAÇÃO'!$P:$P,MATCH(MEDIÇÃO!R975,'PROJETO PERFURAÇÃO'!$B:$B,0))="Production","P",IF(INDEX('PROJETO PERFURAÇÃO'!$P:$P,MATCH(MEDIÇÃO!R975,'PROJETO PERFURAÇÃO'!$B:$B,0))="Buffer","B",IF(INDEX('PROJETO PERFURAÇÃO'!$P:$P,MATCH(MEDIÇÃO!R975,'PROJETO PERFURAÇÃO'!$B:$B,0))="Pre-Splitting","S"))),"")</f>
        <v/>
      </c>
      <c r="R975" s="14">
        <f t="shared" si="95"/>
        <v>2195</v>
      </c>
      <c r="S975" s="4" t="str">
        <f>IFERROR(INDEX('LEV R&amp;D'!$D:$D,MATCH(MEDIÇÃO!R975,'LEV R&amp;D'!$A:$A,0))-INDEX('PROJETO PERFURAÇÃO'!$AH:$AH,MATCH(MEDIÇÃO!R975,'PROJETO PERFURAÇÃO'!$B:$B,0)),"")</f>
        <v/>
      </c>
      <c r="T975" s="8" t="str">
        <f>IFERROR(INDEX('PROJETO PERFURAÇÃO'!$AN:$AN,MATCH(MEDIÇÃO!R975,'PROJETO PERFURAÇÃO'!$B:$B,0)),"")</f>
        <v/>
      </c>
      <c r="U975" s="3"/>
      <c r="V975" s="3"/>
    </row>
    <row r="976" spans="1:23" ht="45" customHeight="1" x14ac:dyDescent="0.25">
      <c r="B976" s="3" t="str">
        <f>IFERROR(ROUND(INDEX('PROJETO PERFURAÇÃO'!$AB:$AB,MATCH(MEDIÇÃO!D976,'PROJETO PERFURAÇÃO'!$B:$B,0)),1)&amp;"''","")</f>
        <v/>
      </c>
      <c r="C976" s="3" t="str">
        <f>IFERROR(IF(INDEX('PROJETO PERFURAÇÃO'!$P:$P,MATCH(MEDIÇÃO!D976,'PROJETO PERFURAÇÃO'!$B:$B,0))="Production","P",IF(INDEX('PROJETO PERFURAÇÃO'!$P:$P,MATCH(MEDIÇÃO!D976,'PROJETO PERFURAÇÃO'!$B:$B,0))="Buffer","B",IF(INDEX('PROJETO PERFURAÇÃO'!$P:$P,MATCH(MEDIÇÃO!D976,'PROJETO PERFURAÇÃO'!$B:$B,0))="Pre-Splitting","S"))),"")</f>
        <v/>
      </c>
      <c r="D976" s="14">
        <f t="shared" si="93"/>
        <v>2150</v>
      </c>
      <c r="E976" s="4" t="str">
        <f>IFERROR(INDEX('LEV R&amp;D'!$D:$D,MATCH(MEDIÇÃO!D976,'LEV R&amp;D'!$A:$A,0))-INDEX('PROJETO PERFURAÇÃO'!$AH:$AH,MATCH(MEDIÇÃO!D976,'PROJETO PERFURAÇÃO'!$B:$B,0)),"")</f>
        <v/>
      </c>
      <c r="F976" s="8" t="str">
        <f>IFERROR(INDEX('PROJETO PERFURAÇÃO'!$AN:$AN,MATCH(MEDIÇÃO!D976,'PROJETO PERFURAÇÃO'!$B:$B,0)),"")</f>
        <v/>
      </c>
      <c r="G976" s="3"/>
      <c r="H976" s="3"/>
      <c r="I976" s="3" t="str">
        <f>IFERROR(ROUND(INDEX('PROJETO PERFURAÇÃO'!$AB:$AB,MATCH(MEDIÇÃO!K976,'PROJETO PERFURAÇÃO'!$B:$B,0)),1)&amp;"''","")</f>
        <v/>
      </c>
      <c r="J976" s="3" t="str">
        <f>IFERROR(IF(INDEX('PROJETO PERFURAÇÃO'!$P:$P,MATCH(MEDIÇÃO!K976,'PROJETO PERFURAÇÃO'!$B:$B,0))="Production","P",IF(INDEX('PROJETO PERFURAÇÃO'!$P:$P,MATCH(MEDIÇÃO!K976,'PROJETO PERFURAÇÃO'!$B:$B,0))="Buffer","B",IF(INDEX('PROJETO PERFURAÇÃO'!$P:$P,MATCH(MEDIÇÃO!K976,'PROJETO PERFURAÇÃO'!$B:$B,0))="Pre-Splitting","S"))),"")</f>
        <v/>
      </c>
      <c r="K976" s="14">
        <f t="shared" si="94"/>
        <v>2173</v>
      </c>
      <c r="L976" s="4" t="str">
        <f>IFERROR(INDEX('LEV R&amp;D'!$D:$D,MATCH(MEDIÇÃO!K976,'LEV R&amp;D'!$A:$A,0))-INDEX('PROJETO PERFURAÇÃO'!$AH:$AH,MATCH(MEDIÇÃO!K976,'PROJETO PERFURAÇÃO'!$B:$B,0)),"")</f>
        <v/>
      </c>
      <c r="M976" s="8" t="str">
        <f>IFERROR(INDEX('PROJETO PERFURAÇÃO'!$AN:$AN,MATCH(MEDIÇÃO!K976,'PROJETO PERFURAÇÃO'!$B:$B,0)),"")</f>
        <v/>
      </c>
      <c r="N976" s="3"/>
      <c r="O976" s="3"/>
      <c r="P976" s="3" t="str">
        <f>IFERROR(ROUND(INDEX('PROJETO PERFURAÇÃO'!$AB:$AB,MATCH(MEDIÇÃO!R976,'PROJETO PERFURAÇÃO'!$B:$B,0)),1)&amp;"''","")</f>
        <v/>
      </c>
      <c r="Q976" s="3" t="str">
        <f>IFERROR(IF(INDEX('PROJETO PERFURAÇÃO'!$P:$P,MATCH(MEDIÇÃO!R976,'PROJETO PERFURAÇÃO'!$B:$B,0))="Production","P",IF(INDEX('PROJETO PERFURAÇÃO'!$P:$P,MATCH(MEDIÇÃO!R976,'PROJETO PERFURAÇÃO'!$B:$B,0))="Buffer","B",IF(INDEX('PROJETO PERFURAÇÃO'!$P:$P,MATCH(MEDIÇÃO!R976,'PROJETO PERFURAÇÃO'!$B:$B,0))="Pre-Splitting","S"))),"")</f>
        <v/>
      </c>
      <c r="R976" s="14">
        <f t="shared" si="95"/>
        <v>2196</v>
      </c>
      <c r="S976" s="4" t="str">
        <f>IFERROR(INDEX('LEV R&amp;D'!$D:$D,MATCH(MEDIÇÃO!R976,'LEV R&amp;D'!$A:$A,0))-INDEX('PROJETO PERFURAÇÃO'!$AH:$AH,MATCH(MEDIÇÃO!R976,'PROJETO PERFURAÇÃO'!$B:$B,0)),"")</f>
        <v/>
      </c>
      <c r="T976" s="8" t="str">
        <f>IFERROR(INDEX('PROJETO PERFURAÇÃO'!$AN:$AN,MATCH(MEDIÇÃO!R976,'PROJETO PERFURAÇÃO'!$B:$B,0)),"")</f>
        <v/>
      </c>
      <c r="U976" s="3"/>
      <c r="V976" s="3"/>
    </row>
    <row r="977" spans="2:22" ht="45" customHeight="1" x14ac:dyDescent="0.25">
      <c r="B977" s="3" t="str">
        <f>IFERROR(ROUND(INDEX('PROJETO PERFURAÇÃO'!$AB:$AB,MATCH(MEDIÇÃO!D977,'PROJETO PERFURAÇÃO'!$B:$B,0)),1)&amp;"''","")</f>
        <v/>
      </c>
      <c r="C977" s="3" t="str">
        <f>IFERROR(IF(INDEX('PROJETO PERFURAÇÃO'!$P:$P,MATCH(MEDIÇÃO!D977,'PROJETO PERFURAÇÃO'!$B:$B,0))="Production","P",IF(INDEX('PROJETO PERFURAÇÃO'!$P:$P,MATCH(MEDIÇÃO!D977,'PROJETO PERFURAÇÃO'!$B:$B,0))="Buffer","B",IF(INDEX('PROJETO PERFURAÇÃO'!$P:$P,MATCH(MEDIÇÃO!D977,'PROJETO PERFURAÇÃO'!$B:$B,0))="Pre-Splitting","S"))),"")</f>
        <v/>
      </c>
      <c r="D977" s="14">
        <f t="shared" si="93"/>
        <v>2151</v>
      </c>
      <c r="E977" s="4" t="str">
        <f>IFERROR(INDEX('LEV R&amp;D'!$D:$D,MATCH(MEDIÇÃO!D977,'LEV R&amp;D'!$A:$A,0))-INDEX('PROJETO PERFURAÇÃO'!$AH:$AH,MATCH(MEDIÇÃO!D977,'PROJETO PERFURAÇÃO'!$B:$B,0)),"")</f>
        <v/>
      </c>
      <c r="F977" s="8" t="str">
        <f>IFERROR(INDEX('PROJETO PERFURAÇÃO'!$AN:$AN,MATCH(MEDIÇÃO!D977,'PROJETO PERFURAÇÃO'!$B:$B,0)),"")</f>
        <v/>
      </c>
      <c r="G977" s="3"/>
      <c r="H977" s="3"/>
      <c r="I977" s="3" t="str">
        <f>IFERROR(ROUND(INDEX('PROJETO PERFURAÇÃO'!$AB:$AB,MATCH(MEDIÇÃO!K977,'PROJETO PERFURAÇÃO'!$B:$B,0)),1)&amp;"''","")</f>
        <v/>
      </c>
      <c r="J977" s="3" t="str">
        <f>IFERROR(IF(INDEX('PROJETO PERFURAÇÃO'!$P:$P,MATCH(MEDIÇÃO!K977,'PROJETO PERFURAÇÃO'!$B:$B,0))="Production","P",IF(INDEX('PROJETO PERFURAÇÃO'!$P:$P,MATCH(MEDIÇÃO!K977,'PROJETO PERFURAÇÃO'!$B:$B,0))="Buffer","B",IF(INDEX('PROJETO PERFURAÇÃO'!$P:$P,MATCH(MEDIÇÃO!K977,'PROJETO PERFURAÇÃO'!$B:$B,0))="Pre-Splitting","S"))),"")</f>
        <v/>
      </c>
      <c r="K977" s="14">
        <f t="shared" si="94"/>
        <v>2174</v>
      </c>
      <c r="L977" s="4" t="str">
        <f>IFERROR(INDEX('LEV R&amp;D'!$D:$D,MATCH(MEDIÇÃO!K977,'LEV R&amp;D'!$A:$A,0))-INDEX('PROJETO PERFURAÇÃO'!$AH:$AH,MATCH(MEDIÇÃO!K977,'PROJETO PERFURAÇÃO'!$B:$B,0)),"")</f>
        <v/>
      </c>
      <c r="M977" s="8" t="str">
        <f>IFERROR(INDEX('PROJETO PERFURAÇÃO'!$AN:$AN,MATCH(MEDIÇÃO!K977,'PROJETO PERFURAÇÃO'!$B:$B,0)),"")</f>
        <v/>
      </c>
      <c r="N977" s="3"/>
      <c r="O977" s="3"/>
      <c r="P977" s="3" t="str">
        <f>IFERROR(ROUND(INDEX('PROJETO PERFURAÇÃO'!$AB:$AB,MATCH(MEDIÇÃO!R977,'PROJETO PERFURAÇÃO'!$B:$B,0)),1)&amp;"''","")</f>
        <v/>
      </c>
      <c r="Q977" s="3" t="str">
        <f>IFERROR(IF(INDEX('PROJETO PERFURAÇÃO'!$P:$P,MATCH(MEDIÇÃO!R977,'PROJETO PERFURAÇÃO'!$B:$B,0))="Production","P",IF(INDEX('PROJETO PERFURAÇÃO'!$P:$P,MATCH(MEDIÇÃO!R977,'PROJETO PERFURAÇÃO'!$B:$B,0))="Buffer","B",IF(INDEX('PROJETO PERFURAÇÃO'!$P:$P,MATCH(MEDIÇÃO!R977,'PROJETO PERFURAÇÃO'!$B:$B,0))="Pre-Splitting","S"))),"")</f>
        <v/>
      </c>
      <c r="R977" s="14">
        <f t="shared" si="95"/>
        <v>2197</v>
      </c>
      <c r="S977" s="4" t="str">
        <f>IFERROR(INDEX('LEV R&amp;D'!$D:$D,MATCH(MEDIÇÃO!R977,'LEV R&amp;D'!$A:$A,0))-INDEX('PROJETO PERFURAÇÃO'!$AH:$AH,MATCH(MEDIÇÃO!R977,'PROJETO PERFURAÇÃO'!$B:$B,0)),"")</f>
        <v/>
      </c>
      <c r="T977" s="8" t="str">
        <f>IFERROR(INDEX('PROJETO PERFURAÇÃO'!$AN:$AN,MATCH(MEDIÇÃO!R977,'PROJETO PERFURAÇÃO'!$B:$B,0)),"")</f>
        <v/>
      </c>
      <c r="U977" s="3"/>
      <c r="V977" s="3"/>
    </row>
    <row r="978" spans="2:22" ht="45" customHeight="1" x14ac:dyDescent="0.25">
      <c r="B978" s="3" t="str">
        <f>IFERROR(ROUND(INDEX('PROJETO PERFURAÇÃO'!$AB:$AB,MATCH(MEDIÇÃO!D978,'PROJETO PERFURAÇÃO'!$B:$B,0)),1)&amp;"''","")</f>
        <v/>
      </c>
      <c r="C978" s="3" t="str">
        <f>IFERROR(IF(INDEX('PROJETO PERFURAÇÃO'!$P:$P,MATCH(MEDIÇÃO!D978,'PROJETO PERFURAÇÃO'!$B:$B,0))="Production","P",IF(INDEX('PROJETO PERFURAÇÃO'!$P:$P,MATCH(MEDIÇÃO!D978,'PROJETO PERFURAÇÃO'!$B:$B,0))="Buffer","B",IF(INDEX('PROJETO PERFURAÇÃO'!$P:$P,MATCH(MEDIÇÃO!D978,'PROJETO PERFURAÇÃO'!$B:$B,0))="Pre-Splitting","S"))),"")</f>
        <v/>
      </c>
      <c r="D978" s="14">
        <f t="shared" si="93"/>
        <v>2152</v>
      </c>
      <c r="E978" s="4" t="str">
        <f>IFERROR(INDEX('LEV R&amp;D'!$D:$D,MATCH(MEDIÇÃO!D978,'LEV R&amp;D'!$A:$A,0))-INDEX('PROJETO PERFURAÇÃO'!$AH:$AH,MATCH(MEDIÇÃO!D978,'PROJETO PERFURAÇÃO'!$B:$B,0)),"")</f>
        <v/>
      </c>
      <c r="F978" s="8" t="str">
        <f>IFERROR(INDEX('PROJETO PERFURAÇÃO'!$AN:$AN,MATCH(MEDIÇÃO!D978,'PROJETO PERFURAÇÃO'!$B:$B,0)),"")</f>
        <v/>
      </c>
      <c r="G978" s="3"/>
      <c r="H978" s="3"/>
      <c r="I978" s="3" t="str">
        <f>IFERROR(ROUND(INDEX('PROJETO PERFURAÇÃO'!$AB:$AB,MATCH(MEDIÇÃO!K978,'PROJETO PERFURAÇÃO'!$B:$B,0)),1)&amp;"''","")</f>
        <v/>
      </c>
      <c r="J978" s="3" t="str">
        <f>IFERROR(IF(INDEX('PROJETO PERFURAÇÃO'!$P:$P,MATCH(MEDIÇÃO!K978,'PROJETO PERFURAÇÃO'!$B:$B,0))="Production","P",IF(INDEX('PROJETO PERFURAÇÃO'!$P:$P,MATCH(MEDIÇÃO!K978,'PROJETO PERFURAÇÃO'!$B:$B,0))="Buffer","B",IF(INDEX('PROJETO PERFURAÇÃO'!$P:$P,MATCH(MEDIÇÃO!K978,'PROJETO PERFURAÇÃO'!$B:$B,0))="Pre-Splitting","S"))),"")</f>
        <v/>
      </c>
      <c r="K978" s="14">
        <f t="shared" si="94"/>
        <v>2175</v>
      </c>
      <c r="L978" s="4" t="str">
        <f>IFERROR(INDEX('LEV R&amp;D'!$D:$D,MATCH(MEDIÇÃO!K978,'LEV R&amp;D'!$A:$A,0))-INDEX('PROJETO PERFURAÇÃO'!$AH:$AH,MATCH(MEDIÇÃO!K978,'PROJETO PERFURAÇÃO'!$B:$B,0)),"")</f>
        <v/>
      </c>
      <c r="M978" s="8" t="str">
        <f>IFERROR(INDEX('PROJETO PERFURAÇÃO'!$AN:$AN,MATCH(MEDIÇÃO!K978,'PROJETO PERFURAÇÃO'!$B:$B,0)),"")</f>
        <v/>
      </c>
      <c r="N978" s="3"/>
      <c r="O978" s="3"/>
      <c r="P978" s="3" t="str">
        <f>IFERROR(ROUND(INDEX('PROJETO PERFURAÇÃO'!$AB:$AB,MATCH(MEDIÇÃO!R978,'PROJETO PERFURAÇÃO'!$B:$B,0)),1)&amp;"''","")</f>
        <v/>
      </c>
      <c r="Q978" s="3" t="str">
        <f>IFERROR(IF(INDEX('PROJETO PERFURAÇÃO'!$P:$P,MATCH(MEDIÇÃO!R978,'PROJETO PERFURAÇÃO'!$B:$B,0))="Production","P",IF(INDEX('PROJETO PERFURAÇÃO'!$P:$P,MATCH(MEDIÇÃO!R978,'PROJETO PERFURAÇÃO'!$B:$B,0))="Buffer","B",IF(INDEX('PROJETO PERFURAÇÃO'!$P:$P,MATCH(MEDIÇÃO!R978,'PROJETO PERFURAÇÃO'!$B:$B,0))="Pre-Splitting","S"))),"")</f>
        <v/>
      </c>
      <c r="R978" s="14">
        <f t="shared" si="95"/>
        <v>2198</v>
      </c>
      <c r="S978" s="4" t="str">
        <f>IFERROR(INDEX('LEV R&amp;D'!$D:$D,MATCH(MEDIÇÃO!R978,'LEV R&amp;D'!$A:$A,0))-INDEX('PROJETO PERFURAÇÃO'!$AH:$AH,MATCH(MEDIÇÃO!R978,'PROJETO PERFURAÇÃO'!$B:$B,0)),"")</f>
        <v/>
      </c>
      <c r="T978" s="8" t="str">
        <f>IFERROR(INDEX('PROJETO PERFURAÇÃO'!$AN:$AN,MATCH(MEDIÇÃO!R978,'PROJETO PERFURAÇÃO'!$B:$B,0)),"")</f>
        <v/>
      </c>
      <c r="U978" s="3"/>
      <c r="V978" s="3"/>
    </row>
    <row r="979" spans="2:22" ht="45" customHeight="1" x14ac:dyDescent="0.25">
      <c r="B979" s="3" t="str">
        <f>IFERROR(ROUND(INDEX('PROJETO PERFURAÇÃO'!$AB:$AB,MATCH(MEDIÇÃO!D979,'PROJETO PERFURAÇÃO'!$B:$B,0)),1)&amp;"''","")</f>
        <v/>
      </c>
      <c r="C979" s="3" t="str">
        <f>IFERROR(IF(INDEX('PROJETO PERFURAÇÃO'!$P:$P,MATCH(MEDIÇÃO!D979,'PROJETO PERFURAÇÃO'!$B:$B,0))="Production","P",IF(INDEX('PROJETO PERFURAÇÃO'!$P:$P,MATCH(MEDIÇÃO!D979,'PROJETO PERFURAÇÃO'!$B:$B,0))="Buffer","B",IF(INDEX('PROJETO PERFURAÇÃO'!$P:$P,MATCH(MEDIÇÃO!D979,'PROJETO PERFURAÇÃO'!$B:$B,0))="Pre-Splitting","S"))),"")</f>
        <v/>
      </c>
      <c r="D979" s="14">
        <f t="shared" si="93"/>
        <v>2153</v>
      </c>
      <c r="E979" s="4" t="str">
        <f>IFERROR(INDEX('LEV R&amp;D'!$D:$D,MATCH(MEDIÇÃO!D979,'LEV R&amp;D'!$A:$A,0))-INDEX('PROJETO PERFURAÇÃO'!$AH:$AH,MATCH(MEDIÇÃO!D979,'PROJETO PERFURAÇÃO'!$B:$B,0)),"")</f>
        <v/>
      </c>
      <c r="F979" s="8" t="str">
        <f>IFERROR(INDEX('PROJETO PERFURAÇÃO'!$AN:$AN,MATCH(MEDIÇÃO!D979,'PROJETO PERFURAÇÃO'!$B:$B,0)),"")</f>
        <v/>
      </c>
      <c r="G979" s="3"/>
      <c r="H979" s="3"/>
      <c r="I979" s="3" t="str">
        <f>IFERROR(ROUND(INDEX('PROJETO PERFURAÇÃO'!$AB:$AB,MATCH(MEDIÇÃO!K979,'PROJETO PERFURAÇÃO'!$B:$B,0)),1)&amp;"''","")</f>
        <v/>
      </c>
      <c r="J979" s="3" t="str">
        <f>IFERROR(IF(INDEX('PROJETO PERFURAÇÃO'!$P:$P,MATCH(MEDIÇÃO!K979,'PROJETO PERFURAÇÃO'!$B:$B,0))="Production","P",IF(INDEX('PROJETO PERFURAÇÃO'!$P:$P,MATCH(MEDIÇÃO!K979,'PROJETO PERFURAÇÃO'!$B:$B,0))="Buffer","B",IF(INDEX('PROJETO PERFURAÇÃO'!$P:$P,MATCH(MEDIÇÃO!K979,'PROJETO PERFURAÇÃO'!$B:$B,0))="Pre-Splitting","S"))),"")</f>
        <v/>
      </c>
      <c r="K979" s="14">
        <f t="shared" si="94"/>
        <v>2176</v>
      </c>
      <c r="L979" s="4" t="str">
        <f>IFERROR(INDEX('LEV R&amp;D'!$D:$D,MATCH(MEDIÇÃO!K979,'LEV R&amp;D'!$A:$A,0))-INDEX('PROJETO PERFURAÇÃO'!$AH:$AH,MATCH(MEDIÇÃO!K979,'PROJETO PERFURAÇÃO'!$B:$B,0)),"")</f>
        <v/>
      </c>
      <c r="M979" s="8" t="str">
        <f>IFERROR(INDEX('PROJETO PERFURAÇÃO'!$AN:$AN,MATCH(MEDIÇÃO!K979,'PROJETO PERFURAÇÃO'!$B:$B,0)),"")</f>
        <v/>
      </c>
      <c r="N979" s="3"/>
      <c r="O979" s="3"/>
      <c r="P979" s="3" t="str">
        <f>IFERROR(ROUND(INDEX('PROJETO PERFURAÇÃO'!$AB:$AB,MATCH(MEDIÇÃO!R979,'PROJETO PERFURAÇÃO'!$B:$B,0)),1)&amp;"''","")</f>
        <v/>
      </c>
      <c r="Q979" s="3" t="str">
        <f>IFERROR(IF(INDEX('PROJETO PERFURAÇÃO'!$P:$P,MATCH(MEDIÇÃO!R979,'PROJETO PERFURAÇÃO'!$B:$B,0))="Production","P",IF(INDEX('PROJETO PERFURAÇÃO'!$P:$P,MATCH(MEDIÇÃO!R979,'PROJETO PERFURAÇÃO'!$B:$B,0))="Buffer","B",IF(INDEX('PROJETO PERFURAÇÃO'!$P:$P,MATCH(MEDIÇÃO!R979,'PROJETO PERFURAÇÃO'!$B:$B,0))="Pre-Splitting","S"))),"")</f>
        <v/>
      </c>
      <c r="R979" s="14">
        <f t="shared" si="95"/>
        <v>2199</v>
      </c>
      <c r="S979" s="4" t="str">
        <f>IFERROR(INDEX('LEV R&amp;D'!$D:$D,MATCH(MEDIÇÃO!R979,'LEV R&amp;D'!$A:$A,0))-INDEX('PROJETO PERFURAÇÃO'!$AH:$AH,MATCH(MEDIÇÃO!R979,'PROJETO PERFURAÇÃO'!$B:$B,0)),"")</f>
        <v/>
      </c>
      <c r="T979" s="8" t="str">
        <f>IFERROR(INDEX('PROJETO PERFURAÇÃO'!$AN:$AN,MATCH(MEDIÇÃO!R979,'PROJETO PERFURAÇÃO'!$B:$B,0)),"")</f>
        <v/>
      </c>
      <c r="U979" s="3"/>
      <c r="V979" s="3"/>
    </row>
    <row r="980" spans="2:22" ht="45" customHeight="1" x14ac:dyDescent="0.25">
      <c r="B980" s="3" t="str">
        <f>IFERROR(ROUND(INDEX('PROJETO PERFURAÇÃO'!$AB:$AB,MATCH(MEDIÇÃO!D980,'PROJETO PERFURAÇÃO'!$B:$B,0)),1)&amp;"''","")</f>
        <v/>
      </c>
      <c r="C980" s="3" t="str">
        <f>IFERROR(IF(INDEX('PROJETO PERFURAÇÃO'!$P:$P,MATCH(MEDIÇÃO!D980,'PROJETO PERFURAÇÃO'!$B:$B,0))="Production","P",IF(INDEX('PROJETO PERFURAÇÃO'!$P:$P,MATCH(MEDIÇÃO!D980,'PROJETO PERFURAÇÃO'!$B:$B,0))="Buffer","B",IF(INDEX('PROJETO PERFURAÇÃO'!$P:$P,MATCH(MEDIÇÃO!D980,'PROJETO PERFURAÇÃO'!$B:$B,0))="Pre-Splitting","S"))),"")</f>
        <v/>
      </c>
      <c r="D980" s="14">
        <f t="shared" si="93"/>
        <v>2154</v>
      </c>
      <c r="E980" s="4" t="str">
        <f>IFERROR(INDEX('LEV R&amp;D'!$D:$D,MATCH(MEDIÇÃO!D980,'LEV R&amp;D'!$A:$A,0))-INDEX('PROJETO PERFURAÇÃO'!$AH:$AH,MATCH(MEDIÇÃO!D980,'PROJETO PERFURAÇÃO'!$B:$B,0)),"")</f>
        <v/>
      </c>
      <c r="F980" s="8" t="str">
        <f>IFERROR(INDEX('PROJETO PERFURAÇÃO'!$AN:$AN,MATCH(MEDIÇÃO!D980,'PROJETO PERFURAÇÃO'!$B:$B,0)),"")</f>
        <v/>
      </c>
      <c r="G980" s="3"/>
      <c r="H980" s="3"/>
      <c r="I980" s="3" t="str">
        <f>IFERROR(ROUND(INDEX('PROJETO PERFURAÇÃO'!$AB:$AB,MATCH(MEDIÇÃO!K980,'PROJETO PERFURAÇÃO'!$B:$B,0)),1)&amp;"''","")</f>
        <v/>
      </c>
      <c r="J980" s="3" t="str">
        <f>IFERROR(IF(INDEX('PROJETO PERFURAÇÃO'!$P:$P,MATCH(MEDIÇÃO!K980,'PROJETO PERFURAÇÃO'!$B:$B,0))="Production","P",IF(INDEX('PROJETO PERFURAÇÃO'!$P:$P,MATCH(MEDIÇÃO!K980,'PROJETO PERFURAÇÃO'!$B:$B,0))="Buffer","B",IF(INDEX('PROJETO PERFURAÇÃO'!$P:$P,MATCH(MEDIÇÃO!K980,'PROJETO PERFURAÇÃO'!$B:$B,0))="Pre-Splitting","S"))),"")</f>
        <v/>
      </c>
      <c r="K980" s="14">
        <f t="shared" si="94"/>
        <v>2177</v>
      </c>
      <c r="L980" s="4" t="str">
        <f>IFERROR(INDEX('LEV R&amp;D'!$D:$D,MATCH(MEDIÇÃO!K980,'LEV R&amp;D'!$A:$A,0))-INDEX('PROJETO PERFURAÇÃO'!$AH:$AH,MATCH(MEDIÇÃO!K980,'PROJETO PERFURAÇÃO'!$B:$B,0)),"")</f>
        <v/>
      </c>
      <c r="M980" s="8" t="str">
        <f>IFERROR(INDEX('PROJETO PERFURAÇÃO'!$AN:$AN,MATCH(MEDIÇÃO!K980,'PROJETO PERFURAÇÃO'!$B:$B,0)),"")</f>
        <v/>
      </c>
      <c r="N980" s="3"/>
      <c r="O980" s="3"/>
      <c r="P980" s="3" t="str">
        <f>IFERROR(ROUND(INDEX('PROJETO PERFURAÇÃO'!$AB:$AB,MATCH(MEDIÇÃO!R980,'PROJETO PERFURAÇÃO'!$B:$B,0)),1)&amp;"''","")</f>
        <v/>
      </c>
      <c r="Q980" s="3" t="str">
        <f>IFERROR(IF(INDEX('PROJETO PERFURAÇÃO'!$P:$P,MATCH(MEDIÇÃO!R980,'PROJETO PERFURAÇÃO'!$B:$B,0))="Production","P",IF(INDEX('PROJETO PERFURAÇÃO'!$P:$P,MATCH(MEDIÇÃO!R980,'PROJETO PERFURAÇÃO'!$B:$B,0))="Buffer","B",IF(INDEX('PROJETO PERFURAÇÃO'!$P:$P,MATCH(MEDIÇÃO!R980,'PROJETO PERFURAÇÃO'!$B:$B,0))="Pre-Splitting","S"))),"")</f>
        <v/>
      </c>
      <c r="R980" s="14">
        <f t="shared" si="95"/>
        <v>2200</v>
      </c>
      <c r="S980" s="4" t="str">
        <f>IFERROR(INDEX('LEV R&amp;D'!$D:$D,MATCH(MEDIÇÃO!R980,'LEV R&amp;D'!$A:$A,0))-INDEX('PROJETO PERFURAÇÃO'!$AH:$AH,MATCH(MEDIÇÃO!R980,'PROJETO PERFURAÇÃO'!$B:$B,0)),"")</f>
        <v/>
      </c>
      <c r="T980" s="8" t="str">
        <f>IFERROR(INDEX('PROJETO PERFURAÇÃO'!$AN:$AN,MATCH(MEDIÇÃO!R980,'PROJETO PERFURAÇÃO'!$B:$B,0)),"")</f>
        <v/>
      </c>
      <c r="U980" s="3"/>
      <c r="V980" s="3"/>
    </row>
    <row r="981" spans="2:22" ht="45" customHeight="1" x14ac:dyDescent="0.25">
      <c r="B981" s="3" t="str">
        <f>IFERROR(ROUND(INDEX('PROJETO PERFURAÇÃO'!$AB:$AB,MATCH(MEDIÇÃO!D981,'PROJETO PERFURAÇÃO'!$B:$B,0)),1)&amp;"''","")</f>
        <v/>
      </c>
      <c r="C981" s="3" t="str">
        <f>IFERROR(IF(INDEX('PROJETO PERFURAÇÃO'!$P:$P,MATCH(MEDIÇÃO!D981,'PROJETO PERFURAÇÃO'!$B:$B,0))="Production","P",IF(INDEX('PROJETO PERFURAÇÃO'!$P:$P,MATCH(MEDIÇÃO!D981,'PROJETO PERFURAÇÃO'!$B:$B,0))="Buffer","B",IF(INDEX('PROJETO PERFURAÇÃO'!$P:$P,MATCH(MEDIÇÃO!D981,'PROJETO PERFURAÇÃO'!$B:$B,0))="Pre-Splitting","S"))),"")</f>
        <v/>
      </c>
      <c r="D981" s="14">
        <f t="shared" si="93"/>
        <v>2155</v>
      </c>
      <c r="E981" s="4" t="str">
        <f>IFERROR(INDEX('LEV R&amp;D'!$D:$D,MATCH(MEDIÇÃO!D981,'LEV R&amp;D'!$A:$A,0))-INDEX('PROJETO PERFURAÇÃO'!$AH:$AH,MATCH(MEDIÇÃO!D981,'PROJETO PERFURAÇÃO'!$B:$B,0)),"")</f>
        <v/>
      </c>
      <c r="F981" s="8" t="str">
        <f>IFERROR(INDEX('PROJETO PERFURAÇÃO'!$AN:$AN,MATCH(MEDIÇÃO!D981,'PROJETO PERFURAÇÃO'!$B:$B,0)),"")</f>
        <v/>
      </c>
      <c r="G981" s="3"/>
      <c r="H981" s="3"/>
      <c r="I981" s="3" t="str">
        <f>IFERROR(ROUND(INDEX('PROJETO PERFURAÇÃO'!$AB:$AB,MATCH(MEDIÇÃO!K981,'PROJETO PERFURAÇÃO'!$B:$B,0)),1)&amp;"''","")</f>
        <v/>
      </c>
      <c r="J981" s="3" t="str">
        <f>IFERROR(IF(INDEX('PROJETO PERFURAÇÃO'!$P:$P,MATCH(MEDIÇÃO!K981,'PROJETO PERFURAÇÃO'!$B:$B,0))="Production","P",IF(INDEX('PROJETO PERFURAÇÃO'!$P:$P,MATCH(MEDIÇÃO!K981,'PROJETO PERFURAÇÃO'!$B:$B,0))="Buffer","B",IF(INDEX('PROJETO PERFURAÇÃO'!$P:$P,MATCH(MEDIÇÃO!K981,'PROJETO PERFURAÇÃO'!$B:$B,0))="Pre-Splitting","S"))),"")</f>
        <v/>
      </c>
      <c r="K981" s="14">
        <f t="shared" si="94"/>
        <v>2178</v>
      </c>
      <c r="L981" s="4" t="str">
        <f>IFERROR(INDEX('LEV R&amp;D'!$D:$D,MATCH(MEDIÇÃO!K981,'LEV R&amp;D'!$A:$A,0))-INDEX('PROJETO PERFURAÇÃO'!$AH:$AH,MATCH(MEDIÇÃO!K981,'PROJETO PERFURAÇÃO'!$B:$B,0)),"")</f>
        <v/>
      </c>
      <c r="M981" s="8" t="str">
        <f>IFERROR(INDEX('PROJETO PERFURAÇÃO'!$AN:$AN,MATCH(MEDIÇÃO!K981,'PROJETO PERFURAÇÃO'!$B:$B,0)),"")</f>
        <v/>
      </c>
      <c r="N981" s="3"/>
      <c r="O981" s="3"/>
      <c r="P981" s="3" t="str">
        <f>IFERROR(ROUND(INDEX('PROJETO PERFURAÇÃO'!$AB:$AB,MATCH(MEDIÇÃO!R981,'PROJETO PERFURAÇÃO'!$B:$B,0)),1)&amp;"''","")</f>
        <v/>
      </c>
      <c r="Q981" s="3" t="str">
        <f>IFERROR(IF(INDEX('PROJETO PERFURAÇÃO'!$P:$P,MATCH(MEDIÇÃO!R981,'PROJETO PERFURAÇÃO'!$B:$B,0))="Production","P",IF(INDEX('PROJETO PERFURAÇÃO'!$P:$P,MATCH(MEDIÇÃO!R981,'PROJETO PERFURAÇÃO'!$B:$B,0))="Buffer","B",IF(INDEX('PROJETO PERFURAÇÃO'!$P:$P,MATCH(MEDIÇÃO!R981,'PROJETO PERFURAÇÃO'!$B:$B,0))="Pre-Splitting","S"))),"")</f>
        <v/>
      </c>
      <c r="R981" s="14">
        <f t="shared" si="95"/>
        <v>2201</v>
      </c>
      <c r="S981" s="4" t="str">
        <f>IFERROR(INDEX('LEV R&amp;D'!$D:$D,MATCH(MEDIÇÃO!R981,'LEV R&amp;D'!$A:$A,0))-INDEX('PROJETO PERFURAÇÃO'!$AH:$AH,MATCH(MEDIÇÃO!R981,'PROJETO PERFURAÇÃO'!$B:$B,0)),"")</f>
        <v/>
      </c>
      <c r="T981" s="8" t="str">
        <f>IFERROR(INDEX('PROJETO PERFURAÇÃO'!$AN:$AN,MATCH(MEDIÇÃO!R981,'PROJETO PERFURAÇÃO'!$B:$B,0)),"")</f>
        <v/>
      </c>
      <c r="U981" s="3"/>
      <c r="V981" s="3"/>
    </row>
    <row r="982" spans="2:22" ht="45" customHeight="1" x14ac:dyDescent="0.25">
      <c r="B982" s="3" t="str">
        <f>IFERROR(ROUND(INDEX('PROJETO PERFURAÇÃO'!$AB:$AB,MATCH(MEDIÇÃO!D982,'PROJETO PERFURAÇÃO'!$B:$B,0)),1)&amp;"''","")</f>
        <v/>
      </c>
      <c r="C982" s="3" t="str">
        <f>IFERROR(IF(INDEX('PROJETO PERFURAÇÃO'!$P:$P,MATCH(MEDIÇÃO!D982,'PROJETO PERFURAÇÃO'!$B:$B,0))="Production","P",IF(INDEX('PROJETO PERFURAÇÃO'!$P:$P,MATCH(MEDIÇÃO!D982,'PROJETO PERFURAÇÃO'!$B:$B,0))="Buffer","B",IF(INDEX('PROJETO PERFURAÇÃO'!$P:$P,MATCH(MEDIÇÃO!D982,'PROJETO PERFURAÇÃO'!$B:$B,0))="Pre-Splitting","S"))),"")</f>
        <v/>
      </c>
      <c r="D982" s="14">
        <f t="shared" si="93"/>
        <v>2156</v>
      </c>
      <c r="E982" s="4" t="str">
        <f>IFERROR(INDEX('LEV R&amp;D'!$D:$D,MATCH(MEDIÇÃO!D982,'LEV R&amp;D'!$A:$A,0))-INDEX('PROJETO PERFURAÇÃO'!$AH:$AH,MATCH(MEDIÇÃO!D982,'PROJETO PERFURAÇÃO'!$B:$B,0)),"")</f>
        <v/>
      </c>
      <c r="F982" s="8" t="str">
        <f>IFERROR(INDEX('PROJETO PERFURAÇÃO'!$AN:$AN,MATCH(MEDIÇÃO!D982,'PROJETO PERFURAÇÃO'!$B:$B,0)),"")</f>
        <v/>
      </c>
      <c r="G982" s="3"/>
      <c r="H982" s="3"/>
      <c r="I982" s="3" t="str">
        <f>IFERROR(ROUND(INDEX('PROJETO PERFURAÇÃO'!$AB:$AB,MATCH(MEDIÇÃO!K982,'PROJETO PERFURAÇÃO'!$B:$B,0)),1)&amp;"''","")</f>
        <v/>
      </c>
      <c r="J982" s="3" t="str">
        <f>IFERROR(IF(INDEX('PROJETO PERFURAÇÃO'!$P:$P,MATCH(MEDIÇÃO!K982,'PROJETO PERFURAÇÃO'!$B:$B,0))="Production","P",IF(INDEX('PROJETO PERFURAÇÃO'!$P:$P,MATCH(MEDIÇÃO!K982,'PROJETO PERFURAÇÃO'!$B:$B,0))="Buffer","B",IF(INDEX('PROJETO PERFURAÇÃO'!$P:$P,MATCH(MEDIÇÃO!K982,'PROJETO PERFURAÇÃO'!$B:$B,0))="Pre-Splitting","S"))),"")</f>
        <v/>
      </c>
      <c r="K982" s="14">
        <f t="shared" si="94"/>
        <v>2179</v>
      </c>
      <c r="L982" s="4" t="str">
        <f>IFERROR(INDEX('LEV R&amp;D'!$D:$D,MATCH(MEDIÇÃO!K982,'LEV R&amp;D'!$A:$A,0))-INDEX('PROJETO PERFURAÇÃO'!$AH:$AH,MATCH(MEDIÇÃO!K982,'PROJETO PERFURAÇÃO'!$B:$B,0)),"")</f>
        <v/>
      </c>
      <c r="M982" s="8" t="str">
        <f>IFERROR(INDEX('PROJETO PERFURAÇÃO'!$AN:$AN,MATCH(MEDIÇÃO!K982,'PROJETO PERFURAÇÃO'!$B:$B,0)),"")</f>
        <v/>
      </c>
      <c r="N982" s="3"/>
      <c r="O982" s="3"/>
      <c r="P982" s="3" t="str">
        <f>IFERROR(ROUND(INDEX('PROJETO PERFURAÇÃO'!$AB:$AB,MATCH(MEDIÇÃO!R982,'PROJETO PERFURAÇÃO'!$B:$B,0)),1)&amp;"''","")</f>
        <v/>
      </c>
      <c r="Q982" s="3" t="str">
        <f>IFERROR(IF(INDEX('PROJETO PERFURAÇÃO'!$P:$P,MATCH(MEDIÇÃO!R982,'PROJETO PERFURAÇÃO'!$B:$B,0))="Production","P",IF(INDEX('PROJETO PERFURAÇÃO'!$P:$P,MATCH(MEDIÇÃO!R982,'PROJETO PERFURAÇÃO'!$B:$B,0))="Buffer","B",IF(INDEX('PROJETO PERFURAÇÃO'!$P:$P,MATCH(MEDIÇÃO!R982,'PROJETO PERFURAÇÃO'!$B:$B,0))="Pre-Splitting","S"))),"")</f>
        <v/>
      </c>
      <c r="R982" s="14">
        <f t="shared" si="95"/>
        <v>2202</v>
      </c>
      <c r="S982" s="4" t="str">
        <f>IFERROR(INDEX('LEV R&amp;D'!$D:$D,MATCH(MEDIÇÃO!R982,'LEV R&amp;D'!$A:$A,0))-INDEX('PROJETO PERFURAÇÃO'!$AH:$AH,MATCH(MEDIÇÃO!R982,'PROJETO PERFURAÇÃO'!$B:$B,0)),"")</f>
        <v/>
      </c>
      <c r="T982" s="8" t="str">
        <f>IFERROR(INDEX('PROJETO PERFURAÇÃO'!$AN:$AN,MATCH(MEDIÇÃO!R982,'PROJETO PERFURAÇÃO'!$B:$B,0)),"")</f>
        <v/>
      </c>
      <c r="U982" s="3"/>
      <c r="V982" s="3"/>
    </row>
    <row r="983" spans="2:22" ht="45" customHeight="1" x14ac:dyDescent="0.25">
      <c r="B983" s="3" t="str">
        <f>IFERROR(ROUND(INDEX('PROJETO PERFURAÇÃO'!$AB:$AB,MATCH(MEDIÇÃO!D983,'PROJETO PERFURAÇÃO'!$B:$B,0)),1)&amp;"''","")</f>
        <v/>
      </c>
      <c r="C983" s="3" t="str">
        <f>IFERROR(IF(INDEX('PROJETO PERFURAÇÃO'!$P:$P,MATCH(MEDIÇÃO!D983,'PROJETO PERFURAÇÃO'!$B:$B,0))="Production","P",IF(INDEX('PROJETO PERFURAÇÃO'!$P:$P,MATCH(MEDIÇÃO!D983,'PROJETO PERFURAÇÃO'!$B:$B,0))="Buffer","B",IF(INDEX('PROJETO PERFURAÇÃO'!$P:$P,MATCH(MEDIÇÃO!D983,'PROJETO PERFURAÇÃO'!$B:$B,0))="Pre-Splitting","S"))),"")</f>
        <v/>
      </c>
      <c r="D983" s="14">
        <f t="shared" si="93"/>
        <v>2157</v>
      </c>
      <c r="E983" s="4" t="str">
        <f>IFERROR(INDEX('LEV R&amp;D'!$D:$D,MATCH(MEDIÇÃO!D983,'LEV R&amp;D'!$A:$A,0))-INDEX('PROJETO PERFURAÇÃO'!$AH:$AH,MATCH(MEDIÇÃO!D983,'PROJETO PERFURAÇÃO'!$B:$B,0)),"")</f>
        <v/>
      </c>
      <c r="F983" s="8" t="str">
        <f>IFERROR(INDEX('PROJETO PERFURAÇÃO'!$AN:$AN,MATCH(MEDIÇÃO!D983,'PROJETO PERFURAÇÃO'!$B:$B,0)),"")</f>
        <v/>
      </c>
      <c r="G983" s="3"/>
      <c r="H983" s="3"/>
      <c r="I983" s="3" t="str">
        <f>IFERROR(ROUND(INDEX('PROJETO PERFURAÇÃO'!$AB:$AB,MATCH(MEDIÇÃO!K983,'PROJETO PERFURAÇÃO'!$B:$B,0)),1)&amp;"''","")</f>
        <v/>
      </c>
      <c r="J983" s="3" t="str">
        <f>IFERROR(IF(INDEX('PROJETO PERFURAÇÃO'!$P:$P,MATCH(MEDIÇÃO!K983,'PROJETO PERFURAÇÃO'!$B:$B,0))="Production","P",IF(INDEX('PROJETO PERFURAÇÃO'!$P:$P,MATCH(MEDIÇÃO!K983,'PROJETO PERFURAÇÃO'!$B:$B,0))="Buffer","B",IF(INDEX('PROJETO PERFURAÇÃO'!$P:$P,MATCH(MEDIÇÃO!K983,'PROJETO PERFURAÇÃO'!$B:$B,0))="Pre-Splitting","S"))),"")</f>
        <v/>
      </c>
      <c r="K983" s="14">
        <f t="shared" si="94"/>
        <v>2180</v>
      </c>
      <c r="L983" s="4" t="str">
        <f>IFERROR(INDEX('LEV R&amp;D'!$D:$D,MATCH(MEDIÇÃO!K983,'LEV R&amp;D'!$A:$A,0))-INDEX('PROJETO PERFURAÇÃO'!$AH:$AH,MATCH(MEDIÇÃO!K983,'PROJETO PERFURAÇÃO'!$B:$B,0)),"")</f>
        <v/>
      </c>
      <c r="M983" s="8" t="str">
        <f>IFERROR(INDEX('PROJETO PERFURAÇÃO'!$AN:$AN,MATCH(MEDIÇÃO!K983,'PROJETO PERFURAÇÃO'!$B:$B,0)),"")</f>
        <v/>
      </c>
      <c r="N983" s="3"/>
      <c r="O983" s="3"/>
      <c r="P983" s="3" t="str">
        <f>IFERROR(ROUND(INDEX('PROJETO PERFURAÇÃO'!$AB:$AB,MATCH(MEDIÇÃO!R983,'PROJETO PERFURAÇÃO'!$B:$B,0)),1)&amp;"''","")</f>
        <v/>
      </c>
      <c r="Q983" s="3" t="str">
        <f>IFERROR(IF(INDEX('PROJETO PERFURAÇÃO'!$P:$P,MATCH(MEDIÇÃO!R983,'PROJETO PERFURAÇÃO'!$B:$B,0))="Production","P",IF(INDEX('PROJETO PERFURAÇÃO'!$P:$P,MATCH(MEDIÇÃO!R983,'PROJETO PERFURAÇÃO'!$B:$B,0))="Buffer","B",IF(INDEX('PROJETO PERFURAÇÃO'!$P:$P,MATCH(MEDIÇÃO!R983,'PROJETO PERFURAÇÃO'!$B:$B,0))="Pre-Splitting","S"))),"")</f>
        <v/>
      </c>
      <c r="R983" s="14">
        <f t="shared" si="95"/>
        <v>2203</v>
      </c>
      <c r="S983" s="4" t="str">
        <f>IFERROR(INDEX('LEV R&amp;D'!$D:$D,MATCH(MEDIÇÃO!R983,'LEV R&amp;D'!$A:$A,0))-INDEX('PROJETO PERFURAÇÃO'!$AH:$AH,MATCH(MEDIÇÃO!R983,'PROJETO PERFURAÇÃO'!$B:$B,0)),"")</f>
        <v/>
      </c>
      <c r="T983" s="8" t="str">
        <f>IFERROR(INDEX('PROJETO PERFURAÇÃO'!$AN:$AN,MATCH(MEDIÇÃO!R983,'PROJETO PERFURAÇÃO'!$B:$B,0)),"")</f>
        <v/>
      </c>
      <c r="U983" s="3"/>
      <c r="V983" s="3"/>
    </row>
    <row r="984" spans="2:22" ht="45" customHeight="1" x14ac:dyDescent="0.25">
      <c r="B984" s="3" t="str">
        <f>IFERROR(ROUND(INDEX('PROJETO PERFURAÇÃO'!$AB:$AB,MATCH(MEDIÇÃO!D984,'PROJETO PERFURAÇÃO'!$B:$B,0)),1)&amp;"''","")</f>
        <v/>
      </c>
      <c r="C984" s="3" t="str">
        <f>IFERROR(IF(INDEX('PROJETO PERFURAÇÃO'!$P:$P,MATCH(MEDIÇÃO!D984,'PROJETO PERFURAÇÃO'!$B:$B,0))="Production","P",IF(INDEX('PROJETO PERFURAÇÃO'!$P:$P,MATCH(MEDIÇÃO!D984,'PROJETO PERFURAÇÃO'!$B:$B,0))="Buffer","B",IF(INDEX('PROJETO PERFURAÇÃO'!$P:$P,MATCH(MEDIÇÃO!D984,'PROJETO PERFURAÇÃO'!$B:$B,0))="Pre-Splitting","S"))),"")</f>
        <v/>
      </c>
      <c r="D984" s="14">
        <f t="shared" si="93"/>
        <v>2158</v>
      </c>
      <c r="E984" s="4" t="str">
        <f>IFERROR(INDEX('LEV R&amp;D'!$D:$D,MATCH(MEDIÇÃO!D984,'LEV R&amp;D'!$A:$A,0))-INDEX('PROJETO PERFURAÇÃO'!$AH:$AH,MATCH(MEDIÇÃO!D984,'PROJETO PERFURAÇÃO'!$B:$B,0)),"")</f>
        <v/>
      </c>
      <c r="F984" s="8" t="str">
        <f>IFERROR(INDEX('PROJETO PERFURAÇÃO'!$AN:$AN,MATCH(MEDIÇÃO!D984,'PROJETO PERFURAÇÃO'!$B:$B,0)),"")</f>
        <v/>
      </c>
      <c r="G984" s="3"/>
      <c r="H984" s="3"/>
      <c r="I984" s="3" t="str">
        <f>IFERROR(ROUND(INDEX('PROJETO PERFURAÇÃO'!$AB:$AB,MATCH(MEDIÇÃO!K984,'PROJETO PERFURAÇÃO'!$B:$B,0)),1)&amp;"''","")</f>
        <v/>
      </c>
      <c r="J984" s="3" t="str">
        <f>IFERROR(IF(INDEX('PROJETO PERFURAÇÃO'!$P:$P,MATCH(MEDIÇÃO!K984,'PROJETO PERFURAÇÃO'!$B:$B,0))="Production","P",IF(INDEX('PROJETO PERFURAÇÃO'!$P:$P,MATCH(MEDIÇÃO!K984,'PROJETO PERFURAÇÃO'!$B:$B,0))="Buffer","B",IF(INDEX('PROJETO PERFURAÇÃO'!$P:$P,MATCH(MEDIÇÃO!K984,'PROJETO PERFURAÇÃO'!$B:$B,0))="Pre-Splitting","S"))),"")</f>
        <v/>
      </c>
      <c r="K984" s="14">
        <f t="shared" si="94"/>
        <v>2181</v>
      </c>
      <c r="L984" s="4" t="str">
        <f>IFERROR(INDEX('LEV R&amp;D'!$D:$D,MATCH(MEDIÇÃO!K984,'LEV R&amp;D'!$A:$A,0))-INDEX('PROJETO PERFURAÇÃO'!$AH:$AH,MATCH(MEDIÇÃO!K984,'PROJETO PERFURAÇÃO'!$B:$B,0)),"")</f>
        <v/>
      </c>
      <c r="M984" s="8" t="str">
        <f>IFERROR(INDEX('PROJETO PERFURAÇÃO'!$AN:$AN,MATCH(MEDIÇÃO!K984,'PROJETO PERFURAÇÃO'!$B:$B,0)),"")</f>
        <v/>
      </c>
      <c r="N984" s="3"/>
      <c r="O984" s="3"/>
      <c r="P984" s="3" t="str">
        <f>IFERROR(ROUND(INDEX('PROJETO PERFURAÇÃO'!$AB:$AB,MATCH(MEDIÇÃO!R984,'PROJETO PERFURAÇÃO'!$B:$B,0)),1)&amp;"''","")</f>
        <v/>
      </c>
      <c r="Q984" s="3" t="str">
        <f>IFERROR(IF(INDEX('PROJETO PERFURAÇÃO'!$P:$P,MATCH(MEDIÇÃO!R984,'PROJETO PERFURAÇÃO'!$B:$B,0))="Production","P",IF(INDEX('PROJETO PERFURAÇÃO'!$P:$P,MATCH(MEDIÇÃO!R984,'PROJETO PERFURAÇÃO'!$B:$B,0))="Buffer","B",IF(INDEX('PROJETO PERFURAÇÃO'!$P:$P,MATCH(MEDIÇÃO!R984,'PROJETO PERFURAÇÃO'!$B:$B,0))="Pre-Splitting","S"))),"")</f>
        <v/>
      </c>
      <c r="R984" s="14">
        <f t="shared" si="95"/>
        <v>2204</v>
      </c>
      <c r="S984" s="4" t="str">
        <f>IFERROR(INDEX('LEV R&amp;D'!$D:$D,MATCH(MEDIÇÃO!R984,'LEV R&amp;D'!$A:$A,0))-INDEX('PROJETO PERFURAÇÃO'!$AH:$AH,MATCH(MEDIÇÃO!R984,'PROJETO PERFURAÇÃO'!$B:$B,0)),"")</f>
        <v/>
      </c>
      <c r="T984" s="8" t="str">
        <f>IFERROR(INDEX('PROJETO PERFURAÇÃO'!$AN:$AN,MATCH(MEDIÇÃO!R984,'PROJETO PERFURAÇÃO'!$B:$B,0)),"")</f>
        <v/>
      </c>
      <c r="U984" s="3"/>
      <c r="V984" s="3"/>
    </row>
    <row r="985" spans="2:22" ht="45" customHeight="1" x14ac:dyDescent="0.25">
      <c r="B985" s="3" t="str">
        <f>IFERROR(ROUND(INDEX('PROJETO PERFURAÇÃO'!$AB:$AB,MATCH(MEDIÇÃO!D985,'PROJETO PERFURAÇÃO'!$B:$B,0)),1)&amp;"''","")</f>
        <v/>
      </c>
      <c r="C985" s="3" t="str">
        <f>IFERROR(IF(INDEX('PROJETO PERFURAÇÃO'!$P:$P,MATCH(MEDIÇÃO!D985,'PROJETO PERFURAÇÃO'!$B:$B,0))="Production","P",IF(INDEX('PROJETO PERFURAÇÃO'!$P:$P,MATCH(MEDIÇÃO!D985,'PROJETO PERFURAÇÃO'!$B:$B,0))="Buffer","B",IF(INDEX('PROJETO PERFURAÇÃO'!$P:$P,MATCH(MEDIÇÃO!D985,'PROJETO PERFURAÇÃO'!$B:$B,0))="Pre-Splitting","S"))),"")</f>
        <v/>
      </c>
      <c r="D985" s="14">
        <f t="shared" si="93"/>
        <v>2159</v>
      </c>
      <c r="E985" s="4" t="str">
        <f>IFERROR(INDEX('LEV R&amp;D'!$D:$D,MATCH(MEDIÇÃO!D985,'LEV R&amp;D'!$A:$A,0))-INDEX('PROJETO PERFURAÇÃO'!$AH:$AH,MATCH(MEDIÇÃO!D985,'PROJETO PERFURAÇÃO'!$B:$B,0)),"")</f>
        <v/>
      </c>
      <c r="F985" s="8" t="str">
        <f>IFERROR(INDEX('PROJETO PERFURAÇÃO'!$AN:$AN,MATCH(MEDIÇÃO!D985,'PROJETO PERFURAÇÃO'!$B:$B,0)),"")</f>
        <v/>
      </c>
      <c r="G985" s="3"/>
      <c r="H985" s="3"/>
      <c r="I985" s="3" t="str">
        <f>IFERROR(ROUND(INDEX('PROJETO PERFURAÇÃO'!$AB:$AB,MATCH(MEDIÇÃO!K985,'PROJETO PERFURAÇÃO'!$B:$B,0)),1)&amp;"''","")</f>
        <v/>
      </c>
      <c r="J985" s="3" t="str">
        <f>IFERROR(IF(INDEX('PROJETO PERFURAÇÃO'!$P:$P,MATCH(MEDIÇÃO!K985,'PROJETO PERFURAÇÃO'!$B:$B,0))="Production","P",IF(INDEX('PROJETO PERFURAÇÃO'!$P:$P,MATCH(MEDIÇÃO!K985,'PROJETO PERFURAÇÃO'!$B:$B,0))="Buffer","B",IF(INDEX('PROJETO PERFURAÇÃO'!$P:$P,MATCH(MEDIÇÃO!K985,'PROJETO PERFURAÇÃO'!$B:$B,0))="Pre-Splitting","S"))),"")</f>
        <v/>
      </c>
      <c r="K985" s="14">
        <f t="shared" si="94"/>
        <v>2182</v>
      </c>
      <c r="L985" s="4" t="str">
        <f>IFERROR(INDEX('LEV R&amp;D'!$D:$D,MATCH(MEDIÇÃO!K985,'LEV R&amp;D'!$A:$A,0))-INDEX('PROJETO PERFURAÇÃO'!$AH:$AH,MATCH(MEDIÇÃO!K985,'PROJETO PERFURAÇÃO'!$B:$B,0)),"")</f>
        <v/>
      </c>
      <c r="M985" s="8" t="str">
        <f>IFERROR(INDEX('PROJETO PERFURAÇÃO'!$AN:$AN,MATCH(MEDIÇÃO!K985,'PROJETO PERFURAÇÃO'!$B:$B,0)),"")</f>
        <v/>
      </c>
      <c r="N985" s="3"/>
      <c r="O985" s="3"/>
      <c r="P985" s="3" t="str">
        <f>IFERROR(ROUND(INDEX('PROJETO PERFURAÇÃO'!$AB:$AB,MATCH(MEDIÇÃO!R985,'PROJETO PERFURAÇÃO'!$B:$B,0)),1)&amp;"''","")</f>
        <v/>
      </c>
      <c r="Q985" s="3" t="str">
        <f>IFERROR(IF(INDEX('PROJETO PERFURAÇÃO'!$P:$P,MATCH(MEDIÇÃO!R985,'PROJETO PERFURAÇÃO'!$B:$B,0))="Production","P",IF(INDEX('PROJETO PERFURAÇÃO'!$P:$P,MATCH(MEDIÇÃO!R985,'PROJETO PERFURAÇÃO'!$B:$B,0))="Buffer","B",IF(INDEX('PROJETO PERFURAÇÃO'!$P:$P,MATCH(MEDIÇÃO!R985,'PROJETO PERFURAÇÃO'!$B:$B,0))="Pre-Splitting","S"))),"")</f>
        <v/>
      </c>
      <c r="R985" s="14">
        <f t="shared" si="95"/>
        <v>2205</v>
      </c>
      <c r="S985" s="4" t="str">
        <f>IFERROR(INDEX('LEV R&amp;D'!$D:$D,MATCH(MEDIÇÃO!R985,'LEV R&amp;D'!$A:$A,0))-INDEX('PROJETO PERFURAÇÃO'!$AH:$AH,MATCH(MEDIÇÃO!R985,'PROJETO PERFURAÇÃO'!$B:$B,0)),"")</f>
        <v/>
      </c>
      <c r="T985" s="8" t="str">
        <f>IFERROR(INDEX('PROJETO PERFURAÇÃO'!$AN:$AN,MATCH(MEDIÇÃO!R985,'PROJETO PERFURAÇÃO'!$B:$B,0)),"")</f>
        <v/>
      </c>
      <c r="U985" s="3"/>
      <c r="V985" s="3"/>
    </row>
    <row r="986" spans="2:22" ht="45" customHeight="1" x14ac:dyDescent="0.25">
      <c r="B986" s="3" t="str">
        <f>IFERROR(ROUND(INDEX('PROJETO PERFURAÇÃO'!$AB:$AB,MATCH(MEDIÇÃO!D986,'PROJETO PERFURAÇÃO'!$B:$B,0)),1)&amp;"''","")</f>
        <v/>
      </c>
      <c r="C986" s="3" t="str">
        <f>IFERROR(IF(INDEX('PROJETO PERFURAÇÃO'!$P:$P,MATCH(MEDIÇÃO!D986,'PROJETO PERFURAÇÃO'!$B:$B,0))="Production","P",IF(INDEX('PROJETO PERFURAÇÃO'!$P:$P,MATCH(MEDIÇÃO!D986,'PROJETO PERFURAÇÃO'!$B:$B,0))="Buffer","B",IF(INDEX('PROJETO PERFURAÇÃO'!$P:$P,MATCH(MEDIÇÃO!D986,'PROJETO PERFURAÇÃO'!$B:$B,0))="Pre-Splitting","S"))),"")</f>
        <v/>
      </c>
      <c r="D986" s="14">
        <f t="shared" si="93"/>
        <v>2160</v>
      </c>
      <c r="E986" s="4" t="str">
        <f>IFERROR(INDEX('LEV R&amp;D'!$D:$D,MATCH(MEDIÇÃO!D986,'LEV R&amp;D'!$A:$A,0))-INDEX('PROJETO PERFURAÇÃO'!$AH:$AH,MATCH(MEDIÇÃO!D986,'PROJETO PERFURAÇÃO'!$B:$B,0)),"")</f>
        <v/>
      </c>
      <c r="F986" s="8" t="str">
        <f>IFERROR(INDEX('PROJETO PERFURAÇÃO'!$AN:$AN,MATCH(MEDIÇÃO!D986,'PROJETO PERFURAÇÃO'!$B:$B,0)),"")</f>
        <v/>
      </c>
      <c r="G986" s="3"/>
      <c r="H986" s="3"/>
      <c r="I986" s="3" t="str">
        <f>IFERROR(ROUND(INDEX('PROJETO PERFURAÇÃO'!$AB:$AB,MATCH(MEDIÇÃO!K986,'PROJETO PERFURAÇÃO'!$B:$B,0)),1)&amp;"''","")</f>
        <v/>
      </c>
      <c r="J986" s="3" t="str">
        <f>IFERROR(IF(INDEX('PROJETO PERFURAÇÃO'!$P:$P,MATCH(MEDIÇÃO!K986,'PROJETO PERFURAÇÃO'!$B:$B,0))="Production","P",IF(INDEX('PROJETO PERFURAÇÃO'!$P:$P,MATCH(MEDIÇÃO!K986,'PROJETO PERFURAÇÃO'!$B:$B,0))="Buffer","B",IF(INDEX('PROJETO PERFURAÇÃO'!$P:$P,MATCH(MEDIÇÃO!K986,'PROJETO PERFURAÇÃO'!$B:$B,0))="Pre-Splitting","S"))),"")</f>
        <v/>
      </c>
      <c r="K986" s="14">
        <f t="shared" si="94"/>
        <v>2183</v>
      </c>
      <c r="L986" s="4" t="str">
        <f>IFERROR(INDEX('LEV R&amp;D'!$D:$D,MATCH(MEDIÇÃO!K986,'LEV R&amp;D'!$A:$A,0))-INDEX('PROJETO PERFURAÇÃO'!$AH:$AH,MATCH(MEDIÇÃO!K986,'PROJETO PERFURAÇÃO'!$B:$B,0)),"")</f>
        <v/>
      </c>
      <c r="M986" s="8" t="str">
        <f>IFERROR(INDEX('PROJETO PERFURAÇÃO'!$AN:$AN,MATCH(MEDIÇÃO!K986,'PROJETO PERFURAÇÃO'!$B:$B,0)),"")</f>
        <v/>
      </c>
      <c r="N986" s="3"/>
      <c r="O986" s="3"/>
      <c r="P986" s="3" t="str">
        <f>IFERROR(ROUND(INDEX('PROJETO PERFURAÇÃO'!$AB:$AB,MATCH(MEDIÇÃO!R986,'PROJETO PERFURAÇÃO'!$B:$B,0)),1)&amp;"''","")</f>
        <v/>
      </c>
      <c r="Q986" s="3" t="str">
        <f>IFERROR(IF(INDEX('PROJETO PERFURAÇÃO'!$P:$P,MATCH(MEDIÇÃO!R986,'PROJETO PERFURAÇÃO'!$B:$B,0))="Production","P",IF(INDEX('PROJETO PERFURAÇÃO'!$P:$P,MATCH(MEDIÇÃO!R986,'PROJETO PERFURAÇÃO'!$B:$B,0))="Buffer","B",IF(INDEX('PROJETO PERFURAÇÃO'!$P:$P,MATCH(MEDIÇÃO!R986,'PROJETO PERFURAÇÃO'!$B:$B,0))="Pre-Splitting","S"))),"")</f>
        <v/>
      </c>
      <c r="R986" s="14">
        <f t="shared" si="95"/>
        <v>2206</v>
      </c>
      <c r="S986" s="4" t="str">
        <f>IFERROR(INDEX('LEV R&amp;D'!$D:$D,MATCH(MEDIÇÃO!R986,'LEV R&amp;D'!$A:$A,0))-INDEX('PROJETO PERFURAÇÃO'!$AH:$AH,MATCH(MEDIÇÃO!R986,'PROJETO PERFURAÇÃO'!$B:$B,0)),"")</f>
        <v/>
      </c>
      <c r="T986" s="8" t="str">
        <f>IFERROR(INDEX('PROJETO PERFURAÇÃO'!$AN:$AN,MATCH(MEDIÇÃO!R986,'PROJETO PERFURAÇÃO'!$B:$B,0)),"")</f>
        <v/>
      </c>
      <c r="U986" s="3"/>
      <c r="V986" s="3"/>
    </row>
    <row r="987" spans="2:22" ht="45" customHeight="1" x14ac:dyDescent="0.25">
      <c r="B987" s="3" t="str">
        <f>IFERROR(ROUND(INDEX('PROJETO PERFURAÇÃO'!$AB:$AB,MATCH(MEDIÇÃO!D987,'PROJETO PERFURAÇÃO'!$B:$B,0)),1)&amp;"''","")</f>
        <v/>
      </c>
      <c r="C987" s="3" t="str">
        <f>IFERROR(IF(INDEX('PROJETO PERFURAÇÃO'!$P:$P,MATCH(MEDIÇÃO!D987,'PROJETO PERFURAÇÃO'!$B:$B,0))="Production","P",IF(INDEX('PROJETO PERFURAÇÃO'!$P:$P,MATCH(MEDIÇÃO!D987,'PROJETO PERFURAÇÃO'!$B:$B,0))="Buffer","B",IF(INDEX('PROJETO PERFURAÇÃO'!$P:$P,MATCH(MEDIÇÃO!D987,'PROJETO PERFURAÇÃO'!$B:$B,0))="Pre-Splitting","S"))),"")</f>
        <v/>
      </c>
      <c r="D987" s="14">
        <f t="shared" si="93"/>
        <v>2161</v>
      </c>
      <c r="E987" s="4" t="str">
        <f>IFERROR(INDEX('LEV R&amp;D'!$D:$D,MATCH(MEDIÇÃO!D987,'LEV R&amp;D'!$A:$A,0))-INDEX('PROJETO PERFURAÇÃO'!$AH:$AH,MATCH(MEDIÇÃO!D987,'PROJETO PERFURAÇÃO'!$B:$B,0)),"")</f>
        <v/>
      </c>
      <c r="F987" s="8" t="str">
        <f>IFERROR(INDEX('PROJETO PERFURAÇÃO'!$AN:$AN,MATCH(MEDIÇÃO!D987,'PROJETO PERFURAÇÃO'!$B:$B,0)),"")</f>
        <v/>
      </c>
      <c r="G987" s="3"/>
      <c r="H987" s="3"/>
      <c r="I987" s="3" t="str">
        <f>IFERROR(ROUND(INDEX('PROJETO PERFURAÇÃO'!$AB:$AB,MATCH(MEDIÇÃO!K987,'PROJETO PERFURAÇÃO'!$B:$B,0)),1)&amp;"''","")</f>
        <v/>
      </c>
      <c r="J987" s="3" t="str">
        <f>IFERROR(IF(INDEX('PROJETO PERFURAÇÃO'!$P:$P,MATCH(MEDIÇÃO!K987,'PROJETO PERFURAÇÃO'!$B:$B,0))="Production","P",IF(INDEX('PROJETO PERFURAÇÃO'!$P:$P,MATCH(MEDIÇÃO!K987,'PROJETO PERFURAÇÃO'!$B:$B,0))="Buffer","B",IF(INDEX('PROJETO PERFURAÇÃO'!$P:$P,MATCH(MEDIÇÃO!K987,'PROJETO PERFURAÇÃO'!$B:$B,0))="Pre-Splitting","S"))),"")</f>
        <v/>
      </c>
      <c r="K987" s="14">
        <f t="shared" si="94"/>
        <v>2184</v>
      </c>
      <c r="L987" s="4" t="str">
        <f>IFERROR(INDEX('LEV R&amp;D'!$D:$D,MATCH(MEDIÇÃO!K987,'LEV R&amp;D'!$A:$A,0))-INDEX('PROJETO PERFURAÇÃO'!$AH:$AH,MATCH(MEDIÇÃO!K987,'PROJETO PERFURAÇÃO'!$B:$B,0)),"")</f>
        <v/>
      </c>
      <c r="M987" s="8" t="str">
        <f>IFERROR(INDEX('PROJETO PERFURAÇÃO'!$AN:$AN,MATCH(MEDIÇÃO!K987,'PROJETO PERFURAÇÃO'!$B:$B,0)),"")</f>
        <v/>
      </c>
      <c r="N987" s="3"/>
      <c r="O987" s="3"/>
      <c r="P987" s="3" t="str">
        <f>IFERROR(ROUND(INDEX('PROJETO PERFURAÇÃO'!$AB:$AB,MATCH(MEDIÇÃO!R987,'PROJETO PERFURAÇÃO'!$B:$B,0)),1)&amp;"''","")</f>
        <v/>
      </c>
      <c r="Q987" s="3" t="str">
        <f>IFERROR(IF(INDEX('PROJETO PERFURAÇÃO'!$P:$P,MATCH(MEDIÇÃO!R987,'PROJETO PERFURAÇÃO'!$B:$B,0))="Production","P",IF(INDEX('PROJETO PERFURAÇÃO'!$P:$P,MATCH(MEDIÇÃO!R987,'PROJETO PERFURAÇÃO'!$B:$B,0))="Buffer","B",IF(INDEX('PROJETO PERFURAÇÃO'!$P:$P,MATCH(MEDIÇÃO!R987,'PROJETO PERFURAÇÃO'!$B:$B,0))="Pre-Splitting","S"))),"")</f>
        <v/>
      </c>
      <c r="R987" s="14">
        <f t="shared" si="95"/>
        <v>2207</v>
      </c>
      <c r="S987" s="4" t="str">
        <f>IFERROR(INDEX('LEV R&amp;D'!$D:$D,MATCH(MEDIÇÃO!R987,'LEV R&amp;D'!$A:$A,0))-INDEX('PROJETO PERFURAÇÃO'!$AH:$AH,MATCH(MEDIÇÃO!R987,'PROJETO PERFURAÇÃO'!$B:$B,0)),"")</f>
        <v/>
      </c>
      <c r="T987" s="8" t="str">
        <f>IFERROR(INDEX('PROJETO PERFURAÇÃO'!$AN:$AN,MATCH(MEDIÇÃO!R987,'PROJETO PERFURAÇÃO'!$B:$B,0)),"")</f>
        <v/>
      </c>
      <c r="U987" s="3"/>
      <c r="V987" s="3"/>
    </row>
    <row r="988" spans="2:22" ht="45" customHeight="1" x14ac:dyDescent="0.25">
      <c r="B988" s="3" t="str">
        <f>IFERROR(ROUND(INDEX('PROJETO PERFURAÇÃO'!$AB:$AB,MATCH(MEDIÇÃO!D988,'PROJETO PERFURAÇÃO'!$B:$B,0)),1)&amp;"''","")</f>
        <v/>
      </c>
      <c r="C988" s="3" t="str">
        <f>IFERROR(IF(INDEX('PROJETO PERFURAÇÃO'!$P:$P,MATCH(MEDIÇÃO!D988,'PROJETO PERFURAÇÃO'!$B:$B,0))="Production","P",IF(INDEX('PROJETO PERFURAÇÃO'!$P:$P,MATCH(MEDIÇÃO!D988,'PROJETO PERFURAÇÃO'!$B:$B,0))="Buffer","B",IF(INDEX('PROJETO PERFURAÇÃO'!$P:$P,MATCH(MEDIÇÃO!D988,'PROJETO PERFURAÇÃO'!$B:$B,0))="Pre-Splitting","S"))),"")</f>
        <v/>
      </c>
      <c r="D988" s="14">
        <f t="shared" si="93"/>
        <v>2162</v>
      </c>
      <c r="E988" s="4" t="str">
        <f>IFERROR(INDEX('LEV R&amp;D'!$D:$D,MATCH(MEDIÇÃO!D988,'LEV R&amp;D'!$A:$A,0))-INDEX('PROJETO PERFURAÇÃO'!$AH:$AH,MATCH(MEDIÇÃO!D988,'PROJETO PERFURAÇÃO'!$B:$B,0)),"")</f>
        <v/>
      </c>
      <c r="F988" s="8" t="str">
        <f>IFERROR(INDEX('PROJETO PERFURAÇÃO'!$AN:$AN,MATCH(MEDIÇÃO!D988,'PROJETO PERFURAÇÃO'!$B:$B,0)),"")</f>
        <v/>
      </c>
      <c r="G988" s="3"/>
      <c r="H988" s="3"/>
      <c r="I988" s="3" t="str">
        <f>IFERROR(ROUND(INDEX('PROJETO PERFURAÇÃO'!$AB:$AB,MATCH(MEDIÇÃO!K988,'PROJETO PERFURAÇÃO'!$B:$B,0)),1)&amp;"''","")</f>
        <v/>
      </c>
      <c r="J988" s="3" t="str">
        <f>IFERROR(IF(INDEX('PROJETO PERFURAÇÃO'!$P:$P,MATCH(MEDIÇÃO!K988,'PROJETO PERFURAÇÃO'!$B:$B,0))="Production","P",IF(INDEX('PROJETO PERFURAÇÃO'!$P:$P,MATCH(MEDIÇÃO!K988,'PROJETO PERFURAÇÃO'!$B:$B,0))="Buffer","B",IF(INDEX('PROJETO PERFURAÇÃO'!$P:$P,MATCH(MEDIÇÃO!K988,'PROJETO PERFURAÇÃO'!$B:$B,0))="Pre-Splitting","S"))),"")</f>
        <v/>
      </c>
      <c r="K988" s="14">
        <f>K987+1</f>
        <v>2185</v>
      </c>
      <c r="L988" s="4" t="str">
        <f>IFERROR(INDEX('LEV R&amp;D'!$D:$D,MATCH(MEDIÇÃO!K988,'LEV R&amp;D'!$A:$A,0))-INDEX('PROJETO PERFURAÇÃO'!$AH:$AH,MATCH(MEDIÇÃO!K988,'PROJETO PERFURAÇÃO'!$B:$B,0)),"")</f>
        <v/>
      </c>
      <c r="M988" s="8" t="str">
        <f>IFERROR(INDEX('PROJETO PERFURAÇÃO'!$AN:$AN,MATCH(MEDIÇÃO!K988,'PROJETO PERFURAÇÃO'!$B:$B,0)),"")</f>
        <v/>
      </c>
      <c r="N988" s="3"/>
      <c r="O988" s="3"/>
      <c r="P988" s="3" t="str">
        <f>IFERROR(ROUND(INDEX('PROJETO PERFURAÇÃO'!$AB:$AB,MATCH(MEDIÇÃO!R988,'PROJETO PERFURAÇÃO'!$B:$B,0)),1)&amp;"''","")</f>
        <v/>
      </c>
      <c r="Q988" s="3" t="str">
        <f>IFERROR(IF(INDEX('PROJETO PERFURAÇÃO'!$P:$P,MATCH(MEDIÇÃO!R988,'PROJETO PERFURAÇÃO'!$B:$B,0))="Production","P",IF(INDEX('PROJETO PERFURAÇÃO'!$P:$P,MATCH(MEDIÇÃO!R988,'PROJETO PERFURAÇÃO'!$B:$B,0))="Buffer","B",IF(INDEX('PROJETO PERFURAÇÃO'!$P:$P,MATCH(MEDIÇÃO!R988,'PROJETO PERFURAÇÃO'!$B:$B,0))="Pre-Splitting","S"))),"")</f>
        <v/>
      </c>
      <c r="R988" s="14">
        <f>R987+1</f>
        <v>2208</v>
      </c>
      <c r="S988" s="4" t="str">
        <f>IFERROR(INDEX('LEV R&amp;D'!$D:$D,MATCH(MEDIÇÃO!R988,'LEV R&amp;D'!$A:$A,0))-INDEX('PROJETO PERFURAÇÃO'!$AH:$AH,MATCH(MEDIÇÃO!R988,'PROJETO PERFURAÇÃO'!$B:$B,0)),"")</f>
        <v/>
      </c>
      <c r="T988" s="8" t="str">
        <f>IFERROR(INDEX('PROJETO PERFURAÇÃO'!$AN:$AN,MATCH(MEDIÇÃO!R988,'PROJETO PERFURAÇÃO'!$B:$B,0)),"")</f>
        <v/>
      </c>
      <c r="U988" s="3"/>
      <c r="V988" s="3"/>
    </row>
    <row r="989" spans="2:22" ht="30" customHeight="1" x14ac:dyDescent="0.25">
      <c r="B989" s="1"/>
      <c r="C989" s="1"/>
      <c r="D989" s="15"/>
      <c r="E989" s="2"/>
      <c r="F989" s="16"/>
      <c r="G989" s="1"/>
      <c r="H989" s="1"/>
      <c r="I989" s="1"/>
      <c r="J989" s="1"/>
      <c r="K989" s="15"/>
      <c r="L989" s="2"/>
      <c r="M989" s="16"/>
      <c r="N989" s="1"/>
      <c r="O989" s="1"/>
      <c r="P989" s="1"/>
      <c r="Q989" s="1"/>
      <c r="R989" s="15"/>
      <c r="S989" s="2"/>
      <c r="T989" s="16"/>
      <c r="U989" s="1"/>
      <c r="V989" s="1"/>
    </row>
    <row r="990" spans="2:22" ht="30" customHeight="1" x14ac:dyDescent="0.25">
      <c r="C990" s="20"/>
      <c r="D990" s="20"/>
      <c r="E990" s="20"/>
      <c r="F990" s="20"/>
      <c r="G990" s="20"/>
      <c r="H990" s="20"/>
      <c r="I990" s="20"/>
      <c r="J990" s="20"/>
      <c r="K990" s="20"/>
      <c r="M990" s="20"/>
      <c r="N990" s="20"/>
      <c r="O990" s="20"/>
      <c r="P990" s="20"/>
      <c r="Q990" s="20"/>
      <c r="R990" s="20"/>
      <c r="S990" s="20"/>
      <c r="T990" s="20"/>
      <c r="U990" s="20"/>
    </row>
    <row r="991" spans="2:22" ht="30" customHeight="1" x14ac:dyDescent="0.25">
      <c r="C991" s="21" t="s">
        <v>40</v>
      </c>
      <c r="D991" s="21"/>
      <c r="E991" s="21"/>
      <c r="F991" s="21"/>
      <c r="G991" s="21"/>
      <c r="H991" s="21"/>
      <c r="I991" s="21"/>
      <c r="J991" s="21"/>
      <c r="K991" s="21"/>
      <c r="L991" s="9"/>
      <c r="M991" s="21" t="s">
        <v>40</v>
      </c>
      <c r="N991" s="21"/>
      <c r="O991" s="21"/>
      <c r="P991" s="21"/>
      <c r="Q991" s="21"/>
      <c r="R991" s="21"/>
      <c r="S991" s="21"/>
      <c r="T991" s="21"/>
      <c r="U991" s="21"/>
      <c r="V991" s="9"/>
    </row>
    <row r="992" spans="2:22" ht="30" customHeight="1" x14ac:dyDescent="0.25">
      <c r="D992" s="9"/>
      <c r="E992" s="9"/>
      <c r="F992" s="9"/>
      <c r="G992" s="9"/>
      <c r="H992" s="9"/>
      <c r="I992" s="9"/>
      <c r="J992" s="9"/>
      <c r="K992" s="9"/>
      <c r="L992" s="9"/>
      <c r="M992" s="9"/>
      <c r="N992" s="9"/>
      <c r="Q992" s="9"/>
      <c r="R992" s="9"/>
      <c r="S992" s="9"/>
      <c r="T992" s="9"/>
      <c r="U992" s="9"/>
      <c r="V992" s="9"/>
    </row>
    <row r="993" spans="1:23" ht="30" customHeight="1" x14ac:dyDescent="0.25">
      <c r="B993" s="19" t="str">
        <f>'PROJETO PERFURAÇÃO'!$C$2&amp;" - "&amp;'PROJETO PERFURAÇÃO'!$H$2</f>
        <v>LIB065 - PP0651026</v>
      </c>
      <c r="C993" s="19"/>
      <c r="D993" s="19"/>
      <c r="E993" s="19"/>
      <c r="F993" s="19"/>
      <c r="G993" s="19"/>
      <c r="H993" s="19"/>
      <c r="I993" s="11" t="s">
        <v>34</v>
      </c>
      <c r="J993" s="10" t="s">
        <v>37</v>
      </c>
    </row>
    <row r="994" spans="1:23" ht="30" customHeight="1" x14ac:dyDescent="0.25">
      <c r="B994" s="19"/>
      <c r="C994" s="19"/>
      <c r="D994" s="19"/>
      <c r="E994" s="19"/>
      <c r="F994" s="19"/>
      <c r="G994" s="19"/>
      <c r="H994" s="19"/>
      <c r="I994" s="12" t="s">
        <v>35</v>
      </c>
      <c r="J994" s="10" t="s">
        <v>38</v>
      </c>
      <c r="K994" s="9"/>
      <c r="L994" s="9"/>
      <c r="M994" s="9"/>
      <c r="N994" s="9"/>
      <c r="O994" s="9"/>
      <c r="P994" s="9"/>
      <c r="Q994" s="9"/>
      <c r="R994" s="9"/>
      <c r="S994" s="9"/>
      <c r="T994" s="9"/>
      <c r="U994" s="9"/>
      <c r="V994" s="9"/>
    </row>
    <row r="995" spans="1:23" ht="30" customHeight="1" x14ac:dyDescent="0.25">
      <c r="B995" s="19"/>
      <c r="C995" s="19"/>
      <c r="D995" s="19"/>
      <c r="E995" s="19"/>
      <c r="F995" s="19"/>
      <c r="G995" s="19"/>
      <c r="H995" s="19"/>
      <c r="I995" s="13" t="s">
        <v>36</v>
      </c>
      <c r="J995" s="10" t="s">
        <v>39</v>
      </c>
    </row>
    <row r="996" spans="1:23" ht="30" customHeight="1" x14ac:dyDescent="0.25">
      <c r="A996" s="1"/>
      <c r="B996" s="6" t="s">
        <v>33</v>
      </c>
      <c r="C996" s="6" t="s">
        <v>13</v>
      </c>
      <c r="D996" s="7" t="s">
        <v>1</v>
      </c>
      <c r="E996" s="7" t="s">
        <v>29</v>
      </c>
      <c r="F996" s="7" t="s">
        <v>30</v>
      </c>
      <c r="G996" s="7" t="s">
        <v>31</v>
      </c>
      <c r="H996" s="7" t="s">
        <v>32</v>
      </c>
      <c r="I996" s="6" t="s">
        <v>33</v>
      </c>
      <c r="J996" s="6" t="s">
        <v>13</v>
      </c>
      <c r="K996" s="7" t="s">
        <v>1</v>
      </c>
      <c r="L996" s="7" t="s">
        <v>29</v>
      </c>
      <c r="M996" s="7" t="s">
        <v>30</v>
      </c>
      <c r="N996" s="7" t="s">
        <v>31</v>
      </c>
      <c r="O996" s="7" t="s">
        <v>32</v>
      </c>
      <c r="P996" s="6" t="s">
        <v>33</v>
      </c>
      <c r="Q996" s="6" t="s">
        <v>13</v>
      </c>
      <c r="R996" s="7" t="s">
        <v>1</v>
      </c>
      <c r="S996" s="7" t="s">
        <v>29</v>
      </c>
      <c r="T996" s="7" t="s">
        <v>30</v>
      </c>
      <c r="U996" s="7" t="s">
        <v>31</v>
      </c>
      <c r="V996" s="7" t="s">
        <v>32</v>
      </c>
      <c r="W996" s="1"/>
    </row>
    <row r="997" spans="1:23" ht="45" customHeight="1" x14ac:dyDescent="0.25">
      <c r="B997" s="3" t="str">
        <f>IFERROR(ROUND(INDEX('PROJETO PERFURAÇÃO'!$AB:$AB,MATCH(MEDIÇÃO!D997,'PROJETO PERFURAÇÃO'!$B:$B,0)),1)&amp;"''","")</f>
        <v/>
      </c>
      <c r="C997" s="3" t="str">
        <f>IFERROR(IF(INDEX('PROJETO PERFURAÇÃO'!$P:$P,MATCH(MEDIÇÃO!D997,'PROJETO PERFURAÇÃO'!$B:$B,0))="Production","P",IF(INDEX('PROJETO PERFURAÇÃO'!$P:$P,MATCH(MEDIÇÃO!D997,'PROJETO PERFURAÇÃO'!$B:$B,0))="Buffer","B",IF(INDEX('PROJETO PERFURAÇÃO'!$P:$P,MATCH(MEDIÇÃO!D997,'PROJETO PERFURAÇÃO'!$B:$B,0))="Pre-Splitting","S"))),"")</f>
        <v/>
      </c>
      <c r="D997" s="14">
        <f>R988+1</f>
        <v>2209</v>
      </c>
      <c r="E997" s="4" t="str">
        <f>IFERROR(INDEX('LEV R&amp;D'!$D:$D,MATCH(MEDIÇÃO!D997,'LEV R&amp;D'!$A:$A,0))-INDEX('PROJETO PERFURAÇÃO'!$AH:$AH,MATCH(MEDIÇÃO!D997,'PROJETO PERFURAÇÃO'!$B:$B,0)),"")</f>
        <v/>
      </c>
      <c r="F997" s="8" t="str">
        <f>IFERROR(INDEX('PROJETO PERFURAÇÃO'!$AN:$AN,MATCH(MEDIÇÃO!D997,'PROJETO PERFURAÇÃO'!$B:$B,0)),"")</f>
        <v/>
      </c>
      <c r="G997" s="3"/>
      <c r="H997" s="3"/>
      <c r="I997" s="3" t="str">
        <f>IFERROR(ROUND(INDEX('PROJETO PERFURAÇÃO'!$AB:$AB,MATCH(MEDIÇÃO!K997,'PROJETO PERFURAÇÃO'!$B:$B,0)),1)&amp;"''","")</f>
        <v/>
      </c>
      <c r="J997" s="3" t="str">
        <f>IFERROR(IF(INDEX('PROJETO PERFURAÇÃO'!$P:$P,MATCH(MEDIÇÃO!K997,'PROJETO PERFURAÇÃO'!$B:$B,0))="Production","P",IF(INDEX('PROJETO PERFURAÇÃO'!$P:$P,MATCH(MEDIÇÃO!K997,'PROJETO PERFURAÇÃO'!$B:$B,0))="Buffer","B",IF(INDEX('PROJETO PERFURAÇÃO'!$P:$P,MATCH(MEDIÇÃO!K997,'PROJETO PERFURAÇÃO'!$B:$B,0))="Pre-Splitting","S"))),"")</f>
        <v/>
      </c>
      <c r="K997" s="14">
        <f>D1019+1</f>
        <v>2232</v>
      </c>
      <c r="L997" s="4" t="str">
        <f>IFERROR(INDEX('LEV R&amp;D'!$D:$D,MATCH(MEDIÇÃO!K997,'LEV R&amp;D'!$A:$A,0))-INDEX('PROJETO PERFURAÇÃO'!$AH:$AH,MATCH(MEDIÇÃO!K997,'PROJETO PERFURAÇÃO'!$B:$B,0)),"")</f>
        <v/>
      </c>
      <c r="M997" s="8" t="str">
        <f>IFERROR(INDEX('PROJETO PERFURAÇÃO'!$AN:$AN,MATCH(MEDIÇÃO!K997,'PROJETO PERFURAÇÃO'!$B:$B,0)),"")</f>
        <v/>
      </c>
      <c r="N997" s="3"/>
      <c r="O997" s="3"/>
      <c r="P997" s="3" t="str">
        <f>IFERROR(ROUND(INDEX('PROJETO PERFURAÇÃO'!$AB:$AB,MATCH(MEDIÇÃO!R997,'PROJETO PERFURAÇÃO'!$B:$B,0)),1)&amp;"''","")</f>
        <v/>
      </c>
      <c r="Q997" s="3" t="str">
        <f>IFERROR(IF(INDEX('PROJETO PERFURAÇÃO'!$P:$P,MATCH(MEDIÇÃO!R997,'PROJETO PERFURAÇÃO'!$B:$B,0))="Production","P",IF(INDEX('PROJETO PERFURAÇÃO'!$P:$P,MATCH(MEDIÇÃO!R997,'PROJETO PERFURAÇÃO'!$B:$B,0))="Buffer","B",IF(INDEX('PROJETO PERFURAÇÃO'!$P:$P,MATCH(MEDIÇÃO!R997,'PROJETO PERFURAÇÃO'!$B:$B,0))="Pre-Splitting","S"))),"")</f>
        <v/>
      </c>
      <c r="R997" s="14">
        <f>K1019+1</f>
        <v>2255</v>
      </c>
      <c r="S997" s="4" t="str">
        <f>IFERROR(INDEX('LEV R&amp;D'!$D:$D,MATCH(MEDIÇÃO!R997,'LEV R&amp;D'!$A:$A,0))-INDEX('PROJETO PERFURAÇÃO'!$AH:$AH,MATCH(MEDIÇÃO!R997,'PROJETO PERFURAÇÃO'!$B:$B,0)),"")</f>
        <v/>
      </c>
      <c r="T997" s="8" t="str">
        <f>IFERROR(INDEX('PROJETO PERFURAÇÃO'!$AN:$AN,MATCH(MEDIÇÃO!R997,'PROJETO PERFURAÇÃO'!$B:$B,0)),"")</f>
        <v/>
      </c>
      <c r="U997" s="3"/>
      <c r="V997" s="3"/>
    </row>
    <row r="998" spans="1:23" ht="45" customHeight="1" x14ac:dyDescent="0.25">
      <c r="B998" s="3" t="str">
        <f>IFERROR(ROUND(INDEX('PROJETO PERFURAÇÃO'!$AB:$AB,MATCH(MEDIÇÃO!D998,'PROJETO PERFURAÇÃO'!$B:$B,0)),1)&amp;"''","")</f>
        <v/>
      </c>
      <c r="C998" s="3" t="str">
        <f>IFERROR(IF(INDEX('PROJETO PERFURAÇÃO'!$P:$P,MATCH(MEDIÇÃO!D998,'PROJETO PERFURAÇÃO'!$B:$B,0))="Production","P",IF(INDEX('PROJETO PERFURAÇÃO'!$P:$P,MATCH(MEDIÇÃO!D998,'PROJETO PERFURAÇÃO'!$B:$B,0))="Buffer","B",IF(INDEX('PROJETO PERFURAÇÃO'!$P:$P,MATCH(MEDIÇÃO!D998,'PROJETO PERFURAÇÃO'!$B:$B,0))="Pre-Splitting","S"))),"")</f>
        <v/>
      </c>
      <c r="D998" s="14">
        <f>D997+1</f>
        <v>2210</v>
      </c>
      <c r="E998" s="4" t="str">
        <f>IFERROR(INDEX('LEV R&amp;D'!$D:$D,MATCH(MEDIÇÃO!D998,'LEV R&amp;D'!$A:$A,0))-INDEX('PROJETO PERFURAÇÃO'!$AH:$AH,MATCH(MEDIÇÃO!D998,'PROJETO PERFURAÇÃO'!$B:$B,0)),"")</f>
        <v/>
      </c>
      <c r="F998" s="8" t="str">
        <f>IFERROR(INDEX('PROJETO PERFURAÇÃO'!$AN:$AN,MATCH(MEDIÇÃO!D998,'PROJETO PERFURAÇÃO'!$B:$B,0)),"")</f>
        <v/>
      </c>
      <c r="G998" s="3"/>
      <c r="H998" s="3"/>
      <c r="I998" s="3" t="str">
        <f>IFERROR(ROUND(INDEX('PROJETO PERFURAÇÃO'!$AB:$AB,MATCH(MEDIÇÃO!K998,'PROJETO PERFURAÇÃO'!$B:$B,0)),1)&amp;"''","")</f>
        <v/>
      </c>
      <c r="J998" s="3" t="str">
        <f>IFERROR(IF(INDEX('PROJETO PERFURAÇÃO'!$P:$P,MATCH(MEDIÇÃO!K998,'PROJETO PERFURAÇÃO'!$B:$B,0))="Production","P",IF(INDEX('PROJETO PERFURAÇÃO'!$P:$P,MATCH(MEDIÇÃO!K998,'PROJETO PERFURAÇÃO'!$B:$B,0))="Buffer","B",IF(INDEX('PROJETO PERFURAÇÃO'!$P:$P,MATCH(MEDIÇÃO!K998,'PROJETO PERFURAÇÃO'!$B:$B,0))="Pre-Splitting","S"))),"")</f>
        <v/>
      </c>
      <c r="K998" s="14">
        <f>K997+1</f>
        <v>2233</v>
      </c>
      <c r="L998" s="4" t="str">
        <f>IFERROR(INDEX('LEV R&amp;D'!$D:$D,MATCH(MEDIÇÃO!K998,'LEV R&amp;D'!$A:$A,0))-INDEX('PROJETO PERFURAÇÃO'!$AH:$AH,MATCH(MEDIÇÃO!K998,'PROJETO PERFURAÇÃO'!$B:$B,0)),"")</f>
        <v/>
      </c>
      <c r="M998" s="8" t="str">
        <f>IFERROR(INDEX('PROJETO PERFURAÇÃO'!$AN:$AN,MATCH(MEDIÇÃO!K998,'PROJETO PERFURAÇÃO'!$B:$B,0)),"")</f>
        <v/>
      </c>
      <c r="N998" s="3"/>
      <c r="O998" s="3"/>
      <c r="P998" s="3" t="str">
        <f>IFERROR(ROUND(INDEX('PROJETO PERFURAÇÃO'!$AB:$AB,MATCH(MEDIÇÃO!R998,'PROJETO PERFURAÇÃO'!$B:$B,0)),1)&amp;"''","")</f>
        <v/>
      </c>
      <c r="Q998" s="3" t="str">
        <f>IFERROR(IF(INDEX('PROJETO PERFURAÇÃO'!$P:$P,MATCH(MEDIÇÃO!R998,'PROJETO PERFURAÇÃO'!$B:$B,0))="Production","P",IF(INDEX('PROJETO PERFURAÇÃO'!$P:$P,MATCH(MEDIÇÃO!R998,'PROJETO PERFURAÇÃO'!$B:$B,0))="Buffer","B",IF(INDEX('PROJETO PERFURAÇÃO'!$P:$P,MATCH(MEDIÇÃO!R998,'PROJETO PERFURAÇÃO'!$B:$B,0))="Pre-Splitting","S"))),"")</f>
        <v/>
      </c>
      <c r="R998" s="14">
        <f>R997+1</f>
        <v>2256</v>
      </c>
      <c r="S998" s="4" t="str">
        <f>IFERROR(INDEX('LEV R&amp;D'!$D:$D,MATCH(MEDIÇÃO!R998,'LEV R&amp;D'!$A:$A,0))-INDEX('PROJETO PERFURAÇÃO'!$AH:$AH,MATCH(MEDIÇÃO!R998,'PROJETO PERFURAÇÃO'!$B:$B,0)),"")</f>
        <v/>
      </c>
      <c r="T998" s="8" t="str">
        <f>IFERROR(INDEX('PROJETO PERFURAÇÃO'!$AN:$AN,MATCH(MEDIÇÃO!R998,'PROJETO PERFURAÇÃO'!$B:$B,0)),"")</f>
        <v/>
      </c>
      <c r="U998" s="3"/>
      <c r="V998" s="3"/>
    </row>
    <row r="999" spans="1:23" ht="45" customHeight="1" x14ac:dyDescent="0.25">
      <c r="B999" s="3" t="str">
        <f>IFERROR(ROUND(INDEX('PROJETO PERFURAÇÃO'!$AB:$AB,MATCH(MEDIÇÃO!D999,'PROJETO PERFURAÇÃO'!$B:$B,0)),1)&amp;"''","")</f>
        <v/>
      </c>
      <c r="C999" s="3" t="str">
        <f>IFERROR(IF(INDEX('PROJETO PERFURAÇÃO'!$P:$P,MATCH(MEDIÇÃO!D999,'PROJETO PERFURAÇÃO'!$B:$B,0))="Production","P",IF(INDEX('PROJETO PERFURAÇÃO'!$P:$P,MATCH(MEDIÇÃO!D999,'PROJETO PERFURAÇÃO'!$B:$B,0))="Buffer","B",IF(INDEX('PROJETO PERFURAÇÃO'!$P:$P,MATCH(MEDIÇÃO!D999,'PROJETO PERFURAÇÃO'!$B:$B,0))="Pre-Splitting","S"))),"")</f>
        <v/>
      </c>
      <c r="D999" s="14">
        <f t="shared" ref="D999:D1019" si="96">D998+1</f>
        <v>2211</v>
      </c>
      <c r="E999" s="4" t="str">
        <f>IFERROR(INDEX('LEV R&amp;D'!$D:$D,MATCH(MEDIÇÃO!D999,'LEV R&amp;D'!$A:$A,0))-INDEX('PROJETO PERFURAÇÃO'!$AH:$AH,MATCH(MEDIÇÃO!D999,'PROJETO PERFURAÇÃO'!$B:$B,0)),"")</f>
        <v/>
      </c>
      <c r="F999" s="8" t="str">
        <f>IFERROR(INDEX('PROJETO PERFURAÇÃO'!$AN:$AN,MATCH(MEDIÇÃO!D999,'PROJETO PERFURAÇÃO'!$B:$B,0)),"")</f>
        <v/>
      </c>
      <c r="G999" s="3"/>
      <c r="H999" s="3"/>
      <c r="I999" s="3" t="str">
        <f>IFERROR(ROUND(INDEX('PROJETO PERFURAÇÃO'!$AB:$AB,MATCH(MEDIÇÃO!K999,'PROJETO PERFURAÇÃO'!$B:$B,0)),1)&amp;"''","")</f>
        <v/>
      </c>
      <c r="J999" s="3" t="str">
        <f>IFERROR(IF(INDEX('PROJETO PERFURAÇÃO'!$P:$P,MATCH(MEDIÇÃO!K999,'PROJETO PERFURAÇÃO'!$B:$B,0))="Production","P",IF(INDEX('PROJETO PERFURAÇÃO'!$P:$P,MATCH(MEDIÇÃO!K999,'PROJETO PERFURAÇÃO'!$B:$B,0))="Buffer","B",IF(INDEX('PROJETO PERFURAÇÃO'!$P:$P,MATCH(MEDIÇÃO!K999,'PROJETO PERFURAÇÃO'!$B:$B,0))="Pre-Splitting","S"))),"")</f>
        <v/>
      </c>
      <c r="K999" s="14">
        <f t="shared" ref="K999:K1018" si="97">K998+1</f>
        <v>2234</v>
      </c>
      <c r="L999" s="4" t="str">
        <f>IFERROR(INDEX('LEV R&amp;D'!$D:$D,MATCH(MEDIÇÃO!K999,'LEV R&amp;D'!$A:$A,0))-INDEX('PROJETO PERFURAÇÃO'!$AH:$AH,MATCH(MEDIÇÃO!K999,'PROJETO PERFURAÇÃO'!$B:$B,0)),"")</f>
        <v/>
      </c>
      <c r="M999" s="8" t="str">
        <f>IFERROR(INDEX('PROJETO PERFURAÇÃO'!$AN:$AN,MATCH(MEDIÇÃO!K999,'PROJETO PERFURAÇÃO'!$B:$B,0)),"")</f>
        <v/>
      </c>
      <c r="N999" s="3"/>
      <c r="O999" s="3"/>
      <c r="P999" s="3" t="str">
        <f>IFERROR(ROUND(INDEX('PROJETO PERFURAÇÃO'!$AB:$AB,MATCH(MEDIÇÃO!R999,'PROJETO PERFURAÇÃO'!$B:$B,0)),1)&amp;"''","")</f>
        <v/>
      </c>
      <c r="Q999" s="3" t="str">
        <f>IFERROR(IF(INDEX('PROJETO PERFURAÇÃO'!$P:$P,MATCH(MEDIÇÃO!R999,'PROJETO PERFURAÇÃO'!$B:$B,0))="Production","P",IF(INDEX('PROJETO PERFURAÇÃO'!$P:$P,MATCH(MEDIÇÃO!R999,'PROJETO PERFURAÇÃO'!$B:$B,0))="Buffer","B",IF(INDEX('PROJETO PERFURAÇÃO'!$P:$P,MATCH(MEDIÇÃO!R999,'PROJETO PERFURAÇÃO'!$B:$B,0))="Pre-Splitting","S"))),"")</f>
        <v/>
      </c>
      <c r="R999" s="14">
        <f t="shared" ref="R999:R1018" si="98">R998+1</f>
        <v>2257</v>
      </c>
      <c r="S999" s="4" t="str">
        <f>IFERROR(INDEX('LEV R&amp;D'!$D:$D,MATCH(MEDIÇÃO!R999,'LEV R&amp;D'!$A:$A,0))-INDEX('PROJETO PERFURAÇÃO'!$AH:$AH,MATCH(MEDIÇÃO!R999,'PROJETO PERFURAÇÃO'!$B:$B,0)),"")</f>
        <v/>
      </c>
      <c r="T999" s="8" t="str">
        <f>IFERROR(INDEX('PROJETO PERFURAÇÃO'!$AN:$AN,MATCH(MEDIÇÃO!R999,'PROJETO PERFURAÇÃO'!$B:$B,0)),"")</f>
        <v/>
      </c>
      <c r="U999" s="3"/>
      <c r="V999" s="3"/>
    </row>
    <row r="1000" spans="1:23" ht="45" customHeight="1" x14ac:dyDescent="0.25">
      <c r="B1000" s="3" t="str">
        <f>IFERROR(ROUND(INDEX('PROJETO PERFURAÇÃO'!$AB:$AB,MATCH(MEDIÇÃO!D1000,'PROJETO PERFURAÇÃO'!$B:$B,0)),1)&amp;"''","")</f>
        <v/>
      </c>
      <c r="C1000" s="3" t="str">
        <f>IFERROR(IF(INDEX('PROJETO PERFURAÇÃO'!$P:$P,MATCH(MEDIÇÃO!D1000,'PROJETO PERFURAÇÃO'!$B:$B,0))="Production","P",IF(INDEX('PROJETO PERFURAÇÃO'!$P:$P,MATCH(MEDIÇÃO!D1000,'PROJETO PERFURAÇÃO'!$B:$B,0))="Buffer","B",IF(INDEX('PROJETO PERFURAÇÃO'!$P:$P,MATCH(MEDIÇÃO!D1000,'PROJETO PERFURAÇÃO'!$B:$B,0))="Pre-Splitting","S"))),"")</f>
        <v/>
      </c>
      <c r="D1000" s="14">
        <f t="shared" si="96"/>
        <v>2212</v>
      </c>
      <c r="E1000" s="4" t="str">
        <f>IFERROR(INDEX('LEV R&amp;D'!$D:$D,MATCH(MEDIÇÃO!D1000,'LEV R&amp;D'!$A:$A,0))-INDEX('PROJETO PERFURAÇÃO'!$AH:$AH,MATCH(MEDIÇÃO!D1000,'PROJETO PERFURAÇÃO'!$B:$B,0)),"")</f>
        <v/>
      </c>
      <c r="F1000" s="8" t="str">
        <f>IFERROR(INDEX('PROJETO PERFURAÇÃO'!$AN:$AN,MATCH(MEDIÇÃO!D1000,'PROJETO PERFURAÇÃO'!$B:$B,0)),"")</f>
        <v/>
      </c>
      <c r="G1000" s="3"/>
      <c r="H1000" s="3"/>
      <c r="I1000" s="3" t="str">
        <f>IFERROR(ROUND(INDEX('PROJETO PERFURAÇÃO'!$AB:$AB,MATCH(MEDIÇÃO!K1000,'PROJETO PERFURAÇÃO'!$B:$B,0)),1)&amp;"''","")</f>
        <v/>
      </c>
      <c r="J1000" s="3" t="str">
        <f>IFERROR(IF(INDEX('PROJETO PERFURAÇÃO'!$P:$P,MATCH(MEDIÇÃO!K1000,'PROJETO PERFURAÇÃO'!$B:$B,0))="Production","P",IF(INDEX('PROJETO PERFURAÇÃO'!$P:$P,MATCH(MEDIÇÃO!K1000,'PROJETO PERFURAÇÃO'!$B:$B,0))="Buffer","B",IF(INDEX('PROJETO PERFURAÇÃO'!$P:$P,MATCH(MEDIÇÃO!K1000,'PROJETO PERFURAÇÃO'!$B:$B,0))="Pre-Splitting","S"))),"")</f>
        <v/>
      </c>
      <c r="K1000" s="14">
        <f t="shared" si="97"/>
        <v>2235</v>
      </c>
      <c r="L1000" s="4" t="str">
        <f>IFERROR(INDEX('LEV R&amp;D'!$D:$D,MATCH(MEDIÇÃO!K1000,'LEV R&amp;D'!$A:$A,0))-INDEX('PROJETO PERFURAÇÃO'!$AH:$AH,MATCH(MEDIÇÃO!K1000,'PROJETO PERFURAÇÃO'!$B:$B,0)),"")</f>
        <v/>
      </c>
      <c r="M1000" s="8" t="str">
        <f>IFERROR(INDEX('PROJETO PERFURAÇÃO'!$AN:$AN,MATCH(MEDIÇÃO!K1000,'PROJETO PERFURAÇÃO'!$B:$B,0)),"")</f>
        <v/>
      </c>
      <c r="N1000" s="3"/>
      <c r="O1000" s="3"/>
      <c r="P1000" s="3" t="str">
        <f>IFERROR(ROUND(INDEX('PROJETO PERFURAÇÃO'!$AB:$AB,MATCH(MEDIÇÃO!R1000,'PROJETO PERFURAÇÃO'!$B:$B,0)),1)&amp;"''","")</f>
        <v/>
      </c>
      <c r="Q1000" s="3" t="str">
        <f>IFERROR(IF(INDEX('PROJETO PERFURAÇÃO'!$P:$P,MATCH(MEDIÇÃO!R1000,'PROJETO PERFURAÇÃO'!$B:$B,0))="Production","P",IF(INDEX('PROJETO PERFURAÇÃO'!$P:$P,MATCH(MEDIÇÃO!R1000,'PROJETO PERFURAÇÃO'!$B:$B,0))="Buffer","B",IF(INDEX('PROJETO PERFURAÇÃO'!$P:$P,MATCH(MEDIÇÃO!R1000,'PROJETO PERFURAÇÃO'!$B:$B,0))="Pre-Splitting","S"))),"")</f>
        <v/>
      </c>
      <c r="R1000" s="14">
        <f t="shared" si="98"/>
        <v>2258</v>
      </c>
      <c r="S1000" s="4" t="str">
        <f>IFERROR(INDEX('LEV R&amp;D'!$D:$D,MATCH(MEDIÇÃO!R1000,'LEV R&amp;D'!$A:$A,0))-INDEX('PROJETO PERFURAÇÃO'!$AH:$AH,MATCH(MEDIÇÃO!R1000,'PROJETO PERFURAÇÃO'!$B:$B,0)),"")</f>
        <v/>
      </c>
      <c r="T1000" s="8" t="str">
        <f>IFERROR(INDEX('PROJETO PERFURAÇÃO'!$AN:$AN,MATCH(MEDIÇÃO!R1000,'PROJETO PERFURAÇÃO'!$B:$B,0)),"")</f>
        <v/>
      </c>
      <c r="U1000" s="3"/>
      <c r="V1000" s="3"/>
    </row>
    <row r="1001" spans="1:23" ht="45" customHeight="1" x14ac:dyDescent="0.25">
      <c r="B1001" s="3" t="str">
        <f>IFERROR(ROUND(INDEX('PROJETO PERFURAÇÃO'!$AB:$AB,MATCH(MEDIÇÃO!D1001,'PROJETO PERFURAÇÃO'!$B:$B,0)),1)&amp;"''","")</f>
        <v/>
      </c>
      <c r="C1001" s="3" t="str">
        <f>IFERROR(IF(INDEX('PROJETO PERFURAÇÃO'!$P:$P,MATCH(MEDIÇÃO!D1001,'PROJETO PERFURAÇÃO'!$B:$B,0))="Production","P",IF(INDEX('PROJETO PERFURAÇÃO'!$P:$P,MATCH(MEDIÇÃO!D1001,'PROJETO PERFURAÇÃO'!$B:$B,0))="Buffer","B",IF(INDEX('PROJETO PERFURAÇÃO'!$P:$P,MATCH(MEDIÇÃO!D1001,'PROJETO PERFURAÇÃO'!$B:$B,0))="Pre-Splitting","S"))),"")</f>
        <v/>
      </c>
      <c r="D1001" s="14">
        <f t="shared" si="96"/>
        <v>2213</v>
      </c>
      <c r="E1001" s="4" t="str">
        <f>IFERROR(INDEX('LEV R&amp;D'!$D:$D,MATCH(MEDIÇÃO!D1001,'LEV R&amp;D'!$A:$A,0))-INDEX('PROJETO PERFURAÇÃO'!$AH:$AH,MATCH(MEDIÇÃO!D1001,'PROJETO PERFURAÇÃO'!$B:$B,0)),"")</f>
        <v/>
      </c>
      <c r="F1001" s="8" t="str">
        <f>IFERROR(INDEX('PROJETO PERFURAÇÃO'!$AN:$AN,MATCH(MEDIÇÃO!D1001,'PROJETO PERFURAÇÃO'!$B:$B,0)),"")</f>
        <v/>
      </c>
      <c r="G1001" s="3"/>
      <c r="H1001" s="3"/>
      <c r="I1001" s="3" t="str">
        <f>IFERROR(ROUND(INDEX('PROJETO PERFURAÇÃO'!$AB:$AB,MATCH(MEDIÇÃO!K1001,'PROJETO PERFURAÇÃO'!$B:$B,0)),1)&amp;"''","")</f>
        <v/>
      </c>
      <c r="J1001" s="3" t="str">
        <f>IFERROR(IF(INDEX('PROJETO PERFURAÇÃO'!$P:$P,MATCH(MEDIÇÃO!K1001,'PROJETO PERFURAÇÃO'!$B:$B,0))="Production","P",IF(INDEX('PROJETO PERFURAÇÃO'!$P:$P,MATCH(MEDIÇÃO!K1001,'PROJETO PERFURAÇÃO'!$B:$B,0))="Buffer","B",IF(INDEX('PROJETO PERFURAÇÃO'!$P:$P,MATCH(MEDIÇÃO!K1001,'PROJETO PERFURAÇÃO'!$B:$B,0))="Pre-Splitting","S"))),"")</f>
        <v/>
      </c>
      <c r="K1001" s="14">
        <f t="shared" si="97"/>
        <v>2236</v>
      </c>
      <c r="L1001" s="4" t="str">
        <f>IFERROR(INDEX('LEV R&amp;D'!$D:$D,MATCH(MEDIÇÃO!K1001,'LEV R&amp;D'!$A:$A,0))-INDEX('PROJETO PERFURAÇÃO'!$AH:$AH,MATCH(MEDIÇÃO!K1001,'PROJETO PERFURAÇÃO'!$B:$B,0)),"")</f>
        <v/>
      </c>
      <c r="M1001" s="8" t="str">
        <f>IFERROR(INDEX('PROJETO PERFURAÇÃO'!$AN:$AN,MATCH(MEDIÇÃO!K1001,'PROJETO PERFURAÇÃO'!$B:$B,0)),"")</f>
        <v/>
      </c>
      <c r="N1001" s="3"/>
      <c r="O1001" s="3"/>
      <c r="P1001" s="3" t="str">
        <f>IFERROR(ROUND(INDEX('PROJETO PERFURAÇÃO'!$AB:$AB,MATCH(MEDIÇÃO!R1001,'PROJETO PERFURAÇÃO'!$B:$B,0)),1)&amp;"''","")</f>
        <v/>
      </c>
      <c r="Q1001" s="3" t="str">
        <f>IFERROR(IF(INDEX('PROJETO PERFURAÇÃO'!$P:$P,MATCH(MEDIÇÃO!R1001,'PROJETO PERFURAÇÃO'!$B:$B,0))="Production","P",IF(INDEX('PROJETO PERFURAÇÃO'!$P:$P,MATCH(MEDIÇÃO!R1001,'PROJETO PERFURAÇÃO'!$B:$B,0))="Buffer","B",IF(INDEX('PROJETO PERFURAÇÃO'!$P:$P,MATCH(MEDIÇÃO!R1001,'PROJETO PERFURAÇÃO'!$B:$B,0))="Pre-Splitting","S"))),"")</f>
        <v/>
      </c>
      <c r="R1001" s="14">
        <f t="shared" si="98"/>
        <v>2259</v>
      </c>
      <c r="S1001" s="4" t="str">
        <f>IFERROR(INDEX('LEV R&amp;D'!$D:$D,MATCH(MEDIÇÃO!R1001,'LEV R&amp;D'!$A:$A,0))-INDEX('PROJETO PERFURAÇÃO'!$AH:$AH,MATCH(MEDIÇÃO!R1001,'PROJETO PERFURAÇÃO'!$B:$B,0)),"")</f>
        <v/>
      </c>
      <c r="T1001" s="8" t="str">
        <f>IFERROR(INDEX('PROJETO PERFURAÇÃO'!$AN:$AN,MATCH(MEDIÇÃO!R1001,'PROJETO PERFURAÇÃO'!$B:$B,0)),"")</f>
        <v/>
      </c>
      <c r="U1001" s="3"/>
      <c r="V1001" s="3"/>
    </row>
    <row r="1002" spans="1:23" ht="45" customHeight="1" x14ac:dyDescent="0.25">
      <c r="B1002" s="3" t="str">
        <f>IFERROR(ROUND(INDEX('PROJETO PERFURAÇÃO'!$AB:$AB,MATCH(MEDIÇÃO!D1002,'PROJETO PERFURAÇÃO'!$B:$B,0)),1)&amp;"''","")</f>
        <v/>
      </c>
      <c r="C1002" s="3" t="str">
        <f>IFERROR(IF(INDEX('PROJETO PERFURAÇÃO'!$P:$P,MATCH(MEDIÇÃO!D1002,'PROJETO PERFURAÇÃO'!$B:$B,0))="Production","P",IF(INDEX('PROJETO PERFURAÇÃO'!$P:$P,MATCH(MEDIÇÃO!D1002,'PROJETO PERFURAÇÃO'!$B:$B,0))="Buffer","B",IF(INDEX('PROJETO PERFURAÇÃO'!$P:$P,MATCH(MEDIÇÃO!D1002,'PROJETO PERFURAÇÃO'!$B:$B,0))="Pre-Splitting","S"))),"")</f>
        <v/>
      </c>
      <c r="D1002" s="14">
        <f t="shared" si="96"/>
        <v>2214</v>
      </c>
      <c r="E1002" s="4" t="str">
        <f>IFERROR(INDEX('LEV R&amp;D'!$D:$D,MATCH(MEDIÇÃO!D1002,'LEV R&amp;D'!$A:$A,0))-INDEX('PROJETO PERFURAÇÃO'!$AH:$AH,MATCH(MEDIÇÃO!D1002,'PROJETO PERFURAÇÃO'!$B:$B,0)),"")</f>
        <v/>
      </c>
      <c r="F1002" s="8" t="str">
        <f>IFERROR(INDEX('PROJETO PERFURAÇÃO'!$AN:$AN,MATCH(MEDIÇÃO!D1002,'PROJETO PERFURAÇÃO'!$B:$B,0)),"")</f>
        <v/>
      </c>
      <c r="G1002" s="3"/>
      <c r="H1002" s="3"/>
      <c r="I1002" s="3" t="str">
        <f>IFERROR(ROUND(INDEX('PROJETO PERFURAÇÃO'!$AB:$AB,MATCH(MEDIÇÃO!K1002,'PROJETO PERFURAÇÃO'!$B:$B,0)),1)&amp;"''","")</f>
        <v/>
      </c>
      <c r="J1002" s="3" t="str">
        <f>IFERROR(IF(INDEX('PROJETO PERFURAÇÃO'!$P:$P,MATCH(MEDIÇÃO!K1002,'PROJETO PERFURAÇÃO'!$B:$B,0))="Production","P",IF(INDEX('PROJETO PERFURAÇÃO'!$P:$P,MATCH(MEDIÇÃO!K1002,'PROJETO PERFURAÇÃO'!$B:$B,0))="Buffer","B",IF(INDEX('PROJETO PERFURAÇÃO'!$P:$P,MATCH(MEDIÇÃO!K1002,'PROJETO PERFURAÇÃO'!$B:$B,0))="Pre-Splitting","S"))),"")</f>
        <v/>
      </c>
      <c r="K1002" s="14">
        <f t="shared" si="97"/>
        <v>2237</v>
      </c>
      <c r="L1002" s="4" t="str">
        <f>IFERROR(INDEX('LEV R&amp;D'!$D:$D,MATCH(MEDIÇÃO!K1002,'LEV R&amp;D'!$A:$A,0))-INDEX('PROJETO PERFURAÇÃO'!$AH:$AH,MATCH(MEDIÇÃO!K1002,'PROJETO PERFURAÇÃO'!$B:$B,0)),"")</f>
        <v/>
      </c>
      <c r="M1002" s="8" t="str">
        <f>IFERROR(INDEX('PROJETO PERFURAÇÃO'!$AN:$AN,MATCH(MEDIÇÃO!K1002,'PROJETO PERFURAÇÃO'!$B:$B,0)),"")</f>
        <v/>
      </c>
      <c r="N1002" s="3"/>
      <c r="O1002" s="3"/>
      <c r="P1002" s="3" t="str">
        <f>IFERROR(ROUND(INDEX('PROJETO PERFURAÇÃO'!$AB:$AB,MATCH(MEDIÇÃO!R1002,'PROJETO PERFURAÇÃO'!$B:$B,0)),1)&amp;"''","")</f>
        <v/>
      </c>
      <c r="Q1002" s="3" t="str">
        <f>IFERROR(IF(INDEX('PROJETO PERFURAÇÃO'!$P:$P,MATCH(MEDIÇÃO!R1002,'PROJETO PERFURAÇÃO'!$B:$B,0))="Production","P",IF(INDEX('PROJETO PERFURAÇÃO'!$P:$P,MATCH(MEDIÇÃO!R1002,'PROJETO PERFURAÇÃO'!$B:$B,0))="Buffer","B",IF(INDEX('PROJETO PERFURAÇÃO'!$P:$P,MATCH(MEDIÇÃO!R1002,'PROJETO PERFURAÇÃO'!$B:$B,0))="Pre-Splitting","S"))),"")</f>
        <v/>
      </c>
      <c r="R1002" s="14">
        <f t="shared" si="98"/>
        <v>2260</v>
      </c>
      <c r="S1002" s="4" t="str">
        <f>IFERROR(INDEX('LEV R&amp;D'!$D:$D,MATCH(MEDIÇÃO!R1002,'LEV R&amp;D'!$A:$A,0))-INDEX('PROJETO PERFURAÇÃO'!$AH:$AH,MATCH(MEDIÇÃO!R1002,'PROJETO PERFURAÇÃO'!$B:$B,0)),"")</f>
        <v/>
      </c>
      <c r="T1002" s="8" t="str">
        <f>IFERROR(INDEX('PROJETO PERFURAÇÃO'!$AN:$AN,MATCH(MEDIÇÃO!R1002,'PROJETO PERFURAÇÃO'!$B:$B,0)),"")</f>
        <v/>
      </c>
      <c r="U1002" s="3"/>
      <c r="V1002" s="3"/>
    </row>
    <row r="1003" spans="1:23" ht="45" customHeight="1" x14ac:dyDescent="0.25">
      <c r="B1003" s="3" t="str">
        <f>IFERROR(ROUND(INDEX('PROJETO PERFURAÇÃO'!$AB:$AB,MATCH(MEDIÇÃO!D1003,'PROJETO PERFURAÇÃO'!$B:$B,0)),1)&amp;"''","")</f>
        <v/>
      </c>
      <c r="C1003" s="3" t="str">
        <f>IFERROR(IF(INDEX('PROJETO PERFURAÇÃO'!$P:$P,MATCH(MEDIÇÃO!D1003,'PROJETO PERFURAÇÃO'!$B:$B,0))="Production","P",IF(INDEX('PROJETO PERFURAÇÃO'!$P:$P,MATCH(MEDIÇÃO!D1003,'PROJETO PERFURAÇÃO'!$B:$B,0))="Buffer","B",IF(INDEX('PROJETO PERFURAÇÃO'!$P:$P,MATCH(MEDIÇÃO!D1003,'PROJETO PERFURAÇÃO'!$B:$B,0))="Pre-Splitting","S"))),"")</f>
        <v/>
      </c>
      <c r="D1003" s="14">
        <f t="shared" si="96"/>
        <v>2215</v>
      </c>
      <c r="E1003" s="4" t="str">
        <f>IFERROR(INDEX('LEV R&amp;D'!$D:$D,MATCH(MEDIÇÃO!D1003,'LEV R&amp;D'!$A:$A,0))-INDEX('PROJETO PERFURAÇÃO'!$AH:$AH,MATCH(MEDIÇÃO!D1003,'PROJETO PERFURAÇÃO'!$B:$B,0)),"")</f>
        <v/>
      </c>
      <c r="F1003" s="8" t="str">
        <f>IFERROR(INDEX('PROJETO PERFURAÇÃO'!$AN:$AN,MATCH(MEDIÇÃO!D1003,'PROJETO PERFURAÇÃO'!$B:$B,0)),"")</f>
        <v/>
      </c>
      <c r="G1003" s="3"/>
      <c r="H1003" s="3"/>
      <c r="I1003" s="3" t="str">
        <f>IFERROR(ROUND(INDEX('PROJETO PERFURAÇÃO'!$AB:$AB,MATCH(MEDIÇÃO!K1003,'PROJETO PERFURAÇÃO'!$B:$B,0)),1)&amp;"''","")</f>
        <v/>
      </c>
      <c r="J1003" s="3" t="str">
        <f>IFERROR(IF(INDEX('PROJETO PERFURAÇÃO'!$P:$P,MATCH(MEDIÇÃO!K1003,'PROJETO PERFURAÇÃO'!$B:$B,0))="Production","P",IF(INDEX('PROJETO PERFURAÇÃO'!$P:$P,MATCH(MEDIÇÃO!K1003,'PROJETO PERFURAÇÃO'!$B:$B,0))="Buffer","B",IF(INDEX('PROJETO PERFURAÇÃO'!$P:$P,MATCH(MEDIÇÃO!K1003,'PROJETO PERFURAÇÃO'!$B:$B,0))="Pre-Splitting","S"))),"")</f>
        <v/>
      </c>
      <c r="K1003" s="14">
        <f t="shared" si="97"/>
        <v>2238</v>
      </c>
      <c r="L1003" s="4" t="str">
        <f>IFERROR(INDEX('LEV R&amp;D'!$D:$D,MATCH(MEDIÇÃO!K1003,'LEV R&amp;D'!$A:$A,0))-INDEX('PROJETO PERFURAÇÃO'!$AH:$AH,MATCH(MEDIÇÃO!K1003,'PROJETO PERFURAÇÃO'!$B:$B,0)),"")</f>
        <v/>
      </c>
      <c r="M1003" s="8" t="str">
        <f>IFERROR(INDEX('PROJETO PERFURAÇÃO'!$AN:$AN,MATCH(MEDIÇÃO!K1003,'PROJETO PERFURAÇÃO'!$B:$B,0)),"")</f>
        <v/>
      </c>
      <c r="N1003" s="3"/>
      <c r="O1003" s="3"/>
      <c r="P1003" s="3" t="str">
        <f>IFERROR(ROUND(INDEX('PROJETO PERFURAÇÃO'!$AB:$AB,MATCH(MEDIÇÃO!R1003,'PROJETO PERFURAÇÃO'!$B:$B,0)),1)&amp;"''","")</f>
        <v/>
      </c>
      <c r="Q1003" s="3" t="str">
        <f>IFERROR(IF(INDEX('PROJETO PERFURAÇÃO'!$P:$P,MATCH(MEDIÇÃO!R1003,'PROJETO PERFURAÇÃO'!$B:$B,0))="Production","P",IF(INDEX('PROJETO PERFURAÇÃO'!$P:$P,MATCH(MEDIÇÃO!R1003,'PROJETO PERFURAÇÃO'!$B:$B,0))="Buffer","B",IF(INDEX('PROJETO PERFURAÇÃO'!$P:$P,MATCH(MEDIÇÃO!R1003,'PROJETO PERFURAÇÃO'!$B:$B,0))="Pre-Splitting","S"))),"")</f>
        <v/>
      </c>
      <c r="R1003" s="14">
        <f t="shared" si="98"/>
        <v>2261</v>
      </c>
      <c r="S1003" s="4" t="str">
        <f>IFERROR(INDEX('LEV R&amp;D'!$D:$D,MATCH(MEDIÇÃO!R1003,'LEV R&amp;D'!$A:$A,0))-INDEX('PROJETO PERFURAÇÃO'!$AH:$AH,MATCH(MEDIÇÃO!R1003,'PROJETO PERFURAÇÃO'!$B:$B,0)),"")</f>
        <v/>
      </c>
      <c r="T1003" s="8" t="str">
        <f>IFERROR(INDEX('PROJETO PERFURAÇÃO'!$AN:$AN,MATCH(MEDIÇÃO!R1003,'PROJETO PERFURAÇÃO'!$B:$B,0)),"")</f>
        <v/>
      </c>
      <c r="U1003" s="3"/>
      <c r="V1003" s="3"/>
    </row>
    <row r="1004" spans="1:23" ht="45" customHeight="1" x14ac:dyDescent="0.25">
      <c r="B1004" s="3" t="str">
        <f>IFERROR(ROUND(INDEX('PROJETO PERFURAÇÃO'!$AB:$AB,MATCH(MEDIÇÃO!D1004,'PROJETO PERFURAÇÃO'!$B:$B,0)),1)&amp;"''","")</f>
        <v/>
      </c>
      <c r="C1004" s="3" t="str">
        <f>IFERROR(IF(INDEX('PROJETO PERFURAÇÃO'!$P:$P,MATCH(MEDIÇÃO!D1004,'PROJETO PERFURAÇÃO'!$B:$B,0))="Production","P",IF(INDEX('PROJETO PERFURAÇÃO'!$P:$P,MATCH(MEDIÇÃO!D1004,'PROJETO PERFURAÇÃO'!$B:$B,0))="Buffer","B",IF(INDEX('PROJETO PERFURAÇÃO'!$P:$P,MATCH(MEDIÇÃO!D1004,'PROJETO PERFURAÇÃO'!$B:$B,0))="Pre-Splitting","S"))),"")</f>
        <v/>
      </c>
      <c r="D1004" s="14">
        <f t="shared" si="96"/>
        <v>2216</v>
      </c>
      <c r="E1004" s="4" t="str">
        <f>IFERROR(INDEX('LEV R&amp;D'!$D:$D,MATCH(MEDIÇÃO!D1004,'LEV R&amp;D'!$A:$A,0))-INDEX('PROJETO PERFURAÇÃO'!$AH:$AH,MATCH(MEDIÇÃO!D1004,'PROJETO PERFURAÇÃO'!$B:$B,0)),"")</f>
        <v/>
      </c>
      <c r="F1004" s="8" t="str">
        <f>IFERROR(INDEX('PROJETO PERFURAÇÃO'!$AN:$AN,MATCH(MEDIÇÃO!D1004,'PROJETO PERFURAÇÃO'!$B:$B,0)),"")</f>
        <v/>
      </c>
      <c r="G1004" s="3"/>
      <c r="H1004" s="3"/>
      <c r="I1004" s="3" t="str">
        <f>IFERROR(ROUND(INDEX('PROJETO PERFURAÇÃO'!$AB:$AB,MATCH(MEDIÇÃO!K1004,'PROJETO PERFURAÇÃO'!$B:$B,0)),1)&amp;"''","")</f>
        <v/>
      </c>
      <c r="J1004" s="3" t="str">
        <f>IFERROR(IF(INDEX('PROJETO PERFURAÇÃO'!$P:$P,MATCH(MEDIÇÃO!K1004,'PROJETO PERFURAÇÃO'!$B:$B,0))="Production","P",IF(INDEX('PROJETO PERFURAÇÃO'!$P:$P,MATCH(MEDIÇÃO!K1004,'PROJETO PERFURAÇÃO'!$B:$B,0))="Buffer","B",IF(INDEX('PROJETO PERFURAÇÃO'!$P:$P,MATCH(MEDIÇÃO!K1004,'PROJETO PERFURAÇÃO'!$B:$B,0))="Pre-Splitting","S"))),"")</f>
        <v/>
      </c>
      <c r="K1004" s="14">
        <f t="shared" si="97"/>
        <v>2239</v>
      </c>
      <c r="L1004" s="4" t="str">
        <f>IFERROR(INDEX('LEV R&amp;D'!$D:$D,MATCH(MEDIÇÃO!K1004,'LEV R&amp;D'!$A:$A,0))-INDEX('PROJETO PERFURAÇÃO'!$AH:$AH,MATCH(MEDIÇÃO!K1004,'PROJETO PERFURAÇÃO'!$B:$B,0)),"")</f>
        <v/>
      </c>
      <c r="M1004" s="8" t="str">
        <f>IFERROR(INDEX('PROJETO PERFURAÇÃO'!$AN:$AN,MATCH(MEDIÇÃO!K1004,'PROJETO PERFURAÇÃO'!$B:$B,0)),"")</f>
        <v/>
      </c>
      <c r="N1004" s="3"/>
      <c r="O1004" s="3"/>
      <c r="P1004" s="3" t="str">
        <f>IFERROR(ROUND(INDEX('PROJETO PERFURAÇÃO'!$AB:$AB,MATCH(MEDIÇÃO!R1004,'PROJETO PERFURAÇÃO'!$B:$B,0)),1)&amp;"''","")</f>
        <v/>
      </c>
      <c r="Q1004" s="3" t="str">
        <f>IFERROR(IF(INDEX('PROJETO PERFURAÇÃO'!$P:$P,MATCH(MEDIÇÃO!R1004,'PROJETO PERFURAÇÃO'!$B:$B,0))="Production","P",IF(INDEX('PROJETO PERFURAÇÃO'!$P:$P,MATCH(MEDIÇÃO!R1004,'PROJETO PERFURAÇÃO'!$B:$B,0))="Buffer","B",IF(INDEX('PROJETO PERFURAÇÃO'!$P:$P,MATCH(MEDIÇÃO!R1004,'PROJETO PERFURAÇÃO'!$B:$B,0))="Pre-Splitting","S"))),"")</f>
        <v/>
      </c>
      <c r="R1004" s="14">
        <f t="shared" si="98"/>
        <v>2262</v>
      </c>
      <c r="S1004" s="4" t="str">
        <f>IFERROR(INDEX('LEV R&amp;D'!$D:$D,MATCH(MEDIÇÃO!R1004,'LEV R&amp;D'!$A:$A,0))-INDEX('PROJETO PERFURAÇÃO'!$AH:$AH,MATCH(MEDIÇÃO!R1004,'PROJETO PERFURAÇÃO'!$B:$B,0)),"")</f>
        <v/>
      </c>
      <c r="T1004" s="8" t="str">
        <f>IFERROR(INDEX('PROJETO PERFURAÇÃO'!$AN:$AN,MATCH(MEDIÇÃO!R1004,'PROJETO PERFURAÇÃO'!$B:$B,0)),"")</f>
        <v/>
      </c>
      <c r="U1004" s="3"/>
      <c r="V1004" s="3"/>
    </row>
    <row r="1005" spans="1:23" ht="45" customHeight="1" x14ac:dyDescent="0.25">
      <c r="B1005" s="3" t="str">
        <f>IFERROR(ROUND(INDEX('PROJETO PERFURAÇÃO'!$AB:$AB,MATCH(MEDIÇÃO!D1005,'PROJETO PERFURAÇÃO'!$B:$B,0)),1)&amp;"''","")</f>
        <v/>
      </c>
      <c r="C1005" s="3" t="str">
        <f>IFERROR(IF(INDEX('PROJETO PERFURAÇÃO'!$P:$P,MATCH(MEDIÇÃO!D1005,'PROJETO PERFURAÇÃO'!$B:$B,0))="Production","P",IF(INDEX('PROJETO PERFURAÇÃO'!$P:$P,MATCH(MEDIÇÃO!D1005,'PROJETO PERFURAÇÃO'!$B:$B,0))="Buffer","B",IF(INDEX('PROJETO PERFURAÇÃO'!$P:$P,MATCH(MEDIÇÃO!D1005,'PROJETO PERFURAÇÃO'!$B:$B,0))="Pre-Splitting","S"))),"")</f>
        <v/>
      </c>
      <c r="D1005" s="14">
        <f t="shared" si="96"/>
        <v>2217</v>
      </c>
      <c r="E1005" s="4" t="str">
        <f>IFERROR(INDEX('LEV R&amp;D'!$D:$D,MATCH(MEDIÇÃO!D1005,'LEV R&amp;D'!$A:$A,0))-INDEX('PROJETO PERFURAÇÃO'!$AH:$AH,MATCH(MEDIÇÃO!D1005,'PROJETO PERFURAÇÃO'!$B:$B,0)),"")</f>
        <v/>
      </c>
      <c r="F1005" s="8" t="str">
        <f>IFERROR(INDEX('PROJETO PERFURAÇÃO'!$AN:$AN,MATCH(MEDIÇÃO!D1005,'PROJETO PERFURAÇÃO'!$B:$B,0)),"")</f>
        <v/>
      </c>
      <c r="G1005" s="3"/>
      <c r="H1005" s="3"/>
      <c r="I1005" s="3" t="str">
        <f>IFERROR(ROUND(INDEX('PROJETO PERFURAÇÃO'!$AB:$AB,MATCH(MEDIÇÃO!K1005,'PROJETO PERFURAÇÃO'!$B:$B,0)),1)&amp;"''","")</f>
        <v/>
      </c>
      <c r="J1005" s="3" t="str">
        <f>IFERROR(IF(INDEX('PROJETO PERFURAÇÃO'!$P:$P,MATCH(MEDIÇÃO!K1005,'PROJETO PERFURAÇÃO'!$B:$B,0))="Production","P",IF(INDEX('PROJETO PERFURAÇÃO'!$P:$P,MATCH(MEDIÇÃO!K1005,'PROJETO PERFURAÇÃO'!$B:$B,0))="Buffer","B",IF(INDEX('PROJETO PERFURAÇÃO'!$P:$P,MATCH(MEDIÇÃO!K1005,'PROJETO PERFURAÇÃO'!$B:$B,0))="Pre-Splitting","S"))),"")</f>
        <v/>
      </c>
      <c r="K1005" s="14">
        <f t="shared" si="97"/>
        <v>2240</v>
      </c>
      <c r="L1005" s="4" t="str">
        <f>IFERROR(INDEX('LEV R&amp;D'!$D:$D,MATCH(MEDIÇÃO!K1005,'LEV R&amp;D'!$A:$A,0))-INDEX('PROJETO PERFURAÇÃO'!$AH:$AH,MATCH(MEDIÇÃO!K1005,'PROJETO PERFURAÇÃO'!$B:$B,0)),"")</f>
        <v/>
      </c>
      <c r="M1005" s="8" t="str">
        <f>IFERROR(INDEX('PROJETO PERFURAÇÃO'!$AN:$AN,MATCH(MEDIÇÃO!K1005,'PROJETO PERFURAÇÃO'!$B:$B,0)),"")</f>
        <v/>
      </c>
      <c r="N1005" s="3"/>
      <c r="O1005" s="3"/>
      <c r="P1005" s="3" t="str">
        <f>IFERROR(ROUND(INDEX('PROJETO PERFURAÇÃO'!$AB:$AB,MATCH(MEDIÇÃO!R1005,'PROJETO PERFURAÇÃO'!$B:$B,0)),1)&amp;"''","")</f>
        <v/>
      </c>
      <c r="Q1005" s="3" t="str">
        <f>IFERROR(IF(INDEX('PROJETO PERFURAÇÃO'!$P:$P,MATCH(MEDIÇÃO!R1005,'PROJETO PERFURAÇÃO'!$B:$B,0))="Production","P",IF(INDEX('PROJETO PERFURAÇÃO'!$P:$P,MATCH(MEDIÇÃO!R1005,'PROJETO PERFURAÇÃO'!$B:$B,0))="Buffer","B",IF(INDEX('PROJETO PERFURAÇÃO'!$P:$P,MATCH(MEDIÇÃO!R1005,'PROJETO PERFURAÇÃO'!$B:$B,0))="Pre-Splitting","S"))),"")</f>
        <v/>
      </c>
      <c r="R1005" s="14">
        <f t="shared" si="98"/>
        <v>2263</v>
      </c>
      <c r="S1005" s="4" t="str">
        <f>IFERROR(INDEX('LEV R&amp;D'!$D:$D,MATCH(MEDIÇÃO!R1005,'LEV R&amp;D'!$A:$A,0))-INDEX('PROJETO PERFURAÇÃO'!$AH:$AH,MATCH(MEDIÇÃO!R1005,'PROJETO PERFURAÇÃO'!$B:$B,0)),"")</f>
        <v/>
      </c>
      <c r="T1005" s="8" t="str">
        <f>IFERROR(INDEX('PROJETO PERFURAÇÃO'!$AN:$AN,MATCH(MEDIÇÃO!R1005,'PROJETO PERFURAÇÃO'!$B:$B,0)),"")</f>
        <v/>
      </c>
      <c r="U1005" s="3"/>
      <c r="V1005" s="3"/>
    </row>
    <row r="1006" spans="1:23" ht="45" customHeight="1" x14ac:dyDescent="0.25">
      <c r="B1006" s="3" t="str">
        <f>IFERROR(ROUND(INDEX('PROJETO PERFURAÇÃO'!$AB:$AB,MATCH(MEDIÇÃO!D1006,'PROJETO PERFURAÇÃO'!$B:$B,0)),1)&amp;"''","")</f>
        <v/>
      </c>
      <c r="C1006" s="3" t="str">
        <f>IFERROR(IF(INDEX('PROJETO PERFURAÇÃO'!$P:$P,MATCH(MEDIÇÃO!D1006,'PROJETO PERFURAÇÃO'!$B:$B,0))="Production","P",IF(INDEX('PROJETO PERFURAÇÃO'!$P:$P,MATCH(MEDIÇÃO!D1006,'PROJETO PERFURAÇÃO'!$B:$B,0))="Buffer","B",IF(INDEX('PROJETO PERFURAÇÃO'!$P:$P,MATCH(MEDIÇÃO!D1006,'PROJETO PERFURAÇÃO'!$B:$B,0))="Pre-Splitting","S"))),"")</f>
        <v/>
      </c>
      <c r="D1006" s="14">
        <f t="shared" si="96"/>
        <v>2218</v>
      </c>
      <c r="E1006" s="4" t="str">
        <f>IFERROR(INDEX('LEV R&amp;D'!$D:$D,MATCH(MEDIÇÃO!D1006,'LEV R&amp;D'!$A:$A,0))-INDEX('PROJETO PERFURAÇÃO'!$AH:$AH,MATCH(MEDIÇÃO!D1006,'PROJETO PERFURAÇÃO'!$B:$B,0)),"")</f>
        <v/>
      </c>
      <c r="F1006" s="8" t="str">
        <f>IFERROR(INDEX('PROJETO PERFURAÇÃO'!$AN:$AN,MATCH(MEDIÇÃO!D1006,'PROJETO PERFURAÇÃO'!$B:$B,0)),"")</f>
        <v/>
      </c>
      <c r="G1006" s="3"/>
      <c r="H1006" s="3"/>
      <c r="I1006" s="3" t="str">
        <f>IFERROR(ROUND(INDEX('PROJETO PERFURAÇÃO'!$AB:$AB,MATCH(MEDIÇÃO!K1006,'PROJETO PERFURAÇÃO'!$B:$B,0)),1)&amp;"''","")</f>
        <v/>
      </c>
      <c r="J1006" s="3" t="str">
        <f>IFERROR(IF(INDEX('PROJETO PERFURAÇÃO'!$P:$P,MATCH(MEDIÇÃO!K1006,'PROJETO PERFURAÇÃO'!$B:$B,0))="Production","P",IF(INDEX('PROJETO PERFURAÇÃO'!$P:$P,MATCH(MEDIÇÃO!K1006,'PROJETO PERFURAÇÃO'!$B:$B,0))="Buffer","B",IF(INDEX('PROJETO PERFURAÇÃO'!$P:$P,MATCH(MEDIÇÃO!K1006,'PROJETO PERFURAÇÃO'!$B:$B,0))="Pre-Splitting","S"))),"")</f>
        <v/>
      </c>
      <c r="K1006" s="14">
        <f t="shared" si="97"/>
        <v>2241</v>
      </c>
      <c r="L1006" s="4" t="str">
        <f>IFERROR(INDEX('LEV R&amp;D'!$D:$D,MATCH(MEDIÇÃO!K1006,'LEV R&amp;D'!$A:$A,0))-INDEX('PROJETO PERFURAÇÃO'!$AH:$AH,MATCH(MEDIÇÃO!K1006,'PROJETO PERFURAÇÃO'!$B:$B,0)),"")</f>
        <v/>
      </c>
      <c r="M1006" s="8" t="str">
        <f>IFERROR(INDEX('PROJETO PERFURAÇÃO'!$AN:$AN,MATCH(MEDIÇÃO!K1006,'PROJETO PERFURAÇÃO'!$B:$B,0)),"")</f>
        <v/>
      </c>
      <c r="N1006" s="3"/>
      <c r="O1006" s="3"/>
      <c r="P1006" s="3" t="str">
        <f>IFERROR(ROUND(INDEX('PROJETO PERFURAÇÃO'!$AB:$AB,MATCH(MEDIÇÃO!R1006,'PROJETO PERFURAÇÃO'!$B:$B,0)),1)&amp;"''","")</f>
        <v/>
      </c>
      <c r="Q1006" s="3" t="str">
        <f>IFERROR(IF(INDEX('PROJETO PERFURAÇÃO'!$P:$P,MATCH(MEDIÇÃO!R1006,'PROJETO PERFURAÇÃO'!$B:$B,0))="Production","P",IF(INDEX('PROJETO PERFURAÇÃO'!$P:$P,MATCH(MEDIÇÃO!R1006,'PROJETO PERFURAÇÃO'!$B:$B,0))="Buffer","B",IF(INDEX('PROJETO PERFURAÇÃO'!$P:$P,MATCH(MEDIÇÃO!R1006,'PROJETO PERFURAÇÃO'!$B:$B,0))="Pre-Splitting","S"))),"")</f>
        <v/>
      </c>
      <c r="R1006" s="14">
        <f t="shared" si="98"/>
        <v>2264</v>
      </c>
      <c r="S1006" s="4" t="str">
        <f>IFERROR(INDEX('LEV R&amp;D'!$D:$D,MATCH(MEDIÇÃO!R1006,'LEV R&amp;D'!$A:$A,0))-INDEX('PROJETO PERFURAÇÃO'!$AH:$AH,MATCH(MEDIÇÃO!R1006,'PROJETO PERFURAÇÃO'!$B:$B,0)),"")</f>
        <v/>
      </c>
      <c r="T1006" s="8" t="str">
        <f>IFERROR(INDEX('PROJETO PERFURAÇÃO'!$AN:$AN,MATCH(MEDIÇÃO!R1006,'PROJETO PERFURAÇÃO'!$B:$B,0)),"")</f>
        <v/>
      </c>
      <c r="U1006" s="3"/>
      <c r="V1006" s="3"/>
    </row>
    <row r="1007" spans="1:23" ht="45" customHeight="1" x14ac:dyDescent="0.25">
      <c r="B1007" s="3" t="str">
        <f>IFERROR(ROUND(INDEX('PROJETO PERFURAÇÃO'!$AB:$AB,MATCH(MEDIÇÃO!D1007,'PROJETO PERFURAÇÃO'!$B:$B,0)),1)&amp;"''","")</f>
        <v/>
      </c>
      <c r="C1007" s="3" t="str">
        <f>IFERROR(IF(INDEX('PROJETO PERFURAÇÃO'!$P:$P,MATCH(MEDIÇÃO!D1007,'PROJETO PERFURAÇÃO'!$B:$B,0))="Production","P",IF(INDEX('PROJETO PERFURAÇÃO'!$P:$P,MATCH(MEDIÇÃO!D1007,'PROJETO PERFURAÇÃO'!$B:$B,0))="Buffer","B",IF(INDEX('PROJETO PERFURAÇÃO'!$P:$P,MATCH(MEDIÇÃO!D1007,'PROJETO PERFURAÇÃO'!$B:$B,0))="Pre-Splitting","S"))),"")</f>
        <v/>
      </c>
      <c r="D1007" s="14">
        <f t="shared" si="96"/>
        <v>2219</v>
      </c>
      <c r="E1007" s="4" t="str">
        <f>IFERROR(INDEX('LEV R&amp;D'!$D:$D,MATCH(MEDIÇÃO!D1007,'LEV R&amp;D'!$A:$A,0))-INDEX('PROJETO PERFURAÇÃO'!$AH:$AH,MATCH(MEDIÇÃO!D1007,'PROJETO PERFURAÇÃO'!$B:$B,0)),"")</f>
        <v/>
      </c>
      <c r="F1007" s="8" t="str">
        <f>IFERROR(INDEX('PROJETO PERFURAÇÃO'!$AN:$AN,MATCH(MEDIÇÃO!D1007,'PROJETO PERFURAÇÃO'!$B:$B,0)),"")</f>
        <v/>
      </c>
      <c r="G1007" s="3"/>
      <c r="H1007" s="3"/>
      <c r="I1007" s="3" t="str">
        <f>IFERROR(ROUND(INDEX('PROJETO PERFURAÇÃO'!$AB:$AB,MATCH(MEDIÇÃO!K1007,'PROJETO PERFURAÇÃO'!$B:$B,0)),1)&amp;"''","")</f>
        <v/>
      </c>
      <c r="J1007" s="3" t="str">
        <f>IFERROR(IF(INDEX('PROJETO PERFURAÇÃO'!$P:$P,MATCH(MEDIÇÃO!K1007,'PROJETO PERFURAÇÃO'!$B:$B,0))="Production","P",IF(INDEX('PROJETO PERFURAÇÃO'!$P:$P,MATCH(MEDIÇÃO!K1007,'PROJETO PERFURAÇÃO'!$B:$B,0))="Buffer","B",IF(INDEX('PROJETO PERFURAÇÃO'!$P:$P,MATCH(MEDIÇÃO!K1007,'PROJETO PERFURAÇÃO'!$B:$B,0))="Pre-Splitting","S"))),"")</f>
        <v/>
      </c>
      <c r="K1007" s="14">
        <f t="shared" si="97"/>
        <v>2242</v>
      </c>
      <c r="L1007" s="4" t="str">
        <f>IFERROR(INDEX('LEV R&amp;D'!$D:$D,MATCH(MEDIÇÃO!K1007,'LEV R&amp;D'!$A:$A,0))-INDEX('PROJETO PERFURAÇÃO'!$AH:$AH,MATCH(MEDIÇÃO!K1007,'PROJETO PERFURAÇÃO'!$B:$B,0)),"")</f>
        <v/>
      </c>
      <c r="M1007" s="8" t="str">
        <f>IFERROR(INDEX('PROJETO PERFURAÇÃO'!$AN:$AN,MATCH(MEDIÇÃO!K1007,'PROJETO PERFURAÇÃO'!$B:$B,0)),"")</f>
        <v/>
      </c>
      <c r="N1007" s="3"/>
      <c r="O1007" s="3"/>
      <c r="P1007" s="3" t="str">
        <f>IFERROR(ROUND(INDEX('PROJETO PERFURAÇÃO'!$AB:$AB,MATCH(MEDIÇÃO!R1007,'PROJETO PERFURAÇÃO'!$B:$B,0)),1)&amp;"''","")</f>
        <v/>
      </c>
      <c r="Q1007" s="3" t="str">
        <f>IFERROR(IF(INDEX('PROJETO PERFURAÇÃO'!$P:$P,MATCH(MEDIÇÃO!R1007,'PROJETO PERFURAÇÃO'!$B:$B,0))="Production","P",IF(INDEX('PROJETO PERFURAÇÃO'!$P:$P,MATCH(MEDIÇÃO!R1007,'PROJETO PERFURAÇÃO'!$B:$B,0))="Buffer","B",IF(INDEX('PROJETO PERFURAÇÃO'!$P:$P,MATCH(MEDIÇÃO!R1007,'PROJETO PERFURAÇÃO'!$B:$B,0))="Pre-Splitting","S"))),"")</f>
        <v/>
      </c>
      <c r="R1007" s="14">
        <f t="shared" si="98"/>
        <v>2265</v>
      </c>
      <c r="S1007" s="4" t="str">
        <f>IFERROR(INDEX('LEV R&amp;D'!$D:$D,MATCH(MEDIÇÃO!R1007,'LEV R&amp;D'!$A:$A,0))-INDEX('PROJETO PERFURAÇÃO'!$AH:$AH,MATCH(MEDIÇÃO!R1007,'PROJETO PERFURAÇÃO'!$B:$B,0)),"")</f>
        <v/>
      </c>
      <c r="T1007" s="8" t="str">
        <f>IFERROR(INDEX('PROJETO PERFURAÇÃO'!$AN:$AN,MATCH(MEDIÇÃO!R1007,'PROJETO PERFURAÇÃO'!$B:$B,0)),"")</f>
        <v/>
      </c>
      <c r="U1007" s="3"/>
      <c r="V1007" s="3"/>
    </row>
    <row r="1008" spans="1:23" ht="45" customHeight="1" x14ac:dyDescent="0.25">
      <c r="B1008" s="3" t="str">
        <f>IFERROR(ROUND(INDEX('PROJETO PERFURAÇÃO'!$AB:$AB,MATCH(MEDIÇÃO!D1008,'PROJETO PERFURAÇÃO'!$B:$B,0)),1)&amp;"''","")</f>
        <v/>
      </c>
      <c r="C1008" s="3" t="str">
        <f>IFERROR(IF(INDEX('PROJETO PERFURAÇÃO'!$P:$P,MATCH(MEDIÇÃO!D1008,'PROJETO PERFURAÇÃO'!$B:$B,0))="Production","P",IF(INDEX('PROJETO PERFURAÇÃO'!$P:$P,MATCH(MEDIÇÃO!D1008,'PROJETO PERFURAÇÃO'!$B:$B,0))="Buffer","B",IF(INDEX('PROJETO PERFURAÇÃO'!$P:$P,MATCH(MEDIÇÃO!D1008,'PROJETO PERFURAÇÃO'!$B:$B,0))="Pre-Splitting","S"))),"")</f>
        <v/>
      </c>
      <c r="D1008" s="14">
        <f t="shared" si="96"/>
        <v>2220</v>
      </c>
      <c r="E1008" s="4" t="str">
        <f>IFERROR(INDEX('LEV R&amp;D'!$D:$D,MATCH(MEDIÇÃO!D1008,'LEV R&amp;D'!$A:$A,0))-INDEX('PROJETO PERFURAÇÃO'!$AH:$AH,MATCH(MEDIÇÃO!D1008,'PROJETO PERFURAÇÃO'!$B:$B,0)),"")</f>
        <v/>
      </c>
      <c r="F1008" s="8" t="str">
        <f>IFERROR(INDEX('PROJETO PERFURAÇÃO'!$AN:$AN,MATCH(MEDIÇÃO!D1008,'PROJETO PERFURAÇÃO'!$B:$B,0)),"")</f>
        <v/>
      </c>
      <c r="G1008" s="3"/>
      <c r="H1008" s="3"/>
      <c r="I1008" s="3" t="str">
        <f>IFERROR(ROUND(INDEX('PROJETO PERFURAÇÃO'!$AB:$AB,MATCH(MEDIÇÃO!K1008,'PROJETO PERFURAÇÃO'!$B:$B,0)),1)&amp;"''","")</f>
        <v/>
      </c>
      <c r="J1008" s="3" t="str">
        <f>IFERROR(IF(INDEX('PROJETO PERFURAÇÃO'!$P:$P,MATCH(MEDIÇÃO!K1008,'PROJETO PERFURAÇÃO'!$B:$B,0))="Production","P",IF(INDEX('PROJETO PERFURAÇÃO'!$P:$P,MATCH(MEDIÇÃO!K1008,'PROJETO PERFURAÇÃO'!$B:$B,0))="Buffer","B",IF(INDEX('PROJETO PERFURAÇÃO'!$P:$P,MATCH(MEDIÇÃO!K1008,'PROJETO PERFURAÇÃO'!$B:$B,0))="Pre-Splitting","S"))),"")</f>
        <v/>
      </c>
      <c r="K1008" s="14">
        <f t="shared" si="97"/>
        <v>2243</v>
      </c>
      <c r="L1008" s="4" t="str">
        <f>IFERROR(INDEX('LEV R&amp;D'!$D:$D,MATCH(MEDIÇÃO!K1008,'LEV R&amp;D'!$A:$A,0))-INDEX('PROJETO PERFURAÇÃO'!$AH:$AH,MATCH(MEDIÇÃO!K1008,'PROJETO PERFURAÇÃO'!$B:$B,0)),"")</f>
        <v/>
      </c>
      <c r="M1008" s="8" t="str">
        <f>IFERROR(INDEX('PROJETO PERFURAÇÃO'!$AN:$AN,MATCH(MEDIÇÃO!K1008,'PROJETO PERFURAÇÃO'!$B:$B,0)),"")</f>
        <v/>
      </c>
      <c r="N1008" s="3"/>
      <c r="O1008" s="3"/>
      <c r="P1008" s="3" t="str">
        <f>IFERROR(ROUND(INDEX('PROJETO PERFURAÇÃO'!$AB:$AB,MATCH(MEDIÇÃO!R1008,'PROJETO PERFURAÇÃO'!$B:$B,0)),1)&amp;"''","")</f>
        <v/>
      </c>
      <c r="Q1008" s="3" t="str">
        <f>IFERROR(IF(INDEX('PROJETO PERFURAÇÃO'!$P:$P,MATCH(MEDIÇÃO!R1008,'PROJETO PERFURAÇÃO'!$B:$B,0))="Production","P",IF(INDEX('PROJETO PERFURAÇÃO'!$P:$P,MATCH(MEDIÇÃO!R1008,'PROJETO PERFURAÇÃO'!$B:$B,0))="Buffer","B",IF(INDEX('PROJETO PERFURAÇÃO'!$P:$P,MATCH(MEDIÇÃO!R1008,'PROJETO PERFURAÇÃO'!$B:$B,0))="Pre-Splitting","S"))),"")</f>
        <v/>
      </c>
      <c r="R1008" s="14">
        <f t="shared" si="98"/>
        <v>2266</v>
      </c>
      <c r="S1008" s="4" t="str">
        <f>IFERROR(INDEX('LEV R&amp;D'!$D:$D,MATCH(MEDIÇÃO!R1008,'LEV R&amp;D'!$A:$A,0))-INDEX('PROJETO PERFURAÇÃO'!$AH:$AH,MATCH(MEDIÇÃO!R1008,'PROJETO PERFURAÇÃO'!$B:$B,0)),"")</f>
        <v/>
      </c>
      <c r="T1008" s="8" t="str">
        <f>IFERROR(INDEX('PROJETO PERFURAÇÃO'!$AN:$AN,MATCH(MEDIÇÃO!R1008,'PROJETO PERFURAÇÃO'!$B:$B,0)),"")</f>
        <v/>
      </c>
      <c r="U1008" s="3"/>
      <c r="V1008" s="3"/>
    </row>
    <row r="1009" spans="2:22" ht="45" customHeight="1" x14ac:dyDescent="0.25">
      <c r="B1009" s="3" t="str">
        <f>IFERROR(ROUND(INDEX('PROJETO PERFURAÇÃO'!$AB:$AB,MATCH(MEDIÇÃO!D1009,'PROJETO PERFURAÇÃO'!$B:$B,0)),1)&amp;"''","")</f>
        <v/>
      </c>
      <c r="C1009" s="3" t="str">
        <f>IFERROR(IF(INDEX('PROJETO PERFURAÇÃO'!$P:$P,MATCH(MEDIÇÃO!D1009,'PROJETO PERFURAÇÃO'!$B:$B,0))="Production","P",IF(INDEX('PROJETO PERFURAÇÃO'!$P:$P,MATCH(MEDIÇÃO!D1009,'PROJETO PERFURAÇÃO'!$B:$B,0))="Buffer","B",IF(INDEX('PROJETO PERFURAÇÃO'!$P:$P,MATCH(MEDIÇÃO!D1009,'PROJETO PERFURAÇÃO'!$B:$B,0))="Pre-Splitting","S"))),"")</f>
        <v/>
      </c>
      <c r="D1009" s="14">
        <f t="shared" si="96"/>
        <v>2221</v>
      </c>
      <c r="E1009" s="4" t="str">
        <f>IFERROR(INDEX('LEV R&amp;D'!$D:$D,MATCH(MEDIÇÃO!D1009,'LEV R&amp;D'!$A:$A,0))-INDEX('PROJETO PERFURAÇÃO'!$AH:$AH,MATCH(MEDIÇÃO!D1009,'PROJETO PERFURAÇÃO'!$B:$B,0)),"")</f>
        <v/>
      </c>
      <c r="F1009" s="8" t="str">
        <f>IFERROR(INDEX('PROJETO PERFURAÇÃO'!$AN:$AN,MATCH(MEDIÇÃO!D1009,'PROJETO PERFURAÇÃO'!$B:$B,0)),"")</f>
        <v/>
      </c>
      <c r="G1009" s="3"/>
      <c r="H1009" s="3"/>
      <c r="I1009" s="3" t="str">
        <f>IFERROR(ROUND(INDEX('PROJETO PERFURAÇÃO'!$AB:$AB,MATCH(MEDIÇÃO!K1009,'PROJETO PERFURAÇÃO'!$B:$B,0)),1)&amp;"''","")</f>
        <v/>
      </c>
      <c r="J1009" s="3" t="str">
        <f>IFERROR(IF(INDEX('PROJETO PERFURAÇÃO'!$P:$P,MATCH(MEDIÇÃO!K1009,'PROJETO PERFURAÇÃO'!$B:$B,0))="Production","P",IF(INDEX('PROJETO PERFURAÇÃO'!$P:$P,MATCH(MEDIÇÃO!K1009,'PROJETO PERFURAÇÃO'!$B:$B,0))="Buffer","B",IF(INDEX('PROJETO PERFURAÇÃO'!$P:$P,MATCH(MEDIÇÃO!K1009,'PROJETO PERFURAÇÃO'!$B:$B,0))="Pre-Splitting","S"))),"")</f>
        <v/>
      </c>
      <c r="K1009" s="14">
        <f t="shared" si="97"/>
        <v>2244</v>
      </c>
      <c r="L1009" s="4" t="str">
        <f>IFERROR(INDEX('LEV R&amp;D'!$D:$D,MATCH(MEDIÇÃO!K1009,'LEV R&amp;D'!$A:$A,0))-INDEX('PROJETO PERFURAÇÃO'!$AH:$AH,MATCH(MEDIÇÃO!K1009,'PROJETO PERFURAÇÃO'!$B:$B,0)),"")</f>
        <v/>
      </c>
      <c r="M1009" s="8" t="str">
        <f>IFERROR(INDEX('PROJETO PERFURAÇÃO'!$AN:$AN,MATCH(MEDIÇÃO!K1009,'PROJETO PERFURAÇÃO'!$B:$B,0)),"")</f>
        <v/>
      </c>
      <c r="N1009" s="3"/>
      <c r="O1009" s="3"/>
      <c r="P1009" s="3" t="str">
        <f>IFERROR(ROUND(INDEX('PROJETO PERFURAÇÃO'!$AB:$AB,MATCH(MEDIÇÃO!R1009,'PROJETO PERFURAÇÃO'!$B:$B,0)),1)&amp;"''","")</f>
        <v/>
      </c>
      <c r="Q1009" s="3" t="str">
        <f>IFERROR(IF(INDEX('PROJETO PERFURAÇÃO'!$P:$P,MATCH(MEDIÇÃO!R1009,'PROJETO PERFURAÇÃO'!$B:$B,0))="Production","P",IF(INDEX('PROJETO PERFURAÇÃO'!$P:$P,MATCH(MEDIÇÃO!R1009,'PROJETO PERFURAÇÃO'!$B:$B,0))="Buffer","B",IF(INDEX('PROJETO PERFURAÇÃO'!$P:$P,MATCH(MEDIÇÃO!R1009,'PROJETO PERFURAÇÃO'!$B:$B,0))="Pre-Splitting","S"))),"")</f>
        <v/>
      </c>
      <c r="R1009" s="14">
        <f t="shared" si="98"/>
        <v>2267</v>
      </c>
      <c r="S1009" s="4" t="str">
        <f>IFERROR(INDEX('LEV R&amp;D'!$D:$D,MATCH(MEDIÇÃO!R1009,'LEV R&amp;D'!$A:$A,0))-INDEX('PROJETO PERFURAÇÃO'!$AH:$AH,MATCH(MEDIÇÃO!R1009,'PROJETO PERFURAÇÃO'!$B:$B,0)),"")</f>
        <v/>
      </c>
      <c r="T1009" s="8" t="str">
        <f>IFERROR(INDEX('PROJETO PERFURAÇÃO'!$AN:$AN,MATCH(MEDIÇÃO!R1009,'PROJETO PERFURAÇÃO'!$B:$B,0)),"")</f>
        <v/>
      </c>
      <c r="U1009" s="3"/>
      <c r="V1009" s="3"/>
    </row>
    <row r="1010" spans="2:22" ht="45" customHeight="1" x14ac:dyDescent="0.25">
      <c r="B1010" s="3" t="str">
        <f>IFERROR(ROUND(INDEX('PROJETO PERFURAÇÃO'!$AB:$AB,MATCH(MEDIÇÃO!D1010,'PROJETO PERFURAÇÃO'!$B:$B,0)),1)&amp;"''","")</f>
        <v/>
      </c>
      <c r="C1010" s="3" t="str">
        <f>IFERROR(IF(INDEX('PROJETO PERFURAÇÃO'!$P:$P,MATCH(MEDIÇÃO!D1010,'PROJETO PERFURAÇÃO'!$B:$B,0))="Production","P",IF(INDEX('PROJETO PERFURAÇÃO'!$P:$P,MATCH(MEDIÇÃO!D1010,'PROJETO PERFURAÇÃO'!$B:$B,0))="Buffer","B",IF(INDEX('PROJETO PERFURAÇÃO'!$P:$P,MATCH(MEDIÇÃO!D1010,'PROJETO PERFURAÇÃO'!$B:$B,0))="Pre-Splitting","S"))),"")</f>
        <v/>
      </c>
      <c r="D1010" s="14">
        <f t="shared" si="96"/>
        <v>2222</v>
      </c>
      <c r="E1010" s="4" t="str">
        <f>IFERROR(INDEX('LEV R&amp;D'!$D:$D,MATCH(MEDIÇÃO!D1010,'LEV R&amp;D'!$A:$A,0))-INDEX('PROJETO PERFURAÇÃO'!$AH:$AH,MATCH(MEDIÇÃO!D1010,'PROJETO PERFURAÇÃO'!$B:$B,0)),"")</f>
        <v/>
      </c>
      <c r="F1010" s="8" t="str">
        <f>IFERROR(INDEX('PROJETO PERFURAÇÃO'!$AN:$AN,MATCH(MEDIÇÃO!D1010,'PROJETO PERFURAÇÃO'!$B:$B,0)),"")</f>
        <v/>
      </c>
      <c r="G1010" s="3"/>
      <c r="H1010" s="3"/>
      <c r="I1010" s="3" t="str">
        <f>IFERROR(ROUND(INDEX('PROJETO PERFURAÇÃO'!$AB:$AB,MATCH(MEDIÇÃO!K1010,'PROJETO PERFURAÇÃO'!$B:$B,0)),1)&amp;"''","")</f>
        <v/>
      </c>
      <c r="J1010" s="3" t="str">
        <f>IFERROR(IF(INDEX('PROJETO PERFURAÇÃO'!$P:$P,MATCH(MEDIÇÃO!K1010,'PROJETO PERFURAÇÃO'!$B:$B,0))="Production","P",IF(INDEX('PROJETO PERFURAÇÃO'!$P:$P,MATCH(MEDIÇÃO!K1010,'PROJETO PERFURAÇÃO'!$B:$B,0))="Buffer","B",IF(INDEX('PROJETO PERFURAÇÃO'!$P:$P,MATCH(MEDIÇÃO!K1010,'PROJETO PERFURAÇÃO'!$B:$B,0))="Pre-Splitting","S"))),"")</f>
        <v/>
      </c>
      <c r="K1010" s="14">
        <f t="shared" si="97"/>
        <v>2245</v>
      </c>
      <c r="L1010" s="4" t="str">
        <f>IFERROR(INDEX('LEV R&amp;D'!$D:$D,MATCH(MEDIÇÃO!K1010,'LEV R&amp;D'!$A:$A,0))-INDEX('PROJETO PERFURAÇÃO'!$AH:$AH,MATCH(MEDIÇÃO!K1010,'PROJETO PERFURAÇÃO'!$B:$B,0)),"")</f>
        <v/>
      </c>
      <c r="M1010" s="8" t="str">
        <f>IFERROR(INDEX('PROJETO PERFURAÇÃO'!$AN:$AN,MATCH(MEDIÇÃO!K1010,'PROJETO PERFURAÇÃO'!$B:$B,0)),"")</f>
        <v/>
      </c>
      <c r="N1010" s="3"/>
      <c r="O1010" s="3"/>
      <c r="P1010" s="3" t="str">
        <f>IFERROR(ROUND(INDEX('PROJETO PERFURAÇÃO'!$AB:$AB,MATCH(MEDIÇÃO!R1010,'PROJETO PERFURAÇÃO'!$B:$B,0)),1)&amp;"''","")</f>
        <v/>
      </c>
      <c r="Q1010" s="3" t="str">
        <f>IFERROR(IF(INDEX('PROJETO PERFURAÇÃO'!$P:$P,MATCH(MEDIÇÃO!R1010,'PROJETO PERFURAÇÃO'!$B:$B,0))="Production","P",IF(INDEX('PROJETO PERFURAÇÃO'!$P:$P,MATCH(MEDIÇÃO!R1010,'PROJETO PERFURAÇÃO'!$B:$B,0))="Buffer","B",IF(INDEX('PROJETO PERFURAÇÃO'!$P:$P,MATCH(MEDIÇÃO!R1010,'PROJETO PERFURAÇÃO'!$B:$B,0))="Pre-Splitting","S"))),"")</f>
        <v/>
      </c>
      <c r="R1010" s="14">
        <f t="shared" si="98"/>
        <v>2268</v>
      </c>
      <c r="S1010" s="4" t="str">
        <f>IFERROR(INDEX('LEV R&amp;D'!$D:$D,MATCH(MEDIÇÃO!R1010,'LEV R&amp;D'!$A:$A,0))-INDEX('PROJETO PERFURAÇÃO'!$AH:$AH,MATCH(MEDIÇÃO!R1010,'PROJETO PERFURAÇÃO'!$B:$B,0)),"")</f>
        <v/>
      </c>
      <c r="T1010" s="8" t="str">
        <f>IFERROR(INDEX('PROJETO PERFURAÇÃO'!$AN:$AN,MATCH(MEDIÇÃO!R1010,'PROJETO PERFURAÇÃO'!$B:$B,0)),"")</f>
        <v/>
      </c>
      <c r="U1010" s="3"/>
      <c r="V1010" s="3"/>
    </row>
    <row r="1011" spans="2:22" ht="45" customHeight="1" x14ac:dyDescent="0.25">
      <c r="B1011" s="3" t="str">
        <f>IFERROR(ROUND(INDEX('PROJETO PERFURAÇÃO'!$AB:$AB,MATCH(MEDIÇÃO!D1011,'PROJETO PERFURAÇÃO'!$B:$B,0)),1)&amp;"''","")</f>
        <v/>
      </c>
      <c r="C1011" s="3" t="str">
        <f>IFERROR(IF(INDEX('PROJETO PERFURAÇÃO'!$P:$P,MATCH(MEDIÇÃO!D1011,'PROJETO PERFURAÇÃO'!$B:$B,0))="Production","P",IF(INDEX('PROJETO PERFURAÇÃO'!$P:$P,MATCH(MEDIÇÃO!D1011,'PROJETO PERFURAÇÃO'!$B:$B,0))="Buffer","B",IF(INDEX('PROJETO PERFURAÇÃO'!$P:$P,MATCH(MEDIÇÃO!D1011,'PROJETO PERFURAÇÃO'!$B:$B,0))="Pre-Splitting","S"))),"")</f>
        <v/>
      </c>
      <c r="D1011" s="14">
        <f t="shared" si="96"/>
        <v>2223</v>
      </c>
      <c r="E1011" s="4" t="str">
        <f>IFERROR(INDEX('LEV R&amp;D'!$D:$D,MATCH(MEDIÇÃO!D1011,'LEV R&amp;D'!$A:$A,0))-INDEX('PROJETO PERFURAÇÃO'!$AH:$AH,MATCH(MEDIÇÃO!D1011,'PROJETO PERFURAÇÃO'!$B:$B,0)),"")</f>
        <v/>
      </c>
      <c r="F1011" s="8" t="str">
        <f>IFERROR(INDEX('PROJETO PERFURAÇÃO'!$AN:$AN,MATCH(MEDIÇÃO!D1011,'PROJETO PERFURAÇÃO'!$B:$B,0)),"")</f>
        <v/>
      </c>
      <c r="G1011" s="3"/>
      <c r="H1011" s="3"/>
      <c r="I1011" s="3" t="str">
        <f>IFERROR(ROUND(INDEX('PROJETO PERFURAÇÃO'!$AB:$AB,MATCH(MEDIÇÃO!K1011,'PROJETO PERFURAÇÃO'!$B:$B,0)),1)&amp;"''","")</f>
        <v/>
      </c>
      <c r="J1011" s="3" t="str">
        <f>IFERROR(IF(INDEX('PROJETO PERFURAÇÃO'!$P:$P,MATCH(MEDIÇÃO!K1011,'PROJETO PERFURAÇÃO'!$B:$B,0))="Production","P",IF(INDEX('PROJETO PERFURAÇÃO'!$P:$P,MATCH(MEDIÇÃO!K1011,'PROJETO PERFURAÇÃO'!$B:$B,0))="Buffer","B",IF(INDEX('PROJETO PERFURAÇÃO'!$P:$P,MATCH(MEDIÇÃO!K1011,'PROJETO PERFURAÇÃO'!$B:$B,0))="Pre-Splitting","S"))),"")</f>
        <v/>
      </c>
      <c r="K1011" s="14">
        <f t="shared" si="97"/>
        <v>2246</v>
      </c>
      <c r="L1011" s="4" t="str">
        <f>IFERROR(INDEX('LEV R&amp;D'!$D:$D,MATCH(MEDIÇÃO!K1011,'LEV R&amp;D'!$A:$A,0))-INDEX('PROJETO PERFURAÇÃO'!$AH:$AH,MATCH(MEDIÇÃO!K1011,'PROJETO PERFURAÇÃO'!$B:$B,0)),"")</f>
        <v/>
      </c>
      <c r="M1011" s="8" t="str">
        <f>IFERROR(INDEX('PROJETO PERFURAÇÃO'!$AN:$AN,MATCH(MEDIÇÃO!K1011,'PROJETO PERFURAÇÃO'!$B:$B,0)),"")</f>
        <v/>
      </c>
      <c r="N1011" s="3"/>
      <c r="O1011" s="3"/>
      <c r="P1011" s="3" t="str">
        <f>IFERROR(ROUND(INDEX('PROJETO PERFURAÇÃO'!$AB:$AB,MATCH(MEDIÇÃO!R1011,'PROJETO PERFURAÇÃO'!$B:$B,0)),1)&amp;"''","")</f>
        <v/>
      </c>
      <c r="Q1011" s="3" t="str">
        <f>IFERROR(IF(INDEX('PROJETO PERFURAÇÃO'!$P:$P,MATCH(MEDIÇÃO!R1011,'PROJETO PERFURAÇÃO'!$B:$B,0))="Production","P",IF(INDEX('PROJETO PERFURAÇÃO'!$P:$P,MATCH(MEDIÇÃO!R1011,'PROJETO PERFURAÇÃO'!$B:$B,0))="Buffer","B",IF(INDEX('PROJETO PERFURAÇÃO'!$P:$P,MATCH(MEDIÇÃO!R1011,'PROJETO PERFURAÇÃO'!$B:$B,0))="Pre-Splitting","S"))),"")</f>
        <v/>
      </c>
      <c r="R1011" s="14">
        <f t="shared" si="98"/>
        <v>2269</v>
      </c>
      <c r="S1011" s="4" t="str">
        <f>IFERROR(INDEX('LEV R&amp;D'!$D:$D,MATCH(MEDIÇÃO!R1011,'LEV R&amp;D'!$A:$A,0))-INDEX('PROJETO PERFURAÇÃO'!$AH:$AH,MATCH(MEDIÇÃO!R1011,'PROJETO PERFURAÇÃO'!$B:$B,0)),"")</f>
        <v/>
      </c>
      <c r="T1011" s="8" t="str">
        <f>IFERROR(INDEX('PROJETO PERFURAÇÃO'!$AN:$AN,MATCH(MEDIÇÃO!R1011,'PROJETO PERFURAÇÃO'!$B:$B,0)),"")</f>
        <v/>
      </c>
      <c r="U1011" s="3"/>
      <c r="V1011" s="3"/>
    </row>
    <row r="1012" spans="2:22" ht="45" customHeight="1" x14ac:dyDescent="0.25">
      <c r="B1012" s="3" t="str">
        <f>IFERROR(ROUND(INDEX('PROJETO PERFURAÇÃO'!$AB:$AB,MATCH(MEDIÇÃO!D1012,'PROJETO PERFURAÇÃO'!$B:$B,0)),1)&amp;"''","")</f>
        <v/>
      </c>
      <c r="C1012" s="3" t="str">
        <f>IFERROR(IF(INDEX('PROJETO PERFURAÇÃO'!$P:$P,MATCH(MEDIÇÃO!D1012,'PROJETO PERFURAÇÃO'!$B:$B,0))="Production","P",IF(INDEX('PROJETO PERFURAÇÃO'!$P:$P,MATCH(MEDIÇÃO!D1012,'PROJETO PERFURAÇÃO'!$B:$B,0))="Buffer","B",IF(INDEX('PROJETO PERFURAÇÃO'!$P:$P,MATCH(MEDIÇÃO!D1012,'PROJETO PERFURAÇÃO'!$B:$B,0))="Pre-Splitting","S"))),"")</f>
        <v/>
      </c>
      <c r="D1012" s="14">
        <f t="shared" si="96"/>
        <v>2224</v>
      </c>
      <c r="E1012" s="4" t="str">
        <f>IFERROR(INDEX('LEV R&amp;D'!$D:$D,MATCH(MEDIÇÃO!D1012,'LEV R&amp;D'!$A:$A,0))-INDEX('PROJETO PERFURAÇÃO'!$AH:$AH,MATCH(MEDIÇÃO!D1012,'PROJETO PERFURAÇÃO'!$B:$B,0)),"")</f>
        <v/>
      </c>
      <c r="F1012" s="8" t="str">
        <f>IFERROR(INDEX('PROJETO PERFURAÇÃO'!$AN:$AN,MATCH(MEDIÇÃO!D1012,'PROJETO PERFURAÇÃO'!$B:$B,0)),"")</f>
        <v/>
      </c>
      <c r="G1012" s="3"/>
      <c r="H1012" s="3"/>
      <c r="I1012" s="3" t="str">
        <f>IFERROR(ROUND(INDEX('PROJETO PERFURAÇÃO'!$AB:$AB,MATCH(MEDIÇÃO!K1012,'PROJETO PERFURAÇÃO'!$B:$B,0)),1)&amp;"''","")</f>
        <v/>
      </c>
      <c r="J1012" s="3" t="str">
        <f>IFERROR(IF(INDEX('PROJETO PERFURAÇÃO'!$P:$P,MATCH(MEDIÇÃO!K1012,'PROJETO PERFURAÇÃO'!$B:$B,0))="Production","P",IF(INDEX('PROJETO PERFURAÇÃO'!$P:$P,MATCH(MEDIÇÃO!K1012,'PROJETO PERFURAÇÃO'!$B:$B,0))="Buffer","B",IF(INDEX('PROJETO PERFURAÇÃO'!$P:$P,MATCH(MEDIÇÃO!K1012,'PROJETO PERFURAÇÃO'!$B:$B,0))="Pre-Splitting","S"))),"")</f>
        <v/>
      </c>
      <c r="K1012" s="14">
        <f t="shared" si="97"/>
        <v>2247</v>
      </c>
      <c r="L1012" s="4" t="str">
        <f>IFERROR(INDEX('LEV R&amp;D'!$D:$D,MATCH(MEDIÇÃO!K1012,'LEV R&amp;D'!$A:$A,0))-INDEX('PROJETO PERFURAÇÃO'!$AH:$AH,MATCH(MEDIÇÃO!K1012,'PROJETO PERFURAÇÃO'!$B:$B,0)),"")</f>
        <v/>
      </c>
      <c r="M1012" s="8" t="str">
        <f>IFERROR(INDEX('PROJETO PERFURAÇÃO'!$AN:$AN,MATCH(MEDIÇÃO!K1012,'PROJETO PERFURAÇÃO'!$B:$B,0)),"")</f>
        <v/>
      </c>
      <c r="N1012" s="3"/>
      <c r="O1012" s="3"/>
      <c r="P1012" s="3" t="str">
        <f>IFERROR(ROUND(INDEX('PROJETO PERFURAÇÃO'!$AB:$AB,MATCH(MEDIÇÃO!R1012,'PROJETO PERFURAÇÃO'!$B:$B,0)),1)&amp;"''","")</f>
        <v/>
      </c>
      <c r="Q1012" s="3" t="str">
        <f>IFERROR(IF(INDEX('PROJETO PERFURAÇÃO'!$P:$P,MATCH(MEDIÇÃO!R1012,'PROJETO PERFURAÇÃO'!$B:$B,0))="Production","P",IF(INDEX('PROJETO PERFURAÇÃO'!$P:$P,MATCH(MEDIÇÃO!R1012,'PROJETO PERFURAÇÃO'!$B:$B,0))="Buffer","B",IF(INDEX('PROJETO PERFURAÇÃO'!$P:$P,MATCH(MEDIÇÃO!R1012,'PROJETO PERFURAÇÃO'!$B:$B,0))="Pre-Splitting","S"))),"")</f>
        <v/>
      </c>
      <c r="R1012" s="14">
        <f t="shared" si="98"/>
        <v>2270</v>
      </c>
      <c r="S1012" s="4" t="str">
        <f>IFERROR(INDEX('LEV R&amp;D'!$D:$D,MATCH(MEDIÇÃO!R1012,'LEV R&amp;D'!$A:$A,0))-INDEX('PROJETO PERFURAÇÃO'!$AH:$AH,MATCH(MEDIÇÃO!R1012,'PROJETO PERFURAÇÃO'!$B:$B,0)),"")</f>
        <v/>
      </c>
      <c r="T1012" s="8" t="str">
        <f>IFERROR(INDEX('PROJETO PERFURAÇÃO'!$AN:$AN,MATCH(MEDIÇÃO!R1012,'PROJETO PERFURAÇÃO'!$B:$B,0)),"")</f>
        <v/>
      </c>
      <c r="U1012" s="3"/>
      <c r="V1012" s="3"/>
    </row>
    <row r="1013" spans="2:22" ht="45" customHeight="1" x14ac:dyDescent="0.25">
      <c r="B1013" s="3" t="str">
        <f>IFERROR(ROUND(INDEX('PROJETO PERFURAÇÃO'!$AB:$AB,MATCH(MEDIÇÃO!D1013,'PROJETO PERFURAÇÃO'!$B:$B,0)),1)&amp;"''","")</f>
        <v/>
      </c>
      <c r="C1013" s="3" t="str">
        <f>IFERROR(IF(INDEX('PROJETO PERFURAÇÃO'!$P:$P,MATCH(MEDIÇÃO!D1013,'PROJETO PERFURAÇÃO'!$B:$B,0))="Production","P",IF(INDEX('PROJETO PERFURAÇÃO'!$P:$P,MATCH(MEDIÇÃO!D1013,'PROJETO PERFURAÇÃO'!$B:$B,0))="Buffer","B",IF(INDEX('PROJETO PERFURAÇÃO'!$P:$P,MATCH(MEDIÇÃO!D1013,'PROJETO PERFURAÇÃO'!$B:$B,0))="Pre-Splitting","S"))),"")</f>
        <v/>
      </c>
      <c r="D1013" s="14">
        <f t="shared" si="96"/>
        <v>2225</v>
      </c>
      <c r="E1013" s="4" t="str">
        <f>IFERROR(INDEX('LEV R&amp;D'!$D:$D,MATCH(MEDIÇÃO!D1013,'LEV R&amp;D'!$A:$A,0))-INDEX('PROJETO PERFURAÇÃO'!$AH:$AH,MATCH(MEDIÇÃO!D1013,'PROJETO PERFURAÇÃO'!$B:$B,0)),"")</f>
        <v/>
      </c>
      <c r="F1013" s="8" t="str">
        <f>IFERROR(INDEX('PROJETO PERFURAÇÃO'!$AN:$AN,MATCH(MEDIÇÃO!D1013,'PROJETO PERFURAÇÃO'!$B:$B,0)),"")</f>
        <v/>
      </c>
      <c r="G1013" s="3"/>
      <c r="H1013" s="3"/>
      <c r="I1013" s="3" t="str">
        <f>IFERROR(ROUND(INDEX('PROJETO PERFURAÇÃO'!$AB:$AB,MATCH(MEDIÇÃO!K1013,'PROJETO PERFURAÇÃO'!$B:$B,0)),1)&amp;"''","")</f>
        <v/>
      </c>
      <c r="J1013" s="3" t="str">
        <f>IFERROR(IF(INDEX('PROJETO PERFURAÇÃO'!$P:$P,MATCH(MEDIÇÃO!K1013,'PROJETO PERFURAÇÃO'!$B:$B,0))="Production","P",IF(INDEX('PROJETO PERFURAÇÃO'!$P:$P,MATCH(MEDIÇÃO!K1013,'PROJETO PERFURAÇÃO'!$B:$B,0))="Buffer","B",IF(INDEX('PROJETO PERFURAÇÃO'!$P:$P,MATCH(MEDIÇÃO!K1013,'PROJETO PERFURAÇÃO'!$B:$B,0))="Pre-Splitting","S"))),"")</f>
        <v/>
      </c>
      <c r="K1013" s="14">
        <f t="shared" si="97"/>
        <v>2248</v>
      </c>
      <c r="L1013" s="4" t="str">
        <f>IFERROR(INDEX('LEV R&amp;D'!$D:$D,MATCH(MEDIÇÃO!K1013,'LEV R&amp;D'!$A:$A,0))-INDEX('PROJETO PERFURAÇÃO'!$AH:$AH,MATCH(MEDIÇÃO!K1013,'PROJETO PERFURAÇÃO'!$B:$B,0)),"")</f>
        <v/>
      </c>
      <c r="M1013" s="8" t="str">
        <f>IFERROR(INDEX('PROJETO PERFURAÇÃO'!$AN:$AN,MATCH(MEDIÇÃO!K1013,'PROJETO PERFURAÇÃO'!$B:$B,0)),"")</f>
        <v/>
      </c>
      <c r="N1013" s="3"/>
      <c r="O1013" s="3"/>
      <c r="P1013" s="3" t="str">
        <f>IFERROR(ROUND(INDEX('PROJETO PERFURAÇÃO'!$AB:$AB,MATCH(MEDIÇÃO!R1013,'PROJETO PERFURAÇÃO'!$B:$B,0)),1)&amp;"''","")</f>
        <v/>
      </c>
      <c r="Q1013" s="3" t="str">
        <f>IFERROR(IF(INDEX('PROJETO PERFURAÇÃO'!$P:$P,MATCH(MEDIÇÃO!R1013,'PROJETO PERFURAÇÃO'!$B:$B,0))="Production","P",IF(INDEX('PROJETO PERFURAÇÃO'!$P:$P,MATCH(MEDIÇÃO!R1013,'PROJETO PERFURAÇÃO'!$B:$B,0))="Buffer","B",IF(INDEX('PROJETO PERFURAÇÃO'!$P:$P,MATCH(MEDIÇÃO!R1013,'PROJETO PERFURAÇÃO'!$B:$B,0))="Pre-Splitting","S"))),"")</f>
        <v/>
      </c>
      <c r="R1013" s="14">
        <f t="shared" si="98"/>
        <v>2271</v>
      </c>
      <c r="S1013" s="4" t="str">
        <f>IFERROR(INDEX('LEV R&amp;D'!$D:$D,MATCH(MEDIÇÃO!R1013,'LEV R&amp;D'!$A:$A,0))-INDEX('PROJETO PERFURAÇÃO'!$AH:$AH,MATCH(MEDIÇÃO!R1013,'PROJETO PERFURAÇÃO'!$B:$B,0)),"")</f>
        <v/>
      </c>
      <c r="T1013" s="8" t="str">
        <f>IFERROR(INDEX('PROJETO PERFURAÇÃO'!$AN:$AN,MATCH(MEDIÇÃO!R1013,'PROJETO PERFURAÇÃO'!$B:$B,0)),"")</f>
        <v/>
      </c>
      <c r="U1013" s="3"/>
      <c r="V1013" s="3"/>
    </row>
    <row r="1014" spans="2:22" ht="45" customHeight="1" x14ac:dyDescent="0.25">
      <c r="B1014" s="3" t="str">
        <f>IFERROR(ROUND(INDEX('PROJETO PERFURAÇÃO'!$AB:$AB,MATCH(MEDIÇÃO!D1014,'PROJETO PERFURAÇÃO'!$B:$B,0)),1)&amp;"''","")</f>
        <v/>
      </c>
      <c r="C1014" s="3" t="str">
        <f>IFERROR(IF(INDEX('PROJETO PERFURAÇÃO'!$P:$P,MATCH(MEDIÇÃO!D1014,'PROJETO PERFURAÇÃO'!$B:$B,0))="Production","P",IF(INDEX('PROJETO PERFURAÇÃO'!$P:$P,MATCH(MEDIÇÃO!D1014,'PROJETO PERFURAÇÃO'!$B:$B,0))="Buffer","B",IF(INDEX('PROJETO PERFURAÇÃO'!$P:$P,MATCH(MEDIÇÃO!D1014,'PROJETO PERFURAÇÃO'!$B:$B,0))="Pre-Splitting","S"))),"")</f>
        <v/>
      </c>
      <c r="D1014" s="14">
        <f t="shared" si="96"/>
        <v>2226</v>
      </c>
      <c r="E1014" s="4" t="str">
        <f>IFERROR(INDEX('LEV R&amp;D'!$D:$D,MATCH(MEDIÇÃO!D1014,'LEV R&amp;D'!$A:$A,0))-INDEX('PROJETO PERFURAÇÃO'!$AH:$AH,MATCH(MEDIÇÃO!D1014,'PROJETO PERFURAÇÃO'!$B:$B,0)),"")</f>
        <v/>
      </c>
      <c r="F1014" s="8" t="str">
        <f>IFERROR(INDEX('PROJETO PERFURAÇÃO'!$AN:$AN,MATCH(MEDIÇÃO!D1014,'PROJETO PERFURAÇÃO'!$B:$B,0)),"")</f>
        <v/>
      </c>
      <c r="G1014" s="3"/>
      <c r="H1014" s="3"/>
      <c r="I1014" s="3" t="str">
        <f>IFERROR(ROUND(INDEX('PROJETO PERFURAÇÃO'!$AB:$AB,MATCH(MEDIÇÃO!K1014,'PROJETO PERFURAÇÃO'!$B:$B,0)),1)&amp;"''","")</f>
        <v/>
      </c>
      <c r="J1014" s="3" t="str">
        <f>IFERROR(IF(INDEX('PROJETO PERFURAÇÃO'!$P:$P,MATCH(MEDIÇÃO!K1014,'PROJETO PERFURAÇÃO'!$B:$B,0))="Production","P",IF(INDEX('PROJETO PERFURAÇÃO'!$P:$P,MATCH(MEDIÇÃO!K1014,'PROJETO PERFURAÇÃO'!$B:$B,0))="Buffer","B",IF(INDEX('PROJETO PERFURAÇÃO'!$P:$P,MATCH(MEDIÇÃO!K1014,'PROJETO PERFURAÇÃO'!$B:$B,0))="Pre-Splitting","S"))),"")</f>
        <v/>
      </c>
      <c r="K1014" s="14">
        <f t="shared" si="97"/>
        <v>2249</v>
      </c>
      <c r="L1014" s="4" t="str">
        <f>IFERROR(INDEX('LEV R&amp;D'!$D:$D,MATCH(MEDIÇÃO!K1014,'LEV R&amp;D'!$A:$A,0))-INDEX('PROJETO PERFURAÇÃO'!$AH:$AH,MATCH(MEDIÇÃO!K1014,'PROJETO PERFURAÇÃO'!$B:$B,0)),"")</f>
        <v/>
      </c>
      <c r="M1014" s="8" t="str">
        <f>IFERROR(INDEX('PROJETO PERFURAÇÃO'!$AN:$AN,MATCH(MEDIÇÃO!K1014,'PROJETO PERFURAÇÃO'!$B:$B,0)),"")</f>
        <v/>
      </c>
      <c r="N1014" s="3"/>
      <c r="O1014" s="3"/>
      <c r="P1014" s="3" t="str">
        <f>IFERROR(ROUND(INDEX('PROJETO PERFURAÇÃO'!$AB:$AB,MATCH(MEDIÇÃO!R1014,'PROJETO PERFURAÇÃO'!$B:$B,0)),1)&amp;"''","")</f>
        <v/>
      </c>
      <c r="Q1014" s="3" t="str">
        <f>IFERROR(IF(INDEX('PROJETO PERFURAÇÃO'!$P:$P,MATCH(MEDIÇÃO!R1014,'PROJETO PERFURAÇÃO'!$B:$B,0))="Production","P",IF(INDEX('PROJETO PERFURAÇÃO'!$P:$P,MATCH(MEDIÇÃO!R1014,'PROJETO PERFURAÇÃO'!$B:$B,0))="Buffer","B",IF(INDEX('PROJETO PERFURAÇÃO'!$P:$P,MATCH(MEDIÇÃO!R1014,'PROJETO PERFURAÇÃO'!$B:$B,0))="Pre-Splitting","S"))),"")</f>
        <v/>
      </c>
      <c r="R1014" s="14">
        <f t="shared" si="98"/>
        <v>2272</v>
      </c>
      <c r="S1014" s="4" t="str">
        <f>IFERROR(INDEX('LEV R&amp;D'!$D:$D,MATCH(MEDIÇÃO!R1014,'LEV R&amp;D'!$A:$A,0))-INDEX('PROJETO PERFURAÇÃO'!$AH:$AH,MATCH(MEDIÇÃO!R1014,'PROJETO PERFURAÇÃO'!$B:$B,0)),"")</f>
        <v/>
      </c>
      <c r="T1014" s="8" t="str">
        <f>IFERROR(INDEX('PROJETO PERFURAÇÃO'!$AN:$AN,MATCH(MEDIÇÃO!R1014,'PROJETO PERFURAÇÃO'!$B:$B,0)),"")</f>
        <v/>
      </c>
      <c r="U1014" s="3"/>
      <c r="V1014" s="3"/>
    </row>
    <row r="1015" spans="2:22" ht="45" customHeight="1" x14ac:dyDescent="0.25">
      <c r="B1015" s="3" t="str">
        <f>IFERROR(ROUND(INDEX('PROJETO PERFURAÇÃO'!$AB:$AB,MATCH(MEDIÇÃO!D1015,'PROJETO PERFURAÇÃO'!$B:$B,0)),1)&amp;"''","")</f>
        <v/>
      </c>
      <c r="C1015" s="3" t="str">
        <f>IFERROR(IF(INDEX('PROJETO PERFURAÇÃO'!$P:$P,MATCH(MEDIÇÃO!D1015,'PROJETO PERFURAÇÃO'!$B:$B,0))="Production","P",IF(INDEX('PROJETO PERFURAÇÃO'!$P:$P,MATCH(MEDIÇÃO!D1015,'PROJETO PERFURAÇÃO'!$B:$B,0))="Buffer","B",IF(INDEX('PROJETO PERFURAÇÃO'!$P:$P,MATCH(MEDIÇÃO!D1015,'PROJETO PERFURAÇÃO'!$B:$B,0))="Pre-Splitting","S"))),"")</f>
        <v/>
      </c>
      <c r="D1015" s="14">
        <f t="shared" si="96"/>
        <v>2227</v>
      </c>
      <c r="E1015" s="4" t="str">
        <f>IFERROR(INDEX('LEV R&amp;D'!$D:$D,MATCH(MEDIÇÃO!D1015,'LEV R&amp;D'!$A:$A,0))-INDEX('PROJETO PERFURAÇÃO'!$AH:$AH,MATCH(MEDIÇÃO!D1015,'PROJETO PERFURAÇÃO'!$B:$B,0)),"")</f>
        <v/>
      </c>
      <c r="F1015" s="8" t="str">
        <f>IFERROR(INDEX('PROJETO PERFURAÇÃO'!$AN:$AN,MATCH(MEDIÇÃO!D1015,'PROJETO PERFURAÇÃO'!$B:$B,0)),"")</f>
        <v/>
      </c>
      <c r="G1015" s="3"/>
      <c r="H1015" s="3"/>
      <c r="I1015" s="3" t="str">
        <f>IFERROR(ROUND(INDEX('PROJETO PERFURAÇÃO'!$AB:$AB,MATCH(MEDIÇÃO!K1015,'PROJETO PERFURAÇÃO'!$B:$B,0)),1)&amp;"''","")</f>
        <v/>
      </c>
      <c r="J1015" s="3" t="str">
        <f>IFERROR(IF(INDEX('PROJETO PERFURAÇÃO'!$P:$P,MATCH(MEDIÇÃO!K1015,'PROJETO PERFURAÇÃO'!$B:$B,0))="Production","P",IF(INDEX('PROJETO PERFURAÇÃO'!$P:$P,MATCH(MEDIÇÃO!K1015,'PROJETO PERFURAÇÃO'!$B:$B,0))="Buffer","B",IF(INDEX('PROJETO PERFURAÇÃO'!$P:$P,MATCH(MEDIÇÃO!K1015,'PROJETO PERFURAÇÃO'!$B:$B,0))="Pre-Splitting","S"))),"")</f>
        <v/>
      </c>
      <c r="K1015" s="14">
        <f t="shared" si="97"/>
        <v>2250</v>
      </c>
      <c r="L1015" s="4" t="str">
        <f>IFERROR(INDEX('LEV R&amp;D'!$D:$D,MATCH(MEDIÇÃO!K1015,'LEV R&amp;D'!$A:$A,0))-INDEX('PROJETO PERFURAÇÃO'!$AH:$AH,MATCH(MEDIÇÃO!K1015,'PROJETO PERFURAÇÃO'!$B:$B,0)),"")</f>
        <v/>
      </c>
      <c r="M1015" s="8" t="str">
        <f>IFERROR(INDEX('PROJETO PERFURAÇÃO'!$AN:$AN,MATCH(MEDIÇÃO!K1015,'PROJETO PERFURAÇÃO'!$B:$B,0)),"")</f>
        <v/>
      </c>
      <c r="N1015" s="3"/>
      <c r="O1015" s="3"/>
      <c r="P1015" s="3" t="str">
        <f>IFERROR(ROUND(INDEX('PROJETO PERFURAÇÃO'!$AB:$AB,MATCH(MEDIÇÃO!R1015,'PROJETO PERFURAÇÃO'!$B:$B,0)),1)&amp;"''","")</f>
        <v/>
      </c>
      <c r="Q1015" s="3" t="str">
        <f>IFERROR(IF(INDEX('PROJETO PERFURAÇÃO'!$P:$P,MATCH(MEDIÇÃO!R1015,'PROJETO PERFURAÇÃO'!$B:$B,0))="Production","P",IF(INDEX('PROJETO PERFURAÇÃO'!$P:$P,MATCH(MEDIÇÃO!R1015,'PROJETO PERFURAÇÃO'!$B:$B,0))="Buffer","B",IF(INDEX('PROJETO PERFURAÇÃO'!$P:$P,MATCH(MEDIÇÃO!R1015,'PROJETO PERFURAÇÃO'!$B:$B,0))="Pre-Splitting","S"))),"")</f>
        <v/>
      </c>
      <c r="R1015" s="14">
        <f t="shared" si="98"/>
        <v>2273</v>
      </c>
      <c r="S1015" s="4" t="str">
        <f>IFERROR(INDEX('LEV R&amp;D'!$D:$D,MATCH(MEDIÇÃO!R1015,'LEV R&amp;D'!$A:$A,0))-INDEX('PROJETO PERFURAÇÃO'!$AH:$AH,MATCH(MEDIÇÃO!R1015,'PROJETO PERFURAÇÃO'!$B:$B,0)),"")</f>
        <v/>
      </c>
      <c r="T1015" s="8" t="str">
        <f>IFERROR(INDEX('PROJETO PERFURAÇÃO'!$AN:$AN,MATCH(MEDIÇÃO!R1015,'PROJETO PERFURAÇÃO'!$B:$B,0)),"")</f>
        <v/>
      </c>
      <c r="U1015" s="3"/>
      <c r="V1015" s="3"/>
    </row>
    <row r="1016" spans="2:22" ht="45" customHeight="1" x14ac:dyDescent="0.25">
      <c r="B1016" s="3" t="str">
        <f>IFERROR(ROUND(INDEX('PROJETO PERFURAÇÃO'!$AB:$AB,MATCH(MEDIÇÃO!D1016,'PROJETO PERFURAÇÃO'!$B:$B,0)),1)&amp;"''","")</f>
        <v/>
      </c>
      <c r="C1016" s="3" t="str">
        <f>IFERROR(IF(INDEX('PROJETO PERFURAÇÃO'!$P:$P,MATCH(MEDIÇÃO!D1016,'PROJETO PERFURAÇÃO'!$B:$B,0))="Production","P",IF(INDEX('PROJETO PERFURAÇÃO'!$P:$P,MATCH(MEDIÇÃO!D1016,'PROJETO PERFURAÇÃO'!$B:$B,0))="Buffer","B",IF(INDEX('PROJETO PERFURAÇÃO'!$P:$P,MATCH(MEDIÇÃO!D1016,'PROJETO PERFURAÇÃO'!$B:$B,0))="Pre-Splitting","S"))),"")</f>
        <v/>
      </c>
      <c r="D1016" s="14">
        <f t="shared" si="96"/>
        <v>2228</v>
      </c>
      <c r="E1016" s="4" t="str">
        <f>IFERROR(INDEX('LEV R&amp;D'!$D:$D,MATCH(MEDIÇÃO!D1016,'LEV R&amp;D'!$A:$A,0))-INDEX('PROJETO PERFURAÇÃO'!$AH:$AH,MATCH(MEDIÇÃO!D1016,'PROJETO PERFURAÇÃO'!$B:$B,0)),"")</f>
        <v/>
      </c>
      <c r="F1016" s="8" t="str">
        <f>IFERROR(INDEX('PROJETO PERFURAÇÃO'!$AN:$AN,MATCH(MEDIÇÃO!D1016,'PROJETO PERFURAÇÃO'!$B:$B,0)),"")</f>
        <v/>
      </c>
      <c r="G1016" s="3"/>
      <c r="H1016" s="3"/>
      <c r="I1016" s="3" t="str">
        <f>IFERROR(ROUND(INDEX('PROJETO PERFURAÇÃO'!$AB:$AB,MATCH(MEDIÇÃO!K1016,'PROJETO PERFURAÇÃO'!$B:$B,0)),1)&amp;"''","")</f>
        <v/>
      </c>
      <c r="J1016" s="3" t="str">
        <f>IFERROR(IF(INDEX('PROJETO PERFURAÇÃO'!$P:$P,MATCH(MEDIÇÃO!K1016,'PROJETO PERFURAÇÃO'!$B:$B,0))="Production","P",IF(INDEX('PROJETO PERFURAÇÃO'!$P:$P,MATCH(MEDIÇÃO!K1016,'PROJETO PERFURAÇÃO'!$B:$B,0))="Buffer","B",IF(INDEX('PROJETO PERFURAÇÃO'!$P:$P,MATCH(MEDIÇÃO!K1016,'PROJETO PERFURAÇÃO'!$B:$B,0))="Pre-Splitting","S"))),"")</f>
        <v/>
      </c>
      <c r="K1016" s="14">
        <f t="shared" si="97"/>
        <v>2251</v>
      </c>
      <c r="L1016" s="4" t="str">
        <f>IFERROR(INDEX('LEV R&amp;D'!$D:$D,MATCH(MEDIÇÃO!K1016,'LEV R&amp;D'!$A:$A,0))-INDEX('PROJETO PERFURAÇÃO'!$AH:$AH,MATCH(MEDIÇÃO!K1016,'PROJETO PERFURAÇÃO'!$B:$B,0)),"")</f>
        <v/>
      </c>
      <c r="M1016" s="8" t="str">
        <f>IFERROR(INDEX('PROJETO PERFURAÇÃO'!$AN:$AN,MATCH(MEDIÇÃO!K1016,'PROJETO PERFURAÇÃO'!$B:$B,0)),"")</f>
        <v/>
      </c>
      <c r="N1016" s="3"/>
      <c r="O1016" s="3"/>
      <c r="P1016" s="3" t="str">
        <f>IFERROR(ROUND(INDEX('PROJETO PERFURAÇÃO'!$AB:$AB,MATCH(MEDIÇÃO!R1016,'PROJETO PERFURAÇÃO'!$B:$B,0)),1)&amp;"''","")</f>
        <v/>
      </c>
      <c r="Q1016" s="3" t="str">
        <f>IFERROR(IF(INDEX('PROJETO PERFURAÇÃO'!$P:$P,MATCH(MEDIÇÃO!R1016,'PROJETO PERFURAÇÃO'!$B:$B,0))="Production","P",IF(INDEX('PROJETO PERFURAÇÃO'!$P:$P,MATCH(MEDIÇÃO!R1016,'PROJETO PERFURAÇÃO'!$B:$B,0))="Buffer","B",IF(INDEX('PROJETO PERFURAÇÃO'!$P:$P,MATCH(MEDIÇÃO!R1016,'PROJETO PERFURAÇÃO'!$B:$B,0))="Pre-Splitting","S"))),"")</f>
        <v/>
      </c>
      <c r="R1016" s="14">
        <f t="shared" si="98"/>
        <v>2274</v>
      </c>
      <c r="S1016" s="4" t="str">
        <f>IFERROR(INDEX('LEV R&amp;D'!$D:$D,MATCH(MEDIÇÃO!R1016,'LEV R&amp;D'!$A:$A,0))-INDEX('PROJETO PERFURAÇÃO'!$AH:$AH,MATCH(MEDIÇÃO!R1016,'PROJETO PERFURAÇÃO'!$B:$B,0)),"")</f>
        <v/>
      </c>
      <c r="T1016" s="8" t="str">
        <f>IFERROR(INDEX('PROJETO PERFURAÇÃO'!$AN:$AN,MATCH(MEDIÇÃO!R1016,'PROJETO PERFURAÇÃO'!$B:$B,0)),"")</f>
        <v/>
      </c>
      <c r="U1016" s="3"/>
      <c r="V1016" s="3"/>
    </row>
    <row r="1017" spans="2:22" ht="45" customHeight="1" x14ac:dyDescent="0.25">
      <c r="B1017" s="3" t="str">
        <f>IFERROR(ROUND(INDEX('PROJETO PERFURAÇÃO'!$AB:$AB,MATCH(MEDIÇÃO!D1017,'PROJETO PERFURAÇÃO'!$B:$B,0)),1)&amp;"''","")</f>
        <v/>
      </c>
      <c r="C1017" s="3" t="str">
        <f>IFERROR(IF(INDEX('PROJETO PERFURAÇÃO'!$P:$P,MATCH(MEDIÇÃO!D1017,'PROJETO PERFURAÇÃO'!$B:$B,0))="Production","P",IF(INDEX('PROJETO PERFURAÇÃO'!$P:$P,MATCH(MEDIÇÃO!D1017,'PROJETO PERFURAÇÃO'!$B:$B,0))="Buffer","B",IF(INDEX('PROJETO PERFURAÇÃO'!$P:$P,MATCH(MEDIÇÃO!D1017,'PROJETO PERFURAÇÃO'!$B:$B,0))="Pre-Splitting","S"))),"")</f>
        <v/>
      </c>
      <c r="D1017" s="14">
        <f t="shared" si="96"/>
        <v>2229</v>
      </c>
      <c r="E1017" s="4" t="str">
        <f>IFERROR(INDEX('LEV R&amp;D'!$D:$D,MATCH(MEDIÇÃO!D1017,'LEV R&amp;D'!$A:$A,0))-INDEX('PROJETO PERFURAÇÃO'!$AH:$AH,MATCH(MEDIÇÃO!D1017,'PROJETO PERFURAÇÃO'!$B:$B,0)),"")</f>
        <v/>
      </c>
      <c r="F1017" s="8" t="str">
        <f>IFERROR(INDEX('PROJETO PERFURAÇÃO'!$AN:$AN,MATCH(MEDIÇÃO!D1017,'PROJETO PERFURAÇÃO'!$B:$B,0)),"")</f>
        <v/>
      </c>
      <c r="G1017" s="3"/>
      <c r="H1017" s="3"/>
      <c r="I1017" s="3" t="str">
        <f>IFERROR(ROUND(INDEX('PROJETO PERFURAÇÃO'!$AB:$AB,MATCH(MEDIÇÃO!K1017,'PROJETO PERFURAÇÃO'!$B:$B,0)),1)&amp;"''","")</f>
        <v/>
      </c>
      <c r="J1017" s="3" t="str">
        <f>IFERROR(IF(INDEX('PROJETO PERFURAÇÃO'!$P:$P,MATCH(MEDIÇÃO!K1017,'PROJETO PERFURAÇÃO'!$B:$B,0))="Production","P",IF(INDEX('PROJETO PERFURAÇÃO'!$P:$P,MATCH(MEDIÇÃO!K1017,'PROJETO PERFURAÇÃO'!$B:$B,0))="Buffer","B",IF(INDEX('PROJETO PERFURAÇÃO'!$P:$P,MATCH(MEDIÇÃO!K1017,'PROJETO PERFURAÇÃO'!$B:$B,0))="Pre-Splitting","S"))),"")</f>
        <v/>
      </c>
      <c r="K1017" s="14">
        <f t="shared" si="97"/>
        <v>2252</v>
      </c>
      <c r="L1017" s="4" t="str">
        <f>IFERROR(INDEX('LEV R&amp;D'!$D:$D,MATCH(MEDIÇÃO!K1017,'LEV R&amp;D'!$A:$A,0))-INDEX('PROJETO PERFURAÇÃO'!$AH:$AH,MATCH(MEDIÇÃO!K1017,'PROJETO PERFURAÇÃO'!$B:$B,0)),"")</f>
        <v/>
      </c>
      <c r="M1017" s="8" t="str">
        <f>IFERROR(INDEX('PROJETO PERFURAÇÃO'!$AN:$AN,MATCH(MEDIÇÃO!K1017,'PROJETO PERFURAÇÃO'!$B:$B,0)),"")</f>
        <v/>
      </c>
      <c r="N1017" s="3"/>
      <c r="O1017" s="3"/>
      <c r="P1017" s="3" t="str">
        <f>IFERROR(ROUND(INDEX('PROJETO PERFURAÇÃO'!$AB:$AB,MATCH(MEDIÇÃO!R1017,'PROJETO PERFURAÇÃO'!$B:$B,0)),1)&amp;"''","")</f>
        <v/>
      </c>
      <c r="Q1017" s="3" t="str">
        <f>IFERROR(IF(INDEX('PROJETO PERFURAÇÃO'!$P:$P,MATCH(MEDIÇÃO!R1017,'PROJETO PERFURAÇÃO'!$B:$B,0))="Production","P",IF(INDEX('PROJETO PERFURAÇÃO'!$P:$P,MATCH(MEDIÇÃO!R1017,'PROJETO PERFURAÇÃO'!$B:$B,0))="Buffer","B",IF(INDEX('PROJETO PERFURAÇÃO'!$P:$P,MATCH(MEDIÇÃO!R1017,'PROJETO PERFURAÇÃO'!$B:$B,0))="Pre-Splitting","S"))),"")</f>
        <v/>
      </c>
      <c r="R1017" s="14">
        <f t="shared" si="98"/>
        <v>2275</v>
      </c>
      <c r="S1017" s="4" t="str">
        <f>IFERROR(INDEX('LEV R&amp;D'!$D:$D,MATCH(MEDIÇÃO!R1017,'LEV R&amp;D'!$A:$A,0))-INDEX('PROJETO PERFURAÇÃO'!$AH:$AH,MATCH(MEDIÇÃO!R1017,'PROJETO PERFURAÇÃO'!$B:$B,0)),"")</f>
        <v/>
      </c>
      <c r="T1017" s="8" t="str">
        <f>IFERROR(INDEX('PROJETO PERFURAÇÃO'!$AN:$AN,MATCH(MEDIÇÃO!R1017,'PROJETO PERFURAÇÃO'!$B:$B,0)),"")</f>
        <v/>
      </c>
      <c r="U1017" s="3"/>
      <c r="V1017" s="3"/>
    </row>
    <row r="1018" spans="2:22" ht="45" customHeight="1" x14ac:dyDescent="0.25">
      <c r="B1018" s="3" t="str">
        <f>IFERROR(ROUND(INDEX('PROJETO PERFURAÇÃO'!$AB:$AB,MATCH(MEDIÇÃO!D1018,'PROJETO PERFURAÇÃO'!$B:$B,0)),1)&amp;"''","")</f>
        <v/>
      </c>
      <c r="C1018" s="3" t="str">
        <f>IFERROR(IF(INDEX('PROJETO PERFURAÇÃO'!$P:$P,MATCH(MEDIÇÃO!D1018,'PROJETO PERFURAÇÃO'!$B:$B,0))="Production","P",IF(INDEX('PROJETO PERFURAÇÃO'!$P:$P,MATCH(MEDIÇÃO!D1018,'PROJETO PERFURAÇÃO'!$B:$B,0))="Buffer","B",IF(INDEX('PROJETO PERFURAÇÃO'!$P:$P,MATCH(MEDIÇÃO!D1018,'PROJETO PERFURAÇÃO'!$B:$B,0))="Pre-Splitting","S"))),"")</f>
        <v/>
      </c>
      <c r="D1018" s="14">
        <f t="shared" si="96"/>
        <v>2230</v>
      </c>
      <c r="E1018" s="4" t="str">
        <f>IFERROR(INDEX('LEV R&amp;D'!$D:$D,MATCH(MEDIÇÃO!D1018,'LEV R&amp;D'!$A:$A,0))-INDEX('PROJETO PERFURAÇÃO'!$AH:$AH,MATCH(MEDIÇÃO!D1018,'PROJETO PERFURAÇÃO'!$B:$B,0)),"")</f>
        <v/>
      </c>
      <c r="F1018" s="8" t="str">
        <f>IFERROR(INDEX('PROJETO PERFURAÇÃO'!$AN:$AN,MATCH(MEDIÇÃO!D1018,'PROJETO PERFURAÇÃO'!$B:$B,0)),"")</f>
        <v/>
      </c>
      <c r="G1018" s="3"/>
      <c r="H1018" s="3"/>
      <c r="I1018" s="3" t="str">
        <f>IFERROR(ROUND(INDEX('PROJETO PERFURAÇÃO'!$AB:$AB,MATCH(MEDIÇÃO!K1018,'PROJETO PERFURAÇÃO'!$B:$B,0)),1)&amp;"''","")</f>
        <v/>
      </c>
      <c r="J1018" s="3" t="str">
        <f>IFERROR(IF(INDEX('PROJETO PERFURAÇÃO'!$P:$P,MATCH(MEDIÇÃO!K1018,'PROJETO PERFURAÇÃO'!$B:$B,0))="Production","P",IF(INDEX('PROJETO PERFURAÇÃO'!$P:$P,MATCH(MEDIÇÃO!K1018,'PROJETO PERFURAÇÃO'!$B:$B,0))="Buffer","B",IF(INDEX('PROJETO PERFURAÇÃO'!$P:$P,MATCH(MEDIÇÃO!K1018,'PROJETO PERFURAÇÃO'!$B:$B,0))="Pre-Splitting","S"))),"")</f>
        <v/>
      </c>
      <c r="K1018" s="14">
        <f t="shared" si="97"/>
        <v>2253</v>
      </c>
      <c r="L1018" s="4" t="str">
        <f>IFERROR(INDEX('LEV R&amp;D'!$D:$D,MATCH(MEDIÇÃO!K1018,'LEV R&amp;D'!$A:$A,0))-INDEX('PROJETO PERFURAÇÃO'!$AH:$AH,MATCH(MEDIÇÃO!K1018,'PROJETO PERFURAÇÃO'!$B:$B,0)),"")</f>
        <v/>
      </c>
      <c r="M1018" s="8" t="str">
        <f>IFERROR(INDEX('PROJETO PERFURAÇÃO'!$AN:$AN,MATCH(MEDIÇÃO!K1018,'PROJETO PERFURAÇÃO'!$B:$B,0)),"")</f>
        <v/>
      </c>
      <c r="N1018" s="3"/>
      <c r="O1018" s="3"/>
      <c r="P1018" s="3" t="str">
        <f>IFERROR(ROUND(INDEX('PROJETO PERFURAÇÃO'!$AB:$AB,MATCH(MEDIÇÃO!R1018,'PROJETO PERFURAÇÃO'!$B:$B,0)),1)&amp;"''","")</f>
        <v/>
      </c>
      <c r="Q1018" s="3" t="str">
        <f>IFERROR(IF(INDEX('PROJETO PERFURAÇÃO'!$P:$P,MATCH(MEDIÇÃO!R1018,'PROJETO PERFURAÇÃO'!$B:$B,0))="Production","P",IF(INDEX('PROJETO PERFURAÇÃO'!$P:$P,MATCH(MEDIÇÃO!R1018,'PROJETO PERFURAÇÃO'!$B:$B,0))="Buffer","B",IF(INDEX('PROJETO PERFURAÇÃO'!$P:$P,MATCH(MEDIÇÃO!R1018,'PROJETO PERFURAÇÃO'!$B:$B,0))="Pre-Splitting","S"))),"")</f>
        <v/>
      </c>
      <c r="R1018" s="14">
        <f t="shared" si="98"/>
        <v>2276</v>
      </c>
      <c r="S1018" s="4" t="str">
        <f>IFERROR(INDEX('LEV R&amp;D'!$D:$D,MATCH(MEDIÇÃO!R1018,'LEV R&amp;D'!$A:$A,0))-INDEX('PROJETO PERFURAÇÃO'!$AH:$AH,MATCH(MEDIÇÃO!R1018,'PROJETO PERFURAÇÃO'!$B:$B,0)),"")</f>
        <v/>
      </c>
      <c r="T1018" s="8" t="str">
        <f>IFERROR(INDEX('PROJETO PERFURAÇÃO'!$AN:$AN,MATCH(MEDIÇÃO!R1018,'PROJETO PERFURAÇÃO'!$B:$B,0)),"")</f>
        <v/>
      </c>
      <c r="U1018" s="3"/>
      <c r="V1018" s="3"/>
    </row>
    <row r="1019" spans="2:22" ht="45" customHeight="1" x14ac:dyDescent="0.25">
      <c r="B1019" s="3" t="str">
        <f>IFERROR(ROUND(INDEX('PROJETO PERFURAÇÃO'!$AB:$AB,MATCH(MEDIÇÃO!D1019,'PROJETO PERFURAÇÃO'!$B:$B,0)),1)&amp;"''","")</f>
        <v/>
      </c>
      <c r="C1019" s="3" t="str">
        <f>IFERROR(IF(INDEX('PROJETO PERFURAÇÃO'!$P:$P,MATCH(MEDIÇÃO!D1019,'PROJETO PERFURAÇÃO'!$B:$B,0))="Production","P",IF(INDEX('PROJETO PERFURAÇÃO'!$P:$P,MATCH(MEDIÇÃO!D1019,'PROJETO PERFURAÇÃO'!$B:$B,0))="Buffer","B",IF(INDEX('PROJETO PERFURAÇÃO'!$P:$P,MATCH(MEDIÇÃO!D1019,'PROJETO PERFURAÇÃO'!$B:$B,0))="Pre-Splitting","S"))),"")</f>
        <v/>
      </c>
      <c r="D1019" s="14">
        <f t="shared" si="96"/>
        <v>2231</v>
      </c>
      <c r="E1019" s="4" t="str">
        <f>IFERROR(INDEX('LEV R&amp;D'!$D:$D,MATCH(MEDIÇÃO!D1019,'LEV R&amp;D'!$A:$A,0))-INDEX('PROJETO PERFURAÇÃO'!$AH:$AH,MATCH(MEDIÇÃO!D1019,'PROJETO PERFURAÇÃO'!$B:$B,0)),"")</f>
        <v/>
      </c>
      <c r="F1019" s="8" t="str">
        <f>IFERROR(INDEX('PROJETO PERFURAÇÃO'!$AN:$AN,MATCH(MEDIÇÃO!D1019,'PROJETO PERFURAÇÃO'!$B:$B,0)),"")</f>
        <v/>
      </c>
      <c r="G1019" s="3"/>
      <c r="H1019" s="3"/>
      <c r="I1019" s="3" t="str">
        <f>IFERROR(ROUND(INDEX('PROJETO PERFURAÇÃO'!$AB:$AB,MATCH(MEDIÇÃO!K1019,'PROJETO PERFURAÇÃO'!$B:$B,0)),1)&amp;"''","")</f>
        <v/>
      </c>
      <c r="J1019" s="3" t="str">
        <f>IFERROR(IF(INDEX('PROJETO PERFURAÇÃO'!$P:$P,MATCH(MEDIÇÃO!K1019,'PROJETO PERFURAÇÃO'!$B:$B,0))="Production","P",IF(INDEX('PROJETO PERFURAÇÃO'!$P:$P,MATCH(MEDIÇÃO!K1019,'PROJETO PERFURAÇÃO'!$B:$B,0))="Buffer","B",IF(INDEX('PROJETO PERFURAÇÃO'!$P:$P,MATCH(MEDIÇÃO!K1019,'PROJETO PERFURAÇÃO'!$B:$B,0))="Pre-Splitting","S"))),"")</f>
        <v/>
      </c>
      <c r="K1019" s="14">
        <f>K1018+1</f>
        <v>2254</v>
      </c>
      <c r="L1019" s="4" t="str">
        <f>IFERROR(INDEX('LEV R&amp;D'!$D:$D,MATCH(MEDIÇÃO!K1019,'LEV R&amp;D'!$A:$A,0))-INDEX('PROJETO PERFURAÇÃO'!$AH:$AH,MATCH(MEDIÇÃO!K1019,'PROJETO PERFURAÇÃO'!$B:$B,0)),"")</f>
        <v/>
      </c>
      <c r="M1019" s="8" t="str">
        <f>IFERROR(INDEX('PROJETO PERFURAÇÃO'!$AN:$AN,MATCH(MEDIÇÃO!K1019,'PROJETO PERFURAÇÃO'!$B:$B,0)),"")</f>
        <v/>
      </c>
      <c r="N1019" s="3"/>
      <c r="O1019" s="3"/>
      <c r="P1019" s="3" t="str">
        <f>IFERROR(ROUND(INDEX('PROJETO PERFURAÇÃO'!$AB:$AB,MATCH(MEDIÇÃO!R1019,'PROJETO PERFURAÇÃO'!$B:$B,0)),1)&amp;"''","")</f>
        <v/>
      </c>
      <c r="Q1019" s="3" t="str">
        <f>IFERROR(IF(INDEX('PROJETO PERFURAÇÃO'!$P:$P,MATCH(MEDIÇÃO!R1019,'PROJETO PERFURAÇÃO'!$B:$B,0))="Production","P",IF(INDEX('PROJETO PERFURAÇÃO'!$P:$P,MATCH(MEDIÇÃO!R1019,'PROJETO PERFURAÇÃO'!$B:$B,0))="Buffer","B",IF(INDEX('PROJETO PERFURAÇÃO'!$P:$P,MATCH(MEDIÇÃO!R1019,'PROJETO PERFURAÇÃO'!$B:$B,0))="Pre-Splitting","S"))),"")</f>
        <v/>
      </c>
      <c r="R1019" s="14">
        <f>R1018+1</f>
        <v>2277</v>
      </c>
      <c r="S1019" s="4" t="str">
        <f>IFERROR(INDEX('LEV R&amp;D'!$D:$D,MATCH(MEDIÇÃO!R1019,'LEV R&amp;D'!$A:$A,0))-INDEX('PROJETO PERFURAÇÃO'!$AH:$AH,MATCH(MEDIÇÃO!R1019,'PROJETO PERFURAÇÃO'!$B:$B,0)),"")</f>
        <v/>
      </c>
      <c r="T1019" s="8" t="str">
        <f>IFERROR(INDEX('PROJETO PERFURAÇÃO'!$AN:$AN,MATCH(MEDIÇÃO!R1019,'PROJETO PERFURAÇÃO'!$B:$B,0)),"")</f>
        <v/>
      </c>
      <c r="U1019" s="3"/>
      <c r="V1019" s="3"/>
    </row>
    <row r="1020" spans="2:22" ht="30" customHeight="1" x14ac:dyDescent="0.25">
      <c r="B1020" s="1"/>
      <c r="C1020" s="1"/>
      <c r="D1020" s="15"/>
      <c r="E1020" s="2"/>
      <c r="F1020" s="16"/>
      <c r="G1020" s="1"/>
      <c r="H1020" s="1"/>
      <c r="I1020" s="1"/>
      <c r="J1020" s="1"/>
      <c r="K1020" s="15"/>
      <c r="L1020" s="2"/>
      <c r="M1020" s="16"/>
      <c r="N1020" s="1"/>
      <c r="O1020" s="1"/>
      <c r="P1020" s="1"/>
      <c r="Q1020" s="1"/>
      <c r="R1020" s="15"/>
      <c r="S1020" s="2"/>
      <c r="T1020" s="16"/>
      <c r="U1020" s="1"/>
      <c r="V1020" s="1"/>
    </row>
    <row r="1021" spans="2:22" ht="30" customHeight="1" x14ac:dyDescent="0.25">
      <c r="C1021" s="20"/>
      <c r="D1021" s="20"/>
      <c r="E1021" s="20"/>
      <c r="F1021" s="20"/>
      <c r="G1021" s="20"/>
      <c r="H1021" s="20"/>
      <c r="I1021" s="20"/>
      <c r="J1021" s="20"/>
      <c r="K1021" s="20"/>
      <c r="M1021" s="20"/>
      <c r="N1021" s="20"/>
      <c r="O1021" s="20"/>
      <c r="P1021" s="20"/>
      <c r="Q1021" s="20"/>
      <c r="R1021" s="20"/>
      <c r="S1021" s="20"/>
      <c r="T1021" s="20"/>
      <c r="U1021" s="20"/>
    </row>
    <row r="1022" spans="2:22" ht="30" customHeight="1" x14ac:dyDescent="0.25">
      <c r="C1022" s="21" t="s">
        <v>40</v>
      </c>
      <c r="D1022" s="21"/>
      <c r="E1022" s="21"/>
      <c r="F1022" s="21"/>
      <c r="G1022" s="21"/>
      <c r="H1022" s="21"/>
      <c r="I1022" s="21"/>
      <c r="J1022" s="21"/>
      <c r="K1022" s="21"/>
      <c r="L1022" s="9"/>
      <c r="M1022" s="21" t="s">
        <v>40</v>
      </c>
      <c r="N1022" s="21"/>
      <c r="O1022" s="21"/>
      <c r="P1022" s="21"/>
      <c r="Q1022" s="21"/>
      <c r="R1022" s="21"/>
      <c r="S1022" s="21"/>
      <c r="T1022" s="21"/>
      <c r="U1022" s="21"/>
      <c r="V1022" s="9"/>
    </row>
    <row r="1023" spans="2:22" ht="30" customHeight="1" x14ac:dyDescent="0.25">
      <c r="D1023" s="9"/>
      <c r="E1023" s="9"/>
      <c r="F1023" s="9"/>
      <c r="G1023" s="9"/>
      <c r="H1023" s="9"/>
      <c r="I1023" s="9"/>
      <c r="J1023" s="9"/>
      <c r="K1023" s="9"/>
      <c r="L1023" s="9"/>
      <c r="M1023" s="9"/>
      <c r="N1023" s="9"/>
      <c r="Q1023" s="9"/>
      <c r="R1023" s="9"/>
      <c r="S1023" s="9"/>
      <c r="T1023" s="9"/>
      <c r="U1023" s="9"/>
      <c r="V1023" s="9"/>
    </row>
    <row r="1024" spans="2:22" ht="30" customHeight="1" x14ac:dyDescent="0.25">
      <c r="B1024" s="19" t="str">
        <f>'PROJETO PERFURAÇÃO'!$C$2&amp;" - "&amp;'PROJETO PERFURAÇÃO'!$H$2</f>
        <v>LIB065 - PP0651026</v>
      </c>
      <c r="C1024" s="19"/>
      <c r="D1024" s="19"/>
      <c r="E1024" s="19"/>
      <c r="F1024" s="19"/>
      <c r="G1024" s="19"/>
      <c r="H1024" s="19"/>
      <c r="I1024" s="11" t="s">
        <v>34</v>
      </c>
      <c r="J1024" s="10" t="s">
        <v>37</v>
      </c>
    </row>
    <row r="1025" spans="1:23" ht="30" customHeight="1" x14ac:dyDescent="0.25">
      <c r="B1025" s="19"/>
      <c r="C1025" s="19"/>
      <c r="D1025" s="19"/>
      <c r="E1025" s="19"/>
      <c r="F1025" s="19"/>
      <c r="G1025" s="19"/>
      <c r="H1025" s="19"/>
      <c r="I1025" s="12" t="s">
        <v>35</v>
      </c>
      <c r="J1025" s="10" t="s">
        <v>38</v>
      </c>
      <c r="K1025" s="9"/>
      <c r="L1025" s="9"/>
      <c r="M1025" s="9"/>
      <c r="N1025" s="9"/>
      <c r="O1025" s="9"/>
      <c r="P1025" s="9"/>
      <c r="Q1025" s="9"/>
      <c r="R1025" s="9"/>
      <c r="S1025" s="9"/>
      <c r="T1025" s="9"/>
      <c r="U1025" s="9"/>
      <c r="V1025" s="9"/>
    </row>
    <row r="1026" spans="1:23" ht="30" customHeight="1" x14ac:dyDescent="0.25">
      <c r="B1026" s="19"/>
      <c r="C1026" s="19"/>
      <c r="D1026" s="19"/>
      <c r="E1026" s="19"/>
      <c r="F1026" s="19"/>
      <c r="G1026" s="19"/>
      <c r="H1026" s="19"/>
      <c r="I1026" s="13" t="s">
        <v>36</v>
      </c>
      <c r="J1026" s="10" t="s">
        <v>39</v>
      </c>
    </row>
    <row r="1027" spans="1:23" ht="30" customHeight="1" x14ac:dyDescent="0.25">
      <c r="A1027" s="1"/>
      <c r="B1027" s="6" t="s">
        <v>33</v>
      </c>
      <c r="C1027" s="6" t="s">
        <v>13</v>
      </c>
      <c r="D1027" s="7" t="s">
        <v>1</v>
      </c>
      <c r="E1027" s="7" t="s">
        <v>29</v>
      </c>
      <c r="F1027" s="7" t="s">
        <v>30</v>
      </c>
      <c r="G1027" s="7" t="s">
        <v>31</v>
      </c>
      <c r="H1027" s="7" t="s">
        <v>32</v>
      </c>
      <c r="I1027" s="6" t="s">
        <v>33</v>
      </c>
      <c r="J1027" s="6" t="s">
        <v>13</v>
      </c>
      <c r="K1027" s="7" t="s">
        <v>1</v>
      </c>
      <c r="L1027" s="7" t="s">
        <v>29</v>
      </c>
      <c r="M1027" s="7" t="s">
        <v>30</v>
      </c>
      <c r="N1027" s="7" t="s">
        <v>31</v>
      </c>
      <c r="O1027" s="7" t="s">
        <v>32</v>
      </c>
      <c r="P1027" s="6" t="s">
        <v>33</v>
      </c>
      <c r="Q1027" s="6" t="s">
        <v>13</v>
      </c>
      <c r="R1027" s="7" t="s">
        <v>1</v>
      </c>
      <c r="S1027" s="7" t="s">
        <v>29</v>
      </c>
      <c r="T1027" s="7" t="s">
        <v>30</v>
      </c>
      <c r="U1027" s="7" t="s">
        <v>31</v>
      </c>
      <c r="V1027" s="7" t="s">
        <v>32</v>
      </c>
      <c r="W1027" s="1"/>
    </row>
    <row r="1028" spans="1:23" ht="45" customHeight="1" x14ac:dyDescent="0.25">
      <c r="B1028" s="3" t="str">
        <f>IFERROR(ROUND(INDEX('PROJETO PERFURAÇÃO'!$AB:$AB,MATCH(MEDIÇÃO!D1028,'PROJETO PERFURAÇÃO'!$B:$B,0)),1)&amp;"''","")</f>
        <v/>
      </c>
      <c r="C1028" s="3" t="str">
        <f>IFERROR(IF(INDEX('PROJETO PERFURAÇÃO'!$P:$P,MATCH(MEDIÇÃO!D1028,'PROJETO PERFURAÇÃO'!$B:$B,0))="Production","P",IF(INDEX('PROJETO PERFURAÇÃO'!$P:$P,MATCH(MEDIÇÃO!D1028,'PROJETO PERFURAÇÃO'!$B:$B,0))="Buffer","B",IF(INDEX('PROJETO PERFURAÇÃO'!$P:$P,MATCH(MEDIÇÃO!D1028,'PROJETO PERFURAÇÃO'!$B:$B,0))="Pre-Splitting","S"))),"")</f>
        <v/>
      </c>
      <c r="D1028" s="14">
        <f>R1019+1</f>
        <v>2278</v>
      </c>
      <c r="E1028" s="4" t="str">
        <f>IFERROR(INDEX('LEV R&amp;D'!$D:$D,MATCH(MEDIÇÃO!D1028,'LEV R&amp;D'!$A:$A,0))-INDEX('PROJETO PERFURAÇÃO'!$AH:$AH,MATCH(MEDIÇÃO!D1028,'PROJETO PERFURAÇÃO'!$B:$B,0)),"")</f>
        <v/>
      </c>
      <c r="F1028" s="8" t="str">
        <f>IFERROR(INDEX('PROJETO PERFURAÇÃO'!$AN:$AN,MATCH(MEDIÇÃO!D1028,'PROJETO PERFURAÇÃO'!$B:$B,0)),"")</f>
        <v/>
      </c>
      <c r="G1028" s="3"/>
      <c r="H1028" s="3"/>
      <c r="I1028" s="3" t="str">
        <f>IFERROR(ROUND(INDEX('PROJETO PERFURAÇÃO'!$AB:$AB,MATCH(MEDIÇÃO!K1028,'PROJETO PERFURAÇÃO'!$B:$B,0)),1)&amp;"''","")</f>
        <v/>
      </c>
      <c r="J1028" s="3" t="str">
        <f>IFERROR(IF(INDEX('PROJETO PERFURAÇÃO'!$P:$P,MATCH(MEDIÇÃO!K1028,'PROJETO PERFURAÇÃO'!$B:$B,0))="Production","P",IF(INDEX('PROJETO PERFURAÇÃO'!$P:$P,MATCH(MEDIÇÃO!K1028,'PROJETO PERFURAÇÃO'!$B:$B,0))="Buffer","B",IF(INDEX('PROJETO PERFURAÇÃO'!$P:$P,MATCH(MEDIÇÃO!K1028,'PROJETO PERFURAÇÃO'!$B:$B,0))="Pre-Splitting","S"))),"")</f>
        <v/>
      </c>
      <c r="K1028" s="14">
        <f>D1050+1</f>
        <v>2301</v>
      </c>
      <c r="L1028" s="4" t="str">
        <f>IFERROR(INDEX('LEV R&amp;D'!$D:$D,MATCH(MEDIÇÃO!K1028,'LEV R&amp;D'!$A:$A,0))-INDEX('PROJETO PERFURAÇÃO'!$AH:$AH,MATCH(MEDIÇÃO!K1028,'PROJETO PERFURAÇÃO'!$B:$B,0)),"")</f>
        <v/>
      </c>
      <c r="M1028" s="8" t="str">
        <f>IFERROR(INDEX('PROJETO PERFURAÇÃO'!$AN:$AN,MATCH(MEDIÇÃO!K1028,'PROJETO PERFURAÇÃO'!$B:$B,0)),"")</f>
        <v/>
      </c>
      <c r="N1028" s="3"/>
      <c r="O1028" s="3"/>
      <c r="P1028" s="3" t="str">
        <f>IFERROR(ROUND(INDEX('PROJETO PERFURAÇÃO'!$AB:$AB,MATCH(MEDIÇÃO!R1028,'PROJETO PERFURAÇÃO'!$B:$B,0)),1)&amp;"''","")</f>
        <v/>
      </c>
      <c r="Q1028" s="3" t="str">
        <f>IFERROR(IF(INDEX('PROJETO PERFURAÇÃO'!$P:$P,MATCH(MEDIÇÃO!R1028,'PROJETO PERFURAÇÃO'!$B:$B,0))="Production","P",IF(INDEX('PROJETO PERFURAÇÃO'!$P:$P,MATCH(MEDIÇÃO!R1028,'PROJETO PERFURAÇÃO'!$B:$B,0))="Buffer","B",IF(INDEX('PROJETO PERFURAÇÃO'!$P:$P,MATCH(MEDIÇÃO!R1028,'PROJETO PERFURAÇÃO'!$B:$B,0))="Pre-Splitting","S"))),"")</f>
        <v/>
      </c>
      <c r="R1028" s="14">
        <f>K1050+1</f>
        <v>2324</v>
      </c>
      <c r="S1028" s="4" t="str">
        <f>IFERROR(INDEX('LEV R&amp;D'!$D:$D,MATCH(MEDIÇÃO!R1028,'LEV R&amp;D'!$A:$A,0))-INDEX('PROJETO PERFURAÇÃO'!$AH:$AH,MATCH(MEDIÇÃO!R1028,'PROJETO PERFURAÇÃO'!$B:$B,0)),"")</f>
        <v/>
      </c>
      <c r="T1028" s="8" t="str">
        <f>IFERROR(INDEX('PROJETO PERFURAÇÃO'!$AN:$AN,MATCH(MEDIÇÃO!R1028,'PROJETO PERFURAÇÃO'!$B:$B,0)),"")</f>
        <v/>
      </c>
      <c r="U1028" s="3"/>
      <c r="V1028" s="3"/>
    </row>
    <row r="1029" spans="1:23" ht="45" customHeight="1" x14ac:dyDescent="0.25">
      <c r="B1029" s="3" t="str">
        <f>IFERROR(ROUND(INDEX('PROJETO PERFURAÇÃO'!$AB:$AB,MATCH(MEDIÇÃO!D1029,'PROJETO PERFURAÇÃO'!$B:$B,0)),1)&amp;"''","")</f>
        <v/>
      </c>
      <c r="C1029" s="3" t="str">
        <f>IFERROR(IF(INDEX('PROJETO PERFURAÇÃO'!$P:$P,MATCH(MEDIÇÃO!D1029,'PROJETO PERFURAÇÃO'!$B:$B,0))="Production","P",IF(INDEX('PROJETO PERFURAÇÃO'!$P:$P,MATCH(MEDIÇÃO!D1029,'PROJETO PERFURAÇÃO'!$B:$B,0))="Buffer","B",IF(INDEX('PROJETO PERFURAÇÃO'!$P:$P,MATCH(MEDIÇÃO!D1029,'PROJETO PERFURAÇÃO'!$B:$B,0))="Pre-Splitting","S"))),"")</f>
        <v/>
      </c>
      <c r="D1029" s="14">
        <f>D1028+1</f>
        <v>2279</v>
      </c>
      <c r="E1029" s="4" t="str">
        <f>IFERROR(INDEX('LEV R&amp;D'!$D:$D,MATCH(MEDIÇÃO!D1029,'LEV R&amp;D'!$A:$A,0))-INDEX('PROJETO PERFURAÇÃO'!$AH:$AH,MATCH(MEDIÇÃO!D1029,'PROJETO PERFURAÇÃO'!$B:$B,0)),"")</f>
        <v/>
      </c>
      <c r="F1029" s="8" t="str">
        <f>IFERROR(INDEX('PROJETO PERFURAÇÃO'!$AN:$AN,MATCH(MEDIÇÃO!D1029,'PROJETO PERFURAÇÃO'!$B:$B,0)),"")</f>
        <v/>
      </c>
      <c r="G1029" s="3"/>
      <c r="H1029" s="3"/>
      <c r="I1029" s="3" t="str">
        <f>IFERROR(ROUND(INDEX('PROJETO PERFURAÇÃO'!$AB:$AB,MATCH(MEDIÇÃO!K1029,'PROJETO PERFURAÇÃO'!$B:$B,0)),1)&amp;"''","")</f>
        <v/>
      </c>
      <c r="J1029" s="3" t="str">
        <f>IFERROR(IF(INDEX('PROJETO PERFURAÇÃO'!$P:$P,MATCH(MEDIÇÃO!K1029,'PROJETO PERFURAÇÃO'!$B:$B,0))="Production","P",IF(INDEX('PROJETO PERFURAÇÃO'!$P:$P,MATCH(MEDIÇÃO!K1029,'PROJETO PERFURAÇÃO'!$B:$B,0))="Buffer","B",IF(INDEX('PROJETO PERFURAÇÃO'!$P:$P,MATCH(MEDIÇÃO!K1029,'PROJETO PERFURAÇÃO'!$B:$B,0))="Pre-Splitting","S"))),"")</f>
        <v/>
      </c>
      <c r="K1029" s="14">
        <f>K1028+1</f>
        <v>2302</v>
      </c>
      <c r="L1029" s="4" t="str">
        <f>IFERROR(INDEX('LEV R&amp;D'!$D:$D,MATCH(MEDIÇÃO!K1029,'LEV R&amp;D'!$A:$A,0))-INDEX('PROJETO PERFURAÇÃO'!$AH:$AH,MATCH(MEDIÇÃO!K1029,'PROJETO PERFURAÇÃO'!$B:$B,0)),"")</f>
        <v/>
      </c>
      <c r="M1029" s="8" t="str">
        <f>IFERROR(INDEX('PROJETO PERFURAÇÃO'!$AN:$AN,MATCH(MEDIÇÃO!K1029,'PROJETO PERFURAÇÃO'!$B:$B,0)),"")</f>
        <v/>
      </c>
      <c r="N1029" s="3"/>
      <c r="O1029" s="3"/>
      <c r="P1029" s="3" t="str">
        <f>IFERROR(ROUND(INDEX('PROJETO PERFURAÇÃO'!$AB:$AB,MATCH(MEDIÇÃO!R1029,'PROJETO PERFURAÇÃO'!$B:$B,0)),1)&amp;"''","")</f>
        <v/>
      </c>
      <c r="Q1029" s="3" t="str">
        <f>IFERROR(IF(INDEX('PROJETO PERFURAÇÃO'!$P:$P,MATCH(MEDIÇÃO!R1029,'PROJETO PERFURAÇÃO'!$B:$B,0))="Production","P",IF(INDEX('PROJETO PERFURAÇÃO'!$P:$P,MATCH(MEDIÇÃO!R1029,'PROJETO PERFURAÇÃO'!$B:$B,0))="Buffer","B",IF(INDEX('PROJETO PERFURAÇÃO'!$P:$P,MATCH(MEDIÇÃO!R1029,'PROJETO PERFURAÇÃO'!$B:$B,0))="Pre-Splitting","S"))),"")</f>
        <v/>
      </c>
      <c r="R1029" s="14">
        <f>R1028+1</f>
        <v>2325</v>
      </c>
      <c r="S1029" s="4" t="str">
        <f>IFERROR(INDEX('LEV R&amp;D'!$D:$D,MATCH(MEDIÇÃO!R1029,'LEV R&amp;D'!$A:$A,0))-INDEX('PROJETO PERFURAÇÃO'!$AH:$AH,MATCH(MEDIÇÃO!R1029,'PROJETO PERFURAÇÃO'!$B:$B,0)),"")</f>
        <v/>
      </c>
      <c r="T1029" s="8" t="str">
        <f>IFERROR(INDEX('PROJETO PERFURAÇÃO'!$AN:$AN,MATCH(MEDIÇÃO!R1029,'PROJETO PERFURAÇÃO'!$B:$B,0)),"")</f>
        <v/>
      </c>
      <c r="U1029" s="3"/>
      <c r="V1029" s="3"/>
    </row>
    <row r="1030" spans="1:23" ht="45" customHeight="1" x14ac:dyDescent="0.25">
      <c r="B1030" s="3" t="str">
        <f>IFERROR(ROUND(INDEX('PROJETO PERFURAÇÃO'!$AB:$AB,MATCH(MEDIÇÃO!D1030,'PROJETO PERFURAÇÃO'!$B:$B,0)),1)&amp;"''","")</f>
        <v/>
      </c>
      <c r="C1030" s="3" t="str">
        <f>IFERROR(IF(INDEX('PROJETO PERFURAÇÃO'!$P:$P,MATCH(MEDIÇÃO!D1030,'PROJETO PERFURAÇÃO'!$B:$B,0))="Production","P",IF(INDEX('PROJETO PERFURAÇÃO'!$P:$P,MATCH(MEDIÇÃO!D1030,'PROJETO PERFURAÇÃO'!$B:$B,0))="Buffer","B",IF(INDEX('PROJETO PERFURAÇÃO'!$P:$P,MATCH(MEDIÇÃO!D1030,'PROJETO PERFURAÇÃO'!$B:$B,0))="Pre-Splitting","S"))),"")</f>
        <v/>
      </c>
      <c r="D1030" s="14">
        <f t="shared" ref="D1030:D1050" si="99">D1029+1</f>
        <v>2280</v>
      </c>
      <c r="E1030" s="4" t="str">
        <f>IFERROR(INDEX('LEV R&amp;D'!$D:$D,MATCH(MEDIÇÃO!D1030,'LEV R&amp;D'!$A:$A,0))-INDEX('PROJETO PERFURAÇÃO'!$AH:$AH,MATCH(MEDIÇÃO!D1030,'PROJETO PERFURAÇÃO'!$B:$B,0)),"")</f>
        <v/>
      </c>
      <c r="F1030" s="8" t="str">
        <f>IFERROR(INDEX('PROJETO PERFURAÇÃO'!$AN:$AN,MATCH(MEDIÇÃO!D1030,'PROJETO PERFURAÇÃO'!$B:$B,0)),"")</f>
        <v/>
      </c>
      <c r="G1030" s="3"/>
      <c r="H1030" s="3"/>
      <c r="I1030" s="3" t="str">
        <f>IFERROR(ROUND(INDEX('PROJETO PERFURAÇÃO'!$AB:$AB,MATCH(MEDIÇÃO!K1030,'PROJETO PERFURAÇÃO'!$B:$B,0)),1)&amp;"''","")</f>
        <v/>
      </c>
      <c r="J1030" s="3" t="str">
        <f>IFERROR(IF(INDEX('PROJETO PERFURAÇÃO'!$P:$P,MATCH(MEDIÇÃO!K1030,'PROJETO PERFURAÇÃO'!$B:$B,0))="Production","P",IF(INDEX('PROJETO PERFURAÇÃO'!$P:$P,MATCH(MEDIÇÃO!K1030,'PROJETO PERFURAÇÃO'!$B:$B,0))="Buffer","B",IF(INDEX('PROJETO PERFURAÇÃO'!$P:$P,MATCH(MEDIÇÃO!K1030,'PROJETO PERFURAÇÃO'!$B:$B,0))="Pre-Splitting","S"))),"")</f>
        <v/>
      </c>
      <c r="K1030" s="14">
        <f t="shared" ref="K1030:K1049" si="100">K1029+1</f>
        <v>2303</v>
      </c>
      <c r="L1030" s="4" t="str">
        <f>IFERROR(INDEX('LEV R&amp;D'!$D:$D,MATCH(MEDIÇÃO!K1030,'LEV R&amp;D'!$A:$A,0))-INDEX('PROJETO PERFURAÇÃO'!$AH:$AH,MATCH(MEDIÇÃO!K1030,'PROJETO PERFURAÇÃO'!$B:$B,0)),"")</f>
        <v/>
      </c>
      <c r="M1030" s="8" t="str">
        <f>IFERROR(INDEX('PROJETO PERFURAÇÃO'!$AN:$AN,MATCH(MEDIÇÃO!K1030,'PROJETO PERFURAÇÃO'!$B:$B,0)),"")</f>
        <v/>
      </c>
      <c r="N1030" s="3"/>
      <c r="O1030" s="3"/>
      <c r="P1030" s="3" t="str">
        <f>IFERROR(ROUND(INDEX('PROJETO PERFURAÇÃO'!$AB:$AB,MATCH(MEDIÇÃO!R1030,'PROJETO PERFURAÇÃO'!$B:$B,0)),1)&amp;"''","")</f>
        <v/>
      </c>
      <c r="Q1030" s="3" t="str">
        <f>IFERROR(IF(INDEX('PROJETO PERFURAÇÃO'!$P:$P,MATCH(MEDIÇÃO!R1030,'PROJETO PERFURAÇÃO'!$B:$B,0))="Production","P",IF(INDEX('PROJETO PERFURAÇÃO'!$P:$P,MATCH(MEDIÇÃO!R1030,'PROJETO PERFURAÇÃO'!$B:$B,0))="Buffer","B",IF(INDEX('PROJETO PERFURAÇÃO'!$P:$P,MATCH(MEDIÇÃO!R1030,'PROJETO PERFURAÇÃO'!$B:$B,0))="Pre-Splitting","S"))),"")</f>
        <v/>
      </c>
      <c r="R1030" s="14">
        <f t="shared" ref="R1030:R1049" si="101">R1029+1</f>
        <v>2326</v>
      </c>
      <c r="S1030" s="4" t="str">
        <f>IFERROR(INDEX('LEV R&amp;D'!$D:$D,MATCH(MEDIÇÃO!R1030,'LEV R&amp;D'!$A:$A,0))-INDEX('PROJETO PERFURAÇÃO'!$AH:$AH,MATCH(MEDIÇÃO!R1030,'PROJETO PERFURAÇÃO'!$B:$B,0)),"")</f>
        <v/>
      </c>
      <c r="T1030" s="8" t="str">
        <f>IFERROR(INDEX('PROJETO PERFURAÇÃO'!$AN:$AN,MATCH(MEDIÇÃO!R1030,'PROJETO PERFURAÇÃO'!$B:$B,0)),"")</f>
        <v/>
      </c>
      <c r="U1030" s="3"/>
      <c r="V1030" s="3"/>
    </row>
    <row r="1031" spans="1:23" ht="45" customHeight="1" x14ac:dyDescent="0.25">
      <c r="B1031" s="3" t="str">
        <f>IFERROR(ROUND(INDEX('PROJETO PERFURAÇÃO'!$AB:$AB,MATCH(MEDIÇÃO!D1031,'PROJETO PERFURAÇÃO'!$B:$B,0)),1)&amp;"''","")</f>
        <v/>
      </c>
      <c r="C1031" s="3" t="str">
        <f>IFERROR(IF(INDEX('PROJETO PERFURAÇÃO'!$P:$P,MATCH(MEDIÇÃO!D1031,'PROJETO PERFURAÇÃO'!$B:$B,0))="Production","P",IF(INDEX('PROJETO PERFURAÇÃO'!$P:$P,MATCH(MEDIÇÃO!D1031,'PROJETO PERFURAÇÃO'!$B:$B,0))="Buffer","B",IF(INDEX('PROJETO PERFURAÇÃO'!$P:$P,MATCH(MEDIÇÃO!D1031,'PROJETO PERFURAÇÃO'!$B:$B,0))="Pre-Splitting","S"))),"")</f>
        <v/>
      </c>
      <c r="D1031" s="14">
        <f t="shared" si="99"/>
        <v>2281</v>
      </c>
      <c r="E1031" s="4" t="str">
        <f>IFERROR(INDEX('LEV R&amp;D'!$D:$D,MATCH(MEDIÇÃO!D1031,'LEV R&amp;D'!$A:$A,0))-INDEX('PROJETO PERFURAÇÃO'!$AH:$AH,MATCH(MEDIÇÃO!D1031,'PROJETO PERFURAÇÃO'!$B:$B,0)),"")</f>
        <v/>
      </c>
      <c r="F1031" s="8" t="str">
        <f>IFERROR(INDEX('PROJETO PERFURAÇÃO'!$AN:$AN,MATCH(MEDIÇÃO!D1031,'PROJETO PERFURAÇÃO'!$B:$B,0)),"")</f>
        <v/>
      </c>
      <c r="G1031" s="3"/>
      <c r="H1031" s="3"/>
      <c r="I1031" s="3" t="str">
        <f>IFERROR(ROUND(INDEX('PROJETO PERFURAÇÃO'!$AB:$AB,MATCH(MEDIÇÃO!K1031,'PROJETO PERFURAÇÃO'!$B:$B,0)),1)&amp;"''","")</f>
        <v/>
      </c>
      <c r="J1031" s="3" t="str">
        <f>IFERROR(IF(INDEX('PROJETO PERFURAÇÃO'!$P:$P,MATCH(MEDIÇÃO!K1031,'PROJETO PERFURAÇÃO'!$B:$B,0))="Production","P",IF(INDEX('PROJETO PERFURAÇÃO'!$P:$P,MATCH(MEDIÇÃO!K1031,'PROJETO PERFURAÇÃO'!$B:$B,0))="Buffer","B",IF(INDEX('PROJETO PERFURAÇÃO'!$P:$P,MATCH(MEDIÇÃO!K1031,'PROJETO PERFURAÇÃO'!$B:$B,0))="Pre-Splitting","S"))),"")</f>
        <v/>
      </c>
      <c r="K1031" s="14">
        <f t="shared" si="100"/>
        <v>2304</v>
      </c>
      <c r="L1031" s="4" t="str">
        <f>IFERROR(INDEX('LEV R&amp;D'!$D:$D,MATCH(MEDIÇÃO!K1031,'LEV R&amp;D'!$A:$A,0))-INDEX('PROJETO PERFURAÇÃO'!$AH:$AH,MATCH(MEDIÇÃO!K1031,'PROJETO PERFURAÇÃO'!$B:$B,0)),"")</f>
        <v/>
      </c>
      <c r="M1031" s="8" t="str">
        <f>IFERROR(INDEX('PROJETO PERFURAÇÃO'!$AN:$AN,MATCH(MEDIÇÃO!K1031,'PROJETO PERFURAÇÃO'!$B:$B,0)),"")</f>
        <v/>
      </c>
      <c r="N1031" s="3"/>
      <c r="O1031" s="3"/>
      <c r="P1031" s="3" t="str">
        <f>IFERROR(ROUND(INDEX('PROJETO PERFURAÇÃO'!$AB:$AB,MATCH(MEDIÇÃO!R1031,'PROJETO PERFURAÇÃO'!$B:$B,0)),1)&amp;"''","")</f>
        <v/>
      </c>
      <c r="Q1031" s="3" t="str">
        <f>IFERROR(IF(INDEX('PROJETO PERFURAÇÃO'!$P:$P,MATCH(MEDIÇÃO!R1031,'PROJETO PERFURAÇÃO'!$B:$B,0))="Production","P",IF(INDEX('PROJETO PERFURAÇÃO'!$P:$P,MATCH(MEDIÇÃO!R1031,'PROJETO PERFURAÇÃO'!$B:$B,0))="Buffer","B",IF(INDEX('PROJETO PERFURAÇÃO'!$P:$P,MATCH(MEDIÇÃO!R1031,'PROJETO PERFURAÇÃO'!$B:$B,0))="Pre-Splitting","S"))),"")</f>
        <v/>
      </c>
      <c r="R1031" s="14">
        <f t="shared" si="101"/>
        <v>2327</v>
      </c>
      <c r="S1031" s="4" t="str">
        <f>IFERROR(INDEX('LEV R&amp;D'!$D:$D,MATCH(MEDIÇÃO!R1031,'LEV R&amp;D'!$A:$A,0))-INDEX('PROJETO PERFURAÇÃO'!$AH:$AH,MATCH(MEDIÇÃO!R1031,'PROJETO PERFURAÇÃO'!$B:$B,0)),"")</f>
        <v/>
      </c>
      <c r="T1031" s="8" t="str">
        <f>IFERROR(INDEX('PROJETO PERFURAÇÃO'!$AN:$AN,MATCH(MEDIÇÃO!R1031,'PROJETO PERFURAÇÃO'!$B:$B,0)),"")</f>
        <v/>
      </c>
      <c r="U1031" s="3"/>
      <c r="V1031" s="3"/>
    </row>
    <row r="1032" spans="1:23" ht="45" customHeight="1" x14ac:dyDescent="0.25">
      <c r="B1032" s="3" t="str">
        <f>IFERROR(ROUND(INDEX('PROJETO PERFURAÇÃO'!$AB:$AB,MATCH(MEDIÇÃO!D1032,'PROJETO PERFURAÇÃO'!$B:$B,0)),1)&amp;"''","")</f>
        <v/>
      </c>
      <c r="C1032" s="3" t="str">
        <f>IFERROR(IF(INDEX('PROJETO PERFURAÇÃO'!$P:$P,MATCH(MEDIÇÃO!D1032,'PROJETO PERFURAÇÃO'!$B:$B,0))="Production","P",IF(INDEX('PROJETO PERFURAÇÃO'!$P:$P,MATCH(MEDIÇÃO!D1032,'PROJETO PERFURAÇÃO'!$B:$B,0))="Buffer","B",IF(INDEX('PROJETO PERFURAÇÃO'!$P:$P,MATCH(MEDIÇÃO!D1032,'PROJETO PERFURAÇÃO'!$B:$B,0))="Pre-Splitting","S"))),"")</f>
        <v/>
      </c>
      <c r="D1032" s="14">
        <f t="shared" si="99"/>
        <v>2282</v>
      </c>
      <c r="E1032" s="4" t="str">
        <f>IFERROR(INDEX('LEV R&amp;D'!$D:$D,MATCH(MEDIÇÃO!D1032,'LEV R&amp;D'!$A:$A,0))-INDEX('PROJETO PERFURAÇÃO'!$AH:$AH,MATCH(MEDIÇÃO!D1032,'PROJETO PERFURAÇÃO'!$B:$B,0)),"")</f>
        <v/>
      </c>
      <c r="F1032" s="8" t="str">
        <f>IFERROR(INDEX('PROJETO PERFURAÇÃO'!$AN:$AN,MATCH(MEDIÇÃO!D1032,'PROJETO PERFURAÇÃO'!$B:$B,0)),"")</f>
        <v/>
      </c>
      <c r="G1032" s="3"/>
      <c r="H1032" s="3"/>
      <c r="I1032" s="3" t="str">
        <f>IFERROR(ROUND(INDEX('PROJETO PERFURAÇÃO'!$AB:$AB,MATCH(MEDIÇÃO!K1032,'PROJETO PERFURAÇÃO'!$B:$B,0)),1)&amp;"''","")</f>
        <v/>
      </c>
      <c r="J1032" s="3" t="str">
        <f>IFERROR(IF(INDEX('PROJETO PERFURAÇÃO'!$P:$P,MATCH(MEDIÇÃO!K1032,'PROJETO PERFURAÇÃO'!$B:$B,0))="Production","P",IF(INDEX('PROJETO PERFURAÇÃO'!$P:$P,MATCH(MEDIÇÃO!K1032,'PROJETO PERFURAÇÃO'!$B:$B,0))="Buffer","B",IF(INDEX('PROJETO PERFURAÇÃO'!$P:$P,MATCH(MEDIÇÃO!K1032,'PROJETO PERFURAÇÃO'!$B:$B,0))="Pre-Splitting","S"))),"")</f>
        <v/>
      </c>
      <c r="K1032" s="14">
        <f t="shared" si="100"/>
        <v>2305</v>
      </c>
      <c r="L1032" s="4" t="str">
        <f>IFERROR(INDEX('LEV R&amp;D'!$D:$D,MATCH(MEDIÇÃO!K1032,'LEV R&amp;D'!$A:$A,0))-INDEX('PROJETO PERFURAÇÃO'!$AH:$AH,MATCH(MEDIÇÃO!K1032,'PROJETO PERFURAÇÃO'!$B:$B,0)),"")</f>
        <v/>
      </c>
      <c r="M1032" s="8" t="str">
        <f>IFERROR(INDEX('PROJETO PERFURAÇÃO'!$AN:$AN,MATCH(MEDIÇÃO!K1032,'PROJETO PERFURAÇÃO'!$B:$B,0)),"")</f>
        <v/>
      </c>
      <c r="N1032" s="3"/>
      <c r="O1032" s="3"/>
      <c r="P1032" s="3" t="str">
        <f>IFERROR(ROUND(INDEX('PROJETO PERFURAÇÃO'!$AB:$AB,MATCH(MEDIÇÃO!R1032,'PROJETO PERFURAÇÃO'!$B:$B,0)),1)&amp;"''","")</f>
        <v/>
      </c>
      <c r="Q1032" s="3" t="str">
        <f>IFERROR(IF(INDEX('PROJETO PERFURAÇÃO'!$P:$P,MATCH(MEDIÇÃO!R1032,'PROJETO PERFURAÇÃO'!$B:$B,0))="Production","P",IF(INDEX('PROJETO PERFURAÇÃO'!$P:$P,MATCH(MEDIÇÃO!R1032,'PROJETO PERFURAÇÃO'!$B:$B,0))="Buffer","B",IF(INDEX('PROJETO PERFURAÇÃO'!$P:$P,MATCH(MEDIÇÃO!R1032,'PROJETO PERFURAÇÃO'!$B:$B,0))="Pre-Splitting","S"))),"")</f>
        <v/>
      </c>
      <c r="R1032" s="14">
        <f t="shared" si="101"/>
        <v>2328</v>
      </c>
      <c r="S1032" s="4" t="str">
        <f>IFERROR(INDEX('LEV R&amp;D'!$D:$D,MATCH(MEDIÇÃO!R1032,'LEV R&amp;D'!$A:$A,0))-INDEX('PROJETO PERFURAÇÃO'!$AH:$AH,MATCH(MEDIÇÃO!R1032,'PROJETO PERFURAÇÃO'!$B:$B,0)),"")</f>
        <v/>
      </c>
      <c r="T1032" s="8" t="str">
        <f>IFERROR(INDEX('PROJETO PERFURAÇÃO'!$AN:$AN,MATCH(MEDIÇÃO!R1032,'PROJETO PERFURAÇÃO'!$B:$B,0)),"")</f>
        <v/>
      </c>
      <c r="U1032" s="3"/>
      <c r="V1032" s="3"/>
    </row>
    <row r="1033" spans="1:23" ht="45" customHeight="1" x14ac:dyDescent="0.25">
      <c r="B1033" s="3" t="str">
        <f>IFERROR(ROUND(INDEX('PROJETO PERFURAÇÃO'!$AB:$AB,MATCH(MEDIÇÃO!D1033,'PROJETO PERFURAÇÃO'!$B:$B,0)),1)&amp;"''","")</f>
        <v/>
      </c>
      <c r="C1033" s="3" t="str">
        <f>IFERROR(IF(INDEX('PROJETO PERFURAÇÃO'!$P:$P,MATCH(MEDIÇÃO!D1033,'PROJETO PERFURAÇÃO'!$B:$B,0))="Production","P",IF(INDEX('PROJETO PERFURAÇÃO'!$P:$P,MATCH(MEDIÇÃO!D1033,'PROJETO PERFURAÇÃO'!$B:$B,0))="Buffer","B",IF(INDEX('PROJETO PERFURAÇÃO'!$P:$P,MATCH(MEDIÇÃO!D1033,'PROJETO PERFURAÇÃO'!$B:$B,0))="Pre-Splitting","S"))),"")</f>
        <v/>
      </c>
      <c r="D1033" s="14">
        <f t="shared" si="99"/>
        <v>2283</v>
      </c>
      <c r="E1033" s="4" t="str">
        <f>IFERROR(INDEX('LEV R&amp;D'!$D:$D,MATCH(MEDIÇÃO!D1033,'LEV R&amp;D'!$A:$A,0))-INDEX('PROJETO PERFURAÇÃO'!$AH:$AH,MATCH(MEDIÇÃO!D1033,'PROJETO PERFURAÇÃO'!$B:$B,0)),"")</f>
        <v/>
      </c>
      <c r="F1033" s="8" t="str">
        <f>IFERROR(INDEX('PROJETO PERFURAÇÃO'!$AN:$AN,MATCH(MEDIÇÃO!D1033,'PROJETO PERFURAÇÃO'!$B:$B,0)),"")</f>
        <v/>
      </c>
      <c r="G1033" s="3"/>
      <c r="H1033" s="3"/>
      <c r="I1033" s="3" t="str">
        <f>IFERROR(ROUND(INDEX('PROJETO PERFURAÇÃO'!$AB:$AB,MATCH(MEDIÇÃO!K1033,'PROJETO PERFURAÇÃO'!$B:$B,0)),1)&amp;"''","")</f>
        <v/>
      </c>
      <c r="J1033" s="3" t="str">
        <f>IFERROR(IF(INDEX('PROJETO PERFURAÇÃO'!$P:$P,MATCH(MEDIÇÃO!K1033,'PROJETO PERFURAÇÃO'!$B:$B,0))="Production","P",IF(INDEX('PROJETO PERFURAÇÃO'!$P:$P,MATCH(MEDIÇÃO!K1033,'PROJETO PERFURAÇÃO'!$B:$B,0))="Buffer","B",IF(INDEX('PROJETO PERFURAÇÃO'!$P:$P,MATCH(MEDIÇÃO!K1033,'PROJETO PERFURAÇÃO'!$B:$B,0))="Pre-Splitting","S"))),"")</f>
        <v/>
      </c>
      <c r="K1033" s="14">
        <f t="shared" si="100"/>
        <v>2306</v>
      </c>
      <c r="L1033" s="4" t="str">
        <f>IFERROR(INDEX('LEV R&amp;D'!$D:$D,MATCH(MEDIÇÃO!K1033,'LEV R&amp;D'!$A:$A,0))-INDEX('PROJETO PERFURAÇÃO'!$AH:$AH,MATCH(MEDIÇÃO!K1033,'PROJETO PERFURAÇÃO'!$B:$B,0)),"")</f>
        <v/>
      </c>
      <c r="M1033" s="8" t="str">
        <f>IFERROR(INDEX('PROJETO PERFURAÇÃO'!$AN:$AN,MATCH(MEDIÇÃO!K1033,'PROJETO PERFURAÇÃO'!$B:$B,0)),"")</f>
        <v/>
      </c>
      <c r="N1033" s="3"/>
      <c r="O1033" s="3"/>
      <c r="P1033" s="3" t="str">
        <f>IFERROR(ROUND(INDEX('PROJETO PERFURAÇÃO'!$AB:$AB,MATCH(MEDIÇÃO!R1033,'PROJETO PERFURAÇÃO'!$B:$B,0)),1)&amp;"''","")</f>
        <v/>
      </c>
      <c r="Q1033" s="3" t="str">
        <f>IFERROR(IF(INDEX('PROJETO PERFURAÇÃO'!$P:$P,MATCH(MEDIÇÃO!R1033,'PROJETO PERFURAÇÃO'!$B:$B,0))="Production","P",IF(INDEX('PROJETO PERFURAÇÃO'!$P:$P,MATCH(MEDIÇÃO!R1033,'PROJETO PERFURAÇÃO'!$B:$B,0))="Buffer","B",IF(INDEX('PROJETO PERFURAÇÃO'!$P:$P,MATCH(MEDIÇÃO!R1033,'PROJETO PERFURAÇÃO'!$B:$B,0))="Pre-Splitting","S"))),"")</f>
        <v/>
      </c>
      <c r="R1033" s="14">
        <f t="shared" si="101"/>
        <v>2329</v>
      </c>
      <c r="S1033" s="4" t="str">
        <f>IFERROR(INDEX('LEV R&amp;D'!$D:$D,MATCH(MEDIÇÃO!R1033,'LEV R&amp;D'!$A:$A,0))-INDEX('PROJETO PERFURAÇÃO'!$AH:$AH,MATCH(MEDIÇÃO!R1033,'PROJETO PERFURAÇÃO'!$B:$B,0)),"")</f>
        <v/>
      </c>
      <c r="T1033" s="8" t="str">
        <f>IFERROR(INDEX('PROJETO PERFURAÇÃO'!$AN:$AN,MATCH(MEDIÇÃO!R1033,'PROJETO PERFURAÇÃO'!$B:$B,0)),"")</f>
        <v/>
      </c>
      <c r="U1033" s="3"/>
      <c r="V1033" s="3"/>
    </row>
    <row r="1034" spans="1:23" ht="45" customHeight="1" x14ac:dyDescent="0.25">
      <c r="B1034" s="3" t="str">
        <f>IFERROR(ROUND(INDEX('PROJETO PERFURAÇÃO'!$AB:$AB,MATCH(MEDIÇÃO!D1034,'PROJETO PERFURAÇÃO'!$B:$B,0)),1)&amp;"''","")</f>
        <v/>
      </c>
      <c r="C1034" s="3" t="str">
        <f>IFERROR(IF(INDEX('PROJETO PERFURAÇÃO'!$P:$P,MATCH(MEDIÇÃO!D1034,'PROJETO PERFURAÇÃO'!$B:$B,0))="Production","P",IF(INDEX('PROJETO PERFURAÇÃO'!$P:$P,MATCH(MEDIÇÃO!D1034,'PROJETO PERFURAÇÃO'!$B:$B,0))="Buffer","B",IF(INDEX('PROJETO PERFURAÇÃO'!$P:$P,MATCH(MEDIÇÃO!D1034,'PROJETO PERFURAÇÃO'!$B:$B,0))="Pre-Splitting","S"))),"")</f>
        <v/>
      </c>
      <c r="D1034" s="14">
        <f t="shared" si="99"/>
        <v>2284</v>
      </c>
      <c r="E1034" s="4" t="str">
        <f>IFERROR(INDEX('LEV R&amp;D'!$D:$D,MATCH(MEDIÇÃO!D1034,'LEV R&amp;D'!$A:$A,0))-INDEX('PROJETO PERFURAÇÃO'!$AH:$AH,MATCH(MEDIÇÃO!D1034,'PROJETO PERFURAÇÃO'!$B:$B,0)),"")</f>
        <v/>
      </c>
      <c r="F1034" s="8" t="str">
        <f>IFERROR(INDEX('PROJETO PERFURAÇÃO'!$AN:$AN,MATCH(MEDIÇÃO!D1034,'PROJETO PERFURAÇÃO'!$B:$B,0)),"")</f>
        <v/>
      </c>
      <c r="G1034" s="3"/>
      <c r="H1034" s="3"/>
      <c r="I1034" s="3" t="str">
        <f>IFERROR(ROUND(INDEX('PROJETO PERFURAÇÃO'!$AB:$AB,MATCH(MEDIÇÃO!K1034,'PROJETO PERFURAÇÃO'!$B:$B,0)),1)&amp;"''","")</f>
        <v/>
      </c>
      <c r="J1034" s="3" t="str">
        <f>IFERROR(IF(INDEX('PROJETO PERFURAÇÃO'!$P:$P,MATCH(MEDIÇÃO!K1034,'PROJETO PERFURAÇÃO'!$B:$B,0))="Production","P",IF(INDEX('PROJETO PERFURAÇÃO'!$P:$P,MATCH(MEDIÇÃO!K1034,'PROJETO PERFURAÇÃO'!$B:$B,0))="Buffer","B",IF(INDEX('PROJETO PERFURAÇÃO'!$P:$P,MATCH(MEDIÇÃO!K1034,'PROJETO PERFURAÇÃO'!$B:$B,0))="Pre-Splitting","S"))),"")</f>
        <v/>
      </c>
      <c r="K1034" s="14">
        <f t="shared" si="100"/>
        <v>2307</v>
      </c>
      <c r="L1034" s="4" t="str">
        <f>IFERROR(INDEX('LEV R&amp;D'!$D:$D,MATCH(MEDIÇÃO!K1034,'LEV R&amp;D'!$A:$A,0))-INDEX('PROJETO PERFURAÇÃO'!$AH:$AH,MATCH(MEDIÇÃO!K1034,'PROJETO PERFURAÇÃO'!$B:$B,0)),"")</f>
        <v/>
      </c>
      <c r="M1034" s="8" t="str">
        <f>IFERROR(INDEX('PROJETO PERFURAÇÃO'!$AN:$AN,MATCH(MEDIÇÃO!K1034,'PROJETO PERFURAÇÃO'!$B:$B,0)),"")</f>
        <v/>
      </c>
      <c r="N1034" s="3"/>
      <c r="O1034" s="3"/>
      <c r="P1034" s="3" t="str">
        <f>IFERROR(ROUND(INDEX('PROJETO PERFURAÇÃO'!$AB:$AB,MATCH(MEDIÇÃO!R1034,'PROJETO PERFURAÇÃO'!$B:$B,0)),1)&amp;"''","")</f>
        <v/>
      </c>
      <c r="Q1034" s="3" t="str">
        <f>IFERROR(IF(INDEX('PROJETO PERFURAÇÃO'!$P:$P,MATCH(MEDIÇÃO!R1034,'PROJETO PERFURAÇÃO'!$B:$B,0))="Production","P",IF(INDEX('PROJETO PERFURAÇÃO'!$P:$P,MATCH(MEDIÇÃO!R1034,'PROJETO PERFURAÇÃO'!$B:$B,0))="Buffer","B",IF(INDEX('PROJETO PERFURAÇÃO'!$P:$P,MATCH(MEDIÇÃO!R1034,'PROJETO PERFURAÇÃO'!$B:$B,0))="Pre-Splitting","S"))),"")</f>
        <v/>
      </c>
      <c r="R1034" s="14">
        <f t="shared" si="101"/>
        <v>2330</v>
      </c>
      <c r="S1034" s="4" t="str">
        <f>IFERROR(INDEX('LEV R&amp;D'!$D:$D,MATCH(MEDIÇÃO!R1034,'LEV R&amp;D'!$A:$A,0))-INDEX('PROJETO PERFURAÇÃO'!$AH:$AH,MATCH(MEDIÇÃO!R1034,'PROJETO PERFURAÇÃO'!$B:$B,0)),"")</f>
        <v/>
      </c>
      <c r="T1034" s="8" t="str">
        <f>IFERROR(INDEX('PROJETO PERFURAÇÃO'!$AN:$AN,MATCH(MEDIÇÃO!R1034,'PROJETO PERFURAÇÃO'!$B:$B,0)),"")</f>
        <v/>
      </c>
      <c r="U1034" s="3"/>
      <c r="V1034" s="3"/>
    </row>
    <row r="1035" spans="1:23" ht="45" customHeight="1" x14ac:dyDescent="0.25">
      <c r="B1035" s="3" t="str">
        <f>IFERROR(ROUND(INDEX('PROJETO PERFURAÇÃO'!$AB:$AB,MATCH(MEDIÇÃO!D1035,'PROJETO PERFURAÇÃO'!$B:$B,0)),1)&amp;"''","")</f>
        <v/>
      </c>
      <c r="C1035" s="3" t="str">
        <f>IFERROR(IF(INDEX('PROJETO PERFURAÇÃO'!$P:$P,MATCH(MEDIÇÃO!D1035,'PROJETO PERFURAÇÃO'!$B:$B,0))="Production","P",IF(INDEX('PROJETO PERFURAÇÃO'!$P:$P,MATCH(MEDIÇÃO!D1035,'PROJETO PERFURAÇÃO'!$B:$B,0))="Buffer","B",IF(INDEX('PROJETO PERFURAÇÃO'!$P:$P,MATCH(MEDIÇÃO!D1035,'PROJETO PERFURAÇÃO'!$B:$B,0))="Pre-Splitting","S"))),"")</f>
        <v/>
      </c>
      <c r="D1035" s="14">
        <f t="shared" si="99"/>
        <v>2285</v>
      </c>
      <c r="E1035" s="4" t="str">
        <f>IFERROR(INDEX('LEV R&amp;D'!$D:$D,MATCH(MEDIÇÃO!D1035,'LEV R&amp;D'!$A:$A,0))-INDEX('PROJETO PERFURAÇÃO'!$AH:$AH,MATCH(MEDIÇÃO!D1035,'PROJETO PERFURAÇÃO'!$B:$B,0)),"")</f>
        <v/>
      </c>
      <c r="F1035" s="8" t="str">
        <f>IFERROR(INDEX('PROJETO PERFURAÇÃO'!$AN:$AN,MATCH(MEDIÇÃO!D1035,'PROJETO PERFURAÇÃO'!$B:$B,0)),"")</f>
        <v/>
      </c>
      <c r="G1035" s="3"/>
      <c r="H1035" s="3"/>
      <c r="I1035" s="3" t="str">
        <f>IFERROR(ROUND(INDEX('PROJETO PERFURAÇÃO'!$AB:$AB,MATCH(MEDIÇÃO!K1035,'PROJETO PERFURAÇÃO'!$B:$B,0)),1)&amp;"''","")</f>
        <v/>
      </c>
      <c r="J1035" s="3" t="str">
        <f>IFERROR(IF(INDEX('PROJETO PERFURAÇÃO'!$P:$P,MATCH(MEDIÇÃO!K1035,'PROJETO PERFURAÇÃO'!$B:$B,0))="Production","P",IF(INDEX('PROJETO PERFURAÇÃO'!$P:$P,MATCH(MEDIÇÃO!K1035,'PROJETO PERFURAÇÃO'!$B:$B,0))="Buffer","B",IF(INDEX('PROJETO PERFURAÇÃO'!$P:$P,MATCH(MEDIÇÃO!K1035,'PROJETO PERFURAÇÃO'!$B:$B,0))="Pre-Splitting","S"))),"")</f>
        <v/>
      </c>
      <c r="K1035" s="14">
        <f t="shared" si="100"/>
        <v>2308</v>
      </c>
      <c r="L1035" s="4" t="str">
        <f>IFERROR(INDEX('LEV R&amp;D'!$D:$D,MATCH(MEDIÇÃO!K1035,'LEV R&amp;D'!$A:$A,0))-INDEX('PROJETO PERFURAÇÃO'!$AH:$AH,MATCH(MEDIÇÃO!K1035,'PROJETO PERFURAÇÃO'!$B:$B,0)),"")</f>
        <v/>
      </c>
      <c r="M1035" s="8" t="str">
        <f>IFERROR(INDEX('PROJETO PERFURAÇÃO'!$AN:$AN,MATCH(MEDIÇÃO!K1035,'PROJETO PERFURAÇÃO'!$B:$B,0)),"")</f>
        <v/>
      </c>
      <c r="N1035" s="3"/>
      <c r="O1035" s="3"/>
      <c r="P1035" s="3" t="str">
        <f>IFERROR(ROUND(INDEX('PROJETO PERFURAÇÃO'!$AB:$AB,MATCH(MEDIÇÃO!R1035,'PROJETO PERFURAÇÃO'!$B:$B,0)),1)&amp;"''","")</f>
        <v/>
      </c>
      <c r="Q1035" s="3" t="str">
        <f>IFERROR(IF(INDEX('PROJETO PERFURAÇÃO'!$P:$P,MATCH(MEDIÇÃO!R1035,'PROJETO PERFURAÇÃO'!$B:$B,0))="Production","P",IF(INDEX('PROJETO PERFURAÇÃO'!$P:$P,MATCH(MEDIÇÃO!R1035,'PROJETO PERFURAÇÃO'!$B:$B,0))="Buffer","B",IF(INDEX('PROJETO PERFURAÇÃO'!$P:$P,MATCH(MEDIÇÃO!R1035,'PROJETO PERFURAÇÃO'!$B:$B,0))="Pre-Splitting","S"))),"")</f>
        <v/>
      </c>
      <c r="R1035" s="14">
        <f t="shared" si="101"/>
        <v>2331</v>
      </c>
      <c r="S1035" s="4" t="str">
        <f>IFERROR(INDEX('LEV R&amp;D'!$D:$D,MATCH(MEDIÇÃO!R1035,'LEV R&amp;D'!$A:$A,0))-INDEX('PROJETO PERFURAÇÃO'!$AH:$AH,MATCH(MEDIÇÃO!R1035,'PROJETO PERFURAÇÃO'!$B:$B,0)),"")</f>
        <v/>
      </c>
      <c r="T1035" s="8" t="str">
        <f>IFERROR(INDEX('PROJETO PERFURAÇÃO'!$AN:$AN,MATCH(MEDIÇÃO!R1035,'PROJETO PERFURAÇÃO'!$B:$B,0)),"")</f>
        <v/>
      </c>
      <c r="U1035" s="3"/>
      <c r="V1035" s="3"/>
    </row>
    <row r="1036" spans="1:23" ht="45" customHeight="1" x14ac:dyDescent="0.25">
      <c r="B1036" s="3" t="str">
        <f>IFERROR(ROUND(INDEX('PROJETO PERFURAÇÃO'!$AB:$AB,MATCH(MEDIÇÃO!D1036,'PROJETO PERFURAÇÃO'!$B:$B,0)),1)&amp;"''","")</f>
        <v/>
      </c>
      <c r="C1036" s="3" t="str">
        <f>IFERROR(IF(INDEX('PROJETO PERFURAÇÃO'!$P:$P,MATCH(MEDIÇÃO!D1036,'PROJETO PERFURAÇÃO'!$B:$B,0))="Production","P",IF(INDEX('PROJETO PERFURAÇÃO'!$P:$P,MATCH(MEDIÇÃO!D1036,'PROJETO PERFURAÇÃO'!$B:$B,0))="Buffer","B",IF(INDEX('PROJETO PERFURAÇÃO'!$P:$P,MATCH(MEDIÇÃO!D1036,'PROJETO PERFURAÇÃO'!$B:$B,0))="Pre-Splitting","S"))),"")</f>
        <v/>
      </c>
      <c r="D1036" s="14">
        <f t="shared" si="99"/>
        <v>2286</v>
      </c>
      <c r="E1036" s="4" t="str">
        <f>IFERROR(INDEX('LEV R&amp;D'!$D:$D,MATCH(MEDIÇÃO!D1036,'LEV R&amp;D'!$A:$A,0))-INDEX('PROJETO PERFURAÇÃO'!$AH:$AH,MATCH(MEDIÇÃO!D1036,'PROJETO PERFURAÇÃO'!$B:$B,0)),"")</f>
        <v/>
      </c>
      <c r="F1036" s="8" t="str">
        <f>IFERROR(INDEX('PROJETO PERFURAÇÃO'!$AN:$AN,MATCH(MEDIÇÃO!D1036,'PROJETO PERFURAÇÃO'!$B:$B,0)),"")</f>
        <v/>
      </c>
      <c r="G1036" s="3"/>
      <c r="H1036" s="3"/>
      <c r="I1036" s="3" t="str">
        <f>IFERROR(ROUND(INDEX('PROJETO PERFURAÇÃO'!$AB:$AB,MATCH(MEDIÇÃO!K1036,'PROJETO PERFURAÇÃO'!$B:$B,0)),1)&amp;"''","")</f>
        <v/>
      </c>
      <c r="J1036" s="3" t="str">
        <f>IFERROR(IF(INDEX('PROJETO PERFURAÇÃO'!$P:$P,MATCH(MEDIÇÃO!K1036,'PROJETO PERFURAÇÃO'!$B:$B,0))="Production","P",IF(INDEX('PROJETO PERFURAÇÃO'!$P:$P,MATCH(MEDIÇÃO!K1036,'PROJETO PERFURAÇÃO'!$B:$B,0))="Buffer","B",IF(INDEX('PROJETO PERFURAÇÃO'!$P:$P,MATCH(MEDIÇÃO!K1036,'PROJETO PERFURAÇÃO'!$B:$B,0))="Pre-Splitting","S"))),"")</f>
        <v/>
      </c>
      <c r="K1036" s="14">
        <f t="shared" si="100"/>
        <v>2309</v>
      </c>
      <c r="L1036" s="4" t="str">
        <f>IFERROR(INDEX('LEV R&amp;D'!$D:$D,MATCH(MEDIÇÃO!K1036,'LEV R&amp;D'!$A:$A,0))-INDEX('PROJETO PERFURAÇÃO'!$AH:$AH,MATCH(MEDIÇÃO!K1036,'PROJETO PERFURAÇÃO'!$B:$B,0)),"")</f>
        <v/>
      </c>
      <c r="M1036" s="8" t="str">
        <f>IFERROR(INDEX('PROJETO PERFURAÇÃO'!$AN:$AN,MATCH(MEDIÇÃO!K1036,'PROJETO PERFURAÇÃO'!$B:$B,0)),"")</f>
        <v/>
      </c>
      <c r="N1036" s="3"/>
      <c r="O1036" s="3"/>
      <c r="P1036" s="3" t="str">
        <f>IFERROR(ROUND(INDEX('PROJETO PERFURAÇÃO'!$AB:$AB,MATCH(MEDIÇÃO!R1036,'PROJETO PERFURAÇÃO'!$B:$B,0)),1)&amp;"''","")</f>
        <v/>
      </c>
      <c r="Q1036" s="3" t="str">
        <f>IFERROR(IF(INDEX('PROJETO PERFURAÇÃO'!$P:$P,MATCH(MEDIÇÃO!R1036,'PROJETO PERFURAÇÃO'!$B:$B,0))="Production","P",IF(INDEX('PROJETO PERFURAÇÃO'!$P:$P,MATCH(MEDIÇÃO!R1036,'PROJETO PERFURAÇÃO'!$B:$B,0))="Buffer","B",IF(INDEX('PROJETO PERFURAÇÃO'!$P:$P,MATCH(MEDIÇÃO!R1036,'PROJETO PERFURAÇÃO'!$B:$B,0))="Pre-Splitting","S"))),"")</f>
        <v/>
      </c>
      <c r="R1036" s="14">
        <f t="shared" si="101"/>
        <v>2332</v>
      </c>
      <c r="S1036" s="4" t="str">
        <f>IFERROR(INDEX('LEV R&amp;D'!$D:$D,MATCH(MEDIÇÃO!R1036,'LEV R&amp;D'!$A:$A,0))-INDEX('PROJETO PERFURAÇÃO'!$AH:$AH,MATCH(MEDIÇÃO!R1036,'PROJETO PERFURAÇÃO'!$B:$B,0)),"")</f>
        <v/>
      </c>
      <c r="T1036" s="8" t="str">
        <f>IFERROR(INDEX('PROJETO PERFURAÇÃO'!$AN:$AN,MATCH(MEDIÇÃO!R1036,'PROJETO PERFURAÇÃO'!$B:$B,0)),"")</f>
        <v/>
      </c>
      <c r="U1036" s="3"/>
      <c r="V1036" s="3"/>
    </row>
    <row r="1037" spans="1:23" ht="45" customHeight="1" x14ac:dyDescent="0.25">
      <c r="B1037" s="3" t="str">
        <f>IFERROR(ROUND(INDEX('PROJETO PERFURAÇÃO'!$AB:$AB,MATCH(MEDIÇÃO!D1037,'PROJETO PERFURAÇÃO'!$B:$B,0)),1)&amp;"''","")</f>
        <v/>
      </c>
      <c r="C1037" s="3" t="str">
        <f>IFERROR(IF(INDEX('PROJETO PERFURAÇÃO'!$P:$P,MATCH(MEDIÇÃO!D1037,'PROJETO PERFURAÇÃO'!$B:$B,0))="Production","P",IF(INDEX('PROJETO PERFURAÇÃO'!$P:$P,MATCH(MEDIÇÃO!D1037,'PROJETO PERFURAÇÃO'!$B:$B,0))="Buffer","B",IF(INDEX('PROJETO PERFURAÇÃO'!$P:$P,MATCH(MEDIÇÃO!D1037,'PROJETO PERFURAÇÃO'!$B:$B,0))="Pre-Splitting","S"))),"")</f>
        <v/>
      </c>
      <c r="D1037" s="14">
        <f t="shared" si="99"/>
        <v>2287</v>
      </c>
      <c r="E1037" s="4" t="str">
        <f>IFERROR(INDEX('LEV R&amp;D'!$D:$D,MATCH(MEDIÇÃO!D1037,'LEV R&amp;D'!$A:$A,0))-INDEX('PROJETO PERFURAÇÃO'!$AH:$AH,MATCH(MEDIÇÃO!D1037,'PROJETO PERFURAÇÃO'!$B:$B,0)),"")</f>
        <v/>
      </c>
      <c r="F1037" s="8" t="str">
        <f>IFERROR(INDEX('PROJETO PERFURAÇÃO'!$AN:$AN,MATCH(MEDIÇÃO!D1037,'PROJETO PERFURAÇÃO'!$B:$B,0)),"")</f>
        <v/>
      </c>
      <c r="G1037" s="3"/>
      <c r="H1037" s="3"/>
      <c r="I1037" s="3" t="str">
        <f>IFERROR(ROUND(INDEX('PROJETO PERFURAÇÃO'!$AB:$AB,MATCH(MEDIÇÃO!K1037,'PROJETO PERFURAÇÃO'!$B:$B,0)),1)&amp;"''","")</f>
        <v/>
      </c>
      <c r="J1037" s="3" t="str">
        <f>IFERROR(IF(INDEX('PROJETO PERFURAÇÃO'!$P:$P,MATCH(MEDIÇÃO!K1037,'PROJETO PERFURAÇÃO'!$B:$B,0))="Production","P",IF(INDEX('PROJETO PERFURAÇÃO'!$P:$P,MATCH(MEDIÇÃO!K1037,'PROJETO PERFURAÇÃO'!$B:$B,0))="Buffer","B",IF(INDEX('PROJETO PERFURAÇÃO'!$P:$P,MATCH(MEDIÇÃO!K1037,'PROJETO PERFURAÇÃO'!$B:$B,0))="Pre-Splitting","S"))),"")</f>
        <v/>
      </c>
      <c r="K1037" s="14">
        <f t="shared" si="100"/>
        <v>2310</v>
      </c>
      <c r="L1037" s="4" t="str">
        <f>IFERROR(INDEX('LEV R&amp;D'!$D:$D,MATCH(MEDIÇÃO!K1037,'LEV R&amp;D'!$A:$A,0))-INDEX('PROJETO PERFURAÇÃO'!$AH:$AH,MATCH(MEDIÇÃO!K1037,'PROJETO PERFURAÇÃO'!$B:$B,0)),"")</f>
        <v/>
      </c>
      <c r="M1037" s="8" t="str">
        <f>IFERROR(INDEX('PROJETO PERFURAÇÃO'!$AN:$AN,MATCH(MEDIÇÃO!K1037,'PROJETO PERFURAÇÃO'!$B:$B,0)),"")</f>
        <v/>
      </c>
      <c r="N1037" s="3"/>
      <c r="O1037" s="3"/>
      <c r="P1037" s="3" t="str">
        <f>IFERROR(ROUND(INDEX('PROJETO PERFURAÇÃO'!$AB:$AB,MATCH(MEDIÇÃO!R1037,'PROJETO PERFURAÇÃO'!$B:$B,0)),1)&amp;"''","")</f>
        <v/>
      </c>
      <c r="Q1037" s="3" t="str">
        <f>IFERROR(IF(INDEX('PROJETO PERFURAÇÃO'!$P:$P,MATCH(MEDIÇÃO!R1037,'PROJETO PERFURAÇÃO'!$B:$B,0))="Production","P",IF(INDEX('PROJETO PERFURAÇÃO'!$P:$P,MATCH(MEDIÇÃO!R1037,'PROJETO PERFURAÇÃO'!$B:$B,0))="Buffer","B",IF(INDEX('PROJETO PERFURAÇÃO'!$P:$P,MATCH(MEDIÇÃO!R1037,'PROJETO PERFURAÇÃO'!$B:$B,0))="Pre-Splitting","S"))),"")</f>
        <v/>
      </c>
      <c r="R1037" s="14">
        <f t="shared" si="101"/>
        <v>2333</v>
      </c>
      <c r="S1037" s="4" t="str">
        <f>IFERROR(INDEX('LEV R&amp;D'!$D:$D,MATCH(MEDIÇÃO!R1037,'LEV R&amp;D'!$A:$A,0))-INDEX('PROJETO PERFURAÇÃO'!$AH:$AH,MATCH(MEDIÇÃO!R1037,'PROJETO PERFURAÇÃO'!$B:$B,0)),"")</f>
        <v/>
      </c>
      <c r="T1037" s="8" t="str">
        <f>IFERROR(INDEX('PROJETO PERFURAÇÃO'!$AN:$AN,MATCH(MEDIÇÃO!R1037,'PROJETO PERFURAÇÃO'!$B:$B,0)),"")</f>
        <v/>
      </c>
      <c r="U1037" s="3"/>
      <c r="V1037" s="3"/>
    </row>
    <row r="1038" spans="1:23" ht="45" customHeight="1" x14ac:dyDescent="0.25">
      <c r="B1038" s="3" t="str">
        <f>IFERROR(ROUND(INDEX('PROJETO PERFURAÇÃO'!$AB:$AB,MATCH(MEDIÇÃO!D1038,'PROJETO PERFURAÇÃO'!$B:$B,0)),1)&amp;"''","")</f>
        <v/>
      </c>
      <c r="C1038" s="3" t="str">
        <f>IFERROR(IF(INDEX('PROJETO PERFURAÇÃO'!$P:$P,MATCH(MEDIÇÃO!D1038,'PROJETO PERFURAÇÃO'!$B:$B,0))="Production","P",IF(INDEX('PROJETO PERFURAÇÃO'!$P:$P,MATCH(MEDIÇÃO!D1038,'PROJETO PERFURAÇÃO'!$B:$B,0))="Buffer","B",IF(INDEX('PROJETO PERFURAÇÃO'!$P:$P,MATCH(MEDIÇÃO!D1038,'PROJETO PERFURAÇÃO'!$B:$B,0))="Pre-Splitting","S"))),"")</f>
        <v/>
      </c>
      <c r="D1038" s="14">
        <f t="shared" si="99"/>
        <v>2288</v>
      </c>
      <c r="E1038" s="4" t="str">
        <f>IFERROR(INDEX('LEV R&amp;D'!$D:$D,MATCH(MEDIÇÃO!D1038,'LEV R&amp;D'!$A:$A,0))-INDEX('PROJETO PERFURAÇÃO'!$AH:$AH,MATCH(MEDIÇÃO!D1038,'PROJETO PERFURAÇÃO'!$B:$B,0)),"")</f>
        <v/>
      </c>
      <c r="F1038" s="8" t="str">
        <f>IFERROR(INDEX('PROJETO PERFURAÇÃO'!$AN:$AN,MATCH(MEDIÇÃO!D1038,'PROJETO PERFURAÇÃO'!$B:$B,0)),"")</f>
        <v/>
      </c>
      <c r="G1038" s="3"/>
      <c r="H1038" s="3"/>
      <c r="I1038" s="3" t="str">
        <f>IFERROR(ROUND(INDEX('PROJETO PERFURAÇÃO'!$AB:$AB,MATCH(MEDIÇÃO!K1038,'PROJETO PERFURAÇÃO'!$B:$B,0)),1)&amp;"''","")</f>
        <v/>
      </c>
      <c r="J1038" s="3" t="str">
        <f>IFERROR(IF(INDEX('PROJETO PERFURAÇÃO'!$P:$P,MATCH(MEDIÇÃO!K1038,'PROJETO PERFURAÇÃO'!$B:$B,0))="Production","P",IF(INDEX('PROJETO PERFURAÇÃO'!$P:$P,MATCH(MEDIÇÃO!K1038,'PROJETO PERFURAÇÃO'!$B:$B,0))="Buffer","B",IF(INDEX('PROJETO PERFURAÇÃO'!$P:$P,MATCH(MEDIÇÃO!K1038,'PROJETO PERFURAÇÃO'!$B:$B,0))="Pre-Splitting","S"))),"")</f>
        <v/>
      </c>
      <c r="K1038" s="14">
        <f t="shared" si="100"/>
        <v>2311</v>
      </c>
      <c r="L1038" s="4" t="str">
        <f>IFERROR(INDEX('LEV R&amp;D'!$D:$D,MATCH(MEDIÇÃO!K1038,'LEV R&amp;D'!$A:$A,0))-INDEX('PROJETO PERFURAÇÃO'!$AH:$AH,MATCH(MEDIÇÃO!K1038,'PROJETO PERFURAÇÃO'!$B:$B,0)),"")</f>
        <v/>
      </c>
      <c r="M1038" s="8" t="str">
        <f>IFERROR(INDEX('PROJETO PERFURAÇÃO'!$AN:$AN,MATCH(MEDIÇÃO!K1038,'PROJETO PERFURAÇÃO'!$B:$B,0)),"")</f>
        <v/>
      </c>
      <c r="N1038" s="3"/>
      <c r="O1038" s="3"/>
      <c r="P1038" s="3" t="str">
        <f>IFERROR(ROUND(INDEX('PROJETO PERFURAÇÃO'!$AB:$AB,MATCH(MEDIÇÃO!R1038,'PROJETO PERFURAÇÃO'!$B:$B,0)),1)&amp;"''","")</f>
        <v/>
      </c>
      <c r="Q1038" s="3" t="str">
        <f>IFERROR(IF(INDEX('PROJETO PERFURAÇÃO'!$P:$P,MATCH(MEDIÇÃO!R1038,'PROJETO PERFURAÇÃO'!$B:$B,0))="Production","P",IF(INDEX('PROJETO PERFURAÇÃO'!$P:$P,MATCH(MEDIÇÃO!R1038,'PROJETO PERFURAÇÃO'!$B:$B,0))="Buffer","B",IF(INDEX('PROJETO PERFURAÇÃO'!$P:$P,MATCH(MEDIÇÃO!R1038,'PROJETO PERFURAÇÃO'!$B:$B,0))="Pre-Splitting","S"))),"")</f>
        <v/>
      </c>
      <c r="R1038" s="14">
        <f t="shared" si="101"/>
        <v>2334</v>
      </c>
      <c r="S1038" s="4" t="str">
        <f>IFERROR(INDEX('LEV R&amp;D'!$D:$D,MATCH(MEDIÇÃO!R1038,'LEV R&amp;D'!$A:$A,0))-INDEX('PROJETO PERFURAÇÃO'!$AH:$AH,MATCH(MEDIÇÃO!R1038,'PROJETO PERFURAÇÃO'!$B:$B,0)),"")</f>
        <v/>
      </c>
      <c r="T1038" s="8" t="str">
        <f>IFERROR(INDEX('PROJETO PERFURAÇÃO'!$AN:$AN,MATCH(MEDIÇÃO!R1038,'PROJETO PERFURAÇÃO'!$B:$B,0)),"")</f>
        <v/>
      </c>
      <c r="U1038" s="3"/>
      <c r="V1038" s="3"/>
    </row>
    <row r="1039" spans="1:23" ht="45" customHeight="1" x14ac:dyDescent="0.25">
      <c r="B1039" s="3" t="str">
        <f>IFERROR(ROUND(INDEX('PROJETO PERFURAÇÃO'!$AB:$AB,MATCH(MEDIÇÃO!D1039,'PROJETO PERFURAÇÃO'!$B:$B,0)),1)&amp;"''","")</f>
        <v/>
      </c>
      <c r="C1039" s="3" t="str">
        <f>IFERROR(IF(INDEX('PROJETO PERFURAÇÃO'!$P:$P,MATCH(MEDIÇÃO!D1039,'PROJETO PERFURAÇÃO'!$B:$B,0))="Production","P",IF(INDEX('PROJETO PERFURAÇÃO'!$P:$P,MATCH(MEDIÇÃO!D1039,'PROJETO PERFURAÇÃO'!$B:$B,0))="Buffer","B",IF(INDEX('PROJETO PERFURAÇÃO'!$P:$P,MATCH(MEDIÇÃO!D1039,'PROJETO PERFURAÇÃO'!$B:$B,0))="Pre-Splitting","S"))),"")</f>
        <v/>
      </c>
      <c r="D1039" s="14">
        <f t="shared" si="99"/>
        <v>2289</v>
      </c>
      <c r="E1039" s="4" t="str">
        <f>IFERROR(INDEX('LEV R&amp;D'!$D:$D,MATCH(MEDIÇÃO!D1039,'LEV R&amp;D'!$A:$A,0))-INDEX('PROJETO PERFURAÇÃO'!$AH:$AH,MATCH(MEDIÇÃO!D1039,'PROJETO PERFURAÇÃO'!$B:$B,0)),"")</f>
        <v/>
      </c>
      <c r="F1039" s="8" t="str">
        <f>IFERROR(INDEX('PROJETO PERFURAÇÃO'!$AN:$AN,MATCH(MEDIÇÃO!D1039,'PROJETO PERFURAÇÃO'!$B:$B,0)),"")</f>
        <v/>
      </c>
      <c r="G1039" s="3"/>
      <c r="H1039" s="3"/>
      <c r="I1039" s="3" t="str">
        <f>IFERROR(ROUND(INDEX('PROJETO PERFURAÇÃO'!$AB:$AB,MATCH(MEDIÇÃO!K1039,'PROJETO PERFURAÇÃO'!$B:$B,0)),1)&amp;"''","")</f>
        <v/>
      </c>
      <c r="J1039" s="3" t="str">
        <f>IFERROR(IF(INDEX('PROJETO PERFURAÇÃO'!$P:$P,MATCH(MEDIÇÃO!K1039,'PROJETO PERFURAÇÃO'!$B:$B,0))="Production","P",IF(INDEX('PROJETO PERFURAÇÃO'!$P:$P,MATCH(MEDIÇÃO!K1039,'PROJETO PERFURAÇÃO'!$B:$B,0))="Buffer","B",IF(INDEX('PROJETO PERFURAÇÃO'!$P:$P,MATCH(MEDIÇÃO!K1039,'PROJETO PERFURAÇÃO'!$B:$B,0))="Pre-Splitting","S"))),"")</f>
        <v/>
      </c>
      <c r="K1039" s="14">
        <f t="shared" si="100"/>
        <v>2312</v>
      </c>
      <c r="L1039" s="4" t="str">
        <f>IFERROR(INDEX('LEV R&amp;D'!$D:$D,MATCH(MEDIÇÃO!K1039,'LEV R&amp;D'!$A:$A,0))-INDEX('PROJETO PERFURAÇÃO'!$AH:$AH,MATCH(MEDIÇÃO!K1039,'PROJETO PERFURAÇÃO'!$B:$B,0)),"")</f>
        <v/>
      </c>
      <c r="M1039" s="8" t="str">
        <f>IFERROR(INDEX('PROJETO PERFURAÇÃO'!$AN:$AN,MATCH(MEDIÇÃO!K1039,'PROJETO PERFURAÇÃO'!$B:$B,0)),"")</f>
        <v/>
      </c>
      <c r="N1039" s="3"/>
      <c r="O1039" s="3"/>
      <c r="P1039" s="3" t="str">
        <f>IFERROR(ROUND(INDEX('PROJETO PERFURAÇÃO'!$AB:$AB,MATCH(MEDIÇÃO!R1039,'PROJETO PERFURAÇÃO'!$B:$B,0)),1)&amp;"''","")</f>
        <v/>
      </c>
      <c r="Q1039" s="3" t="str">
        <f>IFERROR(IF(INDEX('PROJETO PERFURAÇÃO'!$P:$P,MATCH(MEDIÇÃO!R1039,'PROJETO PERFURAÇÃO'!$B:$B,0))="Production","P",IF(INDEX('PROJETO PERFURAÇÃO'!$P:$P,MATCH(MEDIÇÃO!R1039,'PROJETO PERFURAÇÃO'!$B:$B,0))="Buffer","B",IF(INDEX('PROJETO PERFURAÇÃO'!$P:$P,MATCH(MEDIÇÃO!R1039,'PROJETO PERFURAÇÃO'!$B:$B,0))="Pre-Splitting","S"))),"")</f>
        <v/>
      </c>
      <c r="R1039" s="14">
        <f t="shared" si="101"/>
        <v>2335</v>
      </c>
      <c r="S1039" s="4" t="str">
        <f>IFERROR(INDEX('LEV R&amp;D'!$D:$D,MATCH(MEDIÇÃO!R1039,'LEV R&amp;D'!$A:$A,0))-INDEX('PROJETO PERFURAÇÃO'!$AH:$AH,MATCH(MEDIÇÃO!R1039,'PROJETO PERFURAÇÃO'!$B:$B,0)),"")</f>
        <v/>
      </c>
      <c r="T1039" s="8" t="str">
        <f>IFERROR(INDEX('PROJETO PERFURAÇÃO'!$AN:$AN,MATCH(MEDIÇÃO!R1039,'PROJETO PERFURAÇÃO'!$B:$B,0)),"")</f>
        <v/>
      </c>
      <c r="U1039" s="3"/>
      <c r="V1039" s="3"/>
    </row>
    <row r="1040" spans="1:23" ht="45" customHeight="1" x14ac:dyDescent="0.25">
      <c r="B1040" s="3" t="str">
        <f>IFERROR(ROUND(INDEX('PROJETO PERFURAÇÃO'!$AB:$AB,MATCH(MEDIÇÃO!D1040,'PROJETO PERFURAÇÃO'!$B:$B,0)),1)&amp;"''","")</f>
        <v/>
      </c>
      <c r="C1040" s="3" t="str">
        <f>IFERROR(IF(INDEX('PROJETO PERFURAÇÃO'!$P:$P,MATCH(MEDIÇÃO!D1040,'PROJETO PERFURAÇÃO'!$B:$B,0))="Production","P",IF(INDEX('PROJETO PERFURAÇÃO'!$P:$P,MATCH(MEDIÇÃO!D1040,'PROJETO PERFURAÇÃO'!$B:$B,0))="Buffer","B",IF(INDEX('PROJETO PERFURAÇÃO'!$P:$P,MATCH(MEDIÇÃO!D1040,'PROJETO PERFURAÇÃO'!$B:$B,0))="Pre-Splitting","S"))),"")</f>
        <v/>
      </c>
      <c r="D1040" s="14">
        <f t="shared" si="99"/>
        <v>2290</v>
      </c>
      <c r="E1040" s="4" t="str">
        <f>IFERROR(INDEX('LEV R&amp;D'!$D:$D,MATCH(MEDIÇÃO!D1040,'LEV R&amp;D'!$A:$A,0))-INDEX('PROJETO PERFURAÇÃO'!$AH:$AH,MATCH(MEDIÇÃO!D1040,'PROJETO PERFURAÇÃO'!$B:$B,0)),"")</f>
        <v/>
      </c>
      <c r="F1040" s="8" t="str">
        <f>IFERROR(INDEX('PROJETO PERFURAÇÃO'!$AN:$AN,MATCH(MEDIÇÃO!D1040,'PROJETO PERFURAÇÃO'!$B:$B,0)),"")</f>
        <v/>
      </c>
      <c r="G1040" s="3"/>
      <c r="H1040" s="3"/>
      <c r="I1040" s="3" t="str">
        <f>IFERROR(ROUND(INDEX('PROJETO PERFURAÇÃO'!$AB:$AB,MATCH(MEDIÇÃO!K1040,'PROJETO PERFURAÇÃO'!$B:$B,0)),1)&amp;"''","")</f>
        <v/>
      </c>
      <c r="J1040" s="3" t="str">
        <f>IFERROR(IF(INDEX('PROJETO PERFURAÇÃO'!$P:$P,MATCH(MEDIÇÃO!K1040,'PROJETO PERFURAÇÃO'!$B:$B,0))="Production","P",IF(INDEX('PROJETO PERFURAÇÃO'!$P:$P,MATCH(MEDIÇÃO!K1040,'PROJETO PERFURAÇÃO'!$B:$B,0))="Buffer","B",IF(INDEX('PROJETO PERFURAÇÃO'!$P:$P,MATCH(MEDIÇÃO!K1040,'PROJETO PERFURAÇÃO'!$B:$B,0))="Pre-Splitting","S"))),"")</f>
        <v/>
      </c>
      <c r="K1040" s="14">
        <f t="shared" si="100"/>
        <v>2313</v>
      </c>
      <c r="L1040" s="4" t="str">
        <f>IFERROR(INDEX('LEV R&amp;D'!$D:$D,MATCH(MEDIÇÃO!K1040,'LEV R&amp;D'!$A:$A,0))-INDEX('PROJETO PERFURAÇÃO'!$AH:$AH,MATCH(MEDIÇÃO!K1040,'PROJETO PERFURAÇÃO'!$B:$B,0)),"")</f>
        <v/>
      </c>
      <c r="M1040" s="8" t="str">
        <f>IFERROR(INDEX('PROJETO PERFURAÇÃO'!$AN:$AN,MATCH(MEDIÇÃO!K1040,'PROJETO PERFURAÇÃO'!$B:$B,0)),"")</f>
        <v/>
      </c>
      <c r="N1040" s="3"/>
      <c r="O1040" s="3"/>
      <c r="P1040" s="3" t="str">
        <f>IFERROR(ROUND(INDEX('PROJETO PERFURAÇÃO'!$AB:$AB,MATCH(MEDIÇÃO!R1040,'PROJETO PERFURAÇÃO'!$B:$B,0)),1)&amp;"''","")</f>
        <v/>
      </c>
      <c r="Q1040" s="3" t="str">
        <f>IFERROR(IF(INDEX('PROJETO PERFURAÇÃO'!$P:$P,MATCH(MEDIÇÃO!R1040,'PROJETO PERFURAÇÃO'!$B:$B,0))="Production","P",IF(INDEX('PROJETO PERFURAÇÃO'!$P:$P,MATCH(MEDIÇÃO!R1040,'PROJETO PERFURAÇÃO'!$B:$B,0))="Buffer","B",IF(INDEX('PROJETO PERFURAÇÃO'!$P:$P,MATCH(MEDIÇÃO!R1040,'PROJETO PERFURAÇÃO'!$B:$B,0))="Pre-Splitting","S"))),"")</f>
        <v/>
      </c>
      <c r="R1040" s="14">
        <f t="shared" si="101"/>
        <v>2336</v>
      </c>
      <c r="S1040" s="4" t="str">
        <f>IFERROR(INDEX('LEV R&amp;D'!$D:$D,MATCH(MEDIÇÃO!R1040,'LEV R&amp;D'!$A:$A,0))-INDEX('PROJETO PERFURAÇÃO'!$AH:$AH,MATCH(MEDIÇÃO!R1040,'PROJETO PERFURAÇÃO'!$B:$B,0)),"")</f>
        <v/>
      </c>
      <c r="T1040" s="8" t="str">
        <f>IFERROR(INDEX('PROJETO PERFURAÇÃO'!$AN:$AN,MATCH(MEDIÇÃO!R1040,'PROJETO PERFURAÇÃO'!$B:$B,0)),"")</f>
        <v/>
      </c>
      <c r="U1040" s="3"/>
      <c r="V1040" s="3"/>
    </row>
    <row r="1041" spans="2:22" ht="45" customHeight="1" x14ac:dyDescent="0.25">
      <c r="B1041" s="3" t="str">
        <f>IFERROR(ROUND(INDEX('PROJETO PERFURAÇÃO'!$AB:$AB,MATCH(MEDIÇÃO!D1041,'PROJETO PERFURAÇÃO'!$B:$B,0)),1)&amp;"''","")</f>
        <v/>
      </c>
      <c r="C1041" s="3" t="str">
        <f>IFERROR(IF(INDEX('PROJETO PERFURAÇÃO'!$P:$P,MATCH(MEDIÇÃO!D1041,'PROJETO PERFURAÇÃO'!$B:$B,0))="Production","P",IF(INDEX('PROJETO PERFURAÇÃO'!$P:$P,MATCH(MEDIÇÃO!D1041,'PROJETO PERFURAÇÃO'!$B:$B,0))="Buffer","B",IF(INDEX('PROJETO PERFURAÇÃO'!$P:$P,MATCH(MEDIÇÃO!D1041,'PROJETO PERFURAÇÃO'!$B:$B,0))="Pre-Splitting","S"))),"")</f>
        <v/>
      </c>
      <c r="D1041" s="14">
        <f t="shared" si="99"/>
        <v>2291</v>
      </c>
      <c r="E1041" s="4" t="str">
        <f>IFERROR(INDEX('LEV R&amp;D'!$D:$D,MATCH(MEDIÇÃO!D1041,'LEV R&amp;D'!$A:$A,0))-INDEX('PROJETO PERFURAÇÃO'!$AH:$AH,MATCH(MEDIÇÃO!D1041,'PROJETO PERFURAÇÃO'!$B:$B,0)),"")</f>
        <v/>
      </c>
      <c r="F1041" s="8" t="str">
        <f>IFERROR(INDEX('PROJETO PERFURAÇÃO'!$AN:$AN,MATCH(MEDIÇÃO!D1041,'PROJETO PERFURAÇÃO'!$B:$B,0)),"")</f>
        <v/>
      </c>
      <c r="G1041" s="3"/>
      <c r="H1041" s="3"/>
      <c r="I1041" s="3" t="str">
        <f>IFERROR(ROUND(INDEX('PROJETO PERFURAÇÃO'!$AB:$AB,MATCH(MEDIÇÃO!K1041,'PROJETO PERFURAÇÃO'!$B:$B,0)),1)&amp;"''","")</f>
        <v/>
      </c>
      <c r="J1041" s="3" t="str">
        <f>IFERROR(IF(INDEX('PROJETO PERFURAÇÃO'!$P:$P,MATCH(MEDIÇÃO!K1041,'PROJETO PERFURAÇÃO'!$B:$B,0))="Production","P",IF(INDEX('PROJETO PERFURAÇÃO'!$P:$P,MATCH(MEDIÇÃO!K1041,'PROJETO PERFURAÇÃO'!$B:$B,0))="Buffer","B",IF(INDEX('PROJETO PERFURAÇÃO'!$P:$P,MATCH(MEDIÇÃO!K1041,'PROJETO PERFURAÇÃO'!$B:$B,0))="Pre-Splitting","S"))),"")</f>
        <v/>
      </c>
      <c r="K1041" s="14">
        <f t="shared" si="100"/>
        <v>2314</v>
      </c>
      <c r="L1041" s="4" t="str">
        <f>IFERROR(INDEX('LEV R&amp;D'!$D:$D,MATCH(MEDIÇÃO!K1041,'LEV R&amp;D'!$A:$A,0))-INDEX('PROJETO PERFURAÇÃO'!$AH:$AH,MATCH(MEDIÇÃO!K1041,'PROJETO PERFURAÇÃO'!$B:$B,0)),"")</f>
        <v/>
      </c>
      <c r="M1041" s="8" t="str">
        <f>IFERROR(INDEX('PROJETO PERFURAÇÃO'!$AN:$AN,MATCH(MEDIÇÃO!K1041,'PROJETO PERFURAÇÃO'!$B:$B,0)),"")</f>
        <v/>
      </c>
      <c r="N1041" s="3"/>
      <c r="O1041" s="3"/>
      <c r="P1041" s="3" t="str">
        <f>IFERROR(ROUND(INDEX('PROJETO PERFURAÇÃO'!$AB:$AB,MATCH(MEDIÇÃO!R1041,'PROJETO PERFURAÇÃO'!$B:$B,0)),1)&amp;"''","")</f>
        <v/>
      </c>
      <c r="Q1041" s="3" t="str">
        <f>IFERROR(IF(INDEX('PROJETO PERFURAÇÃO'!$P:$P,MATCH(MEDIÇÃO!R1041,'PROJETO PERFURAÇÃO'!$B:$B,0))="Production","P",IF(INDEX('PROJETO PERFURAÇÃO'!$P:$P,MATCH(MEDIÇÃO!R1041,'PROJETO PERFURAÇÃO'!$B:$B,0))="Buffer","B",IF(INDEX('PROJETO PERFURAÇÃO'!$P:$P,MATCH(MEDIÇÃO!R1041,'PROJETO PERFURAÇÃO'!$B:$B,0))="Pre-Splitting","S"))),"")</f>
        <v/>
      </c>
      <c r="R1041" s="14">
        <f t="shared" si="101"/>
        <v>2337</v>
      </c>
      <c r="S1041" s="4" t="str">
        <f>IFERROR(INDEX('LEV R&amp;D'!$D:$D,MATCH(MEDIÇÃO!R1041,'LEV R&amp;D'!$A:$A,0))-INDEX('PROJETO PERFURAÇÃO'!$AH:$AH,MATCH(MEDIÇÃO!R1041,'PROJETO PERFURAÇÃO'!$B:$B,0)),"")</f>
        <v/>
      </c>
      <c r="T1041" s="8" t="str">
        <f>IFERROR(INDEX('PROJETO PERFURAÇÃO'!$AN:$AN,MATCH(MEDIÇÃO!R1041,'PROJETO PERFURAÇÃO'!$B:$B,0)),"")</f>
        <v/>
      </c>
      <c r="U1041" s="3"/>
      <c r="V1041" s="3"/>
    </row>
    <row r="1042" spans="2:22" ht="45" customHeight="1" x14ac:dyDescent="0.25">
      <c r="B1042" s="3" t="str">
        <f>IFERROR(ROUND(INDEX('PROJETO PERFURAÇÃO'!$AB:$AB,MATCH(MEDIÇÃO!D1042,'PROJETO PERFURAÇÃO'!$B:$B,0)),1)&amp;"''","")</f>
        <v/>
      </c>
      <c r="C1042" s="3" t="str">
        <f>IFERROR(IF(INDEX('PROJETO PERFURAÇÃO'!$P:$P,MATCH(MEDIÇÃO!D1042,'PROJETO PERFURAÇÃO'!$B:$B,0))="Production","P",IF(INDEX('PROJETO PERFURAÇÃO'!$P:$P,MATCH(MEDIÇÃO!D1042,'PROJETO PERFURAÇÃO'!$B:$B,0))="Buffer","B",IF(INDEX('PROJETO PERFURAÇÃO'!$P:$P,MATCH(MEDIÇÃO!D1042,'PROJETO PERFURAÇÃO'!$B:$B,0))="Pre-Splitting","S"))),"")</f>
        <v/>
      </c>
      <c r="D1042" s="14">
        <f t="shared" si="99"/>
        <v>2292</v>
      </c>
      <c r="E1042" s="4" t="str">
        <f>IFERROR(INDEX('LEV R&amp;D'!$D:$D,MATCH(MEDIÇÃO!D1042,'LEV R&amp;D'!$A:$A,0))-INDEX('PROJETO PERFURAÇÃO'!$AH:$AH,MATCH(MEDIÇÃO!D1042,'PROJETO PERFURAÇÃO'!$B:$B,0)),"")</f>
        <v/>
      </c>
      <c r="F1042" s="8" t="str">
        <f>IFERROR(INDEX('PROJETO PERFURAÇÃO'!$AN:$AN,MATCH(MEDIÇÃO!D1042,'PROJETO PERFURAÇÃO'!$B:$B,0)),"")</f>
        <v/>
      </c>
      <c r="G1042" s="3"/>
      <c r="H1042" s="3"/>
      <c r="I1042" s="3" t="str">
        <f>IFERROR(ROUND(INDEX('PROJETO PERFURAÇÃO'!$AB:$AB,MATCH(MEDIÇÃO!K1042,'PROJETO PERFURAÇÃO'!$B:$B,0)),1)&amp;"''","")</f>
        <v/>
      </c>
      <c r="J1042" s="3" t="str">
        <f>IFERROR(IF(INDEX('PROJETO PERFURAÇÃO'!$P:$P,MATCH(MEDIÇÃO!K1042,'PROJETO PERFURAÇÃO'!$B:$B,0))="Production","P",IF(INDEX('PROJETO PERFURAÇÃO'!$P:$P,MATCH(MEDIÇÃO!K1042,'PROJETO PERFURAÇÃO'!$B:$B,0))="Buffer","B",IF(INDEX('PROJETO PERFURAÇÃO'!$P:$P,MATCH(MEDIÇÃO!K1042,'PROJETO PERFURAÇÃO'!$B:$B,0))="Pre-Splitting","S"))),"")</f>
        <v/>
      </c>
      <c r="K1042" s="14">
        <f t="shared" si="100"/>
        <v>2315</v>
      </c>
      <c r="L1042" s="4" t="str">
        <f>IFERROR(INDEX('LEV R&amp;D'!$D:$D,MATCH(MEDIÇÃO!K1042,'LEV R&amp;D'!$A:$A,0))-INDEX('PROJETO PERFURAÇÃO'!$AH:$AH,MATCH(MEDIÇÃO!K1042,'PROJETO PERFURAÇÃO'!$B:$B,0)),"")</f>
        <v/>
      </c>
      <c r="M1042" s="8" t="str">
        <f>IFERROR(INDEX('PROJETO PERFURAÇÃO'!$AN:$AN,MATCH(MEDIÇÃO!K1042,'PROJETO PERFURAÇÃO'!$B:$B,0)),"")</f>
        <v/>
      </c>
      <c r="N1042" s="3"/>
      <c r="O1042" s="3"/>
      <c r="P1042" s="3" t="str">
        <f>IFERROR(ROUND(INDEX('PROJETO PERFURAÇÃO'!$AB:$AB,MATCH(MEDIÇÃO!R1042,'PROJETO PERFURAÇÃO'!$B:$B,0)),1)&amp;"''","")</f>
        <v/>
      </c>
      <c r="Q1042" s="3" t="str">
        <f>IFERROR(IF(INDEX('PROJETO PERFURAÇÃO'!$P:$P,MATCH(MEDIÇÃO!R1042,'PROJETO PERFURAÇÃO'!$B:$B,0))="Production","P",IF(INDEX('PROJETO PERFURAÇÃO'!$P:$P,MATCH(MEDIÇÃO!R1042,'PROJETO PERFURAÇÃO'!$B:$B,0))="Buffer","B",IF(INDEX('PROJETO PERFURAÇÃO'!$P:$P,MATCH(MEDIÇÃO!R1042,'PROJETO PERFURAÇÃO'!$B:$B,0))="Pre-Splitting","S"))),"")</f>
        <v/>
      </c>
      <c r="R1042" s="14">
        <f t="shared" si="101"/>
        <v>2338</v>
      </c>
      <c r="S1042" s="4" t="str">
        <f>IFERROR(INDEX('LEV R&amp;D'!$D:$D,MATCH(MEDIÇÃO!R1042,'LEV R&amp;D'!$A:$A,0))-INDEX('PROJETO PERFURAÇÃO'!$AH:$AH,MATCH(MEDIÇÃO!R1042,'PROJETO PERFURAÇÃO'!$B:$B,0)),"")</f>
        <v/>
      </c>
      <c r="T1042" s="8" t="str">
        <f>IFERROR(INDEX('PROJETO PERFURAÇÃO'!$AN:$AN,MATCH(MEDIÇÃO!R1042,'PROJETO PERFURAÇÃO'!$B:$B,0)),"")</f>
        <v/>
      </c>
      <c r="U1042" s="3"/>
      <c r="V1042" s="3"/>
    </row>
    <row r="1043" spans="2:22" ht="45" customHeight="1" x14ac:dyDescent="0.25">
      <c r="B1043" s="3" t="str">
        <f>IFERROR(ROUND(INDEX('PROJETO PERFURAÇÃO'!$AB:$AB,MATCH(MEDIÇÃO!D1043,'PROJETO PERFURAÇÃO'!$B:$B,0)),1)&amp;"''","")</f>
        <v/>
      </c>
      <c r="C1043" s="3" t="str">
        <f>IFERROR(IF(INDEX('PROJETO PERFURAÇÃO'!$P:$P,MATCH(MEDIÇÃO!D1043,'PROJETO PERFURAÇÃO'!$B:$B,0))="Production","P",IF(INDEX('PROJETO PERFURAÇÃO'!$P:$P,MATCH(MEDIÇÃO!D1043,'PROJETO PERFURAÇÃO'!$B:$B,0))="Buffer","B",IF(INDEX('PROJETO PERFURAÇÃO'!$P:$P,MATCH(MEDIÇÃO!D1043,'PROJETO PERFURAÇÃO'!$B:$B,0))="Pre-Splitting","S"))),"")</f>
        <v/>
      </c>
      <c r="D1043" s="14">
        <f t="shared" si="99"/>
        <v>2293</v>
      </c>
      <c r="E1043" s="4" t="str">
        <f>IFERROR(INDEX('LEV R&amp;D'!$D:$D,MATCH(MEDIÇÃO!D1043,'LEV R&amp;D'!$A:$A,0))-INDEX('PROJETO PERFURAÇÃO'!$AH:$AH,MATCH(MEDIÇÃO!D1043,'PROJETO PERFURAÇÃO'!$B:$B,0)),"")</f>
        <v/>
      </c>
      <c r="F1043" s="8" t="str">
        <f>IFERROR(INDEX('PROJETO PERFURAÇÃO'!$AN:$AN,MATCH(MEDIÇÃO!D1043,'PROJETO PERFURAÇÃO'!$B:$B,0)),"")</f>
        <v/>
      </c>
      <c r="G1043" s="3"/>
      <c r="H1043" s="3"/>
      <c r="I1043" s="3" t="str">
        <f>IFERROR(ROUND(INDEX('PROJETO PERFURAÇÃO'!$AB:$AB,MATCH(MEDIÇÃO!K1043,'PROJETO PERFURAÇÃO'!$B:$B,0)),1)&amp;"''","")</f>
        <v/>
      </c>
      <c r="J1043" s="3" t="str">
        <f>IFERROR(IF(INDEX('PROJETO PERFURAÇÃO'!$P:$P,MATCH(MEDIÇÃO!K1043,'PROJETO PERFURAÇÃO'!$B:$B,0))="Production","P",IF(INDEX('PROJETO PERFURAÇÃO'!$P:$P,MATCH(MEDIÇÃO!K1043,'PROJETO PERFURAÇÃO'!$B:$B,0))="Buffer","B",IF(INDEX('PROJETO PERFURAÇÃO'!$P:$P,MATCH(MEDIÇÃO!K1043,'PROJETO PERFURAÇÃO'!$B:$B,0))="Pre-Splitting","S"))),"")</f>
        <v/>
      </c>
      <c r="K1043" s="14">
        <f t="shared" si="100"/>
        <v>2316</v>
      </c>
      <c r="L1043" s="4" t="str">
        <f>IFERROR(INDEX('LEV R&amp;D'!$D:$D,MATCH(MEDIÇÃO!K1043,'LEV R&amp;D'!$A:$A,0))-INDEX('PROJETO PERFURAÇÃO'!$AH:$AH,MATCH(MEDIÇÃO!K1043,'PROJETO PERFURAÇÃO'!$B:$B,0)),"")</f>
        <v/>
      </c>
      <c r="M1043" s="8" t="str">
        <f>IFERROR(INDEX('PROJETO PERFURAÇÃO'!$AN:$AN,MATCH(MEDIÇÃO!K1043,'PROJETO PERFURAÇÃO'!$B:$B,0)),"")</f>
        <v/>
      </c>
      <c r="N1043" s="3"/>
      <c r="O1043" s="3"/>
      <c r="P1043" s="3" t="str">
        <f>IFERROR(ROUND(INDEX('PROJETO PERFURAÇÃO'!$AB:$AB,MATCH(MEDIÇÃO!R1043,'PROJETO PERFURAÇÃO'!$B:$B,0)),1)&amp;"''","")</f>
        <v/>
      </c>
      <c r="Q1043" s="3" t="str">
        <f>IFERROR(IF(INDEX('PROJETO PERFURAÇÃO'!$P:$P,MATCH(MEDIÇÃO!R1043,'PROJETO PERFURAÇÃO'!$B:$B,0))="Production","P",IF(INDEX('PROJETO PERFURAÇÃO'!$P:$P,MATCH(MEDIÇÃO!R1043,'PROJETO PERFURAÇÃO'!$B:$B,0))="Buffer","B",IF(INDEX('PROJETO PERFURAÇÃO'!$P:$P,MATCH(MEDIÇÃO!R1043,'PROJETO PERFURAÇÃO'!$B:$B,0))="Pre-Splitting","S"))),"")</f>
        <v/>
      </c>
      <c r="R1043" s="14">
        <f t="shared" si="101"/>
        <v>2339</v>
      </c>
      <c r="S1043" s="4" t="str">
        <f>IFERROR(INDEX('LEV R&amp;D'!$D:$D,MATCH(MEDIÇÃO!R1043,'LEV R&amp;D'!$A:$A,0))-INDEX('PROJETO PERFURAÇÃO'!$AH:$AH,MATCH(MEDIÇÃO!R1043,'PROJETO PERFURAÇÃO'!$B:$B,0)),"")</f>
        <v/>
      </c>
      <c r="T1043" s="8" t="str">
        <f>IFERROR(INDEX('PROJETO PERFURAÇÃO'!$AN:$AN,MATCH(MEDIÇÃO!R1043,'PROJETO PERFURAÇÃO'!$B:$B,0)),"")</f>
        <v/>
      </c>
      <c r="U1043" s="3"/>
      <c r="V1043" s="3"/>
    </row>
    <row r="1044" spans="2:22" ht="45" customHeight="1" x14ac:dyDescent="0.25">
      <c r="B1044" s="3" t="str">
        <f>IFERROR(ROUND(INDEX('PROJETO PERFURAÇÃO'!$AB:$AB,MATCH(MEDIÇÃO!D1044,'PROJETO PERFURAÇÃO'!$B:$B,0)),1)&amp;"''","")</f>
        <v/>
      </c>
      <c r="C1044" s="3" t="str">
        <f>IFERROR(IF(INDEX('PROJETO PERFURAÇÃO'!$P:$P,MATCH(MEDIÇÃO!D1044,'PROJETO PERFURAÇÃO'!$B:$B,0))="Production","P",IF(INDEX('PROJETO PERFURAÇÃO'!$P:$P,MATCH(MEDIÇÃO!D1044,'PROJETO PERFURAÇÃO'!$B:$B,0))="Buffer","B",IF(INDEX('PROJETO PERFURAÇÃO'!$P:$P,MATCH(MEDIÇÃO!D1044,'PROJETO PERFURAÇÃO'!$B:$B,0))="Pre-Splitting","S"))),"")</f>
        <v/>
      </c>
      <c r="D1044" s="14">
        <f t="shared" si="99"/>
        <v>2294</v>
      </c>
      <c r="E1044" s="4" t="str">
        <f>IFERROR(INDEX('LEV R&amp;D'!$D:$D,MATCH(MEDIÇÃO!D1044,'LEV R&amp;D'!$A:$A,0))-INDEX('PROJETO PERFURAÇÃO'!$AH:$AH,MATCH(MEDIÇÃO!D1044,'PROJETO PERFURAÇÃO'!$B:$B,0)),"")</f>
        <v/>
      </c>
      <c r="F1044" s="8" t="str">
        <f>IFERROR(INDEX('PROJETO PERFURAÇÃO'!$AN:$AN,MATCH(MEDIÇÃO!D1044,'PROJETO PERFURAÇÃO'!$B:$B,0)),"")</f>
        <v/>
      </c>
      <c r="G1044" s="3"/>
      <c r="H1044" s="3"/>
      <c r="I1044" s="3" t="str">
        <f>IFERROR(ROUND(INDEX('PROJETO PERFURAÇÃO'!$AB:$AB,MATCH(MEDIÇÃO!K1044,'PROJETO PERFURAÇÃO'!$B:$B,0)),1)&amp;"''","")</f>
        <v/>
      </c>
      <c r="J1044" s="3" t="str">
        <f>IFERROR(IF(INDEX('PROJETO PERFURAÇÃO'!$P:$P,MATCH(MEDIÇÃO!K1044,'PROJETO PERFURAÇÃO'!$B:$B,0))="Production","P",IF(INDEX('PROJETO PERFURAÇÃO'!$P:$P,MATCH(MEDIÇÃO!K1044,'PROJETO PERFURAÇÃO'!$B:$B,0))="Buffer","B",IF(INDEX('PROJETO PERFURAÇÃO'!$P:$P,MATCH(MEDIÇÃO!K1044,'PROJETO PERFURAÇÃO'!$B:$B,0))="Pre-Splitting","S"))),"")</f>
        <v/>
      </c>
      <c r="K1044" s="14">
        <f t="shared" si="100"/>
        <v>2317</v>
      </c>
      <c r="L1044" s="4" t="str">
        <f>IFERROR(INDEX('LEV R&amp;D'!$D:$D,MATCH(MEDIÇÃO!K1044,'LEV R&amp;D'!$A:$A,0))-INDEX('PROJETO PERFURAÇÃO'!$AH:$AH,MATCH(MEDIÇÃO!K1044,'PROJETO PERFURAÇÃO'!$B:$B,0)),"")</f>
        <v/>
      </c>
      <c r="M1044" s="8" t="str">
        <f>IFERROR(INDEX('PROJETO PERFURAÇÃO'!$AN:$AN,MATCH(MEDIÇÃO!K1044,'PROJETO PERFURAÇÃO'!$B:$B,0)),"")</f>
        <v/>
      </c>
      <c r="N1044" s="3"/>
      <c r="O1044" s="3"/>
      <c r="P1044" s="3" t="str">
        <f>IFERROR(ROUND(INDEX('PROJETO PERFURAÇÃO'!$AB:$AB,MATCH(MEDIÇÃO!R1044,'PROJETO PERFURAÇÃO'!$B:$B,0)),1)&amp;"''","")</f>
        <v/>
      </c>
      <c r="Q1044" s="3" t="str">
        <f>IFERROR(IF(INDEX('PROJETO PERFURAÇÃO'!$P:$P,MATCH(MEDIÇÃO!R1044,'PROJETO PERFURAÇÃO'!$B:$B,0))="Production","P",IF(INDEX('PROJETO PERFURAÇÃO'!$P:$P,MATCH(MEDIÇÃO!R1044,'PROJETO PERFURAÇÃO'!$B:$B,0))="Buffer","B",IF(INDEX('PROJETO PERFURAÇÃO'!$P:$P,MATCH(MEDIÇÃO!R1044,'PROJETO PERFURAÇÃO'!$B:$B,0))="Pre-Splitting","S"))),"")</f>
        <v/>
      </c>
      <c r="R1044" s="14">
        <f t="shared" si="101"/>
        <v>2340</v>
      </c>
      <c r="S1044" s="4" t="str">
        <f>IFERROR(INDEX('LEV R&amp;D'!$D:$D,MATCH(MEDIÇÃO!R1044,'LEV R&amp;D'!$A:$A,0))-INDEX('PROJETO PERFURAÇÃO'!$AH:$AH,MATCH(MEDIÇÃO!R1044,'PROJETO PERFURAÇÃO'!$B:$B,0)),"")</f>
        <v/>
      </c>
      <c r="T1044" s="8" t="str">
        <f>IFERROR(INDEX('PROJETO PERFURAÇÃO'!$AN:$AN,MATCH(MEDIÇÃO!R1044,'PROJETO PERFURAÇÃO'!$B:$B,0)),"")</f>
        <v/>
      </c>
      <c r="U1044" s="3"/>
      <c r="V1044" s="3"/>
    </row>
    <row r="1045" spans="2:22" ht="45" customHeight="1" x14ac:dyDescent="0.25">
      <c r="B1045" s="3" t="str">
        <f>IFERROR(ROUND(INDEX('PROJETO PERFURAÇÃO'!$AB:$AB,MATCH(MEDIÇÃO!D1045,'PROJETO PERFURAÇÃO'!$B:$B,0)),1)&amp;"''","")</f>
        <v/>
      </c>
      <c r="C1045" s="3" t="str">
        <f>IFERROR(IF(INDEX('PROJETO PERFURAÇÃO'!$P:$P,MATCH(MEDIÇÃO!D1045,'PROJETO PERFURAÇÃO'!$B:$B,0))="Production","P",IF(INDEX('PROJETO PERFURAÇÃO'!$P:$P,MATCH(MEDIÇÃO!D1045,'PROJETO PERFURAÇÃO'!$B:$B,0))="Buffer","B",IF(INDEX('PROJETO PERFURAÇÃO'!$P:$P,MATCH(MEDIÇÃO!D1045,'PROJETO PERFURAÇÃO'!$B:$B,0))="Pre-Splitting","S"))),"")</f>
        <v/>
      </c>
      <c r="D1045" s="14">
        <f t="shared" si="99"/>
        <v>2295</v>
      </c>
      <c r="E1045" s="4" t="str">
        <f>IFERROR(INDEX('LEV R&amp;D'!$D:$D,MATCH(MEDIÇÃO!D1045,'LEV R&amp;D'!$A:$A,0))-INDEX('PROJETO PERFURAÇÃO'!$AH:$AH,MATCH(MEDIÇÃO!D1045,'PROJETO PERFURAÇÃO'!$B:$B,0)),"")</f>
        <v/>
      </c>
      <c r="F1045" s="8" t="str">
        <f>IFERROR(INDEX('PROJETO PERFURAÇÃO'!$AN:$AN,MATCH(MEDIÇÃO!D1045,'PROJETO PERFURAÇÃO'!$B:$B,0)),"")</f>
        <v/>
      </c>
      <c r="G1045" s="3"/>
      <c r="H1045" s="3"/>
      <c r="I1045" s="3" t="str">
        <f>IFERROR(ROUND(INDEX('PROJETO PERFURAÇÃO'!$AB:$AB,MATCH(MEDIÇÃO!K1045,'PROJETO PERFURAÇÃO'!$B:$B,0)),1)&amp;"''","")</f>
        <v/>
      </c>
      <c r="J1045" s="3" t="str">
        <f>IFERROR(IF(INDEX('PROJETO PERFURAÇÃO'!$P:$P,MATCH(MEDIÇÃO!K1045,'PROJETO PERFURAÇÃO'!$B:$B,0))="Production","P",IF(INDEX('PROJETO PERFURAÇÃO'!$P:$P,MATCH(MEDIÇÃO!K1045,'PROJETO PERFURAÇÃO'!$B:$B,0))="Buffer","B",IF(INDEX('PROJETO PERFURAÇÃO'!$P:$P,MATCH(MEDIÇÃO!K1045,'PROJETO PERFURAÇÃO'!$B:$B,0))="Pre-Splitting","S"))),"")</f>
        <v/>
      </c>
      <c r="K1045" s="14">
        <f t="shared" si="100"/>
        <v>2318</v>
      </c>
      <c r="L1045" s="4" t="str">
        <f>IFERROR(INDEX('LEV R&amp;D'!$D:$D,MATCH(MEDIÇÃO!K1045,'LEV R&amp;D'!$A:$A,0))-INDEX('PROJETO PERFURAÇÃO'!$AH:$AH,MATCH(MEDIÇÃO!K1045,'PROJETO PERFURAÇÃO'!$B:$B,0)),"")</f>
        <v/>
      </c>
      <c r="M1045" s="8" t="str">
        <f>IFERROR(INDEX('PROJETO PERFURAÇÃO'!$AN:$AN,MATCH(MEDIÇÃO!K1045,'PROJETO PERFURAÇÃO'!$B:$B,0)),"")</f>
        <v/>
      </c>
      <c r="N1045" s="3"/>
      <c r="O1045" s="3"/>
      <c r="P1045" s="3" t="str">
        <f>IFERROR(ROUND(INDEX('PROJETO PERFURAÇÃO'!$AB:$AB,MATCH(MEDIÇÃO!R1045,'PROJETO PERFURAÇÃO'!$B:$B,0)),1)&amp;"''","")</f>
        <v/>
      </c>
      <c r="Q1045" s="3" t="str">
        <f>IFERROR(IF(INDEX('PROJETO PERFURAÇÃO'!$P:$P,MATCH(MEDIÇÃO!R1045,'PROJETO PERFURAÇÃO'!$B:$B,0))="Production","P",IF(INDEX('PROJETO PERFURAÇÃO'!$P:$P,MATCH(MEDIÇÃO!R1045,'PROJETO PERFURAÇÃO'!$B:$B,0))="Buffer","B",IF(INDEX('PROJETO PERFURAÇÃO'!$P:$P,MATCH(MEDIÇÃO!R1045,'PROJETO PERFURAÇÃO'!$B:$B,0))="Pre-Splitting","S"))),"")</f>
        <v/>
      </c>
      <c r="R1045" s="14">
        <f t="shared" si="101"/>
        <v>2341</v>
      </c>
      <c r="S1045" s="4" t="str">
        <f>IFERROR(INDEX('LEV R&amp;D'!$D:$D,MATCH(MEDIÇÃO!R1045,'LEV R&amp;D'!$A:$A,0))-INDEX('PROJETO PERFURAÇÃO'!$AH:$AH,MATCH(MEDIÇÃO!R1045,'PROJETO PERFURAÇÃO'!$B:$B,0)),"")</f>
        <v/>
      </c>
      <c r="T1045" s="8" t="str">
        <f>IFERROR(INDEX('PROJETO PERFURAÇÃO'!$AN:$AN,MATCH(MEDIÇÃO!R1045,'PROJETO PERFURAÇÃO'!$B:$B,0)),"")</f>
        <v/>
      </c>
      <c r="U1045" s="3"/>
      <c r="V1045" s="3"/>
    </row>
    <row r="1046" spans="2:22" ht="45" customHeight="1" x14ac:dyDescent="0.25">
      <c r="B1046" s="3" t="str">
        <f>IFERROR(ROUND(INDEX('PROJETO PERFURAÇÃO'!$AB:$AB,MATCH(MEDIÇÃO!D1046,'PROJETO PERFURAÇÃO'!$B:$B,0)),1)&amp;"''","")</f>
        <v/>
      </c>
      <c r="C1046" s="3" t="str">
        <f>IFERROR(IF(INDEX('PROJETO PERFURAÇÃO'!$P:$P,MATCH(MEDIÇÃO!D1046,'PROJETO PERFURAÇÃO'!$B:$B,0))="Production","P",IF(INDEX('PROJETO PERFURAÇÃO'!$P:$P,MATCH(MEDIÇÃO!D1046,'PROJETO PERFURAÇÃO'!$B:$B,0))="Buffer","B",IF(INDEX('PROJETO PERFURAÇÃO'!$P:$P,MATCH(MEDIÇÃO!D1046,'PROJETO PERFURAÇÃO'!$B:$B,0))="Pre-Splitting","S"))),"")</f>
        <v/>
      </c>
      <c r="D1046" s="14">
        <f t="shared" si="99"/>
        <v>2296</v>
      </c>
      <c r="E1046" s="4" t="str">
        <f>IFERROR(INDEX('LEV R&amp;D'!$D:$D,MATCH(MEDIÇÃO!D1046,'LEV R&amp;D'!$A:$A,0))-INDEX('PROJETO PERFURAÇÃO'!$AH:$AH,MATCH(MEDIÇÃO!D1046,'PROJETO PERFURAÇÃO'!$B:$B,0)),"")</f>
        <v/>
      </c>
      <c r="F1046" s="8" t="str">
        <f>IFERROR(INDEX('PROJETO PERFURAÇÃO'!$AN:$AN,MATCH(MEDIÇÃO!D1046,'PROJETO PERFURAÇÃO'!$B:$B,0)),"")</f>
        <v/>
      </c>
      <c r="G1046" s="3"/>
      <c r="H1046" s="3"/>
      <c r="I1046" s="3" t="str">
        <f>IFERROR(ROUND(INDEX('PROJETO PERFURAÇÃO'!$AB:$AB,MATCH(MEDIÇÃO!K1046,'PROJETO PERFURAÇÃO'!$B:$B,0)),1)&amp;"''","")</f>
        <v/>
      </c>
      <c r="J1046" s="3" t="str">
        <f>IFERROR(IF(INDEX('PROJETO PERFURAÇÃO'!$P:$P,MATCH(MEDIÇÃO!K1046,'PROJETO PERFURAÇÃO'!$B:$B,0))="Production","P",IF(INDEX('PROJETO PERFURAÇÃO'!$P:$P,MATCH(MEDIÇÃO!K1046,'PROJETO PERFURAÇÃO'!$B:$B,0))="Buffer","B",IF(INDEX('PROJETO PERFURAÇÃO'!$P:$P,MATCH(MEDIÇÃO!K1046,'PROJETO PERFURAÇÃO'!$B:$B,0))="Pre-Splitting","S"))),"")</f>
        <v/>
      </c>
      <c r="K1046" s="14">
        <f t="shared" si="100"/>
        <v>2319</v>
      </c>
      <c r="L1046" s="4" t="str">
        <f>IFERROR(INDEX('LEV R&amp;D'!$D:$D,MATCH(MEDIÇÃO!K1046,'LEV R&amp;D'!$A:$A,0))-INDEX('PROJETO PERFURAÇÃO'!$AH:$AH,MATCH(MEDIÇÃO!K1046,'PROJETO PERFURAÇÃO'!$B:$B,0)),"")</f>
        <v/>
      </c>
      <c r="M1046" s="8" t="str">
        <f>IFERROR(INDEX('PROJETO PERFURAÇÃO'!$AN:$AN,MATCH(MEDIÇÃO!K1046,'PROJETO PERFURAÇÃO'!$B:$B,0)),"")</f>
        <v/>
      </c>
      <c r="N1046" s="3"/>
      <c r="O1046" s="3"/>
      <c r="P1046" s="3" t="str">
        <f>IFERROR(ROUND(INDEX('PROJETO PERFURAÇÃO'!$AB:$AB,MATCH(MEDIÇÃO!R1046,'PROJETO PERFURAÇÃO'!$B:$B,0)),1)&amp;"''","")</f>
        <v/>
      </c>
      <c r="Q1046" s="3" t="str">
        <f>IFERROR(IF(INDEX('PROJETO PERFURAÇÃO'!$P:$P,MATCH(MEDIÇÃO!R1046,'PROJETO PERFURAÇÃO'!$B:$B,0))="Production","P",IF(INDEX('PROJETO PERFURAÇÃO'!$P:$P,MATCH(MEDIÇÃO!R1046,'PROJETO PERFURAÇÃO'!$B:$B,0))="Buffer","B",IF(INDEX('PROJETO PERFURAÇÃO'!$P:$P,MATCH(MEDIÇÃO!R1046,'PROJETO PERFURAÇÃO'!$B:$B,0))="Pre-Splitting","S"))),"")</f>
        <v/>
      </c>
      <c r="R1046" s="14">
        <f t="shared" si="101"/>
        <v>2342</v>
      </c>
      <c r="S1046" s="4" t="str">
        <f>IFERROR(INDEX('LEV R&amp;D'!$D:$D,MATCH(MEDIÇÃO!R1046,'LEV R&amp;D'!$A:$A,0))-INDEX('PROJETO PERFURAÇÃO'!$AH:$AH,MATCH(MEDIÇÃO!R1046,'PROJETO PERFURAÇÃO'!$B:$B,0)),"")</f>
        <v/>
      </c>
      <c r="T1046" s="8" t="str">
        <f>IFERROR(INDEX('PROJETO PERFURAÇÃO'!$AN:$AN,MATCH(MEDIÇÃO!R1046,'PROJETO PERFURAÇÃO'!$B:$B,0)),"")</f>
        <v/>
      </c>
      <c r="U1046" s="3"/>
      <c r="V1046" s="3"/>
    </row>
    <row r="1047" spans="2:22" ht="45" customHeight="1" x14ac:dyDescent="0.25">
      <c r="B1047" s="3" t="str">
        <f>IFERROR(ROUND(INDEX('PROJETO PERFURAÇÃO'!$AB:$AB,MATCH(MEDIÇÃO!D1047,'PROJETO PERFURAÇÃO'!$B:$B,0)),1)&amp;"''","")</f>
        <v/>
      </c>
      <c r="C1047" s="3" t="str">
        <f>IFERROR(IF(INDEX('PROJETO PERFURAÇÃO'!$P:$P,MATCH(MEDIÇÃO!D1047,'PROJETO PERFURAÇÃO'!$B:$B,0))="Production","P",IF(INDEX('PROJETO PERFURAÇÃO'!$P:$P,MATCH(MEDIÇÃO!D1047,'PROJETO PERFURAÇÃO'!$B:$B,0))="Buffer","B",IF(INDEX('PROJETO PERFURAÇÃO'!$P:$P,MATCH(MEDIÇÃO!D1047,'PROJETO PERFURAÇÃO'!$B:$B,0))="Pre-Splitting","S"))),"")</f>
        <v/>
      </c>
      <c r="D1047" s="14">
        <f t="shared" si="99"/>
        <v>2297</v>
      </c>
      <c r="E1047" s="4" t="str">
        <f>IFERROR(INDEX('LEV R&amp;D'!$D:$D,MATCH(MEDIÇÃO!D1047,'LEV R&amp;D'!$A:$A,0))-INDEX('PROJETO PERFURAÇÃO'!$AH:$AH,MATCH(MEDIÇÃO!D1047,'PROJETO PERFURAÇÃO'!$B:$B,0)),"")</f>
        <v/>
      </c>
      <c r="F1047" s="8" t="str">
        <f>IFERROR(INDEX('PROJETO PERFURAÇÃO'!$AN:$AN,MATCH(MEDIÇÃO!D1047,'PROJETO PERFURAÇÃO'!$B:$B,0)),"")</f>
        <v/>
      </c>
      <c r="G1047" s="3"/>
      <c r="H1047" s="3"/>
      <c r="I1047" s="3" t="str">
        <f>IFERROR(ROUND(INDEX('PROJETO PERFURAÇÃO'!$AB:$AB,MATCH(MEDIÇÃO!K1047,'PROJETO PERFURAÇÃO'!$B:$B,0)),1)&amp;"''","")</f>
        <v/>
      </c>
      <c r="J1047" s="3" t="str">
        <f>IFERROR(IF(INDEX('PROJETO PERFURAÇÃO'!$P:$P,MATCH(MEDIÇÃO!K1047,'PROJETO PERFURAÇÃO'!$B:$B,0))="Production","P",IF(INDEX('PROJETO PERFURAÇÃO'!$P:$P,MATCH(MEDIÇÃO!K1047,'PROJETO PERFURAÇÃO'!$B:$B,0))="Buffer","B",IF(INDEX('PROJETO PERFURAÇÃO'!$P:$P,MATCH(MEDIÇÃO!K1047,'PROJETO PERFURAÇÃO'!$B:$B,0))="Pre-Splitting","S"))),"")</f>
        <v/>
      </c>
      <c r="K1047" s="14">
        <f t="shared" si="100"/>
        <v>2320</v>
      </c>
      <c r="L1047" s="4" t="str">
        <f>IFERROR(INDEX('LEV R&amp;D'!$D:$D,MATCH(MEDIÇÃO!K1047,'LEV R&amp;D'!$A:$A,0))-INDEX('PROJETO PERFURAÇÃO'!$AH:$AH,MATCH(MEDIÇÃO!K1047,'PROJETO PERFURAÇÃO'!$B:$B,0)),"")</f>
        <v/>
      </c>
      <c r="M1047" s="8" t="str">
        <f>IFERROR(INDEX('PROJETO PERFURAÇÃO'!$AN:$AN,MATCH(MEDIÇÃO!K1047,'PROJETO PERFURAÇÃO'!$B:$B,0)),"")</f>
        <v/>
      </c>
      <c r="N1047" s="3"/>
      <c r="O1047" s="3"/>
      <c r="P1047" s="3" t="str">
        <f>IFERROR(ROUND(INDEX('PROJETO PERFURAÇÃO'!$AB:$AB,MATCH(MEDIÇÃO!R1047,'PROJETO PERFURAÇÃO'!$B:$B,0)),1)&amp;"''","")</f>
        <v/>
      </c>
      <c r="Q1047" s="3" t="str">
        <f>IFERROR(IF(INDEX('PROJETO PERFURAÇÃO'!$P:$P,MATCH(MEDIÇÃO!R1047,'PROJETO PERFURAÇÃO'!$B:$B,0))="Production","P",IF(INDEX('PROJETO PERFURAÇÃO'!$P:$P,MATCH(MEDIÇÃO!R1047,'PROJETO PERFURAÇÃO'!$B:$B,0))="Buffer","B",IF(INDEX('PROJETO PERFURAÇÃO'!$P:$P,MATCH(MEDIÇÃO!R1047,'PROJETO PERFURAÇÃO'!$B:$B,0))="Pre-Splitting","S"))),"")</f>
        <v/>
      </c>
      <c r="R1047" s="14">
        <f t="shared" si="101"/>
        <v>2343</v>
      </c>
      <c r="S1047" s="4" t="str">
        <f>IFERROR(INDEX('LEV R&amp;D'!$D:$D,MATCH(MEDIÇÃO!R1047,'LEV R&amp;D'!$A:$A,0))-INDEX('PROJETO PERFURAÇÃO'!$AH:$AH,MATCH(MEDIÇÃO!R1047,'PROJETO PERFURAÇÃO'!$B:$B,0)),"")</f>
        <v/>
      </c>
      <c r="T1047" s="8" t="str">
        <f>IFERROR(INDEX('PROJETO PERFURAÇÃO'!$AN:$AN,MATCH(MEDIÇÃO!R1047,'PROJETO PERFURAÇÃO'!$B:$B,0)),"")</f>
        <v/>
      </c>
      <c r="U1047" s="3"/>
      <c r="V1047" s="3"/>
    </row>
    <row r="1048" spans="2:22" ht="45" customHeight="1" x14ac:dyDescent="0.25">
      <c r="B1048" s="3" t="str">
        <f>IFERROR(ROUND(INDEX('PROJETO PERFURAÇÃO'!$AB:$AB,MATCH(MEDIÇÃO!D1048,'PROJETO PERFURAÇÃO'!$B:$B,0)),1)&amp;"''","")</f>
        <v/>
      </c>
      <c r="C1048" s="3" t="str">
        <f>IFERROR(IF(INDEX('PROJETO PERFURAÇÃO'!$P:$P,MATCH(MEDIÇÃO!D1048,'PROJETO PERFURAÇÃO'!$B:$B,0))="Production","P",IF(INDEX('PROJETO PERFURAÇÃO'!$P:$P,MATCH(MEDIÇÃO!D1048,'PROJETO PERFURAÇÃO'!$B:$B,0))="Buffer","B",IF(INDEX('PROJETO PERFURAÇÃO'!$P:$P,MATCH(MEDIÇÃO!D1048,'PROJETO PERFURAÇÃO'!$B:$B,0))="Pre-Splitting","S"))),"")</f>
        <v/>
      </c>
      <c r="D1048" s="14">
        <f t="shared" si="99"/>
        <v>2298</v>
      </c>
      <c r="E1048" s="4" t="str">
        <f>IFERROR(INDEX('LEV R&amp;D'!$D:$D,MATCH(MEDIÇÃO!D1048,'LEV R&amp;D'!$A:$A,0))-INDEX('PROJETO PERFURAÇÃO'!$AH:$AH,MATCH(MEDIÇÃO!D1048,'PROJETO PERFURAÇÃO'!$B:$B,0)),"")</f>
        <v/>
      </c>
      <c r="F1048" s="8" t="str">
        <f>IFERROR(INDEX('PROJETO PERFURAÇÃO'!$AN:$AN,MATCH(MEDIÇÃO!D1048,'PROJETO PERFURAÇÃO'!$B:$B,0)),"")</f>
        <v/>
      </c>
      <c r="G1048" s="3"/>
      <c r="H1048" s="3"/>
      <c r="I1048" s="3" t="str">
        <f>IFERROR(ROUND(INDEX('PROJETO PERFURAÇÃO'!$AB:$AB,MATCH(MEDIÇÃO!K1048,'PROJETO PERFURAÇÃO'!$B:$B,0)),1)&amp;"''","")</f>
        <v/>
      </c>
      <c r="J1048" s="3" t="str">
        <f>IFERROR(IF(INDEX('PROJETO PERFURAÇÃO'!$P:$P,MATCH(MEDIÇÃO!K1048,'PROJETO PERFURAÇÃO'!$B:$B,0))="Production","P",IF(INDEX('PROJETO PERFURAÇÃO'!$P:$P,MATCH(MEDIÇÃO!K1048,'PROJETO PERFURAÇÃO'!$B:$B,0))="Buffer","B",IF(INDEX('PROJETO PERFURAÇÃO'!$P:$P,MATCH(MEDIÇÃO!K1048,'PROJETO PERFURAÇÃO'!$B:$B,0))="Pre-Splitting","S"))),"")</f>
        <v/>
      </c>
      <c r="K1048" s="14">
        <f t="shared" si="100"/>
        <v>2321</v>
      </c>
      <c r="L1048" s="4" t="str">
        <f>IFERROR(INDEX('LEV R&amp;D'!$D:$D,MATCH(MEDIÇÃO!K1048,'LEV R&amp;D'!$A:$A,0))-INDEX('PROJETO PERFURAÇÃO'!$AH:$AH,MATCH(MEDIÇÃO!K1048,'PROJETO PERFURAÇÃO'!$B:$B,0)),"")</f>
        <v/>
      </c>
      <c r="M1048" s="8" t="str">
        <f>IFERROR(INDEX('PROJETO PERFURAÇÃO'!$AN:$AN,MATCH(MEDIÇÃO!K1048,'PROJETO PERFURAÇÃO'!$B:$B,0)),"")</f>
        <v/>
      </c>
      <c r="N1048" s="3"/>
      <c r="O1048" s="3"/>
      <c r="P1048" s="3" t="str">
        <f>IFERROR(ROUND(INDEX('PROJETO PERFURAÇÃO'!$AB:$AB,MATCH(MEDIÇÃO!R1048,'PROJETO PERFURAÇÃO'!$B:$B,0)),1)&amp;"''","")</f>
        <v/>
      </c>
      <c r="Q1048" s="3" t="str">
        <f>IFERROR(IF(INDEX('PROJETO PERFURAÇÃO'!$P:$P,MATCH(MEDIÇÃO!R1048,'PROJETO PERFURAÇÃO'!$B:$B,0))="Production","P",IF(INDEX('PROJETO PERFURAÇÃO'!$P:$P,MATCH(MEDIÇÃO!R1048,'PROJETO PERFURAÇÃO'!$B:$B,0))="Buffer","B",IF(INDEX('PROJETO PERFURAÇÃO'!$P:$P,MATCH(MEDIÇÃO!R1048,'PROJETO PERFURAÇÃO'!$B:$B,0))="Pre-Splitting","S"))),"")</f>
        <v/>
      </c>
      <c r="R1048" s="14">
        <f t="shared" si="101"/>
        <v>2344</v>
      </c>
      <c r="S1048" s="4" t="str">
        <f>IFERROR(INDEX('LEV R&amp;D'!$D:$D,MATCH(MEDIÇÃO!R1048,'LEV R&amp;D'!$A:$A,0))-INDEX('PROJETO PERFURAÇÃO'!$AH:$AH,MATCH(MEDIÇÃO!R1048,'PROJETO PERFURAÇÃO'!$B:$B,0)),"")</f>
        <v/>
      </c>
      <c r="T1048" s="8" t="str">
        <f>IFERROR(INDEX('PROJETO PERFURAÇÃO'!$AN:$AN,MATCH(MEDIÇÃO!R1048,'PROJETO PERFURAÇÃO'!$B:$B,0)),"")</f>
        <v/>
      </c>
      <c r="U1048" s="3"/>
      <c r="V1048" s="3"/>
    </row>
    <row r="1049" spans="2:22" ht="45" customHeight="1" x14ac:dyDescent="0.25">
      <c r="B1049" s="3" t="str">
        <f>IFERROR(ROUND(INDEX('PROJETO PERFURAÇÃO'!$AB:$AB,MATCH(MEDIÇÃO!D1049,'PROJETO PERFURAÇÃO'!$B:$B,0)),1)&amp;"''","")</f>
        <v/>
      </c>
      <c r="C1049" s="3" t="str">
        <f>IFERROR(IF(INDEX('PROJETO PERFURAÇÃO'!$P:$P,MATCH(MEDIÇÃO!D1049,'PROJETO PERFURAÇÃO'!$B:$B,0))="Production","P",IF(INDEX('PROJETO PERFURAÇÃO'!$P:$P,MATCH(MEDIÇÃO!D1049,'PROJETO PERFURAÇÃO'!$B:$B,0))="Buffer","B",IF(INDEX('PROJETO PERFURAÇÃO'!$P:$P,MATCH(MEDIÇÃO!D1049,'PROJETO PERFURAÇÃO'!$B:$B,0))="Pre-Splitting","S"))),"")</f>
        <v/>
      </c>
      <c r="D1049" s="14">
        <f t="shared" si="99"/>
        <v>2299</v>
      </c>
      <c r="E1049" s="4" t="str">
        <f>IFERROR(INDEX('LEV R&amp;D'!$D:$D,MATCH(MEDIÇÃO!D1049,'LEV R&amp;D'!$A:$A,0))-INDEX('PROJETO PERFURAÇÃO'!$AH:$AH,MATCH(MEDIÇÃO!D1049,'PROJETO PERFURAÇÃO'!$B:$B,0)),"")</f>
        <v/>
      </c>
      <c r="F1049" s="8" t="str">
        <f>IFERROR(INDEX('PROJETO PERFURAÇÃO'!$AN:$AN,MATCH(MEDIÇÃO!D1049,'PROJETO PERFURAÇÃO'!$B:$B,0)),"")</f>
        <v/>
      </c>
      <c r="G1049" s="3"/>
      <c r="H1049" s="3"/>
      <c r="I1049" s="3" t="str">
        <f>IFERROR(ROUND(INDEX('PROJETO PERFURAÇÃO'!$AB:$AB,MATCH(MEDIÇÃO!K1049,'PROJETO PERFURAÇÃO'!$B:$B,0)),1)&amp;"''","")</f>
        <v/>
      </c>
      <c r="J1049" s="3" t="str">
        <f>IFERROR(IF(INDEX('PROJETO PERFURAÇÃO'!$P:$P,MATCH(MEDIÇÃO!K1049,'PROJETO PERFURAÇÃO'!$B:$B,0))="Production","P",IF(INDEX('PROJETO PERFURAÇÃO'!$P:$P,MATCH(MEDIÇÃO!K1049,'PROJETO PERFURAÇÃO'!$B:$B,0))="Buffer","B",IF(INDEX('PROJETO PERFURAÇÃO'!$P:$P,MATCH(MEDIÇÃO!K1049,'PROJETO PERFURAÇÃO'!$B:$B,0))="Pre-Splitting","S"))),"")</f>
        <v/>
      </c>
      <c r="K1049" s="14">
        <f t="shared" si="100"/>
        <v>2322</v>
      </c>
      <c r="L1049" s="4" t="str">
        <f>IFERROR(INDEX('LEV R&amp;D'!$D:$D,MATCH(MEDIÇÃO!K1049,'LEV R&amp;D'!$A:$A,0))-INDEX('PROJETO PERFURAÇÃO'!$AH:$AH,MATCH(MEDIÇÃO!K1049,'PROJETO PERFURAÇÃO'!$B:$B,0)),"")</f>
        <v/>
      </c>
      <c r="M1049" s="8" t="str">
        <f>IFERROR(INDEX('PROJETO PERFURAÇÃO'!$AN:$AN,MATCH(MEDIÇÃO!K1049,'PROJETO PERFURAÇÃO'!$B:$B,0)),"")</f>
        <v/>
      </c>
      <c r="N1049" s="3"/>
      <c r="O1049" s="3"/>
      <c r="P1049" s="3" t="str">
        <f>IFERROR(ROUND(INDEX('PROJETO PERFURAÇÃO'!$AB:$AB,MATCH(MEDIÇÃO!R1049,'PROJETO PERFURAÇÃO'!$B:$B,0)),1)&amp;"''","")</f>
        <v/>
      </c>
      <c r="Q1049" s="3" t="str">
        <f>IFERROR(IF(INDEX('PROJETO PERFURAÇÃO'!$P:$P,MATCH(MEDIÇÃO!R1049,'PROJETO PERFURAÇÃO'!$B:$B,0))="Production","P",IF(INDEX('PROJETO PERFURAÇÃO'!$P:$P,MATCH(MEDIÇÃO!R1049,'PROJETO PERFURAÇÃO'!$B:$B,0))="Buffer","B",IF(INDEX('PROJETO PERFURAÇÃO'!$P:$P,MATCH(MEDIÇÃO!R1049,'PROJETO PERFURAÇÃO'!$B:$B,0))="Pre-Splitting","S"))),"")</f>
        <v/>
      </c>
      <c r="R1049" s="14">
        <f t="shared" si="101"/>
        <v>2345</v>
      </c>
      <c r="S1049" s="4" t="str">
        <f>IFERROR(INDEX('LEV R&amp;D'!$D:$D,MATCH(MEDIÇÃO!R1049,'LEV R&amp;D'!$A:$A,0))-INDEX('PROJETO PERFURAÇÃO'!$AH:$AH,MATCH(MEDIÇÃO!R1049,'PROJETO PERFURAÇÃO'!$B:$B,0)),"")</f>
        <v/>
      </c>
      <c r="T1049" s="8" t="str">
        <f>IFERROR(INDEX('PROJETO PERFURAÇÃO'!$AN:$AN,MATCH(MEDIÇÃO!R1049,'PROJETO PERFURAÇÃO'!$B:$B,0)),"")</f>
        <v/>
      </c>
      <c r="U1049" s="3"/>
      <c r="V1049" s="3"/>
    </row>
    <row r="1050" spans="2:22" ht="45" customHeight="1" x14ac:dyDescent="0.25">
      <c r="B1050" s="3" t="str">
        <f>IFERROR(ROUND(INDEX('PROJETO PERFURAÇÃO'!$AB:$AB,MATCH(MEDIÇÃO!D1050,'PROJETO PERFURAÇÃO'!$B:$B,0)),1)&amp;"''","")</f>
        <v/>
      </c>
      <c r="C1050" s="3" t="str">
        <f>IFERROR(IF(INDEX('PROJETO PERFURAÇÃO'!$P:$P,MATCH(MEDIÇÃO!D1050,'PROJETO PERFURAÇÃO'!$B:$B,0))="Production","P",IF(INDEX('PROJETO PERFURAÇÃO'!$P:$P,MATCH(MEDIÇÃO!D1050,'PROJETO PERFURAÇÃO'!$B:$B,0))="Buffer","B",IF(INDEX('PROJETO PERFURAÇÃO'!$P:$P,MATCH(MEDIÇÃO!D1050,'PROJETO PERFURAÇÃO'!$B:$B,0))="Pre-Splitting","S"))),"")</f>
        <v/>
      </c>
      <c r="D1050" s="14">
        <f t="shared" si="99"/>
        <v>2300</v>
      </c>
      <c r="E1050" s="4" t="str">
        <f>IFERROR(INDEX('LEV R&amp;D'!$D:$D,MATCH(MEDIÇÃO!D1050,'LEV R&amp;D'!$A:$A,0))-INDEX('PROJETO PERFURAÇÃO'!$AH:$AH,MATCH(MEDIÇÃO!D1050,'PROJETO PERFURAÇÃO'!$B:$B,0)),"")</f>
        <v/>
      </c>
      <c r="F1050" s="8" t="str">
        <f>IFERROR(INDEX('PROJETO PERFURAÇÃO'!$AN:$AN,MATCH(MEDIÇÃO!D1050,'PROJETO PERFURAÇÃO'!$B:$B,0)),"")</f>
        <v/>
      </c>
      <c r="G1050" s="3"/>
      <c r="H1050" s="3"/>
      <c r="I1050" s="3" t="str">
        <f>IFERROR(ROUND(INDEX('PROJETO PERFURAÇÃO'!$AB:$AB,MATCH(MEDIÇÃO!K1050,'PROJETO PERFURAÇÃO'!$B:$B,0)),1)&amp;"''","")</f>
        <v/>
      </c>
      <c r="J1050" s="3" t="str">
        <f>IFERROR(IF(INDEX('PROJETO PERFURAÇÃO'!$P:$P,MATCH(MEDIÇÃO!K1050,'PROJETO PERFURAÇÃO'!$B:$B,0))="Production","P",IF(INDEX('PROJETO PERFURAÇÃO'!$P:$P,MATCH(MEDIÇÃO!K1050,'PROJETO PERFURAÇÃO'!$B:$B,0))="Buffer","B",IF(INDEX('PROJETO PERFURAÇÃO'!$P:$P,MATCH(MEDIÇÃO!K1050,'PROJETO PERFURAÇÃO'!$B:$B,0))="Pre-Splitting","S"))),"")</f>
        <v/>
      </c>
      <c r="K1050" s="14">
        <f>K1049+1</f>
        <v>2323</v>
      </c>
      <c r="L1050" s="4" t="str">
        <f>IFERROR(INDEX('LEV R&amp;D'!$D:$D,MATCH(MEDIÇÃO!K1050,'LEV R&amp;D'!$A:$A,0))-INDEX('PROJETO PERFURAÇÃO'!$AH:$AH,MATCH(MEDIÇÃO!K1050,'PROJETO PERFURAÇÃO'!$B:$B,0)),"")</f>
        <v/>
      </c>
      <c r="M1050" s="8" t="str">
        <f>IFERROR(INDEX('PROJETO PERFURAÇÃO'!$AN:$AN,MATCH(MEDIÇÃO!K1050,'PROJETO PERFURAÇÃO'!$B:$B,0)),"")</f>
        <v/>
      </c>
      <c r="N1050" s="3"/>
      <c r="O1050" s="3"/>
      <c r="P1050" s="3" t="str">
        <f>IFERROR(ROUND(INDEX('PROJETO PERFURAÇÃO'!$AB:$AB,MATCH(MEDIÇÃO!R1050,'PROJETO PERFURAÇÃO'!$B:$B,0)),1)&amp;"''","")</f>
        <v/>
      </c>
      <c r="Q1050" s="3" t="str">
        <f>IFERROR(IF(INDEX('PROJETO PERFURAÇÃO'!$P:$P,MATCH(MEDIÇÃO!R1050,'PROJETO PERFURAÇÃO'!$B:$B,0))="Production","P",IF(INDEX('PROJETO PERFURAÇÃO'!$P:$P,MATCH(MEDIÇÃO!R1050,'PROJETO PERFURAÇÃO'!$B:$B,0))="Buffer","B",IF(INDEX('PROJETO PERFURAÇÃO'!$P:$P,MATCH(MEDIÇÃO!R1050,'PROJETO PERFURAÇÃO'!$B:$B,0))="Pre-Splitting","S"))),"")</f>
        <v/>
      </c>
      <c r="R1050" s="14">
        <f>R1049+1</f>
        <v>2346</v>
      </c>
      <c r="S1050" s="4" t="str">
        <f>IFERROR(INDEX('LEV R&amp;D'!$D:$D,MATCH(MEDIÇÃO!R1050,'LEV R&amp;D'!$A:$A,0))-INDEX('PROJETO PERFURAÇÃO'!$AH:$AH,MATCH(MEDIÇÃO!R1050,'PROJETO PERFURAÇÃO'!$B:$B,0)),"")</f>
        <v/>
      </c>
      <c r="T1050" s="8" t="str">
        <f>IFERROR(INDEX('PROJETO PERFURAÇÃO'!$AN:$AN,MATCH(MEDIÇÃO!R1050,'PROJETO PERFURAÇÃO'!$B:$B,0)),"")</f>
        <v/>
      </c>
      <c r="U1050" s="3"/>
      <c r="V1050" s="3"/>
    </row>
    <row r="1051" spans="2:22" ht="30" customHeight="1" x14ac:dyDescent="0.25">
      <c r="B1051" s="1"/>
      <c r="C1051" s="1"/>
      <c r="D1051" s="15"/>
      <c r="E1051" s="2"/>
      <c r="F1051" s="16"/>
      <c r="G1051" s="1"/>
      <c r="H1051" s="1"/>
      <c r="I1051" s="1"/>
      <c r="J1051" s="1"/>
      <c r="K1051" s="15"/>
      <c r="L1051" s="2"/>
      <c r="M1051" s="16"/>
      <c r="N1051" s="1"/>
      <c r="O1051" s="1"/>
      <c r="P1051" s="1"/>
      <c r="Q1051" s="1"/>
      <c r="R1051" s="15"/>
      <c r="S1051" s="2"/>
      <c r="T1051" s="16"/>
      <c r="U1051" s="1"/>
      <c r="V1051" s="1"/>
    </row>
    <row r="1052" spans="2:22" ht="30" customHeight="1" x14ac:dyDescent="0.25">
      <c r="C1052" s="20"/>
      <c r="D1052" s="20"/>
      <c r="E1052" s="20"/>
      <c r="F1052" s="20"/>
      <c r="G1052" s="20"/>
      <c r="H1052" s="20"/>
      <c r="I1052" s="20"/>
      <c r="J1052" s="20"/>
      <c r="K1052" s="20"/>
      <c r="M1052" s="20"/>
      <c r="N1052" s="20"/>
      <c r="O1052" s="20"/>
      <c r="P1052" s="20"/>
      <c r="Q1052" s="20"/>
      <c r="R1052" s="20"/>
      <c r="S1052" s="20"/>
      <c r="T1052" s="20"/>
      <c r="U1052" s="20"/>
    </row>
    <row r="1053" spans="2:22" ht="30" customHeight="1" x14ac:dyDescent="0.25">
      <c r="C1053" s="21" t="s">
        <v>40</v>
      </c>
      <c r="D1053" s="21"/>
      <c r="E1053" s="21"/>
      <c r="F1053" s="21"/>
      <c r="G1053" s="21"/>
      <c r="H1053" s="21"/>
      <c r="I1053" s="21"/>
      <c r="J1053" s="21"/>
      <c r="K1053" s="21"/>
      <c r="L1053" s="9"/>
      <c r="M1053" s="21" t="s">
        <v>40</v>
      </c>
      <c r="N1053" s="21"/>
      <c r="O1053" s="21"/>
      <c r="P1053" s="21"/>
      <c r="Q1053" s="21"/>
      <c r="R1053" s="21"/>
      <c r="S1053" s="21"/>
      <c r="T1053" s="21"/>
      <c r="U1053" s="21"/>
      <c r="V1053" s="9"/>
    </row>
    <row r="1054" spans="2:22" ht="30" customHeight="1" x14ac:dyDescent="0.25">
      <c r="D1054" s="9"/>
      <c r="E1054" s="9"/>
      <c r="F1054" s="9"/>
      <c r="G1054" s="9"/>
      <c r="H1054" s="9"/>
      <c r="I1054" s="9"/>
      <c r="J1054" s="9"/>
      <c r="K1054" s="9"/>
      <c r="L1054" s="9"/>
      <c r="M1054" s="9"/>
      <c r="N1054" s="9"/>
      <c r="Q1054" s="9"/>
      <c r="R1054" s="9"/>
      <c r="S1054" s="9"/>
      <c r="T1054" s="9"/>
      <c r="U1054" s="9"/>
      <c r="V1054" s="9"/>
    </row>
    <row r="1055" spans="2:22" ht="30" customHeight="1" x14ac:dyDescent="0.25">
      <c r="B1055" s="19" t="str">
        <f>'PROJETO PERFURAÇÃO'!$C$2&amp;" - "&amp;'PROJETO PERFURAÇÃO'!$H$2</f>
        <v>LIB065 - PP0651026</v>
      </c>
      <c r="C1055" s="19"/>
      <c r="D1055" s="19"/>
      <c r="E1055" s="19"/>
      <c r="F1055" s="19"/>
      <c r="G1055" s="19"/>
      <c r="H1055" s="19"/>
      <c r="I1055" s="11" t="s">
        <v>34</v>
      </c>
      <c r="J1055" s="10" t="s">
        <v>37</v>
      </c>
    </row>
    <row r="1056" spans="2:22" ht="30" customHeight="1" x14ac:dyDescent="0.25">
      <c r="B1056" s="19"/>
      <c r="C1056" s="19"/>
      <c r="D1056" s="19"/>
      <c r="E1056" s="19"/>
      <c r="F1056" s="19"/>
      <c r="G1056" s="19"/>
      <c r="H1056" s="19"/>
      <c r="I1056" s="12" t="s">
        <v>35</v>
      </c>
      <c r="J1056" s="10" t="s">
        <v>38</v>
      </c>
      <c r="K1056" s="9"/>
      <c r="L1056" s="9"/>
      <c r="M1056" s="9"/>
      <c r="N1056" s="9"/>
      <c r="O1056" s="9"/>
      <c r="P1056" s="9"/>
      <c r="Q1056" s="9"/>
      <c r="R1056" s="9"/>
      <c r="S1056" s="9"/>
      <c r="T1056" s="9"/>
      <c r="U1056" s="9"/>
      <c r="V1056" s="9"/>
    </row>
    <row r="1057" spans="1:23" ht="30" customHeight="1" x14ac:dyDescent="0.25">
      <c r="B1057" s="19"/>
      <c r="C1057" s="19"/>
      <c r="D1057" s="19"/>
      <c r="E1057" s="19"/>
      <c r="F1057" s="19"/>
      <c r="G1057" s="19"/>
      <c r="H1057" s="19"/>
      <c r="I1057" s="13" t="s">
        <v>36</v>
      </c>
      <c r="J1057" s="10" t="s">
        <v>39</v>
      </c>
    </row>
    <row r="1058" spans="1:23" ht="30" customHeight="1" x14ac:dyDescent="0.25">
      <c r="A1058" s="1"/>
      <c r="B1058" s="6" t="s">
        <v>33</v>
      </c>
      <c r="C1058" s="6" t="s">
        <v>13</v>
      </c>
      <c r="D1058" s="7" t="s">
        <v>1</v>
      </c>
      <c r="E1058" s="7" t="s">
        <v>29</v>
      </c>
      <c r="F1058" s="7" t="s">
        <v>30</v>
      </c>
      <c r="G1058" s="7" t="s">
        <v>31</v>
      </c>
      <c r="H1058" s="7" t="s">
        <v>32</v>
      </c>
      <c r="I1058" s="6" t="s">
        <v>33</v>
      </c>
      <c r="J1058" s="6" t="s">
        <v>13</v>
      </c>
      <c r="K1058" s="7" t="s">
        <v>1</v>
      </c>
      <c r="L1058" s="7" t="s">
        <v>29</v>
      </c>
      <c r="M1058" s="7" t="s">
        <v>30</v>
      </c>
      <c r="N1058" s="7" t="s">
        <v>31</v>
      </c>
      <c r="O1058" s="7" t="s">
        <v>32</v>
      </c>
      <c r="P1058" s="6" t="s">
        <v>33</v>
      </c>
      <c r="Q1058" s="6" t="s">
        <v>13</v>
      </c>
      <c r="R1058" s="7" t="s">
        <v>1</v>
      </c>
      <c r="S1058" s="7" t="s">
        <v>29</v>
      </c>
      <c r="T1058" s="7" t="s">
        <v>30</v>
      </c>
      <c r="U1058" s="7" t="s">
        <v>31</v>
      </c>
      <c r="V1058" s="7" t="s">
        <v>32</v>
      </c>
      <c r="W1058" s="1"/>
    </row>
    <row r="1059" spans="1:23" ht="45" customHeight="1" x14ac:dyDescent="0.25">
      <c r="B1059" s="3" t="str">
        <f>IFERROR(ROUND(INDEX('PROJETO PERFURAÇÃO'!$AB:$AB,MATCH(MEDIÇÃO!D1059,'PROJETO PERFURAÇÃO'!$B:$B,0)),1)&amp;"''","")</f>
        <v/>
      </c>
      <c r="C1059" s="3" t="str">
        <f>IFERROR(IF(INDEX('PROJETO PERFURAÇÃO'!$P:$P,MATCH(MEDIÇÃO!D1059,'PROJETO PERFURAÇÃO'!$B:$B,0))="Production","P",IF(INDEX('PROJETO PERFURAÇÃO'!$P:$P,MATCH(MEDIÇÃO!D1059,'PROJETO PERFURAÇÃO'!$B:$B,0))="Buffer","B",IF(INDEX('PROJETO PERFURAÇÃO'!$P:$P,MATCH(MEDIÇÃO!D1059,'PROJETO PERFURAÇÃO'!$B:$B,0))="Pre-Splitting","S"))),"")</f>
        <v/>
      </c>
      <c r="D1059" s="14">
        <f>R1050+1</f>
        <v>2347</v>
      </c>
      <c r="E1059" s="4" t="str">
        <f>IFERROR(INDEX('LEV R&amp;D'!$D:$D,MATCH(MEDIÇÃO!D1059,'LEV R&amp;D'!$A:$A,0))-INDEX('PROJETO PERFURAÇÃO'!$AH:$AH,MATCH(MEDIÇÃO!D1059,'PROJETO PERFURAÇÃO'!$B:$B,0)),"")</f>
        <v/>
      </c>
      <c r="F1059" s="8" t="str">
        <f>IFERROR(INDEX('PROJETO PERFURAÇÃO'!$AN:$AN,MATCH(MEDIÇÃO!D1059,'PROJETO PERFURAÇÃO'!$B:$B,0)),"")</f>
        <v/>
      </c>
      <c r="G1059" s="3"/>
      <c r="H1059" s="3"/>
      <c r="I1059" s="3" t="str">
        <f>IFERROR(ROUND(INDEX('PROJETO PERFURAÇÃO'!$AB:$AB,MATCH(MEDIÇÃO!K1059,'PROJETO PERFURAÇÃO'!$B:$B,0)),1)&amp;"''","")</f>
        <v/>
      </c>
      <c r="J1059" s="3" t="str">
        <f>IFERROR(IF(INDEX('PROJETO PERFURAÇÃO'!$P:$P,MATCH(MEDIÇÃO!K1059,'PROJETO PERFURAÇÃO'!$B:$B,0))="Production","P",IF(INDEX('PROJETO PERFURAÇÃO'!$P:$P,MATCH(MEDIÇÃO!K1059,'PROJETO PERFURAÇÃO'!$B:$B,0))="Buffer","B",IF(INDEX('PROJETO PERFURAÇÃO'!$P:$P,MATCH(MEDIÇÃO!K1059,'PROJETO PERFURAÇÃO'!$B:$B,0))="Pre-Splitting","S"))),"")</f>
        <v/>
      </c>
      <c r="K1059" s="14">
        <f>D1081+1</f>
        <v>2370</v>
      </c>
      <c r="L1059" s="4" t="str">
        <f>IFERROR(INDEX('LEV R&amp;D'!$D:$D,MATCH(MEDIÇÃO!K1059,'LEV R&amp;D'!$A:$A,0))-INDEX('PROJETO PERFURAÇÃO'!$AH:$AH,MATCH(MEDIÇÃO!K1059,'PROJETO PERFURAÇÃO'!$B:$B,0)),"")</f>
        <v/>
      </c>
      <c r="M1059" s="8" t="str">
        <f>IFERROR(INDEX('PROJETO PERFURAÇÃO'!$AN:$AN,MATCH(MEDIÇÃO!K1059,'PROJETO PERFURAÇÃO'!$B:$B,0)),"")</f>
        <v/>
      </c>
      <c r="N1059" s="3"/>
      <c r="O1059" s="3"/>
      <c r="P1059" s="3" t="str">
        <f>IFERROR(ROUND(INDEX('PROJETO PERFURAÇÃO'!$AB:$AB,MATCH(MEDIÇÃO!R1059,'PROJETO PERFURAÇÃO'!$B:$B,0)),1)&amp;"''","")</f>
        <v/>
      </c>
      <c r="Q1059" s="3" t="str">
        <f>IFERROR(IF(INDEX('PROJETO PERFURAÇÃO'!$P:$P,MATCH(MEDIÇÃO!R1059,'PROJETO PERFURAÇÃO'!$B:$B,0))="Production","P",IF(INDEX('PROJETO PERFURAÇÃO'!$P:$P,MATCH(MEDIÇÃO!R1059,'PROJETO PERFURAÇÃO'!$B:$B,0))="Buffer","B",IF(INDEX('PROJETO PERFURAÇÃO'!$P:$P,MATCH(MEDIÇÃO!R1059,'PROJETO PERFURAÇÃO'!$B:$B,0))="Pre-Splitting","S"))),"")</f>
        <v/>
      </c>
      <c r="R1059" s="14">
        <f>K1081+1</f>
        <v>2393</v>
      </c>
      <c r="S1059" s="4" t="str">
        <f>IFERROR(INDEX('LEV R&amp;D'!$D:$D,MATCH(MEDIÇÃO!R1059,'LEV R&amp;D'!$A:$A,0))-INDEX('PROJETO PERFURAÇÃO'!$AH:$AH,MATCH(MEDIÇÃO!R1059,'PROJETO PERFURAÇÃO'!$B:$B,0)),"")</f>
        <v/>
      </c>
      <c r="T1059" s="8" t="str">
        <f>IFERROR(INDEX('PROJETO PERFURAÇÃO'!$AN:$AN,MATCH(MEDIÇÃO!R1059,'PROJETO PERFURAÇÃO'!$B:$B,0)),"")</f>
        <v/>
      </c>
      <c r="U1059" s="3"/>
      <c r="V1059" s="3"/>
    </row>
    <row r="1060" spans="1:23" ht="45" customHeight="1" x14ac:dyDescent="0.25">
      <c r="B1060" s="3" t="str">
        <f>IFERROR(ROUND(INDEX('PROJETO PERFURAÇÃO'!$AB:$AB,MATCH(MEDIÇÃO!D1060,'PROJETO PERFURAÇÃO'!$B:$B,0)),1)&amp;"''","")</f>
        <v/>
      </c>
      <c r="C1060" s="3" t="str">
        <f>IFERROR(IF(INDEX('PROJETO PERFURAÇÃO'!$P:$P,MATCH(MEDIÇÃO!D1060,'PROJETO PERFURAÇÃO'!$B:$B,0))="Production","P",IF(INDEX('PROJETO PERFURAÇÃO'!$P:$P,MATCH(MEDIÇÃO!D1060,'PROJETO PERFURAÇÃO'!$B:$B,0))="Buffer","B",IF(INDEX('PROJETO PERFURAÇÃO'!$P:$P,MATCH(MEDIÇÃO!D1060,'PROJETO PERFURAÇÃO'!$B:$B,0))="Pre-Splitting","S"))),"")</f>
        <v/>
      </c>
      <c r="D1060" s="14">
        <f>D1059+1</f>
        <v>2348</v>
      </c>
      <c r="E1060" s="4" t="str">
        <f>IFERROR(INDEX('LEV R&amp;D'!$D:$D,MATCH(MEDIÇÃO!D1060,'LEV R&amp;D'!$A:$A,0))-INDEX('PROJETO PERFURAÇÃO'!$AH:$AH,MATCH(MEDIÇÃO!D1060,'PROJETO PERFURAÇÃO'!$B:$B,0)),"")</f>
        <v/>
      </c>
      <c r="F1060" s="8" t="str">
        <f>IFERROR(INDEX('PROJETO PERFURAÇÃO'!$AN:$AN,MATCH(MEDIÇÃO!D1060,'PROJETO PERFURAÇÃO'!$B:$B,0)),"")</f>
        <v/>
      </c>
      <c r="G1060" s="3"/>
      <c r="H1060" s="3"/>
      <c r="I1060" s="3" t="str">
        <f>IFERROR(ROUND(INDEX('PROJETO PERFURAÇÃO'!$AB:$AB,MATCH(MEDIÇÃO!K1060,'PROJETO PERFURAÇÃO'!$B:$B,0)),1)&amp;"''","")</f>
        <v/>
      </c>
      <c r="J1060" s="3" t="str">
        <f>IFERROR(IF(INDEX('PROJETO PERFURAÇÃO'!$P:$P,MATCH(MEDIÇÃO!K1060,'PROJETO PERFURAÇÃO'!$B:$B,0))="Production","P",IF(INDEX('PROJETO PERFURAÇÃO'!$P:$P,MATCH(MEDIÇÃO!K1060,'PROJETO PERFURAÇÃO'!$B:$B,0))="Buffer","B",IF(INDEX('PROJETO PERFURAÇÃO'!$P:$P,MATCH(MEDIÇÃO!K1060,'PROJETO PERFURAÇÃO'!$B:$B,0))="Pre-Splitting","S"))),"")</f>
        <v/>
      </c>
      <c r="K1060" s="14">
        <f>K1059+1</f>
        <v>2371</v>
      </c>
      <c r="L1060" s="4" t="str">
        <f>IFERROR(INDEX('LEV R&amp;D'!$D:$D,MATCH(MEDIÇÃO!K1060,'LEV R&amp;D'!$A:$A,0))-INDEX('PROJETO PERFURAÇÃO'!$AH:$AH,MATCH(MEDIÇÃO!K1060,'PROJETO PERFURAÇÃO'!$B:$B,0)),"")</f>
        <v/>
      </c>
      <c r="M1060" s="8" t="str">
        <f>IFERROR(INDEX('PROJETO PERFURAÇÃO'!$AN:$AN,MATCH(MEDIÇÃO!K1060,'PROJETO PERFURAÇÃO'!$B:$B,0)),"")</f>
        <v/>
      </c>
      <c r="N1060" s="3"/>
      <c r="O1060" s="3"/>
      <c r="P1060" s="3" t="str">
        <f>IFERROR(ROUND(INDEX('PROJETO PERFURAÇÃO'!$AB:$AB,MATCH(MEDIÇÃO!R1060,'PROJETO PERFURAÇÃO'!$B:$B,0)),1)&amp;"''","")</f>
        <v/>
      </c>
      <c r="Q1060" s="3" t="str">
        <f>IFERROR(IF(INDEX('PROJETO PERFURAÇÃO'!$P:$P,MATCH(MEDIÇÃO!R1060,'PROJETO PERFURAÇÃO'!$B:$B,0))="Production","P",IF(INDEX('PROJETO PERFURAÇÃO'!$P:$P,MATCH(MEDIÇÃO!R1060,'PROJETO PERFURAÇÃO'!$B:$B,0))="Buffer","B",IF(INDEX('PROJETO PERFURAÇÃO'!$P:$P,MATCH(MEDIÇÃO!R1060,'PROJETO PERFURAÇÃO'!$B:$B,0))="Pre-Splitting","S"))),"")</f>
        <v/>
      </c>
      <c r="R1060" s="14">
        <f>R1059+1</f>
        <v>2394</v>
      </c>
      <c r="S1060" s="4" t="str">
        <f>IFERROR(INDEX('LEV R&amp;D'!$D:$D,MATCH(MEDIÇÃO!R1060,'LEV R&amp;D'!$A:$A,0))-INDEX('PROJETO PERFURAÇÃO'!$AH:$AH,MATCH(MEDIÇÃO!R1060,'PROJETO PERFURAÇÃO'!$B:$B,0)),"")</f>
        <v/>
      </c>
      <c r="T1060" s="8" t="str">
        <f>IFERROR(INDEX('PROJETO PERFURAÇÃO'!$AN:$AN,MATCH(MEDIÇÃO!R1060,'PROJETO PERFURAÇÃO'!$B:$B,0)),"")</f>
        <v/>
      </c>
      <c r="U1060" s="3"/>
      <c r="V1060" s="3"/>
    </row>
    <row r="1061" spans="1:23" ht="45" customHeight="1" x14ac:dyDescent="0.25">
      <c r="B1061" s="3" t="str">
        <f>IFERROR(ROUND(INDEX('PROJETO PERFURAÇÃO'!$AB:$AB,MATCH(MEDIÇÃO!D1061,'PROJETO PERFURAÇÃO'!$B:$B,0)),1)&amp;"''","")</f>
        <v/>
      </c>
      <c r="C1061" s="3" t="str">
        <f>IFERROR(IF(INDEX('PROJETO PERFURAÇÃO'!$P:$P,MATCH(MEDIÇÃO!D1061,'PROJETO PERFURAÇÃO'!$B:$B,0))="Production","P",IF(INDEX('PROJETO PERFURAÇÃO'!$P:$P,MATCH(MEDIÇÃO!D1061,'PROJETO PERFURAÇÃO'!$B:$B,0))="Buffer","B",IF(INDEX('PROJETO PERFURAÇÃO'!$P:$P,MATCH(MEDIÇÃO!D1061,'PROJETO PERFURAÇÃO'!$B:$B,0))="Pre-Splitting","S"))),"")</f>
        <v/>
      </c>
      <c r="D1061" s="14">
        <f t="shared" ref="D1061:D1081" si="102">D1060+1</f>
        <v>2349</v>
      </c>
      <c r="E1061" s="4" t="str">
        <f>IFERROR(INDEX('LEV R&amp;D'!$D:$D,MATCH(MEDIÇÃO!D1061,'LEV R&amp;D'!$A:$A,0))-INDEX('PROJETO PERFURAÇÃO'!$AH:$AH,MATCH(MEDIÇÃO!D1061,'PROJETO PERFURAÇÃO'!$B:$B,0)),"")</f>
        <v/>
      </c>
      <c r="F1061" s="8" t="str">
        <f>IFERROR(INDEX('PROJETO PERFURAÇÃO'!$AN:$AN,MATCH(MEDIÇÃO!D1061,'PROJETO PERFURAÇÃO'!$B:$B,0)),"")</f>
        <v/>
      </c>
      <c r="G1061" s="3"/>
      <c r="H1061" s="3"/>
      <c r="I1061" s="3" t="str">
        <f>IFERROR(ROUND(INDEX('PROJETO PERFURAÇÃO'!$AB:$AB,MATCH(MEDIÇÃO!K1061,'PROJETO PERFURAÇÃO'!$B:$B,0)),1)&amp;"''","")</f>
        <v/>
      </c>
      <c r="J1061" s="3" t="str">
        <f>IFERROR(IF(INDEX('PROJETO PERFURAÇÃO'!$P:$P,MATCH(MEDIÇÃO!K1061,'PROJETO PERFURAÇÃO'!$B:$B,0))="Production","P",IF(INDEX('PROJETO PERFURAÇÃO'!$P:$P,MATCH(MEDIÇÃO!K1061,'PROJETO PERFURAÇÃO'!$B:$B,0))="Buffer","B",IF(INDEX('PROJETO PERFURAÇÃO'!$P:$P,MATCH(MEDIÇÃO!K1061,'PROJETO PERFURAÇÃO'!$B:$B,0))="Pre-Splitting","S"))),"")</f>
        <v/>
      </c>
      <c r="K1061" s="14">
        <f t="shared" ref="K1061:K1080" si="103">K1060+1</f>
        <v>2372</v>
      </c>
      <c r="L1061" s="4" t="str">
        <f>IFERROR(INDEX('LEV R&amp;D'!$D:$D,MATCH(MEDIÇÃO!K1061,'LEV R&amp;D'!$A:$A,0))-INDEX('PROJETO PERFURAÇÃO'!$AH:$AH,MATCH(MEDIÇÃO!K1061,'PROJETO PERFURAÇÃO'!$B:$B,0)),"")</f>
        <v/>
      </c>
      <c r="M1061" s="8" t="str">
        <f>IFERROR(INDEX('PROJETO PERFURAÇÃO'!$AN:$AN,MATCH(MEDIÇÃO!K1061,'PROJETO PERFURAÇÃO'!$B:$B,0)),"")</f>
        <v/>
      </c>
      <c r="N1061" s="3"/>
      <c r="O1061" s="3"/>
      <c r="P1061" s="3" t="str">
        <f>IFERROR(ROUND(INDEX('PROJETO PERFURAÇÃO'!$AB:$AB,MATCH(MEDIÇÃO!R1061,'PROJETO PERFURAÇÃO'!$B:$B,0)),1)&amp;"''","")</f>
        <v/>
      </c>
      <c r="Q1061" s="3" t="str">
        <f>IFERROR(IF(INDEX('PROJETO PERFURAÇÃO'!$P:$P,MATCH(MEDIÇÃO!R1061,'PROJETO PERFURAÇÃO'!$B:$B,0))="Production","P",IF(INDEX('PROJETO PERFURAÇÃO'!$P:$P,MATCH(MEDIÇÃO!R1061,'PROJETO PERFURAÇÃO'!$B:$B,0))="Buffer","B",IF(INDEX('PROJETO PERFURAÇÃO'!$P:$P,MATCH(MEDIÇÃO!R1061,'PROJETO PERFURAÇÃO'!$B:$B,0))="Pre-Splitting","S"))),"")</f>
        <v/>
      </c>
      <c r="R1061" s="14">
        <f t="shared" ref="R1061:R1080" si="104">R1060+1</f>
        <v>2395</v>
      </c>
      <c r="S1061" s="4" t="str">
        <f>IFERROR(INDEX('LEV R&amp;D'!$D:$D,MATCH(MEDIÇÃO!R1061,'LEV R&amp;D'!$A:$A,0))-INDEX('PROJETO PERFURAÇÃO'!$AH:$AH,MATCH(MEDIÇÃO!R1061,'PROJETO PERFURAÇÃO'!$B:$B,0)),"")</f>
        <v/>
      </c>
      <c r="T1061" s="8" t="str">
        <f>IFERROR(INDEX('PROJETO PERFURAÇÃO'!$AN:$AN,MATCH(MEDIÇÃO!R1061,'PROJETO PERFURAÇÃO'!$B:$B,0)),"")</f>
        <v/>
      </c>
      <c r="U1061" s="3"/>
      <c r="V1061" s="3"/>
    </row>
    <row r="1062" spans="1:23" ht="45" customHeight="1" x14ac:dyDescent="0.25">
      <c r="B1062" s="3" t="str">
        <f>IFERROR(ROUND(INDEX('PROJETO PERFURAÇÃO'!$AB:$AB,MATCH(MEDIÇÃO!D1062,'PROJETO PERFURAÇÃO'!$B:$B,0)),1)&amp;"''","")</f>
        <v/>
      </c>
      <c r="C1062" s="3" t="str">
        <f>IFERROR(IF(INDEX('PROJETO PERFURAÇÃO'!$P:$P,MATCH(MEDIÇÃO!D1062,'PROJETO PERFURAÇÃO'!$B:$B,0))="Production","P",IF(INDEX('PROJETO PERFURAÇÃO'!$P:$P,MATCH(MEDIÇÃO!D1062,'PROJETO PERFURAÇÃO'!$B:$B,0))="Buffer","B",IF(INDEX('PROJETO PERFURAÇÃO'!$P:$P,MATCH(MEDIÇÃO!D1062,'PROJETO PERFURAÇÃO'!$B:$B,0))="Pre-Splitting","S"))),"")</f>
        <v/>
      </c>
      <c r="D1062" s="14">
        <f t="shared" si="102"/>
        <v>2350</v>
      </c>
      <c r="E1062" s="4" t="str">
        <f>IFERROR(INDEX('LEV R&amp;D'!$D:$D,MATCH(MEDIÇÃO!D1062,'LEV R&amp;D'!$A:$A,0))-INDEX('PROJETO PERFURAÇÃO'!$AH:$AH,MATCH(MEDIÇÃO!D1062,'PROJETO PERFURAÇÃO'!$B:$B,0)),"")</f>
        <v/>
      </c>
      <c r="F1062" s="8" t="str">
        <f>IFERROR(INDEX('PROJETO PERFURAÇÃO'!$AN:$AN,MATCH(MEDIÇÃO!D1062,'PROJETO PERFURAÇÃO'!$B:$B,0)),"")</f>
        <v/>
      </c>
      <c r="G1062" s="3"/>
      <c r="H1062" s="3"/>
      <c r="I1062" s="3" t="str">
        <f>IFERROR(ROUND(INDEX('PROJETO PERFURAÇÃO'!$AB:$AB,MATCH(MEDIÇÃO!K1062,'PROJETO PERFURAÇÃO'!$B:$B,0)),1)&amp;"''","")</f>
        <v/>
      </c>
      <c r="J1062" s="3" t="str">
        <f>IFERROR(IF(INDEX('PROJETO PERFURAÇÃO'!$P:$P,MATCH(MEDIÇÃO!K1062,'PROJETO PERFURAÇÃO'!$B:$B,0))="Production","P",IF(INDEX('PROJETO PERFURAÇÃO'!$P:$P,MATCH(MEDIÇÃO!K1062,'PROJETO PERFURAÇÃO'!$B:$B,0))="Buffer","B",IF(INDEX('PROJETO PERFURAÇÃO'!$P:$P,MATCH(MEDIÇÃO!K1062,'PROJETO PERFURAÇÃO'!$B:$B,0))="Pre-Splitting","S"))),"")</f>
        <v/>
      </c>
      <c r="K1062" s="14">
        <f t="shared" si="103"/>
        <v>2373</v>
      </c>
      <c r="L1062" s="4" t="str">
        <f>IFERROR(INDEX('LEV R&amp;D'!$D:$D,MATCH(MEDIÇÃO!K1062,'LEV R&amp;D'!$A:$A,0))-INDEX('PROJETO PERFURAÇÃO'!$AH:$AH,MATCH(MEDIÇÃO!K1062,'PROJETO PERFURAÇÃO'!$B:$B,0)),"")</f>
        <v/>
      </c>
      <c r="M1062" s="8" t="str">
        <f>IFERROR(INDEX('PROJETO PERFURAÇÃO'!$AN:$AN,MATCH(MEDIÇÃO!K1062,'PROJETO PERFURAÇÃO'!$B:$B,0)),"")</f>
        <v/>
      </c>
      <c r="N1062" s="3"/>
      <c r="O1062" s="3"/>
      <c r="P1062" s="3" t="str">
        <f>IFERROR(ROUND(INDEX('PROJETO PERFURAÇÃO'!$AB:$AB,MATCH(MEDIÇÃO!R1062,'PROJETO PERFURAÇÃO'!$B:$B,0)),1)&amp;"''","")</f>
        <v/>
      </c>
      <c r="Q1062" s="3" t="str">
        <f>IFERROR(IF(INDEX('PROJETO PERFURAÇÃO'!$P:$P,MATCH(MEDIÇÃO!R1062,'PROJETO PERFURAÇÃO'!$B:$B,0))="Production","P",IF(INDEX('PROJETO PERFURAÇÃO'!$P:$P,MATCH(MEDIÇÃO!R1062,'PROJETO PERFURAÇÃO'!$B:$B,0))="Buffer","B",IF(INDEX('PROJETO PERFURAÇÃO'!$P:$P,MATCH(MEDIÇÃO!R1062,'PROJETO PERFURAÇÃO'!$B:$B,0))="Pre-Splitting","S"))),"")</f>
        <v/>
      </c>
      <c r="R1062" s="14">
        <f t="shared" si="104"/>
        <v>2396</v>
      </c>
      <c r="S1062" s="4" t="str">
        <f>IFERROR(INDEX('LEV R&amp;D'!$D:$D,MATCH(MEDIÇÃO!R1062,'LEV R&amp;D'!$A:$A,0))-INDEX('PROJETO PERFURAÇÃO'!$AH:$AH,MATCH(MEDIÇÃO!R1062,'PROJETO PERFURAÇÃO'!$B:$B,0)),"")</f>
        <v/>
      </c>
      <c r="T1062" s="8" t="str">
        <f>IFERROR(INDEX('PROJETO PERFURAÇÃO'!$AN:$AN,MATCH(MEDIÇÃO!R1062,'PROJETO PERFURAÇÃO'!$B:$B,0)),"")</f>
        <v/>
      </c>
      <c r="U1062" s="3"/>
      <c r="V1062" s="3"/>
    </row>
    <row r="1063" spans="1:23" ht="45" customHeight="1" x14ac:dyDescent="0.25">
      <c r="B1063" s="3" t="str">
        <f>IFERROR(ROUND(INDEX('PROJETO PERFURAÇÃO'!$AB:$AB,MATCH(MEDIÇÃO!D1063,'PROJETO PERFURAÇÃO'!$B:$B,0)),1)&amp;"''","")</f>
        <v/>
      </c>
      <c r="C1063" s="3" t="str">
        <f>IFERROR(IF(INDEX('PROJETO PERFURAÇÃO'!$P:$P,MATCH(MEDIÇÃO!D1063,'PROJETO PERFURAÇÃO'!$B:$B,0))="Production","P",IF(INDEX('PROJETO PERFURAÇÃO'!$P:$P,MATCH(MEDIÇÃO!D1063,'PROJETO PERFURAÇÃO'!$B:$B,0))="Buffer","B",IF(INDEX('PROJETO PERFURAÇÃO'!$P:$P,MATCH(MEDIÇÃO!D1063,'PROJETO PERFURAÇÃO'!$B:$B,0))="Pre-Splitting","S"))),"")</f>
        <v/>
      </c>
      <c r="D1063" s="14">
        <f t="shared" si="102"/>
        <v>2351</v>
      </c>
      <c r="E1063" s="4" t="str">
        <f>IFERROR(INDEX('LEV R&amp;D'!$D:$D,MATCH(MEDIÇÃO!D1063,'LEV R&amp;D'!$A:$A,0))-INDEX('PROJETO PERFURAÇÃO'!$AH:$AH,MATCH(MEDIÇÃO!D1063,'PROJETO PERFURAÇÃO'!$B:$B,0)),"")</f>
        <v/>
      </c>
      <c r="F1063" s="8" t="str">
        <f>IFERROR(INDEX('PROJETO PERFURAÇÃO'!$AN:$AN,MATCH(MEDIÇÃO!D1063,'PROJETO PERFURAÇÃO'!$B:$B,0)),"")</f>
        <v/>
      </c>
      <c r="G1063" s="3"/>
      <c r="H1063" s="3"/>
      <c r="I1063" s="3" t="str">
        <f>IFERROR(ROUND(INDEX('PROJETO PERFURAÇÃO'!$AB:$AB,MATCH(MEDIÇÃO!K1063,'PROJETO PERFURAÇÃO'!$B:$B,0)),1)&amp;"''","")</f>
        <v/>
      </c>
      <c r="J1063" s="3" t="str">
        <f>IFERROR(IF(INDEX('PROJETO PERFURAÇÃO'!$P:$P,MATCH(MEDIÇÃO!K1063,'PROJETO PERFURAÇÃO'!$B:$B,0))="Production","P",IF(INDEX('PROJETO PERFURAÇÃO'!$P:$P,MATCH(MEDIÇÃO!K1063,'PROJETO PERFURAÇÃO'!$B:$B,0))="Buffer","B",IF(INDEX('PROJETO PERFURAÇÃO'!$P:$P,MATCH(MEDIÇÃO!K1063,'PROJETO PERFURAÇÃO'!$B:$B,0))="Pre-Splitting","S"))),"")</f>
        <v/>
      </c>
      <c r="K1063" s="14">
        <f t="shared" si="103"/>
        <v>2374</v>
      </c>
      <c r="L1063" s="4" t="str">
        <f>IFERROR(INDEX('LEV R&amp;D'!$D:$D,MATCH(MEDIÇÃO!K1063,'LEV R&amp;D'!$A:$A,0))-INDEX('PROJETO PERFURAÇÃO'!$AH:$AH,MATCH(MEDIÇÃO!K1063,'PROJETO PERFURAÇÃO'!$B:$B,0)),"")</f>
        <v/>
      </c>
      <c r="M1063" s="8" t="str">
        <f>IFERROR(INDEX('PROJETO PERFURAÇÃO'!$AN:$AN,MATCH(MEDIÇÃO!K1063,'PROJETO PERFURAÇÃO'!$B:$B,0)),"")</f>
        <v/>
      </c>
      <c r="N1063" s="3"/>
      <c r="O1063" s="3"/>
      <c r="P1063" s="3" t="str">
        <f>IFERROR(ROUND(INDEX('PROJETO PERFURAÇÃO'!$AB:$AB,MATCH(MEDIÇÃO!R1063,'PROJETO PERFURAÇÃO'!$B:$B,0)),1)&amp;"''","")</f>
        <v/>
      </c>
      <c r="Q1063" s="3" t="str">
        <f>IFERROR(IF(INDEX('PROJETO PERFURAÇÃO'!$P:$P,MATCH(MEDIÇÃO!R1063,'PROJETO PERFURAÇÃO'!$B:$B,0))="Production","P",IF(INDEX('PROJETO PERFURAÇÃO'!$P:$P,MATCH(MEDIÇÃO!R1063,'PROJETO PERFURAÇÃO'!$B:$B,0))="Buffer","B",IF(INDEX('PROJETO PERFURAÇÃO'!$P:$P,MATCH(MEDIÇÃO!R1063,'PROJETO PERFURAÇÃO'!$B:$B,0))="Pre-Splitting","S"))),"")</f>
        <v/>
      </c>
      <c r="R1063" s="14">
        <f t="shared" si="104"/>
        <v>2397</v>
      </c>
      <c r="S1063" s="4" t="str">
        <f>IFERROR(INDEX('LEV R&amp;D'!$D:$D,MATCH(MEDIÇÃO!R1063,'LEV R&amp;D'!$A:$A,0))-INDEX('PROJETO PERFURAÇÃO'!$AH:$AH,MATCH(MEDIÇÃO!R1063,'PROJETO PERFURAÇÃO'!$B:$B,0)),"")</f>
        <v/>
      </c>
      <c r="T1063" s="8" t="str">
        <f>IFERROR(INDEX('PROJETO PERFURAÇÃO'!$AN:$AN,MATCH(MEDIÇÃO!R1063,'PROJETO PERFURAÇÃO'!$B:$B,0)),"")</f>
        <v/>
      </c>
      <c r="U1063" s="3"/>
      <c r="V1063" s="3"/>
    </row>
    <row r="1064" spans="1:23" ht="45" customHeight="1" x14ac:dyDescent="0.25">
      <c r="B1064" s="3" t="str">
        <f>IFERROR(ROUND(INDEX('PROJETO PERFURAÇÃO'!$AB:$AB,MATCH(MEDIÇÃO!D1064,'PROJETO PERFURAÇÃO'!$B:$B,0)),1)&amp;"''","")</f>
        <v/>
      </c>
      <c r="C1064" s="3" t="str">
        <f>IFERROR(IF(INDEX('PROJETO PERFURAÇÃO'!$P:$P,MATCH(MEDIÇÃO!D1064,'PROJETO PERFURAÇÃO'!$B:$B,0))="Production","P",IF(INDEX('PROJETO PERFURAÇÃO'!$P:$P,MATCH(MEDIÇÃO!D1064,'PROJETO PERFURAÇÃO'!$B:$B,0))="Buffer","B",IF(INDEX('PROJETO PERFURAÇÃO'!$P:$P,MATCH(MEDIÇÃO!D1064,'PROJETO PERFURAÇÃO'!$B:$B,0))="Pre-Splitting","S"))),"")</f>
        <v/>
      </c>
      <c r="D1064" s="14">
        <f t="shared" si="102"/>
        <v>2352</v>
      </c>
      <c r="E1064" s="4" t="str">
        <f>IFERROR(INDEX('LEV R&amp;D'!$D:$D,MATCH(MEDIÇÃO!D1064,'LEV R&amp;D'!$A:$A,0))-INDEX('PROJETO PERFURAÇÃO'!$AH:$AH,MATCH(MEDIÇÃO!D1064,'PROJETO PERFURAÇÃO'!$B:$B,0)),"")</f>
        <v/>
      </c>
      <c r="F1064" s="8" t="str">
        <f>IFERROR(INDEX('PROJETO PERFURAÇÃO'!$AN:$AN,MATCH(MEDIÇÃO!D1064,'PROJETO PERFURAÇÃO'!$B:$B,0)),"")</f>
        <v/>
      </c>
      <c r="G1064" s="3"/>
      <c r="H1064" s="3"/>
      <c r="I1064" s="3" t="str">
        <f>IFERROR(ROUND(INDEX('PROJETO PERFURAÇÃO'!$AB:$AB,MATCH(MEDIÇÃO!K1064,'PROJETO PERFURAÇÃO'!$B:$B,0)),1)&amp;"''","")</f>
        <v/>
      </c>
      <c r="J1064" s="3" t="str">
        <f>IFERROR(IF(INDEX('PROJETO PERFURAÇÃO'!$P:$P,MATCH(MEDIÇÃO!K1064,'PROJETO PERFURAÇÃO'!$B:$B,0))="Production","P",IF(INDEX('PROJETO PERFURAÇÃO'!$P:$P,MATCH(MEDIÇÃO!K1064,'PROJETO PERFURAÇÃO'!$B:$B,0))="Buffer","B",IF(INDEX('PROJETO PERFURAÇÃO'!$P:$P,MATCH(MEDIÇÃO!K1064,'PROJETO PERFURAÇÃO'!$B:$B,0))="Pre-Splitting","S"))),"")</f>
        <v/>
      </c>
      <c r="K1064" s="14">
        <f t="shared" si="103"/>
        <v>2375</v>
      </c>
      <c r="L1064" s="4" t="str">
        <f>IFERROR(INDEX('LEV R&amp;D'!$D:$D,MATCH(MEDIÇÃO!K1064,'LEV R&amp;D'!$A:$A,0))-INDEX('PROJETO PERFURAÇÃO'!$AH:$AH,MATCH(MEDIÇÃO!K1064,'PROJETO PERFURAÇÃO'!$B:$B,0)),"")</f>
        <v/>
      </c>
      <c r="M1064" s="8" t="str">
        <f>IFERROR(INDEX('PROJETO PERFURAÇÃO'!$AN:$AN,MATCH(MEDIÇÃO!K1064,'PROJETO PERFURAÇÃO'!$B:$B,0)),"")</f>
        <v/>
      </c>
      <c r="N1064" s="3"/>
      <c r="O1064" s="3"/>
      <c r="P1064" s="3" t="str">
        <f>IFERROR(ROUND(INDEX('PROJETO PERFURAÇÃO'!$AB:$AB,MATCH(MEDIÇÃO!R1064,'PROJETO PERFURAÇÃO'!$B:$B,0)),1)&amp;"''","")</f>
        <v/>
      </c>
      <c r="Q1064" s="3" t="str">
        <f>IFERROR(IF(INDEX('PROJETO PERFURAÇÃO'!$P:$P,MATCH(MEDIÇÃO!R1064,'PROJETO PERFURAÇÃO'!$B:$B,0))="Production","P",IF(INDEX('PROJETO PERFURAÇÃO'!$P:$P,MATCH(MEDIÇÃO!R1064,'PROJETO PERFURAÇÃO'!$B:$B,0))="Buffer","B",IF(INDEX('PROJETO PERFURAÇÃO'!$P:$P,MATCH(MEDIÇÃO!R1064,'PROJETO PERFURAÇÃO'!$B:$B,0))="Pre-Splitting","S"))),"")</f>
        <v/>
      </c>
      <c r="R1064" s="14">
        <f t="shared" si="104"/>
        <v>2398</v>
      </c>
      <c r="S1064" s="4" t="str">
        <f>IFERROR(INDEX('LEV R&amp;D'!$D:$D,MATCH(MEDIÇÃO!R1064,'LEV R&amp;D'!$A:$A,0))-INDEX('PROJETO PERFURAÇÃO'!$AH:$AH,MATCH(MEDIÇÃO!R1064,'PROJETO PERFURAÇÃO'!$B:$B,0)),"")</f>
        <v/>
      </c>
      <c r="T1064" s="8" t="str">
        <f>IFERROR(INDEX('PROJETO PERFURAÇÃO'!$AN:$AN,MATCH(MEDIÇÃO!R1064,'PROJETO PERFURAÇÃO'!$B:$B,0)),"")</f>
        <v/>
      </c>
      <c r="U1064" s="3"/>
      <c r="V1064" s="3"/>
    </row>
    <row r="1065" spans="1:23" ht="45" customHeight="1" x14ac:dyDescent="0.25">
      <c r="B1065" s="3" t="str">
        <f>IFERROR(ROUND(INDEX('PROJETO PERFURAÇÃO'!$AB:$AB,MATCH(MEDIÇÃO!D1065,'PROJETO PERFURAÇÃO'!$B:$B,0)),1)&amp;"''","")</f>
        <v/>
      </c>
      <c r="C1065" s="3" t="str">
        <f>IFERROR(IF(INDEX('PROJETO PERFURAÇÃO'!$P:$P,MATCH(MEDIÇÃO!D1065,'PROJETO PERFURAÇÃO'!$B:$B,0))="Production","P",IF(INDEX('PROJETO PERFURAÇÃO'!$P:$P,MATCH(MEDIÇÃO!D1065,'PROJETO PERFURAÇÃO'!$B:$B,0))="Buffer","B",IF(INDEX('PROJETO PERFURAÇÃO'!$P:$P,MATCH(MEDIÇÃO!D1065,'PROJETO PERFURAÇÃO'!$B:$B,0))="Pre-Splitting","S"))),"")</f>
        <v/>
      </c>
      <c r="D1065" s="14">
        <f t="shared" si="102"/>
        <v>2353</v>
      </c>
      <c r="E1065" s="4" t="str">
        <f>IFERROR(INDEX('LEV R&amp;D'!$D:$D,MATCH(MEDIÇÃO!D1065,'LEV R&amp;D'!$A:$A,0))-INDEX('PROJETO PERFURAÇÃO'!$AH:$AH,MATCH(MEDIÇÃO!D1065,'PROJETO PERFURAÇÃO'!$B:$B,0)),"")</f>
        <v/>
      </c>
      <c r="F1065" s="8" t="str">
        <f>IFERROR(INDEX('PROJETO PERFURAÇÃO'!$AN:$AN,MATCH(MEDIÇÃO!D1065,'PROJETO PERFURAÇÃO'!$B:$B,0)),"")</f>
        <v/>
      </c>
      <c r="G1065" s="3"/>
      <c r="H1065" s="3"/>
      <c r="I1065" s="3" t="str">
        <f>IFERROR(ROUND(INDEX('PROJETO PERFURAÇÃO'!$AB:$AB,MATCH(MEDIÇÃO!K1065,'PROJETO PERFURAÇÃO'!$B:$B,0)),1)&amp;"''","")</f>
        <v/>
      </c>
      <c r="J1065" s="3" t="str">
        <f>IFERROR(IF(INDEX('PROJETO PERFURAÇÃO'!$P:$P,MATCH(MEDIÇÃO!K1065,'PROJETO PERFURAÇÃO'!$B:$B,0))="Production","P",IF(INDEX('PROJETO PERFURAÇÃO'!$P:$P,MATCH(MEDIÇÃO!K1065,'PROJETO PERFURAÇÃO'!$B:$B,0))="Buffer","B",IF(INDEX('PROJETO PERFURAÇÃO'!$P:$P,MATCH(MEDIÇÃO!K1065,'PROJETO PERFURAÇÃO'!$B:$B,0))="Pre-Splitting","S"))),"")</f>
        <v/>
      </c>
      <c r="K1065" s="14">
        <f t="shared" si="103"/>
        <v>2376</v>
      </c>
      <c r="L1065" s="4" t="str">
        <f>IFERROR(INDEX('LEV R&amp;D'!$D:$D,MATCH(MEDIÇÃO!K1065,'LEV R&amp;D'!$A:$A,0))-INDEX('PROJETO PERFURAÇÃO'!$AH:$AH,MATCH(MEDIÇÃO!K1065,'PROJETO PERFURAÇÃO'!$B:$B,0)),"")</f>
        <v/>
      </c>
      <c r="M1065" s="8" t="str">
        <f>IFERROR(INDEX('PROJETO PERFURAÇÃO'!$AN:$AN,MATCH(MEDIÇÃO!K1065,'PROJETO PERFURAÇÃO'!$B:$B,0)),"")</f>
        <v/>
      </c>
      <c r="N1065" s="3"/>
      <c r="O1065" s="3"/>
      <c r="P1065" s="3" t="str">
        <f>IFERROR(ROUND(INDEX('PROJETO PERFURAÇÃO'!$AB:$AB,MATCH(MEDIÇÃO!R1065,'PROJETO PERFURAÇÃO'!$B:$B,0)),1)&amp;"''","")</f>
        <v/>
      </c>
      <c r="Q1065" s="3" t="str">
        <f>IFERROR(IF(INDEX('PROJETO PERFURAÇÃO'!$P:$P,MATCH(MEDIÇÃO!R1065,'PROJETO PERFURAÇÃO'!$B:$B,0))="Production","P",IF(INDEX('PROJETO PERFURAÇÃO'!$P:$P,MATCH(MEDIÇÃO!R1065,'PROJETO PERFURAÇÃO'!$B:$B,0))="Buffer","B",IF(INDEX('PROJETO PERFURAÇÃO'!$P:$P,MATCH(MEDIÇÃO!R1065,'PROJETO PERFURAÇÃO'!$B:$B,0))="Pre-Splitting","S"))),"")</f>
        <v/>
      </c>
      <c r="R1065" s="14">
        <f t="shared" si="104"/>
        <v>2399</v>
      </c>
      <c r="S1065" s="4" t="str">
        <f>IFERROR(INDEX('LEV R&amp;D'!$D:$D,MATCH(MEDIÇÃO!R1065,'LEV R&amp;D'!$A:$A,0))-INDEX('PROJETO PERFURAÇÃO'!$AH:$AH,MATCH(MEDIÇÃO!R1065,'PROJETO PERFURAÇÃO'!$B:$B,0)),"")</f>
        <v/>
      </c>
      <c r="T1065" s="8" t="str">
        <f>IFERROR(INDEX('PROJETO PERFURAÇÃO'!$AN:$AN,MATCH(MEDIÇÃO!R1065,'PROJETO PERFURAÇÃO'!$B:$B,0)),"")</f>
        <v/>
      </c>
      <c r="U1065" s="3"/>
      <c r="V1065" s="3"/>
    </row>
    <row r="1066" spans="1:23" ht="45" customHeight="1" x14ac:dyDescent="0.25">
      <c r="B1066" s="3" t="str">
        <f>IFERROR(ROUND(INDEX('PROJETO PERFURAÇÃO'!$AB:$AB,MATCH(MEDIÇÃO!D1066,'PROJETO PERFURAÇÃO'!$B:$B,0)),1)&amp;"''","")</f>
        <v/>
      </c>
      <c r="C1066" s="3" t="str">
        <f>IFERROR(IF(INDEX('PROJETO PERFURAÇÃO'!$P:$P,MATCH(MEDIÇÃO!D1066,'PROJETO PERFURAÇÃO'!$B:$B,0))="Production","P",IF(INDEX('PROJETO PERFURAÇÃO'!$P:$P,MATCH(MEDIÇÃO!D1066,'PROJETO PERFURAÇÃO'!$B:$B,0))="Buffer","B",IF(INDEX('PROJETO PERFURAÇÃO'!$P:$P,MATCH(MEDIÇÃO!D1066,'PROJETO PERFURAÇÃO'!$B:$B,0))="Pre-Splitting","S"))),"")</f>
        <v/>
      </c>
      <c r="D1066" s="14">
        <f t="shared" si="102"/>
        <v>2354</v>
      </c>
      <c r="E1066" s="4" t="str">
        <f>IFERROR(INDEX('LEV R&amp;D'!$D:$D,MATCH(MEDIÇÃO!D1066,'LEV R&amp;D'!$A:$A,0))-INDEX('PROJETO PERFURAÇÃO'!$AH:$AH,MATCH(MEDIÇÃO!D1066,'PROJETO PERFURAÇÃO'!$B:$B,0)),"")</f>
        <v/>
      </c>
      <c r="F1066" s="8" t="str">
        <f>IFERROR(INDEX('PROJETO PERFURAÇÃO'!$AN:$AN,MATCH(MEDIÇÃO!D1066,'PROJETO PERFURAÇÃO'!$B:$B,0)),"")</f>
        <v/>
      </c>
      <c r="G1066" s="3"/>
      <c r="H1066" s="3"/>
      <c r="I1066" s="3" t="str">
        <f>IFERROR(ROUND(INDEX('PROJETO PERFURAÇÃO'!$AB:$AB,MATCH(MEDIÇÃO!K1066,'PROJETO PERFURAÇÃO'!$B:$B,0)),1)&amp;"''","")</f>
        <v/>
      </c>
      <c r="J1066" s="3" t="str">
        <f>IFERROR(IF(INDEX('PROJETO PERFURAÇÃO'!$P:$P,MATCH(MEDIÇÃO!K1066,'PROJETO PERFURAÇÃO'!$B:$B,0))="Production","P",IF(INDEX('PROJETO PERFURAÇÃO'!$P:$P,MATCH(MEDIÇÃO!K1066,'PROJETO PERFURAÇÃO'!$B:$B,0))="Buffer","B",IF(INDEX('PROJETO PERFURAÇÃO'!$P:$P,MATCH(MEDIÇÃO!K1066,'PROJETO PERFURAÇÃO'!$B:$B,0))="Pre-Splitting","S"))),"")</f>
        <v/>
      </c>
      <c r="K1066" s="14">
        <f t="shared" si="103"/>
        <v>2377</v>
      </c>
      <c r="L1066" s="4" t="str">
        <f>IFERROR(INDEX('LEV R&amp;D'!$D:$D,MATCH(MEDIÇÃO!K1066,'LEV R&amp;D'!$A:$A,0))-INDEX('PROJETO PERFURAÇÃO'!$AH:$AH,MATCH(MEDIÇÃO!K1066,'PROJETO PERFURAÇÃO'!$B:$B,0)),"")</f>
        <v/>
      </c>
      <c r="M1066" s="8" t="str">
        <f>IFERROR(INDEX('PROJETO PERFURAÇÃO'!$AN:$AN,MATCH(MEDIÇÃO!K1066,'PROJETO PERFURAÇÃO'!$B:$B,0)),"")</f>
        <v/>
      </c>
      <c r="N1066" s="3"/>
      <c r="O1066" s="3"/>
      <c r="P1066" s="3" t="str">
        <f>IFERROR(ROUND(INDEX('PROJETO PERFURAÇÃO'!$AB:$AB,MATCH(MEDIÇÃO!R1066,'PROJETO PERFURAÇÃO'!$B:$B,0)),1)&amp;"''","")</f>
        <v/>
      </c>
      <c r="Q1066" s="3" t="str">
        <f>IFERROR(IF(INDEX('PROJETO PERFURAÇÃO'!$P:$P,MATCH(MEDIÇÃO!R1066,'PROJETO PERFURAÇÃO'!$B:$B,0))="Production","P",IF(INDEX('PROJETO PERFURAÇÃO'!$P:$P,MATCH(MEDIÇÃO!R1066,'PROJETO PERFURAÇÃO'!$B:$B,0))="Buffer","B",IF(INDEX('PROJETO PERFURAÇÃO'!$P:$P,MATCH(MEDIÇÃO!R1066,'PROJETO PERFURAÇÃO'!$B:$B,0))="Pre-Splitting","S"))),"")</f>
        <v/>
      </c>
      <c r="R1066" s="14">
        <f t="shared" si="104"/>
        <v>2400</v>
      </c>
      <c r="S1066" s="4" t="str">
        <f>IFERROR(INDEX('LEV R&amp;D'!$D:$D,MATCH(MEDIÇÃO!R1066,'LEV R&amp;D'!$A:$A,0))-INDEX('PROJETO PERFURAÇÃO'!$AH:$AH,MATCH(MEDIÇÃO!R1066,'PROJETO PERFURAÇÃO'!$B:$B,0)),"")</f>
        <v/>
      </c>
      <c r="T1066" s="8" t="str">
        <f>IFERROR(INDEX('PROJETO PERFURAÇÃO'!$AN:$AN,MATCH(MEDIÇÃO!R1066,'PROJETO PERFURAÇÃO'!$B:$B,0)),"")</f>
        <v/>
      </c>
      <c r="U1066" s="3"/>
      <c r="V1066" s="3"/>
    </row>
    <row r="1067" spans="1:23" ht="45" customHeight="1" x14ac:dyDescent="0.25">
      <c r="B1067" s="3" t="str">
        <f>IFERROR(ROUND(INDEX('PROJETO PERFURAÇÃO'!$AB:$AB,MATCH(MEDIÇÃO!D1067,'PROJETO PERFURAÇÃO'!$B:$B,0)),1)&amp;"''","")</f>
        <v/>
      </c>
      <c r="C1067" s="3" t="str">
        <f>IFERROR(IF(INDEX('PROJETO PERFURAÇÃO'!$P:$P,MATCH(MEDIÇÃO!D1067,'PROJETO PERFURAÇÃO'!$B:$B,0))="Production","P",IF(INDEX('PROJETO PERFURAÇÃO'!$P:$P,MATCH(MEDIÇÃO!D1067,'PROJETO PERFURAÇÃO'!$B:$B,0))="Buffer","B",IF(INDEX('PROJETO PERFURAÇÃO'!$P:$P,MATCH(MEDIÇÃO!D1067,'PROJETO PERFURAÇÃO'!$B:$B,0))="Pre-Splitting","S"))),"")</f>
        <v/>
      </c>
      <c r="D1067" s="14">
        <f t="shared" si="102"/>
        <v>2355</v>
      </c>
      <c r="E1067" s="4" t="str">
        <f>IFERROR(INDEX('LEV R&amp;D'!$D:$D,MATCH(MEDIÇÃO!D1067,'LEV R&amp;D'!$A:$A,0))-INDEX('PROJETO PERFURAÇÃO'!$AH:$AH,MATCH(MEDIÇÃO!D1067,'PROJETO PERFURAÇÃO'!$B:$B,0)),"")</f>
        <v/>
      </c>
      <c r="F1067" s="8" t="str">
        <f>IFERROR(INDEX('PROJETO PERFURAÇÃO'!$AN:$AN,MATCH(MEDIÇÃO!D1067,'PROJETO PERFURAÇÃO'!$B:$B,0)),"")</f>
        <v/>
      </c>
      <c r="G1067" s="3"/>
      <c r="H1067" s="3"/>
      <c r="I1067" s="3" t="str">
        <f>IFERROR(ROUND(INDEX('PROJETO PERFURAÇÃO'!$AB:$AB,MATCH(MEDIÇÃO!K1067,'PROJETO PERFURAÇÃO'!$B:$B,0)),1)&amp;"''","")</f>
        <v/>
      </c>
      <c r="J1067" s="3" t="str">
        <f>IFERROR(IF(INDEX('PROJETO PERFURAÇÃO'!$P:$P,MATCH(MEDIÇÃO!K1067,'PROJETO PERFURAÇÃO'!$B:$B,0))="Production","P",IF(INDEX('PROJETO PERFURAÇÃO'!$P:$P,MATCH(MEDIÇÃO!K1067,'PROJETO PERFURAÇÃO'!$B:$B,0))="Buffer","B",IF(INDEX('PROJETO PERFURAÇÃO'!$P:$P,MATCH(MEDIÇÃO!K1067,'PROJETO PERFURAÇÃO'!$B:$B,0))="Pre-Splitting","S"))),"")</f>
        <v/>
      </c>
      <c r="K1067" s="14">
        <f t="shared" si="103"/>
        <v>2378</v>
      </c>
      <c r="L1067" s="4" t="str">
        <f>IFERROR(INDEX('LEV R&amp;D'!$D:$D,MATCH(MEDIÇÃO!K1067,'LEV R&amp;D'!$A:$A,0))-INDEX('PROJETO PERFURAÇÃO'!$AH:$AH,MATCH(MEDIÇÃO!K1067,'PROJETO PERFURAÇÃO'!$B:$B,0)),"")</f>
        <v/>
      </c>
      <c r="M1067" s="8" t="str">
        <f>IFERROR(INDEX('PROJETO PERFURAÇÃO'!$AN:$AN,MATCH(MEDIÇÃO!K1067,'PROJETO PERFURAÇÃO'!$B:$B,0)),"")</f>
        <v/>
      </c>
      <c r="N1067" s="3"/>
      <c r="O1067" s="3"/>
      <c r="P1067" s="3" t="str">
        <f>IFERROR(ROUND(INDEX('PROJETO PERFURAÇÃO'!$AB:$AB,MATCH(MEDIÇÃO!R1067,'PROJETO PERFURAÇÃO'!$B:$B,0)),1)&amp;"''","")</f>
        <v/>
      </c>
      <c r="Q1067" s="3" t="str">
        <f>IFERROR(IF(INDEX('PROJETO PERFURAÇÃO'!$P:$P,MATCH(MEDIÇÃO!R1067,'PROJETO PERFURAÇÃO'!$B:$B,0))="Production","P",IF(INDEX('PROJETO PERFURAÇÃO'!$P:$P,MATCH(MEDIÇÃO!R1067,'PROJETO PERFURAÇÃO'!$B:$B,0))="Buffer","B",IF(INDEX('PROJETO PERFURAÇÃO'!$P:$P,MATCH(MEDIÇÃO!R1067,'PROJETO PERFURAÇÃO'!$B:$B,0))="Pre-Splitting","S"))),"")</f>
        <v/>
      </c>
      <c r="R1067" s="14">
        <f t="shared" si="104"/>
        <v>2401</v>
      </c>
      <c r="S1067" s="4" t="str">
        <f>IFERROR(INDEX('LEV R&amp;D'!$D:$D,MATCH(MEDIÇÃO!R1067,'LEV R&amp;D'!$A:$A,0))-INDEX('PROJETO PERFURAÇÃO'!$AH:$AH,MATCH(MEDIÇÃO!R1067,'PROJETO PERFURAÇÃO'!$B:$B,0)),"")</f>
        <v/>
      </c>
      <c r="T1067" s="8" t="str">
        <f>IFERROR(INDEX('PROJETO PERFURAÇÃO'!$AN:$AN,MATCH(MEDIÇÃO!R1067,'PROJETO PERFURAÇÃO'!$B:$B,0)),"")</f>
        <v/>
      </c>
      <c r="U1067" s="3"/>
      <c r="V1067" s="3"/>
    </row>
    <row r="1068" spans="1:23" ht="45" customHeight="1" x14ac:dyDescent="0.25">
      <c r="B1068" s="3" t="str">
        <f>IFERROR(ROUND(INDEX('PROJETO PERFURAÇÃO'!$AB:$AB,MATCH(MEDIÇÃO!D1068,'PROJETO PERFURAÇÃO'!$B:$B,0)),1)&amp;"''","")</f>
        <v/>
      </c>
      <c r="C1068" s="3" t="str">
        <f>IFERROR(IF(INDEX('PROJETO PERFURAÇÃO'!$P:$P,MATCH(MEDIÇÃO!D1068,'PROJETO PERFURAÇÃO'!$B:$B,0))="Production","P",IF(INDEX('PROJETO PERFURAÇÃO'!$P:$P,MATCH(MEDIÇÃO!D1068,'PROJETO PERFURAÇÃO'!$B:$B,0))="Buffer","B",IF(INDEX('PROJETO PERFURAÇÃO'!$P:$P,MATCH(MEDIÇÃO!D1068,'PROJETO PERFURAÇÃO'!$B:$B,0))="Pre-Splitting","S"))),"")</f>
        <v/>
      </c>
      <c r="D1068" s="14">
        <f t="shared" si="102"/>
        <v>2356</v>
      </c>
      <c r="E1068" s="4" t="str">
        <f>IFERROR(INDEX('LEV R&amp;D'!$D:$D,MATCH(MEDIÇÃO!D1068,'LEV R&amp;D'!$A:$A,0))-INDEX('PROJETO PERFURAÇÃO'!$AH:$AH,MATCH(MEDIÇÃO!D1068,'PROJETO PERFURAÇÃO'!$B:$B,0)),"")</f>
        <v/>
      </c>
      <c r="F1068" s="8" t="str">
        <f>IFERROR(INDEX('PROJETO PERFURAÇÃO'!$AN:$AN,MATCH(MEDIÇÃO!D1068,'PROJETO PERFURAÇÃO'!$B:$B,0)),"")</f>
        <v/>
      </c>
      <c r="G1068" s="3"/>
      <c r="H1068" s="3"/>
      <c r="I1068" s="3" t="str">
        <f>IFERROR(ROUND(INDEX('PROJETO PERFURAÇÃO'!$AB:$AB,MATCH(MEDIÇÃO!K1068,'PROJETO PERFURAÇÃO'!$B:$B,0)),1)&amp;"''","")</f>
        <v/>
      </c>
      <c r="J1068" s="3" t="str">
        <f>IFERROR(IF(INDEX('PROJETO PERFURAÇÃO'!$P:$P,MATCH(MEDIÇÃO!K1068,'PROJETO PERFURAÇÃO'!$B:$B,0))="Production","P",IF(INDEX('PROJETO PERFURAÇÃO'!$P:$P,MATCH(MEDIÇÃO!K1068,'PROJETO PERFURAÇÃO'!$B:$B,0))="Buffer","B",IF(INDEX('PROJETO PERFURAÇÃO'!$P:$P,MATCH(MEDIÇÃO!K1068,'PROJETO PERFURAÇÃO'!$B:$B,0))="Pre-Splitting","S"))),"")</f>
        <v/>
      </c>
      <c r="K1068" s="14">
        <f t="shared" si="103"/>
        <v>2379</v>
      </c>
      <c r="L1068" s="4" t="str">
        <f>IFERROR(INDEX('LEV R&amp;D'!$D:$D,MATCH(MEDIÇÃO!K1068,'LEV R&amp;D'!$A:$A,0))-INDEX('PROJETO PERFURAÇÃO'!$AH:$AH,MATCH(MEDIÇÃO!K1068,'PROJETO PERFURAÇÃO'!$B:$B,0)),"")</f>
        <v/>
      </c>
      <c r="M1068" s="8" t="str">
        <f>IFERROR(INDEX('PROJETO PERFURAÇÃO'!$AN:$AN,MATCH(MEDIÇÃO!K1068,'PROJETO PERFURAÇÃO'!$B:$B,0)),"")</f>
        <v/>
      </c>
      <c r="N1068" s="3"/>
      <c r="O1068" s="3"/>
      <c r="P1068" s="3" t="str">
        <f>IFERROR(ROUND(INDEX('PROJETO PERFURAÇÃO'!$AB:$AB,MATCH(MEDIÇÃO!R1068,'PROJETO PERFURAÇÃO'!$B:$B,0)),1)&amp;"''","")</f>
        <v/>
      </c>
      <c r="Q1068" s="3" t="str">
        <f>IFERROR(IF(INDEX('PROJETO PERFURAÇÃO'!$P:$P,MATCH(MEDIÇÃO!R1068,'PROJETO PERFURAÇÃO'!$B:$B,0))="Production","P",IF(INDEX('PROJETO PERFURAÇÃO'!$P:$P,MATCH(MEDIÇÃO!R1068,'PROJETO PERFURAÇÃO'!$B:$B,0))="Buffer","B",IF(INDEX('PROJETO PERFURAÇÃO'!$P:$P,MATCH(MEDIÇÃO!R1068,'PROJETO PERFURAÇÃO'!$B:$B,0))="Pre-Splitting","S"))),"")</f>
        <v/>
      </c>
      <c r="R1068" s="14">
        <f t="shared" si="104"/>
        <v>2402</v>
      </c>
      <c r="S1068" s="4" t="str">
        <f>IFERROR(INDEX('LEV R&amp;D'!$D:$D,MATCH(MEDIÇÃO!R1068,'LEV R&amp;D'!$A:$A,0))-INDEX('PROJETO PERFURAÇÃO'!$AH:$AH,MATCH(MEDIÇÃO!R1068,'PROJETO PERFURAÇÃO'!$B:$B,0)),"")</f>
        <v/>
      </c>
      <c r="T1068" s="8" t="str">
        <f>IFERROR(INDEX('PROJETO PERFURAÇÃO'!$AN:$AN,MATCH(MEDIÇÃO!R1068,'PROJETO PERFURAÇÃO'!$B:$B,0)),"")</f>
        <v/>
      </c>
      <c r="U1068" s="3"/>
      <c r="V1068" s="3"/>
    </row>
    <row r="1069" spans="1:23" ht="45" customHeight="1" x14ac:dyDescent="0.25">
      <c r="B1069" s="3" t="str">
        <f>IFERROR(ROUND(INDEX('PROJETO PERFURAÇÃO'!$AB:$AB,MATCH(MEDIÇÃO!D1069,'PROJETO PERFURAÇÃO'!$B:$B,0)),1)&amp;"''","")</f>
        <v/>
      </c>
      <c r="C1069" s="3" t="str">
        <f>IFERROR(IF(INDEX('PROJETO PERFURAÇÃO'!$P:$P,MATCH(MEDIÇÃO!D1069,'PROJETO PERFURAÇÃO'!$B:$B,0))="Production","P",IF(INDEX('PROJETO PERFURAÇÃO'!$P:$P,MATCH(MEDIÇÃO!D1069,'PROJETO PERFURAÇÃO'!$B:$B,0))="Buffer","B",IF(INDEX('PROJETO PERFURAÇÃO'!$P:$P,MATCH(MEDIÇÃO!D1069,'PROJETO PERFURAÇÃO'!$B:$B,0))="Pre-Splitting","S"))),"")</f>
        <v/>
      </c>
      <c r="D1069" s="14">
        <f t="shared" si="102"/>
        <v>2357</v>
      </c>
      <c r="E1069" s="4" t="str">
        <f>IFERROR(INDEX('LEV R&amp;D'!$D:$D,MATCH(MEDIÇÃO!D1069,'LEV R&amp;D'!$A:$A,0))-INDEX('PROJETO PERFURAÇÃO'!$AH:$AH,MATCH(MEDIÇÃO!D1069,'PROJETO PERFURAÇÃO'!$B:$B,0)),"")</f>
        <v/>
      </c>
      <c r="F1069" s="8" t="str">
        <f>IFERROR(INDEX('PROJETO PERFURAÇÃO'!$AN:$AN,MATCH(MEDIÇÃO!D1069,'PROJETO PERFURAÇÃO'!$B:$B,0)),"")</f>
        <v/>
      </c>
      <c r="G1069" s="3"/>
      <c r="H1069" s="3"/>
      <c r="I1069" s="3" t="str">
        <f>IFERROR(ROUND(INDEX('PROJETO PERFURAÇÃO'!$AB:$AB,MATCH(MEDIÇÃO!K1069,'PROJETO PERFURAÇÃO'!$B:$B,0)),1)&amp;"''","")</f>
        <v/>
      </c>
      <c r="J1069" s="3" t="str">
        <f>IFERROR(IF(INDEX('PROJETO PERFURAÇÃO'!$P:$P,MATCH(MEDIÇÃO!K1069,'PROJETO PERFURAÇÃO'!$B:$B,0))="Production","P",IF(INDEX('PROJETO PERFURAÇÃO'!$P:$P,MATCH(MEDIÇÃO!K1069,'PROJETO PERFURAÇÃO'!$B:$B,0))="Buffer","B",IF(INDEX('PROJETO PERFURAÇÃO'!$P:$P,MATCH(MEDIÇÃO!K1069,'PROJETO PERFURAÇÃO'!$B:$B,0))="Pre-Splitting","S"))),"")</f>
        <v/>
      </c>
      <c r="K1069" s="14">
        <f t="shared" si="103"/>
        <v>2380</v>
      </c>
      <c r="L1069" s="4" t="str">
        <f>IFERROR(INDEX('LEV R&amp;D'!$D:$D,MATCH(MEDIÇÃO!K1069,'LEV R&amp;D'!$A:$A,0))-INDEX('PROJETO PERFURAÇÃO'!$AH:$AH,MATCH(MEDIÇÃO!K1069,'PROJETO PERFURAÇÃO'!$B:$B,0)),"")</f>
        <v/>
      </c>
      <c r="M1069" s="8" t="str">
        <f>IFERROR(INDEX('PROJETO PERFURAÇÃO'!$AN:$AN,MATCH(MEDIÇÃO!K1069,'PROJETO PERFURAÇÃO'!$B:$B,0)),"")</f>
        <v/>
      </c>
      <c r="N1069" s="3"/>
      <c r="O1069" s="3"/>
      <c r="P1069" s="3" t="str">
        <f>IFERROR(ROUND(INDEX('PROJETO PERFURAÇÃO'!$AB:$AB,MATCH(MEDIÇÃO!R1069,'PROJETO PERFURAÇÃO'!$B:$B,0)),1)&amp;"''","")</f>
        <v/>
      </c>
      <c r="Q1069" s="3" t="str">
        <f>IFERROR(IF(INDEX('PROJETO PERFURAÇÃO'!$P:$P,MATCH(MEDIÇÃO!R1069,'PROJETO PERFURAÇÃO'!$B:$B,0))="Production","P",IF(INDEX('PROJETO PERFURAÇÃO'!$P:$P,MATCH(MEDIÇÃO!R1069,'PROJETO PERFURAÇÃO'!$B:$B,0))="Buffer","B",IF(INDEX('PROJETO PERFURAÇÃO'!$P:$P,MATCH(MEDIÇÃO!R1069,'PROJETO PERFURAÇÃO'!$B:$B,0))="Pre-Splitting","S"))),"")</f>
        <v/>
      </c>
      <c r="R1069" s="14">
        <f t="shared" si="104"/>
        <v>2403</v>
      </c>
      <c r="S1069" s="4" t="str">
        <f>IFERROR(INDEX('LEV R&amp;D'!$D:$D,MATCH(MEDIÇÃO!R1069,'LEV R&amp;D'!$A:$A,0))-INDEX('PROJETO PERFURAÇÃO'!$AH:$AH,MATCH(MEDIÇÃO!R1069,'PROJETO PERFURAÇÃO'!$B:$B,0)),"")</f>
        <v/>
      </c>
      <c r="T1069" s="8" t="str">
        <f>IFERROR(INDEX('PROJETO PERFURAÇÃO'!$AN:$AN,MATCH(MEDIÇÃO!R1069,'PROJETO PERFURAÇÃO'!$B:$B,0)),"")</f>
        <v/>
      </c>
      <c r="U1069" s="3"/>
      <c r="V1069" s="3"/>
    </row>
    <row r="1070" spans="1:23" ht="45" customHeight="1" x14ac:dyDescent="0.25">
      <c r="B1070" s="3" t="str">
        <f>IFERROR(ROUND(INDEX('PROJETO PERFURAÇÃO'!$AB:$AB,MATCH(MEDIÇÃO!D1070,'PROJETO PERFURAÇÃO'!$B:$B,0)),1)&amp;"''","")</f>
        <v/>
      </c>
      <c r="C1070" s="3" t="str">
        <f>IFERROR(IF(INDEX('PROJETO PERFURAÇÃO'!$P:$P,MATCH(MEDIÇÃO!D1070,'PROJETO PERFURAÇÃO'!$B:$B,0))="Production","P",IF(INDEX('PROJETO PERFURAÇÃO'!$P:$P,MATCH(MEDIÇÃO!D1070,'PROJETO PERFURAÇÃO'!$B:$B,0))="Buffer","B",IF(INDEX('PROJETO PERFURAÇÃO'!$P:$P,MATCH(MEDIÇÃO!D1070,'PROJETO PERFURAÇÃO'!$B:$B,0))="Pre-Splitting","S"))),"")</f>
        <v/>
      </c>
      <c r="D1070" s="14">
        <f t="shared" si="102"/>
        <v>2358</v>
      </c>
      <c r="E1070" s="4" t="str">
        <f>IFERROR(INDEX('LEV R&amp;D'!$D:$D,MATCH(MEDIÇÃO!D1070,'LEV R&amp;D'!$A:$A,0))-INDEX('PROJETO PERFURAÇÃO'!$AH:$AH,MATCH(MEDIÇÃO!D1070,'PROJETO PERFURAÇÃO'!$B:$B,0)),"")</f>
        <v/>
      </c>
      <c r="F1070" s="8" t="str">
        <f>IFERROR(INDEX('PROJETO PERFURAÇÃO'!$AN:$AN,MATCH(MEDIÇÃO!D1070,'PROJETO PERFURAÇÃO'!$B:$B,0)),"")</f>
        <v/>
      </c>
      <c r="G1070" s="3"/>
      <c r="H1070" s="3"/>
      <c r="I1070" s="3" t="str">
        <f>IFERROR(ROUND(INDEX('PROJETO PERFURAÇÃO'!$AB:$AB,MATCH(MEDIÇÃO!K1070,'PROJETO PERFURAÇÃO'!$B:$B,0)),1)&amp;"''","")</f>
        <v/>
      </c>
      <c r="J1070" s="3" t="str">
        <f>IFERROR(IF(INDEX('PROJETO PERFURAÇÃO'!$P:$P,MATCH(MEDIÇÃO!K1070,'PROJETO PERFURAÇÃO'!$B:$B,0))="Production","P",IF(INDEX('PROJETO PERFURAÇÃO'!$P:$P,MATCH(MEDIÇÃO!K1070,'PROJETO PERFURAÇÃO'!$B:$B,0))="Buffer","B",IF(INDEX('PROJETO PERFURAÇÃO'!$P:$P,MATCH(MEDIÇÃO!K1070,'PROJETO PERFURAÇÃO'!$B:$B,0))="Pre-Splitting","S"))),"")</f>
        <v/>
      </c>
      <c r="K1070" s="14">
        <f t="shared" si="103"/>
        <v>2381</v>
      </c>
      <c r="L1070" s="4" t="str">
        <f>IFERROR(INDEX('LEV R&amp;D'!$D:$D,MATCH(MEDIÇÃO!K1070,'LEV R&amp;D'!$A:$A,0))-INDEX('PROJETO PERFURAÇÃO'!$AH:$AH,MATCH(MEDIÇÃO!K1070,'PROJETO PERFURAÇÃO'!$B:$B,0)),"")</f>
        <v/>
      </c>
      <c r="M1070" s="8" t="str">
        <f>IFERROR(INDEX('PROJETO PERFURAÇÃO'!$AN:$AN,MATCH(MEDIÇÃO!K1070,'PROJETO PERFURAÇÃO'!$B:$B,0)),"")</f>
        <v/>
      </c>
      <c r="N1070" s="3"/>
      <c r="O1070" s="3"/>
      <c r="P1070" s="3" t="str">
        <f>IFERROR(ROUND(INDEX('PROJETO PERFURAÇÃO'!$AB:$AB,MATCH(MEDIÇÃO!R1070,'PROJETO PERFURAÇÃO'!$B:$B,0)),1)&amp;"''","")</f>
        <v/>
      </c>
      <c r="Q1070" s="3" t="str">
        <f>IFERROR(IF(INDEX('PROJETO PERFURAÇÃO'!$P:$P,MATCH(MEDIÇÃO!R1070,'PROJETO PERFURAÇÃO'!$B:$B,0))="Production","P",IF(INDEX('PROJETO PERFURAÇÃO'!$P:$P,MATCH(MEDIÇÃO!R1070,'PROJETO PERFURAÇÃO'!$B:$B,0))="Buffer","B",IF(INDEX('PROJETO PERFURAÇÃO'!$P:$P,MATCH(MEDIÇÃO!R1070,'PROJETO PERFURAÇÃO'!$B:$B,0))="Pre-Splitting","S"))),"")</f>
        <v/>
      </c>
      <c r="R1070" s="14">
        <f t="shared" si="104"/>
        <v>2404</v>
      </c>
      <c r="S1070" s="4" t="str">
        <f>IFERROR(INDEX('LEV R&amp;D'!$D:$D,MATCH(MEDIÇÃO!R1070,'LEV R&amp;D'!$A:$A,0))-INDEX('PROJETO PERFURAÇÃO'!$AH:$AH,MATCH(MEDIÇÃO!R1070,'PROJETO PERFURAÇÃO'!$B:$B,0)),"")</f>
        <v/>
      </c>
      <c r="T1070" s="8" t="str">
        <f>IFERROR(INDEX('PROJETO PERFURAÇÃO'!$AN:$AN,MATCH(MEDIÇÃO!R1070,'PROJETO PERFURAÇÃO'!$B:$B,0)),"")</f>
        <v/>
      </c>
      <c r="U1070" s="3"/>
      <c r="V1070" s="3"/>
    </row>
    <row r="1071" spans="1:23" ht="45" customHeight="1" x14ac:dyDescent="0.25">
      <c r="B1071" s="3" t="str">
        <f>IFERROR(ROUND(INDEX('PROJETO PERFURAÇÃO'!$AB:$AB,MATCH(MEDIÇÃO!D1071,'PROJETO PERFURAÇÃO'!$B:$B,0)),1)&amp;"''","")</f>
        <v/>
      </c>
      <c r="C1071" s="3" t="str">
        <f>IFERROR(IF(INDEX('PROJETO PERFURAÇÃO'!$P:$P,MATCH(MEDIÇÃO!D1071,'PROJETO PERFURAÇÃO'!$B:$B,0))="Production","P",IF(INDEX('PROJETO PERFURAÇÃO'!$P:$P,MATCH(MEDIÇÃO!D1071,'PROJETO PERFURAÇÃO'!$B:$B,0))="Buffer","B",IF(INDEX('PROJETO PERFURAÇÃO'!$P:$P,MATCH(MEDIÇÃO!D1071,'PROJETO PERFURAÇÃO'!$B:$B,0))="Pre-Splitting","S"))),"")</f>
        <v/>
      </c>
      <c r="D1071" s="14">
        <f t="shared" si="102"/>
        <v>2359</v>
      </c>
      <c r="E1071" s="4" t="str">
        <f>IFERROR(INDEX('LEV R&amp;D'!$D:$D,MATCH(MEDIÇÃO!D1071,'LEV R&amp;D'!$A:$A,0))-INDEX('PROJETO PERFURAÇÃO'!$AH:$AH,MATCH(MEDIÇÃO!D1071,'PROJETO PERFURAÇÃO'!$B:$B,0)),"")</f>
        <v/>
      </c>
      <c r="F1071" s="8" t="str">
        <f>IFERROR(INDEX('PROJETO PERFURAÇÃO'!$AN:$AN,MATCH(MEDIÇÃO!D1071,'PROJETO PERFURAÇÃO'!$B:$B,0)),"")</f>
        <v/>
      </c>
      <c r="G1071" s="3"/>
      <c r="H1071" s="3"/>
      <c r="I1071" s="3" t="str">
        <f>IFERROR(ROUND(INDEX('PROJETO PERFURAÇÃO'!$AB:$AB,MATCH(MEDIÇÃO!K1071,'PROJETO PERFURAÇÃO'!$B:$B,0)),1)&amp;"''","")</f>
        <v/>
      </c>
      <c r="J1071" s="3" t="str">
        <f>IFERROR(IF(INDEX('PROJETO PERFURAÇÃO'!$P:$P,MATCH(MEDIÇÃO!K1071,'PROJETO PERFURAÇÃO'!$B:$B,0))="Production","P",IF(INDEX('PROJETO PERFURAÇÃO'!$P:$P,MATCH(MEDIÇÃO!K1071,'PROJETO PERFURAÇÃO'!$B:$B,0))="Buffer","B",IF(INDEX('PROJETO PERFURAÇÃO'!$P:$P,MATCH(MEDIÇÃO!K1071,'PROJETO PERFURAÇÃO'!$B:$B,0))="Pre-Splitting","S"))),"")</f>
        <v/>
      </c>
      <c r="K1071" s="14">
        <f t="shared" si="103"/>
        <v>2382</v>
      </c>
      <c r="L1071" s="4" t="str">
        <f>IFERROR(INDEX('LEV R&amp;D'!$D:$D,MATCH(MEDIÇÃO!K1071,'LEV R&amp;D'!$A:$A,0))-INDEX('PROJETO PERFURAÇÃO'!$AH:$AH,MATCH(MEDIÇÃO!K1071,'PROJETO PERFURAÇÃO'!$B:$B,0)),"")</f>
        <v/>
      </c>
      <c r="M1071" s="8" t="str">
        <f>IFERROR(INDEX('PROJETO PERFURAÇÃO'!$AN:$AN,MATCH(MEDIÇÃO!K1071,'PROJETO PERFURAÇÃO'!$B:$B,0)),"")</f>
        <v/>
      </c>
      <c r="N1071" s="3"/>
      <c r="O1071" s="3"/>
      <c r="P1071" s="3" t="str">
        <f>IFERROR(ROUND(INDEX('PROJETO PERFURAÇÃO'!$AB:$AB,MATCH(MEDIÇÃO!R1071,'PROJETO PERFURAÇÃO'!$B:$B,0)),1)&amp;"''","")</f>
        <v/>
      </c>
      <c r="Q1071" s="3" t="str">
        <f>IFERROR(IF(INDEX('PROJETO PERFURAÇÃO'!$P:$P,MATCH(MEDIÇÃO!R1071,'PROJETO PERFURAÇÃO'!$B:$B,0))="Production","P",IF(INDEX('PROJETO PERFURAÇÃO'!$P:$P,MATCH(MEDIÇÃO!R1071,'PROJETO PERFURAÇÃO'!$B:$B,0))="Buffer","B",IF(INDEX('PROJETO PERFURAÇÃO'!$P:$P,MATCH(MEDIÇÃO!R1071,'PROJETO PERFURAÇÃO'!$B:$B,0))="Pre-Splitting","S"))),"")</f>
        <v/>
      </c>
      <c r="R1071" s="14">
        <f t="shared" si="104"/>
        <v>2405</v>
      </c>
      <c r="S1071" s="4" t="str">
        <f>IFERROR(INDEX('LEV R&amp;D'!$D:$D,MATCH(MEDIÇÃO!R1071,'LEV R&amp;D'!$A:$A,0))-INDEX('PROJETO PERFURAÇÃO'!$AH:$AH,MATCH(MEDIÇÃO!R1071,'PROJETO PERFURAÇÃO'!$B:$B,0)),"")</f>
        <v/>
      </c>
      <c r="T1071" s="8" t="str">
        <f>IFERROR(INDEX('PROJETO PERFURAÇÃO'!$AN:$AN,MATCH(MEDIÇÃO!R1071,'PROJETO PERFURAÇÃO'!$B:$B,0)),"")</f>
        <v/>
      </c>
      <c r="U1071" s="3"/>
      <c r="V1071" s="3"/>
    </row>
    <row r="1072" spans="1:23" ht="45" customHeight="1" x14ac:dyDescent="0.25">
      <c r="B1072" s="3" t="str">
        <f>IFERROR(ROUND(INDEX('PROJETO PERFURAÇÃO'!$AB:$AB,MATCH(MEDIÇÃO!D1072,'PROJETO PERFURAÇÃO'!$B:$B,0)),1)&amp;"''","")</f>
        <v/>
      </c>
      <c r="C1072" s="3" t="str">
        <f>IFERROR(IF(INDEX('PROJETO PERFURAÇÃO'!$P:$P,MATCH(MEDIÇÃO!D1072,'PROJETO PERFURAÇÃO'!$B:$B,0))="Production","P",IF(INDEX('PROJETO PERFURAÇÃO'!$P:$P,MATCH(MEDIÇÃO!D1072,'PROJETO PERFURAÇÃO'!$B:$B,0))="Buffer","B",IF(INDEX('PROJETO PERFURAÇÃO'!$P:$P,MATCH(MEDIÇÃO!D1072,'PROJETO PERFURAÇÃO'!$B:$B,0))="Pre-Splitting","S"))),"")</f>
        <v/>
      </c>
      <c r="D1072" s="14">
        <f t="shared" si="102"/>
        <v>2360</v>
      </c>
      <c r="E1072" s="4" t="str">
        <f>IFERROR(INDEX('LEV R&amp;D'!$D:$D,MATCH(MEDIÇÃO!D1072,'LEV R&amp;D'!$A:$A,0))-INDEX('PROJETO PERFURAÇÃO'!$AH:$AH,MATCH(MEDIÇÃO!D1072,'PROJETO PERFURAÇÃO'!$B:$B,0)),"")</f>
        <v/>
      </c>
      <c r="F1072" s="8" t="str">
        <f>IFERROR(INDEX('PROJETO PERFURAÇÃO'!$AN:$AN,MATCH(MEDIÇÃO!D1072,'PROJETO PERFURAÇÃO'!$B:$B,0)),"")</f>
        <v/>
      </c>
      <c r="G1072" s="3"/>
      <c r="H1072" s="3"/>
      <c r="I1072" s="3" t="str">
        <f>IFERROR(ROUND(INDEX('PROJETO PERFURAÇÃO'!$AB:$AB,MATCH(MEDIÇÃO!K1072,'PROJETO PERFURAÇÃO'!$B:$B,0)),1)&amp;"''","")</f>
        <v/>
      </c>
      <c r="J1072" s="3" t="str">
        <f>IFERROR(IF(INDEX('PROJETO PERFURAÇÃO'!$P:$P,MATCH(MEDIÇÃO!K1072,'PROJETO PERFURAÇÃO'!$B:$B,0))="Production","P",IF(INDEX('PROJETO PERFURAÇÃO'!$P:$P,MATCH(MEDIÇÃO!K1072,'PROJETO PERFURAÇÃO'!$B:$B,0))="Buffer","B",IF(INDEX('PROJETO PERFURAÇÃO'!$P:$P,MATCH(MEDIÇÃO!K1072,'PROJETO PERFURAÇÃO'!$B:$B,0))="Pre-Splitting","S"))),"")</f>
        <v/>
      </c>
      <c r="K1072" s="14">
        <f t="shared" si="103"/>
        <v>2383</v>
      </c>
      <c r="L1072" s="4" t="str">
        <f>IFERROR(INDEX('LEV R&amp;D'!$D:$D,MATCH(MEDIÇÃO!K1072,'LEV R&amp;D'!$A:$A,0))-INDEX('PROJETO PERFURAÇÃO'!$AH:$AH,MATCH(MEDIÇÃO!K1072,'PROJETO PERFURAÇÃO'!$B:$B,0)),"")</f>
        <v/>
      </c>
      <c r="M1072" s="8" t="str">
        <f>IFERROR(INDEX('PROJETO PERFURAÇÃO'!$AN:$AN,MATCH(MEDIÇÃO!K1072,'PROJETO PERFURAÇÃO'!$B:$B,0)),"")</f>
        <v/>
      </c>
      <c r="N1072" s="3"/>
      <c r="O1072" s="3"/>
      <c r="P1072" s="3" t="str">
        <f>IFERROR(ROUND(INDEX('PROJETO PERFURAÇÃO'!$AB:$AB,MATCH(MEDIÇÃO!R1072,'PROJETO PERFURAÇÃO'!$B:$B,0)),1)&amp;"''","")</f>
        <v/>
      </c>
      <c r="Q1072" s="3" t="str">
        <f>IFERROR(IF(INDEX('PROJETO PERFURAÇÃO'!$P:$P,MATCH(MEDIÇÃO!R1072,'PROJETO PERFURAÇÃO'!$B:$B,0))="Production","P",IF(INDEX('PROJETO PERFURAÇÃO'!$P:$P,MATCH(MEDIÇÃO!R1072,'PROJETO PERFURAÇÃO'!$B:$B,0))="Buffer","B",IF(INDEX('PROJETO PERFURAÇÃO'!$P:$P,MATCH(MEDIÇÃO!R1072,'PROJETO PERFURAÇÃO'!$B:$B,0))="Pre-Splitting","S"))),"")</f>
        <v/>
      </c>
      <c r="R1072" s="14">
        <f t="shared" si="104"/>
        <v>2406</v>
      </c>
      <c r="S1072" s="4" t="str">
        <f>IFERROR(INDEX('LEV R&amp;D'!$D:$D,MATCH(MEDIÇÃO!R1072,'LEV R&amp;D'!$A:$A,0))-INDEX('PROJETO PERFURAÇÃO'!$AH:$AH,MATCH(MEDIÇÃO!R1072,'PROJETO PERFURAÇÃO'!$B:$B,0)),"")</f>
        <v/>
      </c>
      <c r="T1072" s="8" t="str">
        <f>IFERROR(INDEX('PROJETO PERFURAÇÃO'!$AN:$AN,MATCH(MEDIÇÃO!R1072,'PROJETO PERFURAÇÃO'!$B:$B,0)),"")</f>
        <v/>
      </c>
      <c r="U1072" s="3"/>
      <c r="V1072" s="3"/>
    </row>
    <row r="1073" spans="2:22" ht="45" customHeight="1" x14ac:dyDescent="0.25">
      <c r="B1073" s="3" t="str">
        <f>IFERROR(ROUND(INDEX('PROJETO PERFURAÇÃO'!$AB:$AB,MATCH(MEDIÇÃO!D1073,'PROJETO PERFURAÇÃO'!$B:$B,0)),1)&amp;"''","")</f>
        <v/>
      </c>
      <c r="C1073" s="3" t="str">
        <f>IFERROR(IF(INDEX('PROJETO PERFURAÇÃO'!$P:$P,MATCH(MEDIÇÃO!D1073,'PROJETO PERFURAÇÃO'!$B:$B,0))="Production","P",IF(INDEX('PROJETO PERFURAÇÃO'!$P:$P,MATCH(MEDIÇÃO!D1073,'PROJETO PERFURAÇÃO'!$B:$B,0))="Buffer","B",IF(INDEX('PROJETO PERFURAÇÃO'!$P:$P,MATCH(MEDIÇÃO!D1073,'PROJETO PERFURAÇÃO'!$B:$B,0))="Pre-Splitting","S"))),"")</f>
        <v/>
      </c>
      <c r="D1073" s="14">
        <f t="shared" si="102"/>
        <v>2361</v>
      </c>
      <c r="E1073" s="4" t="str">
        <f>IFERROR(INDEX('LEV R&amp;D'!$D:$D,MATCH(MEDIÇÃO!D1073,'LEV R&amp;D'!$A:$A,0))-INDEX('PROJETO PERFURAÇÃO'!$AH:$AH,MATCH(MEDIÇÃO!D1073,'PROJETO PERFURAÇÃO'!$B:$B,0)),"")</f>
        <v/>
      </c>
      <c r="F1073" s="8" t="str">
        <f>IFERROR(INDEX('PROJETO PERFURAÇÃO'!$AN:$AN,MATCH(MEDIÇÃO!D1073,'PROJETO PERFURAÇÃO'!$B:$B,0)),"")</f>
        <v/>
      </c>
      <c r="G1073" s="3"/>
      <c r="H1073" s="3"/>
      <c r="I1073" s="3" t="str">
        <f>IFERROR(ROUND(INDEX('PROJETO PERFURAÇÃO'!$AB:$AB,MATCH(MEDIÇÃO!K1073,'PROJETO PERFURAÇÃO'!$B:$B,0)),1)&amp;"''","")</f>
        <v/>
      </c>
      <c r="J1073" s="3" t="str">
        <f>IFERROR(IF(INDEX('PROJETO PERFURAÇÃO'!$P:$P,MATCH(MEDIÇÃO!K1073,'PROJETO PERFURAÇÃO'!$B:$B,0))="Production","P",IF(INDEX('PROJETO PERFURAÇÃO'!$P:$P,MATCH(MEDIÇÃO!K1073,'PROJETO PERFURAÇÃO'!$B:$B,0))="Buffer","B",IF(INDEX('PROJETO PERFURAÇÃO'!$P:$P,MATCH(MEDIÇÃO!K1073,'PROJETO PERFURAÇÃO'!$B:$B,0))="Pre-Splitting","S"))),"")</f>
        <v/>
      </c>
      <c r="K1073" s="14">
        <f t="shared" si="103"/>
        <v>2384</v>
      </c>
      <c r="L1073" s="4" t="str">
        <f>IFERROR(INDEX('LEV R&amp;D'!$D:$D,MATCH(MEDIÇÃO!K1073,'LEV R&amp;D'!$A:$A,0))-INDEX('PROJETO PERFURAÇÃO'!$AH:$AH,MATCH(MEDIÇÃO!K1073,'PROJETO PERFURAÇÃO'!$B:$B,0)),"")</f>
        <v/>
      </c>
      <c r="M1073" s="8" t="str">
        <f>IFERROR(INDEX('PROJETO PERFURAÇÃO'!$AN:$AN,MATCH(MEDIÇÃO!K1073,'PROJETO PERFURAÇÃO'!$B:$B,0)),"")</f>
        <v/>
      </c>
      <c r="N1073" s="3"/>
      <c r="O1073" s="3"/>
      <c r="P1073" s="3" t="str">
        <f>IFERROR(ROUND(INDEX('PROJETO PERFURAÇÃO'!$AB:$AB,MATCH(MEDIÇÃO!R1073,'PROJETO PERFURAÇÃO'!$B:$B,0)),1)&amp;"''","")</f>
        <v/>
      </c>
      <c r="Q1073" s="3" t="str">
        <f>IFERROR(IF(INDEX('PROJETO PERFURAÇÃO'!$P:$P,MATCH(MEDIÇÃO!R1073,'PROJETO PERFURAÇÃO'!$B:$B,0))="Production","P",IF(INDEX('PROJETO PERFURAÇÃO'!$P:$P,MATCH(MEDIÇÃO!R1073,'PROJETO PERFURAÇÃO'!$B:$B,0))="Buffer","B",IF(INDEX('PROJETO PERFURAÇÃO'!$P:$P,MATCH(MEDIÇÃO!R1073,'PROJETO PERFURAÇÃO'!$B:$B,0))="Pre-Splitting","S"))),"")</f>
        <v/>
      </c>
      <c r="R1073" s="14">
        <f t="shared" si="104"/>
        <v>2407</v>
      </c>
      <c r="S1073" s="4" t="str">
        <f>IFERROR(INDEX('LEV R&amp;D'!$D:$D,MATCH(MEDIÇÃO!R1073,'LEV R&amp;D'!$A:$A,0))-INDEX('PROJETO PERFURAÇÃO'!$AH:$AH,MATCH(MEDIÇÃO!R1073,'PROJETO PERFURAÇÃO'!$B:$B,0)),"")</f>
        <v/>
      </c>
      <c r="T1073" s="8" t="str">
        <f>IFERROR(INDEX('PROJETO PERFURAÇÃO'!$AN:$AN,MATCH(MEDIÇÃO!R1073,'PROJETO PERFURAÇÃO'!$B:$B,0)),"")</f>
        <v/>
      </c>
      <c r="U1073" s="3"/>
      <c r="V1073" s="3"/>
    </row>
    <row r="1074" spans="2:22" ht="45" customHeight="1" x14ac:dyDescent="0.25">
      <c r="B1074" s="3" t="str">
        <f>IFERROR(ROUND(INDEX('PROJETO PERFURAÇÃO'!$AB:$AB,MATCH(MEDIÇÃO!D1074,'PROJETO PERFURAÇÃO'!$B:$B,0)),1)&amp;"''","")</f>
        <v/>
      </c>
      <c r="C1074" s="3" t="str">
        <f>IFERROR(IF(INDEX('PROJETO PERFURAÇÃO'!$P:$P,MATCH(MEDIÇÃO!D1074,'PROJETO PERFURAÇÃO'!$B:$B,0))="Production","P",IF(INDEX('PROJETO PERFURAÇÃO'!$P:$P,MATCH(MEDIÇÃO!D1074,'PROJETO PERFURAÇÃO'!$B:$B,0))="Buffer","B",IF(INDEX('PROJETO PERFURAÇÃO'!$P:$P,MATCH(MEDIÇÃO!D1074,'PROJETO PERFURAÇÃO'!$B:$B,0))="Pre-Splitting","S"))),"")</f>
        <v/>
      </c>
      <c r="D1074" s="14">
        <f t="shared" si="102"/>
        <v>2362</v>
      </c>
      <c r="E1074" s="4" t="str">
        <f>IFERROR(INDEX('LEV R&amp;D'!$D:$D,MATCH(MEDIÇÃO!D1074,'LEV R&amp;D'!$A:$A,0))-INDEX('PROJETO PERFURAÇÃO'!$AH:$AH,MATCH(MEDIÇÃO!D1074,'PROJETO PERFURAÇÃO'!$B:$B,0)),"")</f>
        <v/>
      </c>
      <c r="F1074" s="8" t="str">
        <f>IFERROR(INDEX('PROJETO PERFURAÇÃO'!$AN:$AN,MATCH(MEDIÇÃO!D1074,'PROJETO PERFURAÇÃO'!$B:$B,0)),"")</f>
        <v/>
      </c>
      <c r="G1074" s="3"/>
      <c r="H1074" s="3"/>
      <c r="I1074" s="3" t="str">
        <f>IFERROR(ROUND(INDEX('PROJETO PERFURAÇÃO'!$AB:$AB,MATCH(MEDIÇÃO!K1074,'PROJETO PERFURAÇÃO'!$B:$B,0)),1)&amp;"''","")</f>
        <v/>
      </c>
      <c r="J1074" s="3" t="str">
        <f>IFERROR(IF(INDEX('PROJETO PERFURAÇÃO'!$P:$P,MATCH(MEDIÇÃO!K1074,'PROJETO PERFURAÇÃO'!$B:$B,0))="Production","P",IF(INDEX('PROJETO PERFURAÇÃO'!$P:$P,MATCH(MEDIÇÃO!K1074,'PROJETO PERFURAÇÃO'!$B:$B,0))="Buffer","B",IF(INDEX('PROJETO PERFURAÇÃO'!$P:$P,MATCH(MEDIÇÃO!K1074,'PROJETO PERFURAÇÃO'!$B:$B,0))="Pre-Splitting","S"))),"")</f>
        <v/>
      </c>
      <c r="K1074" s="14">
        <f t="shared" si="103"/>
        <v>2385</v>
      </c>
      <c r="L1074" s="4" t="str">
        <f>IFERROR(INDEX('LEV R&amp;D'!$D:$D,MATCH(MEDIÇÃO!K1074,'LEV R&amp;D'!$A:$A,0))-INDEX('PROJETO PERFURAÇÃO'!$AH:$AH,MATCH(MEDIÇÃO!K1074,'PROJETO PERFURAÇÃO'!$B:$B,0)),"")</f>
        <v/>
      </c>
      <c r="M1074" s="8" t="str">
        <f>IFERROR(INDEX('PROJETO PERFURAÇÃO'!$AN:$AN,MATCH(MEDIÇÃO!K1074,'PROJETO PERFURAÇÃO'!$B:$B,0)),"")</f>
        <v/>
      </c>
      <c r="N1074" s="3"/>
      <c r="O1074" s="3"/>
      <c r="P1074" s="3" t="str">
        <f>IFERROR(ROUND(INDEX('PROJETO PERFURAÇÃO'!$AB:$AB,MATCH(MEDIÇÃO!R1074,'PROJETO PERFURAÇÃO'!$B:$B,0)),1)&amp;"''","")</f>
        <v/>
      </c>
      <c r="Q1074" s="3" t="str">
        <f>IFERROR(IF(INDEX('PROJETO PERFURAÇÃO'!$P:$P,MATCH(MEDIÇÃO!R1074,'PROJETO PERFURAÇÃO'!$B:$B,0))="Production","P",IF(INDEX('PROJETO PERFURAÇÃO'!$P:$P,MATCH(MEDIÇÃO!R1074,'PROJETO PERFURAÇÃO'!$B:$B,0))="Buffer","B",IF(INDEX('PROJETO PERFURAÇÃO'!$P:$P,MATCH(MEDIÇÃO!R1074,'PROJETO PERFURAÇÃO'!$B:$B,0))="Pre-Splitting","S"))),"")</f>
        <v/>
      </c>
      <c r="R1074" s="14">
        <f t="shared" si="104"/>
        <v>2408</v>
      </c>
      <c r="S1074" s="4" t="str">
        <f>IFERROR(INDEX('LEV R&amp;D'!$D:$D,MATCH(MEDIÇÃO!R1074,'LEV R&amp;D'!$A:$A,0))-INDEX('PROJETO PERFURAÇÃO'!$AH:$AH,MATCH(MEDIÇÃO!R1074,'PROJETO PERFURAÇÃO'!$B:$B,0)),"")</f>
        <v/>
      </c>
      <c r="T1074" s="8" t="str">
        <f>IFERROR(INDEX('PROJETO PERFURAÇÃO'!$AN:$AN,MATCH(MEDIÇÃO!R1074,'PROJETO PERFURAÇÃO'!$B:$B,0)),"")</f>
        <v/>
      </c>
      <c r="U1074" s="3"/>
      <c r="V1074" s="3"/>
    </row>
    <row r="1075" spans="2:22" ht="45" customHeight="1" x14ac:dyDescent="0.25">
      <c r="B1075" s="3" t="str">
        <f>IFERROR(ROUND(INDEX('PROJETO PERFURAÇÃO'!$AB:$AB,MATCH(MEDIÇÃO!D1075,'PROJETO PERFURAÇÃO'!$B:$B,0)),1)&amp;"''","")</f>
        <v/>
      </c>
      <c r="C1075" s="3" t="str">
        <f>IFERROR(IF(INDEX('PROJETO PERFURAÇÃO'!$P:$P,MATCH(MEDIÇÃO!D1075,'PROJETO PERFURAÇÃO'!$B:$B,0))="Production","P",IF(INDEX('PROJETO PERFURAÇÃO'!$P:$P,MATCH(MEDIÇÃO!D1075,'PROJETO PERFURAÇÃO'!$B:$B,0))="Buffer","B",IF(INDEX('PROJETO PERFURAÇÃO'!$P:$P,MATCH(MEDIÇÃO!D1075,'PROJETO PERFURAÇÃO'!$B:$B,0))="Pre-Splitting","S"))),"")</f>
        <v/>
      </c>
      <c r="D1075" s="14">
        <f t="shared" si="102"/>
        <v>2363</v>
      </c>
      <c r="E1075" s="4" t="str">
        <f>IFERROR(INDEX('LEV R&amp;D'!$D:$D,MATCH(MEDIÇÃO!D1075,'LEV R&amp;D'!$A:$A,0))-INDEX('PROJETO PERFURAÇÃO'!$AH:$AH,MATCH(MEDIÇÃO!D1075,'PROJETO PERFURAÇÃO'!$B:$B,0)),"")</f>
        <v/>
      </c>
      <c r="F1075" s="8" t="str">
        <f>IFERROR(INDEX('PROJETO PERFURAÇÃO'!$AN:$AN,MATCH(MEDIÇÃO!D1075,'PROJETO PERFURAÇÃO'!$B:$B,0)),"")</f>
        <v/>
      </c>
      <c r="G1075" s="3"/>
      <c r="H1075" s="3"/>
      <c r="I1075" s="3" t="str">
        <f>IFERROR(ROUND(INDEX('PROJETO PERFURAÇÃO'!$AB:$AB,MATCH(MEDIÇÃO!K1075,'PROJETO PERFURAÇÃO'!$B:$B,0)),1)&amp;"''","")</f>
        <v/>
      </c>
      <c r="J1075" s="3" t="str">
        <f>IFERROR(IF(INDEX('PROJETO PERFURAÇÃO'!$P:$P,MATCH(MEDIÇÃO!K1075,'PROJETO PERFURAÇÃO'!$B:$B,0))="Production","P",IF(INDEX('PROJETO PERFURAÇÃO'!$P:$P,MATCH(MEDIÇÃO!K1075,'PROJETO PERFURAÇÃO'!$B:$B,0))="Buffer","B",IF(INDEX('PROJETO PERFURAÇÃO'!$P:$P,MATCH(MEDIÇÃO!K1075,'PROJETO PERFURAÇÃO'!$B:$B,0))="Pre-Splitting","S"))),"")</f>
        <v/>
      </c>
      <c r="K1075" s="14">
        <f t="shared" si="103"/>
        <v>2386</v>
      </c>
      <c r="L1075" s="4" t="str">
        <f>IFERROR(INDEX('LEV R&amp;D'!$D:$D,MATCH(MEDIÇÃO!K1075,'LEV R&amp;D'!$A:$A,0))-INDEX('PROJETO PERFURAÇÃO'!$AH:$AH,MATCH(MEDIÇÃO!K1075,'PROJETO PERFURAÇÃO'!$B:$B,0)),"")</f>
        <v/>
      </c>
      <c r="M1075" s="8" t="str">
        <f>IFERROR(INDEX('PROJETO PERFURAÇÃO'!$AN:$AN,MATCH(MEDIÇÃO!K1075,'PROJETO PERFURAÇÃO'!$B:$B,0)),"")</f>
        <v/>
      </c>
      <c r="N1075" s="3"/>
      <c r="O1075" s="3"/>
      <c r="P1075" s="3" t="str">
        <f>IFERROR(ROUND(INDEX('PROJETO PERFURAÇÃO'!$AB:$AB,MATCH(MEDIÇÃO!R1075,'PROJETO PERFURAÇÃO'!$B:$B,0)),1)&amp;"''","")</f>
        <v/>
      </c>
      <c r="Q1075" s="3" t="str">
        <f>IFERROR(IF(INDEX('PROJETO PERFURAÇÃO'!$P:$P,MATCH(MEDIÇÃO!R1075,'PROJETO PERFURAÇÃO'!$B:$B,0))="Production","P",IF(INDEX('PROJETO PERFURAÇÃO'!$P:$P,MATCH(MEDIÇÃO!R1075,'PROJETO PERFURAÇÃO'!$B:$B,0))="Buffer","B",IF(INDEX('PROJETO PERFURAÇÃO'!$P:$P,MATCH(MEDIÇÃO!R1075,'PROJETO PERFURAÇÃO'!$B:$B,0))="Pre-Splitting","S"))),"")</f>
        <v/>
      </c>
      <c r="R1075" s="14">
        <f t="shared" si="104"/>
        <v>2409</v>
      </c>
      <c r="S1075" s="4" t="str">
        <f>IFERROR(INDEX('LEV R&amp;D'!$D:$D,MATCH(MEDIÇÃO!R1075,'LEV R&amp;D'!$A:$A,0))-INDEX('PROJETO PERFURAÇÃO'!$AH:$AH,MATCH(MEDIÇÃO!R1075,'PROJETO PERFURAÇÃO'!$B:$B,0)),"")</f>
        <v/>
      </c>
      <c r="T1075" s="8" t="str">
        <f>IFERROR(INDEX('PROJETO PERFURAÇÃO'!$AN:$AN,MATCH(MEDIÇÃO!R1075,'PROJETO PERFURAÇÃO'!$B:$B,0)),"")</f>
        <v/>
      </c>
      <c r="U1075" s="3"/>
      <c r="V1075" s="3"/>
    </row>
    <row r="1076" spans="2:22" ht="45" customHeight="1" x14ac:dyDescent="0.25">
      <c r="B1076" s="3" t="str">
        <f>IFERROR(ROUND(INDEX('PROJETO PERFURAÇÃO'!$AB:$AB,MATCH(MEDIÇÃO!D1076,'PROJETO PERFURAÇÃO'!$B:$B,0)),1)&amp;"''","")</f>
        <v/>
      </c>
      <c r="C1076" s="3" t="str">
        <f>IFERROR(IF(INDEX('PROJETO PERFURAÇÃO'!$P:$P,MATCH(MEDIÇÃO!D1076,'PROJETO PERFURAÇÃO'!$B:$B,0))="Production","P",IF(INDEX('PROJETO PERFURAÇÃO'!$P:$P,MATCH(MEDIÇÃO!D1076,'PROJETO PERFURAÇÃO'!$B:$B,0))="Buffer","B",IF(INDEX('PROJETO PERFURAÇÃO'!$P:$P,MATCH(MEDIÇÃO!D1076,'PROJETO PERFURAÇÃO'!$B:$B,0))="Pre-Splitting","S"))),"")</f>
        <v/>
      </c>
      <c r="D1076" s="14">
        <f t="shared" si="102"/>
        <v>2364</v>
      </c>
      <c r="E1076" s="4" t="str">
        <f>IFERROR(INDEX('LEV R&amp;D'!$D:$D,MATCH(MEDIÇÃO!D1076,'LEV R&amp;D'!$A:$A,0))-INDEX('PROJETO PERFURAÇÃO'!$AH:$AH,MATCH(MEDIÇÃO!D1076,'PROJETO PERFURAÇÃO'!$B:$B,0)),"")</f>
        <v/>
      </c>
      <c r="F1076" s="8" t="str">
        <f>IFERROR(INDEX('PROJETO PERFURAÇÃO'!$AN:$AN,MATCH(MEDIÇÃO!D1076,'PROJETO PERFURAÇÃO'!$B:$B,0)),"")</f>
        <v/>
      </c>
      <c r="G1076" s="3"/>
      <c r="H1076" s="3"/>
      <c r="I1076" s="3" t="str">
        <f>IFERROR(ROUND(INDEX('PROJETO PERFURAÇÃO'!$AB:$AB,MATCH(MEDIÇÃO!K1076,'PROJETO PERFURAÇÃO'!$B:$B,0)),1)&amp;"''","")</f>
        <v/>
      </c>
      <c r="J1076" s="3" t="str">
        <f>IFERROR(IF(INDEX('PROJETO PERFURAÇÃO'!$P:$P,MATCH(MEDIÇÃO!K1076,'PROJETO PERFURAÇÃO'!$B:$B,0))="Production","P",IF(INDEX('PROJETO PERFURAÇÃO'!$P:$P,MATCH(MEDIÇÃO!K1076,'PROJETO PERFURAÇÃO'!$B:$B,0))="Buffer","B",IF(INDEX('PROJETO PERFURAÇÃO'!$P:$P,MATCH(MEDIÇÃO!K1076,'PROJETO PERFURAÇÃO'!$B:$B,0))="Pre-Splitting","S"))),"")</f>
        <v/>
      </c>
      <c r="K1076" s="14">
        <f t="shared" si="103"/>
        <v>2387</v>
      </c>
      <c r="L1076" s="4" t="str">
        <f>IFERROR(INDEX('LEV R&amp;D'!$D:$D,MATCH(MEDIÇÃO!K1076,'LEV R&amp;D'!$A:$A,0))-INDEX('PROJETO PERFURAÇÃO'!$AH:$AH,MATCH(MEDIÇÃO!K1076,'PROJETO PERFURAÇÃO'!$B:$B,0)),"")</f>
        <v/>
      </c>
      <c r="M1076" s="8" t="str">
        <f>IFERROR(INDEX('PROJETO PERFURAÇÃO'!$AN:$AN,MATCH(MEDIÇÃO!K1076,'PROJETO PERFURAÇÃO'!$B:$B,0)),"")</f>
        <v/>
      </c>
      <c r="N1076" s="3"/>
      <c r="O1076" s="3"/>
      <c r="P1076" s="3" t="str">
        <f>IFERROR(ROUND(INDEX('PROJETO PERFURAÇÃO'!$AB:$AB,MATCH(MEDIÇÃO!R1076,'PROJETO PERFURAÇÃO'!$B:$B,0)),1)&amp;"''","")</f>
        <v/>
      </c>
      <c r="Q1076" s="3" t="str">
        <f>IFERROR(IF(INDEX('PROJETO PERFURAÇÃO'!$P:$P,MATCH(MEDIÇÃO!R1076,'PROJETO PERFURAÇÃO'!$B:$B,0))="Production","P",IF(INDEX('PROJETO PERFURAÇÃO'!$P:$P,MATCH(MEDIÇÃO!R1076,'PROJETO PERFURAÇÃO'!$B:$B,0))="Buffer","B",IF(INDEX('PROJETO PERFURAÇÃO'!$P:$P,MATCH(MEDIÇÃO!R1076,'PROJETO PERFURAÇÃO'!$B:$B,0))="Pre-Splitting","S"))),"")</f>
        <v/>
      </c>
      <c r="R1076" s="14">
        <f t="shared" si="104"/>
        <v>2410</v>
      </c>
      <c r="S1076" s="4" t="str">
        <f>IFERROR(INDEX('LEV R&amp;D'!$D:$D,MATCH(MEDIÇÃO!R1076,'LEV R&amp;D'!$A:$A,0))-INDEX('PROJETO PERFURAÇÃO'!$AH:$AH,MATCH(MEDIÇÃO!R1076,'PROJETO PERFURAÇÃO'!$B:$B,0)),"")</f>
        <v/>
      </c>
      <c r="T1076" s="8" t="str">
        <f>IFERROR(INDEX('PROJETO PERFURAÇÃO'!$AN:$AN,MATCH(MEDIÇÃO!R1076,'PROJETO PERFURAÇÃO'!$B:$B,0)),"")</f>
        <v/>
      </c>
      <c r="U1076" s="3"/>
      <c r="V1076" s="3"/>
    </row>
    <row r="1077" spans="2:22" ht="45" customHeight="1" x14ac:dyDescent="0.25">
      <c r="B1077" s="3" t="str">
        <f>IFERROR(ROUND(INDEX('PROJETO PERFURAÇÃO'!$AB:$AB,MATCH(MEDIÇÃO!D1077,'PROJETO PERFURAÇÃO'!$B:$B,0)),1)&amp;"''","")</f>
        <v/>
      </c>
      <c r="C1077" s="3" t="str">
        <f>IFERROR(IF(INDEX('PROJETO PERFURAÇÃO'!$P:$P,MATCH(MEDIÇÃO!D1077,'PROJETO PERFURAÇÃO'!$B:$B,0))="Production","P",IF(INDEX('PROJETO PERFURAÇÃO'!$P:$P,MATCH(MEDIÇÃO!D1077,'PROJETO PERFURAÇÃO'!$B:$B,0))="Buffer","B",IF(INDEX('PROJETO PERFURAÇÃO'!$P:$P,MATCH(MEDIÇÃO!D1077,'PROJETO PERFURAÇÃO'!$B:$B,0))="Pre-Splitting","S"))),"")</f>
        <v/>
      </c>
      <c r="D1077" s="14">
        <f t="shared" si="102"/>
        <v>2365</v>
      </c>
      <c r="E1077" s="4" t="str">
        <f>IFERROR(INDEX('LEV R&amp;D'!$D:$D,MATCH(MEDIÇÃO!D1077,'LEV R&amp;D'!$A:$A,0))-INDEX('PROJETO PERFURAÇÃO'!$AH:$AH,MATCH(MEDIÇÃO!D1077,'PROJETO PERFURAÇÃO'!$B:$B,0)),"")</f>
        <v/>
      </c>
      <c r="F1077" s="8" t="str">
        <f>IFERROR(INDEX('PROJETO PERFURAÇÃO'!$AN:$AN,MATCH(MEDIÇÃO!D1077,'PROJETO PERFURAÇÃO'!$B:$B,0)),"")</f>
        <v/>
      </c>
      <c r="G1077" s="3"/>
      <c r="H1077" s="3"/>
      <c r="I1077" s="3" t="str">
        <f>IFERROR(ROUND(INDEX('PROJETO PERFURAÇÃO'!$AB:$AB,MATCH(MEDIÇÃO!K1077,'PROJETO PERFURAÇÃO'!$B:$B,0)),1)&amp;"''","")</f>
        <v/>
      </c>
      <c r="J1077" s="3" t="str">
        <f>IFERROR(IF(INDEX('PROJETO PERFURAÇÃO'!$P:$P,MATCH(MEDIÇÃO!K1077,'PROJETO PERFURAÇÃO'!$B:$B,0))="Production","P",IF(INDEX('PROJETO PERFURAÇÃO'!$P:$P,MATCH(MEDIÇÃO!K1077,'PROJETO PERFURAÇÃO'!$B:$B,0))="Buffer","B",IF(INDEX('PROJETO PERFURAÇÃO'!$P:$P,MATCH(MEDIÇÃO!K1077,'PROJETO PERFURAÇÃO'!$B:$B,0))="Pre-Splitting","S"))),"")</f>
        <v/>
      </c>
      <c r="K1077" s="14">
        <f t="shared" si="103"/>
        <v>2388</v>
      </c>
      <c r="L1077" s="4" t="str">
        <f>IFERROR(INDEX('LEV R&amp;D'!$D:$D,MATCH(MEDIÇÃO!K1077,'LEV R&amp;D'!$A:$A,0))-INDEX('PROJETO PERFURAÇÃO'!$AH:$AH,MATCH(MEDIÇÃO!K1077,'PROJETO PERFURAÇÃO'!$B:$B,0)),"")</f>
        <v/>
      </c>
      <c r="M1077" s="8" t="str">
        <f>IFERROR(INDEX('PROJETO PERFURAÇÃO'!$AN:$AN,MATCH(MEDIÇÃO!K1077,'PROJETO PERFURAÇÃO'!$B:$B,0)),"")</f>
        <v/>
      </c>
      <c r="N1077" s="3"/>
      <c r="O1077" s="3"/>
      <c r="P1077" s="3" t="str">
        <f>IFERROR(ROUND(INDEX('PROJETO PERFURAÇÃO'!$AB:$AB,MATCH(MEDIÇÃO!R1077,'PROJETO PERFURAÇÃO'!$B:$B,0)),1)&amp;"''","")</f>
        <v/>
      </c>
      <c r="Q1077" s="3" t="str">
        <f>IFERROR(IF(INDEX('PROJETO PERFURAÇÃO'!$P:$P,MATCH(MEDIÇÃO!R1077,'PROJETO PERFURAÇÃO'!$B:$B,0))="Production","P",IF(INDEX('PROJETO PERFURAÇÃO'!$P:$P,MATCH(MEDIÇÃO!R1077,'PROJETO PERFURAÇÃO'!$B:$B,0))="Buffer","B",IF(INDEX('PROJETO PERFURAÇÃO'!$P:$P,MATCH(MEDIÇÃO!R1077,'PROJETO PERFURAÇÃO'!$B:$B,0))="Pre-Splitting","S"))),"")</f>
        <v/>
      </c>
      <c r="R1077" s="14">
        <f t="shared" si="104"/>
        <v>2411</v>
      </c>
      <c r="S1077" s="4" t="str">
        <f>IFERROR(INDEX('LEV R&amp;D'!$D:$D,MATCH(MEDIÇÃO!R1077,'LEV R&amp;D'!$A:$A,0))-INDEX('PROJETO PERFURAÇÃO'!$AH:$AH,MATCH(MEDIÇÃO!R1077,'PROJETO PERFURAÇÃO'!$B:$B,0)),"")</f>
        <v/>
      </c>
      <c r="T1077" s="8" t="str">
        <f>IFERROR(INDEX('PROJETO PERFURAÇÃO'!$AN:$AN,MATCH(MEDIÇÃO!R1077,'PROJETO PERFURAÇÃO'!$B:$B,0)),"")</f>
        <v/>
      </c>
      <c r="U1077" s="3"/>
      <c r="V1077" s="3"/>
    </row>
    <row r="1078" spans="2:22" ht="45" customHeight="1" x14ac:dyDescent="0.25">
      <c r="B1078" s="3" t="str">
        <f>IFERROR(ROUND(INDEX('PROJETO PERFURAÇÃO'!$AB:$AB,MATCH(MEDIÇÃO!D1078,'PROJETO PERFURAÇÃO'!$B:$B,0)),1)&amp;"''","")</f>
        <v/>
      </c>
      <c r="C1078" s="3" t="str">
        <f>IFERROR(IF(INDEX('PROJETO PERFURAÇÃO'!$P:$P,MATCH(MEDIÇÃO!D1078,'PROJETO PERFURAÇÃO'!$B:$B,0))="Production","P",IF(INDEX('PROJETO PERFURAÇÃO'!$P:$P,MATCH(MEDIÇÃO!D1078,'PROJETO PERFURAÇÃO'!$B:$B,0))="Buffer","B",IF(INDEX('PROJETO PERFURAÇÃO'!$P:$P,MATCH(MEDIÇÃO!D1078,'PROJETO PERFURAÇÃO'!$B:$B,0))="Pre-Splitting","S"))),"")</f>
        <v/>
      </c>
      <c r="D1078" s="14">
        <f t="shared" si="102"/>
        <v>2366</v>
      </c>
      <c r="E1078" s="4" t="str">
        <f>IFERROR(INDEX('LEV R&amp;D'!$D:$D,MATCH(MEDIÇÃO!D1078,'LEV R&amp;D'!$A:$A,0))-INDEX('PROJETO PERFURAÇÃO'!$AH:$AH,MATCH(MEDIÇÃO!D1078,'PROJETO PERFURAÇÃO'!$B:$B,0)),"")</f>
        <v/>
      </c>
      <c r="F1078" s="8" t="str">
        <f>IFERROR(INDEX('PROJETO PERFURAÇÃO'!$AN:$AN,MATCH(MEDIÇÃO!D1078,'PROJETO PERFURAÇÃO'!$B:$B,0)),"")</f>
        <v/>
      </c>
      <c r="G1078" s="3"/>
      <c r="H1078" s="3"/>
      <c r="I1078" s="3" t="str">
        <f>IFERROR(ROUND(INDEX('PROJETO PERFURAÇÃO'!$AB:$AB,MATCH(MEDIÇÃO!K1078,'PROJETO PERFURAÇÃO'!$B:$B,0)),1)&amp;"''","")</f>
        <v/>
      </c>
      <c r="J1078" s="3" t="str">
        <f>IFERROR(IF(INDEX('PROJETO PERFURAÇÃO'!$P:$P,MATCH(MEDIÇÃO!K1078,'PROJETO PERFURAÇÃO'!$B:$B,0))="Production","P",IF(INDEX('PROJETO PERFURAÇÃO'!$P:$P,MATCH(MEDIÇÃO!K1078,'PROJETO PERFURAÇÃO'!$B:$B,0))="Buffer","B",IF(INDEX('PROJETO PERFURAÇÃO'!$P:$P,MATCH(MEDIÇÃO!K1078,'PROJETO PERFURAÇÃO'!$B:$B,0))="Pre-Splitting","S"))),"")</f>
        <v/>
      </c>
      <c r="K1078" s="14">
        <f t="shared" si="103"/>
        <v>2389</v>
      </c>
      <c r="L1078" s="4" t="str">
        <f>IFERROR(INDEX('LEV R&amp;D'!$D:$D,MATCH(MEDIÇÃO!K1078,'LEV R&amp;D'!$A:$A,0))-INDEX('PROJETO PERFURAÇÃO'!$AH:$AH,MATCH(MEDIÇÃO!K1078,'PROJETO PERFURAÇÃO'!$B:$B,0)),"")</f>
        <v/>
      </c>
      <c r="M1078" s="8" t="str">
        <f>IFERROR(INDEX('PROJETO PERFURAÇÃO'!$AN:$AN,MATCH(MEDIÇÃO!K1078,'PROJETO PERFURAÇÃO'!$B:$B,0)),"")</f>
        <v/>
      </c>
      <c r="N1078" s="3"/>
      <c r="O1078" s="3"/>
      <c r="P1078" s="3" t="str">
        <f>IFERROR(ROUND(INDEX('PROJETO PERFURAÇÃO'!$AB:$AB,MATCH(MEDIÇÃO!R1078,'PROJETO PERFURAÇÃO'!$B:$B,0)),1)&amp;"''","")</f>
        <v/>
      </c>
      <c r="Q1078" s="3" t="str">
        <f>IFERROR(IF(INDEX('PROJETO PERFURAÇÃO'!$P:$P,MATCH(MEDIÇÃO!R1078,'PROJETO PERFURAÇÃO'!$B:$B,0))="Production","P",IF(INDEX('PROJETO PERFURAÇÃO'!$P:$P,MATCH(MEDIÇÃO!R1078,'PROJETO PERFURAÇÃO'!$B:$B,0))="Buffer","B",IF(INDEX('PROJETO PERFURAÇÃO'!$P:$P,MATCH(MEDIÇÃO!R1078,'PROJETO PERFURAÇÃO'!$B:$B,0))="Pre-Splitting","S"))),"")</f>
        <v/>
      </c>
      <c r="R1078" s="14">
        <f t="shared" si="104"/>
        <v>2412</v>
      </c>
      <c r="S1078" s="4" t="str">
        <f>IFERROR(INDEX('LEV R&amp;D'!$D:$D,MATCH(MEDIÇÃO!R1078,'LEV R&amp;D'!$A:$A,0))-INDEX('PROJETO PERFURAÇÃO'!$AH:$AH,MATCH(MEDIÇÃO!R1078,'PROJETO PERFURAÇÃO'!$B:$B,0)),"")</f>
        <v/>
      </c>
      <c r="T1078" s="8" t="str">
        <f>IFERROR(INDEX('PROJETO PERFURAÇÃO'!$AN:$AN,MATCH(MEDIÇÃO!R1078,'PROJETO PERFURAÇÃO'!$B:$B,0)),"")</f>
        <v/>
      </c>
      <c r="U1078" s="3"/>
      <c r="V1078" s="3"/>
    </row>
    <row r="1079" spans="2:22" ht="45" customHeight="1" x14ac:dyDescent="0.25">
      <c r="B1079" s="3" t="str">
        <f>IFERROR(ROUND(INDEX('PROJETO PERFURAÇÃO'!$AB:$AB,MATCH(MEDIÇÃO!D1079,'PROJETO PERFURAÇÃO'!$B:$B,0)),1)&amp;"''","")</f>
        <v/>
      </c>
      <c r="C1079" s="3" t="str">
        <f>IFERROR(IF(INDEX('PROJETO PERFURAÇÃO'!$P:$P,MATCH(MEDIÇÃO!D1079,'PROJETO PERFURAÇÃO'!$B:$B,0))="Production","P",IF(INDEX('PROJETO PERFURAÇÃO'!$P:$P,MATCH(MEDIÇÃO!D1079,'PROJETO PERFURAÇÃO'!$B:$B,0))="Buffer","B",IF(INDEX('PROJETO PERFURAÇÃO'!$P:$P,MATCH(MEDIÇÃO!D1079,'PROJETO PERFURAÇÃO'!$B:$B,0))="Pre-Splitting","S"))),"")</f>
        <v/>
      </c>
      <c r="D1079" s="14">
        <f t="shared" si="102"/>
        <v>2367</v>
      </c>
      <c r="E1079" s="4" t="str">
        <f>IFERROR(INDEX('LEV R&amp;D'!$D:$D,MATCH(MEDIÇÃO!D1079,'LEV R&amp;D'!$A:$A,0))-INDEX('PROJETO PERFURAÇÃO'!$AH:$AH,MATCH(MEDIÇÃO!D1079,'PROJETO PERFURAÇÃO'!$B:$B,0)),"")</f>
        <v/>
      </c>
      <c r="F1079" s="8" t="str">
        <f>IFERROR(INDEX('PROJETO PERFURAÇÃO'!$AN:$AN,MATCH(MEDIÇÃO!D1079,'PROJETO PERFURAÇÃO'!$B:$B,0)),"")</f>
        <v/>
      </c>
      <c r="G1079" s="3"/>
      <c r="H1079" s="3"/>
      <c r="I1079" s="3" t="str">
        <f>IFERROR(ROUND(INDEX('PROJETO PERFURAÇÃO'!$AB:$AB,MATCH(MEDIÇÃO!K1079,'PROJETO PERFURAÇÃO'!$B:$B,0)),1)&amp;"''","")</f>
        <v/>
      </c>
      <c r="J1079" s="3" t="str">
        <f>IFERROR(IF(INDEX('PROJETO PERFURAÇÃO'!$P:$P,MATCH(MEDIÇÃO!K1079,'PROJETO PERFURAÇÃO'!$B:$B,0))="Production","P",IF(INDEX('PROJETO PERFURAÇÃO'!$P:$P,MATCH(MEDIÇÃO!K1079,'PROJETO PERFURAÇÃO'!$B:$B,0))="Buffer","B",IF(INDEX('PROJETO PERFURAÇÃO'!$P:$P,MATCH(MEDIÇÃO!K1079,'PROJETO PERFURAÇÃO'!$B:$B,0))="Pre-Splitting","S"))),"")</f>
        <v/>
      </c>
      <c r="K1079" s="14">
        <f t="shared" si="103"/>
        <v>2390</v>
      </c>
      <c r="L1079" s="4" t="str">
        <f>IFERROR(INDEX('LEV R&amp;D'!$D:$D,MATCH(MEDIÇÃO!K1079,'LEV R&amp;D'!$A:$A,0))-INDEX('PROJETO PERFURAÇÃO'!$AH:$AH,MATCH(MEDIÇÃO!K1079,'PROJETO PERFURAÇÃO'!$B:$B,0)),"")</f>
        <v/>
      </c>
      <c r="M1079" s="8" t="str">
        <f>IFERROR(INDEX('PROJETO PERFURAÇÃO'!$AN:$AN,MATCH(MEDIÇÃO!K1079,'PROJETO PERFURAÇÃO'!$B:$B,0)),"")</f>
        <v/>
      </c>
      <c r="N1079" s="3"/>
      <c r="O1079" s="3"/>
      <c r="P1079" s="3" t="str">
        <f>IFERROR(ROUND(INDEX('PROJETO PERFURAÇÃO'!$AB:$AB,MATCH(MEDIÇÃO!R1079,'PROJETO PERFURAÇÃO'!$B:$B,0)),1)&amp;"''","")</f>
        <v/>
      </c>
      <c r="Q1079" s="3" t="str">
        <f>IFERROR(IF(INDEX('PROJETO PERFURAÇÃO'!$P:$P,MATCH(MEDIÇÃO!R1079,'PROJETO PERFURAÇÃO'!$B:$B,0))="Production","P",IF(INDEX('PROJETO PERFURAÇÃO'!$P:$P,MATCH(MEDIÇÃO!R1079,'PROJETO PERFURAÇÃO'!$B:$B,0))="Buffer","B",IF(INDEX('PROJETO PERFURAÇÃO'!$P:$P,MATCH(MEDIÇÃO!R1079,'PROJETO PERFURAÇÃO'!$B:$B,0))="Pre-Splitting","S"))),"")</f>
        <v/>
      </c>
      <c r="R1079" s="14">
        <f t="shared" si="104"/>
        <v>2413</v>
      </c>
      <c r="S1079" s="4" t="str">
        <f>IFERROR(INDEX('LEV R&amp;D'!$D:$D,MATCH(MEDIÇÃO!R1079,'LEV R&amp;D'!$A:$A,0))-INDEX('PROJETO PERFURAÇÃO'!$AH:$AH,MATCH(MEDIÇÃO!R1079,'PROJETO PERFURAÇÃO'!$B:$B,0)),"")</f>
        <v/>
      </c>
      <c r="T1079" s="8" t="str">
        <f>IFERROR(INDEX('PROJETO PERFURAÇÃO'!$AN:$AN,MATCH(MEDIÇÃO!R1079,'PROJETO PERFURAÇÃO'!$B:$B,0)),"")</f>
        <v/>
      </c>
      <c r="U1079" s="3"/>
      <c r="V1079" s="3"/>
    </row>
    <row r="1080" spans="2:22" ht="45" customHeight="1" x14ac:dyDescent="0.25">
      <c r="B1080" s="3" t="str">
        <f>IFERROR(ROUND(INDEX('PROJETO PERFURAÇÃO'!$AB:$AB,MATCH(MEDIÇÃO!D1080,'PROJETO PERFURAÇÃO'!$B:$B,0)),1)&amp;"''","")</f>
        <v/>
      </c>
      <c r="C1080" s="3" t="str">
        <f>IFERROR(IF(INDEX('PROJETO PERFURAÇÃO'!$P:$P,MATCH(MEDIÇÃO!D1080,'PROJETO PERFURAÇÃO'!$B:$B,0))="Production","P",IF(INDEX('PROJETO PERFURAÇÃO'!$P:$P,MATCH(MEDIÇÃO!D1080,'PROJETO PERFURAÇÃO'!$B:$B,0))="Buffer","B",IF(INDEX('PROJETO PERFURAÇÃO'!$P:$P,MATCH(MEDIÇÃO!D1080,'PROJETO PERFURAÇÃO'!$B:$B,0))="Pre-Splitting","S"))),"")</f>
        <v/>
      </c>
      <c r="D1080" s="14">
        <f t="shared" si="102"/>
        <v>2368</v>
      </c>
      <c r="E1080" s="4" t="str">
        <f>IFERROR(INDEX('LEV R&amp;D'!$D:$D,MATCH(MEDIÇÃO!D1080,'LEV R&amp;D'!$A:$A,0))-INDEX('PROJETO PERFURAÇÃO'!$AH:$AH,MATCH(MEDIÇÃO!D1080,'PROJETO PERFURAÇÃO'!$B:$B,0)),"")</f>
        <v/>
      </c>
      <c r="F1080" s="8" t="str">
        <f>IFERROR(INDEX('PROJETO PERFURAÇÃO'!$AN:$AN,MATCH(MEDIÇÃO!D1080,'PROJETO PERFURAÇÃO'!$B:$B,0)),"")</f>
        <v/>
      </c>
      <c r="G1080" s="3"/>
      <c r="H1080" s="3"/>
      <c r="I1080" s="3" t="str">
        <f>IFERROR(ROUND(INDEX('PROJETO PERFURAÇÃO'!$AB:$AB,MATCH(MEDIÇÃO!K1080,'PROJETO PERFURAÇÃO'!$B:$B,0)),1)&amp;"''","")</f>
        <v/>
      </c>
      <c r="J1080" s="3" t="str">
        <f>IFERROR(IF(INDEX('PROJETO PERFURAÇÃO'!$P:$P,MATCH(MEDIÇÃO!K1080,'PROJETO PERFURAÇÃO'!$B:$B,0))="Production","P",IF(INDEX('PROJETO PERFURAÇÃO'!$P:$P,MATCH(MEDIÇÃO!K1080,'PROJETO PERFURAÇÃO'!$B:$B,0))="Buffer","B",IF(INDEX('PROJETO PERFURAÇÃO'!$P:$P,MATCH(MEDIÇÃO!K1080,'PROJETO PERFURAÇÃO'!$B:$B,0))="Pre-Splitting","S"))),"")</f>
        <v/>
      </c>
      <c r="K1080" s="14">
        <f t="shared" si="103"/>
        <v>2391</v>
      </c>
      <c r="L1080" s="4" t="str">
        <f>IFERROR(INDEX('LEV R&amp;D'!$D:$D,MATCH(MEDIÇÃO!K1080,'LEV R&amp;D'!$A:$A,0))-INDEX('PROJETO PERFURAÇÃO'!$AH:$AH,MATCH(MEDIÇÃO!K1080,'PROJETO PERFURAÇÃO'!$B:$B,0)),"")</f>
        <v/>
      </c>
      <c r="M1080" s="8" t="str">
        <f>IFERROR(INDEX('PROJETO PERFURAÇÃO'!$AN:$AN,MATCH(MEDIÇÃO!K1080,'PROJETO PERFURAÇÃO'!$B:$B,0)),"")</f>
        <v/>
      </c>
      <c r="N1080" s="3"/>
      <c r="O1080" s="3"/>
      <c r="P1080" s="3" t="str">
        <f>IFERROR(ROUND(INDEX('PROJETO PERFURAÇÃO'!$AB:$AB,MATCH(MEDIÇÃO!R1080,'PROJETO PERFURAÇÃO'!$B:$B,0)),1)&amp;"''","")</f>
        <v/>
      </c>
      <c r="Q1080" s="3" t="str">
        <f>IFERROR(IF(INDEX('PROJETO PERFURAÇÃO'!$P:$P,MATCH(MEDIÇÃO!R1080,'PROJETO PERFURAÇÃO'!$B:$B,0))="Production","P",IF(INDEX('PROJETO PERFURAÇÃO'!$P:$P,MATCH(MEDIÇÃO!R1080,'PROJETO PERFURAÇÃO'!$B:$B,0))="Buffer","B",IF(INDEX('PROJETO PERFURAÇÃO'!$P:$P,MATCH(MEDIÇÃO!R1080,'PROJETO PERFURAÇÃO'!$B:$B,0))="Pre-Splitting","S"))),"")</f>
        <v/>
      </c>
      <c r="R1080" s="14">
        <f t="shared" si="104"/>
        <v>2414</v>
      </c>
      <c r="S1080" s="4" t="str">
        <f>IFERROR(INDEX('LEV R&amp;D'!$D:$D,MATCH(MEDIÇÃO!R1080,'LEV R&amp;D'!$A:$A,0))-INDEX('PROJETO PERFURAÇÃO'!$AH:$AH,MATCH(MEDIÇÃO!R1080,'PROJETO PERFURAÇÃO'!$B:$B,0)),"")</f>
        <v/>
      </c>
      <c r="T1080" s="8" t="str">
        <f>IFERROR(INDEX('PROJETO PERFURAÇÃO'!$AN:$AN,MATCH(MEDIÇÃO!R1080,'PROJETO PERFURAÇÃO'!$B:$B,0)),"")</f>
        <v/>
      </c>
      <c r="U1080" s="3"/>
      <c r="V1080" s="3"/>
    </row>
    <row r="1081" spans="2:22" ht="45" customHeight="1" x14ac:dyDescent="0.25">
      <c r="B1081" s="3" t="str">
        <f>IFERROR(ROUND(INDEX('PROJETO PERFURAÇÃO'!$AB:$AB,MATCH(MEDIÇÃO!D1081,'PROJETO PERFURAÇÃO'!$B:$B,0)),1)&amp;"''","")</f>
        <v/>
      </c>
      <c r="C1081" s="3" t="str">
        <f>IFERROR(IF(INDEX('PROJETO PERFURAÇÃO'!$P:$P,MATCH(MEDIÇÃO!D1081,'PROJETO PERFURAÇÃO'!$B:$B,0))="Production","P",IF(INDEX('PROJETO PERFURAÇÃO'!$P:$P,MATCH(MEDIÇÃO!D1081,'PROJETO PERFURAÇÃO'!$B:$B,0))="Buffer","B",IF(INDEX('PROJETO PERFURAÇÃO'!$P:$P,MATCH(MEDIÇÃO!D1081,'PROJETO PERFURAÇÃO'!$B:$B,0))="Pre-Splitting","S"))),"")</f>
        <v/>
      </c>
      <c r="D1081" s="14">
        <f t="shared" si="102"/>
        <v>2369</v>
      </c>
      <c r="E1081" s="4" t="str">
        <f>IFERROR(INDEX('LEV R&amp;D'!$D:$D,MATCH(MEDIÇÃO!D1081,'LEV R&amp;D'!$A:$A,0))-INDEX('PROJETO PERFURAÇÃO'!$AH:$AH,MATCH(MEDIÇÃO!D1081,'PROJETO PERFURAÇÃO'!$B:$B,0)),"")</f>
        <v/>
      </c>
      <c r="F1081" s="8" t="str">
        <f>IFERROR(INDEX('PROJETO PERFURAÇÃO'!$AN:$AN,MATCH(MEDIÇÃO!D1081,'PROJETO PERFURAÇÃO'!$B:$B,0)),"")</f>
        <v/>
      </c>
      <c r="G1081" s="3"/>
      <c r="H1081" s="3"/>
      <c r="I1081" s="3" t="str">
        <f>IFERROR(ROUND(INDEX('PROJETO PERFURAÇÃO'!$AB:$AB,MATCH(MEDIÇÃO!K1081,'PROJETO PERFURAÇÃO'!$B:$B,0)),1)&amp;"''","")</f>
        <v/>
      </c>
      <c r="J1081" s="3" t="str">
        <f>IFERROR(IF(INDEX('PROJETO PERFURAÇÃO'!$P:$P,MATCH(MEDIÇÃO!K1081,'PROJETO PERFURAÇÃO'!$B:$B,0))="Production","P",IF(INDEX('PROJETO PERFURAÇÃO'!$P:$P,MATCH(MEDIÇÃO!K1081,'PROJETO PERFURAÇÃO'!$B:$B,0))="Buffer","B",IF(INDEX('PROJETO PERFURAÇÃO'!$P:$P,MATCH(MEDIÇÃO!K1081,'PROJETO PERFURAÇÃO'!$B:$B,0))="Pre-Splitting","S"))),"")</f>
        <v/>
      </c>
      <c r="K1081" s="14">
        <f>K1080+1</f>
        <v>2392</v>
      </c>
      <c r="L1081" s="4" t="str">
        <f>IFERROR(INDEX('LEV R&amp;D'!$D:$D,MATCH(MEDIÇÃO!K1081,'LEV R&amp;D'!$A:$A,0))-INDEX('PROJETO PERFURAÇÃO'!$AH:$AH,MATCH(MEDIÇÃO!K1081,'PROJETO PERFURAÇÃO'!$B:$B,0)),"")</f>
        <v/>
      </c>
      <c r="M1081" s="8" t="str">
        <f>IFERROR(INDEX('PROJETO PERFURAÇÃO'!$AN:$AN,MATCH(MEDIÇÃO!K1081,'PROJETO PERFURAÇÃO'!$B:$B,0)),"")</f>
        <v/>
      </c>
      <c r="N1081" s="3"/>
      <c r="O1081" s="3"/>
      <c r="P1081" s="3" t="str">
        <f>IFERROR(ROUND(INDEX('PROJETO PERFURAÇÃO'!$AB:$AB,MATCH(MEDIÇÃO!R1081,'PROJETO PERFURAÇÃO'!$B:$B,0)),1)&amp;"''","")</f>
        <v/>
      </c>
      <c r="Q1081" s="3" t="str">
        <f>IFERROR(IF(INDEX('PROJETO PERFURAÇÃO'!$P:$P,MATCH(MEDIÇÃO!R1081,'PROJETO PERFURAÇÃO'!$B:$B,0))="Production","P",IF(INDEX('PROJETO PERFURAÇÃO'!$P:$P,MATCH(MEDIÇÃO!R1081,'PROJETO PERFURAÇÃO'!$B:$B,0))="Buffer","B",IF(INDEX('PROJETO PERFURAÇÃO'!$P:$P,MATCH(MEDIÇÃO!R1081,'PROJETO PERFURAÇÃO'!$B:$B,0))="Pre-Splitting","S"))),"")</f>
        <v/>
      </c>
      <c r="R1081" s="14">
        <f>R1080+1</f>
        <v>2415</v>
      </c>
      <c r="S1081" s="4" t="str">
        <f>IFERROR(INDEX('LEV R&amp;D'!$D:$D,MATCH(MEDIÇÃO!R1081,'LEV R&amp;D'!$A:$A,0))-INDEX('PROJETO PERFURAÇÃO'!$AH:$AH,MATCH(MEDIÇÃO!R1081,'PROJETO PERFURAÇÃO'!$B:$B,0)),"")</f>
        <v/>
      </c>
      <c r="T1081" s="8" t="str">
        <f>IFERROR(INDEX('PROJETO PERFURAÇÃO'!$AN:$AN,MATCH(MEDIÇÃO!R1081,'PROJETO PERFURAÇÃO'!$B:$B,0)),"")</f>
        <v/>
      </c>
      <c r="U1081" s="3"/>
      <c r="V1081" s="3"/>
    </row>
    <row r="1082" spans="2:22" ht="30" customHeight="1" x14ac:dyDescent="0.25">
      <c r="B1082" s="1"/>
      <c r="C1082" s="1"/>
      <c r="D1082" s="15"/>
      <c r="E1082" s="2"/>
      <c r="F1082" s="16"/>
      <c r="G1082" s="1"/>
      <c r="H1082" s="1"/>
      <c r="I1082" s="1"/>
      <c r="J1082" s="1"/>
      <c r="K1082" s="15"/>
      <c r="L1082" s="2"/>
      <c r="M1082" s="16"/>
      <c r="N1082" s="1"/>
      <c r="O1082" s="1"/>
      <c r="P1082" s="1"/>
      <c r="Q1082" s="1"/>
      <c r="R1082" s="15"/>
      <c r="S1082" s="2"/>
      <c r="T1082" s="16"/>
      <c r="U1082" s="1"/>
      <c r="V1082" s="1"/>
    </row>
    <row r="1083" spans="2:22" ht="30" customHeight="1" x14ac:dyDescent="0.25">
      <c r="C1083" s="20"/>
      <c r="D1083" s="20"/>
      <c r="E1083" s="20"/>
      <c r="F1083" s="20"/>
      <c r="G1083" s="20"/>
      <c r="H1083" s="20"/>
      <c r="I1083" s="20"/>
      <c r="J1083" s="20"/>
      <c r="K1083" s="20"/>
      <c r="M1083" s="20"/>
      <c r="N1083" s="20"/>
      <c r="O1083" s="20"/>
      <c r="P1083" s="20"/>
      <c r="Q1083" s="20"/>
      <c r="R1083" s="20"/>
      <c r="S1083" s="20"/>
      <c r="T1083" s="20"/>
      <c r="U1083" s="20"/>
    </row>
    <row r="1084" spans="2:22" ht="30" customHeight="1" x14ac:dyDescent="0.25">
      <c r="C1084" s="21" t="s">
        <v>40</v>
      </c>
      <c r="D1084" s="21"/>
      <c r="E1084" s="21"/>
      <c r="F1084" s="21"/>
      <c r="G1084" s="21"/>
      <c r="H1084" s="21"/>
      <c r="I1084" s="21"/>
      <c r="J1084" s="21"/>
      <c r="K1084" s="21"/>
      <c r="L1084" s="9"/>
      <c r="M1084" s="21" t="s">
        <v>40</v>
      </c>
      <c r="N1084" s="21"/>
      <c r="O1084" s="21"/>
      <c r="P1084" s="21"/>
      <c r="Q1084" s="21"/>
      <c r="R1084" s="21"/>
      <c r="S1084" s="21"/>
      <c r="T1084" s="21"/>
      <c r="U1084" s="21"/>
      <c r="V1084" s="9"/>
    </row>
    <row r="1085" spans="2:22" ht="30" customHeight="1" x14ac:dyDescent="0.25">
      <c r="D1085" s="9"/>
      <c r="E1085" s="9"/>
      <c r="F1085" s="9"/>
      <c r="G1085" s="9"/>
      <c r="H1085" s="9"/>
      <c r="I1085" s="9"/>
      <c r="J1085" s="9"/>
      <c r="K1085" s="9"/>
      <c r="L1085" s="9"/>
      <c r="M1085" s="9"/>
      <c r="N1085" s="9"/>
      <c r="Q1085" s="9"/>
      <c r="R1085" s="9"/>
      <c r="S1085" s="9"/>
      <c r="T1085" s="9"/>
      <c r="U1085" s="9"/>
      <c r="V1085" s="9"/>
    </row>
    <row r="1086" spans="2:22" ht="30" customHeight="1" x14ac:dyDescent="0.25">
      <c r="B1086" s="19" t="str">
        <f>'PROJETO PERFURAÇÃO'!$C$2&amp;" - "&amp;'PROJETO PERFURAÇÃO'!$H$2</f>
        <v>LIB065 - PP0651026</v>
      </c>
      <c r="C1086" s="19"/>
      <c r="D1086" s="19"/>
      <c r="E1086" s="19"/>
      <c r="F1086" s="19"/>
      <c r="G1086" s="19"/>
      <c r="H1086" s="19"/>
      <c r="I1086" s="11" t="s">
        <v>34</v>
      </c>
      <c r="J1086" s="10" t="s">
        <v>37</v>
      </c>
    </row>
    <row r="1087" spans="2:22" ht="30" customHeight="1" x14ac:dyDescent="0.25">
      <c r="B1087" s="19"/>
      <c r="C1087" s="19"/>
      <c r="D1087" s="19"/>
      <c r="E1087" s="19"/>
      <c r="F1087" s="19"/>
      <c r="G1087" s="19"/>
      <c r="H1087" s="19"/>
      <c r="I1087" s="12" t="s">
        <v>35</v>
      </c>
      <c r="J1087" s="10" t="s">
        <v>38</v>
      </c>
      <c r="K1087" s="9"/>
      <c r="L1087" s="9"/>
      <c r="M1087" s="9"/>
      <c r="N1087" s="9"/>
      <c r="O1087" s="9"/>
      <c r="P1087" s="9"/>
      <c r="Q1087" s="9"/>
      <c r="R1087" s="9"/>
      <c r="S1087" s="9"/>
      <c r="T1087" s="9"/>
      <c r="U1087" s="9"/>
      <c r="V1087" s="9"/>
    </row>
    <row r="1088" spans="2:22" ht="30" customHeight="1" x14ac:dyDescent="0.25">
      <c r="B1088" s="19"/>
      <c r="C1088" s="19"/>
      <c r="D1088" s="19"/>
      <c r="E1088" s="19"/>
      <c r="F1088" s="19"/>
      <c r="G1088" s="19"/>
      <c r="H1088" s="19"/>
      <c r="I1088" s="13" t="s">
        <v>36</v>
      </c>
      <c r="J1088" s="10" t="s">
        <v>39</v>
      </c>
    </row>
    <row r="1089" spans="1:23" ht="30" customHeight="1" x14ac:dyDescent="0.25">
      <c r="A1089" s="1"/>
      <c r="B1089" s="6" t="s">
        <v>33</v>
      </c>
      <c r="C1089" s="6" t="s">
        <v>13</v>
      </c>
      <c r="D1089" s="7" t="s">
        <v>1</v>
      </c>
      <c r="E1089" s="7" t="s">
        <v>29</v>
      </c>
      <c r="F1089" s="7" t="s">
        <v>30</v>
      </c>
      <c r="G1089" s="7" t="s">
        <v>31</v>
      </c>
      <c r="H1089" s="7" t="s">
        <v>32</v>
      </c>
      <c r="I1089" s="6" t="s">
        <v>33</v>
      </c>
      <c r="J1089" s="6" t="s">
        <v>13</v>
      </c>
      <c r="K1089" s="7" t="s">
        <v>1</v>
      </c>
      <c r="L1089" s="7" t="s">
        <v>29</v>
      </c>
      <c r="M1089" s="7" t="s">
        <v>30</v>
      </c>
      <c r="N1089" s="7" t="s">
        <v>31</v>
      </c>
      <c r="O1089" s="7" t="s">
        <v>32</v>
      </c>
      <c r="P1089" s="6" t="s">
        <v>33</v>
      </c>
      <c r="Q1089" s="6" t="s">
        <v>13</v>
      </c>
      <c r="R1089" s="7" t="s">
        <v>1</v>
      </c>
      <c r="S1089" s="7" t="s">
        <v>29</v>
      </c>
      <c r="T1089" s="7" t="s">
        <v>30</v>
      </c>
      <c r="U1089" s="7" t="s">
        <v>31</v>
      </c>
      <c r="V1089" s="7" t="s">
        <v>32</v>
      </c>
      <c r="W1089" s="1"/>
    </row>
    <row r="1090" spans="1:23" ht="45" customHeight="1" x14ac:dyDescent="0.25">
      <c r="B1090" s="3" t="str">
        <f>IFERROR(ROUND(INDEX('PROJETO PERFURAÇÃO'!$AB:$AB,MATCH(MEDIÇÃO!D1090,'PROJETO PERFURAÇÃO'!$B:$B,0)),1)&amp;"''","")</f>
        <v/>
      </c>
      <c r="C1090" s="3" t="str">
        <f>IFERROR(IF(INDEX('PROJETO PERFURAÇÃO'!$P:$P,MATCH(MEDIÇÃO!D1090,'PROJETO PERFURAÇÃO'!$B:$B,0))="Production","P",IF(INDEX('PROJETO PERFURAÇÃO'!$P:$P,MATCH(MEDIÇÃO!D1090,'PROJETO PERFURAÇÃO'!$B:$B,0))="Buffer","B",IF(INDEX('PROJETO PERFURAÇÃO'!$P:$P,MATCH(MEDIÇÃO!D1090,'PROJETO PERFURAÇÃO'!$B:$B,0))="Pre-Splitting","S"))),"")</f>
        <v/>
      </c>
      <c r="D1090" s="14">
        <f>R1081+1</f>
        <v>2416</v>
      </c>
      <c r="E1090" s="4" t="str">
        <f>IFERROR(INDEX('LEV R&amp;D'!$D:$D,MATCH(MEDIÇÃO!D1090,'LEV R&amp;D'!$A:$A,0))-INDEX('PROJETO PERFURAÇÃO'!$AH:$AH,MATCH(MEDIÇÃO!D1090,'PROJETO PERFURAÇÃO'!$B:$B,0)),"")</f>
        <v/>
      </c>
      <c r="F1090" s="8" t="str">
        <f>IFERROR(INDEX('PROJETO PERFURAÇÃO'!$AN:$AN,MATCH(MEDIÇÃO!D1090,'PROJETO PERFURAÇÃO'!$B:$B,0)),"")</f>
        <v/>
      </c>
      <c r="G1090" s="3"/>
      <c r="H1090" s="3"/>
      <c r="I1090" s="3" t="str">
        <f>IFERROR(ROUND(INDEX('PROJETO PERFURAÇÃO'!$AB:$AB,MATCH(MEDIÇÃO!K1090,'PROJETO PERFURAÇÃO'!$B:$B,0)),1)&amp;"''","")</f>
        <v/>
      </c>
      <c r="J1090" s="3" t="str">
        <f>IFERROR(IF(INDEX('PROJETO PERFURAÇÃO'!$P:$P,MATCH(MEDIÇÃO!K1090,'PROJETO PERFURAÇÃO'!$B:$B,0))="Production","P",IF(INDEX('PROJETO PERFURAÇÃO'!$P:$P,MATCH(MEDIÇÃO!K1090,'PROJETO PERFURAÇÃO'!$B:$B,0))="Buffer","B",IF(INDEX('PROJETO PERFURAÇÃO'!$P:$P,MATCH(MEDIÇÃO!K1090,'PROJETO PERFURAÇÃO'!$B:$B,0))="Pre-Splitting","S"))),"")</f>
        <v/>
      </c>
      <c r="K1090" s="14">
        <f>D1112+1</f>
        <v>2439</v>
      </c>
      <c r="L1090" s="4" t="str">
        <f>IFERROR(INDEX('LEV R&amp;D'!$D:$D,MATCH(MEDIÇÃO!K1090,'LEV R&amp;D'!$A:$A,0))-INDEX('PROJETO PERFURAÇÃO'!$AH:$AH,MATCH(MEDIÇÃO!K1090,'PROJETO PERFURAÇÃO'!$B:$B,0)),"")</f>
        <v/>
      </c>
      <c r="M1090" s="8" t="str">
        <f>IFERROR(INDEX('PROJETO PERFURAÇÃO'!$AN:$AN,MATCH(MEDIÇÃO!K1090,'PROJETO PERFURAÇÃO'!$B:$B,0)),"")</f>
        <v/>
      </c>
      <c r="N1090" s="3"/>
      <c r="O1090" s="3"/>
      <c r="P1090" s="3" t="str">
        <f>IFERROR(ROUND(INDEX('PROJETO PERFURAÇÃO'!$AB:$AB,MATCH(MEDIÇÃO!R1090,'PROJETO PERFURAÇÃO'!$B:$B,0)),1)&amp;"''","")</f>
        <v/>
      </c>
      <c r="Q1090" s="3" t="str">
        <f>IFERROR(IF(INDEX('PROJETO PERFURAÇÃO'!$P:$P,MATCH(MEDIÇÃO!R1090,'PROJETO PERFURAÇÃO'!$B:$B,0))="Production","P",IF(INDEX('PROJETO PERFURAÇÃO'!$P:$P,MATCH(MEDIÇÃO!R1090,'PROJETO PERFURAÇÃO'!$B:$B,0))="Buffer","B",IF(INDEX('PROJETO PERFURAÇÃO'!$P:$P,MATCH(MEDIÇÃO!R1090,'PROJETO PERFURAÇÃO'!$B:$B,0))="Pre-Splitting","S"))),"")</f>
        <v/>
      </c>
      <c r="R1090" s="14">
        <f>K1112+1</f>
        <v>2462</v>
      </c>
      <c r="S1090" s="4" t="str">
        <f>IFERROR(INDEX('LEV R&amp;D'!$D:$D,MATCH(MEDIÇÃO!R1090,'LEV R&amp;D'!$A:$A,0))-INDEX('PROJETO PERFURAÇÃO'!$AH:$AH,MATCH(MEDIÇÃO!R1090,'PROJETO PERFURAÇÃO'!$B:$B,0)),"")</f>
        <v/>
      </c>
      <c r="T1090" s="8" t="str">
        <f>IFERROR(INDEX('PROJETO PERFURAÇÃO'!$AN:$AN,MATCH(MEDIÇÃO!R1090,'PROJETO PERFURAÇÃO'!$B:$B,0)),"")</f>
        <v/>
      </c>
      <c r="U1090" s="3"/>
      <c r="V1090" s="3"/>
    </row>
    <row r="1091" spans="1:23" ht="45" customHeight="1" x14ac:dyDescent="0.25">
      <c r="B1091" s="3" t="str">
        <f>IFERROR(ROUND(INDEX('PROJETO PERFURAÇÃO'!$AB:$AB,MATCH(MEDIÇÃO!D1091,'PROJETO PERFURAÇÃO'!$B:$B,0)),1)&amp;"''","")</f>
        <v/>
      </c>
      <c r="C1091" s="3" t="str">
        <f>IFERROR(IF(INDEX('PROJETO PERFURAÇÃO'!$P:$P,MATCH(MEDIÇÃO!D1091,'PROJETO PERFURAÇÃO'!$B:$B,0))="Production","P",IF(INDEX('PROJETO PERFURAÇÃO'!$P:$P,MATCH(MEDIÇÃO!D1091,'PROJETO PERFURAÇÃO'!$B:$B,0))="Buffer","B",IF(INDEX('PROJETO PERFURAÇÃO'!$P:$P,MATCH(MEDIÇÃO!D1091,'PROJETO PERFURAÇÃO'!$B:$B,0))="Pre-Splitting","S"))),"")</f>
        <v/>
      </c>
      <c r="D1091" s="14">
        <f>D1090+1</f>
        <v>2417</v>
      </c>
      <c r="E1091" s="4" t="str">
        <f>IFERROR(INDEX('LEV R&amp;D'!$D:$D,MATCH(MEDIÇÃO!D1091,'LEV R&amp;D'!$A:$A,0))-INDEX('PROJETO PERFURAÇÃO'!$AH:$AH,MATCH(MEDIÇÃO!D1091,'PROJETO PERFURAÇÃO'!$B:$B,0)),"")</f>
        <v/>
      </c>
      <c r="F1091" s="8" t="str">
        <f>IFERROR(INDEX('PROJETO PERFURAÇÃO'!$AN:$AN,MATCH(MEDIÇÃO!D1091,'PROJETO PERFURAÇÃO'!$B:$B,0)),"")</f>
        <v/>
      </c>
      <c r="G1091" s="3"/>
      <c r="H1091" s="3"/>
      <c r="I1091" s="3" t="str">
        <f>IFERROR(ROUND(INDEX('PROJETO PERFURAÇÃO'!$AB:$AB,MATCH(MEDIÇÃO!K1091,'PROJETO PERFURAÇÃO'!$B:$B,0)),1)&amp;"''","")</f>
        <v/>
      </c>
      <c r="J1091" s="3" t="str">
        <f>IFERROR(IF(INDEX('PROJETO PERFURAÇÃO'!$P:$P,MATCH(MEDIÇÃO!K1091,'PROJETO PERFURAÇÃO'!$B:$B,0))="Production","P",IF(INDEX('PROJETO PERFURAÇÃO'!$P:$P,MATCH(MEDIÇÃO!K1091,'PROJETO PERFURAÇÃO'!$B:$B,0))="Buffer","B",IF(INDEX('PROJETO PERFURAÇÃO'!$P:$P,MATCH(MEDIÇÃO!K1091,'PROJETO PERFURAÇÃO'!$B:$B,0))="Pre-Splitting","S"))),"")</f>
        <v/>
      </c>
      <c r="K1091" s="14">
        <f>K1090+1</f>
        <v>2440</v>
      </c>
      <c r="L1091" s="4" t="str">
        <f>IFERROR(INDEX('LEV R&amp;D'!$D:$D,MATCH(MEDIÇÃO!K1091,'LEV R&amp;D'!$A:$A,0))-INDEX('PROJETO PERFURAÇÃO'!$AH:$AH,MATCH(MEDIÇÃO!K1091,'PROJETO PERFURAÇÃO'!$B:$B,0)),"")</f>
        <v/>
      </c>
      <c r="M1091" s="8" t="str">
        <f>IFERROR(INDEX('PROJETO PERFURAÇÃO'!$AN:$AN,MATCH(MEDIÇÃO!K1091,'PROJETO PERFURAÇÃO'!$B:$B,0)),"")</f>
        <v/>
      </c>
      <c r="N1091" s="3"/>
      <c r="O1091" s="3"/>
      <c r="P1091" s="3" t="str">
        <f>IFERROR(ROUND(INDEX('PROJETO PERFURAÇÃO'!$AB:$AB,MATCH(MEDIÇÃO!R1091,'PROJETO PERFURAÇÃO'!$B:$B,0)),1)&amp;"''","")</f>
        <v/>
      </c>
      <c r="Q1091" s="3" t="str">
        <f>IFERROR(IF(INDEX('PROJETO PERFURAÇÃO'!$P:$P,MATCH(MEDIÇÃO!R1091,'PROJETO PERFURAÇÃO'!$B:$B,0))="Production","P",IF(INDEX('PROJETO PERFURAÇÃO'!$P:$P,MATCH(MEDIÇÃO!R1091,'PROJETO PERFURAÇÃO'!$B:$B,0))="Buffer","B",IF(INDEX('PROJETO PERFURAÇÃO'!$P:$P,MATCH(MEDIÇÃO!R1091,'PROJETO PERFURAÇÃO'!$B:$B,0))="Pre-Splitting","S"))),"")</f>
        <v/>
      </c>
      <c r="R1091" s="14">
        <f>R1090+1</f>
        <v>2463</v>
      </c>
      <c r="S1091" s="4" t="str">
        <f>IFERROR(INDEX('LEV R&amp;D'!$D:$D,MATCH(MEDIÇÃO!R1091,'LEV R&amp;D'!$A:$A,0))-INDEX('PROJETO PERFURAÇÃO'!$AH:$AH,MATCH(MEDIÇÃO!R1091,'PROJETO PERFURAÇÃO'!$B:$B,0)),"")</f>
        <v/>
      </c>
      <c r="T1091" s="8" t="str">
        <f>IFERROR(INDEX('PROJETO PERFURAÇÃO'!$AN:$AN,MATCH(MEDIÇÃO!R1091,'PROJETO PERFURAÇÃO'!$B:$B,0)),"")</f>
        <v/>
      </c>
      <c r="U1091" s="3"/>
      <c r="V1091" s="3"/>
    </row>
    <row r="1092" spans="1:23" ht="45" customHeight="1" x14ac:dyDescent="0.25">
      <c r="B1092" s="3" t="str">
        <f>IFERROR(ROUND(INDEX('PROJETO PERFURAÇÃO'!$AB:$AB,MATCH(MEDIÇÃO!D1092,'PROJETO PERFURAÇÃO'!$B:$B,0)),1)&amp;"''","")</f>
        <v/>
      </c>
      <c r="C1092" s="3" t="str">
        <f>IFERROR(IF(INDEX('PROJETO PERFURAÇÃO'!$P:$P,MATCH(MEDIÇÃO!D1092,'PROJETO PERFURAÇÃO'!$B:$B,0))="Production","P",IF(INDEX('PROJETO PERFURAÇÃO'!$P:$P,MATCH(MEDIÇÃO!D1092,'PROJETO PERFURAÇÃO'!$B:$B,0))="Buffer","B",IF(INDEX('PROJETO PERFURAÇÃO'!$P:$P,MATCH(MEDIÇÃO!D1092,'PROJETO PERFURAÇÃO'!$B:$B,0))="Pre-Splitting","S"))),"")</f>
        <v/>
      </c>
      <c r="D1092" s="14">
        <f t="shared" ref="D1092:D1112" si="105">D1091+1</f>
        <v>2418</v>
      </c>
      <c r="E1092" s="4" t="str">
        <f>IFERROR(INDEX('LEV R&amp;D'!$D:$D,MATCH(MEDIÇÃO!D1092,'LEV R&amp;D'!$A:$A,0))-INDEX('PROJETO PERFURAÇÃO'!$AH:$AH,MATCH(MEDIÇÃO!D1092,'PROJETO PERFURAÇÃO'!$B:$B,0)),"")</f>
        <v/>
      </c>
      <c r="F1092" s="8" t="str">
        <f>IFERROR(INDEX('PROJETO PERFURAÇÃO'!$AN:$AN,MATCH(MEDIÇÃO!D1092,'PROJETO PERFURAÇÃO'!$B:$B,0)),"")</f>
        <v/>
      </c>
      <c r="G1092" s="3"/>
      <c r="H1092" s="3"/>
      <c r="I1092" s="3" t="str">
        <f>IFERROR(ROUND(INDEX('PROJETO PERFURAÇÃO'!$AB:$AB,MATCH(MEDIÇÃO!K1092,'PROJETO PERFURAÇÃO'!$B:$B,0)),1)&amp;"''","")</f>
        <v/>
      </c>
      <c r="J1092" s="3" t="str">
        <f>IFERROR(IF(INDEX('PROJETO PERFURAÇÃO'!$P:$P,MATCH(MEDIÇÃO!K1092,'PROJETO PERFURAÇÃO'!$B:$B,0))="Production","P",IF(INDEX('PROJETO PERFURAÇÃO'!$P:$P,MATCH(MEDIÇÃO!K1092,'PROJETO PERFURAÇÃO'!$B:$B,0))="Buffer","B",IF(INDEX('PROJETO PERFURAÇÃO'!$P:$P,MATCH(MEDIÇÃO!K1092,'PROJETO PERFURAÇÃO'!$B:$B,0))="Pre-Splitting","S"))),"")</f>
        <v/>
      </c>
      <c r="K1092" s="14">
        <f t="shared" ref="K1092:K1111" si="106">K1091+1</f>
        <v>2441</v>
      </c>
      <c r="L1092" s="4" t="str">
        <f>IFERROR(INDEX('LEV R&amp;D'!$D:$D,MATCH(MEDIÇÃO!K1092,'LEV R&amp;D'!$A:$A,0))-INDEX('PROJETO PERFURAÇÃO'!$AH:$AH,MATCH(MEDIÇÃO!K1092,'PROJETO PERFURAÇÃO'!$B:$B,0)),"")</f>
        <v/>
      </c>
      <c r="M1092" s="8" t="str">
        <f>IFERROR(INDEX('PROJETO PERFURAÇÃO'!$AN:$AN,MATCH(MEDIÇÃO!K1092,'PROJETO PERFURAÇÃO'!$B:$B,0)),"")</f>
        <v/>
      </c>
      <c r="N1092" s="3"/>
      <c r="O1092" s="3"/>
      <c r="P1092" s="3" t="str">
        <f>IFERROR(ROUND(INDEX('PROJETO PERFURAÇÃO'!$AB:$AB,MATCH(MEDIÇÃO!R1092,'PROJETO PERFURAÇÃO'!$B:$B,0)),1)&amp;"''","")</f>
        <v/>
      </c>
      <c r="Q1092" s="3" t="str">
        <f>IFERROR(IF(INDEX('PROJETO PERFURAÇÃO'!$P:$P,MATCH(MEDIÇÃO!R1092,'PROJETO PERFURAÇÃO'!$B:$B,0))="Production","P",IF(INDEX('PROJETO PERFURAÇÃO'!$P:$P,MATCH(MEDIÇÃO!R1092,'PROJETO PERFURAÇÃO'!$B:$B,0))="Buffer","B",IF(INDEX('PROJETO PERFURAÇÃO'!$P:$P,MATCH(MEDIÇÃO!R1092,'PROJETO PERFURAÇÃO'!$B:$B,0))="Pre-Splitting","S"))),"")</f>
        <v/>
      </c>
      <c r="R1092" s="14">
        <f t="shared" ref="R1092:R1111" si="107">R1091+1</f>
        <v>2464</v>
      </c>
      <c r="S1092" s="4" t="str">
        <f>IFERROR(INDEX('LEV R&amp;D'!$D:$D,MATCH(MEDIÇÃO!R1092,'LEV R&amp;D'!$A:$A,0))-INDEX('PROJETO PERFURAÇÃO'!$AH:$AH,MATCH(MEDIÇÃO!R1092,'PROJETO PERFURAÇÃO'!$B:$B,0)),"")</f>
        <v/>
      </c>
      <c r="T1092" s="8" t="str">
        <f>IFERROR(INDEX('PROJETO PERFURAÇÃO'!$AN:$AN,MATCH(MEDIÇÃO!R1092,'PROJETO PERFURAÇÃO'!$B:$B,0)),"")</f>
        <v/>
      </c>
      <c r="U1092" s="3"/>
      <c r="V1092" s="3"/>
    </row>
    <row r="1093" spans="1:23" ht="45" customHeight="1" x14ac:dyDescent="0.25">
      <c r="B1093" s="3" t="str">
        <f>IFERROR(ROUND(INDEX('PROJETO PERFURAÇÃO'!$AB:$AB,MATCH(MEDIÇÃO!D1093,'PROJETO PERFURAÇÃO'!$B:$B,0)),1)&amp;"''","")</f>
        <v/>
      </c>
      <c r="C1093" s="3" t="str">
        <f>IFERROR(IF(INDEX('PROJETO PERFURAÇÃO'!$P:$P,MATCH(MEDIÇÃO!D1093,'PROJETO PERFURAÇÃO'!$B:$B,0))="Production","P",IF(INDEX('PROJETO PERFURAÇÃO'!$P:$P,MATCH(MEDIÇÃO!D1093,'PROJETO PERFURAÇÃO'!$B:$B,0))="Buffer","B",IF(INDEX('PROJETO PERFURAÇÃO'!$P:$P,MATCH(MEDIÇÃO!D1093,'PROJETO PERFURAÇÃO'!$B:$B,0))="Pre-Splitting","S"))),"")</f>
        <v/>
      </c>
      <c r="D1093" s="14">
        <f t="shared" si="105"/>
        <v>2419</v>
      </c>
      <c r="E1093" s="4" t="str">
        <f>IFERROR(INDEX('LEV R&amp;D'!$D:$D,MATCH(MEDIÇÃO!D1093,'LEV R&amp;D'!$A:$A,0))-INDEX('PROJETO PERFURAÇÃO'!$AH:$AH,MATCH(MEDIÇÃO!D1093,'PROJETO PERFURAÇÃO'!$B:$B,0)),"")</f>
        <v/>
      </c>
      <c r="F1093" s="8" t="str">
        <f>IFERROR(INDEX('PROJETO PERFURAÇÃO'!$AN:$AN,MATCH(MEDIÇÃO!D1093,'PROJETO PERFURAÇÃO'!$B:$B,0)),"")</f>
        <v/>
      </c>
      <c r="G1093" s="3"/>
      <c r="H1093" s="3"/>
      <c r="I1093" s="3" t="str">
        <f>IFERROR(ROUND(INDEX('PROJETO PERFURAÇÃO'!$AB:$AB,MATCH(MEDIÇÃO!K1093,'PROJETO PERFURAÇÃO'!$B:$B,0)),1)&amp;"''","")</f>
        <v/>
      </c>
      <c r="J1093" s="3" t="str">
        <f>IFERROR(IF(INDEX('PROJETO PERFURAÇÃO'!$P:$P,MATCH(MEDIÇÃO!K1093,'PROJETO PERFURAÇÃO'!$B:$B,0))="Production","P",IF(INDEX('PROJETO PERFURAÇÃO'!$P:$P,MATCH(MEDIÇÃO!K1093,'PROJETO PERFURAÇÃO'!$B:$B,0))="Buffer","B",IF(INDEX('PROJETO PERFURAÇÃO'!$P:$P,MATCH(MEDIÇÃO!K1093,'PROJETO PERFURAÇÃO'!$B:$B,0))="Pre-Splitting","S"))),"")</f>
        <v/>
      </c>
      <c r="K1093" s="14">
        <f t="shared" si="106"/>
        <v>2442</v>
      </c>
      <c r="L1093" s="4" t="str">
        <f>IFERROR(INDEX('LEV R&amp;D'!$D:$D,MATCH(MEDIÇÃO!K1093,'LEV R&amp;D'!$A:$A,0))-INDEX('PROJETO PERFURAÇÃO'!$AH:$AH,MATCH(MEDIÇÃO!K1093,'PROJETO PERFURAÇÃO'!$B:$B,0)),"")</f>
        <v/>
      </c>
      <c r="M1093" s="8" t="str">
        <f>IFERROR(INDEX('PROJETO PERFURAÇÃO'!$AN:$AN,MATCH(MEDIÇÃO!K1093,'PROJETO PERFURAÇÃO'!$B:$B,0)),"")</f>
        <v/>
      </c>
      <c r="N1093" s="3"/>
      <c r="O1093" s="3"/>
      <c r="P1093" s="3" t="str">
        <f>IFERROR(ROUND(INDEX('PROJETO PERFURAÇÃO'!$AB:$AB,MATCH(MEDIÇÃO!R1093,'PROJETO PERFURAÇÃO'!$B:$B,0)),1)&amp;"''","")</f>
        <v/>
      </c>
      <c r="Q1093" s="3" t="str">
        <f>IFERROR(IF(INDEX('PROJETO PERFURAÇÃO'!$P:$P,MATCH(MEDIÇÃO!R1093,'PROJETO PERFURAÇÃO'!$B:$B,0))="Production","P",IF(INDEX('PROJETO PERFURAÇÃO'!$P:$P,MATCH(MEDIÇÃO!R1093,'PROJETO PERFURAÇÃO'!$B:$B,0))="Buffer","B",IF(INDEX('PROJETO PERFURAÇÃO'!$P:$P,MATCH(MEDIÇÃO!R1093,'PROJETO PERFURAÇÃO'!$B:$B,0))="Pre-Splitting","S"))),"")</f>
        <v/>
      </c>
      <c r="R1093" s="14">
        <f t="shared" si="107"/>
        <v>2465</v>
      </c>
      <c r="S1093" s="4" t="str">
        <f>IFERROR(INDEX('LEV R&amp;D'!$D:$D,MATCH(MEDIÇÃO!R1093,'LEV R&amp;D'!$A:$A,0))-INDEX('PROJETO PERFURAÇÃO'!$AH:$AH,MATCH(MEDIÇÃO!R1093,'PROJETO PERFURAÇÃO'!$B:$B,0)),"")</f>
        <v/>
      </c>
      <c r="T1093" s="8" t="str">
        <f>IFERROR(INDEX('PROJETO PERFURAÇÃO'!$AN:$AN,MATCH(MEDIÇÃO!R1093,'PROJETO PERFURAÇÃO'!$B:$B,0)),"")</f>
        <v/>
      </c>
      <c r="U1093" s="3"/>
      <c r="V1093" s="3"/>
    </row>
    <row r="1094" spans="1:23" ht="45" customHeight="1" x14ac:dyDescent="0.25">
      <c r="B1094" s="3" t="str">
        <f>IFERROR(ROUND(INDEX('PROJETO PERFURAÇÃO'!$AB:$AB,MATCH(MEDIÇÃO!D1094,'PROJETO PERFURAÇÃO'!$B:$B,0)),1)&amp;"''","")</f>
        <v/>
      </c>
      <c r="C1094" s="3" t="str">
        <f>IFERROR(IF(INDEX('PROJETO PERFURAÇÃO'!$P:$P,MATCH(MEDIÇÃO!D1094,'PROJETO PERFURAÇÃO'!$B:$B,0))="Production","P",IF(INDEX('PROJETO PERFURAÇÃO'!$P:$P,MATCH(MEDIÇÃO!D1094,'PROJETO PERFURAÇÃO'!$B:$B,0))="Buffer","B",IF(INDEX('PROJETO PERFURAÇÃO'!$P:$P,MATCH(MEDIÇÃO!D1094,'PROJETO PERFURAÇÃO'!$B:$B,0))="Pre-Splitting","S"))),"")</f>
        <v/>
      </c>
      <c r="D1094" s="14">
        <f t="shared" si="105"/>
        <v>2420</v>
      </c>
      <c r="E1094" s="4" t="str">
        <f>IFERROR(INDEX('LEV R&amp;D'!$D:$D,MATCH(MEDIÇÃO!D1094,'LEV R&amp;D'!$A:$A,0))-INDEX('PROJETO PERFURAÇÃO'!$AH:$AH,MATCH(MEDIÇÃO!D1094,'PROJETO PERFURAÇÃO'!$B:$B,0)),"")</f>
        <v/>
      </c>
      <c r="F1094" s="8" t="str">
        <f>IFERROR(INDEX('PROJETO PERFURAÇÃO'!$AN:$AN,MATCH(MEDIÇÃO!D1094,'PROJETO PERFURAÇÃO'!$B:$B,0)),"")</f>
        <v/>
      </c>
      <c r="G1094" s="3"/>
      <c r="H1094" s="3"/>
      <c r="I1094" s="3" t="str">
        <f>IFERROR(ROUND(INDEX('PROJETO PERFURAÇÃO'!$AB:$AB,MATCH(MEDIÇÃO!K1094,'PROJETO PERFURAÇÃO'!$B:$B,0)),1)&amp;"''","")</f>
        <v/>
      </c>
      <c r="J1094" s="3" t="str">
        <f>IFERROR(IF(INDEX('PROJETO PERFURAÇÃO'!$P:$P,MATCH(MEDIÇÃO!K1094,'PROJETO PERFURAÇÃO'!$B:$B,0))="Production","P",IF(INDEX('PROJETO PERFURAÇÃO'!$P:$P,MATCH(MEDIÇÃO!K1094,'PROJETO PERFURAÇÃO'!$B:$B,0))="Buffer","B",IF(INDEX('PROJETO PERFURAÇÃO'!$P:$P,MATCH(MEDIÇÃO!K1094,'PROJETO PERFURAÇÃO'!$B:$B,0))="Pre-Splitting","S"))),"")</f>
        <v/>
      </c>
      <c r="K1094" s="14">
        <f t="shared" si="106"/>
        <v>2443</v>
      </c>
      <c r="L1094" s="4" t="str">
        <f>IFERROR(INDEX('LEV R&amp;D'!$D:$D,MATCH(MEDIÇÃO!K1094,'LEV R&amp;D'!$A:$A,0))-INDEX('PROJETO PERFURAÇÃO'!$AH:$AH,MATCH(MEDIÇÃO!K1094,'PROJETO PERFURAÇÃO'!$B:$B,0)),"")</f>
        <v/>
      </c>
      <c r="M1094" s="8" t="str">
        <f>IFERROR(INDEX('PROJETO PERFURAÇÃO'!$AN:$AN,MATCH(MEDIÇÃO!K1094,'PROJETO PERFURAÇÃO'!$B:$B,0)),"")</f>
        <v/>
      </c>
      <c r="N1094" s="3"/>
      <c r="O1094" s="3"/>
      <c r="P1094" s="3" t="str">
        <f>IFERROR(ROUND(INDEX('PROJETO PERFURAÇÃO'!$AB:$AB,MATCH(MEDIÇÃO!R1094,'PROJETO PERFURAÇÃO'!$B:$B,0)),1)&amp;"''","")</f>
        <v/>
      </c>
      <c r="Q1094" s="3" t="str">
        <f>IFERROR(IF(INDEX('PROJETO PERFURAÇÃO'!$P:$P,MATCH(MEDIÇÃO!R1094,'PROJETO PERFURAÇÃO'!$B:$B,0))="Production","P",IF(INDEX('PROJETO PERFURAÇÃO'!$P:$P,MATCH(MEDIÇÃO!R1094,'PROJETO PERFURAÇÃO'!$B:$B,0))="Buffer","B",IF(INDEX('PROJETO PERFURAÇÃO'!$P:$P,MATCH(MEDIÇÃO!R1094,'PROJETO PERFURAÇÃO'!$B:$B,0))="Pre-Splitting","S"))),"")</f>
        <v/>
      </c>
      <c r="R1094" s="14">
        <f t="shared" si="107"/>
        <v>2466</v>
      </c>
      <c r="S1094" s="4" t="str">
        <f>IFERROR(INDEX('LEV R&amp;D'!$D:$D,MATCH(MEDIÇÃO!R1094,'LEV R&amp;D'!$A:$A,0))-INDEX('PROJETO PERFURAÇÃO'!$AH:$AH,MATCH(MEDIÇÃO!R1094,'PROJETO PERFURAÇÃO'!$B:$B,0)),"")</f>
        <v/>
      </c>
      <c r="T1094" s="8" t="str">
        <f>IFERROR(INDEX('PROJETO PERFURAÇÃO'!$AN:$AN,MATCH(MEDIÇÃO!R1094,'PROJETO PERFURAÇÃO'!$B:$B,0)),"")</f>
        <v/>
      </c>
      <c r="U1094" s="3"/>
      <c r="V1094" s="3"/>
    </row>
    <row r="1095" spans="1:23" ht="45" customHeight="1" x14ac:dyDescent="0.25">
      <c r="B1095" s="3" t="str">
        <f>IFERROR(ROUND(INDEX('PROJETO PERFURAÇÃO'!$AB:$AB,MATCH(MEDIÇÃO!D1095,'PROJETO PERFURAÇÃO'!$B:$B,0)),1)&amp;"''","")</f>
        <v/>
      </c>
      <c r="C1095" s="3" t="str">
        <f>IFERROR(IF(INDEX('PROJETO PERFURAÇÃO'!$P:$P,MATCH(MEDIÇÃO!D1095,'PROJETO PERFURAÇÃO'!$B:$B,0))="Production","P",IF(INDEX('PROJETO PERFURAÇÃO'!$P:$P,MATCH(MEDIÇÃO!D1095,'PROJETO PERFURAÇÃO'!$B:$B,0))="Buffer","B",IF(INDEX('PROJETO PERFURAÇÃO'!$P:$P,MATCH(MEDIÇÃO!D1095,'PROJETO PERFURAÇÃO'!$B:$B,0))="Pre-Splitting","S"))),"")</f>
        <v/>
      </c>
      <c r="D1095" s="14">
        <f t="shared" si="105"/>
        <v>2421</v>
      </c>
      <c r="E1095" s="4" t="str">
        <f>IFERROR(INDEX('LEV R&amp;D'!$D:$D,MATCH(MEDIÇÃO!D1095,'LEV R&amp;D'!$A:$A,0))-INDEX('PROJETO PERFURAÇÃO'!$AH:$AH,MATCH(MEDIÇÃO!D1095,'PROJETO PERFURAÇÃO'!$B:$B,0)),"")</f>
        <v/>
      </c>
      <c r="F1095" s="8" t="str">
        <f>IFERROR(INDEX('PROJETO PERFURAÇÃO'!$AN:$AN,MATCH(MEDIÇÃO!D1095,'PROJETO PERFURAÇÃO'!$B:$B,0)),"")</f>
        <v/>
      </c>
      <c r="G1095" s="3"/>
      <c r="H1095" s="3"/>
      <c r="I1095" s="3" t="str">
        <f>IFERROR(ROUND(INDEX('PROJETO PERFURAÇÃO'!$AB:$AB,MATCH(MEDIÇÃO!K1095,'PROJETO PERFURAÇÃO'!$B:$B,0)),1)&amp;"''","")</f>
        <v/>
      </c>
      <c r="J1095" s="3" t="str">
        <f>IFERROR(IF(INDEX('PROJETO PERFURAÇÃO'!$P:$P,MATCH(MEDIÇÃO!K1095,'PROJETO PERFURAÇÃO'!$B:$B,0))="Production","P",IF(INDEX('PROJETO PERFURAÇÃO'!$P:$P,MATCH(MEDIÇÃO!K1095,'PROJETO PERFURAÇÃO'!$B:$B,0))="Buffer","B",IF(INDEX('PROJETO PERFURAÇÃO'!$P:$P,MATCH(MEDIÇÃO!K1095,'PROJETO PERFURAÇÃO'!$B:$B,0))="Pre-Splitting","S"))),"")</f>
        <v/>
      </c>
      <c r="K1095" s="14">
        <f t="shared" si="106"/>
        <v>2444</v>
      </c>
      <c r="L1095" s="4" t="str">
        <f>IFERROR(INDEX('LEV R&amp;D'!$D:$D,MATCH(MEDIÇÃO!K1095,'LEV R&amp;D'!$A:$A,0))-INDEX('PROJETO PERFURAÇÃO'!$AH:$AH,MATCH(MEDIÇÃO!K1095,'PROJETO PERFURAÇÃO'!$B:$B,0)),"")</f>
        <v/>
      </c>
      <c r="M1095" s="8" t="str">
        <f>IFERROR(INDEX('PROJETO PERFURAÇÃO'!$AN:$AN,MATCH(MEDIÇÃO!K1095,'PROJETO PERFURAÇÃO'!$B:$B,0)),"")</f>
        <v/>
      </c>
      <c r="N1095" s="3"/>
      <c r="O1095" s="3"/>
      <c r="P1095" s="3" t="str">
        <f>IFERROR(ROUND(INDEX('PROJETO PERFURAÇÃO'!$AB:$AB,MATCH(MEDIÇÃO!R1095,'PROJETO PERFURAÇÃO'!$B:$B,0)),1)&amp;"''","")</f>
        <v/>
      </c>
      <c r="Q1095" s="3" t="str">
        <f>IFERROR(IF(INDEX('PROJETO PERFURAÇÃO'!$P:$P,MATCH(MEDIÇÃO!R1095,'PROJETO PERFURAÇÃO'!$B:$B,0))="Production","P",IF(INDEX('PROJETO PERFURAÇÃO'!$P:$P,MATCH(MEDIÇÃO!R1095,'PROJETO PERFURAÇÃO'!$B:$B,0))="Buffer","B",IF(INDEX('PROJETO PERFURAÇÃO'!$P:$P,MATCH(MEDIÇÃO!R1095,'PROJETO PERFURAÇÃO'!$B:$B,0))="Pre-Splitting","S"))),"")</f>
        <v/>
      </c>
      <c r="R1095" s="14">
        <f t="shared" si="107"/>
        <v>2467</v>
      </c>
      <c r="S1095" s="4" t="str">
        <f>IFERROR(INDEX('LEV R&amp;D'!$D:$D,MATCH(MEDIÇÃO!R1095,'LEV R&amp;D'!$A:$A,0))-INDEX('PROJETO PERFURAÇÃO'!$AH:$AH,MATCH(MEDIÇÃO!R1095,'PROJETO PERFURAÇÃO'!$B:$B,0)),"")</f>
        <v/>
      </c>
      <c r="T1095" s="8" t="str">
        <f>IFERROR(INDEX('PROJETO PERFURAÇÃO'!$AN:$AN,MATCH(MEDIÇÃO!R1095,'PROJETO PERFURAÇÃO'!$B:$B,0)),"")</f>
        <v/>
      </c>
      <c r="U1095" s="3"/>
      <c r="V1095" s="3"/>
    </row>
    <row r="1096" spans="1:23" ht="45" customHeight="1" x14ac:dyDescent="0.25">
      <c r="B1096" s="3" t="str">
        <f>IFERROR(ROUND(INDEX('PROJETO PERFURAÇÃO'!$AB:$AB,MATCH(MEDIÇÃO!D1096,'PROJETO PERFURAÇÃO'!$B:$B,0)),1)&amp;"''","")</f>
        <v/>
      </c>
      <c r="C1096" s="3" t="str">
        <f>IFERROR(IF(INDEX('PROJETO PERFURAÇÃO'!$P:$P,MATCH(MEDIÇÃO!D1096,'PROJETO PERFURAÇÃO'!$B:$B,0))="Production","P",IF(INDEX('PROJETO PERFURAÇÃO'!$P:$P,MATCH(MEDIÇÃO!D1096,'PROJETO PERFURAÇÃO'!$B:$B,0))="Buffer","B",IF(INDEX('PROJETO PERFURAÇÃO'!$P:$P,MATCH(MEDIÇÃO!D1096,'PROJETO PERFURAÇÃO'!$B:$B,0))="Pre-Splitting","S"))),"")</f>
        <v/>
      </c>
      <c r="D1096" s="14">
        <f t="shared" si="105"/>
        <v>2422</v>
      </c>
      <c r="E1096" s="4" t="str">
        <f>IFERROR(INDEX('LEV R&amp;D'!$D:$D,MATCH(MEDIÇÃO!D1096,'LEV R&amp;D'!$A:$A,0))-INDEX('PROJETO PERFURAÇÃO'!$AH:$AH,MATCH(MEDIÇÃO!D1096,'PROJETO PERFURAÇÃO'!$B:$B,0)),"")</f>
        <v/>
      </c>
      <c r="F1096" s="8" t="str">
        <f>IFERROR(INDEX('PROJETO PERFURAÇÃO'!$AN:$AN,MATCH(MEDIÇÃO!D1096,'PROJETO PERFURAÇÃO'!$B:$B,0)),"")</f>
        <v/>
      </c>
      <c r="G1096" s="3"/>
      <c r="H1096" s="3"/>
      <c r="I1096" s="3" t="str">
        <f>IFERROR(ROUND(INDEX('PROJETO PERFURAÇÃO'!$AB:$AB,MATCH(MEDIÇÃO!K1096,'PROJETO PERFURAÇÃO'!$B:$B,0)),1)&amp;"''","")</f>
        <v/>
      </c>
      <c r="J1096" s="3" t="str">
        <f>IFERROR(IF(INDEX('PROJETO PERFURAÇÃO'!$P:$P,MATCH(MEDIÇÃO!K1096,'PROJETO PERFURAÇÃO'!$B:$B,0))="Production","P",IF(INDEX('PROJETO PERFURAÇÃO'!$P:$P,MATCH(MEDIÇÃO!K1096,'PROJETO PERFURAÇÃO'!$B:$B,0))="Buffer","B",IF(INDEX('PROJETO PERFURAÇÃO'!$P:$P,MATCH(MEDIÇÃO!K1096,'PROJETO PERFURAÇÃO'!$B:$B,0))="Pre-Splitting","S"))),"")</f>
        <v/>
      </c>
      <c r="K1096" s="14">
        <f t="shared" si="106"/>
        <v>2445</v>
      </c>
      <c r="L1096" s="4" t="str">
        <f>IFERROR(INDEX('LEV R&amp;D'!$D:$D,MATCH(MEDIÇÃO!K1096,'LEV R&amp;D'!$A:$A,0))-INDEX('PROJETO PERFURAÇÃO'!$AH:$AH,MATCH(MEDIÇÃO!K1096,'PROJETO PERFURAÇÃO'!$B:$B,0)),"")</f>
        <v/>
      </c>
      <c r="M1096" s="8" t="str">
        <f>IFERROR(INDEX('PROJETO PERFURAÇÃO'!$AN:$AN,MATCH(MEDIÇÃO!K1096,'PROJETO PERFURAÇÃO'!$B:$B,0)),"")</f>
        <v/>
      </c>
      <c r="N1096" s="3"/>
      <c r="O1096" s="3"/>
      <c r="P1096" s="3" t="str">
        <f>IFERROR(ROUND(INDEX('PROJETO PERFURAÇÃO'!$AB:$AB,MATCH(MEDIÇÃO!R1096,'PROJETO PERFURAÇÃO'!$B:$B,0)),1)&amp;"''","")</f>
        <v/>
      </c>
      <c r="Q1096" s="3" t="str">
        <f>IFERROR(IF(INDEX('PROJETO PERFURAÇÃO'!$P:$P,MATCH(MEDIÇÃO!R1096,'PROJETO PERFURAÇÃO'!$B:$B,0))="Production","P",IF(INDEX('PROJETO PERFURAÇÃO'!$P:$P,MATCH(MEDIÇÃO!R1096,'PROJETO PERFURAÇÃO'!$B:$B,0))="Buffer","B",IF(INDEX('PROJETO PERFURAÇÃO'!$P:$P,MATCH(MEDIÇÃO!R1096,'PROJETO PERFURAÇÃO'!$B:$B,0))="Pre-Splitting","S"))),"")</f>
        <v/>
      </c>
      <c r="R1096" s="14">
        <f t="shared" si="107"/>
        <v>2468</v>
      </c>
      <c r="S1096" s="4" t="str">
        <f>IFERROR(INDEX('LEV R&amp;D'!$D:$D,MATCH(MEDIÇÃO!R1096,'LEV R&amp;D'!$A:$A,0))-INDEX('PROJETO PERFURAÇÃO'!$AH:$AH,MATCH(MEDIÇÃO!R1096,'PROJETO PERFURAÇÃO'!$B:$B,0)),"")</f>
        <v/>
      </c>
      <c r="T1096" s="8" t="str">
        <f>IFERROR(INDEX('PROJETO PERFURAÇÃO'!$AN:$AN,MATCH(MEDIÇÃO!R1096,'PROJETO PERFURAÇÃO'!$B:$B,0)),"")</f>
        <v/>
      </c>
      <c r="U1096" s="3"/>
      <c r="V1096" s="3"/>
    </row>
    <row r="1097" spans="1:23" ht="45" customHeight="1" x14ac:dyDescent="0.25">
      <c r="B1097" s="3" t="str">
        <f>IFERROR(ROUND(INDEX('PROJETO PERFURAÇÃO'!$AB:$AB,MATCH(MEDIÇÃO!D1097,'PROJETO PERFURAÇÃO'!$B:$B,0)),1)&amp;"''","")</f>
        <v/>
      </c>
      <c r="C1097" s="3" t="str">
        <f>IFERROR(IF(INDEX('PROJETO PERFURAÇÃO'!$P:$P,MATCH(MEDIÇÃO!D1097,'PROJETO PERFURAÇÃO'!$B:$B,0))="Production","P",IF(INDEX('PROJETO PERFURAÇÃO'!$P:$P,MATCH(MEDIÇÃO!D1097,'PROJETO PERFURAÇÃO'!$B:$B,0))="Buffer","B",IF(INDEX('PROJETO PERFURAÇÃO'!$P:$P,MATCH(MEDIÇÃO!D1097,'PROJETO PERFURAÇÃO'!$B:$B,0))="Pre-Splitting","S"))),"")</f>
        <v/>
      </c>
      <c r="D1097" s="14">
        <f t="shared" si="105"/>
        <v>2423</v>
      </c>
      <c r="E1097" s="4" t="str">
        <f>IFERROR(INDEX('LEV R&amp;D'!$D:$D,MATCH(MEDIÇÃO!D1097,'LEV R&amp;D'!$A:$A,0))-INDEX('PROJETO PERFURAÇÃO'!$AH:$AH,MATCH(MEDIÇÃO!D1097,'PROJETO PERFURAÇÃO'!$B:$B,0)),"")</f>
        <v/>
      </c>
      <c r="F1097" s="8" t="str">
        <f>IFERROR(INDEX('PROJETO PERFURAÇÃO'!$AN:$AN,MATCH(MEDIÇÃO!D1097,'PROJETO PERFURAÇÃO'!$B:$B,0)),"")</f>
        <v/>
      </c>
      <c r="G1097" s="3"/>
      <c r="H1097" s="3"/>
      <c r="I1097" s="3" t="str">
        <f>IFERROR(ROUND(INDEX('PROJETO PERFURAÇÃO'!$AB:$AB,MATCH(MEDIÇÃO!K1097,'PROJETO PERFURAÇÃO'!$B:$B,0)),1)&amp;"''","")</f>
        <v/>
      </c>
      <c r="J1097" s="3" t="str">
        <f>IFERROR(IF(INDEX('PROJETO PERFURAÇÃO'!$P:$P,MATCH(MEDIÇÃO!K1097,'PROJETO PERFURAÇÃO'!$B:$B,0))="Production","P",IF(INDEX('PROJETO PERFURAÇÃO'!$P:$P,MATCH(MEDIÇÃO!K1097,'PROJETO PERFURAÇÃO'!$B:$B,0))="Buffer","B",IF(INDEX('PROJETO PERFURAÇÃO'!$P:$P,MATCH(MEDIÇÃO!K1097,'PROJETO PERFURAÇÃO'!$B:$B,0))="Pre-Splitting","S"))),"")</f>
        <v/>
      </c>
      <c r="K1097" s="14">
        <f t="shared" si="106"/>
        <v>2446</v>
      </c>
      <c r="L1097" s="4" t="str">
        <f>IFERROR(INDEX('LEV R&amp;D'!$D:$D,MATCH(MEDIÇÃO!K1097,'LEV R&amp;D'!$A:$A,0))-INDEX('PROJETO PERFURAÇÃO'!$AH:$AH,MATCH(MEDIÇÃO!K1097,'PROJETO PERFURAÇÃO'!$B:$B,0)),"")</f>
        <v/>
      </c>
      <c r="M1097" s="8" t="str">
        <f>IFERROR(INDEX('PROJETO PERFURAÇÃO'!$AN:$AN,MATCH(MEDIÇÃO!K1097,'PROJETO PERFURAÇÃO'!$B:$B,0)),"")</f>
        <v/>
      </c>
      <c r="N1097" s="3"/>
      <c r="O1097" s="3"/>
      <c r="P1097" s="3" t="str">
        <f>IFERROR(ROUND(INDEX('PROJETO PERFURAÇÃO'!$AB:$AB,MATCH(MEDIÇÃO!R1097,'PROJETO PERFURAÇÃO'!$B:$B,0)),1)&amp;"''","")</f>
        <v/>
      </c>
      <c r="Q1097" s="3" t="str">
        <f>IFERROR(IF(INDEX('PROJETO PERFURAÇÃO'!$P:$P,MATCH(MEDIÇÃO!R1097,'PROJETO PERFURAÇÃO'!$B:$B,0))="Production","P",IF(INDEX('PROJETO PERFURAÇÃO'!$P:$P,MATCH(MEDIÇÃO!R1097,'PROJETO PERFURAÇÃO'!$B:$B,0))="Buffer","B",IF(INDEX('PROJETO PERFURAÇÃO'!$P:$P,MATCH(MEDIÇÃO!R1097,'PROJETO PERFURAÇÃO'!$B:$B,0))="Pre-Splitting","S"))),"")</f>
        <v/>
      </c>
      <c r="R1097" s="14">
        <f t="shared" si="107"/>
        <v>2469</v>
      </c>
      <c r="S1097" s="4" t="str">
        <f>IFERROR(INDEX('LEV R&amp;D'!$D:$D,MATCH(MEDIÇÃO!R1097,'LEV R&amp;D'!$A:$A,0))-INDEX('PROJETO PERFURAÇÃO'!$AH:$AH,MATCH(MEDIÇÃO!R1097,'PROJETO PERFURAÇÃO'!$B:$B,0)),"")</f>
        <v/>
      </c>
      <c r="T1097" s="8" t="str">
        <f>IFERROR(INDEX('PROJETO PERFURAÇÃO'!$AN:$AN,MATCH(MEDIÇÃO!R1097,'PROJETO PERFURAÇÃO'!$B:$B,0)),"")</f>
        <v/>
      </c>
      <c r="U1097" s="3"/>
      <c r="V1097" s="3"/>
    </row>
    <row r="1098" spans="1:23" ht="45" customHeight="1" x14ac:dyDescent="0.25">
      <c r="B1098" s="3" t="str">
        <f>IFERROR(ROUND(INDEX('PROJETO PERFURAÇÃO'!$AB:$AB,MATCH(MEDIÇÃO!D1098,'PROJETO PERFURAÇÃO'!$B:$B,0)),1)&amp;"''","")</f>
        <v/>
      </c>
      <c r="C1098" s="3" t="str">
        <f>IFERROR(IF(INDEX('PROJETO PERFURAÇÃO'!$P:$P,MATCH(MEDIÇÃO!D1098,'PROJETO PERFURAÇÃO'!$B:$B,0))="Production","P",IF(INDEX('PROJETO PERFURAÇÃO'!$P:$P,MATCH(MEDIÇÃO!D1098,'PROJETO PERFURAÇÃO'!$B:$B,0))="Buffer","B",IF(INDEX('PROJETO PERFURAÇÃO'!$P:$P,MATCH(MEDIÇÃO!D1098,'PROJETO PERFURAÇÃO'!$B:$B,0))="Pre-Splitting","S"))),"")</f>
        <v/>
      </c>
      <c r="D1098" s="14">
        <f t="shared" si="105"/>
        <v>2424</v>
      </c>
      <c r="E1098" s="4" t="str">
        <f>IFERROR(INDEX('LEV R&amp;D'!$D:$D,MATCH(MEDIÇÃO!D1098,'LEV R&amp;D'!$A:$A,0))-INDEX('PROJETO PERFURAÇÃO'!$AH:$AH,MATCH(MEDIÇÃO!D1098,'PROJETO PERFURAÇÃO'!$B:$B,0)),"")</f>
        <v/>
      </c>
      <c r="F1098" s="8" t="str">
        <f>IFERROR(INDEX('PROJETO PERFURAÇÃO'!$AN:$AN,MATCH(MEDIÇÃO!D1098,'PROJETO PERFURAÇÃO'!$B:$B,0)),"")</f>
        <v/>
      </c>
      <c r="G1098" s="3"/>
      <c r="H1098" s="3"/>
      <c r="I1098" s="3" t="str">
        <f>IFERROR(ROUND(INDEX('PROJETO PERFURAÇÃO'!$AB:$AB,MATCH(MEDIÇÃO!K1098,'PROJETO PERFURAÇÃO'!$B:$B,0)),1)&amp;"''","")</f>
        <v/>
      </c>
      <c r="J1098" s="3" t="str">
        <f>IFERROR(IF(INDEX('PROJETO PERFURAÇÃO'!$P:$P,MATCH(MEDIÇÃO!K1098,'PROJETO PERFURAÇÃO'!$B:$B,0))="Production","P",IF(INDEX('PROJETO PERFURAÇÃO'!$P:$P,MATCH(MEDIÇÃO!K1098,'PROJETO PERFURAÇÃO'!$B:$B,0))="Buffer","B",IF(INDEX('PROJETO PERFURAÇÃO'!$P:$P,MATCH(MEDIÇÃO!K1098,'PROJETO PERFURAÇÃO'!$B:$B,0))="Pre-Splitting","S"))),"")</f>
        <v/>
      </c>
      <c r="K1098" s="14">
        <f t="shared" si="106"/>
        <v>2447</v>
      </c>
      <c r="L1098" s="4" t="str">
        <f>IFERROR(INDEX('LEV R&amp;D'!$D:$D,MATCH(MEDIÇÃO!K1098,'LEV R&amp;D'!$A:$A,0))-INDEX('PROJETO PERFURAÇÃO'!$AH:$AH,MATCH(MEDIÇÃO!K1098,'PROJETO PERFURAÇÃO'!$B:$B,0)),"")</f>
        <v/>
      </c>
      <c r="M1098" s="8" t="str">
        <f>IFERROR(INDEX('PROJETO PERFURAÇÃO'!$AN:$AN,MATCH(MEDIÇÃO!K1098,'PROJETO PERFURAÇÃO'!$B:$B,0)),"")</f>
        <v/>
      </c>
      <c r="N1098" s="3"/>
      <c r="O1098" s="3"/>
      <c r="P1098" s="3" t="str">
        <f>IFERROR(ROUND(INDEX('PROJETO PERFURAÇÃO'!$AB:$AB,MATCH(MEDIÇÃO!R1098,'PROJETO PERFURAÇÃO'!$B:$B,0)),1)&amp;"''","")</f>
        <v/>
      </c>
      <c r="Q1098" s="3" t="str">
        <f>IFERROR(IF(INDEX('PROJETO PERFURAÇÃO'!$P:$P,MATCH(MEDIÇÃO!R1098,'PROJETO PERFURAÇÃO'!$B:$B,0))="Production","P",IF(INDEX('PROJETO PERFURAÇÃO'!$P:$P,MATCH(MEDIÇÃO!R1098,'PROJETO PERFURAÇÃO'!$B:$B,0))="Buffer","B",IF(INDEX('PROJETO PERFURAÇÃO'!$P:$P,MATCH(MEDIÇÃO!R1098,'PROJETO PERFURAÇÃO'!$B:$B,0))="Pre-Splitting","S"))),"")</f>
        <v/>
      </c>
      <c r="R1098" s="14">
        <f t="shared" si="107"/>
        <v>2470</v>
      </c>
      <c r="S1098" s="4" t="str">
        <f>IFERROR(INDEX('LEV R&amp;D'!$D:$D,MATCH(MEDIÇÃO!R1098,'LEV R&amp;D'!$A:$A,0))-INDEX('PROJETO PERFURAÇÃO'!$AH:$AH,MATCH(MEDIÇÃO!R1098,'PROJETO PERFURAÇÃO'!$B:$B,0)),"")</f>
        <v/>
      </c>
      <c r="T1098" s="8" t="str">
        <f>IFERROR(INDEX('PROJETO PERFURAÇÃO'!$AN:$AN,MATCH(MEDIÇÃO!R1098,'PROJETO PERFURAÇÃO'!$B:$B,0)),"")</f>
        <v/>
      </c>
      <c r="U1098" s="3"/>
      <c r="V1098" s="3"/>
    </row>
    <row r="1099" spans="1:23" ht="45" customHeight="1" x14ac:dyDescent="0.25">
      <c r="B1099" s="3" t="str">
        <f>IFERROR(ROUND(INDEX('PROJETO PERFURAÇÃO'!$AB:$AB,MATCH(MEDIÇÃO!D1099,'PROJETO PERFURAÇÃO'!$B:$B,0)),1)&amp;"''","")</f>
        <v/>
      </c>
      <c r="C1099" s="3" t="str">
        <f>IFERROR(IF(INDEX('PROJETO PERFURAÇÃO'!$P:$P,MATCH(MEDIÇÃO!D1099,'PROJETO PERFURAÇÃO'!$B:$B,0))="Production","P",IF(INDEX('PROJETO PERFURAÇÃO'!$P:$P,MATCH(MEDIÇÃO!D1099,'PROJETO PERFURAÇÃO'!$B:$B,0))="Buffer","B",IF(INDEX('PROJETO PERFURAÇÃO'!$P:$P,MATCH(MEDIÇÃO!D1099,'PROJETO PERFURAÇÃO'!$B:$B,0))="Pre-Splitting","S"))),"")</f>
        <v/>
      </c>
      <c r="D1099" s="14">
        <f t="shared" si="105"/>
        <v>2425</v>
      </c>
      <c r="E1099" s="4" t="str">
        <f>IFERROR(INDEX('LEV R&amp;D'!$D:$D,MATCH(MEDIÇÃO!D1099,'LEV R&amp;D'!$A:$A,0))-INDEX('PROJETO PERFURAÇÃO'!$AH:$AH,MATCH(MEDIÇÃO!D1099,'PROJETO PERFURAÇÃO'!$B:$B,0)),"")</f>
        <v/>
      </c>
      <c r="F1099" s="8" t="str">
        <f>IFERROR(INDEX('PROJETO PERFURAÇÃO'!$AN:$AN,MATCH(MEDIÇÃO!D1099,'PROJETO PERFURAÇÃO'!$B:$B,0)),"")</f>
        <v/>
      </c>
      <c r="G1099" s="3"/>
      <c r="H1099" s="3"/>
      <c r="I1099" s="3" t="str">
        <f>IFERROR(ROUND(INDEX('PROJETO PERFURAÇÃO'!$AB:$AB,MATCH(MEDIÇÃO!K1099,'PROJETO PERFURAÇÃO'!$B:$B,0)),1)&amp;"''","")</f>
        <v/>
      </c>
      <c r="J1099" s="3" t="str">
        <f>IFERROR(IF(INDEX('PROJETO PERFURAÇÃO'!$P:$P,MATCH(MEDIÇÃO!K1099,'PROJETO PERFURAÇÃO'!$B:$B,0))="Production","P",IF(INDEX('PROJETO PERFURAÇÃO'!$P:$P,MATCH(MEDIÇÃO!K1099,'PROJETO PERFURAÇÃO'!$B:$B,0))="Buffer","B",IF(INDEX('PROJETO PERFURAÇÃO'!$P:$P,MATCH(MEDIÇÃO!K1099,'PROJETO PERFURAÇÃO'!$B:$B,0))="Pre-Splitting","S"))),"")</f>
        <v/>
      </c>
      <c r="K1099" s="14">
        <f t="shared" si="106"/>
        <v>2448</v>
      </c>
      <c r="L1099" s="4" t="str">
        <f>IFERROR(INDEX('LEV R&amp;D'!$D:$D,MATCH(MEDIÇÃO!K1099,'LEV R&amp;D'!$A:$A,0))-INDEX('PROJETO PERFURAÇÃO'!$AH:$AH,MATCH(MEDIÇÃO!K1099,'PROJETO PERFURAÇÃO'!$B:$B,0)),"")</f>
        <v/>
      </c>
      <c r="M1099" s="8" t="str">
        <f>IFERROR(INDEX('PROJETO PERFURAÇÃO'!$AN:$AN,MATCH(MEDIÇÃO!K1099,'PROJETO PERFURAÇÃO'!$B:$B,0)),"")</f>
        <v/>
      </c>
      <c r="N1099" s="3"/>
      <c r="O1099" s="3"/>
      <c r="P1099" s="3" t="str">
        <f>IFERROR(ROUND(INDEX('PROJETO PERFURAÇÃO'!$AB:$AB,MATCH(MEDIÇÃO!R1099,'PROJETO PERFURAÇÃO'!$B:$B,0)),1)&amp;"''","")</f>
        <v/>
      </c>
      <c r="Q1099" s="3" t="str">
        <f>IFERROR(IF(INDEX('PROJETO PERFURAÇÃO'!$P:$P,MATCH(MEDIÇÃO!R1099,'PROJETO PERFURAÇÃO'!$B:$B,0))="Production","P",IF(INDEX('PROJETO PERFURAÇÃO'!$P:$P,MATCH(MEDIÇÃO!R1099,'PROJETO PERFURAÇÃO'!$B:$B,0))="Buffer","B",IF(INDEX('PROJETO PERFURAÇÃO'!$P:$P,MATCH(MEDIÇÃO!R1099,'PROJETO PERFURAÇÃO'!$B:$B,0))="Pre-Splitting","S"))),"")</f>
        <v/>
      </c>
      <c r="R1099" s="14">
        <f t="shared" si="107"/>
        <v>2471</v>
      </c>
      <c r="S1099" s="4" t="str">
        <f>IFERROR(INDEX('LEV R&amp;D'!$D:$D,MATCH(MEDIÇÃO!R1099,'LEV R&amp;D'!$A:$A,0))-INDEX('PROJETO PERFURAÇÃO'!$AH:$AH,MATCH(MEDIÇÃO!R1099,'PROJETO PERFURAÇÃO'!$B:$B,0)),"")</f>
        <v/>
      </c>
      <c r="T1099" s="8" t="str">
        <f>IFERROR(INDEX('PROJETO PERFURAÇÃO'!$AN:$AN,MATCH(MEDIÇÃO!R1099,'PROJETO PERFURAÇÃO'!$B:$B,0)),"")</f>
        <v/>
      </c>
      <c r="U1099" s="3"/>
      <c r="V1099" s="3"/>
    </row>
    <row r="1100" spans="1:23" ht="45" customHeight="1" x14ac:dyDescent="0.25">
      <c r="B1100" s="3" t="str">
        <f>IFERROR(ROUND(INDEX('PROJETO PERFURAÇÃO'!$AB:$AB,MATCH(MEDIÇÃO!D1100,'PROJETO PERFURAÇÃO'!$B:$B,0)),1)&amp;"''","")</f>
        <v/>
      </c>
      <c r="C1100" s="3" t="str">
        <f>IFERROR(IF(INDEX('PROJETO PERFURAÇÃO'!$P:$P,MATCH(MEDIÇÃO!D1100,'PROJETO PERFURAÇÃO'!$B:$B,0))="Production","P",IF(INDEX('PROJETO PERFURAÇÃO'!$P:$P,MATCH(MEDIÇÃO!D1100,'PROJETO PERFURAÇÃO'!$B:$B,0))="Buffer","B",IF(INDEX('PROJETO PERFURAÇÃO'!$P:$P,MATCH(MEDIÇÃO!D1100,'PROJETO PERFURAÇÃO'!$B:$B,0))="Pre-Splitting","S"))),"")</f>
        <v/>
      </c>
      <c r="D1100" s="14">
        <f t="shared" si="105"/>
        <v>2426</v>
      </c>
      <c r="E1100" s="4" t="str">
        <f>IFERROR(INDEX('LEV R&amp;D'!$D:$D,MATCH(MEDIÇÃO!D1100,'LEV R&amp;D'!$A:$A,0))-INDEX('PROJETO PERFURAÇÃO'!$AH:$AH,MATCH(MEDIÇÃO!D1100,'PROJETO PERFURAÇÃO'!$B:$B,0)),"")</f>
        <v/>
      </c>
      <c r="F1100" s="8" t="str">
        <f>IFERROR(INDEX('PROJETO PERFURAÇÃO'!$AN:$AN,MATCH(MEDIÇÃO!D1100,'PROJETO PERFURAÇÃO'!$B:$B,0)),"")</f>
        <v/>
      </c>
      <c r="G1100" s="3"/>
      <c r="H1100" s="3"/>
      <c r="I1100" s="3" t="str">
        <f>IFERROR(ROUND(INDEX('PROJETO PERFURAÇÃO'!$AB:$AB,MATCH(MEDIÇÃO!K1100,'PROJETO PERFURAÇÃO'!$B:$B,0)),1)&amp;"''","")</f>
        <v/>
      </c>
      <c r="J1100" s="3" t="str">
        <f>IFERROR(IF(INDEX('PROJETO PERFURAÇÃO'!$P:$P,MATCH(MEDIÇÃO!K1100,'PROJETO PERFURAÇÃO'!$B:$B,0))="Production","P",IF(INDEX('PROJETO PERFURAÇÃO'!$P:$P,MATCH(MEDIÇÃO!K1100,'PROJETO PERFURAÇÃO'!$B:$B,0))="Buffer","B",IF(INDEX('PROJETO PERFURAÇÃO'!$P:$P,MATCH(MEDIÇÃO!K1100,'PROJETO PERFURAÇÃO'!$B:$B,0))="Pre-Splitting","S"))),"")</f>
        <v/>
      </c>
      <c r="K1100" s="14">
        <f t="shared" si="106"/>
        <v>2449</v>
      </c>
      <c r="L1100" s="4" t="str">
        <f>IFERROR(INDEX('LEV R&amp;D'!$D:$D,MATCH(MEDIÇÃO!K1100,'LEV R&amp;D'!$A:$A,0))-INDEX('PROJETO PERFURAÇÃO'!$AH:$AH,MATCH(MEDIÇÃO!K1100,'PROJETO PERFURAÇÃO'!$B:$B,0)),"")</f>
        <v/>
      </c>
      <c r="M1100" s="8" t="str">
        <f>IFERROR(INDEX('PROJETO PERFURAÇÃO'!$AN:$AN,MATCH(MEDIÇÃO!K1100,'PROJETO PERFURAÇÃO'!$B:$B,0)),"")</f>
        <v/>
      </c>
      <c r="N1100" s="3"/>
      <c r="O1100" s="3"/>
      <c r="P1100" s="3" t="str">
        <f>IFERROR(ROUND(INDEX('PROJETO PERFURAÇÃO'!$AB:$AB,MATCH(MEDIÇÃO!R1100,'PROJETO PERFURAÇÃO'!$B:$B,0)),1)&amp;"''","")</f>
        <v/>
      </c>
      <c r="Q1100" s="3" t="str">
        <f>IFERROR(IF(INDEX('PROJETO PERFURAÇÃO'!$P:$P,MATCH(MEDIÇÃO!R1100,'PROJETO PERFURAÇÃO'!$B:$B,0))="Production","P",IF(INDEX('PROJETO PERFURAÇÃO'!$P:$P,MATCH(MEDIÇÃO!R1100,'PROJETO PERFURAÇÃO'!$B:$B,0))="Buffer","B",IF(INDEX('PROJETO PERFURAÇÃO'!$P:$P,MATCH(MEDIÇÃO!R1100,'PROJETO PERFURAÇÃO'!$B:$B,0))="Pre-Splitting","S"))),"")</f>
        <v/>
      </c>
      <c r="R1100" s="14">
        <f t="shared" si="107"/>
        <v>2472</v>
      </c>
      <c r="S1100" s="4" t="str">
        <f>IFERROR(INDEX('LEV R&amp;D'!$D:$D,MATCH(MEDIÇÃO!R1100,'LEV R&amp;D'!$A:$A,0))-INDEX('PROJETO PERFURAÇÃO'!$AH:$AH,MATCH(MEDIÇÃO!R1100,'PROJETO PERFURAÇÃO'!$B:$B,0)),"")</f>
        <v/>
      </c>
      <c r="T1100" s="8" t="str">
        <f>IFERROR(INDEX('PROJETO PERFURAÇÃO'!$AN:$AN,MATCH(MEDIÇÃO!R1100,'PROJETO PERFURAÇÃO'!$B:$B,0)),"")</f>
        <v/>
      </c>
      <c r="U1100" s="3"/>
      <c r="V1100" s="3"/>
    </row>
    <row r="1101" spans="1:23" ht="45" customHeight="1" x14ac:dyDescent="0.25">
      <c r="B1101" s="3" t="str">
        <f>IFERROR(ROUND(INDEX('PROJETO PERFURAÇÃO'!$AB:$AB,MATCH(MEDIÇÃO!D1101,'PROJETO PERFURAÇÃO'!$B:$B,0)),1)&amp;"''","")</f>
        <v/>
      </c>
      <c r="C1101" s="3" t="str">
        <f>IFERROR(IF(INDEX('PROJETO PERFURAÇÃO'!$P:$P,MATCH(MEDIÇÃO!D1101,'PROJETO PERFURAÇÃO'!$B:$B,0))="Production","P",IF(INDEX('PROJETO PERFURAÇÃO'!$P:$P,MATCH(MEDIÇÃO!D1101,'PROJETO PERFURAÇÃO'!$B:$B,0))="Buffer","B",IF(INDEX('PROJETO PERFURAÇÃO'!$P:$P,MATCH(MEDIÇÃO!D1101,'PROJETO PERFURAÇÃO'!$B:$B,0))="Pre-Splitting","S"))),"")</f>
        <v/>
      </c>
      <c r="D1101" s="14">
        <f t="shared" si="105"/>
        <v>2427</v>
      </c>
      <c r="E1101" s="4" t="str">
        <f>IFERROR(INDEX('LEV R&amp;D'!$D:$D,MATCH(MEDIÇÃO!D1101,'LEV R&amp;D'!$A:$A,0))-INDEX('PROJETO PERFURAÇÃO'!$AH:$AH,MATCH(MEDIÇÃO!D1101,'PROJETO PERFURAÇÃO'!$B:$B,0)),"")</f>
        <v/>
      </c>
      <c r="F1101" s="8" t="str">
        <f>IFERROR(INDEX('PROJETO PERFURAÇÃO'!$AN:$AN,MATCH(MEDIÇÃO!D1101,'PROJETO PERFURAÇÃO'!$B:$B,0)),"")</f>
        <v/>
      </c>
      <c r="G1101" s="3"/>
      <c r="H1101" s="3"/>
      <c r="I1101" s="3" t="str">
        <f>IFERROR(ROUND(INDEX('PROJETO PERFURAÇÃO'!$AB:$AB,MATCH(MEDIÇÃO!K1101,'PROJETO PERFURAÇÃO'!$B:$B,0)),1)&amp;"''","")</f>
        <v/>
      </c>
      <c r="J1101" s="3" t="str">
        <f>IFERROR(IF(INDEX('PROJETO PERFURAÇÃO'!$P:$P,MATCH(MEDIÇÃO!K1101,'PROJETO PERFURAÇÃO'!$B:$B,0))="Production","P",IF(INDEX('PROJETO PERFURAÇÃO'!$P:$P,MATCH(MEDIÇÃO!K1101,'PROJETO PERFURAÇÃO'!$B:$B,0))="Buffer","B",IF(INDEX('PROJETO PERFURAÇÃO'!$P:$P,MATCH(MEDIÇÃO!K1101,'PROJETO PERFURAÇÃO'!$B:$B,0))="Pre-Splitting","S"))),"")</f>
        <v/>
      </c>
      <c r="K1101" s="14">
        <f t="shared" si="106"/>
        <v>2450</v>
      </c>
      <c r="L1101" s="4" t="str">
        <f>IFERROR(INDEX('LEV R&amp;D'!$D:$D,MATCH(MEDIÇÃO!K1101,'LEV R&amp;D'!$A:$A,0))-INDEX('PROJETO PERFURAÇÃO'!$AH:$AH,MATCH(MEDIÇÃO!K1101,'PROJETO PERFURAÇÃO'!$B:$B,0)),"")</f>
        <v/>
      </c>
      <c r="M1101" s="8" t="str">
        <f>IFERROR(INDEX('PROJETO PERFURAÇÃO'!$AN:$AN,MATCH(MEDIÇÃO!K1101,'PROJETO PERFURAÇÃO'!$B:$B,0)),"")</f>
        <v/>
      </c>
      <c r="N1101" s="3"/>
      <c r="O1101" s="3"/>
      <c r="P1101" s="3" t="str">
        <f>IFERROR(ROUND(INDEX('PROJETO PERFURAÇÃO'!$AB:$AB,MATCH(MEDIÇÃO!R1101,'PROJETO PERFURAÇÃO'!$B:$B,0)),1)&amp;"''","")</f>
        <v/>
      </c>
      <c r="Q1101" s="3" t="str">
        <f>IFERROR(IF(INDEX('PROJETO PERFURAÇÃO'!$P:$P,MATCH(MEDIÇÃO!R1101,'PROJETO PERFURAÇÃO'!$B:$B,0))="Production","P",IF(INDEX('PROJETO PERFURAÇÃO'!$P:$P,MATCH(MEDIÇÃO!R1101,'PROJETO PERFURAÇÃO'!$B:$B,0))="Buffer","B",IF(INDEX('PROJETO PERFURAÇÃO'!$P:$P,MATCH(MEDIÇÃO!R1101,'PROJETO PERFURAÇÃO'!$B:$B,0))="Pre-Splitting","S"))),"")</f>
        <v/>
      </c>
      <c r="R1101" s="14">
        <f t="shared" si="107"/>
        <v>2473</v>
      </c>
      <c r="S1101" s="4" t="str">
        <f>IFERROR(INDEX('LEV R&amp;D'!$D:$D,MATCH(MEDIÇÃO!R1101,'LEV R&amp;D'!$A:$A,0))-INDEX('PROJETO PERFURAÇÃO'!$AH:$AH,MATCH(MEDIÇÃO!R1101,'PROJETO PERFURAÇÃO'!$B:$B,0)),"")</f>
        <v/>
      </c>
      <c r="T1101" s="8" t="str">
        <f>IFERROR(INDEX('PROJETO PERFURAÇÃO'!$AN:$AN,MATCH(MEDIÇÃO!R1101,'PROJETO PERFURAÇÃO'!$B:$B,0)),"")</f>
        <v/>
      </c>
      <c r="U1101" s="3"/>
      <c r="V1101" s="3"/>
    </row>
    <row r="1102" spans="1:23" ht="45" customHeight="1" x14ac:dyDescent="0.25">
      <c r="B1102" s="3" t="str">
        <f>IFERROR(ROUND(INDEX('PROJETO PERFURAÇÃO'!$AB:$AB,MATCH(MEDIÇÃO!D1102,'PROJETO PERFURAÇÃO'!$B:$B,0)),1)&amp;"''","")</f>
        <v/>
      </c>
      <c r="C1102" s="3" t="str">
        <f>IFERROR(IF(INDEX('PROJETO PERFURAÇÃO'!$P:$P,MATCH(MEDIÇÃO!D1102,'PROJETO PERFURAÇÃO'!$B:$B,0))="Production","P",IF(INDEX('PROJETO PERFURAÇÃO'!$P:$P,MATCH(MEDIÇÃO!D1102,'PROJETO PERFURAÇÃO'!$B:$B,0))="Buffer","B",IF(INDEX('PROJETO PERFURAÇÃO'!$P:$P,MATCH(MEDIÇÃO!D1102,'PROJETO PERFURAÇÃO'!$B:$B,0))="Pre-Splitting","S"))),"")</f>
        <v/>
      </c>
      <c r="D1102" s="14">
        <f t="shared" si="105"/>
        <v>2428</v>
      </c>
      <c r="E1102" s="4" t="str">
        <f>IFERROR(INDEX('LEV R&amp;D'!$D:$D,MATCH(MEDIÇÃO!D1102,'LEV R&amp;D'!$A:$A,0))-INDEX('PROJETO PERFURAÇÃO'!$AH:$AH,MATCH(MEDIÇÃO!D1102,'PROJETO PERFURAÇÃO'!$B:$B,0)),"")</f>
        <v/>
      </c>
      <c r="F1102" s="8" t="str">
        <f>IFERROR(INDEX('PROJETO PERFURAÇÃO'!$AN:$AN,MATCH(MEDIÇÃO!D1102,'PROJETO PERFURAÇÃO'!$B:$B,0)),"")</f>
        <v/>
      </c>
      <c r="G1102" s="3"/>
      <c r="H1102" s="3"/>
      <c r="I1102" s="3" t="str">
        <f>IFERROR(ROUND(INDEX('PROJETO PERFURAÇÃO'!$AB:$AB,MATCH(MEDIÇÃO!K1102,'PROJETO PERFURAÇÃO'!$B:$B,0)),1)&amp;"''","")</f>
        <v/>
      </c>
      <c r="J1102" s="3" t="str">
        <f>IFERROR(IF(INDEX('PROJETO PERFURAÇÃO'!$P:$P,MATCH(MEDIÇÃO!K1102,'PROJETO PERFURAÇÃO'!$B:$B,0))="Production","P",IF(INDEX('PROJETO PERFURAÇÃO'!$P:$P,MATCH(MEDIÇÃO!K1102,'PROJETO PERFURAÇÃO'!$B:$B,0))="Buffer","B",IF(INDEX('PROJETO PERFURAÇÃO'!$P:$P,MATCH(MEDIÇÃO!K1102,'PROJETO PERFURAÇÃO'!$B:$B,0))="Pre-Splitting","S"))),"")</f>
        <v/>
      </c>
      <c r="K1102" s="14">
        <f t="shared" si="106"/>
        <v>2451</v>
      </c>
      <c r="L1102" s="4" t="str">
        <f>IFERROR(INDEX('LEV R&amp;D'!$D:$D,MATCH(MEDIÇÃO!K1102,'LEV R&amp;D'!$A:$A,0))-INDEX('PROJETO PERFURAÇÃO'!$AH:$AH,MATCH(MEDIÇÃO!K1102,'PROJETO PERFURAÇÃO'!$B:$B,0)),"")</f>
        <v/>
      </c>
      <c r="M1102" s="8" t="str">
        <f>IFERROR(INDEX('PROJETO PERFURAÇÃO'!$AN:$AN,MATCH(MEDIÇÃO!K1102,'PROJETO PERFURAÇÃO'!$B:$B,0)),"")</f>
        <v/>
      </c>
      <c r="N1102" s="3"/>
      <c r="O1102" s="3"/>
      <c r="P1102" s="3" t="str">
        <f>IFERROR(ROUND(INDEX('PROJETO PERFURAÇÃO'!$AB:$AB,MATCH(MEDIÇÃO!R1102,'PROJETO PERFURAÇÃO'!$B:$B,0)),1)&amp;"''","")</f>
        <v/>
      </c>
      <c r="Q1102" s="3" t="str">
        <f>IFERROR(IF(INDEX('PROJETO PERFURAÇÃO'!$P:$P,MATCH(MEDIÇÃO!R1102,'PROJETO PERFURAÇÃO'!$B:$B,0))="Production","P",IF(INDEX('PROJETO PERFURAÇÃO'!$P:$P,MATCH(MEDIÇÃO!R1102,'PROJETO PERFURAÇÃO'!$B:$B,0))="Buffer","B",IF(INDEX('PROJETO PERFURAÇÃO'!$P:$P,MATCH(MEDIÇÃO!R1102,'PROJETO PERFURAÇÃO'!$B:$B,0))="Pre-Splitting","S"))),"")</f>
        <v/>
      </c>
      <c r="R1102" s="14">
        <f t="shared" si="107"/>
        <v>2474</v>
      </c>
      <c r="S1102" s="4" t="str">
        <f>IFERROR(INDEX('LEV R&amp;D'!$D:$D,MATCH(MEDIÇÃO!R1102,'LEV R&amp;D'!$A:$A,0))-INDEX('PROJETO PERFURAÇÃO'!$AH:$AH,MATCH(MEDIÇÃO!R1102,'PROJETO PERFURAÇÃO'!$B:$B,0)),"")</f>
        <v/>
      </c>
      <c r="T1102" s="8" t="str">
        <f>IFERROR(INDEX('PROJETO PERFURAÇÃO'!$AN:$AN,MATCH(MEDIÇÃO!R1102,'PROJETO PERFURAÇÃO'!$B:$B,0)),"")</f>
        <v/>
      </c>
      <c r="U1102" s="3"/>
      <c r="V1102" s="3"/>
    </row>
    <row r="1103" spans="1:23" ht="45" customHeight="1" x14ac:dyDescent="0.25">
      <c r="B1103" s="3" t="str">
        <f>IFERROR(ROUND(INDEX('PROJETO PERFURAÇÃO'!$AB:$AB,MATCH(MEDIÇÃO!D1103,'PROJETO PERFURAÇÃO'!$B:$B,0)),1)&amp;"''","")</f>
        <v/>
      </c>
      <c r="C1103" s="3" t="str">
        <f>IFERROR(IF(INDEX('PROJETO PERFURAÇÃO'!$P:$P,MATCH(MEDIÇÃO!D1103,'PROJETO PERFURAÇÃO'!$B:$B,0))="Production","P",IF(INDEX('PROJETO PERFURAÇÃO'!$P:$P,MATCH(MEDIÇÃO!D1103,'PROJETO PERFURAÇÃO'!$B:$B,0))="Buffer","B",IF(INDEX('PROJETO PERFURAÇÃO'!$P:$P,MATCH(MEDIÇÃO!D1103,'PROJETO PERFURAÇÃO'!$B:$B,0))="Pre-Splitting","S"))),"")</f>
        <v/>
      </c>
      <c r="D1103" s="14">
        <f t="shared" si="105"/>
        <v>2429</v>
      </c>
      <c r="E1103" s="4" t="str">
        <f>IFERROR(INDEX('LEV R&amp;D'!$D:$D,MATCH(MEDIÇÃO!D1103,'LEV R&amp;D'!$A:$A,0))-INDEX('PROJETO PERFURAÇÃO'!$AH:$AH,MATCH(MEDIÇÃO!D1103,'PROJETO PERFURAÇÃO'!$B:$B,0)),"")</f>
        <v/>
      </c>
      <c r="F1103" s="8" t="str">
        <f>IFERROR(INDEX('PROJETO PERFURAÇÃO'!$AN:$AN,MATCH(MEDIÇÃO!D1103,'PROJETO PERFURAÇÃO'!$B:$B,0)),"")</f>
        <v/>
      </c>
      <c r="G1103" s="3"/>
      <c r="H1103" s="3"/>
      <c r="I1103" s="3" t="str">
        <f>IFERROR(ROUND(INDEX('PROJETO PERFURAÇÃO'!$AB:$AB,MATCH(MEDIÇÃO!K1103,'PROJETO PERFURAÇÃO'!$B:$B,0)),1)&amp;"''","")</f>
        <v/>
      </c>
      <c r="J1103" s="3" t="str">
        <f>IFERROR(IF(INDEX('PROJETO PERFURAÇÃO'!$P:$P,MATCH(MEDIÇÃO!K1103,'PROJETO PERFURAÇÃO'!$B:$B,0))="Production","P",IF(INDEX('PROJETO PERFURAÇÃO'!$P:$P,MATCH(MEDIÇÃO!K1103,'PROJETO PERFURAÇÃO'!$B:$B,0))="Buffer","B",IF(INDEX('PROJETO PERFURAÇÃO'!$P:$P,MATCH(MEDIÇÃO!K1103,'PROJETO PERFURAÇÃO'!$B:$B,0))="Pre-Splitting","S"))),"")</f>
        <v/>
      </c>
      <c r="K1103" s="14">
        <f t="shared" si="106"/>
        <v>2452</v>
      </c>
      <c r="L1103" s="4" t="str">
        <f>IFERROR(INDEX('LEV R&amp;D'!$D:$D,MATCH(MEDIÇÃO!K1103,'LEV R&amp;D'!$A:$A,0))-INDEX('PROJETO PERFURAÇÃO'!$AH:$AH,MATCH(MEDIÇÃO!K1103,'PROJETO PERFURAÇÃO'!$B:$B,0)),"")</f>
        <v/>
      </c>
      <c r="M1103" s="8" t="str">
        <f>IFERROR(INDEX('PROJETO PERFURAÇÃO'!$AN:$AN,MATCH(MEDIÇÃO!K1103,'PROJETO PERFURAÇÃO'!$B:$B,0)),"")</f>
        <v/>
      </c>
      <c r="N1103" s="3"/>
      <c r="O1103" s="3"/>
      <c r="P1103" s="3" t="str">
        <f>IFERROR(ROUND(INDEX('PROJETO PERFURAÇÃO'!$AB:$AB,MATCH(MEDIÇÃO!R1103,'PROJETO PERFURAÇÃO'!$B:$B,0)),1)&amp;"''","")</f>
        <v/>
      </c>
      <c r="Q1103" s="3" t="str">
        <f>IFERROR(IF(INDEX('PROJETO PERFURAÇÃO'!$P:$P,MATCH(MEDIÇÃO!R1103,'PROJETO PERFURAÇÃO'!$B:$B,0))="Production","P",IF(INDEX('PROJETO PERFURAÇÃO'!$P:$P,MATCH(MEDIÇÃO!R1103,'PROJETO PERFURAÇÃO'!$B:$B,0))="Buffer","B",IF(INDEX('PROJETO PERFURAÇÃO'!$P:$P,MATCH(MEDIÇÃO!R1103,'PROJETO PERFURAÇÃO'!$B:$B,0))="Pre-Splitting","S"))),"")</f>
        <v/>
      </c>
      <c r="R1103" s="14">
        <f t="shared" si="107"/>
        <v>2475</v>
      </c>
      <c r="S1103" s="4" t="str">
        <f>IFERROR(INDEX('LEV R&amp;D'!$D:$D,MATCH(MEDIÇÃO!R1103,'LEV R&amp;D'!$A:$A,0))-INDEX('PROJETO PERFURAÇÃO'!$AH:$AH,MATCH(MEDIÇÃO!R1103,'PROJETO PERFURAÇÃO'!$B:$B,0)),"")</f>
        <v/>
      </c>
      <c r="T1103" s="8" t="str">
        <f>IFERROR(INDEX('PROJETO PERFURAÇÃO'!$AN:$AN,MATCH(MEDIÇÃO!R1103,'PROJETO PERFURAÇÃO'!$B:$B,0)),"")</f>
        <v/>
      </c>
      <c r="U1103" s="3"/>
      <c r="V1103" s="3"/>
    </row>
    <row r="1104" spans="1:23" ht="45" customHeight="1" x14ac:dyDescent="0.25">
      <c r="B1104" s="3" t="str">
        <f>IFERROR(ROUND(INDEX('PROJETO PERFURAÇÃO'!$AB:$AB,MATCH(MEDIÇÃO!D1104,'PROJETO PERFURAÇÃO'!$B:$B,0)),1)&amp;"''","")</f>
        <v/>
      </c>
      <c r="C1104" s="3" t="str">
        <f>IFERROR(IF(INDEX('PROJETO PERFURAÇÃO'!$P:$P,MATCH(MEDIÇÃO!D1104,'PROJETO PERFURAÇÃO'!$B:$B,0))="Production","P",IF(INDEX('PROJETO PERFURAÇÃO'!$P:$P,MATCH(MEDIÇÃO!D1104,'PROJETO PERFURAÇÃO'!$B:$B,0))="Buffer","B",IF(INDEX('PROJETO PERFURAÇÃO'!$P:$P,MATCH(MEDIÇÃO!D1104,'PROJETO PERFURAÇÃO'!$B:$B,0))="Pre-Splitting","S"))),"")</f>
        <v/>
      </c>
      <c r="D1104" s="14">
        <f t="shared" si="105"/>
        <v>2430</v>
      </c>
      <c r="E1104" s="4" t="str">
        <f>IFERROR(INDEX('LEV R&amp;D'!$D:$D,MATCH(MEDIÇÃO!D1104,'LEV R&amp;D'!$A:$A,0))-INDEX('PROJETO PERFURAÇÃO'!$AH:$AH,MATCH(MEDIÇÃO!D1104,'PROJETO PERFURAÇÃO'!$B:$B,0)),"")</f>
        <v/>
      </c>
      <c r="F1104" s="8" t="str">
        <f>IFERROR(INDEX('PROJETO PERFURAÇÃO'!$AN:$AN,MATCH(MEDIÇÃO!D1104,'PROJETO PERFURAÇÃO'!$B:$B,0)),"")</f>
        <v/>
      </c>
      <c r="G1104" s="3"/>
      <c r="H1104" s="3"/>
      <c r="I1104" s="3" t="str">
        <f>IFERROR(ROUND(INDEX('PROJETO PERFURAÇÃO'!$AB:$AB,MATCH(MEDIÇÃO!K1104,'PROJETO PERFURAÇÃO'!$B:$B,0)),1)&amp;"''","")</f>
        <v/>
      </c>
      <c r="J1104" s="3" t="str">
        <f>IFERROR(IF(INDEX('PROJETO PERFURAÇÃO'!$P:$P,MATCH(MEDIÇÃO!K1104,'PROJETO PERFURAÇÃO'!$B:$B,0))="Production","P",IF(INDEX('PROJETO PERFURAÇÃO'!$P:$P,MATCH(MEDIÇÃO!K1104,'PROJETO PERFURAÇÃO'!$B:$B,0))="Buffer","B",IF(INDEX('PROJETO PERFURAÇÃO'!$P:$P,MATCH(MEDIÇÃO!K1104,'PROJETO PERFURAÇÃO'!$B:$B,0))="Pre-Splitting","S"))),"")</f>
        <v/>
      </c>
      <c r="K1104" s="14">
        <f t="shared" si="106"/>
        <v>2453</v>
      </c>
      <c r="L1104" s="4" t="str">
        <f>IFERROR(INDEX('LEV R&amp;D'!$D:$D,MATCH(MEDIÇÃO!K1104,'LEV R&amp;D'!$A:$A,0))-INDEX('PROJETO PERFURAÇÃO'!$AH:$AH,MATCH(MEDIÇÃO!K1104,'PROJETO PERFURAÇÃO'!$B:$B,0)),"")</f>
        <v/>
      </c>
      <c r="M1104" s="8" t="str">
        <f>IFERROR(INDEX('PROJETO PERFURAÇÃO'!$AN:$AN,MATCH(MEDIÇÃO!K1104,'PROJETO PERFURAÇÃO'!$B:$B,0)),"")</f>
        <v/>
      </c>
      <c r="N1104" s="3"/>
      <c r="O1104" s="3"/>
      <c r="P1104" s="3" t="str">
        <f>IFERROR(ROUND(INDEX('PROJETO PERFURAÇÃO'!$AB:$AB,MATCH(MEDIÇÃO!R1104,'PROJETO PERFURAÇÃO'!$B:$B,0)),1)&amp;"''","")</f>
        <v/>
      </c>
      <c r="Q1104" s="3" t="str">
        <f>IFERROR(IF(INDEX('PROJETO PERFURAÇÃO'!$P:$P,MATCH(MEDIÇÃO!R1104,'PROJETO PERFURAÇÃO'!$B:$B,0))="Production","P",IF(INDEX('PROJETO PERFURAÇÃO'!$P:$P,MATCH(MEDIÇÃO!R1104,'PROJETO PERFURAÇÃO'!$B:$B,0))="Buffer","B",IF(INDEX('PROJETO PERFURAÇÃO'!$P:$P,MATCH(MEDIÇÃO!R1104,'PROJETO PERFURAÇÃO'!$B:$B,0))="Pre-Splitting","S"))),"")</f>
        <v/>
      </c>
      <c r="R1104" s="14">
        <f t="shared" si="107"/>
        <v>2476</v>
      </c>
      <c r="S1104" s="4" t="str">
        <f>IFERROR(INDEX('LEV R&amp;D'!$D:$D,MATCH(MEDIÇÃO!R1104,'LEV R&amp;D'!$A:$A,0))-INDEX('PROJETO PERFURAÇÃO'!$AH:$AH,MATCH(MEDIÇÃO!R1104,'PROJETO PERFURAÇÃO'!$B:$B,0)),"")</f>
        <v/>
      </c>
      <c r="T1104" s="8" t="str">
        <f>IFERROR(INDEX('PROJETO PERFURAÇÃO'!$AN:$AN,MATCH(MEDIÇÃO!R1104,'PROJETO PERFURAÇÃO'!$B:$B,0)),"")</f>
        <v/>
      </c>
      <c r="U1104" s="3"/>
      <c r="V1104" s="3"/>
    </row>
    <row r="1105" spans="1:23" ht="45" customHeight="1" x14ac:dyDescent="0.25">
      <c r="B1105" s="3" t="str">
        <f>IFERROR(ROUND(INDEX('PROJETO PERFURAÇÃO'!$AB:$AB,MATCH(MEDIÇÃO!D1105,'PROJETO PERFURAÇÃO'!$B:$B,0)),1)&amp;"''","")</f>
        <v/>
      </c>
      <c r="C1105" s="3" t="str">
        <f>IFERROR(IF(INDEX('PROJETO PERFURAÇÃO'!$P:$P,MATCH(MEDIÇÃO!D1105,'PROJETO PERFURAÇÃO'!$B:$B,0))="Production","P",IF(INDEX('PROJETO PERFURAÇÃO'!$P:$P,MATCH(MEDIÇÃO!D1105,'PROJETO PERFURAÇÃO'!$B:$B,0))="Buffer","B",IF(INDEX('PROJETO PERFURAÇÃO'!$P:$P,MATCH(MEDIÇÃO!D1105,'PROJETO PERFURAÇÃO'!$B:$B,0))="Pre-Splitting","S"))),"")</f>
        <v/>
      </c>
      <c r="D1105" s="14">
        <f t="shared" si="105"/>
        <v>2431</v>
      </c>
      <c r="E1105" s="4" t="str">
        <f>IFERROR(INDEX('LEV R&amp;D'!$D:$D,MATCH(MEDIÇÃO!D1105,'LEV R&amp;D'!$A:$A,0))-INDEX('PROJETO PERFURAÇÃO'!$AH:$AH,MATCH(MEDIÇÃO!D1105,'PROJETO PERFURAÇÃO'!$B:$B,0)),"")</f>
        <v/>
      </c>
      <c r="F1105" s="8" t="str">
        <f>IFERROR(INDEX('PROJETO PERFURAÇÃO'!$AN:$AN,MATCH(MEDIÇÃO!D1105,'PROJETO PERFURAÇÃO'!$B:$B,0)),"")</f>
        <v/>
      </c>
      <c r="G1105" s="3"/>
      <c r="H1105" s="3"/>
      <c r="I1105" s="3" t="str">
        <f>IFERROR(ROUND(INDEX('PROJETO PERFURAÇÃO'!$AB:$AB,MATCH(MEDIÇÃO!K1105,'PROJETO PERFURAÇÃO'!$B:$B,0)),1)&amp;"''","")</f>
        <v/>
      </c>
      <c r="J1105" s="3" t="str">
        <f>IFERROR(IF(INDEX('PROJETO PERFURAÇÃO'!$P:$P,MATCH(MEDIÇÃO!K1105,'PROJETO PERFURAÇÃO'!$B:$B,0))="Production","P",IF(INDEX('PROJETO PERFURAÇÃO'!$P:$P,MATCH(MEDIÇÃO!K1105,'PROJETO PERFURAÇÃO'!$B:$B,0))="Buffer","B",IF(INDEX('PROJETO PERFURAÇÃO'!$P:$P,MATCH(MEDIÇÃO!K1105,'PROJETO PERFURAÇÃO'!$B:$B,0))="Pre-Splitting","S"))),"")</f>
        <v/>
      </c>
      <c r="K1105" s="14">
        <f t="shared" si="106"/>
        <v>2454</v>
      </c>
      <c r="L1105" s="4" t="str">
        <f>IFERROR(INDEX('LEV R&amp;D'!$D:$D,MATCH(MEDIÇÃO!K1105,'LEV R&amp;D'!$A:$A,0))-INDEX('PROJETO PERFURAÇÃO'!$AH:$AH,MATCH(MEDIÇÃO!K1105,'PROJETO PERFURAÇÃO'!$B:$B,0)),"")</f>
        <v/>
      </c>
      <c r="M1105" s="8" t="str">
        <f>IFERROR(INDEX('PROJETO PERFURAÇÃO'!$AN:$AN,MATCH(MEDIÇÃO!K1105,'PROJETO PERFURAÇÃO'!$B:$B,0)),"")</f>
        <v/>
      </c>
      <c r="N1105" s="3"/>
      <c r="O1105" s="3"/>
      <c r="P1105" s="3" t="str">
        <f>IFERROR(ROUND(INDEX('PROJETO PERFURAÇÃO'!$AB:$AB,MATCH(MEDIÇÃO!R1105,'PROJETO PERFURAÇÃO'!$B:$B,0)),1)&amp;"''","")</f>
        <v/>
      </c>
      <c r="Q1105" s="3" t="str">
        <f>IFERROR(IF(INDEX('PROJETO PERFURAÇÃO'!$P:$P,MATCH(MEDIÇÃO!R1105,'PROJETO PERFURAÇÃO'!$B:$B,0))="Production","P",IF(INDEX('PROJETO PERFURAÇÃO'!$P:$P,MATCH(MEDIÇÃO!R1105,'PROJETO PERFURAÇÃO'!$B:$B,0))="Buffer","B",IF(INDEX('PROJETO PERFURAÇÃO'!$P:$P,MATCH(MEDIÇÃO!R1105,'PROJETO PERFURAÇÃO'!$B:$B,0))="Pre-Splitting","S"))),"")</f>
        <v/>
      </c>
      <c r="R1105" s="14">
        <f t="shared" si="107"/>
        <v>2477</v>
      </c>
      <c r="S1105" s="4" t="str">
        <f>IFERROR(INDEX('LEV R&amp;D'!$D:$D,MATCH(MEDIÇÃO!R1105,'LEV R&amp;D'!$A:$A,0))-INDEX('PROJETO PERFURAÇÃO'!$AH:$AH,MATCH(MEDIÇÃO!R1105,'PROJETO PERFURAÇÃO'!$B:$B,0)),"")</f>
        <v/>
      </c>
      <c r="T1105" s="8" t="str">
        <f>IFERROR(INDEX('PROJETO PERFURAÇÃO'!$AN:$AN,MATCH(MEDIÇÃO!R1105,'PROJETO PERFURAÇÃO'!$B:$B,0)),"")</f>
        <v/>
      </c>
      <c r="U1105" s="3"/>
      <c r="V1105" s="3"/>
    </row>
    <row r="1106" spans="1:23" ht="45" customHeight="1" x14ac:dyDescent="0.25">
      <c r="B1106" s="3" t="str">
        <f>IFERROR(ROUND(INDEX('PROJETO PERFURAÇÃO'!$AB:$AB,MATCH(MEDIÇÃO!D1106,'PROJETO PERFURAÇÃO'!$B:$B,0)),1)&amp;"''","")</f>
        <v/>
      </c>
      <c r="C1106" s="3" t="str">
        <f>IFERROR(IF(INDEX('PROJETO PERFURAÇÃO'!$P:$P,MATCH(MEDIÇÃO!D1106,'PROJETO PERFURAÇÃO'!$B:$B,0))="Production","P",IF(INDEX('PROJETO PERFURAÇÃO'!$P:$P,MATCH(MEDIÇÃO!D1106,'PROJETO PERFURAÇÃO'!$B:$B,0))="Buffer","B",IF(INDEX('PROJETO PERFURAÇÃO'!$P:$P,MATCH(MEDIÇÃO!D1106,'PROJETO PERFURAÇÃO'!$B:$B,0))="Pre-Splitting","S"))),"")</f>
        <v/>
      </c>
      <c r="D1106" s="14">
        <f t="shared" si="105"/>
        <v>2432</v>
      </c>
      <c r="E1106" s="4" t="str">
        <f>IFERROR(INDEX('LEV R&amp;D'!$D:$D,MATCH(MEDIÇÃO!D1106,'LEV R&amp;D'!$A:$A,0))-INDEX('PROJETO PERFURAÇÃO'!$AH:$AH,MATCH(MEDIÇÃO!D1106,'PROJETO PERFURAÇÃO'!$B:$B,0)),"")</f>
        <v/>
      </c>
      <c r="F1106" s="8" t="str">
        <f>IFERROR(INDEX('PROJETO PERFURAÇÃO'!$AN:$AN,MATCH(MEDIÇÃO!D1106,'PROJETO PERFURAÇÃO'!$B:$B,0)),"")</f>
        <v/>
      </c>
      <c r="G1106" s="3"/>
      <c r="H1106" s="3"/>
      <c r="I1106" s="3" t="str">
        <f>IFERROR(ROUND(INDEX('PROJETO PERFURAÇÃO'!$AB:$AB,MATCH(MEDIÇÃO!K1106,'PROJETO PERFURAÇÃO'!$B:$B,0)),1)&amp;"''","")</f>
        <v/>
      </c>
      <c r="J1106" s="3" t="str">
        <f>IFERROR(IF(INDEX('PROJETO PERFURAÇÃO'!$P:$P,MATCH(MEDIÇÃO!K1106,'PROJETO PERFURAÇÃO'!$B:$B,0))="Production","P",IF(INDEX('PROJETO PERFURAÇÃO'!$P:$P,MATCH(MEDIÇÃO!K1106,'PROJETO PERFURAÇÃO'!$B:$B,0))="Buffer","B",IF(INDEX('PROJETO PERFURAÇÃO'!$P:$P,MATCH(MEDIÇÃO!K1106,'PROJETO PERFURAÇÃO'!$B:$B,0))="Pre-Splitting","S"))),"")</f>
        <v/>
      </c>
      <c r="K1106" s="14">
        <f t="shared" si="106"/>
        <v>2455</v>
      </c>
      <c r="L1106" s="4" t="str">
        <f>IFERROR(INDEX('LEV R&amp;D'!$D:$D,MATCH(MEDIÇÃO!K1106,'LEV R&amp;D'!$A:$A,0))-INDEX('PROJETO PERFURAÇÃO'!$AH:$AH,MATCH(MEDIÇÃO!K1106,'PROJETO PERFURAÇÃO'!$B:$B,0)),"")</f>
        <v/>
      </c>
      <c r="M1106" s="8" t="str">
        <f>IFERROR(INDEX('PROJETO PERFURAÇÃO'!$AN:$AN,MATCH(MEDIÇÃO!K1106,'PROJETO PERFURAÇÃO'!$B:$B,0)),"")</f>
        <v/>
      </c>
      <c r="N1106" s="3"/>
      <c r="O1106" s="3"/>
      <c r="P1106" s="3" t="str">
        <f>IFERROR(ROUND(INDEX('PROJETO PERFURAÇÃO'!$AB:$AB,MATCH(MEDIÇÃO!R1106,'PROJETO PERFURAÇÃO'!$B:$B,0)),1)&amp;"''","")</f>
        <v/>
      </c>
      <c r="Q1106" s="3" t="str">
        <f>IFERROR(IF(INDEX('PROJETO PERFURAÇÃO'!$P:$P,MATCH(MEDIÇÃO!R1106,'PROJETO PERFURAÇÃO'!$B:$B,0))="Production","P",IF(INDEX('PROJETO PERFURAÇÃO'!$P:$P,MATCH(MEDIÇÃO!R1106,'PROJETO PERFURAÇÃO'!$B:$B,0))="Buffer","B",IF(INDEX('PROJETO PERFURAÇÃO'!$P:$P,MATCH(MEDIÇÃO!R1106,'PROJETO PERFURAÇÃO'!$B:$B,0))="Pre-Splitting","S"))),"")</f>
        <v/>
      </c>
      <c r="R1106" s="14">
        <f t="shared" si="107"/>
        <v>2478</v>
      </c>
      <c r="S1106" s="4" t="str">
        <f>IFERROR(INDEX('LEV R&amp;D'!$D:$D,MATCH(MEDIÇÃO!R1106,'LEV R&amp;D'!$A:$A,0))-INDEX('PROJETO PERFURAÇÃO'!$AH:$AH,MATCH(MEDIÇÃO!R1106,'PROJETO PERFURAÇÃO'!$B:$B,0)),"")</f>
        <v/>
      </c>
      <c r="T1106" s="8" t="str">
        <f>IFERROR(INDEX('PROJETO PERFURAÇÃO'!$AN:$AN,MATCH(MEDIÇÃO!R1106,'PROJETO PERFURAÇÃO'!$B:$B,0)),"")</f>
        <v/>
      </c>
      <c r="U1106" s="3"/>
      <c r="V1106" s="3"/>
    </row>
    <row r="1107" spans="1:23" ht="45" customHeight="1" x14ac:dyDescent="0.25">
      <c r="B1107" s="3" t="str">
        <f>IFERROR(ROUND(INDEX('PROJETO PERFURAÇÃO'!$AB:$AB,MATCH(MEDIÇÃO!D1107,'PROJETO PERFURAÇÃO'!$B:$B,0)),1)&amp;"''","")</f>
        <v/>
      </c>
      <c r="C1107" s="3" t="str">
        <f>IFERROR(IF(INDEX('PROJETO PERFURAÇÃO'!$P:$P,MATCH(MEDIÇÃO!D1107,'PROJETO PERFURAÇÃO'!$B:$B,0))="Production","P",IF(INDEX('PROJETO PERFURAÇÃO'!$P:$P,MATCH(MEDIÇÃO!D1107,'PROJETO PERFURAÇÃO'!$B:$B,0))="Buffer","B",IF(INDEX('PROJETO PERFURAÇÃO'!$P:$P,MATCH(MEDIÇÃO!D1107,'PROJETO PERFURAÇÃO'!$B:$B,0))="Pre-Splitting","S"))),"")</f>
        <v/>
      </c>
      <c r="D1107" s="14">
        <f t="shared" si="105"/>
        <v>2433</v>
      </c>
      <c r="E1107" s="4" t="str">
        <f>IFERROR(INDEX('LEV R&amp;D'!$D:$D,MATCH(MEDIÇÃO!D1107,'LEV R&amp;D'!$A:$A,0))-INDEX('PROJETO PERFURAÇÃO'!$AH:$AH,MATCH(MEDIÇÃO!D1107,'PROJETO PERFURAÇÃO'!$B:$B,0)),"")</f>
        <v/>
      </c>
      <c r="F1107" s="8" t="str">
        <f>IFERROR(INDEX('PROJETO PERFURAÇÃO'!$AN:$AN,MATCH(MEDIÇÃO!D1107,'PROJETO PERFURAÇÃO'!$B:$B,0)),"")</f>
        <v/>
      </c>
      <c r="G1107" s="3"/>
      <c r="H1107" s="3"/>
      <c r="I1107" s="3" t="str">
        <f>IFERROR(ROUND(INDEX('PROJETO PERFURAÇÃO'!$AB:$AB,MATCH(MEDIÇÃO!K1107,'PROJETO PERFURAÇÃO'!$B:$B,0)),1)&amp;"''","")</f>
        <v/>
      </c>
      <c r="J1107" s="3" t="str">
        <f>IFERROR(IF(INDEX('PROJETO PERFURAÇÃO'!$P:$P,MATCH(MEDIÇÃO!K1107,'PROJETO PERFURAÇÃO'!$B:$B,0))="Production","P",IF(INDEX('PROJETO PERFURAÇÃO'!$P:$P,MATCH(MEDIÇÃO!K1107,'PROJETO PERFURAÇÃO'!$B:$B,0))="Buffer","B",IF(INDEX('PROJETO PERFURAÇÃO'!$P:$P,MATCH(MEDIÇÃO!K1107,'PROJETO PERFURAÇÃO'!$B:$B,0))="Pre-Splitting","S"))),"")</f>
        <v/>
      </c>
      <c r="K1107" s="14">
        <f t="shared" si="106"/>
        <v>2456</v>
      </c>
      <c r="L1107" s="4" t="str">
        <f>IFERROR(INDEX('LEV R&amp;D'!$D:$D,MATCH(MEDIÇÃO!K1107,'LEV R&amp;D'!$A:$A,0))-INDEX('PROJETO PERFURAÇÃO'!$AH:$AH,MATCH(MEDIÇÃO!K1107,'PROJETO PERFURAÇÃO'!$B:$B,0)),"")</f>
        <v/>
      </c>
      <c r="M1107" s="8" t="str">
        <f>IFERROR(INDEX('PROJETO PERFURAÇÃO'!$AN:$AN,MATCH(MEDIÇÃO!K1107,'PROJETO PERFURAÇÃO'!$B:$B,0)),"")</f>
        <v/>
      </c>
      <c r="N1107" s="3"/>
      <c r="O1107" s="3"/>
      <c r="P1107" s="3" t="str">
        <f>IFERROR(ROUND(INDEX('PROJETO PERFURAÇÃO'!$AB:$AB,MATCH(MEDIÇÃO!R1107,'PROJETO PERFURAÇÃO'!$B:$B,0)),1)&amp;"''","")</f>
        <v/>
      </c>
      <c r="Q1107" s="3" t="str">
        <f>IFERROR(IF(INDEX('PROJETO PERFURAÇÃO'!$P:$P,MATCH(MEDIÇÃO!R1107,'PROJETO PERFURAÇÃO'!$B:$B,0))="Production","P",IF(INDEX('PROJETO PERFURAÇÃO'!$P:$P,MATCH(MEDIÇÃO!R1107,'PROJETO PERFURAÇÃO'!$B:$B,0))="Buffer","B",IF(INDEX('PROJETO PERFURAÇÃO'!$P:$P,MATCH(MEDIÇÃO!R1107,'PROJETO PERFURAÇÃO'!$B:$B,0))="Pre-Splitting","S"))),"")</f>
        <v/>
      </c>
      <c r="R1107" s="14">
        <f t="shared" si="107"/>
        <v>2479</v>
      </c>
      <c r="S1107" s="4" t="str">
        <f>IFERROR(INDEX('LEV R&amp;D'!$D:$D,MATCH(MEDIÇÃO!R1107,'LEV R&amp;D'!$A:$A,0))-INDEX('PROJETO PERFURAÇÃO'!$AH:$AH,MATCH(MEDIÇÃO!R1107,'PROJETO PERFURAÇÃO'!$B:$B,0)),"")</f>
        <v/>
      </c>
      <c r="T1107" s="8" t="str">
        <f>IFERROR(INDEX('PROJETO PERFURAÇÃO'!$AN:$AN,MATCH(MEDIÇÃO!R1107,'PROJETO PERFURAÇÃO'!$B:$B,0)),"")</f>
        <v/>
      </c>
      <c r="U1107" s="3"/>
      <c r="V1107" s="3"/>
    </row>
    <row r="1108" spans="1:23" ht="45" customHeight="1" x14ac:dyDescent="0.25">
      <c r="B1108" s="3" t="str">
        <f>IFERROR(ROUND(INDEX('PROJETO PERFURAÇÃO'!$AB:$AB,MATCH(MEDIÇÃO!D1108,'PROJETO PERFURAÇÃO'!$B:$B,0)),1)&amp;"''","")</f>
        <v/>
      </c>
      <c r="C1108" s="3" t="str">
        <f>IFERROR(IF(INDEX('PROJETO PERFURAÇÃO'!$P:$P,MATCH(MEDIÇÃO!D1108,'PROJETO PERFURAÇÃO'!$B:$B,0))="Production","P",IF(INDEX('PROJETO PERFURAÇÃO'!$P:$P,MATCH(MEDIÇÃO!D1108,'PROJETO PERFURAÇÃO'!$B:$B,0))="Buffer","B",IF(INDEX('PROJETO PERFURAÇÃO'!$P:$P,MATCH(MEDIÇÃO!D1108,'PROJETO PERFURAÇÃO'!$B:$B,0))="Pre-Splitting","S"))),"")</f>
        <v/>
      </c>
      <c r="D1108" s="14">
        <f t="shared" si="105"/>
        <v>2434</v>
      </c>
      <c r="E1108" s="4" t="str">
        <f>IFERROR(INDEX('LEV R&amp;D'!$D:$D,MATCH(MEDIÇÃO!D1108,'LEV R&amp;D'!$A:$A,0))-INDEX('PROJETO PERFURAÇÃO'!$AH:$AH,MATCH(MEDIÇÃO!D1108,'PROJETO PERFURAÇÃO'!$B:$B,0)),"")</f>
        <v/>
      </c>
      <c r="F1108" s="8" t="str">
        <f>IFERROR(INDEX('PROJETO PERFURAÇÃO'!$AN:$AN,MATCH(MEDIÇÃO!D1108,'PROJETO PERFURAÇÃO'!$B:$B,0)),"")</f>
        <v/>
      </c>
      <c r="G1108" s="3"/>
      <c r="H1108" s="3"/>
      <c r="I1108" s="3" t="str">
        <f>IFERROR(ROUND(INDEX('PROJETO PERFURAÇÃO'!$AB:$AB,MATCH(MEDIÇÃO!K1108,'PROJETO PERFURAÇÃO'!$B:$B,0)),1)&amp;"''","")</f>
        <v/>
      </c>
      <c r="J1108" s="3" t="str">
        <f>IFERROR(IF(INDEX('PROJETO PERFURAÇÃO'!$P:$P,MATCH(MEDIÇÃO!K1108,'PROJETO PERFURAÇÃO'!$B:$B,0))="Production","P",IF(INDEX('PROJETO PERFURAÇÃO'!$P:$P,MATCH(MEDIÇÃO!K1108,'PROJETO PERFURAÇÃO'!$B:$B,0))="Buffer","B",IF(INDEX('PROJETO PERFURAÇÃO'!$P:$P,MATCH(MEDIÇÃO!K1108,'PROJETO PERFURAÇÃO'!$B:$B,0))="Pre-Splitting","S"))),"")</f>
        <v/>
      </c>
      <c r="K1108" s="14">
        <f t="shared" si="106"/>
        <v>2457</v>
      </c>
      <c r="L1108" s="4" t="str">
        <f>IFERROR(INDEX('LEV R&amp;D'!$D:$D,MATCH(MEDIÇÃO!K1108,'LEV R&amp;D'!$A:$A,0))-INDEX('PROJETO PERFURAÇÃO'!$AH:$AH,MATCH(MEDIÇÃO!K1108,'PROJETO PERFURAÇÃO'!$B:$B,0)),"")</f>
        <v/>
      </c>
      <c r="M1108" s="8" t="str">
        <f>IFERROR(INDEX('PROJETO PERFURAÇÃO'!$AN:$AN,MATCH(MEDIÇÃO!K1108,'PROJETO PERFURAÇÃO'!$B:$B,0)),"")</f>
        <v/>
      </c>
      <c r="N1108" s="3"/>
      <c r="O1108" s="3"/>
      <c r="P1108" s="3" t="str">
        <f>IFERROR(ROUND(INDEX('PROJETO PERFURAÇÃO'!$AB:$AB,MATCH(MEDIÇÃO!R1108,'PROJETO PERFURAÇÃO'!$B:$B,0)),1)&amp;"''","")</f>
        <v/>
      </c>
      <c r="Q1108" s="3" t="str">
        <f>IFERROR(IF(INDEX('PROJETO PERFURAÇÃO'!$P:$P,MATCH(MEDIÇÃO!R1108,'PROJETO PERFURAÇÃO'!$B:$B,0))="Production","P",IF(INDEX('PROJETO PERFURAÇÃO'!$P:$P,MATCH(MEDIÇÃO!R1108,'PROJETO PERFURAÇÃO'!$B:$B,0))="Buffer","B",IF(INDEX('PROJETO PERFURAÇÃO'!$P:$P,MATCH(MEDIÇÃO!R1108,'PROJETO PERFURAÇÃO'!$B:$B,0))="Pre-Splitting","S"))),"")</f>
        <v/>
      </c>
      <c r="R1108" s="14">
        <f t="shared" si="107"/>
        <v>2480</v>
      </c>
      <c r="S1108" s="4" t="str">
        <f>IFERROR(INDEX('LEV R&amp;D'!$D:$D,MATCH(MEDIÇÃO!R1108,'LEV R&amp;D'!$A:$A,0))-INDEX('PROJETO PERFURAÇÃO'!$AH:$AH,MATCH(MEDIÇÃO!R1108,'PROJETO PERFURAÇÃO'!$B:$B,0)),"")</f>
        <v/>
      </c>
      <c r="T1108" s="8" t="str">
        <f>IFERROR(INDEX('PROJETO PERFURAÇÃO'!$AN:$AN,MATCH(MEDIÇÃO!R1108,'PROJETO PERFURAÇÃO'!$B:$B,0)),"")</f>
        <v/>
      </c>
      <c r="U1108" s="3"/>
      <c r="V1108" s="3"/>
    </row>
    <row r="1109" spans="1:23" ht="45" customHeight="1" x14ac:dyDescent="0.25">
      <c r="B1109" s="3" t="str">
        <f>IFERROR(ROUND(INDEX('PROJETO PERFURAÇÃO'!$AB:$AB,MATCH(MEDIÇÃO!D1109,'PROJETO PERFURAÇÃO'!$B:$B,0)),1)&amp;"''","")</f>
        <v/>
      </c>
      <c r="C1109" s="3" t="str">
        <f>IFERROR(IF(INDEX('PROJETO PERFURAÇÃO'!$P:$P,MATCH(MEDIÇÃO!D1109,'PROJETO PERFURAÇÃO'!$B:$B,0))="Production","P",IF(INDEX('PROJETO PERFURAÇÃO'!$P:$P,MATCH(MEDIÇÃO!D1109,'PROJETO PERFURAÇÃO'!$B:$B,0))="Buffer","B",IF(INDEX('PROJETO PERFURAÇÃO'!$P:$P,MATCH(MEDIÇÃO!D1109,'PROJETO PERFURAÇÃO'!$B:$B,0))="Pre-Splitting","S"))),"")</f>
        <v/>
      </c>
      <c r="D1109" s="14">
        <f t="shared" si="105"/>
        <v>2435</v>
      </c>
      <c r="E1109" s="4" t="str">
        <f>IFERROR(INDEX('LEV R&amp;D'!$D:$D,MATCH(MEDIÇÃO!D1109,'LEV R&amp;D'!$A:$A,0))-INDEX('PROJETO PERFURAÇÃO'!$AH:$AH,MATCH(MEDIÇÃO!D1109,'PROJETO PERFURAÇÃO'!$B:$B,0)),"")</f>
        <v/>
      </c>
      <c r="F1109" s="8" t="str">
        <f>IFERROR(INDEX('PROJETO PERFURAÇÃO'!$AN:$AN,MATCH(MEDIÇÃO!D1109,'PROJETO PERFURAÇÃO'!$B:$B,0)),"")</f>
        <v/>
      </c>
      <c r="G1109" s="3"/>
      <c r="H1109" s="3"/>
      <c r="I1109" s="3" t="str">
        <f>IFERROR(ROUND(INDEX('PROJETO PERFURAÇÃO'!$AB:$AB,MATCH(MEDIÇÃO!K1109,'PROJETO PERFURAÇÃO'!$B:$B,0)),1)&amp;"''","")</f>
        <v/>
      </c>
      <c r="J1109" s="3" t="str">
        <f>IFERROR(IF(INDEX('PROJETO PERFURAÇÃO'!$P:$P,MATCH(MEDIÇÃO!K1109,'PROJETO PERFURAÇÃO'!$B:$B,0))="Production","P",IF(INDEX('PROJETO PERFURAÇÃO'!$P:$P,MATCH(MEDIÇÃO!K1109,'PROJETO PERFURAÇÃO'!$B:$B,0))="Buffer","B",IF(INDEX('PROJETO PERFURAÇÃO'!$P:$P,MATCH(MEDIÇÃO!K1109,'PROJETO PERFURAÇÃO'!$B:$B,0))="Pre-Splitting","S"))),"")</f>
        <v/>
      </c>
      <c r="K1109" s="14">
        <f t="shared" si="106"/>
        <v>2458</v>
      </c>
      <c r="L1109" s="4" t="str">
        <f>IFERROR(INDEX('LEV R&amp;D'!$D:$D,MATCH(MEDIÇÃO!K1109,'LEV R&amp;D'!$A:$A,0))-INDEX('PROJETO PERFURAÇÃO'!$AH:$AH,MATCH(MEDIÇÃO!K1109,'PROJETO PERFURAÇÃO'!$B:$B,0)),"")</f>
        <v/>
      </c>
      <c r="M1109" s="8" t="str">
        <f>IFERROR(INDEX('PROJETO PERFURAÇÃO'!$AN:$AN,MATCH(MEDIÇÃO!K1109,'PROJETO PERFURAÇÃO'!$B:$B,0)),"")</f>
        <v/>
      </c>
      <c r="N1109" s="3"/>
      <c r="O1109" s="3"/>
      <c r="P1109" s="3" t="str">
        <f>IFERROR(ROUND(INDEX('PROJETO PERFURAÇÃO'!$AB:$AB,MATCH(MEDIÇÃO!R1109,'PROJETO PERFURAÇÃO'!$B:$B,0)),1)&amp;"''","")</f>
        <v/>
      </c>
      <c r="Q1109" s="3" t="str">
        <f>IFERROR(IF(INDEX('PROJETO PERFURAÇÃO'!$P:$P,MATCH(MEDIÇÃO!R1109,'PROJETO PERFURAÇÃO'!$B:$B,0))="Production","P",IF(INDEX('PROJETO PERFURAÇÃO'!$P:$P,MATCH(MEDIÇÃO!R1109,'PROJETO PERFURAÇÃO'!$B:$B,0))="Buffer","B",IF(INDEX('PROJETO PERFURAÇÃO'!$P:$P,MATCH(MEDIÇÃO!R1109,'PROJETO PERFURAÇÃO'!$B:$B,0))="Pre-Splitting","S"))),"")</f>
        <v/>
      </c>
      <c r="R1109" s="14">
        <f t="shared" si="107"/>
        <v>2481</v>
      </c>
      <c r="S1109" s="4" t="str">
        <f>IFERROR(INDEX('LEV R&amp;D'!$D:$D,MATCH(MEDIÇÃO!R1109,'LEV R&amp;D'!$A:$A,0))-INDEX('PROJETO PERFURAÇÃO'!$AH:$AH,MATCH(MEDIÇÃO!R1109,'PROJETO PERFURAÇÃO'!$B:$B,0)),"")</f>
        <v/>
      </c>
      <c r="T1109" s="8" t="str">
        <f>IFERROR(INDEX('PROJETO PERFURAÇÃO'!$AN:$AN,MATCH(MEDIÇÃO!R1109,'PROJETO PERFURAÇÃO'!$B:$B,0)),"")</f>
        <v/>
      </c>
      <c r="U1109" s="3"/>
      <c r="V1109" s="3"/>
    </row>
    <row r="1110" spans="1:23" ht="45" customHeight="1" x14ac:dyDescent="0.25">
      <c r="B1110" s="3" t="str">
        <f>IFERROR(ROUND(INDEX('PROJETO PERFURAÇÃO'!$AB:$AB,MATCH(MEDIÇÃO!D1110,'PROJETO PERFURAÇÃO'!$B:$B,0)),1)&amp;"''","")</f>
        <v/>
      </c>
      <c r="C1110" s="3" t="str">
        <f>IFERROR(IF(INDEX('PROJETO PERFURAÇÃO'!$P:$P,MATCH(MEDIÇÃO!D1110,'PROJETO PERFURAÇÃO'!$B:$B,0))="Production","P",IF(INDEX('PROJETO PERFURAÇÃO'!$P:$P,MATCH(MEDIÇÃO!D1110,'PROJETO PERFURAÇÃO'!$B:$B,0))="Buffer","B",IF(INDEX('PROJETO PERFURAÇÃO'!$P:$P,MATCH(MEDIÇÃO!D1110,'PROJETO PERFURAÇÃO'!$B:$B,0))="Pre-Splitting","S"))),"")</f>
        <v/>
      </c>
      <c r="D1110" s="14">
        <f t="shared" si="105"/>
        <v>2436</v>
      </c>
      <c r="E1110" s="4" t="str">
        <f>IFERROR(INDEX('LEV R&amp;D'!$D:$D,MATCH(MEDIÇÃO!D1110,'LEV R&amp;D'!$A:$A,0))-INDEX('PROJETO PERFURAÇÃO'!$AH:$AH,MATCH(MEDIÇÃO!D1110,'PROJETO PERFURAÇÃO'!$B:$B,0)),"")</f>
        <v/>
      </c>
      <c r="F1110" s="8" t="str">
        <f>IFERROR(INDEX('PROJETO PERFURAÇÃO'!$AN:$AN,MATCH(MEDIÇÃO!D1110,'PROJETO PERFURAÇÃO'!$B:$B,0)),"")</f>
        <v/>
      </c>
      <c r="G1110" s="3"/>
      <c r="H1110" s="3"/>
      <c r="I1110" s="3" t="str">
        <f>IFERROR(ROUND(INDEX('PROJETO PERFURAÇÃO'!$AB:$AB,MATCH(MEDIÇÃO!K1110,'PROJETO PERFURAÇÃO'!$B:$B,0)),1)&amp;"''","")</f>
        <v/>
      </c>
      <c r="J1110" s="3" t="str">
        <f>IFERROR(IF(INDEX('PROJETO PERFURAÇÃO'!$P:$P,MATCH(MEDIÇÃO!K1110,'PROJETO PERFURAÇÃO'!$B:$B,0))="Production","P",IF(INDEX('PROJETO PERFURAÇÃO'!$P:$P,MATCH(MEDIÇÃO!K1110,'PROJETO PERFURAÇÃO'!$B:$B,0))="Buffer","B",IF(INDEX('PROJETO PERFURAÇÃO'!$P:$P,MATCH(MEDIÇÃO!K1110,'PROJETO PERFURAÇÃO'!$B:$B,0))="Pre-Splitting","S"))),"")</f>
        <v/>
      </c>
      <c r="K1110" s="14">
        <f t="shared" si="106"/>
        <v>2459</v>
      </c>
      <c r="L1110" s="4" t="str">
        <f>IFERROR(INDEX('LEV R&amp;D'!$D:$D,MATCH(MEDIÇÃO!K1110,'LEV R&amp;D'!$A:$A,0))-INDEX('PROJETO PERFURAÇÃO'!$AH:$AH,MATCH(MEDIÇÃO!K1110,'PROJETO PERFURAÇÃO'!$B:$B,0)),"")</f>
        <v/>
      </c>
      <c r="M1110" s="8" t="str">
        <f>IFERROR(INDEX('PROJETO PERFURAÇÃO'!$AN:$AN,MATCH(MEDIÇÃO!K1110,'PROJETO PERFURAÇÃO'!$B:$B,0)),"")</f>
        <v/>
      </c>
      <c r="N1110" s="3"/>
      <c r="O1110" s="3"/>
      <c r="P1110" s="3" t="str">
        <f>IFERROR(ROUND(INDEX('PROJETO PERFURAÇÃO'!$AB:$AB,MATCH(MEDIÇÃO!R1110,'PROJETO PERFURAÇÃO'!$B:$B,0)),1)&amp;"''","")</f>
        <v/>
      </c>
      <c r="Q1110" s="3" t="str">
        <f>IFERROR(IF(INDEX('PROJETO PERFURAÇÃO'!$P:$P,MATCH(MEDIÇÃO!R1110,'PROJETO PERFURAÇÃO'!$B:$B,0))="Production","P",IF(INDEX('PROJETO PERFURAÇÃO'!$P:$P,MATCH(MEDIÇÃO!R1110,'PROJETO PERFURAÇÃO'!$B:$B,0))="Buffer","B",IF(INDEX('PROJETO PERFURAÇÃO'!$P:$P,MATCH(MEDIÇÃO!R1110,'PROJETO PERFURAÇÃO'!$B:$B,0))="Pre-Splitting","S"))),"")</f>
        <v/>
      </c>
      <c r="R1110" s="14">
        <f t="shared" si="107"/>
        <v>2482</v>
      </c>
      <c r="S1110" s="4" t="str">
        <f>IFERROR(INDEX('LEV R&amp;D'!$D:$D,MATCH(MEDIÇÃO!R1110,'LEV R&amp;D'!$A:$A,0))-INDEX('PROJETO PERFURAÇÃO'!$AH:$AH,MATCH(MEDIÇÃO!R1110,'PROJETO PERFURAÇÃO'!$B:$B,0)),"")</f>
        <v/>
      </c>
      <c r="T1110" s="8" t="str">
        <f>IFERROR(INDEX('PROJETO PERFURAÇÃO'!$AN:$AN,MATCH(MEDIÇÃO!R1110,'PROJETO PERFURAÇÃO'!$B:$B,0)),"")</f>
        <v/>
      </c>
      <c r="U1110" s="3"/>
      <c r="V1110" s="3"/>
    </row>
    <row r="1111" spans="1:23" ht="45" customHeight="1" x14ac:dyDescent="0.25">
      <c r="B1111" s="3" t="str">
        <f>IFERROR(ROUND(INDEX('PROJETO PERFURAÇÃO'!$AB:$AB,MATCH(MEDIÇÃO!D1111,'PROJETO PERFURAÇÃO'!$B:$B,0)),1)&amp;"''","")</f>
        <v/>
      </c>
      <c r="C1111" s="3" t="str">
        <f>IFERROR(IF(INDEX('PROJETO PERFURAÇÃO'!$P:$P,MATCH(MEDIÇÃO!D1111,'PROJETO PERFURAÇÃO'!$B:$B,0))="Production","P",IF(INDEX('PROJETO PERFURAÇÃO'!$P:$P,MATCH(MEDIÇÃO!D1111,'PROJETO PERFURAÇÃO'!$B:$B,0))="Buffer","B",IF(INDEX('PROJETO PERFURAÇÃO'!$P:$P,MATCH(MEDIÇÃO!D1111,'PROJETO PERFURAÇÃO'!$B:$B,0))="Pre-Splitting","S"))),"")</f>
        <v/>
      </c>
      <c r="D1111" s="14">
        <f t="shared" si="105"/>
        <v>2437</v>
      </c>
      <c r="E1111" s="4" t="str">
        <f>IFERROR(INDEX('LEV R&amp;D'!$D:$D,MATCH(MEDIÇÃO!D1111,'LEV R&amp;D'!$A:$A,0))-INDEX('PROJETO PERFURAÇÃO'!$AH:$AH,MATCH(MEDIÇÃO!D1111,'PROJETO PERFURAÇÃO'!$B:$B,0)),"")</f>
        <v/>
      </c>
      <c r="F1111" s="8" t="str">
        <f>IFERROR(INDEX('PROJETO PERFURAÇÃO'!$AN:$AN,MATCH(MEDIÇÃO!D1111,'PROJETO PERFURAÇÃO'!$B:$B,0)),"")</f>
        <v/>
      </c>
      <c r="G1111" s="3"/>
      <c r="H1111" s="3"/>
      <c r="I1111" s="3" t="str">
        <f>IFERROR(ROUND(INDEX('PROJETO PERFURAÇÃO'!$AB:$AB,MATCH(MEDIÇÃO!K1111,'PROJETO PERFURAÇÃO'!$B:$B,0)),1)&amp;"''","")</f>
        <v/>
      </c>
      <c r="J1111" s="3" t="str">
        <f>IFERROR(IF(INDEX('PROJETO PERFURAÇÃO'!$P:$P,MATCH(MEDIÇÃO!K1111,'PROJETO PERFURAÇÃO'!$B:$B,0))="Production","P",IF(INDEX('PROJETO PERFURAÇÃO'!$P:$P,MATCH(MEDIÇÃO!K1111,'PROJETO PERFURAÇÃO'!$B:$B,0))="Buffer","B",IF(INDEX('PROJETO PERFURAÇÃO'!$P:$P,MATCH(MEDIÇÃO!K1111,'PROJETO PERFURAÇÃO'!$B:$B,0))="Pre-Splitting","S"))),"")</f>
        <v/>
      </c>
      <c r="K1111" s="14">
        <f t="shared" si="106"/>
        <v>2460</v>
      </c>
      <c r="L1111" s="4" t="str">
        <f>IFERROR(INDEX('LEV R&amp;D'!$D:$D,MATCH(MEDIÇÃO!K1111,'LEV R&amp;D'!$A:$A,0))-INDEX('PROJETO PERFURAÇÃO'!$AH:$AH,MATCH(MEDIÇÃO!K1111,'PROJETO PERFURAÇÃO'!$B:$B,0)),"")</f>
        <v/>
      </c>
      <c r="M1111" s="8" t="str">
        <f>IFERROR(INDEX('PROJETO PERFURAÇÃO'!$AN:$AN,MATCH(MEDIÇÃO!K1111,'PROJETO PERFURAÇÃO'!$B:$B,0)),"")</f>
        <v/>
      </c>
      <c r="N1111" s="3"/>
      <c r="O1111" s="3"/>
      <c r="P1111" s="3" t="str">
        <f>IFERROR(ROUND(INDEX('PROJETO PERFURAÇÃO'!$AB:$AB,MATCH(MEDIÇÃO!R1111,'PROJETO PERFURAÇÃO'!$B:$B,0)),1)&amp;"''","")</f>
        <v/>
      </c>
      <c r="Q1111" s="3" t="str">
        <f>IFERROR(IF(INDEX('PROJETO PERFURAÇÃO'!$P:$P,MATCH(MEDIÇÃO!R1111,'PROJETO PERFURAÇÃO'!$B:$B,0))="Production","P",IF(INDEX('PROJETO PERFURAÇÃO'!$P:$P,MATCH(MEDIÇÃO!R1111,'PROJETO PERFURAÇÃO'!$B:$B,0))="Buffer","B",IF(INDEX('PROJETO PERFURAÇÃO'!$P:$P,MATCH(MEDIÇÃO!R1111,'PROJETO PERFURAÇÃO'!$B:$B,0))="Pre-Splitting","S"))),"")</f>
        <v/>
      </c>
      <c r="R1111" s="14">
        <f t="shared" si="107"/>
        <v>2483</v>
      </c>
      <c r="S1111" s="4" t="str">
        <f>IFERROR(INDEX('LEV R&amp;D'!$D:$D,MATCH(MEDIÇÃO!R1111,'LEV R&amp;D'!$A:$A,0))-INDEX('PROJETO PERFURAÇÃO'!$AH:$AH,MATCH(MEDIÇÃO!R1111,'PROJETO PERFURAÇÃO'!$B:$B,0)),"")</f>
        <v/>
      </c>
      <c r="T1111" s="8" t="str">
        <f>IFERROR(INDEX('PROJETO PERFURAÇÃO'!$AN:$AN,MATCH(MEDIÇÃO!R1111,'PROJETO PERFURAÇÃO'!$B:$B,0)),"")</f>
        <v/>
      </c>
      <c r="U1111" s="3"/>
      <c r="V1111" s="3"/>
    </row>
    <row r="1112" spans="1:23" ht="45" customHeight="1" x14ac:dyDescent="0.25">
      <c r="B1112" s="3" t="str">
        <f>IFERROR(ROUND(INDEX('PROJETO PERFURAÇÃO'!$AB:$AB,MATCH(MEDIÇÃO!D1112,'PROJETO PERFURAÇÃO'!$B:$B,0)),1)&amp;"''","")</f>
        <v/>
      </c>
      <c r="C1112" s="3" t="str">
        <f>IFERROR(IF(INDEX('PROJETO PERFURAÇÃO'!$P:$P,MATCH(MEDIÇÃO!D1112,'PROJETO PERFURAÇÃO'!$B:$B,0))="Production","P",IF(INDEX('PROJETO PERFURAÇÃO'!$P:$P,MATCH(MEDIÇÃO!D1112,'PROJETO PERFURAÇÃO'!$B:$B,0))="Buffer","B",IF(INDEX('PROJETO PERFURAÇÃO'!$P:$P,MATCH(MEDIÇÃO!D1112,'PROJETO PERFURAÇÃO'!$B:$B,0))="Pre-Splitting","S"))),"")</f>
        <v/>
      </c>
      <c r="D1112" s="14">
        <f t="shared" si="105"/>
        <v>2438</v>
      </c>
      <c r="E1112" s="4" t="str">
        <f>IFERROR(INDEX('LEV R&amp;D'!$D:$D,MATCH(MEDIÇÃO!D1112,'LEV R&amp;D'!$A:$A,0))-INDEX('PROJETO PERFURAÇÃO'!$AH:$AH,MATCH(MEDIÇÃO!D1112,'PROJETO PERFURAÇÃO'!$B:$B,0)),"")</f>
        <v/>
      </c>
      <c r="F1112" s="8" t="str">
        <f>IFERROR(INDEX('PROJETO PERFURAÇÃO'!$AN:$AN,MATCH(MEDIÇÃO!D1112,'PROJETO PERFURAÇÃO'!$B:$B,0)),"")</f>
        <v/>
      </c>
      <c r="G1112" s="3"/>
      <c r="H1112" s="3"/>
      <c r="I1112" s="3" t="str">
        <f>IFERROR(ROUND(INDEX('PROJETO PERFURAÇÃO'!$AB:$AB,MATCH(MEDIÇÃO!K1112,'PROJETO PERFURAÇÃO'!$B:$B,0)),1)&amp;"''","")</f>
        <v/>
      </c>
      <c r="J1112" s="3" t="str">
        <f>IFERROR(IF(INDEX('PROJETO PERFURAÇÃO'!$P:$P,MATCH(MEDIÇÃO!K1112,'PROJETO PERFURAÇÃO'!$B:$B,0))="Production","P",IF(INDEX('PROJETO PERFURAÇÃO'!$P:$P,MATCH(MEDIÇÃO!K1112,'PROJETO PERFURAÇÃO'!$B:$B,0))="Buffer","B",IF(INDEX('PROJETO PERFURAÇÃO'!$P:$P,MATCH(MEDIÇÃO!K1112,'PROJETO PERFURAÇÃO'!$B:$B,0))="Pre-Splitting","S"))),"")</f>
        <v/>
      </c>
      <c r="K1112" s="14">
        <f>K1111+1</f>
        <v>2461</v>
      </c>
      <c r="L1112" s="4" t="str">
        <f>IFERROR(INDEX('LEV R&amp;D'!$D:$D,MATCH(MEDIÇÃO!K1112,'LEV R&amp;D'!$A:$A,0))-INDEX('PROJETO PERFURAÇÃO'!$AH:$AH,MATCH(MEDIÇÃO!K1112,'PROJETO PERFURAÇÃO'!$B:$B,0)),"")</f>
        <v/>
      </c>
      <c r="M1112" s="8" t="str">
        <f>IFERROR(INDEX('PROJETO PERFURAÇÃO'!$AN:$AN,MATCH(MEDIÇÃO!K1112,'PROJETO PERFURAÇÃO'!$B:$B,0)),"")</f>
        <v/>
      </c>
      <c r="N1112" s="3"/>
      <c r="O1112" s="3"/>
      <c r="P1112" s="3" t="str">
        <f>IFERROR(ROUND(INDEX('PROJETO PERFURAÇÃO'!$AB:$AB,MATCH(MEDIÇÃO!R1112,'PROJETO PERFURAÇÃO'!$B:$B,0)),1)&amp;"''","")</f>
        <v/>
      </c>
      <c r="Q1112" s="3" t="str">
        <f>IFERROR(IF(INDEX('PROJETO PERFURAÇÃO'!$P:$P,MATCH(MEDIÇÃO!R1112,'PROJETO PERFURAÇÃO'!$B:$B,0))="Production","P",IF(INDEX('PROJETO PERFURAÇÃO'!$P:$P,MATCH(MEDIÇÃO!R1112,'PROJETO PERFURAÇÃO'!$B:$B,0))="Buffer","B",IF(INDEX('PROJETO PERFURAÇÃO'!$P:$P,MATCH(MEDIÇÃO!R1112,'PROJETO PERFURAÇÃO'!$B:$B,0))="Pre-Splitting","S"))),"")</f>
        <v/>
      </c>
      <c r="R1112" s="14">
        <f>R1111+1</f>
        <v>2484</v>
      </c>
      <c r="S1112" s="4" t="str">
        <f>IFERROR(INDEX('LEV R&amp;D'!$D:$D,MATCH(MEDIÇÃO!R1112,'LEV R&amp;D'!$A:$A,0))-INDEX('PROJETO PERFURAÇÃO'!$AH:$AH,MATCH(MEDIÇÃO!R1112,'PROJETO PERFURAÇÃO'!$B:$B,0)),"")</f>
        <v/>
      </c>
      <c r="T1112" s="8" t="str">
        <f>IFERROR(INDEX('PROJETO PERFURAÇÃO'!$AN:$AN,MATCH(MEDIÇÃO!R1112,'PROJETO PERFURAÇÃO'!$B:$B,0)),"")</f>
        <v/>
      </c>
      <c r="U1112" s="3"/>
      <c r="V1112" s="3"/>
    </row>
    <row r="1113" spans="1:23" ht="30" customHeight="1" x14ac:dyDescent="0.25">
      <c r="B1113" s="1"/>
      <c r="C1113" s="1"/>
      <c r="D1113" s="15"/>
      <c r="E1113" s="2"/>
      <c r="F1113" s="16"/>
      <c r="G1113" s="1"/>
      <c r="H1113" s="1"/>
      <c r="I1113" s="1"/>
      <c r="J1113" s="1"/>
      <c r="K1113" s="15"/>
      <c r="L1113" s="2"/>
      <c r="M1113" s="16"/>
      <c r="N1113" s="1"/>
      <c r="O1113" s="1"/>
      <c r="P1113" s="1"/>
      <c r="Q1113" s="1"/>
      <c r="R1113" s="15"/>
      <c r="S1113" s="2"/>
      <c r="T1113" s="16"/>
      <c r="U1113" s="1"/>
      <c r="V1113" s="1"/>
    </row>
    <row r="1114" spans="1:23" ht="30" customHeight="1" x14ac:dyDescent="0.25">
      <c r="C1114" s="20"/>
      <c r="D1114" s="20"/>
      <c r="E1114" s="20"/>
      <c r="F1114" s="20"/>
      <c r="G1114" s="20"/>
      <c r="H1114" s="20"/>
      <c r="I1114" s="20"/>
      <c r="J1114" s="20"/>
      <c r="K1114" s="20"/>
      <c r="M1114" s="20"/>
      <c r="N1114" s="20"/>
      <c r="O1114" s="20"/>
      <c r="P1114" s="20"/>
      <c r="Q1114" s="20"/>
      <c r="R1114" s="20"/>
      <c r="S1114" s="20"/>
      <c r="T1114" s="20"/>
      <c r="U1114" s="20"/>
    </row>
    <row r="1115" spans="1:23" ht="30" customHeight="1" x14ac:dyDescent="0.25">
      <c r="C1115" s="21" t="s">
        <v>40</v>
      </c>
      <c r="D1115" s="21"/>
      <c r="E1115" s="21"/>
      <c r="F1115" s="21"/>
      <c r="G1115" s="21"/>
      <c r="H1115" s="21"/>
      <c r="I1115" s="21"/>
      <c r="J1115" s="21"/>
      <c r="K1115" s="21"/>
      <c r="L1115" s="9"/>
      <c r="M1115" s="21" t="s">
        <v>40</v>
      </c>
      <c r="N1115" s="21"/>
      <c r="O1115" s="21"/>
      <c r="P1115" s="21"/>
      <c r="Q1115" s="21"/>
      <c r="R1115" s="21"/>
      <c r="S1115" s="21"/>
      <c r="T1115" s="21"/>
      <c r="U1115" s="21"/>
      <c r="V1115" s="9"/>
    </row>
    <row r="1116" spans="1:23" ht="30" customHeight="1" x14ac:dyDescent="0.25">
      <c r="D1116" s="9"/>
      <c r="E1116" s="9"/>
      <c r="F1116" s="9"/>
      <c r="G1116" s="9"/>
      <c r="H1116" s="9"/>
      <c r="I1116" s="9"/>
      <c r="J1116" s="9"/>
      <c r="K1116" s="9"/>
      <c r="L1116" s="9"/>
      <c r="M1116" s="9"/>
      <c r="N1116" s="9"/>
      <c r="Q1116" s="9"/>
      <c r="R1116" s="9"/>
      <c r="S1116" s="9"/>
      <c r="T1116" s="9"/>
      <c r="U1116" s="9"/>
      <c r="V1116" s="9"/>
    </row>
    <row r="1117" spans="1:23" ht="30" customHeight="1" x14ac:dyDescent="0.25">
      <c r="B1117" s="19" t="str">
        <f>'PROJETO PERFURAÇÃO'!$C$2&amp;" - "&amp;'PROJETO PERFURAÇÃO'!$H$2</f>
        <v>LIB065 - PP0651026</v>
      </c>
      <c r="C1117" s="19"/>
      <c r="D1117" s="19"/>
      <c r="E1117" s="19"/>
      <c r="F1117" s="19"/>
      <c r="G1117" s="19"/>
      <c r="H1117" s="19"/>
      <c r="I1117" s="11" t="s">
        <v>34</v>
      </c>
      <c r="J1117" s="10" t="s">
        <v>37</v>
      </c>
    </row>
    <row r="1118" spans="1:23" ht="30" customHeight="1" x14ac:dyDescent="0.25">
      <c r="B1118" s="19"/>
      <c r="C1118" s="19"/>
      <c r="D1118" s="19"/>
      <c r="E1118" s="19"/>
      <c r="F1118" s="19"/>
      <c r="G1118" s="19"/>
      <c r="H1118" s="19"/>
      <c r="I1118" s="12" t="s">
        <v>35</v>
      </c>
      <c r="J1118" s="10" t="s">
        <v>38</v>
      </c>
      <c r="K1118" s="9"/>
      <c r="L1118" s="9"/>
      <c r="M1118" s="9"/>
      <c r="N1118" s="9"/>
      <c r="O1118" s="9"/>
      <c r="P1118" s="9"/>
      <c r="Q1118" s="9"/>
      <c r="R1118" s="9"/>
      <c r="S1118" s="9"/>
      <c r="T1118" s="9"/>
      <c r="U1118" s="9"/>
      <c r="V1118" s="9"/>
    </row>
    <row r="1119" spans="1:23" ht="30" customHeight="1" x14ac:dyDescent="0.25">
      <c r="B1119" s="19"/>
      <c r="C1119" s="19"/>
      <c r="D1119" s="19"/>
      <c r="E1119" s="19"/>
      <c r="F1119" s="19"/>
      <c r="G1119" s="19"/>
      <c r="H1119" s="19"/>
      <c r="I1119" s="13" t="s">
        <v>36</v>
      </c>
      <c r="J1119" s="10" t="s">
        <v>39</v>
      </c>
    </row>
    <row r="1120" spans="1:23" ht="30" customHeight="1" x14ac:dyDescent="0.25">
      <c r="A1120" s="1"/>
      <c r="B1120" s="6" t="s">
        <v>33</v>
      </c>
      <c r="C1120" s="6" t="s">
        <v>13</v>
      </c>
      <c r="D1120" s="7" t="s">
        <v>1</v>
      </c>
      <c r="E1120" s="7" t="s">
        <v>29</v>
      </c>
      <c r="F1120" s="7" t="s">
        <v>30</v>
      </c>
      <c r="G1120" s="7" t="s">
        <v>31</v>
      </c>
      <c r="H1120" s="7" t="s">
        <v>32</v>
      </c>
      <c r="I1120" s="6" t="s">
        <v>33</v>
      </c>
      <c r="J1120" s="6" t="s">
        <v>13</v>
      </c>
      <c r="K1120" s="7" t="s">
        <v>1</v>
      </c>
      <c r="L1120" s="7" t="s">
        <v>29</v>
      </c>
      <c r="M1120" s="7" t="s">
        <v>30</v>
      </c>
      <c r="N1120" s="7" t="s">
        <v>31</v>
      </c>
      <c r="O1120" s="7" t="s">
        <v>32</v>
      </c>
      <c r="P1120" s="6" t="s">
        <v>33</v>
      </c>
      <c r="Q1120" s="6" t="s">
        <v>13</v>
      </c>
      <c r="R1120" s="7" t="s">
        <v>1</v>
      </c>
      <c r="S1120" s="7" t="s">
        <v>29</v>
      </c>
      <c r="T1120" s="7" t="s">
        <v>30</v>
      </c>
      <c r="U1120" s="7" t="s">
        <v>31</v>
      </c>
      <c r="V1120" s="7" t="s">
        <v>32</v>
      </c>
      <c r="W1120" s="1"/>
    </row>
    <row r="1121" spans="2:22" ht="45" customHeight="1" x14ac:dyDescent="0.25">
      <c r="B1121" s="3" t="str">
        <f>IFERROR(ROUND(INDEX('PROJETO PERFURAÇÃO'!$AB:$AB,MATCH(MEDIÇÃO!D1121,'PROJETO PERFURAÇÃO'!$B:$B,0)),1)&amp;"''","")</f>
        <v/>
      </c>
      <c r="C1121" s="3" t="str">
        <f>IFERROR(IF(INDEX('PROJETO PERFURAÇÃO'!$P:$P,MATCH(MEDIÇÃO!D1121,'PROJETO PERFURAÇÃO'!$B:$B,0))="Production","P",IF(INDEX('PROJETO PERFURAÇÃO'!$P:$P,MATCH(MEDIÇÃO!D1121,'PROJETO PERFURAÇÃO'!$B:$B,0))="Buffer","B",IF(INDEX('PROJETO PERFURAÇÃO'!$P:$P,MATCH(MEDIÇÃO!D1121,'PROJETO PERFURAÇÃO'!$B:$B,0))="Pre-Splitting","S"))),"")</f>
        <v/>
      </c>
      <c r="D1121" s="14">
        <f>R1112+1</f>
        <v>2485</v>
      </c>
      <c r="E1121" s="4" t="str">
        <f>IFERROR(INDEX('LEV R&amp;D'!$D:$D,MATCH(MEDIÇÃO!D1121,'LEV R&amp;D'!$A:$A,0))-INDEX('PROJETO PERFURAÇÃO'!$AH:$AH,MATCH(MEDIÇÃO!D1121,'PROJETO PERFURAÇÃO'!$B:$B,0)),"")</f>
        <v/>
      </c>
      <c r="F1121" s="8" t="str">
        <f>IFERROR(INDEX('PROJETO PERFURAÇÃO'!$AN:$AN,MATCH(MEDIÇÃO!D1121,'PROJETO PERFURAÇÃO'!$B:$B,0)),"")</f>
        <v/>
      </c>
      <c r="G1121" s="3"/>
      <c r="H1121" s="3"/>
      <c r="I1121" s="3" t="str">
        <f>IFERROR(ROUND(INDEX('PROJETO PERFURAÇÃO'!$AB:$AB,MATCH(MEDIÇÃO!K1121,'PROJETO PERFURAÇÃO'!$B:$B,0)),1)&amp;"''","")</f>
        <v/>
      </c>
      <c r="J1121" s="3" t="str">
        <f>IFERROR(IF(INDEX('PROJETO PERFURAÇÃO'!$P:$P,MATCH(MEDIÇÃO!K1121,'PROJETO PERFURAÇÃO'!$B:$B,0))="Production","P",IF(INDEX('PROJETO PERFURAÇÃO'!$P:$P,MATCH(MEDIÇÃO!K1121,'PROJETO PERFURAÇÃO'!$B:$B,0))="Buffer","B",IF(INDEX('PROJETO PERFURAÇÃO'!$P:$P,MATCH(MEDIÇÃO!K1121,'PROJETO PERFURAÇÃO'!$B:$B,0))="Pre-Splitting","S"))),"")</f>
        <v/>
      </c>
      <c r="K1121" s="14">
        <f>D1143+1</f>
        <v>2508</v>
      </c>
      <c r="L1121" s="4" t="str">
        <f>IFERROR(INDEX('LEV R&amp;D'!$D:$D,MATCH(MEDIÇÃO!K1121,'LEV R&amp;D'!$A:$A,0))-INDEX('PROJETO PERFURAÇÃO'!$AH:$AH,MATCH(MEDIÇÃO!K1121,'PROJETO PERFURAÇÃO'!$B:$B,0)),"")</f>
        <v/>
      </c>
      <c r="M1121" s="8" t="str">
        <f>IFERROR(INDEX('PROJETO PERFURAÇÃO'!$AN:$AN,MATCH(MEDIÇÃO!K1121,'PROJETO PERFURAÇÃO'!$B:$B,0)),"")</f>
        <v/>
      </c>
      <c r="N1121" s="3"/>
      <c r="O1121" s="3"/>
      <c r="P1121" s="3" t="str">
        <f>IFERROR(ROUND(INDEX('PROJETO PERFURAÇÃO'!$AB:$AB,MATCH(MEDIÇÃO!R1121,'PROJETO PERFURAÇÃO'!$B:$B,0)),1)&amp;"''","")</f>
        <v/>
      </c>
      <c r="Q1121" s="3" t="str">
        <f>IFERROR(IF(INDEX('PROJETO PERFURAÇÃO'!$P:$P,MATCH(MEDIÇÃO!R1121,'PROJETO PERFURAÇÃO'!$B:$B,0))="Production","P",IF(INDEX('PROJETO PERFURAÇÃO'!$P:$P,MATCH(MEDIÇÃO!R1121,'PROJETO PERFURAÇÃO'!$B:$B,0))="Buffer","B",IF(INDEX('PROJETO PERFURAÇÃO'!$P:$P,MATCH(MEDIÇÃO!R1121,'PROJETO PERFURAÇÃO'!$B:$B,0))="Pre-Splitting","S"))),"")</f>
        <v/>
      </c>
      <c r="R1121" s="14">
        <f>K1143+1</f>
        <v>2531</v>
      </c>
      <c r="S1121" s="4" t="str">
        <f>IFERROR(INDEX('LEV R&amp;D'!$D:$D,MATCH(MEDIÇÃO!R1121,'LEV R&amp;D'!$A:$A,0))-INDEX('PROJETO PERFURAÇÃO'!$AH:$AH,MATCH(MEDIÇÃO!R1121,'PROJETO PERFURAÇÃO'!$B:$B,0)),"")</f>
        <v/>
      </c>
      <c r="T1121" s="8" t="str">
        <f>IFERROR(INDEX('PROJETO PERFURAÇÃO'!$AN:$AN,MATCH(MEDIÇÃO!R1121,'PROJETO PERFURAÇÃO'!$B:$B,0)),"")</f>
        <v/>
      </c>
      <c r="U1121" s="3"/>
      <c r="V1121" s="3"/>
    </row>
    <row r="1122" spans="2:22" ht="45" customHeight="1" x14ac:dyDescent="0.25">
      <c r="B1122" s="3" t="str">
        <f>IFERROR(ROUND(INDEX('PROJETO PERFURAÇÃO'!$AB:$AB,MATCH(MEDIÇÃO!D1122,'PROJETO PERFURAÇÃO'!$B:$B,0)),1)&amp;"''","")</f>
        <v/>
      </c>
      <c r="C1122" s="3" t="str">
        <f>IFERROR(IF(INDEX('PROJETO PERFURAÇÃO'!$P:$P,MATCH(MEDIÇÃO!D1122,'PROJETO PERFURAÇÃO'!$B:$B,0))="Production","P",IF(INDEX('PROJETO PERFURAÇÃO'!$P:$P,MATCH(MEDIÇÃO!D1122,'PROJETO PERFURAÇÃO'!$B:$B,0))="Buffer","B",IF(INDEX('PROJETO PERFURAÇÃO'!$P:$P,MATCH(MEDIÇÃO!D1122,'PROJETO PERFURAÇÃO'!$B:$B,0))="Pre-Splitting","S"))),"")</f>
        <v/>
      </c>
      <c r="D1122" s="14">
        <f>D1121+1</f>
        <v>2486</v>
      </c>
      <c r="E1122" s="4" t="str">
        <f>IFERROR(INDEX('LEV R&amp;D'!$D:$D,MATCH(MEDIÇÃO!D1122,'LEV R&amp;D'!$A:$A,0))-INDEX('PROJETO PERFURAÇÃO'!$AH:$AH,MATCH(MEDIÇÃO!D1122,'PROJETO PERFURAÇÃO'!$B:$B,0)),"")</f>
        <v/>
      </c>
      <c r="F1122" s="8" t="str">
        <f>IFERROR(INDEX('PROJETO PERFURAÇÃO'!$AN:$AN,MATCH(MEDIÇÃO!D1122,'PROJETO PERFURAÇÃO'!$B:$B,0)),"")</f>
        <v/>
      </c>
      <c r="G1122" s="3"/>
      <c r="H1122" s="3"/>
      <c r="I1122" s="3" t="str">
        <f>IFERROR(ROUND(INDEX('PROJETO PERFURAÇÃO'!$AB:$AB,MATCH(MEDIÇÃO!K1122,'PROJETO PERFURAÇÃO'!$B:$B,0)),1)&amp;"''","")</f>
        <v/>
      </c>
      <c r="J1122" s="3" t="str">
        <f>IFERROR(IF(INDEX('PROJETO PERFURAÇÃO'!$P:$P,MATCH(MEDIÇÃO!K1122,'PROJETO PERFURAÇÃO'!$B:$B,0))="Production","P",IF(INDEX('PROJETO PERFURAÇÃO'!$P:$P,MATCH(MEDIÇÃO!K1122,'PROJETO PERFURAÇÃO'!$B:$B,0))="Buffer","B",IF(INDEX('PROJETO PERFURAÇÃO'!$P:$P,MATCH(MEDIÇÃO!K1122,'PROJETO PERFURAÇÃO'!$B:$B,0))="Pre-Splitting","S"))),"")</f>
        <v/>
      </c>
      <c r="K1122" s="14">
        <f>K1121+1</f>
        <v>2509</v>
      </c>
      <c r="L1122" s="4" t="str">
        <f>IFERROR(INDEX('LEV R&amp;D'!$D:$D,MATCH(MEDIÇÃO!K1122,'LEV R&amp;D'!$A:$A,0))-INDEX('PROJETO PERFURAÇÃO'!$AH:$AH,MATCH(MEDIÇÃO!K1122,'PROJETO PERFURAÇÃO'!$B:$B,0)),"")</f>
        <v/>
      </c>
      <c r="M1122" s="8" t="str">
        <f>IFERROR(INDEX('PROJETO PERFURAÇÃO'!$AN:$AN,MATCH(MEDIÇÃO!K1122,'PROJETO PERFURAÇÃO'!$B:$B,0)),"")</f>
        <v/>
      </c>
      <c r="N1122" s="3"/>
      <c r="O1122" s="3"/>
      <c r="P1122" s="3" t="str">
        <f>IFERROR(ROUND(INDEX('PROJETO PERFURAÇÃO'!$AB:$AB,MATCH(MEDIÇÃO!R1122,'PROJETO PERFURAÇÃO'!$B:$B,0)),1)&amp;"''","")</f>
        <v/>
      </c>
      <c r="Q1122" s="3" t="str">
        <f>IFERROR(IF(INDEX('PROJETO PERFURAÇÃO'!$P:$P,MATCH(MEDIÇÃO!R1122,'PROJETO PERFURAÇÃO'!$B:$B,0))="Production","P",IF(INDEX('PROJETO PERFURAÇÃO'!$P:$P,MATCH(MEDIÇÃO!R1122,'PROJETO PERFURAÇÃO'!$B:$B,0))="Buffer","B",IF(INDEX('PROJETO PERFURAÇÃO'!$P:$P,MATCH(MEDIÇÃO!R1122,'PROJETO PERFURAÇÃO'!$B:$B,0))="Pre-Splitting","S"))),"")</f>
        <v/>
      </c>
      <c r="R1122" s="14">
        <f>R1121+1</f>
        <v>2532</v>
      </c>
      <c r="S1122" s="4" t="str">
        <f>IFERROR(INDEX('LEV R&amp;D'!$D:$D,MATCH(MEDIÇÃO!R1122,'LEV R&amp;D'!$A:$A,0))-INDEX('PROJETO PERFURAÇÃO'!$AH:$AH,MATCH(MEDIÇÃO!R1122,'PROJETO PERFURAÇÃO'!$B:$B,0)),"")</f>
        <v/>
      </c>
      <c r="T1122" s="8" t="str">
        <f>IFERROR(INDEX('PROJETO PERFURAÇÃO'!$AN:$AN,MATCH(MEDIÇÃO!R1122,'PROJETO PERFURAÇÃO'!$B:$B,0)),"")</f>
        <v/>
      </c>
      <c r="U1122" s="3"/>
      <c r="V1122" s="3"/>
    </row>
    <row r="1123" spans="2:22" ht="45" customHeight="1" x14ac:dyDescent="0.25">
      <c r="B1123" s="3" t="str">
        <f>IFERROR(ROUND(INDEX('PROJETO PERFURAÇÃO'!$AB:$AB,MATCH(MEDIÇÃO!D1123,'PROJETO PERFURAÇÃO'!$B:$B,0)),1)&amp;"''","")</f>
        <v/>
      </c>
      <c r="C1123" s="3" t="str">
        <f>IFERROR(IF(INDEX('PROJETO PERFURAÇÃO'!$P:$P,MATCH(MEDIÇÃO!D1123,'PROJETO PERFURAÇÃO'!$B:$B,0))="Production","P",IF(INDEX('PROJETO PERFURAÇÃO'!$P:$P,MATCH(MEDIÇÃO!D1123,'PROJETO PERFURAÇÃO'!$B:$B,0))="Buffer","B",IF(INDEX('PROJETO PERFURAÇÃO'!$P:$P,MATCH(MEDIÇÃO!D1123,'PROJETO PERFURAÇÃO'!$B:$B,0))="Pre-Splitting","S"))),"")</f>
        <v/>
      </c>
      <c r="D1123" s="14">
        <f t="shared" ref="D1123:D1143" si="108">D1122+1</f>
        <v>2487</v>
      </c>
      <c r="E1123" s="4" t="str">
        <f>IFERROR(INDEX('LEV R&amp;D'!$D:$D,MATCH(MEDIÇÃO!D1123,'LEV R&amp;D'!$A:$A,0))-INDEX('PROJETO PERFURAÇÃO'!$AH:$AH,MATCH(MEDIÇÃO!D1123,'PROJETO PERFURAÇÃO'!$B:$B,0)),"")</f>
        <v/>
      </c>
      <c r="F1123" s="8" t="str">
        <f>IFERROR(INDEX('PROJETO PERFURAÇÃO'!$AN:$AN,MATCH(MEDIÇÃO!D1123,'PROJETO PERFURAÇÃO'!$B:$B,0)),"")</f>
        <v/>
      </c>
      <c r="G1123" s="3"/>
      <c r="H1123" s="3"/>
      <c r="I1123" s="3" t="str">
        <f>IFERROR(ROUND(INDEX('PROJETO PERFURAÇÃO'!$AB:$AB,MATCH(MEDIÇÃO!K1123,'PROJETO PERFURAÇÃO'!$B:$B,0)),1)&amp;"''","")</f>
        <v/>
      </c>
      <c r="J1123" s="3" t="str">
        <f>IFERROR(IF(INDEX('PROJETO PERFURAÇÃO'!$P:$P,MATCH(MEDIÇÃO!K1123,'PROJETO PERFURAÇÃO'!$B:$B,0))="Production","P",IF(INDEX('PROJETO PERFURAÇÃO'!$P:$P,MATCH(MEDIÇÃO!K1123,'PROJETO PERFURAÇÃO'!$B:$B,0))="Buffer","B",IF(INDEX('PROJETO PERFURAÇÃO'!$P:$P,MATCH(MEDIÇÃO!K1123,'PROJETO PERFURAÇÃO'!$B:$B,0))="Pre-Splitting","S"))),"")</f>
        <v/>
      </c>
      <c r="K1123" s="14">
        <f t="shared" ref="K1123:K1142" si="109">K1122+1</f>
        <v>2510</v>
      </c>
      <c r="L1123" s="4" t="str">
        <f>IFERROR(INDEX('LEV R&amp;D'!$D:$D,MATCH(MEDIÇÃO!K1123,'LEV R&amp;D'!$A:$A,0))-INDEX('PROJETO PERFURAÇÃO'!$AH:$AH,MATCH(MEDIÇÃO!K1123,'PROJETO PERFURAÇÃO'!$B:$B,0)),"")</f>
        <v/>
      </c>
      <c r="M1123" s="8" t="str">
        <f>IFERROR(INDEX('PROJETO PERFURAÇÃO'!$AN:$AN,MATCH(MEDIÇÃO!K1123,'PROJETO PERFURAÇÃO'!$B:$B,0)),"")</f>
        <v/>
      </c>
      <c r="N1123" s="3"/>
      <c r="O1123" s="3"/>
      <c r="P1123" s="3" t="str">
        <f>IFERROR(ROUND(INDEX('PROJETO PERFURAÇÃO'!$AB:$AB,MATCH(MEDIÇÃO!R1123,'PROJETO PERFURAÇÃO'!$B:$B,0)),1)&amp;"''","")</f>
        <v/>
      </c>
      <c r="Q1123" s="3" t="str">
        <f>IFERROR(IF(INDEX('PROJETO PERFURAÇÃO'!$P:$P,MATCH(MEDIÇÃO!R1123,'PROJETO PERFURAÇÃO'!$B:$B,0))="Production","P",IF(INDEX('PROJETO PERFURAÇÃO'!$P:$P,MATCH(MEDIÇÃO!R1123,'PROJETO PERFURAÇÃO'!$B:$B,0))="Buffer","B",IF(INDEX('PROJETO PERFURAÇÃO'!$P:$P,MATCH(MEDIÇÃO!R1123,'PROJETO PERFURAÇÃO'!$B:$B,0))="Pre-Splitting","S"))),"")</f>
        <v/>
      </c>
      <c r="R1123" s="14">
        <f t="shared" ref="R1123:R1142" si="110">R1122+1</f>
        <v>2533</v>
      </c>
      <c r="S1123" s="4" t="str">
        <f>IFERROR(INDEX('LEV R&amp;D'!$D:$D,MATCH(MEDIÇÃO!R1123,'LEV R&amp;D'!$A:$A,0))-INDEX('PROJETO PERFURAÇÃO'!$AH:$AH,MATCH(MEDIÇÃO!R1123,'PROJETO PERFURAÇÃO'!$B:$B,0)),"")</f>
        <v/>
      </c>
      <c r="T1123" s="8" t="str">
        <f>IFERROR(INDEX('PROJETO PERFURAÇÃO'!$AN:$AN,MATCH(MEDIÇÃO!R1123,'PROJETO PERFURAÇÃO'!$B:$B,0)),"")</f>
        <v/>
      </c>
      <c r="U1123" s="3"/>
      <c r="V1123" s="3"/>
    </row>
    <row r="1124" spans="2:22" ht="45" customHeight="1" x14ac:dyDescent="0.25">
      <c r="B1124" s="3" t="str">
        <f>IFERROR(ROUND(INDEX('PROJETO PERFURAÇÃO'!$AB:$AB,MATCH(MEDIÇÃO!D1124,'PROJETO PERFURAÇÃO'!$B:$B,0)),1)&amp;"''","")</f>
        <v/>
      </c>
      <c r="C1124" s="3" t="str">
        <f>IFERROR(IF(INDEX('PROJETO PERFURAÇÃO'!$P:$P,MATCH(MEDIÇÃO!D1124,'PROJETO PERFURAÇÃO'!$B:$B,0))="Production","P",IF(INDEX('PROJETO PERFURAÇÃO'!$P:$P,MATCH(MEDIÇÃO!D1124,'PROJETO PERFURAÇÃO'!$B:$B,0))="Buffer","B",IF(INDEX('PROJETO PERFURAÇÃO'!$P:$P,MATCH(MEDIÇÃO!D1124,'PROJETO PERFURAÇÃO'!$B:$B,0))="Pre-Splitting","S"))),"")</f>
        <v/>
      </c>
      <c r="D1124" s="14">
        <f t="shared" si="108"/>
        <v>2488</v>
      </c>
      <c r="E1124" s="4" t="str">
        <f>IFERROR(INDEX('LEV R&amp;D'!$D:$D,MATCH(MEDIÇÃO!D1124,'LEV R&amp;D'!$A:$A,0))-INDEX('PROJETO PERFURAÇÃO'!$AH:$AH,MATCH(MEDIÇÃO!D1124,'PROJETO PERFURAÇÃO'!$B:$B,0)),"")</f>
        <v/>
      </c>
      <c r="F1124" s="8" t="str">
        <f>IFERROR(INDEX('PROJETO PERFURAÇÃO'!$AN:$AN,MATCH(MEDIÇÃO!D1124,'PROJETO PERFURAÇÃO'!$B:$B,0)),"")</f>
        <v/>
      </c>
      <c r="G1124" s="3"/>
      <c r="H1124" s="3"/>
      <c r="I1124" s="3" t="str">
        <f>IFERROR(ROUND(INDEX('PROJETO PERFURAÇÃO'!$AB:$AB,MATCH(MEDIÇÃO!K1124,'PROJETO PERFURAÇÃO'!$B:$B,0)),1)&amp;"''","")</f>
        <v/>
      </c>
      <c r="J1124" s="3" t="str">
        <f>IFERROR(IF(INDEX('PROJETO PERFURAÇÃO'!$P:$P,MATCH(MEDIÇÃO!K1124,'PROJETO PERFURAÇÃO'!$B:$B,0))="Production","P",IF(INDEX('PROJETO PERFURAÇÃO'!$P:$P,MATCH(MEDIÇÃO!K1124,'PROJETO PERFURAÇÃO'!$B:$B,0))="Buffer","B",IF(INDEX('PROJETO PERFURAÇÃO'!$P:$P,MATCH(MEDIÇÃO!K1124,'PROJETO PERFURAÇÃO'!$B:$B,0))="Pre-Splitting","S"))),"")</f>
        <v/>
      </c>
      <c r="K1124" s="14">
        <f t="shared" si="109"/>
        <v>2511</v>
      </c>
      <c r="L1124" s="4" t="str">
        <f>IFERROR(INDEX('LEV R&amp;D'!$D:$D,MATCH(MEDIÇÃO!K1124,'LEV R&amp;D'!$A:$A,0))-INDEX('PROJETO PERFURAÇÃO'!$AH:$AH,MATCH(MEDIÇÃO!K1124,'PROJETO PERFURAÇÃO'!$B:$B,0)),"")</f>
        <v/>
      </c>
      <c r="M1124" s="8" t="str">
        <f>IFERROR(INDEX('PROJETO PERFURAÇÃO'!$AN:$AN,MATCH(MEDIÇÃO!K1124,'PROJETO PERFURAÇÃO'!$B:$B,0)),"")</f>
        <v/>
      </c>
      <c r="N1124" s="3"/>
      <c r="O1124" s="3"/>
      <c r="P1124" s="3" t="str">
        <f>IFERROR(ROUND(INDEX('PROJETO PERFURAÇÃO'!$AB:$AB,MATCH(MEDIÇÃO!R1124,'PROJETO PERFURAÇÃO'!$B:$B,0)),1)&amp;"''","")</f>
        <v/>
      </c>
      <c r="Q1124" s="3" t="str">
        <f>IFERROR(IF(INDEX('PROJETO PERFURAÇÃO'!$P:$P,MATCH(MEDIÇÃO!R1124,'PROJETO PERFURAÇÃO'!$B:$B,0))="Production","P",IF(INDEX('PROJETO PERFURAÇÃO'!$P:$P,MATCH(MEDIÇÃO!R1124,'PROJETO PERFURAÇÃO'!$B:$B,0))="Buffer","B",IF(INDEX('PROJETO PERFURAÇÃO'!$P:$P,MATCH(MEDIÇÃO!R1124,'PROJETO PERFURAÇÃO'!$B:$B,0))="Pre-Splitting","S"))),"")</f>
        <v/>
      </c>
      <c r="R1124" s="14">
        <f t="shared" si="110"/>
        <v>2534</v>
      </c>
      <c r="S1124" s="4" t="str">
        <f>IFERROR(INDEX('LEV R&amp;D'!$D:$D,MATCH(MEDIÇÃO!R1124,'LEV R&amp;D'!$A:$A,0))-INDEX('PROJETO PERFURAÇÃO'!$AH:$AH,MATCH(MEDIÇÃO!R1124,'PROJETO PERFURAÇÃO'!$B:$B,0)),"")</f>
        <v/>
      </c>
      <c r="T1124" s="8" t="str">
        <f>IFERROR(INDEX('PROJETO PERFURAÇÃO'!$AN:$AN,MATCH(MEDIÇÃO!R1124,'PROJETO PERFURAÇÃO'!$B:$B,0)),"")</f>
        <v/>
      </c>
      <c r="U1124" s="3"/>
      <c r="V1124" s="3"/>
    </row>
    <row r="1125" spans="2:22" ht="45" customHeight="1" x14ac:dyDescent="0.25">
      <c r="B1125" s="3" t="str">
        <f>IFERROR(ROUND(INDEX('PROJETO PERFURAÇÃO'!$AB:$AB,MATCH(MEDIÇÃO!D1125,'PROJETO PERFURAÇÃO'!$B:$B,0)),1)&amp;"''","")</f>
        <v/>
      </c>
      <c r="C1125" s="3" t="str">
        <f>IFERROR(IF(INDEX('PROJETO PERFURAÇÃO'!$P:$P,MATCH(MEDIÇÃO!D1125,'PROJETO PERFURAÇÃO'!$B:$B,0))="Production","P",IF(INDEX('PROJETO PERFURAÇÃO'!$P:$P,MATCH(MEDIÇÃO!D1125,'PROJETO PERFURAÇÃO'!$B:$B,0))="Buffer","B",IF(INDEX('PROJETO PERFURAÇÃO'!$P:$P,MATCH(MEDIÇÃO!D1125,'PROJETO PERFURAÇÃO'!$B:$B,0))="Pre-Splitting","S"))),"")</f>
        <v/>
      </c>
      <c r="D1125" s="14">
        <f t="shared" si="108"/>
        <v>2489</v>
      </c>
      <c r="E1125" s="4" t="str">
        <f>IFERROR(INDEX('LEV R&amp;D'!$D:$D,MATCH(MEDIÇÃO!D1125,'LEV R&amp;D'!$A:$A,0))-INDEX('PROJETO PERFURAÇÃO'!$AH:$AH,MATCH(MEDIÇÃO!D1125,'PROJETO PERFURAÇÃO'!$B:$B,0)),"")</f>
        <v/>
      </c>
      <c r="F1125" s="8" t="str">
        <f>IFERROR(INDEX('PROJETO PERFURAÇÃO'!$AN:$AN,MATCH(MEDIÇÃO!D1125,'PROJETO PERFURAÇÃO'!$B:$B,0)),"")</f>
        <v/>
      </c>
      <c r="G1125" s="3"/>
      <c r="H1125" s="3"/>
      <c r="I1125" s="3" t="str">
        <f>IFERROR(ROUND(INDEX('PROJETO PERFURAÇÃO'!$AB:$AB,MATCH(MEDIÇÃO!K1125,'PROJETO PERFURAÇÃO'!$B:$B,0)),1)&amp;"''","")</f>
        <v/>
      </c>
      <c r="J1125" s="3" t="str">
        <f>IFERROR(IF(INDEX('PROJETO PERFURAÇÃO'!$P:$P,MATCH(MEDIÇÃO!K1125,'PROJETO PERFURAÇÃO'!$B:$B,0))="Production","P",IF(INDEX('PROJETO PERFURAÇÃO'!$P:$P,MATCH(MEDIÇÃO!K1125,'PROJETO PERFURAÇÃO'!$B:$B,0))="Buffer","B",IF(INDEX('PROJETO PERFURAÇÃO'!$P:$P,MATCH(MEDIÇÃO!K1125,'PROJETO PERFURAÇÃO'!$B:$B,0))="Pre-Splitting","S"))),"")</f>
        <v/>
      </c>
      <c r="K1125" s="14">
        <f t="shared" si="109"/>
        <v>2512</v>
      </c>
      <c r="L1125" s="4" t="str">
        <f>IFERROR(INDEX('LEV R&amp;D'!$D:$D,MATCH(MEDIÇÃO!K1125,'LEV R&amp;D'!$A:$A,0))-INDEX('PROJETO PERFURAÇÃO'!$AH:$AH,MATCH(MEDIÇÃO!K1125,'PROJETO PERFURAÇÃO'!$B:$B,0)),"")</f>
        <v/>
      </c>
      <c r="M1125" s="8" t="str">
        <f>IFERROR(INDEX('PROJETO PERFURAÇÃO'!$AN:$AN,MATCH(MEDIÇÃO!K1125,'PROJETO PERFURAÇÃO'!$B:$B,0)),"")</f>
        <v/>
      </c>
      <c r="N1125" s="3"/>
      <c r="O1125" s="3"/>
      <c r="P1125" s="3" t="str">
        <f>IFERROR(ROUND(INDEX('PROJETO PERFURAÇÃO'!$AB:$AB,MATCH(MEDIÇÃO!R1125,'PROJETO PERFURAÇÃO'!$B:$B,0)),1)&amp;"''","")</f>
        <v/>
      </c>
      <c r="Q1125" s="3" t="str">
        <f>IFERROR(IF(INDEX('PROJETO PERFURAÇÃO'!$P:$P,MATCH(MEDIÇÃO!R1125,'PROJETO PERFURAÇÃO'!$B:$B,0))="Production","P",IF(INDEX('PROJETO PERFURAÇÃO'!$P:$P,MATCH(MEDIÇÃO!R1125,'PROJETO PERFURAÇÃO'!$B:$B,0))="Buffer","B",IF(INDEX('PROJETO PERFURAÇÃO'!$P:$P,MATCH(MEDIÇÃO!R1125,'PROJETO PERFURAÇÃO'!$B:$B,0))="Pre-Splitting","S"))),"")</f>
        <v/>
      </c>
      <c r="R1125" s="14">
        <f t="shared" si="110"/>
        <v>2535</v>
      </c>
      <c r="S1125" s="4" t="str">
        <f>IFERROR(INDEX('LEV R&amp;D'!$D:$D,MATCH(MEDIÇÃO!R1125,'LEV R&amp;D'!$A:$A,0))-INDEX('PROJETO PERFURAÇÃO'!$AH:$AH,MATCH(MEDIÇÃO!R1125,'PROJETO PERFURAÇÃO'!$B:$B,0)),"")</f>
        <v/>
      </c>
      <c r="T1125" s="8" t="str">
        <f>IFERROR(INDEX('PROJETO PERFURAÇÃO'!$AN:$AN,MATCH(MEDIÇÃO!R1125,'PROJETO PERFURAÇÃO'!$B:$B,0)),"")</f>
        <v/>
      </c>
      <c r="U1125" s="3"/>
      <c r="V1125" s="3"/>
    </row>
    <row r="1126" spans="2:22" ht="45" customHeight="1" x14ac:dyDescent="0.25">
      <c r="B1126" s="3" t="str">
        <f>IFERROR(ROUND(INDEX('PROJETO PERFURAÇÃO'!$AB:$AB,MATCH(MEDIÇÃO!D1126,'PROJETO PERFURAÇÃO'!$B:$B,0)),1)&amp;"''","")</f>
        <v/>
      </c>
      <c r="C1126" s="3" t="str">
        <f>IFERROR(IF(INDEX('PROJETO PERFURAÇÃO'!$P:$P,MATCH(MEDIÇÃO!D1126,'PROJETO PERFURAÇÃO'!$B:$B,0))="Production","P",IF(INDEX('PROJETO PERFURAÇÃO'!$P:$P,MATCH(MEDIÇÃO!D1126,'PROJETO PERFURAÇÃO'!$B:$B,0))="Buffer","B",IF(INDEX('PROJETO PERFURAÇÃO'!$P:$P,MATCH(MEDIÇÃO!D1126,'PROJETO PERFURAÇÃO'!$B:$B,0))="Pre-Splitting","S"))),"")</f>
        <v/>
      </c>
      <c r="D1126" s="14">
        <f t="shared" si="108"/>
        <v>2490</v>
      </c>
      <c r="E1126" s="4" t="str">
        <f>IFERROR(INDEX('LEV R&amp;D'!$D:$D,MATCH(MEDIÇÃO!D1126,'LEV R&amp;D'!$A:$A,0))-INDEX('PROJETO PERFURAÇÃO'!$AH:$AH,MATCH(MEDIÇÃO!D1126,'PROJETO PERFURAÇÃO'!$B:$B,0)),"")</f>
        <v/>
      </c>
      <c r="F1126" s="8" t="str">
        <f>IFERROR(INDEX('PROJETO PERFURAÇÃO'!$AN:$AN,MATCH(MEDIÇÃO!D1126,'PROJETO PERFURAÇÃO'!$B:$B,0)),"")</f>
        <v/>
      </c>
      <c r="G1126" s="3"/>
      <c r="H1126" s="3"/>
      <c r="I1126" s="3" t="str">
        <f>IFERROR(ROUND(INDEX('PROJETO PERFURAÇÃO'!$AB:$AB,MATCH(MEDIÇÃO!K1126,'PROJETO PERFURAÇÃO'!$B:$B,0)),1)&amp;"''","")</f>
        <v/>
      </c>
      <c r="J1126" s="3" t="str">
        <f>IFERROR(IF(INDEX('PROJETO PERFURAÇÃO'!$P:$P,MATCH(MEDIÇÃO!K1126,'PROJETO PERFURAÇÃO'!$B:$B,0))="Production","P",IF(INDEX('PROJETO PERFURAÇÃO'!$P:$P,MATCH(MEDIÇÃO!K1126,'PROJETO PERFURAÇÃO'!$B:$B,0))="Buffer","B",IF(INDEX('PROJETO PERFURAÇÃO'!$P:$P,MATCH(MEDIÇÃO!K1126,'PROJETO PERFURAÇÃO'!$B:$B,0))="Pre-Splitting","S"))),"")</f>
        <v/>
      </c>
      <c r="K1126" s="14">
        <f t="shared" si="109"/>
        <v>2513</v>
      </c>
      <c r="L1126" s="4" t="str">
        <f>IFERROR(INDEX('LEV R&amp;D'!$D:$D,MATCH(MEDIÇÃO!K1126,'LEV R&amp;D'!$A:$A,0))-INDEX('PROJETO PERFURAÇÃO'!$AH:$AH,MATCH(MEDIÇÃO!K1126,'PROJETO PERFURAÇÃO'!$B:$B,0)),"")</f>
        <v/>
      </c>
      <c r="M1126" s="8" t="str">
        <f>IFERROR(INDEX('PROJETO PERFURAÇÃO'!$AN:$AN,MATCH(MEDIÇÃO!K1126,'PROJETO PERFURAÇÃO'!$B:$B,0)),"")</f>
        <v/>
      </c>
      <c r="N1126" s="3"/>
      <c r="O1126" s="3"/>
      <c r="P1126" s="3" t="str">
        <f>IFERROR(ROUND(INDEX('PROJETO PERFURAÇÃO'!$AB:$AB,MATCH(MEDIÇÃO!R1126,'PROJETO PERFURAÇÃO'!$B:$B,0)),1)&amp;"''","")</f>
        <v/>
      </c>
      <c r="Q1126" s="3" t="str">
        <f>IFERROR(IF(INDEX('PROJETO PERFURAÇÃO'!$P:$P,MATCH(MEDIÇÃO!R1126,'PROJETO PERFURAÇÃO'!$B:$B,0))="Production","P",IF(INDEX('PROJETO PERFURAÇÃO'!$P:$P,MATCH(MEDIÇÃO!R1126,'PROJETO PERFURAÇÃO'!$B:$B,0))="Buffer","B",IF(INDEX('PROJETO PERFURAÇÃO'!$P:$P,MATCH(MEDIÇÃO!R1126,'PROJETO PERFURAÇÃO'!$B:$B,0))="Pre-Splitting","S"))),"")</f>
        <v/>
      </c>
      <c r="R1126" s="14">
        <f t="shared" si="110"/>
        <v>2536</v>
      </c>
      <c r="S1126" s="4" t="str">
        <f>IFERROR(INDEX('LEV R&amp;D'!$D:$D,MATCH(MEDIÇÃO!R1126,'LEV R&amp;D'!$A:$A,0))-INDEX('PROJETO PERFURAÇÃO'!$AH:$AH,MATCH(MEDIÇÃO!R1126,'PROJETO PERFURAÇÃO'!$B:$B,0)),"")</f>
        <v/>
      </c>
      <c r="T1126" s="8" t="str">
        <f>IFERROR(INDEX('PROJETO PERFURAÇÃO'!$AN:$AN,MATCH(MEDIÇÃO!R1126,'PROJETO PERFURAÇÃO'!$B:$B,0)),"")</f>
        <v/>
      </c>
      <c r="U1126" s="3"/>
      <c r="V1126" s="3"/>
    </row>
    <row r="1127" spans="2:22" ht="45" customHeight="1" x14ac:dyDescent="0.25">
      <c r="B1127" s="3" t="str">
        <f>IFERROR(ROUND(INDEX('PROJETO PERFURAÇÃO'!$AB:$AB,MATCH(MEDIÇÃO!D1127,'PROJETO PERFURAÇÃO'!$B:$B,0)),1)&amp;"''","")</f>
        <v/>
      </c>
      <c r="C1127" s="3" t="str">
        <f>IFERROR(IF(INDEX('PROJETO PERFURAÇÃO'!$P:$P,MATCH(MEDIÇÃO!D1127,'PROJETO PERFURAÇÃO'!$B:$B,0))="Production","P",IF(INDEX('PROJETO PERFURAÇÃO'!$P:$P,MATCH(MEDIÇÃO!D1127,'PROJETO PERFURAÇÃO'!$B:$B,0))="Buffer","B",IF(INDEX('PROJETO PERFURAÇÃO'!$P:$P,MATCH(MEDIÇÃO!D1127,'PROJETO PERFURAÇÃO'!$B:$B,0))="Pre-Splitting","S"))),"")</f>
        <v/>
      </c>
      <c r="D1127" s="14">
        <f t="shared" si="108"/>
        <v>2491</v>
      </c>
      <c r="E1127" s="4" t="str">
        <f>IFERROR(INDEX('LEV R&amp;D'!$D:$D,MATCH(MEDIÇÃO!D1127,'LEV R&amp;D'!$A:$A,0))-INDEX('PROJETO PERFURAÇÃO'!$AH:$AH,MATCH(MEDIÇÃO!D1127,'PROJETO PERFURAÇÃO'!$B:$B,0)),"")</f>
        <v/>
      </c>
      <c r="F1127" s="8" t="str">
        <f>IFERROR(INDEX('PROJETO PERFURAÇÃO'!$AN:$AN,MATCH(MEDIÇÃO!D1127,'PROJETO PERFURAÇÃO'!$B:$B,0)),"")</f>
        <v/>
      </c>
      <c r="G1127" s="3"/>
      <c r="H1127" s="3"/>
      <c r="I1127" s="3" t="str">
        <f>IFERROR(ROUND(INDEX('PROJETO PERFURAÇÃO'!$AB:$AB,MATCH(MEDIÇÃO!K1127,'PROJETO PERFURAÇÃO'!$B:$B,0)),1)&amp;"''","")</f>
        <v/>
      </c>
      <c r="J1127" s="3" t="str">
        <f>IFERROR(IF(INDEX('PROJETO PERFURAÇÃO'!$P:$P,MATCH(MEDIÇÃO!K1127,'PROJETO PERFURAÇÃO'!$B:$B,0))="Production","P",IF(INDEX('PROJETO PERFURAÇÃO'!$P:$P,MATCH(MEDIÇÃO!K1127,'PROJETO PERFURAÇÃO'!$B:$B,0))="Buffer","B",IF(INDEX('PROJETO PERFURAÇÃO'!$P:$P,MATCH(MEDIÇÃO!K1127,'PROJETO PERFURAÇÃO'!$B:$B,0))="Pre-Splitting","S"))),"")</f>
        <v/>
      </c>
      <c r="K1127" s="14">
        <f t="shared" si="109"/>
        <v>2514</v>
      </c>
      <c r="L1127" s="4" t="str">
        <f>IFERROR(INDEX('LEV R&amp;D'!$D:$D,MATCH(MEDIÇÃO!K1127,'LEV R&amp;D'!$A:$A,0))-INDEX('PROJETO PERFURAÇÃO'!$AH:$AH,MATCH(MEDIÇÃO!K1127,'PROJETO PERFURAÇÃO'!$B:$B,0)),"")</f>
        <v/>
      </c>
      <c r="M1127" s="8" t="str">
        <f>IFERROR(INDEX('PROJETO PERFURAÇÃO'!$AN:$AN,MATCH(MEDIÇÃO!K1127,'PROJETO PERFURAÇÃO'!$B:$B,0)),"")</f>
        <v/>
      </c>
      <c r="N1127" s="3"/>
      <c r="O1127" s="3"/>
      <c r="P1127" s="3" t="str">
        <f>IFERROR(ROUND(INDEX('PROJETO PERFURAÇÃO'!$AB:$AB,MATCH(MEDIÇÃO!R1127,'PROJETO PERFURAÇÃO'!$B:$B,0)),1)&amp;"''","")</f>
        <v/>
      </c>
      <c r="Q1127" s="3" t="str">
        <f>IFERROR(IF(INDEX('PROJETO PERFURAÇÃO'!$P:$P,MATCH(MEDIÇÃO!R1127,'PROJETO PERFURAÇÃO'!$B:$B,0))="Production","P",IF(INDEX('PROJETO PERFURAÇÃO'!$P:$P,MATCH(MEDIÇÃO!R1127,'PROJETO PERFURAÇÃO'!$B:$B,0))="Buffer","B",IF(INDEX('PROJETO PERFURAÇÃO'!$P:$P,MATCH(MEDIÇÃO!R1127,'PROJETO PERFURAÇÃO'!$B:$B,0))="Pre-Splitting","S"))),"")</f>
        <v/>
      </c>
      <c r="R1127" s="14">
        <f t="shared" si="110"/>
        <v>2537</v>
      </c>
      <c r="S1127" s="4" t="str">
        <f>IFERROR(INDEX('LEV R&amp;D'!$D:$D,MATCH(MEDIÇÃO!R1127,'LEV R&amp;D'!$A:$A,0))-INDEX('PROJETO PERFURAÇÃO'!$AH:$AH,MATCH(MEDIÇÃO!R1127,'PROJETO PERFURAÇÃO'!$B:$B,0)),"")</f>
        <v/>
      </c>
      <c r="T1127" s="8" t="str">
        <f>IFERROR(INDEX('PROJETO PERFURAÇÃO'!$AN:$AN,MATCH(MEDIÇÃO!R1127,'PROJETO PERFURAÇÃO'!$B:$B,0)),"")</f>
        <v/>
      </c>
      <c r="U1127" s="3"/>
      <c r="V1127" s="3"/>
    </row>
    <row r="1128" spans="2:22" ht="45" customHeight="1" x14ac:dyDescent="0.25">
      <c r="B1128" s="3" t="str">
        <f>IFERROR(ROUND(INDEX('PROJETO PERFURAÇÃO'!$AB:$AB,MATCH(MEDIÇÃO!D1128,'PROJETO PERFURAÇÃO'!$B:$B,0)),1)&amp;"''","")</f>
        <v/>
      </c>
      <c r="C1128" s="3" t="str">
        <f>IFERROR(IF(INDEX('PROJETO PERFURAÇÃO'!$P:$P,MATCH(MEDIÇÃO!D1128,'PROJETO PERFURAÇÃO'!$B:$B,0))="Production","P",IF(INDEX('PROJETO PERFURAÇÃO'!$P:$P,MATCH(MEDIÇÃO!D1128,'PROJETO PERFURAÇÃO'!$B:$B,0))="Buffer","B",IF(INDEX('PROJETO PERFURAÇÃO'!$P:$P,MATCH(MEDIÇÃO!D1128,'PROJETO PERFURAÇÃO'!$B:$B,0))="Pre-Splitting","S"))),"")</f>
        <v/>
      </c>
      <c r="D1128" s="14">
        <f t="shared" si="108"/>
        <v>2492</v>
      </c>
      <c r="E1128" s="4" t="str">
        <f>IFERROR(INDEX('LEV R&amp;D'!$D:$D,MATCH(MEDIÇÃO!D1128,'LEV R&amp;D'!$A:$A,0))-INDEX('PROJETO PERFURAÇÃO'!$AH:$AH,MATCH(MEDIÇÃO!D1128,'PROJETO PERFURAÇÃO'!$B:$B,0)),"")</f>
        <v/>
      </c>
      <c r="F1128" s="8" t="str">
        <f>IFERROR(INDEX('PROJETO PERFURAÇÃO'!$AN:$AN,MATCH(MEDIÇÃO!D1128,'PROJETO PERFURAÇÃO'!$B:$B,0)),"")</f>
        <v/>
      </c>
      <c r="G1128" s="3"/>
      <c r="H1128" s="3"/>
      <c r="I1128" s="3" t="str">
        <f>IFERROR(ROUND(INDEX('PROJETO PERFURAÇÃO'!$AB:$AB,MATCH(MEDIÇÃO!K1128,'PROJETO PERFURAÇÃO'!$B:$B,0)),1)&amp;"''","")</f>
        <v/>
      </c>
      <c r="J1128" s="3" t="str">
        <f>IFERROR(IF(INDEX('PROJETO PERFURAÇÃO'!$P:$P,MATCH(MEDIÇÃO!K1128,'PROJETO PERFURAÇÃO'!$B:$B,0))="Production","P",IF(INDEX('PROJETO PERFURAÇÃO'!$P:$P,MATCH(MEDIÇÃO!K1128,'PROJETO PERFURAÇÃO'!$B:$B,0))="Buffer","B",IF(INDEX('PROJETO PERFURAÇÃO'!$P:$P,MATCH(MEDIÇÃO!K1128,'PROJETO PERFURAÇÃO'!$B:$B,0))="Pre-Splitting","S"))),"")</f>
        <v/>
      </c>
      <c r="K1128" s="14">
        <f t="shared" si="109"/>
        <v>2515</v>
      </c>
      <c r="L1128" s="4" t="str">
        <f>IFERROR(INDEX('LEV R&amp;D'!$D:$D,MATCH(MEDIÇÃO!K1128,'LEV R&amp;D'!$A:$A,0))-INDEX('PROJETO PERFURAÇÃO'!$AH:$AH,MATCH(MEDIÇÃO!K1128,'PROJETO PERFURAÇÃO'!$B:$B,0)),"")</f>
        <v/>
      </c>
      <c r="M1128" s="8" t="str">
        <f>IFERROR(INDEX('PROJETO PERFURAÇÃO'!$AN:$AN,MATCH(MEDIÇÃO!K1128,'PROJETO PERFURAÇÃO'!$B:$B,0)),"")</f>
        <v/>
      </c>
      <c r="N1128" s="3"/>
      <c r="O1128" s="3"/>
      <c r="P1128" s="3" t="str">
        <f>IFERROR(ROUND(INDEX('PROJETO PERFURAÇÃO'!$AB:$AB,MATCH(MEDIÇÃO!R1128,'PROJETO PERFURAÇÃO'!$B:$B,0)),1)&amp;"''","")</f>
        <v/>
      </c>
      <c r="Q1128" s="3" t="str">
        <f>IFERROR(IF(INDEX('PROJETO PERFURAÇÃO'!$P:$P,MATCH(MEDIÇÃO!R1128,'PROJETO PERFURAÇÃO'!$B:$B,0))="Production","P",IF(INDEX('PROJETO PERFURAÇÃO'!$P:$P,MATCH(MEDIÇÃO!R1128,'PROJETO PERFURAÇÃO'!$B:$B,0))="Buffer","B",IF(INDEX('PROJETO PERFURAÇÃO'!$P:$P,MATCH(MEDIÇÃO!R1128,'PROJETO PERFURAÇÃO'!$B:$B,0))="Pre-Splitting","S"))),"")</f>
        <v/>
      </c>
      <c r="R1128" s="14">
        <f t="shared" si="110"/>
        <v>2538</v>
      </c>
      <c r="S1128" s="4" t="str">
        <f>IFERROR(INDEX('LEV R&amp;D'!$D:$D,MATCH(MEDIÇÃO!R1128,'LEV R&amp;D'!$A:$A,0))-INDEX('PROJETO PERFURAÇÃO'!$AH:$AH,MATCH(MEDIÇÃO!R1128,'PROJETO PERFURAÇÃO'!$B:$B,0)),"")</f>
        <v/>
      </c>
      <c r="T1128" s="8" t="str">
        <f>IFERROR(INDEX('PROJETO PERFURAÇÃO'!$AN:$AN,MATCH(MEDIÇÃO!R1128,'PROJETO PERFURAÇÃO'!$B:$B,0)),"")</f>
        <v/>
      </c>
      <c r="U1128" s="3"/>
      <c r="V1128" s="3"/>
    </row>
    <row r="1129" spans="2:22" ht="45" customHeight="1" x14ac:dyDescent="0.25">
      <c r="B1129" s="3" t="str">
        <f>IFERROR(ROUND(INDEX('PROJETO PERFURAÇÃO'!$AB:$AB,MATCH(MEDIÇÃO!D1129,'PROJETO PERFURAÇÃO'!$B:$B,0)),1)&amp;"''","")</f>
        <v/>
      </c>
      <c r="C1129" s="3" t="str">
        <f>IFERROR(IF(INDEX('PROJETO PERFURAÇÃO'!$P:$P,MATCH(MEDIÇÃO!D1129,'PROJETO PERFURAÇÃO'!$B:$B,0))="Production","P",IF(INDEX('PROJETO PERFURAÇÃO'!$P:$P,MATCH(MEDIÇÃO!D1129,'PROJETO PERFURAÇÃO'!$B:$B,0))="Buffer","B",IF(INDEX('PROJETO PERFURAÇÃO'!$P:$P,MATCH(MEDIÇÃO!D1129,'PROJETO PERFURAÇÃO'!$B:$B,0))="Pre-Splitting","S"))),"")</f>
        <v/>
      </c>
      <c r="D1129" s="14">
        <f t="shared" si="108"/>
        <v>2493</v>
      </c>
      <c r="E1129" s="4" t="str">
        <f>IFERROR(INDEX('LEV R&amp;D'!$D:$D,MATCH(MEDIÇÃO!D1129,'LEV R&amp;D'!$A:$A,0))-INDEX('PROJETO PERFURAÇÃO'!$AH:$AH,MATCH(MEDIÇÃO!D1129,'PROJETO PERFURAÇÃO'!$B:$B,0)),"")</f>
        <v/>
      </c>
      <c r="F1129" s="8" t="str">
        <f>IFERROR(INDEX('PROJETO PERFURAÇÃO'!$AN:$AN,MATCH(MEDIÇÃO!D1129,'PROJETO PERFURAÇÃO'!$B:$B,0)),"")</f>
        <v/>
      </c>
      <c r="G1129" s="3"/>
      <c r="H1129" s="3"/>
      <c r="I1129" s="3" t="str">
        <f>IFERROR(ROUND(INDEX('PROJETO PERFURAÇÃO'!$AB:$AB,MATCH(MEDIÇÃO!K1129,'PROJETO PERFURAÇÃO'!$B:$B,0)),1)&amp;"''","")</f>
        <v/>
      </c>
      <c r="J1129" s="3" t="str">
        <f>IFERROR(IF(INDEX('PROJETO PERFURAÇÃO'!$P:$P,MATCH(MEDIÇÃO!K1129,'PROJETO PERFURAÇÃO'!$B:$B,0))="Production","P",IF(INDEX('PROJETO PERFURAÇÃO'!$P:$P,MATCH(MEDIÇÃO!K1129,'PROJETO PERFURAÇÃO'!$B:$B,0))="Buffer","B",IF(INDEX('PROJETO PERFURAÇÃO'!$P:$P,MATCH(MEDIÇÃO!K1129,'PROJETO PERFURAÇÃO'!$B:$B,0))="Pre-Splitting","S"))),"")</f>
        <v/>
      </c>
      <c r="K1129" s="14">
        <f t="shared" si="109"/>
        <v>2516</v>
      </c>
      <c r="L1129" s="4" t="str">
        <f>IFERROR(INDEX('LEV R&amp;D'!$D:$D,MATCH(MEDIÇÃO!K1129,'LEV R&amp;D'!$A:$A,0))-INDEX('PROJETO PERFURAÇÃO'!$AH:$AH,MATCH(MEDIÇÃO!K1129,'PROJETO PERFURAÇÃO'!$B:$B,0)),"")</f>
        <v/>
      </c>
      <c r="M1129" s="8" t="str">
        <f>IFERROR(INDEX('PROJETO PERFURAÇÃO'!$AN:$AN,MATCH(MEDIÇÃO!K1129,'PROJETO PERFURAÇÃO'!$B:$B,0)),"")</f>
        <v/>
      </c>
      <c r="N1129" s="3"/>
      <c r="O1129" s="3"/>
      <c r="P1129" s="3" t="str">
        <f>IFERROR(ROUND(INDEX('PROJETO PERFURAÇÃO'!$AB:$AB,MATCH(MEDIÇÃO!R1129,'PROJETO PERFURAÇÃO'!$B:$B,0)),1)&amp;"''","")</f>
        <v/>
      </c>
      <c r="Q1129" s="3" t="str">
        <f>IFERROR(IF(INDEX('PROJETO PERFURAÇÃO'!$P:$P,MATCH(MEDIÇÃO!R1129,'PROJETO PERFURAÇÃO'!$B:$B,0))="Production","P",IF(INDEX('PROJETO PERFURAÇÃO'!$P:$P,MATCH(MEDIÇÃO!R1129,'PROJETO PERFURAÇÃO'!$B:$B,0))="Buffer","B",IF(INDEX('PROJETO PERFURAÇÃO'!$P:$P,MATCH(MEDIÇÃO!R1129,'PROJETO PERFURAÇÃO'!$B:$B,0))="Pre-Splitting","S"))),"")</f>
        <v/>
      </c>
      <c r="R1129" s="14">
        <f t="shared" si="110"/>
        <v>2539</v>
      </c>
      <c r="S1129" s="4" t="str">
        <f>IFERROR(INDEX('LEV R&amp;D'!$D:$D,MATCH(MEDIÇÃO!R1129,'LEV R&amp;D'!$A:$A,0))-INDEX('PROJETO PERFURAÇÃO'!$AH:$AH,MATCH(MEDIÇÃO!R1129,'PROJETO PERFURAÇÃO'!$B:$B,0)),"")</f>
        <v/>
      </c>
      <c r="T1129" s="8" t="str">
        <f>IFERROR(INDEX('PROJETO PERFURAÇÃO'!$AN:$AN,MATCH(MEDIÇÃO!R1129,'PROJETO PERFURAÇÃO'!$B:$B,0)),"")</f>
        <v/>
      </c>
      <c r="U1129" s="3"/>
      <c r="V1129" s="3"/>
    </row>
    <row r="1130" spans="2:22" ht="45" customHeight="1" x14ac:dyDescent="0.25">
      <c r="B1130" s="3" t="str">
        <f>IFERROR(ROUND(INDEX('PROJETO PERFURAÇÃO'!$AB:$AB,MATCH(MEDIÇÃO!D1130,'PROJETO PERFURAÇÃO'!$B:$B,0)),1)&amp;"''","")</f>
        <v/>
      </c>
      <c r="C1130" s="3" t="str">
        <f>IFERROR(IF(INDEX('PROJETO PERFURAÇÃO'!$P:$P,MATCH(MEDIÇÃO!D1130,'PROJETO PERFURAÇÃO'!$B:$B,0))="Production","P",IF(INDEX('PROJETO PERFURAÇÃO'!$P:$P,MATCH(MEDIÇÃO!D1130,'PROJETO PERFURAÇÃO'!$B:$B,0))="Buffer","B",IF(INDEX('PROJETO PERFURAÇÃO'!$P:$P,MATCH(MEDIÇÃO!D1130,'PROJETO PERFURAÇÃO'!$B:$B,0))="Pre-Splitting","S"))),"")</f>
        <v/>
      </c>
      <c r="D1130" s="14">
        <f t="shared" si="108"/>
        <v>2494</v>
      </c>
      <c r="E1130" s="4" t="str">
        <f>IFERROR(INDEX('LEV R&amp;D'!$D:$D,MATCH(MEDIÇÃO!D1130,'LEV R&amp;D'!$A:$A,0))-INDEX('PROJETO PERFURAÇÃO'!$AH:$AH,MATCH(MEDIÇÃO!D1130,'PROJETO PERFURAÇÃO'!$B:$B,0)),"")</f>
        <v/>
      </c>
      <c r="F1130" s="8" t="str">
        <f>IFERROR(INDEX('PROJETO PERFURAÇÃO'!$AN:$AN,MATCH(MEDIÇÃO!D1130,'PROJETO PERFURAÇÃO'!$B:$B,0)),"")</f>
        <v/>
      </c>
      <c r="G1130" s="3"/>
      <c r="H1130" s="3"/>
      <c r="I1130" s="3" t="str">
        <f>IFERROR(ROUND(INDEX('PROJETO PERFURAÇÃO'!$AB:$AB,MATCH(MEDIÇÃO!K1130,'PROJETO PERFURAÇÃO'!$B:$B,0)),1)&amp;"''","")</f>
        <v/>
      </c>
      <c r="J1130" s="3" t="str">
        <f>IFERROR(IF(INDEX('PROJETO PERFURAÇÃO'!$P:$P,MATCH(MEDIÇÃO!K1130,'PROJETO PERFURAÇÃO'!$B:$B,0))="Production","P",IF(INDEX('PROJETO PERFURAÇÃO'!$P:$P,MATCH(MEDIÇÃO!K1130,'PROJETO PERFURAÇÃO'!$B:$B,0))="Buffer","B",IF(INDEX('PROJETO PERFURAÇÃO'!$P:$P,MATCH(MEDIÇÃO!K1130,'PROJETO PERFURAÇÃO'!$B:$B,0))="Pre-Splitting","S"))),"")</f>
        <v/>
      </c>
      <c r="K1130" s="14">
        <f t="shared" si="109"/>
        <v>2517</v>
      </c>
      <c r="L1130" s="4" t="str">
        <f>IFERROR(INDEX('LEV R&amp;D'!$D:$D,MATCH(MEDIÇÃO!K1130,'LEV R&amp;D'!$A:$A,0))-INDEX('PROJETO PERFURAÇÃO'!$AH:$AH,MATCH(MEDIÇÃO!K1130,'PROJETO PERFURAÇÃO'!$B:$B,0)),"")</f>
        <v/>
      </c>
      <c r="M1130" s="8" t="str">
        <f>IFERROR(INDEX('PROJETO PERFURAÇÃO'!$AN:$AN,MATCH(MEDIÇÃO!K1130,'PROJETO PERFURAÇÃO'!$B:$B,0)),"")</f>
        <v/>
      </c>
      <c r="N1130" s="3"/>
      <c r="O1130" s="3"/>
      <c r="P1130" s="3" t="str">
        <f>IFERROR(ROUND(INDEX('PROJETO PERFURAÇÃO'!$AB:$AB,MATCH(MEDIÇÃO!R1130,'PROJETO PERFURAÇÃO'!$B:$B,0)),1)&amp;"''","")</f>
        <v/>
      </c>
      <c r="Q1130" s="3" t="str">
        <f>IFERROR(IF(INDEX('PROJETO PERFURAÇÃO'!$P:$P,MATCH(MEDIÇÃO!R1130,'PROJETO PERFURAÇÃO'!$B:$B,0))="Production","P",IF(INDEX('PROJETO PERFURAÇÃO'!$P:$P,MATCH(MEDIÇÃO!R1130,'PROJETO PERFURAÇÃO'!$B:$B,0))="Buffer","B",IF(INDEX('PROJETO PERFURAÇÃO'!$P:$P,MATCH(MEDIÇÃO!R1130,'PROJETO PERFURAÇÃO'!$B:$B,0))="Pre-Splitting","S"))),"")</f>
        <v/>
      </c>
      <c r="R1130" s="14">
        <f t="shared" si="110"/>
        <v>2540</v>
      </c>
      <c r="S1130" s="4" t="str">
        <f>IFERROR(INDEX('LEV R&amp;D'!$D:$D,MATCH(MEDIÇÃO!R1130,'LEV R&amp;D'!$A:$A,0))-INDEX('PROJETO PERFURAÇÃO'!$AH:$AH,MATCH(MEDIÇÃO!R1130,'PROJETO PERFURAÇÃO'!$B:$B,0)),"")</f>
        <v/>
      </c>
      <c r="T1130" s="8" t="str">
        <f>IFERROR(INDEX('PROJETO PERFURAÇÃO'!$AN:$AN,MATCH(MEDIÇÃO!R1130,'PROJETO PERFURAÇÃO'!$B:$B,0)),"")</f>
        <v/>
      </c>
      <c r="U1130" s="3"/>
      <c r="V1130" s="3"/>
    </row>
    <row r="1131" spans="2:22" ht="45" customHeight="1" x14ac:dyDescent="0.25">
      <c r="B1131" s="3" t="str">
        <f>IFERROR(ROUND(INDEX('PROJETO PERFURAÇÃO'!$AB:$AB,MATCH(MEDIÇÃO!D1131,'PROJETO PERFURAÇÃO'!$B:$B,0)),1)&amp;"''","")</f>
        <v/>
      </c>
      <c r="C1131" s="3" t="str">
        <f>IFERROR(IF(INDEX('PROJETO PERFURAÇÃO'!$P:$P,MATCH(MEDIÇÃO!D1131,'PROJETO PERFURAÇÃO'!$B:$B,0))="Production","P",IF(INDEX('PROJETO PERFURAÇÃO'!$P:$P,MATCH(MEDIÇÃO!D1131,'PROJETO PERFURAÇÃO'!$B:$B,0))="Buffer","B",IF(INDEX('PROJETO PERFURAÇÃO'!$P:$P,MATCH(MEDIÇÃO!D1131,'PROJETO PERFURAÇÃO'!$B:$B,0))="Pre-Splitting","S"))),"")</f>
        <v/>
      </c>
      <c r="D1131" s="14">
        <f t="shared" si="108"/>
        <v>2495</v>
      </c>
      <c r="E1131" s="4" t="str">
        <f>IFERROR(INDEX('LEV R&amp;D'!$D:$D,MATCH(MEDIÇÃO!D1131,'LEV R&amp;D'!$A:$A,0))-INDEX('PROJETO PERFURAÇÃO'!$AH:$AH,MATCH(MEDIÇÃO!D1131,'PROJETO PERFURAÇÃO'!$B:$B,0)),"")</f>
        <v/>
      </c>
      <c r="F1131" s="8" t="str">
        <f>IFERROR(INDEX('PROJETO PERFURAÇÃO'!$AN:$AN,MATCH(MEDIÇÃO!D1131,'PROJETO PERFURAÇÃO'!$B:$B,0)),"")</f>
        <v/>
      </c>
      <c r="G1131" s="3"/>
      <c r="H1131" s="3"/>
      <c r="I1131" s="3" t="str">
        <f>IFERROR(ROUND(INDEX('PROJETO PERFURAÇÃO'!$AB:$AB,MATCH(MEDIÇÃO!K1131,'PROJETO PERFURAÇÃO'!$B:$B,0)),1)&amp;"''","")</f>
        <v/>
      </c>
      <c r="J1131" s="3" t="str">
        <f>IFERROR(IF(INDEX('PROJETO PERFURAÇÃO'!$P:$P,MATCH(MEDIÇÃO!K1131,'PROJETO PERFURAÇÃO'!$B:$B,0))="Production","P",IF(INDEX('PROJETO PERFURAÇÃO'!$P:$P,MATCH(MEDIÇÃO!K1131,'PROJETO PERFURAÇÃO'!$B:$B,0))="Buffer","B",IF(INDEX('PROJETO PERFURAÇÃO'!$P:$P,MATCH(MEDIÇÃO!K1131,'PROJETO PERFURAÇÃO'!$B:$B,0))="Pre-Splitting","S"))),"")</f>
        <v/>
      </c>
      <c r="K1131" s="14">
        <f t="shared" si="109"/>
        <v>2518</v>
      </c>
      <c r="L1131" s="4" t="str">
        <f>IFERROR(INDEX('LEV R&amp;D'!$D:$D,MATCH(MEDIÇÃO!K1131,'LEV R&amp;D'!$A:$A,0))-INDEX('PROJETO PERFURAÇÃO'!$AH:$AH,MATCH(MEDIÇÃO!K1131,'PROJETO PERFURAÇÃO'!$B:$B,0)),"")</f>
        <v/>
      </c>
      <c r="M1131" s="8" t="str">
        <f>IFERROR(INDEX('PROJETO PERFURAÇÃO'!$AN:$AN,MATCH(MEDIÇÃO!K1131,'PROJETO PERFURAÇÃO'!$B:$B,0)),"")</f>
        <v/>
      </c>
      <c r="N1131" s="3"/>
      <c r="O1131" s="3"/>
      <c r="P1131" s="3" t="str">
        <f>IFERROR(ROUND(INDEX('PROJETO PERFURAÇÃO'!$AB:$AB,MATCH(MEDIÇÃO!R1131,'PROJETO PERFURAÇÃO'!$B:$B,0)),1)&amp;"''","")</f>
        <v/>
      </c>
      <c r="Q1131" s="3" t="str">
        <f>IFERROR(IF(INDEX('PROJETO PERFURAÇÃO'!$P:$P,MATCH(MEDIÇÃO!R1131,'PROJETO PERFURAÇÃO'!$B:$B,0))="Production","P",IF(INDEX('PROJETO PERFURAÇÃO'!$P:$P,MATCH(MEDIÇÃO!R1131,'PROJETO PERFURAÇÃO'!$B:$B,0))="Buffer","B",IF(INDEX('PROJETO PERFURAÇÃO'!$P:$P,MATCH(MEDIÇÃO!R1131,'PROJETO PERFURAÇÃO'!$B:$B,0))="Pre-Splitting","S"))),"")</f>
        <v/>
      </c>
      <c r="R1131" s="14">
        <f t="shared" si="110"/>
        <v>2541</v>
      </c>
      <c r="S1131" s="4" t="str">
        <f>IFERROR(INDEX('LEV R&amp;D'!$D:$D,MATCH(MEDIÇÃO!R1131,'LEV R&amp;D'!$A:$A,0))-INDEX('PROJETO PERFURAÇÃO'!$AH:$AH,MATCH(MEDIÇÃO!R1131,'PROJETO PERFURAÇÃO'!$B:$B,0)),"")</f>
        <v/>
      </c>
      <c r="T1131" s="8" t="str">
        <f>IFERROR(INDEX('PROJETO PERFURAÇÃO'!$AN:$AN,MATCH(MEDIÇÃO!R1131,'PROJETO PERFURAÇÃO'!$B:$B,0)),"")</f>
        <v/>
      </c>
      <c r="U1131" s="3"/>
      <c r="V1131" s="3"/>
    </row>
    <row r="1132" spans="2:22" ht="45" customHeight="1" x14ac:dyDescent="0.25">
      <c r="B1132" s="3" t="str">
        <f>IFERROR(ROUND(INDEX('PROJETO PERFURAÇÃO'!$AB:$AB,MATCH(MEDIÇÃO!D1132,'PROJETO PERFURAÇÃO'!$B:$B,0)),1)&amp;"''","")</f>
        <v/>
      </c>
      <c r="C1132" s="3" t="str">
        <f>IFERROR(IF(INDEX('PROJETO PERFURAÇÃO'!$P:$P,MATCH(MEDIÇÃO!D1132,'PROJETO PERFURAÇÃO'!$B:$B,0))="Production","P",IF(INDEX('PROJETO PERFURAÇÃO'!$P:$P,MATCH(MEDIÇÃO!D1132,'PROJETO PERFURAÇÃO'!$B:$B,0))="Buffer","B",IF(INDEX('PROJETO PERFURAÇÃO'!$P:$P,MATCH(MEDIÇÃO!D1132,'PROJETO PERFURAÇÃO'!$B:$B,0))="Pre-Splitting","S"))),"")</f>
        <v/>
      </c>
      <c r="D1132" s="14">
        <f t="shared" si="108"/>
        <v>2496</v>
      </c>
      <c r="E1132" s="4" t="str">
        <f>IFERROR(INDEX('LEV R&amp;D'!$D:$D,MATCH(MEDIÇÃO!D1132,'LEV R&amp;D'!$A:$A,0))-INDEX('PROJETO PERFURAÇÃO'!$AH:$AH,MATCH(MEDIÇÃO!D1132,'PROJETO PERFURAÇÃO'!$B:$B,0)),"")</f>
        <v/>
      </c>
      <c r="F1132" s="8" t="str">
        <f>IFERROR(INDEX('PROJETO PERFURAÇÃO'!$AN:$AN,MATCH(MEDIÇÃO!D1132,'PROJETO PERFURAÇÃO'!$B:$B,0)),"")</f>
        <v/>
      </c>
      <c r="G1132" s="3"/>
      <c r="H1132" s="3"/>
      <c r="I1132" s="3" t="str">
        <f>IFERROR(ROUND(INDEX('PROJETO PERFURAÇÃO'!$AB:$AB,MATCH(MEDIÇÃO!K1132,'PROJETO PERFURAÇÃO'!$B:$B,0)),1)&amp;"''","")</f>
        <v/>
      </c>
      <c r="J1132" s="3" t="str">
        <f>IFERROR(IF(INDEX('PROJETO PERFURAÇÃO'!$P:$P,MATCH(MEDIÇÃO!K1132,'PROJETO PERFURAÇÃO'!$B:$B,0))="Production","P",IF(INDEX('PROJETO PERFURAÇÃO'!$P:$P,MATCH(MEDIÇÃO!K1132,'PROJETO PERFURAÇÃO'!$B:$B,0))="Buffer","B",IF(INDEX('PROJETO PERFURAÇÃO'!$P:$P,MATCH(MEDIÇÃO!K1132,'PROJETO PERFURAÇÃO'!$B:$B,0))="Pre-Splitting","S"))),"")</f>
        <v/>
      </c>
      <c r="K1132" s="14">
        <f t="shared" si="109"/>
        <v>2519</v>
      </c>
      <c r="L1132" s="4" t="str">
        <f>IFERROR(INDEX('LEV R&amp;D'!$D:$D,MATCH(MEDIÇÃO!K1132,'LEV R&amp;D'!$A:$A,0))-INDEX('PROJETO PERFURAÇÃO'!$AH:$AH,MATCH(MEDIÇÃO!K1132,'PROJETO PERFURAÇÃO'!$B:$B,0)),"")</f>
        <v/>
      </c>
      <c r="M1132" s="8" t="str">
        <f>IFERROR(INDEX('PROJETO PERFURAÇÃO'!$AN:$AN,MATCH(MEDIÇÃO!K1132,'PROJETO PERFURAÇÃO'!$B:$B,0)),"")</f>
        <v/>
      </c>
      <c r="N1132" s="3"/>
      <c r="O1132" s="3"/>
      <c r="P1132" s="3" t="str">
        <f>IFERROR(ROUND(INDEX('PROJETO PERFURAÇÃO'!$AB:$AB,MATCH(MEDIÇÃO!R1132,'PROJETO PERFURAÇÃO'!$B:$B,0)),1)&amp;"''","")</f>
        <v/>
      </c>
      <c r="Q1132" s="3" t="str">
        <f>IFERROR(IF(INDEX('PROJETO PERFURAÇÃO'!$P:$P,MATCH(MEDIÇÃO!R1132,'PROJETO PERFURAÇÃO'!$B:$B,0))="Production","P",IF(INDEX('PROJETO PERFURAÇÃO'!$P:$P,MATCH(MEDIÇÃO!R1132,'PROJETO PERFURAÇÃO'!$B:$B,0))="Buffer","B",IF(INDEX('PROJETO PERFURAÇÃO'!$P:$P,MATCH(MEDIÇÃO!R1132,'PROJETO PERFURAÇÃO'!$B:$B,0))="Pre-Splitting","S"))),"")</f>
        <v/>
      </c>
      <c r="R1132" s="14">
        <f t="shared" si="110"/>
        <v>2542</v>
      </c>
      <c r="S1132" s="4" t="str">
        <f>IFERROR(INDEX('LEV R&amp;D'!$D:$D,MATCH(MEDIÇÃO!R1132,'LEV R&amp;D'!$A:$A,0))-INDEX('PROJETO PERFURAÇÃO'!$AH:$AH,MATCH(MEDIÇÃO!R1132,'PROJETO PERFURAÇÃO'!$B:$B,0)),"")</f>
        <v/>
      </c>
      <c r="T1132" s="8" t="str">
        <f>IFERROR(INDEX('PROJETO PERFURAÇÃO'!$AN:$AN,MATCH(MEDIÇÃO!R1132,'PROJETO PERFURAÇÃO'!$B:$B,0)),"")</f>
        <v/>
      </c>
      <c r="U1132" s="3"/>
      <c r="V1132" s="3"/>
    </row>
    <row r="1133" spans="2:22" ht="45" customHeight="1" x14ac:dyDescent="0.25">
      <c r="B1133" s="3" t="str">
        <f>IFERROR(ROUND(INDEX('PROJETO PERFURAÇÃO'!$AB:$AB,MATCH(MEDIÇÃO!D1133,'PROJETO PERFURAÇÃO'!$B:$B,0)),1)&amp;"''","")</f>
        <v/>
      </c>
      <c r="C1133" s="3" t="str">
        <f>IFERROR(IF(INDEX('PROJETO PERFURAÇÃO'!$P:$P,MATCH(MEDIÇÃO!D1133,'PROJETO PERFURAÇÃO'!$B:$B,0))="Production","P",IF(INDEX('PROJETO PERFURAÇÃO'!$P:$P,MATCH(MEDIÇÃO!D1133,'PROJETO PERFURAÇÃO'!$B:$B,0))="Buffer","B",IF(INDEX('PROJETO PERFURAÇÃO'!$P:$P,MATCH(MEDIÇÃO!D1133,'PROJETO PERFURAÇÃO'!$B:$B,0))="Pre-Splitting","S"))),"")</f>
        <v/>
      </c>
      <c r="D1133" s="14">
        <f t="shared" si="108"/>
        <v>2497</v>
      </c>
      <c r="E1133" s="4" t="str">
        <f>IFERROR(INDEX('LEV R&amp;D'!$D:$D,MATCH(MEDIÇÃO!D1133,'LEV R&amp;D'!$A:$A,0))-INDEX('PROJETO PERFURAÇÃO'!$AH:$AH,MATCH(MEDIÇÃO!D1133,'PROJETO PERFURAÇÃO'!$B:$B,0)),"")</f>
        <v/>
      </c>
      <c r="F1133" s="8" t="str">
        <f>IFERROR(INDEX('PROJETO PERFURAÇÃO'!$AN:$AN,MATCH(MEDIÇÃO!D1133,'PROJETO PERFURAÇÃO'!$B:$B,0)),"")</f>
        <v/>
      </c>
      <c r="G1133" s="3"/>
      <c r="H1133" s="3"/>
      <c r="I1133" s="3" t="str">
        <f>IFERROR(ROUND(INDEX('PROJETO PERFURAÇÃO'!$AB:$AB,MATCH(MEDIÇÃO!K1133,'PROJETO PERFURAÇÃO'!$B:$B,0)),1)&amp;"''","")</f>
        <v/>
      </c>
      <c r="J1133" s="3" t="str">
        <f>IFERROR(IF(INDEX('PROJETO PERFURAÇÃO'!$P:$P,MATCH(MEDIÇÃO!K1133,'PROJETO PERFURAÇÃO'!$B:$B,0))="Production","P",IF(INDEX('PROJETO PERFURAÇÃO'!$P:$P,MATCH(MEDIÇÃO!K1133,'PROJETO PERFURAÇÃO'!$B:$B,0))="Buffer","B",IF(INDEX('PROJETO PERFURAÇÃO'!$P:$P,MATCH(MEDIÇÃO!K1133,'PROJETO PERFURAÇÃO'!$B:$B,0))="Pre-Splitting","S"))),"")</f>
        <v/>
      </c>
      <c r="K1133" s="14">
        <f t="shared" si="109"/>
        <v>2520</v>
      </c>
      <c r="L1133" s="4" t="str">
        <f>IFERROR(INDEX('LEV R&amp;D'!$D:$D,MATCH(MEDIÇÃO!K1133,'LEV R&amp;D'!$A:$A,0))-INDEX('PROJETO PERFURAÇÃO'!$AH:$AH,MATCH(MEDIÇÃO!K1133,'PROJETO PERFURAÇÃO'!$B:$B,0)),"")</f>
        <v/>
      </c>
      <c r="M1133" s="8" t="str">
        <f>IFERROR(INDEX('PROJETO PERFURAÇÃO'!$AN:$AN,MATCH(MEDIÇÃO!K1133,'PROJETO PERFURAÇÃO'!$B:$B,0)),"")</f>
        <v/>
      </c>
      <c r="N1133" s="3"/>
      <c r="O1133" s="3"/>
      <c r="P1133" s="3" t="str">
        <f>IFERROR(ROUND(INDEX('PROJETO PERFURAÇÃO'!$AB:$AB,MATCH(MEDIÇÃO!R1133,'PROJETO PERFURAÇÃO'!$B:$B,0)),1)&amp;"''","")</f>
        <v/>
      </c>
      <c r="Q1133" s="3" t="str">
        <f>IFERROR(IF(INDEX('PROJETO PERFURAÇÃO'!$P:$P,MATCH(MEDIÇÃO!R1133,'PROJETO PERFURAÇÃO'!$B:$B,0))="Production","P",IF(INDEX('PROJETO PERFURAÇÃO'!$P:$P,MATCH(MEDIÇÃO!R1133,'PROJETO PERFURAÇÃO'!$B:$B,0))="Buffer","B",IF(INDEX('PROJETO PERFURAÇÃO'!$P:$P,MATCH(MEDIÇÃO!R1133,'PROJETO PERFURAÇÃO'!$B:$B,0))="Pre-Splitting","S"))),"")</f>
        <v/>
      </c>
      <c r="R1133" s="14">
        <f t="shared" si="110"/>
        <v>2543</v>
      </c>
      <c r="S1133" s="4" t="str">
        <f>IFERROR(INDEX('LEV R&amp;D'!$D:$D,MATCH(MEDIÇÃO!R1133,'LEV R&amp;D'!$A:$A,0))-INDEX('PROJETO PERFURAÇÃO'!$AH:$AH,MATCH(MEDIÇÃO!R1133,'PROJETO PERFURAÇÃO'!$B:$B,0)),"")</f>
        <v/>
      </c>
      <c r="T1133" s="8" t="str">
        <f>IFERROR(INDEX('PROJETO PERFURAÇÃO'!$AN:$AN,MATCH(MEDIÇÃO!R1133,'PROJETO PERFURAÇÃO'!$B:$B,0)),"")</f>
        <v/>
      </c>
      <c r="U1133" s="3"/>
      <c r="V1133" s="3"/>
    </row>
    <row r="1134" spans="2:22" ht="45" customHeight="1" x14ac:dyDescent="0.25">
      <c r="B1134" s="3" t="str">
        <f>IFERROR(ROUND(INDEX('PROJETO PERFURAÇÃO'!$AB:$AB,MATCH(MEDIÇÃO!D1134,'PROJETO PERFURAÇÃO'!$B:$B,0)),1)&amp;"''","")</f>
        <v/>
      </c>
      <c r="C1134" s="3" t="str">
        <f>IFERROR(IF(INDEX('PROJETO PERFURAÇÃO'!$P:$P,MATCH(MEDIÇÃO!D1134,'PROJETO PERFURAÇÃO'!$B:$B,0))="Production","P",IF(INDEX('PROJETO PERFURAÇÃO'!$P:$P,MATCH(MEDIÇÃO!D1134,'PROJETO PERFURAÇÃO'!$B:$B,0))="Buffer","B",IF(INDEX('PROJETO PERFURAÇÃO'!$P:$P,MATCH(MEDIÇÃO!D1134,'PROJETO PERFURAÇÃO'!$B:$B,0))="Pre-Splitting","S"))),"")</f>
        <v/>
      </c>
      <c r="D1134" s="14">
        <f t="shared" si="108"/>
        <v>2498</v>
      </c>
      <c r="E1134" s="4" t="str">
        <f>IFERROR(INDEX('LEV R&amp;D'!$D:$D,MATCH(MEDIÇÃO!D1134,'LEV R&amp;D'!$A:$A,0))-INDEX('PROJETO PERFURAÇÃO'!$AH:$AH,MATCH(MEDIÇÃO!D1134,'PROJETO PERFURAÇÃO'!$B:$B,0)),"")</f>
        <v/>
      </c>
      <c r="F1134" s="8" t="str">
        <f>IFERROR(INDEX('PROJETO PERFURAÇÃO'!$AN:$AN,MATCH(MEDIÇÃO!D1134,'PROJETO PERFURAÇÃO'!$B:$B,0)),"")</f>
        <v/>
      </c>
      <c r="G1134" s="3"/>
      <c r="H1134" s="3"/>
      <c r="I1134" s="3" t="str">
        <f>IFERROR(ROUND(INDEX('PROJETO PERFURAÇÃO'!$AB:$AB,MATCH(MEDIÇÃO!K1134,'PROJETO PERFURAÇÃO'!$B:$B,0)),1)&amp;"''","")</f>
        <v/>
      </c>
      <c r="J1134" s="3" t="str">
        <f>IFERROR(IF(INDEX('PROJETO PERFURAÇÃO'!$P:$P,MATCH(MEDIÇÃO!K1134,'PROJETO PERFURAÇÃO'!$B:$B,0))="Production","P",IF(INDEX('PROJETO PERFURAÇÃO'!$P:$P,MATCH(MEDIÇÃO!K1134,'PROJETO PERFURAÇÃO'!$B:$B,0))="Buffer","B",IF(INDEX('PROJETO PERFURAÇÃO'!$P:$P,MATCH(MEDIÇÃO!K1134,'PROJETO PERFURAÇÃO'!$B:$B,0))="Pre-Splitting","S"))),"")</f>
        <v/>
      </c>
      <c r="K1134" s="14">
        <f t="shared" si="109"/>
        <v>2521</v>
      </c>
      <c r="L1134" s="4" t="str">
        <f>IFERROR(INDEX('LEV R&amp;D'!$D:$D,MATCH(MEDIÇÃO!K1134,'LEV R&amp;D'!$A:$A,0))-INDEX('PROJETO PERFURAÇÃO'!$AH:$AH,MATCH(MEDIÇÃO!K1134,'PROJETO PERFURAÇÃO'!$B:$B,0)),"")</f>
        <v/>
      </c>
      <c r="M1134" s="8" t="str">
        <f>IFERROR(INDEX('PROJETO PERFURAÇÃO'!$AN:$AN,MATCH(MEDIÇÃO!K1134,'PROJETO PERFURAÇÃO'!$B:$B,0)),"")</f>
        <v/>
      </c>
      <c r="N1134" s="3"/>
      <c r="O1134" s="3"/>
      <c r="P1134" s="3" t="str">
        <f>IFERROR(ROUND(INDEX('PROJETO PERFURAÇÃO'!$AB:$AB,MATCH(MEDIÇÃO!R1134,'PROJETO PERFURAÇÃO'!$B:$B,0)),1)&amp;"''","")</f>
        <v/>
      </c>
      <c r="Q1134" s="3" t="str">
        <f>IFERROR(IF(INDEX('PROJETO PERFURAÇÃO'!$P:$P,MATCH(MEDIÇÃO!R1134,'PROJETO PERFURAÇÃO'!$B:$B,0))="Production","P",IF(INDEX('PROJETO PERFURAÇÃO'!$P:$P,MATCH(MEDIÇÃO!R1134,'PROJETO PERFURAÇÃO'!$B:$B,0))="Buffer","B",IF(INDEX('PROJETO PERFURAÇÃO'!$P:$P,MATCH(MEDIÇÃO!R1134,'PROJETO PERFURAÇÃO'!$B:$B,0))="Pre-Splitting","S"))),"")</f>
        <v/>
      </c>
      <c r="R1134" s="14">
        <f t="shared" si="110"/>
        <v>2544</v>
      </c>
      <c r="S1134" s="4" t="str">
        <f>IFERROR(INDEX('LEV R&amp;D'!$D:$D,MATCH(MEDIÇÃO!R1134,'LEV R&amp;D'!$A:$A,0))-INDEX('PROJETO PERFURAÇÃO'!$AH:$AH,MATCH(MEDIÇÃO!R1134,'PROJETO PERFURAÇÃO'!$B:$B,0)),"")</f>
        <v/>
      </c>
      <c r="T1134" s="8" t="str">
        <f>IFERROR(INDEX('PROJETO PERFURAÇÃO'!$AN:$AN,MATCH(MEDIÇÃO!R1134,'PROJETO PERFURAÇÃO'!$B:$B,0)),"")</f>
        <v/>
      </c>
      <c r="U1134" s="3"/>
      <c r="V1134" s="3"/>
    </row>
    <row r="1135" spans="2:22" ht="45" customHeight="1" x14ac:dyDescent="0.25">
      <c r="B1135" s="3" t="str">
        <f>IFERROR(ROUND(INDEX('PROJETO PERFURAÇÃO'!$AB:$AB,MATCH(MEDIÇÃO!D1135,'PROJETO PERFURAÇÃO'!$B:$B,0)),1)&amp;"''","")</f>
        <v/>
      </c>
      <c r="C1135" s="3" t="str">
        <f>IFERROR(IF(INDEX('PROJETO PERFURAÇÃO'!$P:$P,MATCH(MEDIÇÃO!D1135,'PROJETO PERFURAÇÃO'!$B:$B,0))="Production","P",IF(INDEX('PROJETO PERFURAÇÃO'!$P:$P,MATCH(MEDIÇÃO!D1135,'PROJETO PERFURAÇÃO'!$B:$B,0))="Buffer","B",IF(INDEX('PROJETO PERFURAÇÃO'!$P:$P,MATCH(MEDIÇÃO!D1135,'PROJETO PERFURAÇÃO'!$B:$B,0))="Pre-Splitting","S"))),"")</f>
        <v/>
      </c>
      <c r="D1135" s="14">
        <f t="shared" si="108"/>
        <v>2499</v>
      </c>
      <c r="E1135" s="4" t="str">
        <f>IFERROR(INDEX('LEV R&amp;D'!$D:$D,MATCH(MEDIÇÃO!D1135,'LEV R&amp;D'!$A:$A,0))-INDEX('PROJETO PERFURAÇÃO'!$AH:$AH,MATCH(MEDIÇÃO!D1135,'PROJETO PERFURAÇÃO'!$B:$B,0)),"")</f>
        <v/>
      </c>
      <c r="F1135" s="8" t="str">
        <f>IFERROR(INDEX('PROJETO PERFURAÇÃO'!$AN:$AN,MATCH(MEDIÇÃO!D1135,'PROJETO PERFURAÇÃO'!$B:$B,0)),"")</f>
        <v/>
      </c>
      <c r="G1135" s="3"/>
      <c r="H1135" s="3"/>
      <c r="I1135" s="3" t="str">
        <f>IFERROR(ROUND(INDEX('PROJETO PERFURAÇÃO'!$AB:$AB,MATCH(MEDIÇÃO!K1135,'PROJETO PERFURAÇÃO'!$B:$B,0)),1)&amp;"''","")</f>
        <v/>
      </c>
      <c r="J1135" s="3" t="str">
        <f>IFERROR(IF(INDEX('PROJETO PERFURAÇÃO'!$P:$P,MATCH(MEDIÇÃO!K1135,'PROJETO PERFURAÇÃO'!$B:$B,0))="Production","P",IF(INDEX('PROJETO PERFURAÇÃO'!$P:$P,MATCH(MEDIÇÃO!K1135,'PROJETO PERFURAÇÃO'!$B:$B,0))="Buffer","B",IF(INDEX('PROJETO PERFURAÇÃO'!$P:$P,MATCH(MEDIÇÃO!K1135,'PROJETO PERFURAÇÃO'!$B:$B,0))="Pre-Splitting","S"))),"")</f>
        <v/>
      </c>
      <c r="K1135" s="14">
        <f t="shared" si="109"/>
        <v>2522</v>
      </c>
      <c r="L1135" s="4" t="str">
        <f>IFERROR(INDEX('LEV R&amp;D'!$D:$D,MATCH(MEDIÇÃO!K1135,'LEV R&amp;D'!$A:$A,0))-INDEX('PROJETO PERFURAÇÃO'!$AH:$AH,MATCH(MEDIÇÃO!K1135,'PROJETO PERFURAÇÃO'!$B:$B,0)),"")</f>
        <v/>
      </c>
      <c r="M1135" s="8" t="str">
        <f>IFERROR(INDEX('PROJETO PERFURAÇÃO'!$AN:$AN,MATCH(MEDIÇÃO!K1135,'PROJETO PERFURAÇÃO'!$B:$B,0)),"")</f>
        <v/>
      </c>
      <c r="N1135" s="3"/>
      <c r="O1135" s="3"/>
      <c r="P1135" s="3" t="str">
        <f>IFERROR(ROUND(INDEX('PROJETO PERFURAÇÃO'!$AB:$AB,MATCH(MEDIÇÃO!R1135,'PROJETO PERFURAÇÃO'!$B:$B,0)),1)&amp;"''","")</f>
        <v/>
      </c>
      <c r="Q1135" s="3" t="str">
        <f>IFERROR(IF(INDEX('PROJETO PERFURAÇÃO'!$P:$P,MATCH(MEDIÇÃO!R1135,'PROJETO PERFURAÇÃO'!$B:$B,0))="Production","P",IF(INDEX('PROJETO PERFURAÇÃO'!$P:$P,MATCH(MEDIÇÃO!R1135,'PROJETO PERFURAÇÃO'!$B:$B,0))="Buffer","B",IF(INDEX('PROJETO PERFURAÇÃO'!$P:$P,MATCH(MEDIÇÃO!R1135,'PROJETO PERFURAÇÃO'!$B:$B,0))="Pre-Splitting","S"))),"")</f>
        <v/>
      </c>
      <c r="R1135" s="14">
        <f t="shared" si="110"/>
        <v>2545</v>
      </c>
      <c r="S1135" s="4" t="str">
        <f>IFERROR(INDEX('LEV R&amp;D'!$D:$D,MATCH(MEDIÇÃO!R1135,'LEV R&amp;D'!$A:$A,0))-INDEX('PROJETO PERFURAÇÃO'!$AH:$AH,MATCH(MEDIÇÃO!R1135,'PROJETO PERFURAÇÃO'!$B:$B,0)),"")</f>
        <v/>
      </c>
      <c r="T1135" s="8" t="str">
        <f>IFERROR(INDEX('PROJETO PERFURAÇÃO'!$AN:$AN,MATCH(MEDIÇÃO!R1135,'PROJETO PERFURAÇÃO'!$B:$B,0)),"")</f>
        <v/>
      </c>
      <c r="U1135" s="3"/>
      <c r="V1135" s="3"/>
    </row>
    <row r="1136" spans="2:22" ht="45" customHeight="1" x14ac:dyDescent="0.25">
      <c r="B1136" s="3" t="str">
        <f>IFERROR(ROUND(INDEX('PROJETO PERFURAÇÃO'!$AB:$AB,MATCH(MEDIÇÃO!D1136,'PROJETO PERFURAÇÃO'!$B:$B,0)),1)&amp;"''","")</f>
        <v/>
      </c>
      <c r="C1136" s="3" t="str">
        <f>IFERROR(IF(INDEX('PROJETO PERFURAÇÃO'!$P:$P,MATCH(MEDIÇÃO!D1136,'PROJETO PERFURAÇÃO'!$B:$B,0))="Production","P",IF(INDEX('PROJETO PERFURAÇÃO'!$P:$P,MATCH(MEDIÇÃO!D1136,'PROJETO PERFURAÇÃO'!$B:$B,0))="Buffer","B",IF(INDEX('PROJETO PERFURAÇÃO'!$P:$P,MATCH(MEDIÇÃO!D1136,'PROJETO PERFURAÇÃO'!$B:$B,0))="Pre-Splitting","S"))),"")</f>
        <v/>
      </c>
      <c r="D1136" s="14">
        <f t="shared" si="108"/>
        <v>2500</v>
      </c>
      <c r="E1136" s="4" t="str">
        <f>IFERROR(INDEX('LEV R&amp;D'!$D:$D,MATCH(MEDIÇÃO!D1136,'LEV R&amp;D'!$A:$A,0))-INDEX('PROJETO PERFURAÇÃO'!$AH:$AH,MATCH(MEDIÇÃO!D1136,'PROJETO PERFURAÇÃO'!$B:$B,0)),"")</f>
        <v/>
      </c>
      <c r="F1136" s="8" t="str">
        <f>IFERROR(INDEX('PROJETO PERFURAÇÃO'!$AN:$AN,MATCH(MEDIÇÃO!D1136,'PROJETO PERFURAÇÃO'!$B:$B,0)),"")</f>
        <v/>
      </c>
      <c r="G1136" s="3"/>
      <c r="H1136" s="3"/>
      <c r="I1136" s="3" t="str">
        <f>IFERROR(ROUND(INDEX('PROJETO PERFURAÇÃO'!$AB:$AB,MATCH(MEDIÇÃO!K1136,'PROJETO PERFURAÇÃO'!$B:$B,0)),1)&amp;"''","")</f>
        <v/>
      </c>
      <c r="J1136" s="3" t="str">
        <f>IFERROR(IF(INDEX('PROJETO PERFURAÇÃO'!$P:$P,MATCH(MEDIÇÃO!K1136,'PROJETO PERFURAÇÃO'!$B:$B,0))="Production","P",IF(INDEX('PROJETO PERFURAÇÃO'!$P:$P,MATCH(MEDIÇÃO!K1136,'PROJETO PERFURAÇÃO'!$B:$B,0))="Buffer","B",IF(INDEX('PROJETO PERFURAÇÃO'!$P:$P,MATCH(MEDIÇÃO!K1136,'PROJETO PERFURAÇÃO'!$B:$B,0))="Pre-Splitting","S"))),"")</f>
        <v/>
      </c>
      <c r="K1136" s="14">
        <f t="shared" si="109"/>
        <v>2523</v>
      </c>
      <c r="L1136" s="4" t="str">
        <f>IFERROR(INDEX('LEV R&amp;D'!$D:$D,MATCH(MEDIÇÃO!K1136,'LEV R&amp;D'!$A:$A,0))-INDEX('PROJETO PERFURAÇÃO'!$AH:$AH,MATCH(MEDIÇÃO!K1136,'PROJETO PERFURAÇÃO'!$B:$B,0)),"")</f>
        <v/>
      </c>
      <c r="M1136" s="8" t="str">
        <f>IFERROR(INDEX('PROJETO PERFURAÇÃO'!$AN:$AN,MATCH(MEDIÇÃO!K1136,'PROJETO PERFURAÇÃO'!$B:$B,0)),"")</f>
        <v/>
      </c>
      <c r="N1136" s="3"/>
      <c r="O1136" s="3"/>
      <c r="P1136" s="3" t="str">
        <f>IFERROR(ROUND(INDEX('PROJETO PERFURAÇÃO'!$AB:$AB,MATCH(MEDIÇÃO!R1136,'PROJETO PERFURAÇÃO'!$B:$B,0)),1)&amp;"''","")</f>
        <v/>
      </c>
      <c r="Q1136" s="3" t="str">
        <f>IFERROR(IF(INDEX('PROJETO PERFURAÇÃO'!$P:$P,MATCH(MEDIÇÃO!R1136,'PROJETO PERFURAÇÃO'!$B:$B,0))="Production","P",IF(INDEX('PROJETO PERFURAÇÃO'!$P:$P,MATCH(MEDIÇÃO!R1136,'PROJETO PERFURAÇÃO'!$B:$B,0))="Buffer","B",IF(INDEX('PROJETO PERFURAÇÃO'!$P:$P,MATCH(MEDIÇÃO!R1136,'PROJETO PERFURAÇÃO'!$B:$B,0))="Pre-Splitting","S"))),"")</f>
        <v/>
      </c>
      <c r="R1136" s="14">
        <f t="shared" si="110"/>
        <v>2546</v>
      </c>
      <c r="S1136" s="4" t="str">
        <f>IFERROR(INDEX('LEV R&amp;D'!$D:$D,MATCH(MEDIÇÃO!R1136,'LEV R&amp;D'!$A:$A,0))-INDEX('PROJETO PERFURAÇÃO'!$AH:$AH,MATCH(MEDIÇÃO!R1136,'PROJETO PERFURAÇÃO'!$B:$B,0)),"")</f>
        <v/>
      </c>
      <c r="T1136" s="8" t="str">
        <f>IFERROR(INDEX('PROJETO PERFURAÇÃO'!$AN:$AN,MATCH(MEDIÇÃO!R1136,'PROJETO PERFURAÇÃO'!$B:$B,0)),"")</f>
        <v/>
      </c>
      <c r="U1136" s="3"/>
      <c r="V1136" s="3"/>
    </row>
    <row r="1137" spans="1:23" ht="45" customHeight="1" x14ac:dyDescent="0.25">
      <c r="B1137" s="3" t="str">
        <f>IFERROR(ROUND(INDEX('PROJETO PERFURAÇÃO'!$AB:$AB,MATCH(MEDIÇÃO!D1137,'PROJETO PERFURAÇÃO'!$B:$B,0)),1)&amp;"''","")</f>
        <v/>
      </c>
      <c r="C1137" s="3" t="str">
        <f>IFERROR(IF(INDEX('PROJETO PERFURAÇÃO'!$P:$P,MATCH(MEDIÇÃO!D1137,'PROJETO PERFURAÇÃO'!$B:$B,0))="Production","P",IF(INDEX('PROJETO PERFURAÇÃO'!$P:$P,MATCH(MEDIÇÃO!D1137,'PROJETO PERFURAÇÃO'!$B:$B,0))="Buffer","B",IF(INDEX('PROJETO PERFURAÇÃO'!$P:$P,MATCH(MEDIÇÃO!D1137,'PROJETO PERFURAÇÃO'!$B:$B,0))="Pre-Splitting","S"))),"")</f>
        <v/>
      </c>
      <c r="D1137" s="14">
        <f t="shared" si="108"/>
        <v>2501</v>
      </c>
      <c r="E1137" s="4" t="str">
        <f>IFERROR(INDEX('LEV R&amp;D'!$D:$D,MATCH(MEDIÇÃO!D1137,'LEV R&amp;D'!$A:$A,0))-INDEX('PROJETO PERFURAÇÃO'!$AH:$AH,MATCH(MEDIÇÃO!D1137,'PROJETO PERFURAÇÃO'!$B:$B,0)),"")</f>
        <v/>
      </c>
      <c r="F1137" s="8" t="str">
        <f>IFERROR(INDEX('PROJETO PERFURAÇÃO'!$AN:$AN,MATCH(MEDIÇÃO!D1137,'PROJETO PERFURAÇÃO'!$B:$B,0)),"")</f>
        <v/>
      </c>
      <c r="G1137" s="3"/>
      <c r="H1137" s="3"/>
      <c r="I1137" s="3" t="str">
        <f>IFERROR(ROUND(INDEX('PROJETO PERFURAÇÃO'!$AB:$AB,MATCH(MEDIÇÃO!K1137,'PROJETO PERFURAÇÃO'!$B:$B,0)),1)&amp;"''","")</f>
        <v/>
      </c>
      <c r="J1137" s="3" t="str">
        <f>IFERROR(IF(INDEX('PROJETO PERFURAÇÃO'!$P:$P,MATCH(MEDIÇÃO!K1137,'PROJETO PERFURAÇÃO'!$B:$B,0))="Production","P",IF(INDEX('PROJETO PERFURAÇÃO'!$P:$P,MATCH(MEDIÇÃO!K1137,'PROJETO PERFURAÇÃO'!$B:$B,0))="Buffer","B",IF(INDEX('PROJETO PERFURAÇÃO'!$P:$P,MATCH(MEDIÇÃO!K1137,'PROJETO PERFURAÇÃO'!$B:$B,0))="Pre-Splitting","S"))),"")</f>
        <v/>
      </c>
      <c r="K1137" s="14">
        <f t="shared" si="109"/>
        <v>2524</v>
      </c>
      <c r="L1137" s="4" t="str">
        <f>IFERROR(INDEX('LEV R&amp;D'!$D:$D,MATCH(MEDIÇÃO!K1137,'LEV R&amp;D'!$A:$A,0))-INDEX('PROJETO PERFURAÇÃO'!$AH:$AH,MATCH(MEDIÇÃO!K1137,'PROJETO PERFURAÇÃO'!$B:$B,0)),"")</f>
        <v/>
      </c>
      <c r="M1137" s="8" t="str">
        <f>IFERROR(INDEX('PROJETO PERFURAÇÃO'!$AN:$AN,MATCH(MEDIÇÃO!K1137,'PROJETO PERFURAÇÃO'!$B:$B,0)),"")</f>
        <v/>
      </c>
      <c r="N1137" s="3"/>
      <c r="O1137" s="3"/>
      <c r="P1137" s="3" t="str">
        <f>IFERROR(ROUND(INDEX('PROJETO PERFURAÇÃO'!$AB:$AB,MATCH(MEDIÇÃO!R1137,'PROJETO PERFURAÇÃO'!$B:$B,0)),1)&amp;"''","")</f>
        <v/>
      </c>
      <c r="Q1137" s="3" t="str">
        <f>IFERROR(IF(INDEX('PROJETO PERFURAÇÃO'!$P:$P,MATCH(MEDIÇÃO!R1137,'PROJETO PERFURAÇÃO'!$B:$B,0))="Production","P",IF(INDEX('PROJETO PERFURAÇÃO'!$P:$P,MATCH(MEDIÇÃO!R1137,'PROJETO PERFURAÇÃO'!$B:$B,0))="Buffer","B",IF(INDEX('PROJETO PERFURAÇÃO'!$P:$P,MATCH(MEDIÇÃO!R1137,'PROJETO PERFURAÇÃO'!$B:$B,0))="Pre-Splitting","S"))),"")</f>
        <v/>
      </c>
      <c r="R1137" s="14">
        <f t="shared" si="110"/>
        <v>2547</v>
      </c>
      <c r="S1137" s="4" t="str">
        <f>IFERROR(INDEX('LEV R&amp;D'!$D:$D,MATCH(MEDIÇÃO!R1137,'LEV R&amp;D'!$A:$A,0))-INDEX('PROJETO PERFURAÇÃO'!$AH:$AH,MATCH(MEDIÇÃO!R1137,'PROJETO PERFURAÇÃO'!$B:$B,0)),"")</f>
        <v/>
      </c>
      <c r="T1137" s="8" t="str">
        <f>IFERROR(INDEX('PROJETO PERFURAÇÃO'!$AN:$AN,MATCH(MEDIÇÃO!R1137,'PROJETO PERFURAÇÃO'!$B:$B,0)),"")</f>
        <v/>
      </c>
      <c r="U1137" s="3"/>
      <c r="V1137" s="3"/>
    </row>
    <row r="1138" spans="1:23" ht="45" customHeight="1" x14ac:dyDescent="0.25">
      <c r="B1138" s="3" t="str">
        <f>IFERROR(ROUND(INDEX('PROJETO PERFURAÇÃO'!$AB:$AB,MATCH(MEDIÇÃO!D1138,'PROJETO PERFURAÇÃO'!$B:$B,0)),1)&amp;"''","")</f>
        <v/>
      </c>
      <c r="C1138" s="3" t="str">
        <f>IFERROR(IF(INDEX('PROJETO PERFURAÇÃO'!$P:$P,MATCH(MEDIÇÃO!D1138,'PROJETO PERFURAÇÃO'!$B:$B,0))="Production","P",IF(INDEX('PROJETO PERFURAÇÃO'!$P:$P,MATCH(MEDIÇÃO!D1138,'PROJETO PERFURAÇÃO'!$B:$B,0))="Buffer","B",IF(INDEX('PROJETO PERFURAÇÃO'!$P:$P,MATCH(MEDIÇÃO!D1138,'PROJETO PERFURAÇÃO'!$B:$B,0))="Pre-Splitting","S"))),"")</f>
        <v/>
      </c>
      <c r="D1138" s="14">
        <f t="shared" si="108"/>
        <v>2502</v>
      </c>
      <c r="E1138" s="4" t="str">
        <f>IFERROR(INDEX('LEV R&amp;D'!$D:$D,MATCH(MEDIÇÃO!D1138,'LEV R&amp;D'!$A:$A,0))-INDEX('PROJETO PERFURAÇÃO'!$AH:$AH,MATCH(MEDIÇÃO!D1138,'PROJETO PERFURAÇÃO'!$B:$B,0)),"")</f>
        <v/>
      </c>
      <c r="F1138" s="8" t="str">
        <f>IFERROR(INDEX('PROJETO PERFURAÇÃO'!$AN:$AN,MATCH(MEDIÇÃO!D1138,'PROJETO PERFURAÇÃO'!$B:$B,0)),"")</f>
        <v/>
      </c>
      <c r="G1138" s="3"/>
      <c r="H1138" s="3"/>
      <c r="I1138" s="3" t="str">
        <f>IFERROR(ROUND(INDEX('PROJETO PERFURAÇÃO'!$AB:$AB,MATCH(MEDIÇÃO!K1138,'PROJETO PERFURAÇÃO'!$B:$B,0)),1)&amp;"''","")</f>
        <v/>
      </c>
      <c r="J1138" s="3" t="str">
        <f>IFERROR(IF(INDEX('PROJETO PERFURAÇÃO'!$P:$P,MATCH(MEDIÇÃO!K1138,'PROJETO PERFURAÇÃO'!$B:$B,0))="Production","P",IF(INDEX('PROJETO PERFURAÇÃO'!$P:$P,MATCH(MEDIÇÃO!K1138,'PROJETO PERFURAÇÃO'!$B:$B,0))="Buffer","B",IF(INDEX('PROJETO PERFURAÇÃO'!$P:$P,MATCH(MEDIÇÃO!K1138,'PROJETO PERFURAÇÃO'!$B:$B,0))="Pre-Splitting","S"))),"")</f>
        <v/>
      </c>
      <c r="K1138" s="14">
        <f t="shared" si="109"/>
        <v>2525</v>
      </c>
      <c r="L1138" s="4" t="str">
        <f>IFERROR(INDEX('LEV R&amp;D'!$D:$D,MATCH(MEDIÇÃO!K1138,'LEV R&amp;D'!$A:$A,0))-INDEX('PROJETO PERFURAÇÃO'!$AH:$AH,MATCH(MEDIÇÃO!K1138,'PROJETO PERFURAÇÃO'!$B:$B,0)),"")</f>
        <v/>
      </c>
      <c r="M1138" s="8" t="str">
        <f>IFERROR(INDEX('PROJETO PERFURAÇÃO'!$AN:$AN,MATCH(MEDIÇÃO!K1138,'PROJETO PERFURAÇÃO'!$B:$B,0)),"")</f>
        <v/>
      </c>
      <c r="N1138" s="3"/>
      <c r="O1138" s="3"/>
      <c r="P1138" s="3" t="str">
        <f>IFERROR(ROUND(INDEX('PROJETO PERFURAÇÃO'!$AB:$AB,MATCH(MEDIÇÃO!R1138,'PROJETO PERFURAÇÃO'!$B:$B,0)),1)&amp;"''","")</f>
        <v/>
      </c>
      <c r="Q1138" s="3" t="str">
        <f>IFERROR(IF(INDEX('PROJETO PERFURAÇÃO'!$P:$P,MATCH(MEDIÇÃO!R1138,'PROJETO PERFURAÇÃO'!$B:$B,0))="Production","P",IF(INDEX('PROJETO PERFURAÇÃO'!$P:$P,MATCH(MEDIÇÃO!R1138,'PROJETO PERFURAÇÃO'!$B:$B,0))="Buffer","B",IF(INDEX('PROJETO PERFURAÇÃO'!$P:$P,MATCH(MEDIÇÃO!R1138,'PROJETO PERFURAÇÃO'!$B:$B,0))="Pre-Splitting","S"))),"")</f>
        <v/>
      </c>
      <c r="R1138" s="14">
        <f t="shared" si="110"/>
        <v>2548</v>
      </c>
      <c r="S1138" s="4" t="str">
        <f>IFERROR(INDEX('LEV R&amp;D'!$D:$D,MATCH(MEDIÇÃO!R1138,'LEV R&amp;D'!$A:$A,0))-INDEX('PROJETO PERFURAÇÃO'!$AH:$AH,MATCH(MEDIÇÃO!R1138,'PROJETO PERFURAÇÃO'!$B:$B,0)),"")</f>
        <v/>
      </c>
      <c r="T1138" s="8" t="str">
        <f>IFERROR(INDEX('PROJETO PERFURAÇÃO'!$AN:$AN,MATCH(MEDIÇÃO!R1138,'PROJETO PERFURAÇÃO'!$B:$B,0)),"")</f>
        <v/>
      </c>
      <c r="U1138" s="3"/>
      <c r="V1138" s="3"/>
    </row>
    <row r="1139" spans="1:23" ht="45" customHeight="1" x14ac:dyDescent="0.25">
      <c r="B1139" s="3" t="str">
        <f>IFERROR(ROUND(INDEX('PROJETO PERFURAÇÃO'!$AB:$AB,MATCH(MEDIÇÃO!D1139,'PROJETO PERFURAÇÃO'!$B:$B,0)),1)&amp;"''","")</f>
        <v/>
      </c>
      <c r="C1139" s="3" t="str">
        <f>IFERROR(IF(INDEX('PROJETO PERFURAÇÃO'!$P:$P,MATCH(MEDIÇÃO!D1139,'PROJETO PERFURAÇÃO'!$B:$B,0))="Production","P",IF(INDEX('PROJETO PERFURAÇÃO'!$P:$P,MATCH(MEDIÇÃO!D1139,'PROJETO PERFURAÇÃO'!$B:$B,0))="Buffer","B",IF(INDEX('PROJETO PERFURAÇÃO'!$P:$P,MATCH(MEDIÇÃO!D1139,'PROJETO PERFURAÇÃO'!$B:$B,0))="Pre-Splitting","S"))),"")</f>
        <v/>
      </c>
      <c r="D1139" s="14">
        <f t="shared" si="108"/>
        <v>2503</v>
      </c>
      <c r="E1139" s="4" t="str">
        <f>IFERROR(INDEX('LEV R&amp;D'!$D:$D,MATCH(MEDIÇÃO!D1139,'LEV R&amp;D'!$A:$A,0))-INDEX('PROJETO PERFURAÇÃO'!$AH:$AH,MATCH(MEDIÇÃO!D1139,'PROJETO PERFURAÇÃO'!$B:$B,0)),"")</f>
        <v/>
      </c>
      <c r="F1139" s="8" t="str">
        <f>IFERROR(INDEX('PROJETO PERFURAÇÃO'!$AN:$AN,MATCH(MEDIÇÃO!D1139,'PROJETO PERFURAÇÃO'!$B:$B,0)),"")</f>
        <v/>
      </c>
      <c r="G1139" s="3"/>
      <c r="H1139" s="3"/>
      <c r="I1139" s="3" t="str">
        <f>IFERROR(ROUND(INDEX('PROJETO PERFURAÇÃO'!$AB:$AB,MATCH(MEDIÇÃO!K1139,'PROJETO PERFURAÇÃO'!$B:$B,0)),1)&amp;"''","")</f>
        <v/>
      </c>
      <c r="J1139" s="3" t="str">
        <f>IFERROR(IF(INDEX('PROJETO PERFURAÇÃO'!$P:$P,MATCH(MEDIÇÃO!K1139,'PROJETO PERFURAÇÃO'!$B:$B,0))="Production","P",IF(INDEX('PROJETO PERFURAÇÃO'!$P:$P,MATCH(MEDIÇÃO!K1139,'PROJETO PERFURAÇÃO'!$B:$B,0))="Buffer","B",IF(INDEX('PROJETO PERFURAÇÃO'!$P:$P,MATCH(MEDIÇÃO!K1139,'PROJETO PERFURAÇÃO'!$B:$B,0))="Pre-Splitting","S"))),"")</f>
        <v/>
      </c>
      <c r="K1139" s="14">
        <f t="shared" si="109"/>
        <v>2526</v>
      </c>
      <c r="L1139" s="4" t="str">
        <f>IFERROR(INDEX('LEV R&amp;D'!$D:$D,MATCH(MEDIÇÃO!K1139,'LEV R&amp;D'!$A:$A,0))-INDEX('PROJETO PERFURAÇÃO'!$AH:$AH,MATCH(MEDIÇÃO!K1139,'PROJETO PERFURAÇÃO'!$B:$B,0)),"")</f>
        <v/>
      </c>
      <c r="M1139" s="8" t="str">
        <f>IFERROR(INDEX('PROJETO PERFURAÇÃO'!$AN:$AN,MATCH(MEDIÇÃO!K1139,'PROJETO PERFURAÇÃO'!$B:$B,0)),"")</f>
        <v/>
      </c>
      <c r="N1139" s="3"/>
      <c r="O1139" s="3"/>
      <c r="P1139" s="3" t="str">
        <f>IFERROR(ROUND(INDEX('PROJETO PERFURAÇÃO'!$AB:$AB,MATCH(MEDIÇÃO!R1139,'PROJETO PERFURAÇÃO'!$B:$B,0)),1)&amp;"''","")</f>
        <v/>
      </c>
      <c r="Q1139" s="3" t="str">
        <f>IFERROR(IF(INDEX('PROJETO PERFURAÇÃO'!$P:$P,MATCH(MEDIÇÃO!R1139,'PROJETO PERFURAÇÃO'!$B:$B,0))="Production","P",IF(INDEX('PROJETO PERFURAÇÃO'!$P:$P,MATCH(MEDIÇÃO!R1139,'PROJETO PERFURAÇÃO'!$B:$B,0))="Buffer","B",IF(INDEX('PROJETO PERFURAÇÃO'!$P:$P,MATCH(MEDIÇÃO!R1139,'PROJETO PERFURAÇÃO'!$B:$B,0))="Pre-Splitting","S"))),"")</f>
        <v/>
      </c>
      <c r="R1139" s="14">
        <f t="shared" si="110"/>
        <v>2549</v>
      </c>
      <c r="S1139" s="4" t="str">
        <f>IFERROR(INDEX('LEV R&amp;D'!$D:$D,MATCH(MEDIÇÃO!R1139,'LEV R&amp;D'!$A:$A,0))-INDEX('PROJETO PERFURAÇÃO'!$AH:$AH,MATCH(MEDIÇÃO!R1139,'PROJETO PERFURAÇÃO'!$B:$B,0)),"")</f>
        <v/>
      </c>
      <c r="T1139" s="8" t="str">
        <f>IFERROR(INDEX('PROJETO PERFURAÇÃO'!$AN:$AN,MATCH(MEDIÇÃO!R1139,'PROJETO PERFURAÇÃO'!$B:$B,0)),"")</f>
        <v/>
      </c>
      <c r="U1139" s="3"/>
      <c r="V1139" s="3"/>
    </row>
    <row r="1140" spans="1:23" ht="45" customHeight="1" x14ac:dyDescent="0.25">
      <c r="B1140" s="3" t="str">
        <f>IFERROR(ROUND(INDEX('PROJETO PERFURAÇÃO'!$AB:$AB,MATCH(MEDIÇÃO!D1140,'PROJETO PERFURAÇÃO'!$B:$B,0)),1)&amp;"''","")</f>
        <v/>
      </c>
      <c r="C1140" s="3" t="str">
        <f>IFERROR(IF(INDEX('PROJETO PERFURAÇÃO'!$P:$P,MATCH(MEDIÇÃO!D1140,'PROJETO PERFURAÇÃO'!$B:$B,0))="Production","P",IF(INDEX('PROJETO PERFURAÇÃO'!$P:$P,MATCH(MEDIÇÃO!D1140,'PROJETO PERFURAÇÃO'!$B:$B,0))="Buffer","B",IF(INDEX('PROJETO PERFURAÇÃO'!$P:$P,MATCH(MEDIÇÃO!D1140,'PROJETO PERFURAÇÃO'!$B:$B,0))="Pre-Splitting","S"))),"")</f>
        <v/>
      </c>
      <c r="D1140" s="14">
        <f t="shared" si="108"/>
        <v>2504</v>
      </c>
      <c r="E1140" s="4" t="str">
        <f>IFERROR(INDEX('LEV R&amp;D'!$D:$D,MATCH(MEDIÇÃO!D1140,'LEV R&amp;D'!$A:$A,0))-INDEX('PROJETO PERFURAÇÃO'!$AH:$AH,MATCH(MEDIÇÃO!D1140,'PROJETO PERFURAÇÃO'!$B:$B,0)),"")</f>
        <v/>
      </c>
      <c r="F1140" s="8" t="str">
        <f>IFERROR(INDEX('PROJETO PERFURAÇÃO'!$AN:$AN,MATCH(MEDIÇÃO!D1140,'PROJETO PERFURAÇÃO'!$B:$B,0)),"")</f>
        <v/>
      </c>
      <c r="G1140" s="3"/>
      <c r="H1140" s="3"/>
      <c r="I1140" s="3" t="str">
        <f>IFERROR(ROUND(INDEX('PROJETO PERFURAÇÃO'!$AB:$AB,MATCH(MEDIÇÃO!K1140,'PROJETO PERFURAÇÃO'!$B:$B,0)),1)&amp;"''","")</f>
        <v/>
      </c>
      <c r="J1140" s="3" t="str">
        <f>IFERROR(IF(INDEX('PROJETO PERFURAÇÃO'!$P:$P,MATCH(MEDIÇÃO!K1140,'PROJETO PERFURAÇÃO'!$B:$B,0))="Production","P",IF(INDEX('PROJETO PERFURAÇÃO'!$P:$P,MATCH(MEDIÇÃO!K1140,'PROJETO PERFURAÇÃO'!$B:$B,0))="Buffer","B",IF(INDEX('PROJETO PERFURAÇÃO'!$P:$P,MATCH(MEDIÇÃO!K1140,'PROJETO PERFURAÇÃO'!$B:$B,0))="Pre-Splitting","S"))),"")</f>
        <v/>
      </c>
      <c r="K1140" s="14">
        <f t="shared" si="109"/>
        <v>2527</v>
      </c>
      <c r="L1140" s="4" t="str">
        <f>IFERROR(INDEX('LEV R&amp;D'!$D:$D,MATCH(MEDIÇÃO!K1140,'LEV R&amp;D'!$A:$A,0))-INDEX('PROJETO PERFURAÇÃO'!$AH:$AH,MATCH(MEDIÇÃO!K1140,'PROJETO PERFURAÇÃO'!$B:$B,0)),"")</f>
        <v/>
      </c>
      <c r="M1140" s="8" t="str">
        <f>IFERROR(INDEX('PROJETO PERFURAÇÃO'!$AN:$AN,MATCH(MEDIÇÃO!K1140,'PROJETO PERFURAÇÃO'!$B:$B,0)),"")</f>
        <v/>
      </c>
      <c r="N1140" s="3"/>
      <c r="O1140" s="3"/>
      <c r="P1140" s="3" t="str">
        <f>IFERROR(ROUND(INDEX('PROJETO PERFURAÇÃO'!$AB:$AB,MATCH(MEDIÇÃO!R1140,'PROJETO PERFURAÇÃO'!$B:$B,0)),1)&amp;"''","")</f>
        <v/>
      </c>
      <c r="Q1140" s="3" t="str">
        <f>IFERROR(IF(INDEX('PROJETO PERFURAÇÃO'!$P:$P,MATCH(MEDIÇÃO!R1140,'PROJETO PERFURAÇÃO'!$B:$B,0))="Production","P",IF(INDEX('PROJETO PERFURAÇÃO'!$P:$P,MATCH(MEDIÇÃO!R1140,'PROJETO PERFURAÇÃO'!$B:$B,0))="Buffer","B",IF(INDEX('PROJETO PERFURAÇÃO'!$P:$P,MATCH(MEDIÇÃO!R1140,'PROJETO PERFURAÇÃO'!$B:$B,0))="Pre-Splitting","S"))),"")</f>
        <v/>
      </c>
      <c r="R1140" s="14">
        <f t="shared" si="110"/>
        <v>2550</v>
      </c>
      <c r="S1140" s="4" t="str">
        <f>IFERROR(INDEX('LEV R&amp;D'!$D:$D,MATCH(MEDIÇÃO!R1140,'LEV R&amp;D'!$A:$A,0))-INDEX('PROJETO PERFURAÇÃO'!$AH:$AH,MATCH(MEDIÇÃO!R1140,'PROJETO PERFURAÇÃO'!$B:$B,0)),"")</f>
        <v/>
      </c>
      <c r="T1140" s="8" t="str">
        <f>IFERROR(INDEX('PROJETO PERFURAÇÃO'!$AN:$AN,MATCH(MEDIÇÃO!R1140,'PROJETO PERFURAÇÃO'!$B:$B,0)),"")</f>
        <v/>
      </c>
      <c r="U1140" s="3"/>
      <c r="V1140" s="3"/>
    </row>
    <row r="1141" spans="1:23" ht="45" customHeight="1" x14ac:dyDescent="0.25">
      <c r="B1141" s="3" t="str">
        <f>IFERROR(ROUND(INDEX('PROJETO PERFURAÇÃO'!$AB:$AB,MATCH(MEDIÇÃO!D1141,'PROJETO PERFURAÇÃO'!$B:$B,0)),1)&amp;"''","")</f>
        <v/>
      </c>
      <c r="C1141" s="3" t="str">
        <f>IFERROR(IF(INDEX('PROJETO PERFURAÇÃO'!$P:$P,MATCH(MEDIÇÃO!D1141,'PROJETO PERFURAÇÃO'!$B:$B,0))="Production","P",IF(INDEX('PROJETO PERFURAÇÃO'!$P:$P,MATCH(MEDIÇÃO!D1141,'PROJETO PERFURAÇÃO'!$B:$B,0))="Buffer","B",IF(INDEX('PROJETO PERFURAÇÃO'!$P:$P,MATCH(MEDIÇÃO!D1141,'PROJETO PERFURAÇÃO'!$B:$B,0))="Pre-Splitting","S"))),"")</f>
        <v/>
      </c>
      <c r="D1141" s="14">
        <f t="shared" si="108"/>
        <v>2505</v>
      </c>
      <c r="E1141" s="4" t="str">
        <f>IFERROR(INDEX('LEV R&amp;D'!$D:$D,MATCH(MEDIÇÃO!D1141,'LEV R&amp;D'!$A:$A,0))-INDEX('PROJETO PERFURAÇÃO'!$AH:$AH,MATCH(MEDIÇÃO!D1141,'PROJETO PERFURAÇÃO'!$B:$B,0)),"")</f>
        <v/>
      </c>
      <c r="F1141" s="8" t="str">
        <f>IFERROR(INDEX('PROJETO PERFURAÇÃO'!$AN:$AN,MATCH(MEDIÇÃO!D1141,'PROJETO PERFURAÇÃO'!$B:$B,0)),"")</f>
        <v/>
      </c>
      <c r="G1141" s="3"/>
      <c r="H1141" s="3"/>
      <c r="I1141" s="3" t="str">
        <f>IFERROR(ROUND(INDEX('PROJETO PERFURAÇÃO'!$AB:$AB,MATCH(MEDIÇÃO!K1141,'PROJETO PERFURAÇÃO'!$B:$B,0)),1)&amp;"''","")</f>
        <v/>
      </c>
      <c r="J1141" s="3" t="str">
        <f>IFERROR(IF(INDEX('PROJETO PERFURAÇÃO'!$P:$P,MATCH(MEDIÇÃO!K1141,'PROJETO PERFURAÇÃO'!$B:$B,0))="Production","P",IF(INDEX('PROJETO PERFURAÇÃO'!$P:$P,MATCH(MEDIÇÃO!K1141,'PROJETO PERFURAÇÃO'!$B:$B,0))="Buffer","B",IF(INDEX('PROJETO PERFURAÇÃO'!$P:$P,MATCH(MEDIÇÃO!K1141,'PROJETO PERFURAÇÃO'!$B:$B,0))="Pre-Splitting","S"))),"")</f>
        <v/>
      </c>
      <c r="K1141" s="14">
        <f t="shared" si="109"/>
        <v>2528</v>
      </c>
      <c r="L1141" s="4" t="str">
        <f>IFERROR(INDEX('LEV R&amp;D'!$D:$D,MATCH(MEDIÇÃO!K1141,'LEV R&amp;D'!$A:$A,0))-INDEX('PROJETO PERFURAÇÃO'!$AH:$AH,MATCH(MEDIÇÃO!K1141,'PROJETO PERFURAÇÃO'!$B:$B,0)),"")</f>
        <v/>
      </c>
      <c r="M1141" s="8" t="str">
        <f>IFERROR(INDEX('PROJETO PERFURAÇÃO'!$AN:$AN,MATCH(MEDIÇÃO!K1141,'PROJETO PERFURAÇÃO'!$B:$B,0)),"")</f>
        <v/>
      </c>
      <c r="N1141" s="3"/>
      <c r="O1141" s="3"/>
      <c r="P1141" s="3" t="str">
        <f>IFERROR(ROUND(INDEX('PROJETO PERFURAÇÃO'!$AB:$AB,MATCH(MEDIÇÃO!R1141,'PROJETO PERFURAÇÃO'!$B:$B,0)),1)&amp;"''","")</f>
        <v/>
      </c>
      <c r="Q1141" s="3" t="str">
        <f>IFERROR(IF(INDEX('PROJETO PERFURAÇÃO'!$P:$P,MATCH(MEDIÇÃO!R1141,'PROJETO PERFURAÇÃO'!$B:$B,0))="Production","P",IF(INDEX('PROJETO PERFURAÇÃO'!$P:$P,MATCH(MEDIÇÃO!R1141,'PROJETO PERFURAÇÃO'!$B:$B,0))="Buffer","B",IF(INDEX('PROJETO PERFURAÇÃO'!$P:$P,MATCH(MEDIÇÃO!R1141,'PROJETO PERFURAÇÃO'!$B:$B,0))="Pre-Splitting","S"))),"")</f>
        <v/>
      </c>
      <c r="R1141" s="14">
        <f t="shared" si="110"/>
        <v>2551</v>
      </c>
      <c r="S1141" s="4" t="str">
        <f>IFERROR(INDEX('LEV R&amp;D'!$D:$D,MATCH(MEDIÇÃO!R1141,'LEV R&amp;D'!$A:$A,0))-INDEX('PROJETO PERFURAÇÃO'!$AH:$AH,MATCH(MEDIÇÃO!R1141,'PROJETO PERFURAÇÃO'!$B:$B,0)),"")</f>
        <v/>
      </c>
      <c r="T1141" s="8" t="str">
        <f>IFERROR(INDEX('PROJETO PERFURAÇÃO'!$AN:$AN,MATCH(MEDIÇÃO!R1141,'PROJETO PERFURAÇÃO'!$B:$B,0)),"")</f>
        <v/>
      </c>
      <c r="U1141" s="3"/>
      <c r="V1141" s="3"/>
    </row>
    <row r="1142" spans="1:23" ht="45" customHeight="1" x14ac:dyDescent="0.25">
      <c r="B1142" s="3" t="str">
        <f>IFERROR(ROUND(INDEX('PROJETO PERFURAÇÃO'!$AB:$AB,MATCH(MEDIÇÃO!D1142,'PROJETO PERFURAÇÃO'!$B:$B,0)),1)&amp;"''","")</f>
        <v/>
      </c>
      <c r="C1142" s="3" t="str">
        <f>IFERROR(IF(INDEX('PROJETO PERFURAÇÃO'!$P:$P,MATCH(MEDIÇÃO!D1142,'PROJETO PERFURAÇÃO'!$B:$B,0))="Production","P",IF(INDEX('PROJETO PERFURAÇÃO'!$P:$P,MATCH(MEDIÇÃO!D1142,'PROJETO PERFURAÇÃO'!$B:$B,0))="Buffer","B",IF(INDEX('PROJETO PERFURAÇÃO'!$P:$P,MATCH(MEDIÇÃO!D1142,'PROJETO PERFURAÇÃO'!$B:$B,0))="Pre-Splitting","S"))),"")</f>
        <v/>
      </c>
      <c r="D1142" s="14">
        <f t="shared" si="108"/>
        <v>2506</v>
      </c>
      <c r="E1142" s="4" t="str">
        <f>IFERROR(INDEX('LEV R&amp;D'!$D:$D,MATCH(MEDIÇÃO!D1142,'LEV R&amp;D'!$A:$A,0))-INDEX('PROJETO PERFURAÇÃO'!$AH:$AH,MATCH(MEDIÇÃO!D1142,'PROJETO PERFURAÇÃO'!$B:$B,0)),"")</f>
        <v/>
      </c>
      <c r="F1142" s="8" t="str">
        <f>IFERROR(INDEX('PROJETO PERFURAÇÃO'!$AN:$AN,MATCH(MEDIÇÃO!D1142,'PROJETO PERFURAÇÃO'!$B:$B,0)),"")</f>
        <v/>
      </c>
      <c r="G1142" s="3"/>
      <c r="H1142" s="3"/>
      <c r="I1142" s="3" t="str">
        <f>IFERROR(ROUND(INDEX('PROJETO PERFURAÇÃO'!$AB:$AB,MATCH(MEDIÇÃO!K1142,'PROJETO PERFURAÇÃO'!$B:$B,0)),1)&amp;"''","")</f>
        <v/>
      </c>
      <c r="J1142" s="3" t="str">
        <f>IFERROR(IF(INDEX('PROJETO PERFURAÇÃO'!$P:$P,MATCH(MEDIÇÃO!K1142,'PROJETO PERFURAÇÃO'!$B:$B,0))="Production","P",IF(INDEX('PROJETO PERFURAÇÃO'!$P:$P,MATCH(MEDIÇÃO!K1142,'PROJETO PERFURAÇÃO'!$B:$B,0))="Buffer","B",IF(INDEX('PROJETO PERFURAÇÃO'!$P:$P,MATCH(MEDIÇÃO!K1142,'PROJETO PERFURAÇÃO'!$B:$B,0))="Pre-Splitting","S"))),"")</f>
        <v/>
      </c>
      <c r="K1142" s="14">
        <f t="shared" si="109"/>
        <v>2529</v>
      </c>
      <c r="L1142" s="4" t="str">
        <f>IFERROR(INDEX('LEV R&amp;D'!$D:$D,MATCH(MEDIÇÃO!K1142,'LEV R&amp;D'!$A:$A,0))-INDEX('PROJETO PERFURAÇÃO'!$AH:$AH,MATCH(MEDIÇÃO!K1142,'PROJETO PERFURAÇÃO'!$B:$B,0)),"")</f>
        <v/>
      </c>
      <c r="M1142" s="8" t="str">
        <f>IFERROR(INDEX('PROJETO PERFURAÇÃO'!$AN:$AN,MATCH(MEDIÇÃO!K1142,'PROJETO PERFURAÇÃO'!$B:$B,0)),"")</f>
        <v/>
      </c>
      <c r="N1142" s="3"/>
      <c r="O1142" s="3"/>
      <c r="P1142" s="3" t="str">
        <f>IFERROR(ROUND(INDEX('PROJETO PERFURAÇÃO'!$AB:$AB,MATCH(MEDIÇÃO!R1142,'PROJETO PERFURAÇÃO'!$B:$B,0)),1)&amp;"''","")</f>
        <v/>
      </c>
      <c r="Q1142" s="3" t="str">
        <f>IFERROR(IF(INDEX('PROJETO PERFURAÇÃO'!$P:$P,MATCH(MEDIÇÃO!R1142,'PROJETO PERFURAÇÃO'!$B:$B,0))="Production","P",IF(INDEX('PROJETO PERFURAÇÃO'!$P:$P,MATCH(MEDIÇÃO!R1142,'PROJETO PERFURAÇÃO'!$B:$B,0))="Buffer","B",IF(INDEX('PROJETO PERFURAÇÃO'!$P:$P,MATCH(MEDIÇÃO!R1142,'PROJETO PERFURAÇÃO'!$B:$B,0))="Pre-Splitting","S"))),"")</f>
        <v/>
      </c>
      <c r="R1142" s="14">
        <f t="shared" si="110"/>
        <v>2552</v>
      </c>
      <c r="S1142" s="4" t="str">
        <f>IFERROR(INDEX('LEV R&amp;D'!$D:$D,MATCH(MEDIÇÃO!R1142,'LEV R&amp;D'!$A:$A,0))-INDEX('PROJETO PERFURAÇÃO'!$AH:$AH,MATCH(MEDIÇÃO!R1142,'PROJETO PERFURAÇÃO'!$B:$B,0)),"")</f>
        <v/>
      </c>
      <c r="T1142" s="8" t="str">
        <f>IFERROR(INDEX('PROJETO PERFURAÇÃO'!$AN:$AN,MATCH(MEDIÇÃO!R1142,'PROJETO PERFURAÇÃO'!$B:$B,0)),"")</f>
        <v/>
      </c>
      <c r="U1142" s="3"/>
      <c r="V1142" s="3"/>
    </row>
    <row r="1143" spans="1:23" ht="45" customHeight="1" x14ac:dyDescent="0.25">
      <c r="B1143" s="3" t="str">
        <f>IFERROR(ROUND(INDEX('PROJETO PERFURAÇÃO'!$AB:$AB,MATCH(MEDIÇÃO!D1143,'PROJETO PERFURAÇÃO'!$B:$B,0)),1)&amp;"''","")</f>
        <v/>
      </c>
      <c r="C1143" s="3" t="str">
        <f>IFERROR(IF(INDEX('PROJETO PERFURAÇÃO'!$P:$P,MATCH(MEDIÇÃO!D1143,'PROJETO PERFURAÇÃO'!$B:$B,0))="Production","P",IF(INDEX('PROJETO PERFURAÇÃO'!$P:$P,MATCH(MEDIÇÃO!D1143,'PROJETO PERFURAÇÃO'!$B:$B,0))="Buffer","B",IF(INDEX('PROJETO PERFURAÇÃO'!$P:$P,MATCH(MEDIÇÃO!D1143,'PROJETO PERFURAÇÃO'!$B:$B,0))="Pre-Splitting","S"))),"")</f>
        <v/>
      </c>
      <c r="D1143" s="14">
        <f t="shared" si="108"/>
        <v>2507</v>
      </c>
      <c r="E1143" s="4" t="str">
        <f>IFERROR(INDEX('LEV R&amp;D'!$D:$D,MATCH(MEDIÇÃO!D1143,'LEV R&amp;D'!$A:$A,0))-INDEX('PROJETO PERFURAÇÃO'!$AH:$AH,MATCH(MEDIÇÃO!D1143,'PROJETO PERFURAÇÃO'!$B:$B,0)),"")</f>
        <v/>
      </c>
      <c r="F1143" s="8" t="str">
        <f>IFERROR(INDEX('PROJETO PERFURAÇÃO'!$AN:$AN,MATCH(MEDIÇÃO!D1143,'PROJETO PERFURAÇÃO'!$B:$B,0)),"")</f>
        <v/>
      </c>
      <c r="G1143" s="3"/>
      <c r="H1143" s="3"/>
      <c r="I1143" s="3" t="str">
        <f>IFERROR(ROUND(INDEX('PROJETO PERFURAÇÃO'!$AB:$AB,MATCH(MEDIÇÃO!K1143,'PROJETO PERFURAÇÃO'!$B:$B,0)),1)&amp;"''","")</f>
        <v/>
      </c>
      <c r="J1143" s="3" t="str">
        <f>IFERROR(IF(INDEX('PROJETO PERFURAÇÃO'!$P:$P,MATCH(MEDIÇÃO!K1143,'PROJETO PERFURAÇÃO'!$B:$B,0))="Production","P",IF(INDEX('PROJETO PERFURAÇÃO'!$P:$P,MATCH(MEDIÇÃO!K1143,'PROJETO PERFURAÇÃO'!$B:$B,0))="Buffer","B",IF(INDEX('PROJETO PERFURAÇÃO'!$P:$P,MATCH(MEDIÇÃO!K1143,'PROJETO PERFURAÇÃO'!$B:$B,0))="Pre-Splitting","S"))),"")</f>
        <v/>
      </c>
      <c r="K1143" s="14">
        <f>K1142+1</f>
        <v>2530</v>
      </c>
      <c r="L1143" s="4" t="str">
        <f>IFERROR(INDEX('LEV R&amp;D'!$D:$D,MATCH(MEDIÇÃO!K1143,'LEV R&amp;D'!$A:$A,0))-INDEX('PROJETO PERFURAÇÃO'!$AH:$AH,MATCH(MEDIÇÃO!K1143,'PROJETO PERFURAÇÃO'!$B:$B,0)),"")</f>
        <v/>
      </c>
      <c r="M1143" s="8" t="str">
        <f>IFERROR(INDEX('PROJETO PERFURAÇÃO'!$AN:$AN,MATCH(MEDIÇÃO!K1143,'PROJETO PERFURAÇÃO'!$B:$B,0)),"")</f>
        <v/>
      </c>
      <c r="N1143" s="3"/>
      <c r="O1143" s="3"/>
      <c r="P1143" s="3" t="str">
        <f>IFERROR(ROUND(INDEX('PROJETO PERFURAÇÃO'!$AB:$AB,MATCH(MEDIÇÃO!R1143,'PROJETO PERFURAÇÃO'!$B:$B,0)),1)&amp;"''","")</f>
        <v/>
      </c>
      <c r="Q1143" s="3" t="str">
        <f>IFERROR(IF(INDEX('PROJETO PERFURAÇÃO'!$P:$P,MATCH(MEDIÇÃO!R1143,'PROJETO PERFURAÇÃO'!$B:$B,0))="Production","P",IF(INDEX('PROJETO PERFURAÇÃO'!$P:$P,MATCH(MEDIÇÃO!R1143,'PROJETO PERFURAÇÃO'!$B:$B,0))="Buffer","B",IF(INDEX('PROJETO PERFURAÇÃO'!$P:$P,MATCH(MEDIÇÃO!R1143,'PROJETO PERFURAÇÃO'!$B:$B,0))="Pre-Splitting","S"))),"")</f>
        <v/>
      </c>
      <c r="R1143" s="14">
        <f>R1142+1</f>
        <v>2553</v>
      </c>
      <c r="S1143" s="4" t="str">
        <f>IFERROR(INDEX('LEV R&amp;D'!$D:$D,MATCH(MEDIÇÃO!R1143,'LEV R&amp;D'!$A:$A,0))-INDEX('PROJETO PERFURAÇÃO'!$AH:$AH,MATCH(MEDIÇÃO!R1143,'PROJETO PERFURAÇÃO'!$B:$B,0)),"")</f>
        <v/>
      </c>
      <c r="T1143" s="8" t="str">
        <f>IFERROR(INDEX('PROJETO PERFURAÇÃO'!$AN:$AN,MATCH(MEDIÇÃO!R1143,'PROJETO PERFURAÇÃO'!$B:$B,0)),"")</f>
        <v/>
      </c>
      <c r="U1143" s="3"/>
      <c r="V1143" s="3"/>
    </row>
    <row r="1144" spans="1:23" ht="30" customHeight="1" x14ac:dyDescent="0.25">
      <c r="B1144" s="1"/>
      <c r="C1144" s="1"/>
      <c r="D1144" s="15"/>
      <c r="E1144" s="2"/>
      <c r="F1144" s="16"/>
      <c r="G1144" s="1"/>
      <c r="H1144" s="1"/>
      <c r="I1144" s="1"/>
      <c r="J1144" s="1"/>
      <c r="K1144" s="15"/>
      <c r="L1144" s="2"/>
      <c r="M1144" s="16"/>
      <c r="N1144" s="1"/>
      <c r="O1144" s="1"/>
      <c r="P1144" s="1"/>
      <c r="Q1144" s="1"/>
      <c r="R1144" s="15"/>
      <c r="S1144" s="2"/>
      <c r="T1144" s="16"/>
      <c r="U1144" s="1"/>
      <c r="V1144" s="1"/>
    </row>
    <row r="1145" spans="1:23" ht="30" customHeight="1" x14ac:dyDescent="0.25">
      <c r="C1145" s="20"/>
      <c r="D1145" s="20"/>
      <c r="E1145" s="20"/>
      <c r="F1145" s="20"/>
      <c r="G1145" s="20"/>
      <c r="H1145" s="20"/>
      <c r="I1145" s="20"/>
      <c r="J1145" s="20"/>
      <c r="K1145" s="20"/>
      <c r="M1145" s="20"/>
      <c r="N1145" s="20"/>
      <c r="O1145" s="20"/>
      <c r="P1145" s="20"/>
      <c r="Q1145" s="20"/>
      <c r="R1145" s="20"/>
      <c r="S1145" s="20"/>
      <c r="T1145" s="20"/>
      <c r="U1145" s="20"/>
    </row>
    <row r="1146" spans="1:23" ht="30" customHeight="1" x14ac:dyDescent="0.25">
      <c r="C1146" s="21" t="s">
        <v>40</v>
      </c>
      <c r="D1146" s="21"/>
      <c r="E1146" s="21"/>
      <c r="F1146" s="21"/>
      <c r="G1146" s="21"/>
      <c r="H1146" s="21"/>
      <c r="I1146" s="21"/>
      <c r="J1146" s="21"/>
      <c r="K1146" s="21"/>
      <c r="L1146" s="9"/>
      <c r="M1146" s="21" t="s">
        <v>40</v>
      </c>
      <c r="N1146" s="21"/>
      <c r="O1146" s="21"/>
      <c r="P1146" s="21"/>
      <c r="Q1146" s="21"/>
      <c r="R1146" s="21"/>
      <c r="S1146" s="21"/>
      <c r="T1146" s="21"/>
      <c r="U1146" s="21"/>
      <c r="V1146" s="9"/>
    </row>
    <row r="1147" spans="1:23" ht="30" customHeight="1" x14ac:dyDescent="0.25">
      <c r="D1147" s="9"/>
      <c r="E1147" s="9"/>
      <c r="F1147" s="9"/>
      <c r="G1147" s="9"/>
      <c r="H1147" s="9"/>
      <c r="I1147" s="9"/>
      <c r="J1147" s="9"/>
      <c r="K1147" s="9"/>
      <c r="L1147" s="9"/>
      <c r="M1147" s="9"/>
      <c r="N1147" s="9"/>
      <c r="Q1147" s="9"/>
      <c r="R1147" s="9"/>
      <c r="S1147" s="9"/>
      <c r="T1147" s="9"/>
      <c r="U1147" s="9"/>
      <c r="V1147" s="9"/>
    </row>
    <row r="1148" spans="1:23" ht="30" customHeight="1" x14ac:dyDescent="0.25">
      <c r="B1148" s="19" t="str">
        <f>'PROJETO PERFURAÇÃO'!$C$2&amp;" - "&amp;'PROJETO PERFURAÇÃO'!$H$2</f>
        <v>LIB065 - PP0651026</v>
      </c>
      <c r="C1148" s="19"/>
      <c r="D1148" s="19"/>
      <c r="E1148" s="19"/>
      <c r="F1148" s="19"/>
      <c r="G1148" s="19"/>
      <c r="H1148" s="19"/>
      <c r="I1148" s="11" t="s">
        <v>34</v>
      </c>
      <c r="J1148" s="10" t="s">
        <v>37</v>
      </c>
    </row>
    <row r="1149" spans="1:23" ht="30" customHeight="1" x14ac:dyDescent="0.25">
      <c r="B1149" s="19"/>
      <c r="C1149" s="19"/>
      <c r="D1149" s="19"/>
      <c r="E1149" s="19"/>
      <c r="F1149" s="19"/>
      <c r="G1149" s="19"/>
      <c r="H1149" s="19"/>
      <c r="I1149" s="12" t="s">
        <v>35</v>
      </c>
      <c r="J1149" s="10" t="s">
        <v>38</v>
      </c>
      <c r="K1149" s="9"/>
      <c r="L1149" s="9"/>
      <c r="M1149" s="9"/>
      <c r="N1149" s="9"/>
      <c r="O1149" s="9"/>
      <c r="P1149" s="9"/>
      <c r="Q1149" s="9"/>
      <c r="R1149" s="9"/>
      <c r="S1149" s="9"/>
      <c r="T1149" s="9"/>
      <c r="U1149" s="9"/>
      <c r="V1149" s="9"/>
    </row>
    <row r="1150" spans="1:23" ht="30" customHeight="1" x14ac:dyDescent="0.25">
      <c r="B1150" s="19"/>
      <c r="C1150" s="19"/>
      <c r="D1150" s="19"/>
      <c r="E1150" s="19"/>
      <c r="F1150" s="19"/>
      <c r="G1150" s="19"/>
      <c r="H1150" s="19"/>
      <c r="I1150" s="13" t="s">
        <v>36</v>
      </c>
      <c r="J1150" s="10" t="s">
        <v>39</v>
      </c>
    </row>
    <row r="1151" spans="1:23" ht="30" customHeight="1" x14ac:dyDescent="0.25">
      <c r="A1151" s="1"/>
      <c r="B1151" s="6" t="s">
        <v>33</v>
      </c>
      <c r="C1151" s="6" t="s">
        <v>13</v>
      </c>
      <c r="D1151" s="7" t="s">
        <v>1</v>
      </c>
      <c r="E1151" s="7" t="s">
        <v>29</v>
      </c>
      <c r="F1151" s="7" t="s">
        <v>30</v>
      </c>
      <c r="G1151" s="7" t="s">
        <v>31</v>
      </c>
      <c r="H1151" s="7" t="s">
        <v>32</v>
      </c>
      <c r="I1151" s="6" t="s">
        <v>33</v>
      </c>
      <c r="J1151" s="6" t="s">
        <v>13</v>
      </c>
      <c r="K1151" s="7" t="s">
        <v>1</v>
      </c>
      <c r="L1151" s="7" t="s">
        <v>29</v>
      </c>
      <c r="M1151" s="7" t="s">
        <v>30</v>
      </c>
      <c r="N1151" s="7" t="s">
        <v>31</v>
      </c>
      <c r="O1151" s="7" t="s">
        <v>32</v>
      </c>
      <c r="P1151" s="6" t="s">
        <v>33</v>
      </c>
      <c r="Q1151" s="6" t="s">
        <v>13</v>
      </c>
      <c r="R1151" s="7" t="s">
        <v>1</v>
      </c>
      <c r="S1151" s="7" t="s">
        <v>29</v>
      </c>
      <c r="T1151" s="7" t="s">
        <v>30</v>
      </c>
      <c r="U1151" s="7" t="s">
        <v>31</v>
      </c>
      <c r="V1151" s="7" t="s">
        <v>32</v>
      </c>
      <c r="W1151" s="1"/>
    </row>
    <row r="1152" spans="1:23" ht="45" customHeight="1" x14ac:dyDescent="0.25">
      <c r="B1152" s="3" t="str">
        <f>IFERROR(ROUND(INDEX('PROJETO PERFURAÇÃO'!$AB:$AB,MATCH(MEDIÇÃO!D1152,'PROJETO PERFURAÇÃO'!$B:$B,0)),1)&amp;"''","")</f>
        <v/>
      </c>
      <c r="C1152" s="3" t="str">
        <f>IFERROR(IF(INDEX('PROJETO PERFURAÇÃO'!$P:$P,MATCH(MEDIÇÃO!D1152,'PROJETO PERFURAÇÃO'!$B:$B,0))="Production","P",IF(INDEX('PROJETO PERFURAÇÃO'!$P:$P,MATCH(MEDIÇÃO!D1152,'PROJETO PERFURAÇÃO'!$B:$B,0))="Buffer","B",IF(INDEX('PROJETO PERFURAÇÃO'!$P:$P,MATCH(MEDIÇÃO!D1152,'PROJETO PERFURAÇÃO'!$B:$B,0))="Pre-Splitting","S"))),"")</f>
        <v/>
      </c>
      <c r="D1152" s="14">
        <f>R1143+1</f>
        <v>2554</v>
      </c>
      <c r="E1152" s="4" t="str">
        <f>IFERROR(INDEX('LEV R&amp;D'!$D:$D,MATCH(MEDIÇÃO!D1152,'LEV R&amp;D'!$A:$A,0))-INDEX('PROJETO PERFURAÇÃO'!$AH:$AH,MATCH(MEDIÇÃO!D1152,'PROJETO PERFURAÇÃO'!$B:$B,0)),"")</f>
        <v/>
      </c>
      <c r="F1152" s="8" t="str">
        <f>IFERROR(INDEX('PROJETO PERFURAÇÃO'!$AN:$AN,MATCH(MEDIÇÃO!D1152,'PROJETO PERFURAÇÃO'!$B:$B,0)),"")</f>
        <v/>
      </c>
      <c r="G1152" s="3"/>
      <c r="H1152" s="3"/>
      <c r="I1152" s="3" t="str">
        <f>IFERROR(ROUND(INDEX('PROJETO PERFURAÇÃO'!$AB:$AB,MATCH(MEDIÇÃO!K1152,'PROJETO PERFURAÇÃO'!$B:$B,0)),1)&amp;"''","")</f>
        <v/>
      </c>
      <c r="J1152" s="3" t="str">
        <f>IFERROR(IF(INDEX('PROJETO PERFURAÇÃO'!$P:$P,MATCH(MEDIÇÃO!K1152,'PROJETO PERFURAÇÃO'!$B:$B,0))="Production","P",IF(INDEX('PROJETO PERFURAÇÃO'!$P:$P,MATCH(MEDIÇÃO!K1152,'PROJETO PERFURAÇÃO'!$B:$B,0))="Buffer","B",IF(INDEX('PROJETO PERFURAÇÃO'!$P:$P,MATCH(MEDIÇÃO!K1152,'PROJETO PERFURAÇÃO'!$B:$B,0))="Pre-Splitting","S"))),"")</f>
        <v/>
      </c>
      <c r="K1152" s="14">
        <f>D1174+1</f>
        <v>2577</v>
      </c>
      <c r="L1152" s="4" t="str">
        <f>IFERROR(INDEX('LEV R&amp;D'!$D:$D,MATCH(MEDIÇÃO!K1152,'LEV R&amp;D'!$A:$A,0))-INDEX('PROJETO PERFURAÇÃO'!$AH:$AH,MATCH(MEDIÇÃO!K1152,'PROJETO PERFURAÇÃO'!$B:$B,0)),"")</f>
        <v/>
      </c>
      <c r="M1152" s="8" t="str">
        <f>IFERROR(INDEX('PROJETO PERFURAÇÃO'!$AN:$AN,MATCH(MEDIÇÃO!K1152,'PROJETO PERFURAÇÃO'!$B:$B,0)),"")</f>
        <v/>
      </c>
      <c r="N1152" s="3"/>
      <c r="O1152" s="3"/>
      <c r="P1152" s="3" t="str">
        <f>IFERROR(ROUND(INDEX('PROJETO PERFURAÇÃO'!$AB:$AB,MATCH(MEDIÇÃO!R1152,'PROJETO PERFURAÇÃO'!$B:$B,0)),1)&amp;"''","")</f>
        <v/>
      </c>
      <c r="Q1152" s="3" t="str">
        <f>IFERROR(IF(INDEX('PROJETO PERFURAÇÃO'!$P:$P,MATCH(MEDIÇÃO!R1152,'PROJETO PERFURAÇÃO'!$B:$B,0))="Production","P",IF(INDEX('PROJETO PERFURAÇÃO'!$P:$P,MATCH(MEDIÇÃO!R1152,'PROJETO PERFURAÇÃO'!$B:$B,0))="Buffer","B",IF(INDEX('PROJETO PERFURAÇÃO'!$P:$P,MATCH(MEDIÇÃO!R1152,'PROJETO PERFURAÇÃO'!$B:$B,0))="Pre-Splitting","S"))),"")</f>
        <v/>
      </c>
      <c r="R1152" s="14">
        <f>K1174+1</f>
        <v>2600</v>
      </c>
      <c r="S1152" s="4" t="str">
        <f>IFERROR(INDEX('LEV R&amp;D'!$D:$D,MATCH(MEDIÇÃO!R1152,'LEV R&amp;D'!$A:$A,0))-INDEX('PROJETO PERFURAÇÃO'!$AH:$AH,MATCH(MEDIÇÃO!R1152,'PROJETO PERFURAÇÃO'!$B:$B,0)),"")</f>
        <v/>
      </c>
      <c r="T1152" s="8" t="str">
        <f>IFERROR(INDEX('PROJETO PERFURAÇÃO'!$AN:$AN,MATCH(MEDIÇÃO!R1152,'PROJETO PERFURAÇÃO'!$B:$B,0)),"")</f>
        <v/>
      </c>
      <c r="U1152" s="3"/>
      <c r="V1152" s="3"/>
    </row>
    <row r="1153" spans="2:22" ht="45" customHeight="1" x14ac:dyDescent="0.25">
      <c r="B1153" s="3" t="str">
        <f>IFERROR(ROUND(INDEX('PROJETO PERFURAÇÃO'!$AB:$AB,MATCH(MEDIÇÃO!D1153,'PROJETO PERFURAÇÃO'!$B:$B,0)),1)&amp;"''","")</f>
        <v/>
      </c>
      <c r="C1153" s="3" t="str">
        <f>IFERROR(IF(INDEX('PROJETO PERFURAÇÃO'!$P:$P,MATCH(MEDIÇÃO!D1153,'PROJETO PERFURAÇÃO'!$B:$B,0))="Production","P",IF(INDEX('PROJETO PERFURAÇÃO'!$P:$P,MATCH(MEDIÇÃO!D1153,'PROJETO PERFURAÇÃO'!$B:$B,0))="Buffer","B",IF(INDEX('PROJETO PERFURAÇÃO'!$P:$P,MATCH(MEDIÇÃO!D1153,'PROJETO PERFURAÇÃO'!$B:$B,0))="Pre-Splitting","S"))),"")</f>
        <v/>
      </c>
      <c r="D1153" s="14">
        <f>D1152+1</f>
        <v>2555</v>
      </c>
      <c r="E1153" s="4" t="str">
        <f>IFERROR(INDEX('LEV R&amp;D'!$D:$D,MATCH(MEDIÇÃO!D1153,'LEV R&amp;D'!$A:$A,0))-INDEX('PROJETO PERFURAÇÃO'!$AH:$AH,MATCH(MEDIÇÃO!D1153,'PROJETO PERFURAÇÃO'!$B:$B,0)),"")</f>
        <v/>
      </c>
      <c r="F1153" s="8" t="str">
        <f>IFERROR(INDEX('PROJETO PERFURAÇÃO'!$AN:$AN,MATCH(MEDIÇÃO!D1153,'PROJETO PERFURAÇÃO'!$B:$B,0)),"")</f>
        <v/>
      </c>
      <c r="G1153" s="3"/>
      <c r="H1153" s="3"/>
      <c r="I1153" s="3" t="str">
        <f>IFERROR(ROUND(INDEX('PROJETO PERFURAÇÃO'!$AB:$AB,MATCH(MEDIÇÃO!K1153,'PROJETO PERFURAÇÃO'!$B:$B,0)),1)&amp;"''","")</f>
        <v/>
      </c>
      <c r="J1153" s="3" t="str">
        <f>IFERROR(IF(INDEX('PROJETO PERFURAÇÃO'!$P:$P,MATCH(MEDIÇÃO!K1153,'PROJETO PERFURAÇÃO'!$B:$B,0))="Production","P",IF(INDEX('PROJETO PERFURAÇÃO'!$P:$P,MATCH(MEDIÇÃO!K1153,'PROJETO PERFURAÇÃO'!$B:$B,0))="Buffer","B",IF(INDEX('PROJETO PERFURAÇÃO'!$P:$P,MATCH(MEDIÇÃO!K1153,'PROJETO PERFURAÇÃO'!$B:$B,0))="Pre-Splitting","S"))),"")</f>
        <v/>
      </c>
      <c r="K1153" s="14">
        <f>K1152+1</f>
        <v>2578</v>
      </c>
      <c r="L1153" s="4" t="str">
        <f>IFERROR(INDEX('LEV R&amp;D'!$D:$D,MATCH(MEDIÇÃO!K1153,'LEV R&amp;D'!$A:$A,0))-INDEX('PROJETO PERFURAÇÃO'!$AH:$AH,MATCH(MEDIÇÃO!K1153,'PROJETO PERFURAÇÃO'!$B:$B,0)),"")</f>
        <v/>
      </c>
      <c r="M1153" s="8" t="str">
        <f>IFERROR(INDEX('PROJETO PERFURAÇÃO'!$AN:$AN,MATCH(MEDIÇÃO!K1153,'PROJETO PERFURAÇÃO'!$B:$B,0)),"")</f>
        <v/>
      </c>
      <c r="N1153" s="3"/>
      <c r="O1153" s="3"/>
      <c r="P1153" s="3" t="str">
        <f>IFERROR(ROUND(INDEX('PROJETO PERFURAÇÃO'!$AB:$AB,MATCH(MEDIÇÃO!R1153,'PROJETO PERFURAÇÃO'!$B:$B,0)),1)&amp;"''","")</f>
        <v/>
      </c>
      <c r="Q1153" s="3" t="str">
        <f>IFERROR(IF(INDEX('PROJETO PERFURAÇÃO'!$P:$P,MATCH(MEDIÇÃO!R1153,'PROJETO PERFURAÇÃO'!$B:$B,0))="Production","P",IF(INDEX('PROJETO PERFURAÇÃO'!$P:$P,MATCH(MEDIÇÃO!R1153,'PROJETO PERFURAÇÃO'!$B:$B,0))="Buffer","B",IF(INDEX('PROJETO PERFURAÇÃO'!$P:$P,MATCH(MEDIÇÃO!R1153,'PROJETO PERFURAÇÃO'!$B:$B,0))="Pre-Splitting","S"))),"")</f>
        <v/>
      </c>
      <c r="R1153" s="14">
        <f>R1152+1</f>
        <v>2601</v>
      </c>
      <c r="S1153" s="4" t="str">
        <f>IFERROR(INDEX('LEV R&amp;D'!$D:$D,MATCH(MEDIÇÃO!R1153,'LEV R&amp;D'!$A:$A,0))-INDEX('PROJETO PERFURAÇÃO'!$AH:$AH,MATCH(MEDIÇÃO!R1153,'PROJETO PERFURAÇÃO'!$B:$B,0)),"")</f>
        <v/>
      </c>
      <c r="T1153" s="8" t="str">
        <f>IFERROR(INDEX('PROJETO PERFURAÇÃO'!$AN:$AN,MATCH(MEDIÇÃO!R1153,'PROJETO PERFURAÇÃO'!$B:$B,0)),"")</f>
        <v/>
      </c>
      <c r="U1153" s="3"/>
      <c r="V1153" s="3"/>
    </row>
    <row r="1154" spans="2:22" ht="45" customHeight="1" x14ac:dyDescent="0.25">
      <c r="B1154" s="3" t="str">
        <f>IFERROR(ROUND(INDEX('PROJETO PERFURAÇÃO'!$AB:$AB,MATCH(MEDIÇÃO!D1154,'PROJETO PERFURAÇÃO'!$B:$B,0)),1)&amp;"''","")</f>
        <v/>
      </c>
      <c r="C1154" s="3" t="str">
        <f>IFERROR(IF(INDEX('PROJETO PERFURAÇÃO'!$P:$P,MATCH(MEDIÇÃO!D1154,'PROJETO PERFURAÇÃO'!$B:$B,0))="Production","P",IF(INDEX('PROJETO PERFURAÇÃO'!$P:$P,MATCH(MEDIÇÃO!D1154,'PROJETO PERFURAÇÃO'!$B:$B,0))="Buffer","B",IF(INDEX('PROJETO PERFURAÇÃO'!$P:$P,MATCH(MEDIÇÃO!D1154,'PROJETO PERFURAÇÃO'!$B:$B,0))="Pre-Splitting","S"))),"")</f>
        <v/>
      </c>
      <c r="D1154" s="14">
        <f t="shared" ref="D1154:D1174" si="111">D1153+1</f>
        <v>2556</v>
      </c>
      <c r="E1154" s="4" t="str">
        <f>IFERROR(INDEX('LEV R&amp;D'!$D:$D,MATCH(MEDIÇÃO!D1154,'LEV R&amp;D'!$A:$A,0))-INDEX('PROJETO PERFURAÇÃO'!$AH:$AH,MATCH(MEDIÇÃO!D1154,'PROJETO PERFURAÇÃO'!$B:$B,0)),"")</f>
        <v/>
      </c>
      <c r="F1154" s="8" t="str">
        <f>IFERROR(INDEX('PROJETO PERFURAÇÃO'!$AN:$AN,MATCH(MEDIÇÃO!D1154,'PROJETO PERFURAÇÃO'!$B:$B,0)),"")</f>
        <v/>
      </c>
      <c r="G1154" s="3"/>
      <c r="H1154" s="3"/>
      <c r="I1154" s="3" t="str">
        <f>IFERROR(ROUND(INDEX('PROJETO PERFURAÇÃO'!$AB:$AB,MATCH(MEDIÇÃO!K1154,'PROJETO PERFURAÇÃO'!$B:$B,0)),1)&amp;"''","")</f>
        <v/>
      </c>
      <c r="J1154" s="3" t="str">
        <f>IFERROR(IF(INDEX('PROJETO PERFURAÇÃO'!$P:$P,MATCH(MEDIÇÃO!K1154,'PROJETO PERFURAÇÃO'!$B:$B,0))="Production","P",IF(INDEX('PROJETO PERFURAÇÃO'!$P:$P,MATCH(MEDIÇÃO!K1154,'PROJETO PERFURAÇÃO'!$B:$B,0))="Buffer","B",IF(INDEX('PROJETO PERFURAÇÃO'!$P:$P,MATCH(MEDIÇÃO!K1154,'PROJETO PERFURAÇÃO'!$B:$B,0))="Pre-Splitting","S"))),"")</f>
        <v/>
      </c>
      <c r="K1154" s="14">
        <f t="shared" ref="K1154:K1173" si="112">K1153+1</f>
        <v>2579</v>
      </c>
      <c r="L1154" s="4" t="str">
        <f>IFERROR(INDEX('LEV R&amp;D'!$D:$D,MATCH(MEDIÇÃO!K1154,'LEV R&amp;D'!$A:$A,0))-INDEX('PROJETO PERFURAÇÃO'!$AH:$AH,MATCH(MEDIÇÃO!K1154,'PROJETO PERFURAÇÃO'!$B:$B,0)),"")</f>
        <v/>
      </c>
      <c r="M1154" s="8" t="str">
        <f>IFERROR(INDEX('PROJETO PERFURAÇÃO'!$AN:$AN,MATCH(MEDIÇÃO!K1154,'PROJETO PERFURAÇÃO'!$B:$B,0)),"")</f>
        <v/>
      </c>
      <c r="N1154" s="3"/>
      <c r="O1154" s="3"/>
      <c r="P1154" s="3" t="str">
        <f>IFERROR(ROUND(INDEX('PROJETO PERFURAÇÃO'!$AB:$AB,MATCH(MEDIÇÃO!R1154,'PROJETO PERFURAÇÃO'!$B:$B,0)),1)&amp;"''","")</f>
        <v/>
      </c>
      <c r="Q1154" s="3" t="str">
        <f>IFERROR(IF(INDEX('PROJETO PERFURAÇÃO'!$P:$P,MATCH(MEDIÇÃO!R1154,'PROJETO PERFURAÇÃO'!$B:$B,0))="Production","P",IF(INDEX('PROJETO PERFURAÇÃO'!$P:$P,MATCH(MEDIÇÃO!R1154,'PROJETO PERFURAÇÃO'!$B:$B,0))="Buffer","B",IF(INDEX('PROJETO PERFURAÇÃO'!$P:$P,MATCH(MEDIÇÃO!R1154,'PROJETO PERFURAÇÃO'!$B:$B,0))="Pre-Splitting","S"))),"")</f>
        <v/>
      </c>
      <c r="R1154" s="14">
        <f t="shared" ref="R1154:R1173" si="113">R1153+1</f>
        <v>2602</v>
      </c>
      <c r="S1154" s="4" t="str">
        <f>IFERROR(INDEX('LEV R&amp;D'!$D:$D,MATCH(MEDIÇÃO!R1154,'LEV R&amp;D'!$A:$A,0))-INDEX('PROJETO PERFURAÇÃO'!$AH:$AH,MATCH(MEDIÇÃO!R1154,'PROJETO PERFURAÇÃO'!$B:$B,0)),"")</f>
        <v/>
      </c>
      <c r="T1154" s="8" t="str">
        <f>IFERROR(INDEX('PROJETO PERFURAÇÃO'!$AN:$AN,MATCH(MEDIÇÃO!R1154,'PROJETO PERFURAÇÃO'!$B:$B,0)),"")</f>
        <v/>
      </c>
      <c r="U1154" s="3"/>
      <c r="V1154" s="3"/>
    </row>
    <row r="1155" spans="2:22" ht="45" customHeight="1" x14ac:dyDescent="0.25">
      <c r="B1155" s="3" t="str">
        <f>IFERROR(ROUND(INDEX('PROJETO PERFURAÇÃO'!$AB:$AB,MATCH(MEDIÇÃO!D1155,'PROJETO PERFURAÇÃO'!$B:$B,0)),1)&amp;"''","")</f>
        <v/>
      </c>
      <c r="C1155" s="3" t="str">
        <f>IFERROR(IF(INDEX('PROJETO PERFURAÇÃO'!$P:$P,MATCH(MEDIÇÃO!D1155,'PROJETO PERFURAÇÃO'!$B:$B,0))="Production","P",IF(INDEX('PROJETO PERFURAÇÃO'!$P:$P,MATCH(MEDIÇÃO!D1155,'PROJETO PERFURAÇÃO'!$B:$B,0))="Buffer","B",IF(INDEX('PROJETO PERFURAÇÃO'!$P:$P,MATCH(MEDIÇÃO!D1155,'PROJETO PERFURAÇÃO'!$B:$B,0))="Pre-Splitting","S"))),"")</f>
        <v/>
      </c>
      <c r="D1155" s="14">
        <f t="shared" si="111"/>
        <v>2557</v>
      </c>
      <c r="E1155" s="4" t="str">
        <f>IFERROR(INDEX('LEV R&amp;D'!$D:$D,MATCH(MEDIÇÃO!D1155,'LEV R&amp;D'!$A:$A,0))-INDEX('PROJETO PERFURAÇÃO'!$AH:$AH,MATCH(MEDIÇÃO!D1155,'PROJETO PERFURAÇÃO'!$B:$B,0)),"")</f>
        <v/>
      </c>
      <c r="F1155" s="8" t="str">
        <f>IFERROR(INDEX('PROJETO PERFURAÇÃO'!$AN:$AN,MATCH(MEDIÇÃO!D1155,'PROJETO PERFURAÇÃO'!$B:$B,0)),"")</f>
        <v/>
      </c>
      <c r="G1155" s="3"/>
      <c r="H1155" s="3"/>
      <c r="I1155" s="3" t="str">
        <f>IFERROR(ROUND(INDEX('PROJETO PERFURAÇÃO'!$AB:$AB,MATCH(MEDIÇÃO!K1155,'PROJETO PERFURAÇÃO'!$B:$B,0)),1)&amp;"''","")</f>
        <v/>
      </c>
      <c r="J1155" s="3" t="str">
        <f>IFERROR(IF(INDEX('PROJETO PERFURAÇÃO'!$P:$P,MATCH(MEDIÇÃO!K1155,'PROJETO PERFURAÇÃO'!$B:$B,0))="Production","P",IF(INDEX('PROJETO PERFURAÇÃO'!$P:$P,MATCH(MEDIÇÃO!K1155,'PROJETO PERFURAÇÃO'!$B:$B,0))="Buffer","B",IF(INDEX('PROJETO PERFURAÇÃO'!$P:$P,MATCH(MEDIÇÃO!K1155,'PROJETO PERFURAÇÃO'!$B:$B,0))="Pre-Splitting","S"))),"")</f>
        <v/>
      </c>
      <c r="K1155" s="14">
        <f t="shared" si="112"/>
        <v>2580</v>
      </c>
      <c r="L1155" s="4" t="str">
        <f>IFERROR(INDEX('LEV R&amp;D'!$D:$D,MATCH(MEDIÇÃO!K1155,'LEV R&amp;D'!$A:$A,0))-INDEX('PROJETO PERFURAÇÃO'!$AH:$AH,MATCH(MEDIÇÃO!K1155,'PROJETO PERFURAÇÃO'!$B:$B,0)),"")</f>
        <v/>
      </c>
      <c r="M1155" s="8" t="str">
        <f>IFERROR(INDEX('PROJETO PERFURAÇÃO'!$AN:$AN,MATCH(MEDIÇÃO!K1155,'PROJETO PERFURAÇÃO'!$B:$B,0)),"")</f>
        <v/>
      </c>
      <c r="N1155" s="3"/>
      <c r="O1155" s="3"/>
      <c r="P1155" s="3" t="str">
        <f>IFERROR(ROUND(INDEX('PROJETO PERFURAÇÃO'!$AB:$AB,MATCH(MEDIÇÃO!R1155,'PROJETO PERFURAÇÃO'!$B:$B,0)),1)&amp;"''","")</f>
        <v/>
      </c>
      <c r="Q1155" s="3" t="str">
        <f>IFERROR(IF(INDEX('PROJETO PERFURAÇÃO'!$P:$P,MATCH(MEDIÇÃO!R1155,'PROJETO PERFURAÇÃO'!$B:$B,0))="Production","P",IF(INDEX('PROJETO PERFURAÇÃO'!$P:$P,MATCH(MEDIÇÃO!R1155,'PROJETO PERFURAÇÃO'!$B:$B,0))="Buffer","B",IF(INDEX('PROJETO PERFURAÇÃO'!$P:$P,MATCH(MEDIÇÃO!R1155,'PROJETO PERFURAÇÃO'!$B:$B,0))="Pre-Splitting","S"))),"")</f>
        <v/>
      </c>
      <c r="R1155" s="14">
        <f t="shared" si="113"/>
        <v>2603</v>
      </c>
      <c r="S1155" s="4" t="str">
        <f>IFERROR(INDEX('LEV R&amp;D'!$D:$D,MATCH(MEDIÇÃO!R1155,'LEV R&amp;D'!$A:$A,0))-INDEX('PROJETO PERFURAÇÃO'!$AH:$AH,MATCH(MEDIÇÃO!R1155,'PROJETO PERFURAÇÃO'!$B:$B,0)),"")</f>
        <v/>
      </c>
      <c r="T1155" s="8" t="str">
        <f>IFERROR(INDEX('PROJETO PERFURAÇÃO'!$AN:$AN,MATCH(MEDIÇÃO!R1155,'PROJETO PERFURAÇÃO'!$B:$B,0)),"")</f>
        <v/>
      </c>
      <c r="U1155" s="3"/>
      <c r="V1155" s="3"/>
    </row>
    <row r="1156" spans="2:22" ht="45" customHeight="1" x14ac:dyDescent="0.25">
      <c r="B1156" s="3" t="str">
        <f>IFERROR(ROUND(INDEX('PROJETO PERFURAÇÃO'!$AB:$AB,MATCH(MEDIÇÃO!D1156,'PROJETO PERFURAÇÃO'!$B:$B,0)),1)&amp;"''","")</f>
        <v/>
      </c>
      <c r="C1156" s="3" t="str">
        <f>IFERROR(IF(INDEX('PROJETO PERFURAÇÃO'!$P:$P,MATCH(MEDIÇÃO!D1156,'PROJETO PERFURAÇÃO'!$B:$B,0))="Production","P",IF(INDEX('PROJETO PERFURAÇÃO'!$P:$P,MATCH(MEDIÇÃO!D1156,'PROJETO PERFURAÇÃO'!$B:$B,0))="Buffer","B",IF(INDEX('PROJETO PERFURAÇÃO'!$P:$P,MATCH(MEDIÇÃO!D1156,'PROJETO PERFURAÇÃO'!$B:$B,0))="Pre-Splitting","S"))),"")</f>
        <v/>
      </c>
      <c r="D1156" s="14">
        <f t="shared" si="111"/>
        <v>2558</v>
      </c>
      <c r="E1156" s="4" t="str">
        <f>IFERROR(INDEX('LEV R&amp;D'!$D:$D,MATCH(MEDIÇÃO!D1156,'LEV R&amp;D'!$A:$A,0))-INDEX('PROJETO PERFURAÇÃO'!$AH:$AH,MATCH(MEDIÇÃO!D1156,'PROJETO PERFURAÇÃO'!$B:$B,0)),"")</f>
        <v/>
      </c>
      <c r="F1156" s="8" t="str">
        <f>IFERROR(INDEX('PROJETO PERFURAÇÃO'!$AN:$AN,MATCH(MEDIÇÃO!D1156,'PROJETO PERFURAÇÃO'!$B:$B,0)),"")</f>
        <v/>
      </c>
      <c r="G1156" s="3"/>
      <c r="H1156" s="3"/>
      <c r="I1156" s="3" t="str">
        <f>IFERROR(ROUND(INDEX('PROJETO PERFURAÇÃO'!$AB:$AB,MATCH(MEDIÇÃO!K1156,'PROJETO PERFURAÇÃO'!$B:$B,0)),1)&amp;"''","")</f>
        <v/>
      </c>
      <c r="J1156" s="3" t="str">
        <f>IFERROR(IF(INDEX('PROJETO PERFURAÇÃO'!$P:$P,MATCH(MEDIÇÃO!K1156,'PROJETO PERFURAÇÃO'!$B:$B,0))="Production","P",IF(INDEX('PROJETO PERFURAÇÃO'!$P:$P,MATCH(MEDIÇÃO!K1156,'PROJETO PERFURAÇÃO'!$B:$B,0))="Buffer","B",IF(INDEX('PROJETO PERFURAÇÃO'!$P:$P,MATCH(MEDIÇÃO!K1156,'PROJETO PERFURAÇÃO'!$B:$B,0))="Pre-Splitting","S"))),"")</f>
        <v/>
      </c>
      <c r="K1156" s="14">
        <f t="shared" si="112"/>
        <v>2581</v>
      </c>
      <c r="L1156" s="4" t="str">
        <f>IFERROR(INDEX('LEV R&amp;D'!$D:$D,MATCH(MEDIÇÃO!K1156,'LEV R&amp;D'!$A:$A,0))-INDEX('PROJETO PERFURAÇÃO'!$AH:$AH,MATCH(MEDIÇÃO!K1156,'PROJETO PERFURAÇÃO'!$B:$B,0)),"")</f>
        <v/>
      </c>
      <c r="M1156" s="8" t="str">
        <f>IFERROR(INDEX('PROJETO PERFURAÇÃO'!$AN:$AN,MATCH(MEDIÇÃO!K1156,'PROJETO PERFURAÇÃO'!$B:$B,0)),"")</f>
        <v/>
      </c>
      <c r="N1156" s="3"/>
      <c r="O1156" s="3"/>
      <c r="P1156" s="3" t="str">
        <f>IFERROR(ROUND(INDEX('PROJETO PERFURAÇÃO'!$AB:$AB,MATCH(MEDIÇÃO!R1156,'PROJETO PERFURAÇÃO'!$B:$B,0)),1)&amp;"''","")</f>
        <v/>
      </c>
      <c r="Q1156" s="3" t="str">
        <f>IFERROR(IF(INDEX('PROJETO PERFURAÇÃO'!$P:$P,MATCH(MEDIÇÃO!R1156,'PROJETO PERFURAÇÃO'!$B:$B,0))="Production","P",IF(INDEX('PROJETO PERFURAÇÃO'!$P:$P,MATCH(MEDIÇÃO!R1156,'PROJETO PERFURAÇÃO'!$B:$B,0))="Buffer","B",IF(INDEX('PROJETO PERFURAÇÃO'!$P:$P,MATCH(MEDIÇÃO!R1156,'PROJETO PERFURAÇÃO'!$B:$B,0))="Pre-Splitting","S"))),"")</f>
        <v/>
      </c>
      <c r="R1156" s="14">
        <f t="shared" si="113"/>
        <v>2604</v>
      </c>
      <c r="S1156" s="4" t="str">
        <f>IFERROR(INDEX('LEV R&amp;D'!$D:$D,MATCH(MEDIÇÃO!R1156,'LEV R&amp;D'!$A:$A,0))-INDEX('PROJETO PERFURAÇÃO'!$AH:$AH,MATCH(MEDIÇÃO!R1156,'PROJETO PERFURAÇÃO'!$B:$B,0)),"")</f>
        <v/>
      </c>
      <c r="T1156" s="8" t="str">
        <f>IFERROR(INDEX('PROJETO PERFURAÇÃO'!$AN:$AN,MATCH(MEDIÇÃO!R1156,'PROJETO PERFURAÇÃO'!$B:$B,0)),"")</f>
        <v/>
      </c>
      <c r="U1156" s="3"/>
      <c r="V1156" s="3"/>
    </row>
    <row r="1157" spans="2:22" ht="45" customHeight="1" x14ac:dyDescent="0.25">
      <c r="B1157" s="3" t="str">
        <f>IFERROR(ROUND(INDEX('PROJETO PERFURAÇÃO'!$AB:$AB,MATCH(MEDIÇÃO!D1157,'PROJETO PERFURAÇÃO'!$B:$B,0)),1)&amp;"''","")</f>
        <v/>
      </c>
      <c r="C1157" s="3" t="str">
        <f>IFERROR(IF(INDEX('PROJETO PERFURAÇÃO'!$P:$P,MATCH(MEDIÇÃO!D1157,'PROJETO PERFURAÇÃO'!$B:$B,0))="Production","P",IF(INDEX('PROJETO PERFURAÇÃO'!$P:$P,MATCH(MEDIÇÃO!D1157,'PROJETO PERFURAÇÃO'!$B:$B,0))="Buffer","B",IF(INDEX('PROJETO PERFURAÇÃO'!$P:$P,MATCH(MEDIÇÃO!D1157,'PROJETO PERFURAÇÃO'!$B:$B,0))="Pre-Splitting","S"))),"")</f>
        <v/>
      </c>
      <c r="D1157" s="14">
        <f t="shared" si="111"/>
        <v>2559</v>
      </c>
      <c r="E1157" s="4" t="str">
        <f>IFERROR(INDEX('LEV R&amp;D'!$D:$D,MATCH(MEDIÇÃO!D1157,'LEV R&amp;D'!$A:$A,0))-INDEX('PROJETO PERFURAÇÃO'!$AH:$AH,MATCH(MEDIÇÃO!D1157,'PROJETO PERFURAÇÃO'!$B:$B,0)),"")</f>
        <v/>
      </c>
      <c r="F1157" s="8" t="str">
        <f>IFERROR(INDEX('PROJETO PERFURAÇÃO'!$AN:$AN,MATCH(MEDIÇÃO!D1157,'PROJETO PERFURAÇÃO'!$B:$B,0)),"")</f>
        <v/>
      </c>
      <c r="G1157" s="3"/>
      <c r="H1157" s="3"/>
      <c r="I1157" s="3" t="str">
        <f>IFERROR(ROUND(INDEX('PROJETO PERFURAÇÃO'!$AB:$AB,MATCH(MEDIÇÃO!K1157,'PROJETO PERFURAÇÃO'!$B:$B,0)),1)&amp;"''","")</f>
        <v/>
      </c>
      <c r="J1157" s="3" t="str">
        <f>IFERROR(IF(INDEX('PROJETO PERFURAÇÃO'!$P:$P,MATCH(MEDIÇÃO!K1157,'PROJETO PERFURAÇÃO'!$B:$B,0))="Production","P",IF(INDEX('PROJETO PERFURAÇÃO'!$P:$P,MATCH(MEDIÇÃO!K1157,'PROJETO PERFURAÇÃO'!$B:$B,0))="Buffer","B",IF(INDEX('PROJETO PERFURAÇÃO'!$P:$P,MATCH(MEDIÇÃO!K1157,'PROJETO PERFURAÇÃO'!$B:$B,0))="Pre-Splitting","S"))),"")</f>
        <v/>
      </c>
      <c r="K1157" s="14">
        <f t="shared" si="112"/>
        <v>2582</v>
      </c>
      <c r="L1157" s="4" t="str">
        <f>IFERROR(INDEX('LEV R&amp;D'!$D:$D,MATCH(MEDIÇÃO!K1157,'LEV R&amp;D'!$A:$A,0))-INDEX('PROJETO PERFURAÇÃO'!$AH:$AH,MATCH(MEDIÇÃO!K1157,'PROJETO PERFURAÇÃO'!$B:$B,0)),"")</f>
        <v/>
      </c>
      <c r="M1157" s="8" t="str">
        <f>IFERROR(INDEX('PROJETO PERFURAÇÃO'!$AN:$AN,MATCH(MEDIÇÃO!K1157,'PROJETO PERFURAÇÃO'!$B:$B,0)),"")</f>
        <v/>
      </c>
      <c r="N1157" s="3"/>
      <c r="O1157" s="3"/>
      <c r="P1157" s="3" t="str">
        <f>IFERROR(ROUND(INDEX('PROJETO PERFURAÇÃO'!$AB:$AB,MATCH(MEDIÇÃO!R1157,'PROJETO PERFURAÇÃO'!$B:$B,0)),1)&amp;"''","")</f>
        <v/>
      </c>
      <c r="Q1157" s="3" t="str">
        <f>IFERROR(IF(INDEX('PROJETO PERFURAÇÃO'!$P:$P,MATCH(MEDIÇÃO!R1157,'PROJETO PERFURAÇÃO'!$B:$B,0))="Production","P",IF(INDEX('PROJETO PERFURAÇÃO'!$P:$P,MATCH(MEDIÇÃO!R1157,'PROJETO PERFURAÇÃO'!$B:$B,0))="Buffer","B",IF(INDEX('PROJETO PERFURAÇÃO'!$P:$P,MATCH(MEDIÇÃO!R1157,'PROJETO PERFURAÇÃO'!$B:$B,0))="Pre-Splitting","S"))),"")</f>
        <v/>
      </c>
      <c r="R1157" s="14">
        <f t="shared" si="113"/>
        <v>2605</v>
      </c>
      <c r="S1157" s="4" t="str">
        <f>IFERROR(INDEX('LEV R&amp;D'!$D:$D,MATCH(MEDIÇÃO!R1157,'LEV R&amp;D'!$A:$A,0))-INDEX('PROJETO PERFURAÇÃO'!$AH:$AH,MATCH(MEDIÇÃO!R1157,'PROJETO PERFURAÇÃO'!$B:$B,0)),"")</f>
        <v/>
      </c>
      <c r="T1157" s="8" t="str">
        <f>IFERROR(INDEX('PROJETO PERFURAÇÃO'!$AN:$AN,MATCH(MEDIÇÃO!R1157,'PROJETO PERFURAÇÃO'!$B:$B,0)),"")</f>
        <v/>
      </c>
      <c r="U1157" s="3"/>
      <c r="V1157" s="3"/>
    </row>
    <row r="1158" spans="2:22" ht="45" customHeight="1" x14ac:dyDescent="0.25">
      <c r="B1158" s="3" t="str">
        <f>IFERROR(ROUND(INDEX('PROJETO PERFURAÇÃO'!$AB:$AB,MATCH(MEDIÇÃO!D1158,'PROJETO PERFURAÇÃO'!$B:$B,0)),1)&amp;"''","")</f>
        <v/>
      </c>
      <c r="C1158" s="3" t="str">
        <f>IFERROR(IF(INDEX('PROJETO PERFURAÇÃO'!$P:$P,MATCH(MEDIÇÃO!D1158,'PROJETO PERFURAÇÃO'!$B:$B,0))="Production","P",IF(INDEX('PROJETO PERFURAÇÃO'!$P:$P,MATCH(MEDIÇÃO!D1158,'PROJETO PERFURAÇÃO'!$B:$B,0))="Buffer","B",IF(INDEX('PROJETO PERFURAÇÃO'!$P:$P,MATCH(MEDIÇÃO!D1158,'PROJETO PERFURAÇÃO'!$B:$B,0))="Pre-Splitting","S"))),"")</f>
        <v/>
      </c>
      <c r="D1158" s="14">
        <f t="shared" si="111"/>
        <v>2560</v>
      </c>
      <c r="E1158" s="4" t="str">
        <f>IFERROR(INDEX('LEV R&amp;D'!$D:$D,MATCH(MEDIÇÃO!D1158,'LEV R&amp;D'!$A:$A,0))-INDEX('PROJETO PERFURAÇÃO'!$AH:$AH,MATCH(MEDIÇÃO!D1158,'PROJETO PERFURAÇÃO'!$B:$B,0)),"")</f>
        <v/>
      </c>
      <c r="F1158" s="8" t="str">
        <f>IFERROR(INDEX('PROJETO PERFURAÇÃO'!$AN:$AN,MATCH(MEDIÇÃO!D1158,'PROJETO PERFURAÇÃO'!$B:$B,0)),"")</f>
        <v/>
      </c>
      <c r="G1158" s="3"/>
      <c r="H1158" s="3"/>
      <c r="I1158" s="3" t="str">
        <f>IFERROR(ROUND(INDEX('PROJETO PERFURAÇÃO'!$AB:$AB,MATCH(MEDIÇÃO!K1158,'PROJETO PERFURAÇÃO'!$B:$B,0)),1)&amp;"''","")</f>
        <v/>
      </c>
      <c r="J1158" s="3" t="str">
        <f>IFERROR(IF(INDEX('PROJETO PERFURAÇÃO'!$P:$P,MATCH(MEDIÇÃO!K1158,'PROJETO PERFURAÇÃO'!$B:$B,0))="Production","P",IF(INDEX('PROJETO PERFURAÇÃO'!$P:$P,MATCH(MEDIÇÃO!K1158,'PROJETO PERFURAÇÃO'!$B:$B,0))="Buffer","B",IF(INDEX('PROJETO PERFURAÇÃO'!$P:$P,MATCH(MEDIÇÃO!K1158,'PROJETO PERFURAÇÃO'!$B:$B,0))="Pre-Splitting","S"))),"")</f>
        <v/>
      </c>
      <c r="K1158" s="14">
        <f t="shared" si="112"/>
        <v>2583</v>
      </c>
      <c r="L1158" s="4" t="str">
        <f>IFERROR(INDEX('LEV R&amp;D'!$D:$D,MATCH(MEDIÇÃO!K1158,'LEV R&amp;D'!$A:$A,0))-INDEX('PROJETO PERFURAÇÃO'!$AH:$AH,MATCH(MEDIÇÃO!K1158,'PROJETO PERFURAÇÃO'!$B:$B,0)),"")</f>
        <v/>
      </c>
      <c r="M1158" s="8" t="str">
        <f>IFERROR(INDEX('PROJETO PERFURAÇÃO'!$AN:$AN,MATCH(MEDIÇÃO!K1158,'PROJETO PERFURAÇÃO'!$B:$B,0)),"")</f>
        <v/>
      </c>
      <c r="N1158" s="3"/>
      <c r="O1158" s="3"/>
      <c r="P1158" s="3" t="str">
        <f>IFERROR(ROUND(INDEX('PROJETO PERFURAÇÃO'!$AB:$AB,MATCH(MEDIÇÃO!R1158,'PROJETO PERFURAÇÃO'!$B:$B,0)),1)&amp;"''","")</f>
        <v/>
      </c>
      <c r="Q1158" s="3" t="str">
        <f>IFERROR(IF(INDEX('PROJETO PERFURAÇÃO'!$P:$P,MATCH(MEDIÇÃO!R1158,'PROJETO PERFURAÇÃO'!$B:$B,0))="Production","P",IF(INDEX('PROJETO PERFURAÇÃO'!$P:$P,MATCH(MEDIÇÃO!R1158,'PROJETO PERFURAÇÃO'!$B:$B,0))="Buffer","B",IF(INDEX('PROJETO PERFURAÇÃO'!$P:$P,MATCH(MEDIÇÃO!R1158,'PROJETO PERFURAÇÃO'!$B:$B,0))="Pre-Splitting","S"))),"")</f>
        <v/>
      </c>
      <c r="R1158" s="14">
        <f t="shared" si="113"/>
        <v>2606</v>
      </c>
      <c r="S1158" s="4" t="str">
        <f>IFERROR(INDEX('LEV R&amp;D'!$D:$D,MATCH(MEDIÇÃO!R1158,'LEV R&amp;D'!$A:$A,0))-INDEX('PROJETO PERFURAÇÃO'!$AH:$AH,MATCH(MEDIÇÃO!R1158,'PROJETO PERFURAÇÃO'!$B:$B,0)),"")</f>
        <v/>
      </c>
      <c r="T1158" s="8" t="str">
        <f>IFERROR(INDEX('PROJETO PERFURAÇÃO'!$AN:$AN,MATCH(MEDIÇÃO!R1158,'PROJETO PERFURAÇÃO'!$B:$B,0)),"")</f>
        <v/>
      </c>
      <c r="U1158" s="3"/>
      <c r="V1158" s="3"/>
    </row>
    <row r="1159" spans="2:22" ht="45" customHeight="1" x14ac:dyDescent="0.25">
      <c r="B1159" s="3" t="str">
        <f>IFERROR(ROUND(INDEX('PROJETO PERFURAÇÃO'!$AB:$AB,MATCH(MEDIÇÃO!D1159,'PROJETO PERFURAÇÃO'!$B:$B,0)),1)&amp;"''","")</f>
        <v/>
      </c>
      <c r="C1159" s="3" t="str">
        <f>IFERROR(IF(INDEX('PROJETO PERFURAÇÃO'!$P:$P,MATCH(MEDIÇÃO!D1159,'PROJETO PERFURAÇÃO'!$B:$B,0))="Production","P",IF(INDEX('PROJETO PERFURAÇÃO'!$P:$P,MATCH(MEDIÇÃO!D1159,'PROJETO PERFURAÇÃO'!$B:$B,0))="Buffer","B",IF(INDEX('PROJETO PERFURAÇÃO'!$P:$P,MATCH(MEDIÇÃO!D1159,'PROJETO PERFURAÇÃO'!$B:$B,0))="Pre-Splitting","S"))),"")</f>
        <v/>
      </c>
      <c r="D1159" s="14">
        <f t="shared" si="111"/>
        <v>2561</v>
      </c>
      <c r="E1159" s="4" t="str">
        <f>IFERROR(INDEX('LEV R&amp;D'!$D:$D,MATCH(MEDIÇÃO!D1159,'LEV R&amp;D'!$A:$A,0))-INDEX('PROJETO PERFURAÇÃO'!$AH:$AH,MATCH(MEDIÇÃO!D1159,'PROJETO PERFURAÇÃO'!$B:$B,0)),"")</f>
        <v/>
      </c>
      <c r="F1159" s="8" t="str">
        <f>IFERROR(INDEX('PROJETO PERFURAÇÃO'!$AN:$AN,MATCH(MEDIÇÃO!D1159,'PROJETO PERFURAÇÃO'!$B:$B,0)),"")</f>
        <v/>
      </c>
      <c r="G1159" s="3"/>
      <c r="H1159" s="3"/>
      <c r="I1159" s="3" t="str">
        <f>IFERROR(ROUND(INDEX('PROJETO PERFURAÇÃO'!$AB:$AB,MATCH(MEDIÇÃO!K1159,'PROJETO PERFURAÇÃO'!$B:$B,0)),1)&amp;"''","")</f>
        <v/>
      </c>
      <c r="J1159" s="3" t="str">
        <f>IFERROR(IF(INDEX('PROJETO PERFURAÇÃO'!$P:$P,MATCH(MEDIÇÃO!K1159,'PROJETO PERFURAÇÃO'!$B:$B,0))="Production","P",IF(INDEX('PROJETO PERFURAÇÃO'!$P:$P,MATCH(MEDIÇÃO!K1159,'PROJETO PERFURAÇÃO'!$B:$B,0))="Buffer","B",IF(INDEX('PROJETO PERFURAÇÃO'!$P:$P,MATCH(MEDIÇÃO!K1159,'PROJETO PERFURAÇÃO'!$B:$B,0))="Pre-Splitting","S"))),"")</f>
        <v/>
      </c>
      <c r="K1159" s="14">
        <f t="shared" si="112"/>
        <v>2584</v>
      </c>
      <c r="L1159" s="4" t="str">
        <f>IFERROR(INDEX('LEV R&amp;D'!$D:$D,MATCH(MEDIÇÃO!K1159,'LEV R&amp;D'!$A:$A,0))-INDEX('PROJETO PERFURAÇÃO'!$AH:$AH,MATCH(MEDIÇÃO!K1159,'PROJETO PERFURAÇÃO'!$B:$B,0)),"")</f>
        <v/>
      </c>
      <c r="M1159" s="8" t="str">
        <f>IFERROR(INDEX('PROJETO PERFURAÇÃO'!$AN:$AN,MATCH(MEDIÇÃO!K1159,'PROJETO PERFURAÇÃO'!$B:$B,0)),"")</f>
        <v/>
      </c>
      <c r="N1159" s="3"/>
      <c r="O1159" s="3"/>
      <c r="P1159" s="3" t="str">
        <f>IFERROR(ROUND(INDEX('PROJETO PERFURAÇÃO'!$AB:$AB,MATCH(MEDIÇÃO!R1159,'PROJETO PERFURAÇÃO'!$B:$B,0)),1)&amp;"''","")</f>
        <v/>
      </c>
      <c r="Q1159" s="3" t="str">
        <f>IFERROR(IF(INDEX('PROJETO PERFURAÇÃO'!$P:$P,MATCH(MEDIÇÃO!R1159,'PROJETO PERFURAÇÃO'!$B:$B,0))="Production","P",IF(INDEX('PROJETO PERFURAÇÃO'!$P:$P,MATCH(MEDIÇÃO!R1159,'PROJETO PERFURAÇÃO'!$B:$B,0))="Buffer","B",IF(INDEX('PROJETO PERFURAÇÃO'!$P:$P,MATCH(MEDIÇÃO!R1159,'PROJETO PERFURAÇÃO'!$B:$B,0))="Pre-Splitting","S"))),"")</f>
        <v/>
      </c>
      <c r="R1159" s="14">
        <f t="shared" si="113"/>
        <v>2607</v>
      </c>
      <c r="S1159" s="4" t="str">
        <f>IFERROR(INDEX('LEV R&amp;D'!$D:$D,MATCH(MEDIÇÃO!R1159,'LEV R&amp;D'!$A:$A,0))-INDEX('PROJETO PERFURAÇÃO'!$AH:$AH,MATCH(MEDIÇÃO!R1159,'PROJETO PERFURAÇÃO'!$B:$B,0)),"")</f>
        <v/>
      </c>
      <c r="T1159" s="8" t="str">
        <f>IFERROR(INDEX('PROJETO PERFURAÇÃO'!$AN:$AN,MATCH(MEDIÇÃO!R1159,'PROJETO PERFURAÇÃO'!$B:$B,0)),"")</f>
        <v/>
      </c>
      <c r="U1159" s="3"/>
      <c r="V1159" s="3"/>
    </row>
    <row r="1160" spans="2:22" ht="45" customHeight="1" x14ac:dyDescent="0.25">
      <c r="B1160" s="3" t="str">
        <f>IFERROR(ROUND(INDEX('PROJETO PERFURAÇÃO'!$AB:$AB,MATCH(MEDIÇÃO!D1160,'PROJETO PERFURAÇÃO'!$B:$B,0)),1)&amp;"''","")</f>
        <v/>
      </c>
      <c r="C1160" s="3" t="str">
        <f>IFERROR(IF(INDEX('PROJETO PERFURAÇÃO'!$P:$P,MATCH(MEDIÇÃO!D1160,'PROJETO PERFURAÇÃO'!$B:$B,0))="Production","P",IF(INDEX('PROJETO PERFURAÇÃO'!$P:$P,MATCH(MEDIÇÃO!D1160,'PROJETO PERFURAÇÃO'!$B:$B,0))="Buffer","B",IF(INDEX('PROJETO PERFURAÇÃO'!$P:$P,MATCH(MEDIÇÃO!D1160,'PROJETO PERFURAÇÃO'!$B:$B,0))="Pre-Splitting","S"))),"")</f>
        <v/>
      </c>
      <c r="D1160" s="14">
        <f t="shared" si="111"/>
        <v>2562</v>
      </c>
      <c r="E1160" s="4" t="str">
        <f>IFERROR(INDEX('LEV R&amp;D'!$D:$D,MATCH(MEDIÇÃO!D1160,'LEV R&amp;D'!$A:$A,0))-INDEX('PROJETO PERFURAÇÃO'!$AH:$AH,MATCH(MEDIÇÃO!D1160,'PROJETO PERFURAÇÃO'!$B:$B,0)),"")</f>
        <v/>
      </c>
      <c r="F1160" s="8" t="str">
        <f>IFERROR(INDEX('PROJETO PERFURAÇÃO'!$AN:$AN,MATCH(MEDIÇÃO!D1160,'PROJETO PERFURAÇÃO'!$B:$B,0)),"")</f>
        <v/>
      </c>
      <c r="G1160" s="3"/>
      <c r="H1160" s="3"/>
      <c r="I1160" s="3" t="str">
        <f>IFERROR(ROUND(INDEX('PROJETO PERFURAÇÃO'!$AB:$AB,MATCH(MEDIÇÃO!K1160,'PROJETO PERFURAÇÃO'!$B:$B,0)),1)&amp;"''","")</f>
        <v/>
      </c>
      <c r="J1160" s="3" t="str">
        <f>IFERROR(IF(INDEX('PROJETO PERFURAÇÃO'!$P:$P,MATCH(MEDIÇÃO!K1160,'PROJETO PERFURAÇÃO'!$B:$B,0))="Production","P",IF(INDEX('PROJETO PERFURAÇÃO'!$P:$P,MATCH(MEDIÇÃO!K1160,'PROJETO PERFURAÇÃO'!$B:$B,0))="Buffer","B",IF(INDEX('PROJETO PERFURAÇÃO'!$P:$P,MATCH(MEDIÇÃO!K1160,'PROJETO PERFURAÇÃO'!$B:$B,0))="Pre-Splitting","S"))),"")</f>
        <v/>
      </c>
      <c r="K1160" s="14">
        <f t="shared" si="112"/>
        <v>2585</v>
      </c>
      <c r="L1160" s="4" t="str">
        <f>IFERROR(INDEX('LEV R&amp;D'!$D:$D,MATCH(MEDIÇÃO!K1160,'LEV R&amp;D'!$A:$A,0))-INDEX('PROJETO PERFURAÇÃO'!$AH:$AH,MATCH(MEDIÇÃO!K1160,'PROJETO PERFURAÇÃO'!$B:$B,0)),"")</f>
        <v/>
      </c>
      <c r="M1160" s="8" t="str">
        <f>IFERROR(INDEX('PROJETO PERFURAÇÃO'!$AN:$AN,MATCH(MEDIÇÃO!K1160,'PROJETO PERFURAÇÃO'!$B:$B,0)),"")</f>
        <v/>
      </c>
      <c r="N1160" s="3"/>
      <c r="O1160" s="3"/>
      <c r="P1160" s="3" t="str">
        <f>IFERROR(ROUND(INDEX('PROJETO PERFURAÇÃO'!$AB:$AB,MATCH(MEDIÇÃO!R1160,'PROJETO PERFURAÇÃO'!$B:$B,0)),1)&amp;"''","")</f>
        <v/>
      </c>
      <c r="Q1160" s="3" t="str">
        <f>IFERROR(IF(INDEX('PROJETO PERFURAÇÃO'!$P:$P,MATCH(MEDIÇÃO!R1160,'PROJETO PERFURAÇÃO'!$B:$B,0))="Production","P",IF(INDEX('PROJETO PERFURAÇÃO'!$P:$P,MATCH(MEDIÇÃO!R1160,'PROJETO PERFURAÇÃO'!$B:$B,0))="Buffer","B",IF(INDEX('PROJETO PERFURAÇÃO'!$P:$P,MATCH(MEDIÇÃO!R1160,'PROJETO PERFURAÇÃO'!$B:$B,0))="Pre-Splitting","S"))),"")</f>
        <v/>
      </c>
      <c r="R1160" s="14">
        <f t="shared" si="113"/>
        <v>2608</v>
      </c>
      <c r="S1160" s="4" t="str">
        <f>IFERROR(INDEX('LEV R&amp;D'!$D:$D,MATCH(MEDIÇÃO!R1160,'LEV R&amp;D'!$A:$A,0))-INDEX('PROJETO PERFURAÇÃO'!$AH:$AH,MATCH(MEDIÇÃO!R1160,'PROJETO PERFURAÇÃO'!$B:$B,0)),"")</f>
        <v/>
      </c>
      <c r="T1160" s="8" t="str">
        <f>IFERROR(INDEX('PROJETO PERFURAÇÃO'!$AN:$AN,MATCH(MEDIÇÃO!R1160,'PROJETO PERFURAÇÃO'!$B:$B,0)),"")</f>
        <v/>
      </c>
      <c r="U1160" s="3"/>
      <c r="V1160" s="3"/>
    </row>
    <row r="1161" spans="2:22" ht="45" customHeight="1" x14ac:dyDescent="0.25">
      <c r="B1161" s="3" t="str">
        <f>IFERROR(ROUND(INDEX('PROJETO PERFURAÇÃO'!$AB:$AB,MATCH(MEDIÇÃO!D1161,'PROJETO PERFURAÇÃO'!$B:$B,0)),1)&amp;"''","")</f>
        <v/>
      </c>
      <c r="C1161" s="3" t="str">
        <f>IFERROR(IF(INDEX('PROJETO PERFURAÇÃO'!$P:$P,MATCH(MEDIÇÃO!D1161,'PROJETO PERFURAÇÃO'!$B:$B,0))="Production","P",IF(INDEX('PROJETO PERFURAÇÃO'!$P:$P,MATCH(MEDIÇÃO!D1161,'PROJETO PERFURAÇÃO'!$B:$B,0))="Buffer","B",IF(INDEX('PROJETO PERFURAÇÃO'!$P:$P,MATCH(MEDIÇÃO!D1161,'PROJETO PERFURAÇÃO'!$B:$B,0))="Pre-Splitting","S"))),"")</f>
        <v/>
      </c>
      <c r="D1161" s="14">
        <f t="shared" si="111"/>
        <v>2563</v>
      </c>
      <c r="E1161" s="4" t="str">
        <f>IFERROR(INDEX('LEV R&amp;D'!$D:$D,MATCH(MEDIÇÃO!D1161,'LEV R&amp;D'!$A:$A,0))-INDEX('PROJETO PERFURAÇÃO'!$AH:$AH,MATCH(MEDIÇÃO!D1161,'PROJETO PERFURAÇÃO'!$B:$B,0)),"")</f>
        <v/>
      </c>
      <c r="F1161" s="8" t="str">
        <f>IFERROR(INDEX('PROJETO PERFURAÇÃO'!$AN:$AN,MATCH(MEDIÇÃO!D1161,'PROJETO PERFURAÇÃO'!$B:$B,0)),"")</f>
        <v/>
      </c>
      <c r="G1161" s="3"/>
      <c r="H1161" s="3"/>
      <c r="I1161" s="3" t="str">
        <f>IFERROR(ROUND(INDEX('PROJETO PERFURAÇÃO'!$AB:$AB,MATCH(MEDIÇÃO!K1161,'PROJETO PERFURAÇÃO'!$B:$B,0)),1)&amp;"''","")</f>
        <v/>
      </c>
      <c r="J1161" s="3" t="str">
        <f>IFERROR(IF(INDEX('PROJETO PERFURAÇÃO'!$P:$P,MATCH(MEDIÇÃO!K1161,'PROJETO PERFURAÇÃO'!$B:$B,0))="Production","P",IF(INDEX('PROJETO PERFURAÇÃO'!$P:$P,MATCH(MEDIÇÃO!K1161,'PROJETO PERFURAÇÃO'!$B:$B,0))="Buffer","B",IF(INDEX('PROJETO PERFURAÇÃO'!$P:$P,MATCH(MEDIÇÃO!K1161,'PROJETO PERFURAÇÃO'!$B:$B,0))="Pre-Splitting","S"))),"")</f>
        <v/>
      </c>
      <c r="K1161" s="14">
        <f t="shared" si="112"/>
        <v>2586</v>
      </c>
      <c r="L1161" s="4" t="str">
        <f>IFERROR(INDEX('LEV R&amp;D'!$D:$D,MATCH(MEDIÇÃO!K1161,'LEV R&amp;D'!$A:$A,0))-INDEX('PROJETO PERFURAÇÃO'!$AH:$AH,MATCH(MEDIÇÃO!K1161,'PROJETO PERFURAÇÃO'!$B:$B,0)),"")</f>
        <v/>
      </c>
      <c r="M1161" s="8" t="str">
        <f>IFERROR(INDEX('PROJETO PERFURAÇÃO'!$AN:$AN,MATCH(MEDIÇÃO!K1161,'PROJETO PERFURAÇÃO'!$B:$B,0)),"")</f>
        <v/>
      </c>
      <c r="N1161" s="3"/>
      <c r="O1161" s="3"/>
      <c r="P1161" s="3" t="str">
        <f>IFERROR(ROUND(INDEX('PROJETO PERFURAÇÃO'!$AB:$AB,MATCH(MEDIÇÃO!R1161,'PROJETO PERFURAÇÃO'!$B:$B,0)),1)&amp;"''","")</f>
        <v/>
      </c>
      <c r="Q1161" s="3" t="str">
        <f>IFERROR(IF(INDEX('PROJETO PERFURAÇÃO'!$P:$P,MATCH(MEDIÇÃO!R1161,'PROJETO PERFURAÇÃO'!$B:$B,0))="Production","P",IF(INDEX('PROJETO PERFURAÇÃO'!$P:$P,MATCH(MEDIÇÃO!R1161,'PROJETO PERFURAÇÃO'!$B:$B,0))="Buffer","B",IF(INDEX('PROJETO PERFURAÇÃO'!$P:$P,MATCH(MEDIÇÃO!R1161,'PROJETO PERFURAÇÃO'!$B:$B,0))="Pre-Splitting","S"))),"")</f>
        <v/>
      </c>
      <c r="R1161" s="14">
        <f t="shared" si="113"/>
        <v>2609</v>
      </c>
      <c r="S1161" s="4" t="str">
        <f>IFERROR(INDEX('LEV R&amp;D'!$D:$D,MATCH(MEDIÇÃO!R1161,'LEV R&amp;D'!$A:$A,0))-INDEX('PROJETO PERFURAÇÃO'!$AH:$AH,MATCH(MEDIÇÃO!R1161,'PROJETO PERFURAÇÃO'!$B:$B,0)),"")</f>
        <v/>
      </c>
      <c r="T1161" s="8" t="str">
        <f>IFERROR(INDEX('PROJETO PERFURAÇÃO'!$AN:$AN,MATCH(MEDIÇÃO!R1161,'PROJETO PERFURAÇÃO'!$B:$B,0)),"")</f>
        <v/>
      </c>
      <c r="U1161" s="3"/>
      <c r="V1161" s="3"/>
    </row>
    <row r="1162" spans="2:22" ht="45" customHeight="1" x14ac:dyDescent="0.25">
      <c r="B1162" s="3" t="str">
        <f>IFERROR(ROUND(INDEX('PROJETO PERFURAÇÃO'!$AB:$AB,MATCH(MEDIÇÃO!D1162,'PROJETO PERFURAÇÃO'!$B:$B,0)),1)&amp;"''","")</f>
        <v/>
      </c>
      <c r="C1162" s="3" t="str">
        <f>IFERROR(IF(INDEX('PROJETO PERFURAÇÃO'!$P:$P,MATCH(MEDIÇÃO!D1162,'PROJETO PERFURAÇÃO'!$B:$B,0))="Production","P",IF(INDEX('PROJETO PERFURAÇÃO'!$P:$P,MATCH(MEDIÇÃO!D1162,'PROJETO PERFURAÇÃO'!$B:$B,0))="Buffer","B",IF(INDEX('PROJETO PERFURAÇÃO'!$P:$P,MATCH(MEDIÇÃO!D1162,'PROJETO PERFURAÇÃO'!$B:$B,0))="Pre-Splitting","S"))),"")</f>
        <v/>
      </c>
      <c r="D1162" s="14">
        <f t="shared" si="111"/>
        <v>2564</v>
      </c>
      <c r="E1162" s="4" t="str">
        <f>IFERROR(INDEX('LEV R&amp;D'!$D:$D,MATCH(MEDIÇÃO!D1162,'LEV R&amp;D'!$A:$A,0))-INDEX('PROJETO PERFURAÇÃO'!$AH:$AH,MATCH(MEDIÇÃO!D1162,'PROJETO PERFURAÇÃO'!$B:$B,0)),"")</f>
        <v/>
      </c>
      <c r="F1162" s="8" t="str">
        <f>IFERROR(INDEX('PROJETO PERFURAÇÃO'!$AN:$AN,MATCH(MEDIÇÃO!D1162,'PROJETO PERFURAÇÃO'!$B:$B,0)),"")</f>
        <v/>
      </c>
      <c r="G1162" s="3"/>
      <c r="H1162" s="3"/>
      <c r="I1162" s="3" t="str">
        <f>IFERROR(ROUND(INDEX('PROJETO PERFURAÇÃO'!$AB:$AB,MATCH(MEDIÇÃO!K1162,'PROJETO PERFURAÇÃO'!$B:$B,0)),1)&amp;"''","")</f>
        <v/>
      </c>
      <c r="J1162" s="3" t="str">
        <f>IFERROR(IF(INDEX('PROJETO PERFURAÇÃO'!$P:$P,MATCH(MEDIÇÃO!K1162,'PROJETO PERFURAÇÃO'!$B:$B,0))="Production","P",IF(INDEX('PROJETO PERFURAÇÃO'!$P:$P,MATCH(MEDIÇÃO!K1162,'PROJETO PERFURAÇÃO'!$B:$B,0))="Buffer","B",IF(INDEX('PROJETO PERFURAÇÃO'!$P:$P,MATCH(MEDIÇÃO!K1162,'PROJETO PERFURAÇÃO'!$B:$B,0))="Pre-Splitting","S"))),"")</f>
        <v/>
      </c>
      <c r="K1162" s="14">
        <f t="shared" si="112"/>
        <v>2587</v>
      </c>
      <c r="L1162" s="4" t="str">
        <f>IFERROR(INDEX('LEV R&amp;D'!$D:$D,MATCH(MEDIÇÃO!K1162,'LEV R&amp;D'!$A:$A,0))-INDEX('PROJETO PERFURAÇÃO'!$AH:$AH,MATCH(MEDIÇÃO!K1162,'PROJETO PERFURAÇÃO'!$B:$B,0)),"")</f>
        <v/>
      </c>
      <c r="M1162" s="8" t="str">
        <f>IFERROR(INDEX('PROJETO PERFURAÇÃO'!$AN:$AN,MATCH(MEDIÇÃO!K1162,'PROJETO PERFURAÇÃO'!$B:$B,0)),"")</f>
        <v/>
      </c>
      <c r="N1162" s="3"/>
      <c r="O1162" s="3"/>
      <c r="P1162" s="3" t="str">
        <f>IFERROR(ROUND(INDEX('PROJETO PERFURAÇÃO'!$AB:$AB,MATCH(MEDIÇÃO!R1162,'PROJETO PERFURAÇÃO'!$B:$B,0)),1)&amp;"''","")</f>
        <v/>
      </c>
      <c r="Q1162" s="3" t="str">
        <f>IFERROR(IF(INDEX('PROJETO PERFURAÇÃO'!$P:$P,MATCH(MEDIÇÃO!R1162,'PROJETO PERFURAÇÃO'!$B:$B,0))="Production","P",IF(INDEX('PROJETO PERFURAÇÃO'!$P:$P,MATCH(MEDIÇÃO!R1162,'PROJETO PERFURAÇÃO'!$B:$B,0))="Buffer","B",IF(INDEX('PROJETO PERFURAÇÃO'!$P:$P,MATCH(MEDIÇÃO!R1162,'PROJETO PERFURAÇÃO'!$B:$B,0))="Pre-Splitting","S"))),"")</f>
        <v/>
      </c>
      <c r="R1162" s="14">
        <f t="shared" si="113"/>
        <v>2610</v>
      </c>
      <c r="S1162" s="4" t="str">
        <f>IFERROR(INDEX('LEV R&amp;D'!$D:$D,MATCH(MEDIÇÃO!R1162,'LEV R&amp;D'!$A:$A,0))-INDEX('PROJETO PERFURAÇÃO'!$AH:$AH,MATCH(MEDIÇÃO!R1162,'PROJETO PERFURAÇÃO'!$B:$B,0)),"")</f>
        <v/>
      </c>
      <c r="T1162" s="8" t="str">
        <f>IFERROR(INDEX('PROJETO PERFURAÇÃO'!$AN:$AN,MATCH(MEDIÇÃO!R1162,'PROJETO PERFURAÇÃO'!$B:$B,0)),"")</f>
        <v/>
      </c>
      <c r="U1162" s="3"/>
      <c r="V1162" s="3"/>
    </row>
    <row r="1163" spans="2:22" ht="45" customHeight="1" x14ac:dyDescent="0.25">
      <c r="B1163" s="3" t="str">
        <f>IFERROR(ROUND(INDEX('PROJETO PERFURAÇÃO'!$AB:$AB,MATCH(MEDIÇÃO!D1163,'PROJETO PERFURAÇÃO'!$B:$B,0)),1)&amp;"''","")</f>
        <v/>
      </c>
      <c r="C1163" s="3" t="str">
        <f>IFERROR(IF(INDEX('PROJETO PERFURAÇÃO'!$P:$P,MATCH(MEDIÇÃO!D1163,'PROJETO PERFURAÇÃO'!$B:$B,0))="Production","P",IF(INDEX('PROJETO PERFURAÇÃO'!$P:$P,MATCH(MEDIÇÃO!D1163,'PROJETO PERFURAÇÃO'!$B:$B,0))="Buffer","B",IF(INDEX('PROJETO PERFURAÇÃO'!$P:$P,MATCH(MEDIÇÃO!D1163,'PROJETO PERFURAÇÃO'!$B:$B,0))="Pre-Splitting","S"))),"")</f>
        <v/>
      </c>
      <c r="D1163" s="14">
        <f t="shared" si="111"/>
        <v>2565</v>
      </c>
      <c r="E1163" s="4" t="str">
        <f>IFERROR(INDEX('LEV R&amp;D'!$D:$D,MATCH(MEDIÇÃO!D1163,'LEV R&amp;D'!$A:$A,0))-INDEX('PROJETO PERFURAÇÃO'!$AH:$AH,MATCH(MEDIÇÃO!D1163,'PROJETO PERFURAÇÃO'!$B:$B,0)),"")</f>
        <v/>
      </c>
      <c r="F1163" s="8" t="str">
        <f>IFERROR(INDEX('PROJETO PERFURAÇÃO'!$AN:$AN,MATCH(MEDIÇÃO!D1163,'PROJETO PERFURAÇÃO'!$B:$B,0)),"")</f>
        <v/>
      </c>
      <c r="G1163" s="3"/>
      <c r="H1163" s="3"/>
      <c r="I1163" s="3" t="str">
        <f>IFERROR(ROUND(INDEX('PROJETO PERFURAÇÃO'!$AB:$AB,MATCH(MEDIÇÃO!K1163,'PROJETO PERFURAÇÃO'!$B:$B,0)),1)&amp;"''","")</f>
        <v/>
      </c>
      <c r="J1163" s="3" t="str">
        <f>IFERROR(IF(INDEX('PROJETO PERFURAÇÃO'!$P:$P,MATCH(MEDIÇÃO!K1163,'PROJETO PERFURAÇÃO'!$B:$B,0))="Production","P",IF(INDEX('PROJETO PERFURAÇÃO'!$P:$P,MATCH(MEDIÇÃO!K1163,'PROJETO PERFURAÇÃO'!$B:$B,0))="Buffer","B",IF(INDEX('PROJETO PERFURAÇÃO'!$P:$P,MATCH(MEDIÇÃO!K1163,'PROJETO PERFURAÇÃO'!$B:$B,0))="Pre-Splitting","S"))),"")</f>
        <v/>
      </c>
      <c r="K1163" s="14">
        <f t="shared" si="112"/>
        <v>2588</v>
      </c>
      <c r="L1163" s="4" t="str">
        <f>IFERROR(INDEX('LEV R&amp;D'!$D:$D,MATCH(MEDIÇÃO!K1163,'LEV R&amp;D'!$A:$A,0))-INDEX('PROJETO PERFURAÇÃO'!$AH:$AH,MATCH(MEDIÇÃO!K1163,'PROJETO PERFURAÇÃO'!$B:$B,0)),"")</f>
        <v/>
      </c>
      <c r="M1163" s="8" t="str">
        <f>IFERROR(INDEX('PROJETO PERFURAÇÃO'!$AN:$AN,MATCH(MEDIÇÃO!K1163,'PROJETO PERFURAÇÃO'!$B:$B,0)),"")</f>
        <v/>
      </c>
      <c r="N1163" s="3"/>
      <c r="O1163" s="3"/>
      <c r="P1163" s="3" t="str">
        <f>IFERROR(ROUND(INDEX('PROJETO PERFURAÇÃO'!$AB:$AB,MATCH(MEDIÇÃO!R1163,'PROJETO PERFURAÇÃO'!$B:$B,0)),1)&amp;"''","")</f>
        <v/>
      </c>
      <c r="Q1163" s="3" t="str">
        <f>IFERROR(IF(INDEX('PROJETO PERFURAÇÃO'!$P:$P,MATCH(MEDIÇÃO!R1163,'PROJETO PERFURAÇÃO'!$B:$B,0))="Production","P",IF(INDEX('PROJETO PERFURAÇÃO'!$P:$P,MATCH(MEDIÇÃO!R1163,'PROJETO PERFURAÇÃO'!$B:$B,0))="Buffer","B",IF(INDEX('PROJETO PERFURAÇÃO'!$P:$P,MATCH(MEDIÇÃO!R1163,'PROJETO PERFURAÇÃO'!$B:$B,0))="Pre-Splitting","S"))),"")</f>
        <v/>
      </c>
      <c r="R1163" s="14">
        <f t="shared" si="113"/>
        <v>2611</v>
      </c>
      <c r="S1163" s="4" t="str">
        <f>IFERROR(INDEX('LEV R&amp;D'!$D:$D,MATCH(MEDIÇÃO!R1163,'LEV R&amp;D'!$A:$A,0))-INDEX('PROJETO PERFURAÇÃO'!$AH:$AH,MATCH(MEDIÇÃO!R1163,'PROJETO PERFURAÇÃO'!$B:$B,0)),"")</f>
        <v/>
      </c>
      <c r="T1163" s="8" t="str">
        <f>IFERROR(INDEX('PROJETO PERFURAÇÃO'!$AN:$AN,MATCH(MEDIÇÃO!R1163,'PROJETO PERFURAÇÃO'!$B:$B,0)),"")</f>
        <v/>
      </c>
      <c r="U1163" s="3"/>
      <c r="V1163" s="3"/>
    </row>
    <row r="1164" spans="2:22" ht="45" customHeight="1" x14ac:dyDescent="0.25">
      <c r="B1164" s="3" t="str">
        <f>IFERROR(ROUND(INDEX('PROJETO PERFURAÇÃO'!$AB:$AB,MATCH(MEDIÇÃO!D1164,'PROJETO PERFURAÇÃO'!$B:$B,0)),1)&amp;"''","")</f>
        <v/>
      </c>
      <c r="C1164" s="3" t="str">
        <f>IFERROR(IF(INDEX('PROJETO PERFURAÇÃO'!$P:$P,MATCH(MEDIÇÃO!D1164,'PROJETO PERFURAÇÃO'!$B:$B,0))="Production","P",IF(INDEX('PROJETO PERFURAÇÃO'!$P:$P,MATCH(MEDIÇÃO!D1164,'PROJETO PERFURAÇÃO'!$B:$B,0))="Buffer","B",IF(INDEX('PROJETO PERFURAÇÃO'!$P:$P,MATCH(MEDIÇÃO!D1164,'PROJETO PERFURAÇÃO'!$B:$B,0))="Pre-Splitting","S"))),"")</f>
        <v/>
      </c>
      <c r="D1164" s="14">
        <f t="shared" si="111"/>
        <v>2566</v>
      </c>
      <c r="E1164" s="4" t="str">
        <f>IFERROR(INDEX('LEV R&amp;D'!$D:$D,MATCH(MEDIÇÃO!D1164,'LEV R&amp;D'!$A:$A,0))-INDEX('PROJETO PERFURAÇÃO'!$AH:$AH,MATCH(MEDIÇÃO!D1164,'PROJETO PERFURAÇÃO'!$B:$B,0)),"")</f>
        <v/>
      </c>
      <c r="F1164" s="8" t="str">
        <f>IFERROR(INDEX('PROJETO PERFURAÇÃO'!$AN:$AN,MATCH(MEDIÇÃO!D1164,'PROJETO PERFURAÇÃO'!$B:$B,0)),"")</f>
        <v/>
      </c>
      <c r="G1164" s="3"/>
      <c r="H1164" s="3"/>
      <c r="I1164" s="3" t="str">
        <f>IFERROR(ROUND(INDEX('PROJETO PERFURAÇÃO'!$AB:$AB,MATCH(MEDIÇÃO!K1164,'PROJETO PERFURAÇÃO'!$B:$B,0)),1)&amp;"''","")</f>
        <v/>
      </c>
      <c r="J1164" s="3" t="str">
        <f>IFERROR(IF(INDEX('PROJETO PERFURAÇÃO'!$P:$P,MATCH(MEDIÇÃO!K1164,'PROJETO PERFURAÇÃO'!$B:$B,0))="Production","P",IF(INDEX('PROJETO PERFURAÇÃO'!$P:$P,MATCH(MEDIÇÃO!K1164,'PROJETO PERFURAÇÃO'!$B:$B,0))="Buffer","B",IF(INDEX('PROJETO PERFURAÇÃO'!$P:$P,MATCH(MEDIÇÃO!K1164,'PROJETO PERFURAÇÃO'!$B:$B,0))="Pre-Splitting","S"))),"")</f>
        <v/>
      </c>
      <c r="K1164" s="14">
        <f t="shared" si="112"/>
        <v>2589</v>
      </c>
      <c r="L1164" s="4" t="str">
        <f>IFERROR(INDEX('LEV R&amp;D'!$D:$D,MATCH(MEDIÇÃO!K1164,'LEV R&amp;D'!$A:$A,0))-INDEX('PROJETO PERFURAÇÃO'!$AH:$AH,MATCH(MEDIÇÃO!K1164,'PROJETO PERFURAÇÃO'!$B:$B,0)),"")</f>
        <v/>
      </c>
      <c r="M1164" s="8" t="str">
        <f>IFERROR(INDEX('PROJETO PERFURAÇÃO'!$AN:$AN,MATCH(MEDIÇÃO!K1164,'PROJETO PERFURAÇÃO'!$B:$B,0)),"")</f>
        <v/>
      </c>
      <c r="N1164" s="3"/>
      <c r="O1164" s="3"/>
      <c r="P1164" s="3" t="str">
        <f>IFERROR(ROUND(INDEX('PROJETO PERFURAÇÃO'!$AB:$AB,MATCH(MEDIÇÃO!R1164,'PROJETO PERFURAÇÃO'!$B:$B,0)),1)&amp;"''","")</f>
        <v/>
      </c>
      <c r="Q1164" s="3" t="str">
        <f>IFERROR(IF(INDEX('PROJETO PERFURAÇÃO'!$P:$P,MATCH(MEDIÇÃO!R1164,'PROJETO PERFURAÇÃO'!$B:$B,0))="Production","P",IF(INDEX('PROJETO PERFURAÇÃO'!$P:$P,MATCH(MEDIÇÃO!R1164,'PROJETO PERFURAÇÃO'!$B:$B,0))="Buffer","B",IF(INDEX('PROJETO PERFURAÇÃO'!$P:$P,MATCH(MEDIÇÃO!R1164,'PROJETO PERFURAÇÃO'!$B:$B,0))="Pre-Splitting","S"))),"")</f>
        <v/>
      </c>
      <c r="R1164" s="14">
        <f t="shared" si="113"/>
        <v>2612</v>
      </c>
      <c r="S1164" s="4" t="str">
        <f>IFERROR(INDEX('LEV R&amp;D'!$D:$D,MATCH(MEDIÇÃO!R1164,'LEV R&amp;D'!$A:$A,0))-INDEX('PROJETO PERFURAÇÃO'!$AH:$AH,MATCH(MEDIÇÃO!R1164,'PROJETO PERFURAÇÃO'!$B:$B,0)),"")</f>
        <v/>
      </c>
      <c r="T1164" s="8" t="str">
        <f>IFERROR(INDEX('PROJETO PERFURAÇÃO'!$AN:$AN,MATCH(MEDIÇÃO!R1164,'PROJETO PERFURAÇÃO'!$B:$B,0)),"")</f>
        <v/>
      </c>
      <c r="U1164" s="3"/>
      <c r="V1164" s="3"/>
    </row>
    <row r="1165" spans="2:22" ht="45" customHeight="1" x14ac:dyDescent="0.25">
      <c r="B1165" s="3" t="str">
        <f>IFERROR(ROUND(INDEX('PROJETO PERFURAÇÃO'!$AB:$AB,MATCH(MEDIÇÃO!D1165,'PROJETO PERFURAÇÃO'!$B:$B,0)),1)&amp;"''","")</f>
        <v/>
      </c>
      <c r="C1165" s="3" t="str">
        <f>IFERROR(IF(INDEX('PROJETO PERFURAÇÃO'!$P:$P,MATCH(MEDIÇÃO!D1165,'PROJETO PERFURAÇÃO'!$B:$B,0))="Production","P",IF(INDEX('PROJETO PERFURAÇÃO'!$P:$P,MATCH(MEDIÇÃO!D1165,'PROJETO PERFURAÇÃO'!$B:$B,0))="Buffer","B",IF(INDEX('PROJETO PERFURAÇÃO'!$P:$P,MATCH(MEDIÇÃO!D1165,'PROJETO PERFURAÇÃO'!$B:$B,0))="Pre-Splitting","S"))),"")</f>
        <v/>
      </c>
      <c r="D1165" s="14">
        <f t="shared" si="111"/>
        <v>2567</v>
      </c>
      <c r="E1165" s="4" t="str">
        <f>IFERROR(INDEX('LEV R&amp;D'!$D:$D,MATCH(MEDIÇÃO!D1165,'LEV R&amp;D'!$A:$A,0))-INDEX('PROJETO PERFURAÇÃO'!$AH:$AH,MATCH(MEDIÇÃO!D1165,'PROJETO PERFURAÇÃO'!$B:$B,0)),"")</f>
        <v/>
      </c>
      <c r="F1165" s="8" t="str">
        <f>IFERROR(INDEX('PROJETO PERFURAÇÃO'!$AN:$AN,MATCH(MEDIÇÃO!D1165,'PROJETO PERFURAÇÃO'!$B:$B,0)),"")</f>
        <v/>
      </c>
      <c r="G1165" s="3"/>
      <c r="H1165" s="3"/>
      <c r="I1165" s="3" t="str">
        <f>IFERROR(ROUND(INDEX('PROJETO PERFURAÇÃO'!$AB:$AB,MATCH(MEDIÇÃO!K1165,'PROJETO PERFURAÇÃO'!$B:$B,0)),1)&amp;"''","")</f>
        <v/>
      </c>
      <c r="J1165" s="3" t="str">
        <f>IFERROR(IF(INDEX('PROJETO PERFURAÇÃO'!$P:$P,MATCH(MEDIÇÃO!K1165,'PROJETO PERFURAÇÃO'!$B:$B,0))="Production","P",IF(INDEX('PROJETO PERFURAÇÃO'!$P:$P,MATCH(MEDIÇÃO!K1165,'PROJETO PERFURAÇÃO'!$B:$B,0))="Buffer","B",IF(INDEX('PROJETO PERFURAÇÃO'!$P:$P,MATCH(MEDIÇÃO!K1165,'PROJETO PERFURAÇÃO'!$B:$B,0))="Pre-Splitting","S"))),"")</f>
        <v/>
      </c>
      <c r="K1165" s="14">
        <f t="shared" si="112"/>
        <v>2590</v>
      </c>
      <c r="L1165" s="4" t="str">
        <f>IFERROR(INDEX('LEV R&amp;D'!$D:$D,MATCH(MEDIÇÃO!K1165,'LEV R&amp;D'!$A:$A,0))-INDEX('PROJETO PERFURAÇÃO'!$AH:$AH,MATCH(MEDIÇÃO!K1165,'PROJETO PERFURAÇÃO'!$B:$B,0)),"")</f>
        <v/>
      </c>
      <c r="M1165" s="8" t="str">
        <f>IFERROR(INDEX('PROJETO PERFURAÇÃO'!$AN:$AN,MATCH(MEDIÇÃO!K1165,'PROJETO PERFURAÇÃO'!$B:$B,0)),"")</f>
        <v/>
      </c>
      <c r="N1165" s="3"/>
      <c r="O1165" s="3"/>
      <c r="P1165" s="3" t="str">
        <f>IFERROR(ROUND(INDEX('PROJETO PERFURAÇÃO'!$AB:$AB,MATCH(MEDIÇÃO!R1165,'PROJETO PERFURAÇÃO'!$B:$B,0)),1)&amp;"''","")</f>
        <v/>
      </c>
      <c r="Q1165" s="3" t="str">
        <f>IFERROR(IF(INDEX('PROJETO PERFURAÇÃO'!$P:$P,MATCH(MEDIÇÃO!R1165,'PROJETO PERFURAÇÃO'!$B:$B,0))="Production","P",IF(INDEX('PROJETO PERFURAÇÃO'!$P:$P,MATCH(MEDIÇÃO!R1165,'PROJETO PERFURAÇÃO'!$B:$B,0))="Buffer","B",IF(INDEX('PROJETO PERFURAÇÃO'!$P:$P,MATCH(MEDIÇÃO!R1165,'PROJETO PERFURAÇÃO'!$B:$B,0))="Pre-Splitting","S"))),"")</f>
        <v/>
      </c>
      <c r="R1165" s="14">
        <f t="shared" si="113"/>
        <v>2613</v>
      </c>
      <c r="S1165" s="4" t="str">
        <f>IFERROR(INDEX('LEV R&amp;D'!$D:$D,MATCH(MEDIÇÃO!R1165,'LEV R&amp;D'!$A:$A,0))-INDEX('PROJETO PERFURAÇÃO'!$AH:$AH,MATCH(MEDIÇÃO!R1165,'PROJETO PERFURAÇÃO'!$B:$B,0)),"")</f>
        <v/>
      </c>
      <c r="T1165" s="8" t="str">
        <f>IFERROR(INDEX('PROJETO PERFURAÇÃO'!$AN:$AN,MATCH(MEDIÇÃO!R1165,'PROJETO PERFURAÇÃO'!$B:$B,0)),"")</f>
        <v/>
      </c>
      <c r="U1165" s="3"/>
      <c r="V1165" s="3"/>
    </row>
    <row r="1166" spans="2:22" ht="45" customHeight="1" x14ac:dyDescent="0.25">
      <c r="B1166" s="3" t="str">
        <f>IFERROR(ROUND(INDEX('PROJETO PERFURAÇÃO'!$AB:$AB,MATCH(MEDIÇÃO!D1166,'PROJETO PERFURAÇÃO'!$B:$B,0)),1)&amp;"''","")</f>
        <v/>
      </c>
      <c r="C1166" s="3" t="str">
        <f>IFERROR(IF(INDEX('PROJETO PERFURAÇÃO'!$P:$P,MATCH(MEDIÇÃO!D1166,'PROJETO PERFURAÇÃO'!$B:$B,0))="Production","P",IF(INDEX('PROJETO PERFURAÇÃO'!$P:$P,MATCH(MEDIÇÃO!D1166,'PROJETO PERFURAÇÃO'!$B:$B,0))="Buffer","B",IF(INDEX('PROJETO PERFURAÇÃO'!$P:$P,MATCH(MEDIÇÃO!D1166,'PROJETO PERFURAÇÃO'!$B:$B,0))="Pre-Splitting","S"))),"")</f>
        <v/>
      </c>
      <c r="D1166" s="14">
        <f t="shared" si="111"/>
        <v>2568</v>
      </c>
      <c r="E1166" s="4" t="str">
        <f>IFERROR(INDEX('LEV R&amp;D'!$D:$D,MATCH(MEDIÇÃO!D1166,'LEV R&amp;D'!$A:$A,0))-INDEX('PROJETO PERFURAÇÃO'!$AH:$AH,MATCH(MEDIÇÃO!D1166,'PROJETO PERFURAÇÃO'!$B:$B,0)),"")</f>
        <v/>
      </c>
      <c r="F1166" s="8" t="str">
        <f>IFERROR(INDEX('PROJETO PERFURAÇÃO'!$AN:$AN,MATCH(MEDIÇÃO!D1166,'PROJETO PERFURAÇÃO'!$B:$B,0)),"")</f>
        <v/>
      </c>
      <c r="G1166" s="3"/>
      <c r="H1166" s="3"/>
      <c r="I1166" s="3" t="str">
        <f>IFERROR(ROUND(INDEX('PROJETO PERFURAÇÃO'!$AB:$AB,MATCH(MEDIÇÃO!K1166,'PROJETO PERFURAÇÃO'!$B:$B,0)),1)&amp;"''","")</f>
        <v/>
      </c>
      <c r="J1166" s="3" t="str">
        <f>IFERROR(IF(INDEX('PROJETO PERFURAÇÃO'!$P:$P,MATCH(MEDIÇÃO!K1166,'PROJETO PERFURAÇÃO'!$B:$B,0))="Production","P",IF(INDEX('PROJETO PERFURAÇÃO'!$P:$P,MATCH(MEDIÇÃO!K1166,'PROJETO PERFURAÇÃO'!$B:$B,0))="Buffer","B",IF(INDEX('PROJETO PERFURAÇÃO'!$P:$P,MATCH(MEDIÇÃO!K1166,'PROJETO PERFURAÇÃO'!$B:$B,0))="Pre-Splitting","S"))),"")</f>
        <v/>
      </c>
      <c r="K1166" s="14">
        <f t="shared" si="112"/>
        <v>2591</v>
      </c>
      <c r="L1166" s="4" t="str">
        <f>IFERROR(INDEX('LEV R&amp;D'!$D:$D,MATCH(MEDIÇÃO!K1166,'LEV R&amp;D'!$A:$A,0))-INDEX('PROJETO PERFURAÇÃO'!$AH:$AH,MATCH(MEDIÇÃO!K1166,'PROJETO PERFURAÇÃO'!$B:$B,0)),"")</f>
        <v/>
      </c>
      <c r="M1166" s="8" t="str">
        <f>IFERROR(INDEX('PROJETO PERFURAÇÃO'!$AN:$AN,MATCH(MEDIÇÃO!K1166,'PROJETO PERFURAÇÃO'!$B:$B,0)),"")</f>
        <v/>
      </c>
      <c r="N1166" s="3"/>
      <c r="O1166" s="3"/>
      <c r="P1166" s="3" t="str">
        <f>IFERROR(ROUND(INDEX('PROJETO PERFURAÇÃO'!$AB:$AB,MATCH(MEDIÇÃO!R1166,'PROJETO PERFURAÇÃO'!$B:$B,0)),1)&amp;"''","")</f>
        <v/>
      </c>
      <c r="Q1166" s="3" t="str">
        <f>IFERROR(IF(INDEX('PROJETO PERFURAÇÃO'!$P:$P,MATCH(MEDIÇÃO!R1166,'PROJETO PERFURAÇÃO'!$B:$B,0))="Production","P",IF(INDEX('PROJETO PERFURAÇÃO'!$P:$P,MATCH(MEDIÇÃO!R1166,'PROJETO PERFURAÇÃO'!$B:$B,0))="Buffer","B",IF(INDEX('PROJETO PERFURAÇÃO'!$P:$P,MATCH(MEDIÇÃO!R1166,'PROJETO PERFURAÇÃO'!$B:$B,0))="Pre-Splitting","S"))),"")</f>
        <v/>
      </c>
      <c r="R1166" s="14">
        <f t="shared" si="113"/>
        <v>2614</v>
      </c>
      <c r="S1166" s="4" t="str">
        <f>IFERROR(INDEX('LEV R&amp;D'!$D:$D,MATCH(MEDIÇÃO!R1166,'LEV R&amp;D'!$A:$A,0))-INDEX('PROJETO PERFURAÇÃO'!$AH:$AH,MATCH(MEDIÇÃO!R1166,'PROJETO PERFURAÇÃO'!$B:$B,0)),"")</f>
        <v/>
      </c>
      <c r="T1166" s="8" t="str">
        <f>IFERROR(INDEX('PROJETO PERFURAÇÃO'!$AN:$AN,MATCH(MEDIÇÃO!R1166,'PROJETO PERFURAÇÃO'!$B:$B,0)),"")</f>
        <v/>
      </c>
      <c r="U1166" s="3"/>
      <c r="V1166" s="3"/>
    </row>
    <row r="1167" spans="2:22" ht="45" customHeight="1" x14ac:dyDescent="0.25">
      <c r="B1167" s="3" t="str">
        <f>IFERROR(ROUND(INDEX('PROJETO PERFURAÇÃO'!$AB:$AB,MATCH(MEDIÇÃO!D1167,'PROJETO PERFURAÇÃO'!$B:$B,0)),1)&amp;"''","")</f>
        <v/>
      </c>
      <c r="C1167" s="3" t="str">
        <f>IFERROR(IF(INDEX('PROJETO PERFURAÇÃO'!$P:$P,MATCH(MEDIÇÃO!D1167,'PROJETO PERFURAÇÃO'!$B:$B,0))="Production","P",IF(INDEX('PROJETO PERFURAÇÃO'!$P:$P,MATCH(MEDIÇÃO!D1167,'PROJETO PERFURAÇÃO'!$B:$B,0))="Buffer","B",IF(INDEX('PROJETO PERFURAÇÃO'!$P:$P,MATCH(MEDIÇÃO!D1167,'PROJETO PERFURAÇÃO'!$B:$B,0))="Pre-Splitting","S"))),"")</f>
        <v/>
      </c>
      <c r="D1167" s="14">
        <f t="shared" si="111"/>
        <v>2569</v>
      </c>
      <c r="E1167" s="4" t="str">
        <f>IFERROR(INDEX('LEV R&amp;D'!$D:$D,MATCH(MEDIÇÃO!D1167,'LEV R&amp;D'!$A:$A,0))-INDEX('PROJETO PERFURAÇÃO'!$AH:$AH,MATCH(MEDIÇÃO!D1167,'PROJETO PERFURAÇÃO'!$B:$B,0)),"")</f>
        <v/>
      </c>
      <c r="F1167" s="8" t="str">
        <f>IFERROR(INDEX('PROJETO PERFURAÇÃO'!$AN:$AN,MATCH(MEDIÇÃO!D1167,'PROJETO PERFURAÇÃO'!$B:$B,0)),"")</f>
        <v/>
      </c>
      <c r="G1167" s="3"/>
      <c r="H1167" s="3"/>
      <c r="I1167" s="3" t="str">
        <f>IFERROR(ROUND(INDEX('PROJETO PERFURAÇÃO'!$AB:$AB,MATCH(MEDIÇÃO!K1167,'PROJETO PERFURAÇÃO'!$B:$B,0)),1)&amp;"''","")</f>
        <v/>
      </c>
      <c r="J1167" s="3" t="str">
        <f>IFERROR(IF(INDEX('PROJETO PERFURAÇÃO'!$P:$P,MATCH(MEDIÇÃO!K1167,'PROJETO PERFURAÇÃO'!$B:$B,0))="Production","P",IF(INDEX('PROJETO PERFURAÇÃO'!$P:$P,MATCH(MEDIÇÃO!K1167,'PROJETO PERFURAÇÃO'!$B:$B,0))="Buffer","B",IF(INDEX('PROJETO PERFURAÇÃO'!$P:$P,MATCH(MEDIÇÃO!K1167,'PROJETO PERFURAÇÃO'!$B:$B,0))="Pre-Splitting","S"))),"")</f>
        <v/>
      </c>
      <c r="K1167" s="14">
        <f t="shared" si="112"/>
        <v>2592</v>
      </c>
      <c r="L1167" s="4" t="str">
        <f>IFERROR(INDEX('LEV R&amp;D'!$D:$D,MATCH(MEDIÇÃO!K1167,'LEV R&amp;D'!$A:$A,0))-INDEX('PROJETO PERFURAÇÃO'!$AH:$AH,MATCH(MEDIÇÃO!K1167,'PROJETO PERFURAÇÃO'!$B:$B,0)),"")</f>
        <v/>
      </c>
      <c r="M1167" s="8" t="str">
        <f>IFERROR(INDEX('PROJETO PERFURAÇÃO'!$AN:$AN,MATCH(MEDIÇÃO!K1167,'PROJETO PERFURAÇÃO'!$B:$B,0)),"")</f>
        <v/>
      </c>
      <c r="N1167" s="3"/>
      <c r="O1167" s="3"/>
      <c r="P1167" s="3" t="str">
        <f>IFERROR(ROUND(INDEX('PROJETO PERFURAÇÃO'!$AB:$AB,MATCH(MEDIÇÃO!R1167,'PROJETO PERFURAÇÃO'!$B:$B,0)),1)&amp;"''","")</f>
        <v/>
      </c>
      <c r="Q1167" s="3" t="str">
        <f>IFERROR(IF(INDEX('PROJETO PERFURAÇÃO'!$P:$P,MATCH(MEDIÇÃO!R1167,'PROJETO PERFURAÇÃO'!$B:$B,0))="Production","P",IF(INDEX('PROJETO PERFURAÇÃO'!$P:$P,MATCH(MEDIÇÃO!R1167,'PROJETO PERFURAÇÃO'!$B:$B,0))="Buffer","B",IF(INDEX('PROJETO PERFURAÇÃO'!$P:$P,MATCH(MEDIÇÃO!R1167,'PROJETO PERFURAÇÃO'!$B:$B,0))="Pre-Splitting","S"))),"")</f>
        <v/>
      </c>
      <c r="R1167" s="14">
        <f t="shared" si="113"/>
        <v>2615</v>
      </c>
      <c r="S1167" s="4" t="str">
        <f>IFERROR(INDEX('LEV R&amp;D'!$D:$D,MATCH(MEDIÇÃO!R1167,'LEV R&amp;D'!$A:$A,0))-INDEX('PROJETO PERFURAÇÃO'!$AH:$AH,MATCH(MEDIÇÃO!R1167,'PROJETO PERFURAÇÃO'!$B:$B,0)),"")</f>
        <v/>
      </c>
      <c r="T1167" s="8" t="str">
        <f>IFERROR(INDEX('PROJETO PERFURAÇÃO'!$AN:$AN,MATCH(MEDIÇÃO!R1167,'PROJETO PERFURAÇÃO'!$B:$B,0)),"")</f>
        <v/>
      </c>
      <c r="U1167" s="3"/>
      <c r="V1167" s="3"/>
    </row>
    <row r="1168" spans="2:22" ht="45" customHeight="1" x14ac:dyDescent="0.25">
      <c r="B1168" s="3" t="str">
        <f>IFERROR(ROUND(INDEX('PROJETO PERFURAÇÃO'!$AB:$AB,MATCH(MEDIÇÃO!D1168,'PROJETO PERFURAÇÃO'!$B:$B,0)),1)&amp;"''","")</f>
        <v/>
      </c>
      <c r="C1168" s="3" t="str">
        <f>IFERROR(IF(INDEX('PROJETO PERFURAÇÃO'!$P:$P,MATCH(MEDIÇÃO!D1168,'PROJETO PERFURAÇÃO'!$B:$B,0))="Production","P",IF(INDEX('PROJETO PERFURAÇÃO'!$P:$P,MATCH(MEDIÇÃO!D1168,'PROJETO PERFURAÇÃO'!$B:$B,0))="Buffer","B",IF(INDEX('PROJETO PERFURAÇÃO'!$P:$P,MATCH(MEDIÇÃO!D1168,'PROJETO PERFURAÇÃO'!$B:$B,0))="Pre-Splitting","S"))),"")</f>
        <v/>
      </c>
      <c r="D1168" s="14">
        <f t="shared" si="111"/>
        <v>2570</v>
      </c>
      <c r="E1168" s="4" t="str">
        <f>IFERROR(INDEX('LEV R&amp;D'!$D:$D,MATCH(MEDIÇÃO!D1168,'LEV R&amp;D'!$A:$A,0))-INDEX('PROJETO PERFURAÇÃO'!$AH:$AH,MATCH(MEDIÇÃO!D1168,'PROJETO PERFURAÇÃO'!$B:$B,0)),"")</f>
        <v/>
      </c>
      <c r="F1168" s="8" t="str">
        <f>IFERROR(INDEX('PROJETO PERFURAÇÃO'!$AN:$AN,MATCH(MEDIÇÃO!D1168,'PROJETO PERFURAÇÃO'!$B:$B,0)),"")</f>
        <v/>
      </c>
      <c r="G1168" s="3"/>
      <c r="H1168" s="3"/>
      <c r="I1168" s="3" t="str">
        <f>IFERROR(ROUND(INDEX('PROJETO PERFURAÇÃO'!$AB:$AB,MATCH(MEDIÇÃO!K1168,'PROJETO PERFURAÇÃO'!$B:$B,0)),1)&amp;"''","")</f>
        <v/>
      </c>
      <c r="J1168" s="3" t="str">
        <f>IFERROR(IF(INDEX('PROJETO PERFURAÇÃO'!$P:$P,MATCH(MEDIÇÃO!K1168,'PROJETO PERFURAÇÃO'!$B:$B,0))="Production","P",IF(INDEX('PROJETO PERFURAÇÃO'!$P:$P,MATCH(MEDIÇÃO!K1168,'PROJETO PERFURAÇÃO'!$B:$B,0))="Buffer","B",IF(INDEX('PROJETO PERFURAÇÃO'!$P:$P,MATCH(MEDIÇÃO!K1168,'PROJETO PERFURAÇÃO'!$B:$B,0))="Pre-Splitting","S"))),"")</f>
        <v/>
      </c>
      <c r="K1168" s="14">
        <f t="shared" si="112"/>
        <v>2593</v>
      </c>
      <c r="L1168" s="4" t="str">
        <f>IFERROR(INDEX('LEV R&amp;D'!$D:$D,MATCH(MEDIÇÃO!K1168,'LEV R&amp;D'!$A:$A,0))-INDEX('PROJETO PERFURAÇÃO'!$AH:$AH,MATCH(MEDIÇÃO!K1168,'PROJETO PERFURAÇÃO'!$B:$B,0)),"")</f>
        <v/>
      </c>
      <c r="M1168" s="8" t="str">
        <f>IFERROR(INDEX('PROJETO PERFURAÇÃO'!$AN:$AN,MATCH(MEDIÇÃO!K1168,'PROJETO PERFURAÇÃO'!$B:$B,0)),"")</f>
        <v/>
      </c>
      <c r="N1168" s="3"/>
      <c r="O1168" s="3"/>
      <c r="P1168" s="3" t="str">
        <f>IFERROR(ROUND(INDEX('PROJETO PERFURAÇÃO'!$AB:$AB,MATCH(MEDIÇÃO!R1168,'PROJETO PERFURAÇÃO'!$B:$B,0)),1)&amp;"''","")</f>
        <v/>
      </c>
      <c r="Q1168" s="3" t="str">
        <f>IFERROR(IF(INDEX('PROJETO PERFURAÇÃO'!$P:$P,MATCH(MEDIÇÃO!R1168,'PROJETO PERFURAÇÃO'!$B:$B,0))="Production","P",IF(INDEX('PROJETO PERFURAÇÃO'!$P:$P,MATCH(MEDIÇÃO!R1168,'PROJETO PERFURAÇÃO'!$B:$B,0))="Buffer","B",IF(INDEX('PROJETO PERFURAÇÃO'!$P:$P,MATCH(MEDIÇÃO!R1168,'PROJETO PERFURAÇÃO'!$B:$B,0))="Pre-Splitting","S"))),"")</f>
        <v/>
      </c>
      <c r="R1168" s="14">
        <f t="shared" si="113"/>
        <v>2616</v>
      </c>
      <c r="S1168" s="4" t="str">
        <f>IFERROR(INDEX('LEV R&amp;D'!$D:$D,MATCH(MEDIÇÃO!R1168,'LEV R&amp;D'!$A:$A,0))-INDEX('PROJETO PERFURAÇÃO'!$AH:$AH,MATCH(MEDIÇÃO!R1168,'PROJETO PERFURAÇÃO'!$B:$B,0)),"")</f>
        <v/>
      </c>
      <c r="T1168" s="8" t="str">
        <f>IFERROR(INDEX('PROJETO PERFURAÇÃO'!$AN:$AN,MATCH(MEDIÇÃO!R1168,'PROJETO PERFURAÇÃO'!$B:$B,0)),"")</f>
        <v/>
      </c>
      <c r="U1168" s="3"/>
      <c r="V1168" s="3"/>
    </row>
    <row r="1169" spans="1:23" ht="45" customHeight="1" x14ac:dyDescent="0.25">
      <c r="B1169" s="3" t="str">
        <f>IFERROR(ROUND(INDEX('PROJETO PERFURAÇÃO'!$AB:$AB,MATCH(MEDIÇÃO!D1169,'PROJETO PERFURAÇÃO'!$B:$B,0)),1)&amp;"''","")</f>
        <v/>
      </c>
      <c r="C1169" s="3" t="str">
        <f>IFERROR(IF(INDEX('PROJETO PERFURAÇÃO'!$P:$P,MATCH(MEDIÇÃO!D1169,'PROJETO PERFURAÇÃO'!$B:$B,0))="Production","P",IF(INDEX('PROJETO PERFURAÇÃO'!$P:$P,MATCH(MEDIÇÃO!D1169,'PROJETO PERFURAÇÃO'!$B:$B,0))="Buffer","B",IF(INDEX('PROJETO PERFURAÇÃO'!$P:$P,MATCH(MEDIÇÃO!D1169,'PROJETO PERFURAÇÃO'!$B:$B,0))="Pre-Splitting","S"))),"")</f>
        <v/>
      </c>
      <c r="D1169" s="14">
        <f t="shared" si="111"/>
        <v>2571</v>
      </c>
      <c r="E1169" s="4" t="str">
        <f>IFERROR(INDEX('LEV R&amp;D'!$D:$D,MATCH(MEDIÇÃO!D1169,'LEV R&amp;D'!$A:$A,0))-INDEX('PROJETO PERFURAÇÃO'!$AH:$AH,MATCH(MEDIÇÃO!D1169,'PROJETO PERFURAÇÃO'!$B:$B,0)),"")</f>
        <v/>
      </c>
      <c r="F1169" s="8" t="str">
        <f>IFERROR(INDEX('PROJETO PERFURAÇÃO'!$AN:$AN,MATCH(MEDIÇÃO!D1169,'PROJETO PERFURAÇÃO'!$B:$B,0)),"")</f>
        <v/>
      </c>
      <c r="G1169" s="3"/>
      <c r="H1169" s="3"/>
      <c r="I1169" s="3" t="str">
        <f>IFERROR(ROUND(INDEX('PROJETO PERFURAÇÃO'!$AB:$AB,MATCH(MEDIÇÃO!K1169,'PROJETO PERFURAÇÃO'!$B:$B,0)),1)&amp;"''","")</f>
        <v/>
      </c>
      <c r="J1169" s="3" t="str">
        <f>IFERROR(IF(INDEX('PROJETO PERFURAÇÃO'!$P:$P,MATCH(MEDIÇÃO!K1169,'PROJETO PERFURAÇÃO'!$B:$B,0))="Production","P",IF(INDEX('PROJETO PERFURAÇÃO'!$P:$P,MATCH(MEDIÇÃO!K1169,'PROJETO PERFURAÇÃO'!$B:$B,0))="Buffer","B",IF(INDEX('PROJETO PERFURAÇÃO'!$P:$P,MATCH(MEDIÇÃO!K1169,'PROJETO PERFURAÇÃO'!$B:$B,0))="Pre-Splitting","S"))),"")</f>
        <v/>
      </c>
      <c r="K1169" s="14">
        <f t="shared" si="112"/>
        <v>2594</v>
      </c>
      <c r="L1169" s="4" t="str">
        <f>IFERROR(INDEX('LEV R&amp;D'!$D:$D,MATCH(MEDIÇÃO!K1169,'LEV R&amp;D'!$A:$A,0))-INDEX('PROJETO PERFURAÇÃO'!$AH:$AH,MATCH(MEDIÇÃO!K1169,'PROJETO PERFURAÇÃO'!$B:$B,0)),"")</f>
        <v/>
      </c>
      <c r="M1169" s="8" t="str">
        <f>IFERROR(INDEX('PROJETO PERFURAÇÃO'!$AN:$AN,MATCH(MEDIÇÃO!K1169,'PROJETO PERFURAÇÃO'!$B:$B,0)),"")</f>
        <v/>
      </c>
      <c r="N1169" s="3"/>
      <c r="O1169" s="3"/>
      <c r="P1169" s="3" t="str">
        <f>IFERROR(ROUND(INDEX('PROJETO PERFURAÇÃO'!$AB:$AB,MATCH(MEDIÇÃO!R1169,'PROJETO PERFURAÇÃO'!$B:$B,0)),1)&amp;"''","")</f>
        <v/>
      </c>
      <c r="Q1169" s="3" t="str">
        <f>IFERROR(IF(INDEX('PROJETO PERFURAÇÃO'!$P:$P,MATCH(MEDIÇÃO!R1169,'PROJETO PERFURAÇÃO'!$B:$B,0))="Production","P",IF(INDEX('PROJETO PERFURAÇÃO'!$P:$P,MATCH(MEDIÇÃO!R1169,'PROJETO PERFURAÇÃO'!$B:$B,0))="Buffer","B",IF(INDEX('PROJETO PERFURAÇÃO'!$P:$P,MATCH(MEDIÇÃO!R1169,'PROJETO PERFURAÇÃO'!$B:$B,0))="Pre-Splitting","S"))),"")</f>
        <v/>
      </c>
      <c r="R1169" s="14">
        <f t="shared" si="113"/>
        <v>2617</v>
      </c>
      <c r="S1169" s="4" t="str">
        <f>IFERROR(INDEX('LEV R&amp;D'!$D:$D,MATCH(MEDIÇÃO!R1169,'LEV R&amp;D'!$A:$A,0))-INDEX('PROJETO PERFURAÇÃO'!$AH:$AH,MATCH(MEDIÇÃO!R1169,'PROJETO PERFURAÇÃO'!$B:$B,0)),"")</f>
        <v/>
      </c>
      <c r="T1169" s="8" t="str">
        <f>IFERROR(INDEX('PROJETO PERFURAÇÃO'!$AN:$AN,MATCH(MEDIÇÃO!R1169,'PROJETO PERFURAÇÃO'!$B:$B,0)),"")</f>
        <v/>
      </c>
      <c r="U1169" s="3"/>
      <c r="V1169" s="3"/>
    </row>
    <row r="1170" spans="1:23" ht="45" customHeight="1" x14ac:dyDescent="0.25">
      <c r="B1170" s="3" t="str">
        <f>IFERROR(ROUND(INDEX('PROJETO PERFURAÇÃO'!$AB:$AB,MATCH(MEDIÇÃO!D1170,'PROJETO PERFURAÇÃO'!$B:$B,0)),1)&amp;"''","")</f>
        <v/>
      </c>
      <c r="C1170" s="3" t="str">
        <f>IFERROR(IF(INDEX('PROJETO PERFURAÇÃO'!$P:$P,MATCH(MEDIÇÃO!D1170,'PROJETO PERFURAÇÃO'!$B:$B,0))="Production","P",IF(INDEX('PROJETO PERFURAÇÃO'!$P:$P,MATCH(MEDIÇÃO!D1170,'PROJETO PERFURAÇÃO'!$B:$B,0))="Buffer","B",IF(INDEX('PROJETO PERFURAÇÃO'!$P:$P,MATCH(MEDIÇÃO!D1170,'PROJETO PERFURAÇÃO'!$B:$B,0))="Pre-Splitting","S"))),"")</f>
        <v/>
      </c>
      <c r="D1170" s="14">
        <f t="shared" si="111"/>
        <v>2572</v>
      </c>
      <c r="E1170" s="4" t="str">
        <f>IFERROR(INDEX('LEV R&amp;D'!$D:$D,MATCH(MEDIÇÃO!D1170,'LEV R&amp;D'!$A:$A,0))-INDEX('PROJETO PERFURAÇÃO'!$AH:$AH,MATCH(MEDIÇÃO!D1170,'PROJETO PERFURAÇÃO'!$B:$B,0)),"")</f>
        <v/>
      </c>
      <c r="F1170" s="8" t="str">
        <f>IFERROR(INDEX('PROJETO PERFURAÇÃO'!$AN:$AN,MATCH(MEDIÇÃO!D1170,'PROJETO PERFURAÇÃO'!$B:$B,0)),"")</f>
        <v/>
      </c>
      <c r="G1170" s="3"/>
      <c r="H1170" s="3"/>
      <c r="I1170" s="3" t="str">
        <f>IFERROR(ROUND(INDEX('PROJETO PERFURAÇÃO'!$AB:$AB,MATCH(MEDIÇÃO!K1170,'PROJETO PERFURAÇÃO'!$B:$B,0)),1)&amp;"''","")</f>
        <v/>
      </c>
      <c r="J1170" s="3" t="str">
        <f>IFERROR(IF(INDEX('PROJETO PERFURAÇÃO'!$P:$P,MATCH(MEDIÇÃO!K1170,'PROJETO PERFURAÇÃO'!$B:$B,0))="Production","P",IF(INDEX('PROJETO PERFURAÇÃO'!$P:$P,MATCH(MEDIÇÃO!K1170,'PROJETO PERFURAÇÃO'!$B:$B,0))="Buffer","B",IF(INDEX('PROJETO PERFURAÇÃO'!$P:$P,MATCH(MEDIÇÃO!K1170,'PROJETO PERFURAÇÃO'!$B:$B,0))="Pre-Splitting","S"))),"")</f>
        <v/>
      </c>
      <c r="K1170" s="14">
        <f t="shared" si="112"/>
        <v>2595</v>
      </c>
      <c r="L1170" s="4" t="str">
        <f>IFERROR(INDEX('LEV R&amp;D'!$D:$D,MATCH(MEDIÇÃO!K1170,'LEV R&amp;D'!$A:$A,0))-INDEX('PROJETO PERFURAÇÃO'!$AH:$AH,MATCH(MEDIÇÃO!K1170,'PROJETO PERFURAÇÃO'!$B:$B,0)),"")</f>
        <v/>
      </c>
      <c r="M1170" s="8" t="str">
        <f>IFERROR(INDEX('PROJETO PERFURAÇÃO'!$AN:$AN,MATCH(MEDIÇÃO!K1170,'PROJETO PERFURAÇÃO'!$B:$B,0)),"")</f>
        <v/>
      </c>
      <c r="N1170" s="3"/>
      <c r="O1170" s="3"/>
      <c r="P1170" s="3" t="str">
        <f>IFERROR(ROUND(INDEX('PROJETO PERFURAÇÃO'!$AB:$AB,MATCH(MEDIÇÃO!R1170,'PROJETO PERFURAÇÃO'!$B:$B,0)),1)&amp;"''","")</f>
        <v/>
      </c>
      <c r="Q1170" s="3" t="str">
        <f>IFERROR(IF(INDEX('PROJETO PERFURAÇÃO'!$P:$P,MATCH(MEDIÇÃO!R1170,'PROJETO PERFURAÇÃO'!$B:$B,0))="Production","P",IF(INDEX('PROJETO PERFURAÇÃO'!$P:$P,MATCH(MEDIÇÃO!R1170,'PROJETO PERFURAÇÃO'!$B:$B,0))="Buffer","B",IF(INDEX('PROJETO PERFURAÇÃO'!$P:$P,MATCH(MEDIÇÃO!R1170,'PROJETO PERFURAÇÃO'!$B:$B,0))="Pre-Splitting","S"))),"")</f>
        <v/>
      </c>
      <c r="R1170" s="14">
        <f t="shared" si="113"/>
        <v>2618</v>
      </c>
      <c r="S1170" s="4" t="str">
        <f>IFERROR(INDEX('LEV R&amp;D'!$D:$D,MATCH(MEDIÇÃO!R1170,'LEV R&amp;D'!$A:$A,0))-INDEX('PROJETO PERFURAÇÃO'!$AH:$AH,MATCH(MEDIÇÃO!R1170,'PROJETO PERFURAÇÃO'!$B:$B,0)),"")</f>
        <v/>
      </c>
      <c r="T1170" s="8" t="str">
        <f>IFERROR(INDEX('PROJETO PERFURAÇÃO'!$AN:$AN,MATCH(MEDIÇÃO!R1170,'PROJETO PERFURAÇÃO'!$B:$B,0)),"")</f>
        <v/>
      </c>
      <c r="U1170" s="3"/>
      <c r="V1170" s="3"/>
    </row>
    <row r="1171" spans="1:23" ht="45" customHeight="1" x14ac:dyDescent="0.25">
      <c r="B1171" s="3" t="str">
        <f>IFERROR(ROUND(INDEX('PROJETO PERFURAÇÃO'!$AB:$AB,MATCH(MEDIÇÃO!D1171,'PROJETO PERFURAÇÃO'!$B:$B,0)),1)&amp;"''","")</f>
        <v/>
      </c>
      <c r="C1171" s="3" t="str">
        <f>IFERROR(IF(INDEX('PROJETO PERFURAÇÃO'!$P:$P,MATCH(MEDIÇÃO!D1171,'PROJETO PERFURAÇÃO'!$B:$B,0))="Production","P",IF(INDEX('PROJETO PERFURAÇÃO'!$P:$P,MATCH(MEDIÇÃO!D1171,'PROJETO PERFURAÇÃO'!$B:$B,0))="Buffer","B",IF(INDEX('PROJETO PERFURAÇÃO'!$P:$P,MATCH(MEDIÇÃO!D1171,'PROJETO PERFURAÇÃO'!$B:$B,0))="Pre-Splitting","S"))),"")</f>
        <v/>
      </c>
      <c r="D1171" s="14">
        <f t="shared" si="111"/>
        <v>2573</v>
      </c>
      <c r="E1171" s="4" t="str">
        <f>IFERROR(INDEX('LEV R&amp;D'!$D:$D,MATCH(MEDIÇÃO!D1171,'LEV R&amp;D'!$A:$A,0))-INDEX('PROJETO PERFURAÇÃO'!$AH:$AH,MATCH(MEDIÇÃO!D1171,'PROJETO PERFURAÇÃO'!$B:$B,0)),"")</f>
        <v/>
      </c>
      <c r="F1171" s="8" t="str">
        <f>IFERROR(INDEX('PROJETO PERFURAÇÃO'!$AN:$AN,MATCH(MEDIÇÃO!D1171,'PROJETO PERFURAÇÃO'!$B:$B,0)),"")</f>
        <v/>
      </c>
      <c r="G1171" s="3"/>
      <c r="H1171" s="3"/>
      <c r="I1171" s="3" t="str">
        <f>IFERROR(ROUND(INDEX('PROJETO PERFURAÇÃO'!$AB:$AB,MATCH(MEDIÇÃO!K1171,'PROJETO PERFURAÇÃO'!$B:$B,0)),1)&amp;"''","")</f>
        <v/>
      </c>
      <c r="J1171" s="3" t="str">
        <f>IFERROR(IF(INDEX('PROJETO PERFURAÇÃO'!$P:$P,MATCH(MEDIÇÃO!K1171,'PROJETO PERFURAÇÃO'!$B:$B,0))="Production","P",IF(INDEX('PROJETO PERFURAÇÃO'!$P:$P,MATCH(MEDIÇÃO!K1171,'PROJETO PERFURAÇÃO'!$B:$B,0))="Buffer","B",IF(INDEX('PROJETO PERFURAÇÃO'!$P:$P,MATCH(MEDIÇÃO!K1171,'PROJETO PERFURAÇÃO'!$B:$B,0))="Pre-Splitting","S"))),"")</f>
        <v/>
      </c>
      <c r="K1171" s="14">
        <f t="shared" si="112"/>
        <v>2596</v>
      </c>
      <c r="L1171" s="4" t="str">
        <f>IFERROR(INDEX('LEV R&amp;D'!$D:$D,MATCH(MEDIÇÃO!K1171,'LEV R&amp;D'!$A:$A,0))-INDEX('PROJETO PERFURAÇÃO'!$AH:$AH,MATCH(MEDIÇÃO!K1171,'PROJETO PERFURAÇÃO'!$B:$B,0)),"")</f>
        <v/>
      </c>
      <c r="M1171" s="8" t="str">
        <f>IFERROR(INDEX('PROJETO PERFURAÇÃO'!$AN:$AN,MATCH(MEDIÇÃO!K1171,'PROJETO PERFURAÇÃO'!$B:$B,0)),"")</f>
        <v/>
      </c>
      <c r="N1171" s="3"/>
      <c r="O1171" s="3"/>
      <c r="P1171" s="3" t="str">
        <f>IFERROR(ROUND(INDEX('PROJETO PERFURAÇÃO'!$AB:$AB,MATCH(MEDIÇÃO!R1171,'PROJETO PERFURAÇÃO'!$B:$B,0)),1)&amp;"''","")</f>
        <v/>
      </c>
      <c r="Q1171" s="3" t="str">
        <f>IFERROR(IF(INDEX('PROJETO PERFURAÇÃO'!$P:$P,MATCH(MEDIÇÃO!R1171,'PROJETO PERFURAÇÃO'!$B:$B,0))="Production","P",IF(INDEX('PROJETO PERFURAÇÃO'!$P:$P,MATCH(MEDIÇÃO!R1171,'PROJETO PERFURAÇÃO'!$B:$B,0))="Buffer","B",IF(INDEX('PROJETO PERFURAÇÃO'!$P:$P,MATCH(MEDIÇÃO!R1171,'PROJETO PERFURAÇÃO'!$B:$B,0))="Pre-Splitting","S"))),"")</f>
        <v/>
      </c>
      <c r="R1171" s="14">
        <f t="shared" si="113"/>
        <v>2619</v>
      </c>
      <c r="S1171" s="4" t="str">
        <f>IFERROR(INDEX('LEV R&amp;D'!$D:$D,MATCH(MEDIÇÃO!R1171,'LEV R&amp;D'!$A:$A,0))-INDEX('PROJETO PERFURAÇÃO'!$AH:$AH,MATCH(MEDIÇÃO!R1171,'PROJETO PERFURAÇÃO'!$B:$B,0)),"")</f>
        <v/>
      </c>
      <c r="T1171" s="8" t="str">
        <f>IFERROR(INDEX('PROJETO PERFURAÇÃO'!$AN:$AN,MATCH(MEDIÇÃO!R1171,'PROJETO PERFURAÇÃO'!$B:$B,0)),"")</f>
        <v/>
      </c>
      <c r="U1171" s="3"/>
      <c r="V1171" s="3"/>
    </row>
    <row r="1172" spans="1:23" ht="45" customHeight="1" x14ac:dyDescent="0.25">
      <c r="B1172" s="3" t="str">
        <f>IFERROR(ROUND(INDEX('PROJETO PERFURAÇÃO'!$AB:$AB,MATCH(MEDIÇÃO!D1172,'PROJETO PERFURAÇÃO'!$B:$B,0)),1)&amp;"''","")</f>
        <v/>
      </c>
      <c r="C1172" s="3" t="str">
        <f>IFERROR(IF(INDEX('PROJETO PERFURAÇÃO'!$P:$P,MATCH(MEDIÇÃO!D1172,'PROJETO PERFURAÇÃO'!$B:$B,0))="Production","P",IF(INDEX('PROJETO PERFURAÇÃO'!$P:$P,MATCH(MEDIÇÃO!D1172,'PROJETO PERFURAÇÃO'!$B:$B,0))="Buffer","B",IF(INDEX('PROJETO PERFURAÇÃO'!$P:$P,MATCH(MEDIÇÃO!D1172,'PROJETO PERFURAÇÃO'!$B:$B,0))="Pre-Splitting","S"))),"")</f>
        <v/>
      </c>
      <c r="D1172" s="14">
        <f t="shared" si="111"/>
        <v>2574</v>
      </c>
      <c r="E1172" s="4" t="str">
        <f>IFERROR(INDEX('LEV R&amp;D'!$D:$D,MATCH(MEDIÇÃO!D1172,'LEV R&amp;D'!$A:$A,0))-INDEX('PROJETO PERFURAÇÃO'!$AH:$AH,MATCH(MEDIÇÃO!D1172,'PROJETO PERFURAÇÃO'!$B:$B,0)),"")</f>
        <v/>
      </c>
      <c r="F1172" s="8" t="str">
        <f>IFERROR(INDEX('PROJETO PERFURAÇÃO'!$AN:$AN,MATCH(MEDIÇÃO!D1172,'PROJETO PERFURAÇÃO'!$B:$B,0)),"")</f>
        <v/>
      </c>
      <c r="G1172" s="3"/>
      <c r="H1172" s="3"/>
      <c r="I1172" s="3" t="str">
        <f>IFERROR(ROUND(INDEX('PROJETO PERFURAÇÃO'!$AB:$AB,MATCH(MEDIÇÃO!K1172,'PROJETO PERFURAÇÃO'!$B:$B,0)),1)&amp;"''","")</f>
        <v/>
      </c>
      <c r="J1172" s="3" t="str">
        <f>IFERROR(IF(INDEX('PROJETO PERFURAÇÃO'!$P:$P,MATCH(MEDIÇÃO!K1172,'PROJETO PERFURAÇÃO'!$B:$B,0))="Production","P",IF(INDEX('PROJETO PERFURAÇÃO'!$P:$P,MATCH(MEDIÇÃO!K1172,'PROJETO PERFURAÇÃO'!$B:$B,0))="Buffer","B",IF(INDEX('PROJETO PERFURAÇÃO'!$P:$P,MATCH(MEDIÇÃO!K1172,'PROJETO PERFURAÇÃO'!$B:$B,0))="Pre-Splitting","S"))),"")</f>
        <v/>
      </c>
      <c r="K1172" s="14">
        <f t="shared" si="112"/>
        <v>2597</v>
      </c>
      <c r="L1172" s="4" t="str">
        <f>IFERROR(INDEX('LEV R&amp;D'!$D:$D,MATCH(MEDIÇÃO!K1172,'LEV R&amp;D'!$A:$A,0))-INDEX('PROJETO PERFURAÇÃO'!$AH:$AH,MATCH(MEDIÇÃO!K1172,'PROJETO PERFURAÇÃO'!$B:$B,0)),"")</f>
        <v/>
      </c>
      <c r="M1172" s="8" t="str">
        <f>IFERROR(INDEX('PROJETO PERFURAÇÃO'!$AN:$AN,MATCH(MEDIÇÃO!K1172,'PROJETO PERFURAÇÃO'!$B:$B,0)),"")</f>
        <v/>
      </c>
      <c r="N1172" s="3"/>
      <c r="O1172" s="3"/>
      <c r="P1172" s="3" t="str">
        <f>IFERROR(ROUND(INDEX('PROJETO PERFURAÇÃO'!$AB:$AB,MATCH(MEDIÇÃO!R1172,'PROJETO PERFURAÇÃO'!$B:$B,0)),1)&amp;"''","")</f>
        <v/>
      </c>
      <c r="Q1172" s="3" t="str">
        <f>IFERROR(IF(INDEX('PROJETO PERFURAÇÃO'!$P:$P,MATCH(MEDIÇÃO!R1172,'PROJETO PERFURAÇÃO'!$B:$B,0))="Production","P",IF(INDEX('PROJETO PERFURAÇÃO'!$P:$P,MATCH(MEDIÇÃO!R1172,'PROJETO PERFURAÇÃO'!$B:$B,0))="Buffer","B",IF(INDEX('PROJETO PERFURAÇÃO'!$P:$P,MATCH(MEDIÇÃO!R1172,'PROJETO PERFURAÇÃO'!$B:$B,0))="Pre-Splitting","S"))),"")</f>
        <v/>
      </c>
      <c r="R1172" s="14">
        <f t="shared" si="113"/>
        <v>2620</v>
      </c>
      <c r="S1172" s="4" t="str">
        <f>IFERROR(INDEX('LEV R&amp;D'!$D:$D,MATCH(MEDIÇÃO!R1172,'LEV R&amp;D'!$A:$A,0))-INDEX('PROJETO PERFURAÇÃO'!$AH:$AH,MATCH(MEDIÇÃO!R1172,'PROJETO PERFURAÇÃO'!$B:$B,0)),"")</f>
        <v/>
      </c>
      <c r="T1172" s="8" t="str">
        <f>IFERROR(INDEX('PROJETO PERFURAÇÃO'!$AN:$AN,MATCH(MEDIÇÃO!R1172,'PROJETO PERFURAÇÃO'!$B:$B,0)),"")</f>
        <v/>
      </c>
      <c r="U1172" s="3"/>
      <c r="V1172" s="3"/>
    </row>
    <row r="1173" spans="1:23" ht="45" customHeight="1" x14ac:dyDescent="0.25">
      <c r="B1173" s="3" t="str">
        <f>IFERROR(ROUND(INDEX('PROJETO PERFURAÇÃO'!$AB:$AB,MATCH(MEDIÇÃO!D1173,'PROJETO PERFURAÇÃO'!$B:$B,0)),1)&amp;"''","")</f>
        <v/>
      </c>
      <c r="C1173" s="3" t="str">
        <f>IFERROR(IF(INDEX('PROJETO PERFURAÇÃO'!$P:$P,MATCH(MEDIÇÃO!D1173,'PROJETO PERFURAÇÃO'!$B:$B,0))="Production","P",IF(INDEX('PROJETO PERFURAÇÃO'!$P:$P,MATCH(MEDIÇÃO!D1173,'PROJETO PERFURAÇÃO'!$B:$B,0))="Buffer","B",IF(INDEX('PROJETO PERFURAÇÃO'!$P:$P,MATCH(MEDIÇÃO!D1173,'PROJETO PERFURAÇÃO'!$B:$B,0))="Pre-Splitting","S"))),"")</f>
        <v/>
      </c>
      <c r="D1173" s="14">
        <f t="shared" si="111"/>
        <v>2575</v>
      </c>
      <c r="E1173" s="4" t="str">
        <f>IFERROR(INDEX('LEV R&amp;D'!$D:$D,MATCH(MEDIÇÃO!D1173,'LEV R&amp;D'!$A:$A,0))-INDEX('PROJETO PERFURAÇÃO'!$AH:$AH,MATCH(MEDIÇÃO!D1173,'PROJETO PERFURAÇÃO'!$B:$B,0)),"")</f>
        <v/>
      </c>
      <c r="F1173" s="8" t="str">
        <f>IFERROR(INDEX('PROJETO PERFURAÇÃO'!$AN:$AN,MATCH(MEDIÇÃO!D1173,'PROJETO PERFURAÇÃO'!$B:$B,0)),"")</f>
        <v/>
      </c>
      <c r="G1173" s="3"/>
      <c r="H1173" s="3"/>
      <c r="I1173" s="3" t="str">
        <f>IFERROR(ROUND(INDEX('PROJETO PERFURAÇÃO'!$AB:$AB,MATCH(MEDIÇÃO!K1173,'PROJETO PERFURAÇÃO'!$B:$B,0)),1)&amp;"''","")</f>
        <v/>
      </c>
      <c r="J1173" s="3" t="str">
        <f>IFERROR(IF(INDEX('PROJETO PERFURAÇÃO'!$P:$P,MATCH(MEDIÇÃO!K1173,'PROJETO PERFURAÇÃO'!$B:$B,0))="Production","P",IF(INDEX('PROJETO PERFURAÇÃO'!$P:$P,MATCH(MEDIÇÃO!K1173,'PROJETO PERFURAÇÃO'!$B:$B,0))="Buffer","B",IF(INDEX('PROJETO PERFURAÇÃO'!$P:$P,MATCH(MEDIÇÃO!K1173,'PROJETO PERFURAÇÃO'!$B:$B,0))="Pre-Splitting","S"))),"")</f>
        <v/>
      </c>
      <c r="K1173" s="14">
        <f t="shared" si="112"/>
        <v>2598</v>
      </c>
      <c r="L1173" s="4" t="str">
        <f>IFERROR(INDEX('LEV R&amp;D'!$D:$D,MATCH(MEDIÇÃO!K1173,'LEV R&amp;D'!$A:$A,0))-INDEX('PROJETO PERFURAÇÃO'!$AH:$AH,MATCH(MEDIÇÃO!K1173,'PROJETO PERFURAÇÃO'!$B:$B,0)),"")</f>
        <v/>
      </c>
      <c r="M1173" s="8" t="str">
        <f>IFERROR(INDEX('PROJETO PERFURAÇÃO'!$AN:$AN,MATCH(MEDIÇÃO!K1173,'PROJETO PERFURAÇÃO'!$B:$B,0)),"")</f>
        <v/>
      </c>
      <c r="N1173" s="3"/>
      <c r="O1173" s="3"/>
      <c r="P1173" s="3" t="str">
        <f>IFERROR(ROUND(INDEX('PROJETO PERFURAÇÃO'!$AB:$AB,MATCH(MEDIÇÃO!R1173,'PROJETO PERFURAÇÃO'!$B:$B,0)),1)&amp;"''","")</f>
        <v/>
      </c>
      <c r="Q1173" s="3" t="str">
        <f>IFERROR(IF(INDEX('PROJETO PERFURAÇÃO'!$P:$P,MATCH(MEDIÇÃO!R1173,'PROJETO PERFURAÇÃO'!$B:$B,0))="Production","P",IF(INDEX('PROJETO PERFURAÇÃO'!$P:$P,MATCH(MEDIÇÃO!R1173,'PROJETO PERFURAÇÃO'!$B:$B,0))="Buffer","B",IF(INDEX('PROJETO PERFURAÇÃO'!$P:$P,MATCH(MEDIÇÃO!R1173,'PROJETO PERFURAÇÃO'!$B:$B,0))="Pre-Splitting","S"))),"")</f>
        <v/>
      </c>
      <c r="R1173" s="14">
        <f t="shared" si="113"/>
        <v>2621</v>
      </c>
      <c r="S1173" s="4" t="str">
        <f>IFERROR(INDEX('LEV R&amp;D'!$D:$D,MATCH(MEDIÇÃO!R1173,'LEV R&amp;D'!$A:$A,0))-INDEX('PROJETO PERFURAÇÃO'!$AH:$AH,MATCH(MEDIÇÃO!R1173,'PROJETO PERFURAÇÃO'!$B:$B,0)),"")</f>
        <v/>
      </c>
      <c r="T1173" s="8" t="str">
        <f>IFERROR(INDEX('PROJETO PERFURAÇÃO'!$AN:$AN,MATCH(MEDIÇÃO!R1173,'PROJETO PERFURAÇÃO'!$B:$B,0)),"")</f>
        <v/>
      </c>
      <c r="U1173" s="3"/>
      <c r="V1173" s="3"/>
    </row>
    <row r="1174" spans="1:23" ht="45" customHeight="1" x14ac:dyDescent="0.25">
      <c r="B1174" s="3" t="str">
        <f>IFERROR(ROUND(INDEX('PROJETO PERFURAÇÃO'!$AB:$AB,MATCH(MEDIÇÃO!D1174,'PROJETO PERFURAÇÃO'!$B:$B,0)),1)&amp;"''","")</f>
        <v/>
      </c>
      <c r="C1174" s="3" t="str">
        <f>IFERROR(IF(INDEX('PROJETO PERFURAÇÃO'!$P:$P,MATCH(MEDIÇÃO!D1174,'PROJETO PERFURAÇÃO'!$B:$B,0))="Production","P",IF(INDEX('PROJETO PERFURAÇÃO'!$P:$P,MATCH(MEDIÇÃO!D1174,'PROJETO PERFURAÇÃO'!$B:$B,0))="Buffer","B",IF(INDEX('PROJETO PERFURAÇÃO'!$P:$P,MATCH(MEDIÇÃO!D1174,'PROJETO PERFURAÇÃO'!$B:$B,0))="Pre-Splitting","S"))),"")</f>
        <v/>
      </c>
      <c r="D1174" s="14">
        <f t="shared" si="111"/>
        <v>2576</v>
      </c>
      <c r="E1174" s="4" t="str">
        <f>IFERROR(INDEX('LEV R&amp;D'!$D:$D,MATCH(MEDIÇÃO!D1174,'LEV R&amp;D'!$A:$A,0))-INDEX('PROJETO PERFURAÇÃO'!$AH:$AH,MATCH(MEDIÇÃO!D1174,'PROJETO PERFURAÇÃO'!$B:$B,0)),"")</f>
        <v/>
      </c>
      <c r="F1174" s="8" t="str">
        <f>IFERROR(INDEX('PROJETO PERFURAÇÃO'!$AN:$AN,MATCH(MEDIÇÃO!D1174,'PROJETO PERFURAÇÃO'!$B:$B,0)),"")</f>
        <v/>
      </c>
      <c r="G1174" s="3"/>
      <c r="H1174" s="3"/>
      <c r="I1174" s="3" t="str">
        <f>IFERROR(ROUND(INDEX('PROJETO PERFURAÇÃO'!$AB:$AB,MATCH(MEDIÇÃO!K1174,'PROJETO PERFURAÇÃO'!$B:$B,0)),1)&amp;"''","")</f>
        <v/>
      </c>
      <c r="J1174" s="3" t="str">
        <f>IFERROR(IF(INDEX('PROJETO PERFURAÇÃO'!$P:$P,MATCH(MEDIÇÃO!K1174,'PROJETO PERFURAÇÃO'!$B:$B,0))="Production","P",IF(INDEX('PROJETO PERFURAÇÃO'!$P:$P,MATCH(MEDIÇÃO!K1174,'PROJETO PERFURAÇÃO'!$B:$B,0))="Buffer","B",IF(INDEX('PROJETO PERFURAÇÃO'!$P:$P,MATCH(MEDIÇÃO!K1174,'PROJETO PERFURAÇÃO'!$B:$B,0))="Pre-Splitting","S"))),"")</f>
        <v/>
      </c>
      <c r="K1174" s="14">
        <f>K1173+1</f>
        <v>2599</v>
      </c>
      <c r="L1174" s="4" t="str">
        <f>IFERROR(INDEX('LEV R&amp;D'!$D:$D,MATCH(MEDIÇÃO!K1174,'LEV R&amp;D'!$A:$A,0))-INDEX('PROJETO PERFURAÇÃO'!$AH:$AH,MATCH(MEDIÇÃO!K1174,'PROJETO PERFURAÇÃO'!$B:$B,0)),"")</f>
        <v/>
      </c>
      <c r="M1174" s="8" t="str">
        <f>IFERROR(INDEX('PROJETO PERFURAÇÃO'!$AN:$AN,MATCH(MEDIÇÃO!K1174,'PROJETO PERFURAÇÃO'!$B:$B,0)),"")</f>
        <v/>
      </c>
      <c r="N1174" s="3"/>
      <c r="O1174" s="3"/>
      <c r="P1174" s="3" t="str">
        <f>IFERROR(ROUND(INDEX('PROJETO PERFURAÇÃO'!$AB:$AB,MATCH(MEDIÇÃO!R1174,'PROJETO PERFURAÇÃO'!$B:$B,0)),1)&amp;"''","")</f>
        <v/>
      </c>
      <c r="Q1174" s="3" t="str">
        <f>IFERROR(IF(INDEX('PROJETO PERFURAÇÃO'!$P:$P,MATCH(MEDIÇÃO!R1174,'PROJETO PERFURAÇÃO'!$B:$B,0))="Production","P",IF(INDEX('PROJETO PERFURAÇÃO'!$P:$P,MATCH(MEDIÇÃO!R1174,'PROJETO PERFURAÇÃO'!$B:$B,0))="Buffer","B",IF(INDEX('PROJETO PERFURAÇÃO'!$P:$P,MATCH(MEDIÇÃO!R1174,'PROJETO PERFURAÇÃO'!$B:$B,0))="Pre-Splitting","S"))),"")</f>
        <v/>
      </c>
      <c r="R1174" s="14">
        <f>R1173+1</f>
        <v>2622</v>
      </c>
      <c r="S1174" s="4" t="str">
        <f>IFERROR(INDEX('LEV R&amp;D'!$D:$D,MATCH(MEDIÇÃO!R1174,'LEV R&amp;D'!$A:$A,0))-INDEX('PROJETO PERFURAÇÃO'!$AH:$AH,MATCH(MEDIÇÃO!R1174,'PROJETO PERFURAÇÃO'!$B:$B,0)),"")</f>
        <v/>
      </c>
      <c r="T1174" s="8" t="str">
        <f>IFERROR(INDEX('PROJETO PERFURAÇÃO'!$AN:$AN,MATCH(MEDIÇÃO!R1174,'PROJETO PERFURAÇÃO'!$B:$B,0)),"")</f>
        <v/>
      </c>
      <c r="U1174" s="3"/>
      <c r="V1174" s="3"/>
    </row>
    <row r="1175" spans="1:23" ht="30" customHeight="1" x14ac:dyDescent="0.25">
      <c r="B1175" s="1"/>
      <c r="C1175" s="1"/>
      <c r="D1175" s="15"/>
      <c r="E1175" s="2"/>
      <c r="F1175" s="16"/>
      <c r="G1175" s="1"/>
      <c r="H1175" s="1"/>
      <c r="I1175" s="1"/>
      <c r="J1175" s="1"/>
      <c r="K1175" s="15"/>
      <c r="L1175" s="2"/>
      <c r="M1175" s="16"/>
      <c r="N1175" s="1"/>
      <c r="O1175" s="1"/>
      <c r="P1175" s="1"/>
      <c r="Q1175" s="1"/>
      <c r="R1175" s="15"/>
      <c r="S1175" s="2"/>
      <c r="T1175" s="16"/>
      <c r="U1175" s="1"/>
      <c r="V1175" s="1"/>
    </row>
    <row r="1176" spans="1:23" ht="30" customHeight="1" x14ac:dyDescent="0.25">
      <c r="C1176" s="20"/>
      <c r="D1176" s="20"/>
      <c r="E1176" s="20"/>
      <c r="F1176" s="20"/>
      <c r="G1176" s="20"/>
      <c r="H1176" s="20"/>
      <c r="I1176" s="20"/>
      <c r="J1176" s="20"/>
      <c r="K1176" s="20"/>
      <c r="M1176" s="20"/>
      <c r="N1176" s="20"/>
      <c r="O1176" s="20"/>
      <c r="P1176" s="20"/>
      <c r="Q1176" s="20"/>
      <c r="R1176" s="20"/>
      <c r="S1176" s="20"/>
      <c r="T1176" s="20"/>
      <c r="U1176" s="20"/>
    </row>
    <row r="1177" spans="1:23" ht="30" customHeight="1" x14ac:dyDescent="0.25">
      <c r="C1177" s="21" t="s">
        <v>40</v>
      </c>
      <c r="D1177" s="21"/>
      <c r="E1177" s="21"/>
      <c r="F1177" s="21"/>
      <c r="G1177" s="21"/>
      <c r="H1177" s="21"/>
      <c r="I1177" s="21"/>
      <c r="J1177" s="21"/>
      <c r="K1177" s="21"/>
      <c r="L1177" s="9"/>
      <c r="M1177" s="21" t="s">
        <v>40</v>
      </c>
      <c r="N1177" s="21"/>
      <c r="O1177" s="21"/>
      <c r="P1177" s="21"/>
      <c r="Q1177" s="21"/>
      <c r="R1177" s="21"/>
      <c r="S1177" s="21"/>
      <c r="T1177" s="21"/>
      <c r="U1177" s="21"/>
      <c r="V1177" s="9"/>
    </row>
    <row r="1178" spans="1:23" ht="30" customHeight="1" x14ac:dyDescent="0.25">
      <c r="D1178" s="9"/>
      <c r="E1178" s="9"/>
      <c r="F1178" s="9"/>
      <c r="G1178" s="9"/>
      <c r="H1178" s="9"/>
      <c r="I1178" s="9"/>
      <c r="J1178" s="9"/>
      <c r="K1178" s="9"/>
      <c r="L1178" s="9"/>
      <c r="M1178" s="9"/>
      <c r="N1178" s="9"/>
      <c r="Q1178" s="9"/>
      <c r="R1178" s="9"/>
      <c r="S1178" s="9"/>
      <c r="T1178" s="9"/>
      <c r="U1178" s="9"/>
      <c r="V1178" s="9"/>
    </row>
    <row r="1179" spans="1:23" ht="30" customHeight="1" x14ac:dyDescent="0.25">
      <c r="B1179" s="19" t="str">
        <f>'PROJETO PERFURAÇÃO'!$C$2&amp;" - "&amp;'PROJETO PERFURAÇÃO'!$H$2</f>
        <v>LIB065 - PP0651026</v>
      </c>
      <c r="C1179" s="19"/>
      <c r="D1179" s="19"/>
      <c r="E1179" s="19"/>
      <c r="F1179" s="19"/>
      <c r="G1179" s="19"/>
      <c r="H1179" s="19"/>
      <c r="I1179" s="11" t="s">
        <v>34</v>
      </c>
      <c r="J1179" s="10" t="s">
        <v>37</v>
      </c>
    </row>
    <row r="1180" spans="1:23" ht="30" customHeight="1" x14ac:dyDescent="0.25">
      <c r="B1180" s="19"/>
      <c r="C1180" s="19"/>
      <c r="D1180" s="19"/>
      <c r="E1180" s="19"/>
      <c r="F1180" s="19"/>
      <c r="G1180" s="19"/>
      <c r="H1180" s="19"/>
      <c r="I1180" s="12" t="s">
        <v>35</v>
      </c>
      <c r="J1180" s="10" t="s">
        <v>38</v>
      </c>
      <c r="K1180" s="9"/>
      <c r="L1180" s="9"/>
      <c r="M1180" s="9"/>
      <c r="N1180" s="9"/>
      <c r="O1180" s="9"/>
      <c r="P1180" s="9"/>
      <c r="Q1180" s="9"/>
      <c r="R1180" s="9"/>
      <c r="S1180" s="9"/>
      <c r="T1180" s="9"/>
      <c r="U1180" s="9"/>
      <c r="V1180" s="9"/>
    </row>
    <row r="1181" spans="1:23" ht="30" customHeight="1" x14ac:dyDescent="0.25">
      <c r="B1181" s="19"/>
      <c r="C1181" s="19"/>
      <c r="D1181" s="19"/>
      <c r="E1181" s="19"/>
      <c r="F1181" s="19"/>
      <c r="G1181" s="19"/>
      <c r="H1181" s="19"/>
      <c r="I1181" s="13" t="s">
        <v>36</v>
      </c>
      <c r="J1181" s="10" t="s">
        <v>39</v>
      </c>
    </row>
    <row r="1182" spans="1:23" ht="30" customHeight="1" x14ac:dyDescent="0.25">
      <c r="A1182" s="1"/>
      <c r="B1182" s="6" t="s">
        <v>33</v>
      </c>
      <c r="C1182" s="6" t="s">
        <v>13</v>
      </c>
      <c r="D1182" s="7" t="s">
        <v>1</v>
      </c>
      <c r="E1182" s="7" t="s">
        <v>29</v>
      </c>
      <c r="F1182" s="7" t="s">
        <v>30</v>
      </c>
      <c r="G1182" s="7" t="s">
        <v>31</v>
      </c>
      <c r="H1182" s="7" t="s">
        <v>32</v>
      </c>
      <c r="I1182" s="6" t="s">
        <v>33</v>
      </c>
      <c r="J1182" s="6" t="s">
        <v>13</v>
      </c>
      <c r="K1182" s="7" t="s">
        <v>1</v>
      </c>
      <c r="L1182" s="7" t="s">
        <v>29</v>
      </c>
      <c r="M1182" s="7" t="s">
        <v>30</v>
      </c>
      <c r="N1182" s="7" t="s">
        <v>31</v>
      </c>
      <c r="O1182" s="7" t="s">
        <v>32</v>
      </c>
      <c r="P1182" s="6" t="s">
        <v>33</v>
      </c>
      <c r="Q1182" s="6" t="s">
        <v>13</v>
      </c>
      <c r="R1182" s="7" t="s">
        <v>1</v>
      </c>
      <c r="S1182" s="7" t="s">
        <v>29</v>
      </c>
      <c r="T1182" s="7" t="s">
        <v>30</v>
      </c>
      <c r="U1182" s="7" t="s">
        <v>31</v>
      </c>
      <c r="V1182" s="7" t="s">
        <v>32</v>
      </c>
      <c r="W1182" s="1"/>
    </row>
    <row r="1183" spans="1:23" ht="45" customHeight="1" x14ac:dyDescent="0.25">
      <c r="B1183" s="3" t="str">
        <f>IFERROR(ROUND(INDEX('PROJETO PERFURAÇÃO'!$AB:$AB,MATCH(MEDIÇÃO!D1183,'PROJETO PERFURAÇÃO'!$B:$B,0)),1)&amp;"''","")</f>
        <v/>
      </c>
      <c r="C1183" s="3" t="str">
        <f>IFERROR(IF(INDEX('PROJETO PERFURAÇÃO'!$P:$P,MATCH(MEDIÇÃO!D1183,'PROJETO PERFURAÇÃO'!$B:$B,0))="Production","P",IF(INDEX('PROJETO PERFURAÇÃO'!$P:$P,MATCH(MEDIÇÃO!D1183,'PROJETO PERFURAÇÃO'!$B:$B,0))="Buffer","B",IF(INDEX('PROJETO PERFURAÇÃO'!$P:$P,MATCH(MEDIÇÃO!D1183,'PROJETO PERFURAÇÃO'!$B:$B,0))="Pre-Splitting","S"))),"")</f>
        <v/>
      </c>
      <c r="D1183" s="14">
        <f>R1174+1</f>
        <v>2623</v>
      </c>
      <c r="E1183" s="4" t="str">
        <f>IFERROR(INDEX('LEV R&amp;D'!$D:$D,MATCH(MEDIÇÃO!D1183,'LEV R&amp;D'!$A:$A,0))-INDEX('PROJETO PERFURAÇÃO'!$AH:$AH,MATCH(MEDIÇÃO!D1183,'PROJETO PERFURAÇÃO'!$B:$B,0)),"")</f>
        <v/>
      </c>
      <c r="F1183" s="8" t="str">
        <f>IFERROR(INDEX('PROJETO PERFURAÇÃO'!$AN:$AN,MATCH(MEDIÇÃO!D1183,'PROJETO PERFURAÇÃO'!$B:$B,0)),"")</f>
        <v/>
      </c>
      <c r="G1183" s="3"/>
      <c r="H1183" s="3"/>
      <c r="I1183" s="3" t="str">
        <f>IFERROR(ROUND(INDEX('PROJETO PERFURAÇÃO'!$AB:$AB,MATCH(MEDIÇÃO!K1183,'PROJETO PERFURAÇÃO'!$B:$B,0)),1)&amp;"''","")</f>
        <v/>
      </c>
      <c r="J1183" s="3" t="str">
        <f>IFERROR(IF(INDEX('PROJETO PERFURAÇÃO'!$P:$P,MATCH(MEDIÇÃO!K1183,'PROJETO PERFURAÇÃO'!$B:$B,0))="Production","P",IF(INDEX('PROJETO PERFURAÇÃO'!$P:$P,MATCH(MEDIÇÃO!K1183,'PROJETO PERFURAÇÃO'!$B:$B,0))="Buffer","B",IF(INDEX('PROJETO PERFURAÇÃO'!$P:$P,MATCH(MEDIÇÃO!K1183,'PROJETO PERFURAÇÃO'!$B:$B,0))="Pre-Splitting","S"))),"")</f>
        <v/>
      </c>
      <c r="K1183" s="14">
        <f>D1205+1</f>
        <v>2646</v>
      </c>
      <c r="L1183" s="4" t="str">
        <f>IFERROR(INDEX('LEV R&amp;D'!$D:$D,MATCH(MEDIÇÃO!K1183,'LEV R&amp;D'!$A:$A,0))-INDEX('PROJETO PERFURAÇÃO'!$AH:$AH,MATCH(MEDIÇÃO!K1183,'PROJETO PERFURAÇÃO'!$B:$B,0)),"")</f>
        <v/>
      </c>
      <c r="M1183" s="8" t="str">
        <f>IFERROR(INDEX('PROJETO PERFURAÇÃO'!$AN:$AN,MATCH(MEDIÇÃO!K1183,'PROJETO PERFURAÇÃO'!$B:$B,0)),"")</f>
        <v/>
      </c>
      <c r="N1183" s="3"/>
      <c r="O1183" s="3"/>
      <c r="P1183" s="3" t="str">
        <f>IFERROR(ROUND(INDEX('PROJETO PERFURAÇÃO'!$AB:$AB,MATCH(MEDIÇÃO!R1183,'PROJETO PERFURAÇÃO'!$B:$B,0)),1)&amp;"''","")</f>
        <v/>
      </c>
      <c r="Q1183" s="3" t="str">
        <f>IFERROR(IF(INDEX('PROJETO PERFURAÇÃO'!$P:$P,MATCH(MEDIÇÃO!R1183,'PROJETO PERFURAÇÃO'!$B:$B,0))="Production","P",IF(INDEX('PROJETO PERFURAÇÃO'!$P:$P,MATCH(MEDIÇÃO!R1183,'PROJETO PERFURAÇÃO'!$B:$B,0))="Buffer","B",IF(INDEX('PROJETO PERFURAÇÃO'!$P:$P,MATCH(MEDIÇÃO!R1183,'PROJETO PERFURAÇÃO'!$B:$B,0))="Pre-Splitting","S"))),"")</f>
        <v/>
      </c>
      <c r="R1183" s="14">
        <f>K1205+1</f>
        <v>2669</v>
      </c>
      <c r="S1183" s="4" t="str">
        <f>IFERROR(INDEX('LEV R&amp;D'!$D:$D,MATCH(MEDIÇÃO!R1183,'LEV R&amp;D'!$A:$A,0))-INDEX('PROJETO PERFURAÇÃO'!$AH:$AH,MATCH(MEDIÇÃO!R1183,'PROJETO PERFURAÇÃO'!$B:$B,0)),"")</f>
        <v/>
      </c>
      <c r="T1183" s="8" t="str">
        <f>IFERROR(INDEX('PROJETO PERFURAÇÃO'!$AN:$AN,MATCH(MEDIÇÃO!R1183,'PROJETO PERFURAÇÃO'!$B:$B,0)),"")</f>
        <v/>
      </c>
      <c r="U1183" s="3"/>
      <c r="V1183" s="3"/>
    </row>
    <row r="1184" spans="1:23" ht="45" customHeight="1" x14ac:dyDescent="0.25">
      <c r="B1184" s="3" t="str">
        <f>IFERROR(ROUND(INDEX('PROJETO PERFURAÇÃO'!$AB:$AB,MATCH(MEDIÇÃO!D1184,'PROJETO PERFURAÇÃO'!$B:$B,0)),1)&amp;"''","")</f>
        <v/>
      </c>
      <c r="C1184" s="3" t="str">
        <f>IFERROR(IF(INDEX('PROJETO PERFURAÇÃO'!$P:$P,MATCH(MEDIÇÃO!D1184,'PROJETO PERFURAÇÃO'!$B:$B,0))="Production","P",IF(INDEX('PROJETO PERFURAÇÃO'!$P:$P,MATCH(MEDIÇÃO!D1184,'PROJETO PERFURAÇÃO'!$B:$B,0))="Buffer","B",IF(INDEX('PROJETO PERFURAÇÃO'!$P:$P,MATCH(MEDIÇÃO!D1184,'PROJETO PERFURAÇÃO'!$B:$B,0))="Pre-Splitting","S"))),"")</f>
        <v/>
      </c>
      <c r="D1184" s="14">
        <f>D1183+1</f>
        <v>2624</v>
      </c>
      <c r="E1184" s="4" t="str">
        <f>IFERROR(INDEX('LEV R&amp;D'!$D:$D,MATCH(MEDIÇÃO!D1184,'LEV R&amp;D'!$A:$A,0))-INDEX('PROJETO PERFURAÇÃO'!$AH:$AH,MATCH(MEDIÇÃO!D1184,'PROJETO PERFURAÇÃO'!$B:$B,0)),"")</f>
        <v/>
      </c>
      <c r="F1184" s="8" t="str">
        <f>IFERROR(INDEX('PROJETO PERFURAÇÃO'!$AN:$AN,MATCH(MEDIÇÃO!D1184,'PROJETO PERFURAÇÃO'!$B:$B,0)),"")</f>
        <v/>
      </c>
      <c r="G1184" s="3"/>
      <c r="H1184" s="3"/>
      <c r="I1184" s="3" t="str">
        <f>IFERROR(ROUND(INDEX('PROJETO PERFURAÇÃO'!$AB:$AB,MATCH(MEDIÇÃO!K1184,'PROJETO PERFURAÇÃO'!$B:$B,0)),1)&amp;"''","")</f>
        <v/>
      </c>
      <c r="J1184" s="3" t="str">
        <f>IFERROR(IF(INDEX('PROJETO PERFURAÇÃO'!$P:$P,MATCH(MEDIÇÃO!K1184,'PROJETO PERFURAÇÃO'!$B:$B,0))="Production","P",IF(INDEX('PROJETO PERFURAÇÃO'!$P:$P,MATCH(MEDIÇÃO!K1184,'PROJETO PERFURAÇÃO'!$B:$B,0))="Buffer","B",IF(INDEX('PROJETO PERFURAÇÃO'!$P:$P,MATCH(MEDIÇÃO!K1184,'PROJETO PERFURAÇÃO'!$B:$B,0))="Pre-Splitting","S"))),"")</f>
        <v/>
      </c>
      <c r="K1184" s="14">
        <f>K1183+1</f>
        <v>2647</v>
      </c>
      <c r="L1184" s="4" t="str">
        <f>IFERROR(INDEX('LEV R&amp;D'!$D:$D,MATCH(MEDIÇÃO!K1184,'LEV R&amp;D'!$A:$A,0))-INDEX('PROJETO PERFURAÇÃO'!$AH:$AH,MATCH(MEDIÇÃO!K1184,'PROJETO PERFURAÇÃO'!$B:$B,0)),"")</f>
        <v/>
      </c>
      <c r="M1184" s="8" t="str">
        <f>IFERROR(INDEX('PROJETO PERFURAÇÃO'!$AN:$AN,MATCH(MEDIÇÃO!K1184,'PROJETO PERFURAÇÃO'!$B:$B,0)),"")</f>
        <v/>
      </c>
      <c r="N1184" s="3"/>
      <c r="O1184" s="3"/>
      <c r="P1184" s="3" t="str">
        <f>IFERROR(ROUND(INDEX('PROJETO PERFURAÇÃO'!$AB:$AB,MATCH(MEDIÇÃO!R1184,'PROJETO PERFURAÇÃO'!$B:$B,0)),1)&amp;"''","")</f>
        <v/>
      </c>
      <c r="Q1184" s="3" t="str">
        <f>IFERROR(IF(INDEX('PROJETO PERFURAÇÃO'!$P:$P,MATCH(MEDIÇÃO!R1184,'PROJETO PERFURAÇÃO'!$B:$B,0))="Production","P",IF(INDEX('PROJETO PERFURAÇÃO'!$P:$P,MATCH(MEDIÇÃO!R1184,'PROJETO PERFURAÇÃO'!$B:$B,0))="Buffer","B",IF(INDEX('PROJETO PERFURAÇÃO'!$P:$P,MATCH(MEDIÇÃO!R1184,'PROJETO PERFURAÇÃO'!$B:$B,0))="Pre-Splitting","S"))),"")</f>
        <v/>
      </c>
      <c r="R1184" s="14">
        <f>R1183+1</f>
        <v>2670</v>
      </c>
      <c r="S1184" s="4" t="str">
        <f>IFERROR(INDEX('LEV R&amp;D'!$D:$D,MATCH(MEDIÇÃO!R1184,'LEV R&amp;D'!$A:$A,0))-INDEX('PROJETO PERFURAÇÃO'!$AH:$AH,MATCH(MEDIÇÃO!R1184,'PROJETO PERFURAÇÃO'!$B:$B,0)),"")</f>
        <v/>
      </c>
      <c r="T1184" s="8" t="str">
        <f>IFERROR(INDEX('PROJETO PERFURAÇÃO'!$AN:$AN,MATCH(MEDIÇÃO!R1184,'PROJETO PERFURAÇÃO'!$B:$B,0)),"")</f>
        <v/>
      </c>
      <c r="U1184" s="3"/>
      <c r="V1184" s="3"/>
    </row>
    <row r="1185" spans="2:22" ht="45" customHeight="1" x14ac:dyDescent="0.25">
      <c r="B1185" s="3" t="str">
        <f>IFERROR(ROUND(INDEX('PROJETO PERFURAÇÃO'!$AB:$AB,MATCH(MEDIÇÃO!D1185,'PROJETO PERFURAÇÃO'!$B:$B,0)),1)&amp;"''","")</f>
        <v/>
      </c>
      <c r="C1185" s="3" t="str">
        <f>IFERROR(IF(INDEX('PROJETO PERFURAÇÃO'!$P:$P,MATCH(MEDIÇÃO!D1185,'PROJETO PERFURAÇÃO'!$B:$B,0))="Production","P",IF(INDEX('PROJETO PERFURAÇÃO'!$P:$P,MATCH(MEDIÇÃO!D1185,'PROJETO PERFURAÇÃO'!$B:$B,0))="Buffer","B",IF(INDEX('PROJETO PERFURAÇÃO'!$P:$P,MATCH(MEDIÇÃO!D1185,'PROJETO PERFURAÇÃO'!$B:$B,0))="Pre-Splitting","S"))),"")</f>
        <v/>
      </c>
      <c r="D1185" s="14">
        <f t="shared" ref="D1185:D1205" si="114">D1184+1</f>
        <v>2625</v>
      </c>
      <c r="E1185" s="4" t="str">
        <f>IFERROR(INDEX('LEV R&amp;D'!$D:$D,MATCH(MEDIÇÃO!D1185,'LEV R&amp;D'!$A:$A,0))-INDEX('PROJETO PERFURAÇÃO'!$AH:$AH,MATCH(MEDIÇÃO!D1185,'PROJETO PERFURAÇÃO'!$B:$B,0)),"")</f>
        <v/>
      </c>
      <c r="F1185" s="8" t="str">
        <f>IFERROR(INDEX('PROJETO PERFURAÇÃO'!$AN:$AN,MATCH(MEDIÇÃO!D1185,'PROJETO PERFURAÇÃO'!$B:$B,0)),"")</f>
        <v/>
      </c>
      <c r="G1185" s="3"/>
      <c r="H1185" s="3"/>
      <c r="I1185" s="3" t="str">
        <f>IFERROR(ROUND(INDEX('PROJETO PERFURAÇÃO'!$AB:$AB,MATCH(MEDIÇÃO!K1185,'PROJETO PERFURAÇÃO'!$B:$B,0)),1)&amp;"''","")</f>
        <v/>
      </c>
      <c r="J1185" s="3" t="str">
        <f>IFERROR(IF(INDEX('PROJETO PERFURAÇÃO'!$P:$P,MATCH(MEDIÇÃO!K1185,'PROJETO PERFURAÇÃO'!$B:$B,0))="Production","P",IF(INDEX('PROJETO PERFURAÇÃO'!$P:$P,MATCH(MEDIÇÃO!K1185,'PROJETO PERFURAÇÃO'!$B:$B,0))="Buffer","B",IF(INDEX('PROJETO PERFURAÇÃO'!$P:$P,MATCH(MEDIÇÃO!K1185,'PROJETO PERFURAÇÃO'!$B:$B,0))="Pre-Splitting","S"))),"")</f>
        <v/>
      </c>
      <c r="K1185" s="14">
        <f t="shared" ref="K1185:K1204" si="115">K1184+1</f>
        <v>2648</v>
      </c>
      <c r="L1185" s="4" t="str">
        <f>IFERROR(INDEX('LEV R&amp;D'!$D:$D,MATCH(MEDIÇÃO!K1185,'LEV R&amp;D'!$A:$A,0))-INDEX('PROJETO PERFURAÇÃO'!$AH:$AH,MATCH(MEDIÇÃO!K1185,'PROJETO PERFURAÇÃO'!$B:$B,0)),"")</f>
        <v/>
      </c>
      <c r="M1185" s="8" t="str">
        <f>IFERROR(INDEX('PROJETO PERFURAÇÃO'!$AN:$AN,MATCH(MEDIÇÃO!K1185,'PROJETO PERFURAÇÃO'!$B:$B,0)),"")</f>
        <v/>
      </c>
      <c r="N1185" s="3"/>
      <c r="O1185" s="3"/>
      <c r="P1185" s="3" t="str">
        <f>IFERROR(ROUND(INDEX('PROJETO PERFURAÇÃO'!$AB:$AB,MATCH(MEDIÇÃO!R1185,'PROJETO PERFURAÇÃO'!$B:$B,0)),1)&amp;"''","")</f>
        <v/>
      </c>
      <c r="Q1185" s="3" t="str">
        <f>IFERROR(IF(INDEX('PROJETO PERFURAÇÃO'!$P:$P,MATCH(MEDIÇÃO!R1185,'PROJETO PERFURAÇÃO'!$B:$B,0))="Production","P",IF(INDEX('PROJETO PERFURAÇÃO'!$P:$P,MATCH(MEDIÇÃO!R1185,'PROJETO PERFURAÇÃO'!$B:$B,0))="Buffer","B",IF(INDEX('PROJETO PERFURAÇÃO'!$P:$P,MATCH(MEDIÇÃO!R1185,'PROJETO PERFURAÇÃO'!$B:$B,0))="Pre-Splitting","S"))),"")</f>
        <v/>
      </c>
      <c r="R1185" s="14">
        <f t="shared" ref="R1185:R1204" si="116">R1184+1</f>
        <v>2671</v>
      </c>
      <c r="S1185" s="4" t="str">
        <f>IFERROR(INDEX('LEV R&amp;D'!$D:$D,MATCH(MEDIÇÃO!R1185,'LEV R&amp;D'!$A:$A,0))-INDEX('PROJETO PERFURAÇÃO'!$AH:$AH,MATCH(MEDIÇÃO!R1185,'PROJETO PERFURAÇÃO'!$B:$B,0)),"")</f>
        <v/>
      </c>
      <c r="T1185" s="8" t="str">
        <f>IFERROR(INDEX('PROJETO PERFURAÇÃO'!$AN:$AN,MATCH(MEDIÇÃO!R1185,'PROJETO PERFURAÇÃO'!$B:$B,0)),"")</f>
        <v/>
      </c>
      <c r="U1185" s="3"/>
      <c r="V1185" s="3"/>
    </row>
    <row r="1186" spans="2:22" ht="45" customHeight="1" x14ac:dyDescent="0.25">
      <c r="B1186" s="3" t="str">
        <f>IFERROR(ROUND(INDEX('PROJETO PERFURAÇÃO'!$AB:$AB,MATCH(MEDIÇÃO!D1186,'PROJETO PERFURAÇÃO'!$B:$B,0)),1)&amp;"''","")</f>
        <v/>
      </c>
      <c r="C1186" s="3" t="str">
        <f>IFERROR(IF(INDEX('PROJETO PERFURAÇÃO'!$P:$P,MATCH(MEDIÇÃO!D1186,'PROJETO PERFURAÇÃO'!$B:$B,0))="Production","P",IF(INDEX('PROJETO PERFURAÇÃO'!$P:$P,MATCH(MEDIÇÃO!D1186,'PROJETO PERFURAÇÃO'!$B:$B,0))="Buffer","B",IF(INDEX('PROJETO PERFURAÇÃO'!$P:$P,MATCH(MEDIÇÃO!D1186,'PROJETO PERFURAÇÃO'!$B:$B,0))="Pre-Splitting","S"))),"")</f>
        <v/>
      </c>
      <c r="D1186" s="14">
        <f t="shared" si="114"/>
        <v>2626</v>
      </c>
      <c r="E1186" s="4" t="str">
        <f>IFERROR(INDEX('LEV R&amp;D'!$D:$D,MATCH(MEDIÇÃO!D1186,'LEV R&amp;D'!$A:$A,0))-INDEX('PROJETO PERFURAÇÃO'!$AH:$AH,MATCH(MEDIÇÃO!D1186,'PROJETO PERFURAÇÃO'!$B:$B,0)),"")</f>
        <v/>
      </c>
      <c r="F1186" s="8" t="str">
        <f>IFERROR(INDEX('PROJETO PERFURAÇÃO'!$AN:$AN,MATCH(MEDIÇÃO!D1186,'PROJETO PERFURAÇÃO'!$B:$B,0)),"")</f>
        <v/>
      </c>
      <c r="G1186" s="3"/>
      <c r="H1186" s="3"/>
      <c r="I1186" s="3" t="str">
        <f>IFERROR(ROUND(INDEX('PROJETO PERFURAÇÃO'!$AB:$AB,MATCH(MEDIÇÃO!K1186,'PROJETO PERFURAÇÃO'!$B:$B,0)),1)&amp;"''","")</f>
        <v/>
      </c>
      <c r="J1186" s="3" t="str">
        <f>IFERROR(IF(INDEX('PROJETO PERFURAÇÃO'!$P:$P,MATCH(MEDIÇÃO!K1186,'PROJETO PERFURAÇÃO'!$B:$B,0))="Production","P",IF(INDEX('PROJETO PERFURAÇÃO'!$P:$P,MATCH(MEDIÇÃO!K1186,'PROJETO PERFURAÇÃO'!$B:$B,0))="Buffer","B",IF(INDEX('PROJETO PERFURAÇÃO'!$P:$P,MATCH(MEDIÇÃO!K1186,'PROJETO PERFURAÇÃO'!$B:$B,0))="Pre-Splitting","S"))),"")</f>
        <v/>
      </c>
      <c r="K1186" s="14">
        <f t="shared" si="115"/>
        <v>2649</v>
      </c>
      <c r="L1186" s="4" t="str">
        <f>IFERROR(INDEX('LEV R&amp;D'!$D:$D,MATCH(MEDIÇÃO!K1186,'LEV R&amp;D'!$A:$A,0))-INDEX('PROJETO PERFURAÇÃO'!$AH:$AH,MATCH(MEDIÇÃO!K1186,'PROJETO PERFURAÇÃO'!$B:$B,0)),"")</f>
        <v/>
      </c>
      <c r="M1186" s="8" t="str">
        <f>IFERROR(INDEX('PROJETO PERFURAÇÃO'!$AN:$AN,MATCH(MEDIÇÃO!K1186,'PROJETO PERFURAÇÃO'!$B:$B,0)),"")</f>
        <v/>
      </c>
      <c r="N1186" s="3"/>
      <c r="O1186" s="3"/>
      <c r="P1186" s="3" t="str">
        <f>IFERROR(ROUND(INDEX('PROJETO PERFURAÇÃO'!$AB:$AB,MATCH(MEDIÇÃO!R1186,'PROJETO PERFURAÇÃO'!$B:$B,0)),1)&amp;"''","")</f>
        <v/>
      </c>
      <c r="Q1186" s="3" t="str">
        <f>IFERROR(IF(INDEX('PROJETO PERFURAÇÃO'!$P:$P,MATCH(MEDIÇÃO!R1186,'PROJETO PERFURAÇÃO'!$B:$B,0))="Production","P",IF(INDEX('PROJETO PERFURAÇÃO'!$P:$P,MATCH(MEDIÇÃO!R1186,'PROJETO PERFURAÇÃO'!$B:$B,0))="Buffer","B",IF(INDEX('PROJETO PERFURAÇÃO'!$P:$P,MATCH(MEDIÇÃO!R1186,'PROJETO PERFURAÇÃO'!$B:$B,0))="Pre-Splitting","S"))),"")</f>
        <v/>
      </c>
      <c r="R1186" s="14">
        <f t="shared" si="116"/>
        <v>2672</v>
      </c>
      <c r="S1186" s="4" t="str">
        <f>IFERROR(INDEX('LEV R&amp;D'!$D:$D,MATCH(MEDIÇÃO!R1186,'LEV R&amp;D'!$A:$A,0))-INDEX('PROJETO PERFURAÇÃO'!$AH:$AH,MATCH(MEDIÇÃO!R1186,'PROJETO PERFURAÇÃO'!$B:$B,0)),"")</f>
        <v/>
      </c>
      <c r="T1186" s="8" t="str">
        <f>IFERROR(INDEX('PROJETO PERFURAÇÃO'!$AN:$AN,MATCH(MEDIÇÃO!R1186,'PROJETO PERFURAÇÃO'!$B:$B,0)),"")</f>
        <v/>
      </c>
      <c r="U1186" s="3"/>
      <c r="V1186" s="3"/>
    </row>
    <row r="1187" spans="2:22" ht="45" customHeight="1" x14ac:dyDescent="0.25">
      <c r="B1187" s="3" t="str">
        <f>IFERROR(ROUND(INDEX('PROJETO PERFURAÇÃO'!$AB:$AB,MATCH(MEDIÇÃO!D1187,'PROJETO PERFURAÇÃO'!$B:$B,0)),1)&amp;"''","")</f>
        <v/>
      </c>
      <c r="C1187" s="3" t="str">
        <f>IFERROR(IF(INDEX('PROJETO PERFURAÇÃO'!$P:$P,MATCH(MEDIÇÃO!D1187,'PROJETO PERFURAÇÃO'!$B:$B,0))="Production","P",IF(INDEX('PROJETO PERFURAÇÃO'!$P:$P,MATCH(MEDIÇÃO!D1187,'PROJETO PERFURAÇÃO'!$B:$B,0))="Buffer","B",IF(INDEX('PROJETO PERFURAÇÃO'!$P:$P,MATCH(MEDIÇÃO!D1187,'PROJETO PERFURAÇÃO'!$B:$B,0))="Pre-Splitting","S"))),"")</f>
        <v/>
      </c>
      <c r="D1187" s="14">
        <f t="shared" si="114"/>
        <v>2627</v>
      </c>
      <c r="E1187" s="4" t="str">
        <f>IFERROR(INDEX('LEV R&amp;D'!$D:$D,MATCH(MEDIÇÃO!D1187,'LEV R&amp;D'!$A:$A,0))-INDEX('PROJETO PERFURAÇÃO'!$AH:$AH,MATCH(MEDIÇÃO!D1187,'PROJETO PERFURAÇÃO'!$B:$B,0)),"")</f>
        <v/>
      </c>
      <c r="F1187" s="8" t="str">
        <f>IFERROR(INDEX('PROJETO PERFURAÇÃO'!$AN:$AN,MATCH(MEDIÇÃO!D1187,'PROJETO PERFURAÇÃO'!$B:$B,0)),"")</f>
        <v/>
      </c>
      <c r="G1187" s="3"/>
      <c r="H1187" s="3"/>
      <c r="I1187" s="3" t="str">
        <f>IFERROR(ROUND(INDEX('PROJETO PERFURAÇÃO'!$AB:$AB,MATCH(MEDIÇÃO!K1187,'PROJETO PERFURAÇÃO'!$B:$B,0)),1)&amp;"''","")</f>
        <v/>
      </c>
      <c r="J1187" s="3" t="str">
        <f>IFERROR(IF(INDEX('PROJETO PERFURAÇÃO'!$P:$P,MATCH(MEDIÇÃO!K1187,'PROJETO PERFURAÇÃO'!$B:$B,0))="Production","P",IF(INDEX('PROJETO PERFURAÇÃO'!$P:$P,MATCH(MEDIÇÃO!K1187,'PROJETO PERFURAÇÃO'!$B:$B,0))="Buffer","B",IF(INDEX('PROJETO PERFURAÇÃO'!$P:$P,MATCH(MEDIÇÃO!K1187,'PROJETO PERFURAÇÃO'!$B:$B,0))="Pre-Splitting","S"))),"")</f>
        <v/>
      </c>
      <c r="K1187" s="14">
        <f t="shared" si="115"/>
        <v>2650</v>
      </c>
      <c r="L1187" s="4" t="str">
        <f>IFERROR(INDEX('LEV R&amp;D'!$D:$D,MATCH(MEDIÇÃO!K1187,'LEV R&amp;D'!$A:$A,0))-INDEX('PROJETO PERFURAÇÃO'!$AH:$AH,MATCH(MEDIÇÃO!K1187,'PROJETO PERFURAÇÃO'!$B:$B,0)),"")</f>
        <v/>
      </c>
      <c r="M1187" s="8" t="str">
        <f>IFERROR(INDEX('PROJETO PERFURAÇÃO'!$AN:$AN,MATCH(MEDIÇÃO!K1187,'PROJETO PERFURAÇÃO'!$B:$B,0)),"")</f>
        <v/>
      </c>
      <c r="N1187" s="3"/>
      <c r="O1187" s="3"/>
      <c r="P1187" s="3" t="str">
        <f>IFERROR(ROUND(INDEX('PROJETO PERFURAÇÃO'!$AB:$AB,MATCH(MEDIÇÃO!R1187,'PROJETO PERFURAÇÃO'!$B:$B,0)),1)&amp;"''","")</f>
        <v/>
      </c>
      <c r="Q1187" s="3" t="str">
        <f>IFERROR(IF(INDEX('PROJETO PERFURAÇÃO'!$P:$P,MATCH(MEDIÇÃO!R1187,'PROJETO PERFURAÇÃO'!$B:$B,0))="Production","P",IF(INDEX('PROJETO PERFURAÇÃO'!$P:$P,MATCH(MEDIÇÃO!R1187,'PROJETO PERFURAÇÃO'!$B:$B,0))="Buffer","B",IF(INDEX('PROJETO PERFURAÇÃO'!$P:$P,MATCH(MEDIÇÃO!R1187,'PROJETO PERFURAÇÃO'!$B:$B,0))="Pre-Splitting","S"))),"")</f>
        <v/>
      </c>
      <c r="R1187" s="14">
        <f t="shared" si="116"/>
        <v>2673</v>
      </c>
      <c r="S1187" s="4" t="str">
        <f>IFERROR(INDEX('LEV R&amp;D'!$D:$D,MATCH(MEDIÇÃO!R1187,'LEV R&amp;D'!$A:$A,0))-INDEX('PROJETO PERFURAÇÃO'!$AH:$AH,MATCH(MEDIÇÃO!R1187,'PROJETO PERFURAÇÃO'!$B:$B,0)),"")</f>
        <v/>
      </c>
      <c r="T1187" s="8" t="str">
        <f>IFERROR(INDEX('PROJETO PERFURAÇÃO'!$AN:$AN,MATCH(MEDIÇÃO!R1187,'PROJETO PERFURAÇÃO'!$B:$B,0)),"")</f>
        <v/>
      </c>
      <c r="U1187" s="3"/>
      <c r="V1187" s="3"/>
    </row>
    <row r="1188" spans="2:22" ht="45" customHeight="1" x14ac:dyDescent="0.25">
      <c r="B1188" s="3" t="str">
        <f>IFERROR(ROUND(INDEX('PROJETO PERFURAÇÃO'!$AB:$AB,MATCH(MEDIÇÃO!D1188,'PROJETO PERFURAÇÃO'!$B:$B,0)),1)&amp;"''","")</f>
        <v/>
      </c>
      <c r="C1188" s="3" t="str">
        <f>IFERROR(IF(INDEX('PROJETO PERFURAÇÃO'!$P:$P,MATCH(MEDIÇÃO!D1188,'PROJETO PERFURAÇÃO'!$B:$B,0))="Production","P",IF(INDEX('PROJETO PERFURAÇÃO'!$P:$P,MATCH(MEDIÇÃO!D1188,'PROJETO PERFURAÇÃO'!$B:$B,0))="Buffer","B",IF(INDEX('PROJETO PERFURAÇÃO'!$P:$P,MATCH(MEDIÇÃO!D1188,'PROJETO PERFURAÇÃO'!$B:$B,0))="Pre-Splitting","S"))),"")</f>
        <v/>
      </c>
      <c r="D1188" s="14">
        <f t="shared" si="114"/>
        <v>2628</v>
      </c>
      <c r="E1188" s="4" t="str">
        <f>IFERROR(INDEX('LEV R&amp;D'!$D:$D,MATCH(MEDIÇÃO!D1188,'LEV R&amp;D'!$A:$A,0))-INDEX('PROJETO PERFURAÇÃO'!$AH:$AH,MATCH(MEDIÇÃO!D1188,'PROJETO PERFURAÇÃO'!$B:$B,0)),"")</f>
        <v/>
      </c>
      <c r="F1188" s="8" t="str">
        <f>IFERROR(INDEX('PROJETO PERFURAÇÃO'!$AN:$AN,MATCH(MEDIÇÃO!D1188,'PROJETO PERFURAÇÃO'!$B:$B,0)),"")</f>
        <v/>
      </c>
      <c r="G1188" s="3"/>
      <c r="H1188" s="3"/>
      <c r="I1188" s="3" t="str">
        <f>IFERROR(ROUND(INDEX('PROJETO PERFURAÇÃO'!$AB:$AB,MATCH(MEDIÇÃO!K1188,'PROJETO PERFURAÇÃO'!$B:$B,0)),1)&amp;"''","")</f>
        <v/>
      </c>
      <c r="J1188" s="3" t="str">
        <f>IFERROR(IF(INDEX('PROJETO PERFURAÇÃO'!$P:$P,MATCH(MEDIÇÃO!K1188,'PROJETO PERFURAÇÃO'!$B:$B,0))="Production","P",IF(INDEX('PROJETO PERFURAÇÃO'!$P:$P,MATCH(MEDIÇÃO!K1188,'PROJETO PERFURAÇÃO'!$B:$B,0))="Buffer","B",IF(INDEX('PROJETO PERFURAÇÃO'!$P:$P,MATCH(MEDIÇÃO!K1188,'PROJETO PERFURAÇÃO'!$B:$B,0))="Pre-Splitting","S"))),"")</f>
        <v/>
      </c>
      <c r="K1188" s="14">
        <f t="shared" si="115"/>
        <v>2651</v>
      </c>
      <c r="L1188" s="4" t="str">
        <f>IFERROR(INDEX('LEV R&amp;D'!$D:$D,MATCH(MEDIÇÃO!K1188,'LEV R&amp;D'!$A:$A,0))-INDEX('PROJETO PERFURAÇÃO'!$AH:$AH,MATCH(MEDIÇÃO!K1188,'PROJETO PERFURAÇÃO'!$B:$B,0)),"")</f>
        <v/>
      </c>
      <c r="M1188" s="8" t="str">
        <f>IFERROR(INDEX('PROJETO PERFURAÇÃO'!$AN:$AN,MATCH(MEDIÇÃO!K1188,'PROJETO PERFURAÇÃO'!$B:$B,0)),"")</f>
        <v/>
      </c>
      <c r="N1188" s="3"/>
      <c r="O1188" s="3"/>
      <c r="P1188" s="3" t="str">
        <f>IFERROR(ROUND(INDEX('PROJETO PERFURAÇÃO'!$AB:$AB,MATCH(MEDIÇÃO!R1188,'PROJETO PERFURAÇÃO'!$B:$B,0)),1)&amp;"''","")</f>
        <v/>
      </c>
      <c r="Q1188" s="3" t="str">
        <f>IFERROR(IF(INDEX('PROJETO PERFURAÇÃO'!$P:$P,MATCH(MEDIÇÃO!R1188,'PROJETO PERFURAÇÃO'!$B:$B,0))="Production","P",IF(INDEX('PROJETO PERFURAÇÃO'!$P:$P,MATCH(MEDIÇÃO!R1188,'PROJETO PERFURAÇÃO'!$B:$B,0))="Buffer","B",IF(INDEX('PROJETO PERFURAÇÃO'!$P:$P,MATCH(MEDIÇÃO!R1188,'PROJETO PERFURAÇÃO'!$B:$B,0))="Pre-Splitting","S"))),"")</f>
        <v/>
      </c>
      <c r="R1188" s="14">
        <f t="shared" si="116"/>
        <v>2674</v>
      </c>
      <c r="S1188" s="4" t="str">
        <f>IFERROR(INDEX('LEV R&amp;D'!$D:$D,MATCH(MEDIÇÃO!R1188,'LEV R&amp;D'!$A:$A,0))-INDEX('PROJETO PERFURAÇÃO'!$AH:$AH,MATCH(MEDIÇÃO!R1188,'PROJETO PERFURAÇÃO'!$B:$B,0)),"")</f>
        <v/>
      </c>
      <c r="T1188" s="8" t="str">
        <f>IFERROR(INDEX('PROJETO PERFURAÇÃO'!$AN:$AN,MATCH(MEDIÇÃO!R1188,'PROJETO PERFURAÇÃO'!$B:$B,0)),"")</f>
        <v/>
      </c>
      <c r="U1188" s="3"/>
      <c r="V1188" s="3"/>
    </row>
    <row r="1189" spans="2:22" ht="45" customHeight="1" x14ac:dyDescent="0.25">
      <c r="B1189" s="3" t="str">
        <f>IFERROR(ROUND(INDEX('PROJETO PERFURAÇÃO'!$AB:$AB,MATCH(MEDIÇÃO!D1189,'PROJETO PERFURAÇÃO'!$B:$B,0)),1)&amp;"''","")</f>
        <v/>
      </c>
      <c r="C1189" s="3" t="str">
        <f>IFERROR(IF(INDEX('PROJETO PERFURAÇÃO'!$P:$P,MATCH(MEDIÇÃO!D1189,'PROJETO PERFURAÇÃO'!$B:$B,0))="Production","P",IF(INDEX('PROJETO PERFURAÇÃO'!$P:$P,MATCH(MEDIÇÃO!D1189,'PROJETO PERFURAÇÃO'!$B:$B,0))="Buffer","B",IF(INDEX('PROJETO PERFURAÇÃO'!$P:$P,MATCH(MEDIÇÃO!D1189,'PROJETO PERFURAÇÃO'!$B:$B,0))="Pre-Splitting","S"))),"")</f>
        <v/>
      </c>
      <c r="D1189" s="14">
        <f t="shared" si="114"/>
        <v>2629</v>
      </c>
      <c r="E1189" s="4" t="str">
        <f>IFERROR(INDEX('LEV R&amp;D'!$D:$D,MATCH(MEDIÇÃO!D1189,'LEV R&amp;D'!$A:$A,0))-INDEX('PROJETO PERFURAÇÃO'!$AH:$AH,MATCH(MEDIÇÃO!D1189,'PROJETO PERFURAÇÃO'!$B:$B,0)),"")</f>
        <v/>
      </c>
      <c r="F1189" s="8" t="str">
        <f>IFERROR(INDEX('PROJETO PERFURAÇÃO'!$AN:$AN,MATCH(MEDIÇÃO!D1189,'PROJETO PERFURAÇÃO'!$B:$B,0)),"")</f>
        <v/>
      </c>
      <c r="G1189" s="3"/>
      <c r="H1189" s="3"/>
      <c r="I1189" s="3" t="str">
        <f>IFERROR(ROUND(INDEX('PROJETO PERFURAÇÃO'!$AB:$AB,MATCH(MEDIÇÃO!K1189,'PROJETO PERFURAÇÃO'!$B:$B,0)),1)&amp;"''","")</f>
        <v/>
      </c>
      <c r="J1189" s="3" t="str">
        <f>IFERROR(IF(INDEX('PROJETO PERFURAÇÃO'!$P:$P,MATCH(MEDIÇÃO!K1189,'PROJETO PERFURAÇÃO'!$B:$B,0))="Production","P",IF(INDEX('PROJETO PERFURAÇÃO'!$P:$P,MATCH(MEDIÇÃO!K1189,'PROJETO PERFURAÇÃO'!$B:$B,0))="Buffer","B",IF(INDEX('PROJETO PERFURAÇÃO'!$P:$P,MATCH(MEDIÇÃO!K1189,'PROJETO PERFURAÇÃO'!$B:$B,0))="Pre-Splitting","S"))),"")</f>
        <v/>
      </c>
      <c r="K1189" s="14">
        <f t="shared" si="115"/>
        <v>2652</v>
      </c>
      <c r="L1189" s="4" t="str">
        <f>IFERROR(INDEX('LEV R&amp;D'!$D:$D,MATCH(MEDIÇÃO!K1189,'LEV R&amp;D'!$A:$A,0))-INDEX('PROJETO PERFURAÇÃO'!$AH:$AH,MATCH(MEDIÇÃO!K1189,'PROJETO PERFURAÇÃO'!$B:$B,0)),"")</f>
        <v/>
      </c>
      <c r="M1189" s="8" t="str">
        <f>IFERROR(INDEX('PROJETO PERFURAÇÃO'!$AN:$AN,MATCH(MEDIÇÃO!K1189,'PROJETO PERFURAÇÃO'!$B:$B,0)),"")</f>
        <v/>
      </c>
      <c r="N1189" s="3"/>
      <c r="O1189" s="3"/>
      <c r="P1189" s="3" t="str">
        <f>IFERROR(ROUND(INDEX('PROJETO PERFURAÇÃO'!$AB:$AB,MATCH(MEDIÇÃO!R1189,'PROJETO PERFURAÇÃO'!$B:$B,0)),1)&amp;"''","")</f>
        <v/>
      </c>
      <c r="Q1189" s="3" t="str">
        <f>IFERROR(IF(INDEX('PROJETO PERFURAÇÃO'!$P:$P,MATCH(MEDIÇÃO!R1189,'PROJETO PERFURAÇÃO'!$B:$B,0))="Production","P",IF(INDEX('PROJETO PERFURAÇÃO'!$P:$P,MATCH(MEDIÇÃO!R1189,'PROJETO PERFURAÇÃO'!$B:$B,0))="Buffer","B",IF(INDEX('PROJETO PERFURAÇÃO'!$P:$P,MATCH(MEDIÇÃO!R1189,'PROJETO PERFURAÇÃO'!$B:$B,0))="Pre-Splitting","S"))),"")</f>
        <v/>
      </c>
      <c r="R1189" s="14">
        <f t="shared" si="116"/>
        <v>2675</v>
      </c>
      <c r="S1189" s="4" t="str">
        <f>IFERROR(INDEX('LEV R&amp;D'!$D:$D,MATCH(MEDIÇÃO!R1189,'LEV R&amp;D'!$A:$A,0))-INDEX('PROJETO PERFURAÇÃO'!$AH:$AH,MATCH(MEDIÇÃO!R1189,'PROJETO PERFURAÇÃO'!$B:$B,0)),"")</f>
        <v/>
      </c>
      <c r="T1189" s="8" t="str">
        <f>IFERROR(INDEX('PROJETO PERFURAÇÃO'!$AN:$AN,MATCH(MEDIÇÃO!R1189,'PROJETO PERFURAÇÃO'!$B:$B,0)),"")</f>
        <v/>
      </c>
      <c r="U1189" s="3"/>
      <c r="V1189" s="3"/>
    </row>
    <row r="1190" spans="2:22" ht="45" customHeight="1" x14ac:dyDescent="0.25">
      <c r="B1190" s="3" t="str">
        <f>IFERROR(ROUND(INDEX('PROJETO PERFURAÇÃO'!$AB:$AB,MATCH(MEDIÇÃO!D1190,'PROJETO PERFURAÇÃO'!$B:$B,0)),1)&amp;"''","")</f>
        <v/>
      </c>
      <c r="C1190" s="3" t="str">
        <f>IFERROR(IF(INDEX('PROJETO PERFURAÇÃO'!$P:$P,MATCH(MEDIÇÃO!D1190,'PROJETO PERFURAÇÃO'!$B:$B,0))="Production","P",IF(INDEX('PROJETO PERFURAÇÃO'!$P:$P,MATCH(MEDIÇÃO!D1190,'PROJETO PERFURAÇÃO'!$B:$B,0))="Buffer","B",IF(INDEX('PROJETO PERFURAÇÃO'!$P:$P,MATCH(MEDIÇÃO!D1190,'PROJETO PERFURAÇÃO'!$B:$B,0))="Pre-Splitting","S"))),"")</f>
        <v/>
      </c>
      <c r="D1190" s="14">
        <f t="shared" si="114"/>
        <v>2630</v>
      </c>
      <c r="E1190" s="4" t="str">
        <f>IFERROR(INDEX('LEV R&amp;D'!$D:$D,MATCH(MEDIÇÃO!D1190,'LEV R&amp;D'!$A:$A,0))-INDEX('PROJETO PERFURAÇÃO'!$AH:$AH,MATCH(MEDIÇÃO!D1190,'PROJETO PERFURAÇÃO'!$B:$B,0)),"")</f>
        <v/>
      </c>
      <c r="F1190" s="8" t="str">
        <f>IFERROR(INDEX('PROJETO PERFURAÇÃO'!$AN:$AN,MATCH(MEDIÇÃO!D1190,'PROJETO PERFURAÇÃO'!$B:$B,0)),"")</f>
        <v/>
      </c>
      <c r="G1190" s="3"/>
      <c r="H1190" s="3"/>
      <c r="I1190" s="3" t="str">
        <f>IFERROR(ROUND(INDEX('PROJETO PERFURAÇÃO'!$AB:$AB,MATCH(MEDIÇÃO!K1190,'PROJETO PERFURAÇÃO'!$B:$B,0)),1)&amp;"''","")</f>
        <v/>
      </c>
      <c r="J1190" s="3" t="str">
        <f>IFERROR(IF(INDEX('PROJETO PERFURAÇÃO'!$P:$P,MATCH(MEDIÇÃO!K1190,'PROJETO PERFURAÇÃO'!$B:$B,0))="Production","P",IF(INDEX('PROJETO PERFURAÇÃO'!$P:$P,MATCH(MEDIÇÃO!K1190,'PROJETO PERFURAÇÃO'!$B:$B,0))="Buffer","B",IF(INDEX('PROJETO PERFURAÇÃO'!$P:$P,MATCH(MEDIÇÃO!K1190,'PROJETO PERFURAÇÃO'!$B:$B,0))="Pre-Splitting","S"))),"")</f>
        <v/>
      </c>
      <c r="K1190" s="14">
        <f t="shared" si="115"/>
        <v>2653</v>
      </c>
      <c r="L1190" s="4" t="str">
        <f>IFERROR(INDEX('LEV R&amp;D'!$D:$D,MATCH(MEDIÇÃO!K1190,'LEV R&amp;D'!$A:$A,0))-INDEX('PROJETO PERFURAÇÃO'!$AH:$AH,MATCH(MEDIÇÃO!K1190,'PROJETO PERFURAÇÃO'!$B:$B,0)),"")</f>
        <v/>
      </c>
      <c r="M1190" s="8" t="str">
        <f>IFERROR(INDEX('PROJETO PERFURAÇÃO'!$AN:$AN,MATCH(MEDIÇÃO!K1190,'PROJETO PERFURAÇÃO'!$B:$B,0)),"")</f>
        <v/>
      </c>
      <c r="N1190" s="3"/>
      <c r="O1190" s="3"/>
      <c r="P1190" s="3" t="str">
        <f>IFERROR(ROUND(INDEX('PROJETO PERFURAÇÃO'!$AB:$AB,MATCH(MEDIÇÃO!R1190,'PROJETO PERFURAÇÃO'!$B:$B,0)),1)&amp;"''","")</f>
        <v/>
      </c>
      <c r="Q1190" s="3" t="str">
        <f>IFERROR(IF(INDEX('PROJETO PERFURAÇÃO'!$P:$P,MATCH(MEDIÇÃO!R1190,'PROJETO PERFURAÇÃO'!$B:$B,0))="Production","P",IF(INDEX('PROJETO PERFURAÇÃO'!$P:$P,MATCH(MEDIÇÃO!R1190,'PROJETO PERFURAÇÃO'!$B:$B,0))="Buffer","B",IF(INDEX('PROJETO PERFURAÇÃO'!$P:$P,MATCH(MEDIÇÃO!R1190,'PROJETO PERFURAÇÃO'!$B:$B,0))="Pre-Splitting","S"))),"")</f>
        <v/>
      </c>
      <c r="R1190" s="14">
        <f t="shared" si="116"/>
        <v>2676</v>
      </c>
      <c r="S1190" s="4" t="str">
        <f>IFERROR(INDEX('LEV R&amp;D'!$D:$D,MATCH(MEDIÇÃO!R1190,'LEV R&amp;D'!$A:$A,0))-INDEX('PROJETO PERFURAÇÃO'!$AH:$AH,MATCH(MEDIÇÃO!R1190,'PROJETO PERFURAÇÃO'!$B:$B,0)),"")</f>
        <v/>
      </c>
      <c r="T1190" s="8" t="str">
        <f>IFERROR(INDEX('PROJETO PERFURAÇÃO'!$AN:$AN,MATCH(MEDIÇÃO!R1190,'PROJETO PERFURAÇÃO'!$B:$B,0)),"")</f>
        <v/>
      </c>
      <c r="U1190" s="3"/>
      <c r="V1190" s="3"/>
    </row>
    <row r="1191" spans="2:22" ht="45" customHeight="1" x14ac:dyDescent="0.25">
      <c r="B1191" s="3" t="str">
        <f>IFERROR(ROUND(INDEX('PROJETO PERFURAÇÃO'!$AB:$AB,MATCH(MEDIÇÃO!D1191,'PROJETO PERFURAÇÃO'!$B:$B,0)),1)&amp;"''","")</f>
        <v/>
      </c>
      <c r="C1191" s="3" t="str">
        <f>IFERROR(IF(INDEX('PROJETO PERFURAÇÃO'!$P:$P,MATCH(MEDIÇÃO!D1191,'PROJETO PERFURAÇÃO'!$B:$B,0))="Production","P",IF(INDEX('PROJETO PERFURAÇÃO'!$P:$P,MATCH(MEDIÇÃO!D1191,'PROJETO PERFURAÇÃO'!$B:$B,0))="Buffer","B",IF(INDEX('PROJETO PERFURAÇÃO'!$P:$P,MATCH(MEDIÇÃO!D1191,'PROJETO PERFURAÇÃO'!$B:$B,0))="Pre-Splitting","S"))),"")</f>
        <v/>
      </c>
      <c r="D1191" s="14">
        <f t="shared" si="114"/>
        <v>2631</v>
      </c>
      <c r="E1191" s="4" t="str">
        <f>IFERROR(INDEX('LEV R&amp;D'!$D:$D,MATCH(MEDIÇÃO!D1191,'LEV R&amp;D'!$A:$A,0))-INDEX('PROJETO PERFURAÇÃO'!$AH:$AH,MATCH(MEDIÇÃO!D1191,'PROJETO PERFURAÇÃO'!$B:$B,0)),"")</f>
        <v/>
      </c>
      <c r="F1191" s="8" t="str">
        <f>IFERROR(INDEX('PROJETO PERFURAÇÃO'!$AN:$AN,MATCH(MEDIÇÃO!D1191,'PROJETO PERFURAÇÃO'!$B:$B,0)),"")</f>
        <v/>
      </c>
      <c r="G1191" s="3"/>
      <c r="H1191" s="3"/>
      <c r="I1191" s="3" t="str">
        <f>IFERROR(ROUND(INDEX('PROJETO PERFURAÇÃO'!$AB:$AB,MATCH(MEDIÇÃO!K1191,'PROJETO PERFURAÇÃO'!$B:$B,0)),1)&amp;"''","")</f>
        <v/>
      </c>
      <c r="J1191" s="3" t="str">
        <f>IFERROR(IF(INDEX('PROJETO PERFURAÇÃO'!$P:$P,MATCH(MEDIÇÃO!K1191,'PROJETO PERFURAÇÃO'!$B:$B,0))="Production","P",IF(INDEX('PROJETO PERFURAÇÃO'!$P:$P,MATCH(MEDIÇÃO!K1191,'PROJETO PERFURAÇÃO'!$B:$B,0))="Buffer","B",IF(INDEX('PROJETO PERFURAÇÃO'!$P:$P,MATCH(MEDIÇÃO!K1191,'PROJETO PERFURAÇÃO'!$B:$B,0))="Pre-Splitting","S"))),"")</f>
        <v/>
      </c>
      <c r="K1191" s="14">
        <f t="shared" si="115"/>
        <v>2654</v>
      </c>
      <c r="L1191" s="4" t="str">
        <f>IFERROR(INDEX('LEV R&amp;D'!$D:$D,MATCH(MEDIÇÃO!K1191,'LEV R&amp;D'!$A:$A,0))-INDEX('PROJETO PERFURAÇÃO'!$AH:$AH,MATCH(MEDIÇÃO!K1191,'PROJETO PERFURAÇÃO'!$B:$B,0)),"")</f>
        <v/>
      </c>
      <c r="M1191" s="8" t="str">
        <f>IFERROR(INDEX('PROJETO PERFURAÇÃO'!$AN:$AN,MATCH(MEDIÇÃO!K1191,'PROJETO PERFURAÇÃO'!$B:$B,0)),"")</f>
        <v/>
      </c>
      <c r="N1191" s="3"/>
      <c r="O1191" s="3"/>
      <c r="P1191" s="3" t="str">
        <f>IFERROR(ROUND(INDEX('PROJETO PERFURAÇÃO'!$AB:$AB,MATCH(MEDIÇÃO!R1191,'PROJETO PERFURAÇÃO'!$B:$B,0)),1)&amp;"''","")</f>
        <v/>
      </c>
      <c r="Q1191" s="3" t="str">
        <f>IFERROR(IF(INDEX('PROJETO PERFURAÇÃO'!$P:$P,MATCH(MEDIÇÃO!R1191,'PROJETO PERFURAÇÃO'!$B:$B,0))="Production","P",IF(INDEX('PROJETO PERFURAÇÃO'!$P:$P,MATCH(MEDIÇÃO!R1191,'PROJETO PERFURAÇÃO'!$B:$B,0))="Buffer","B",IF(INDEX('PROJETO PERFURAÇÃO'!$P:$P,MATCH(MEDIÇÃO!R1191,'PROJETO PERFURAÇÃO'!$B:$B,0))="Pre-Splitting","S"))),"")</f>
        <v/>
      </c>
      <c r="R1191" s="14">
        <f t="shared" si="116"/>
        <v>2677</v>
      </c>
      <c r="S1191" s="4" t="str">
        <f>IFERROR(INDEX('LEV R&amp;D'!$D:$D,MATCH(MEDIÇÃO!R1191,'LEV R&amp;D'!$A:$A,0))-INDEX('PROJETO PERFURAÇÃO'!$AH:$AH,MATCH(MEDIÇÃO!R1191,'PROJETO PERFURAÇÃO'!$B:$B,0)),"")</f>
        <v/>
      </c>
      <c r="T1191" s="8" t="str">
        <f>IFERROR(INDEX('PROJETO PERFURAÇÃO'!$AN:$AN,MATCH(MEDIÇÃO!R1191,'PROJETO PERFURAÇÃO'!$B:$B,0)),"")</f>
        <v/>
      </c>
      <c r="U1191" s="3"/>
      <c r="V1191" s="3"/>
    </row>
    <row r="1192" spans="2:22" ht="45" customHeight="1" x14ac:dyDescent="0.25">
      <c r="B1192" s="3" t="str">
        <f>IFERROR(ROUND(INDEX('PROJETO PERFURAÇÃO'!$AB:$AB,MATCH(MEDIÇÃO!D1192,'PROJETO PERFURAÇÃO'!$B:$B,0)),1)&amp;"''","")</f>
        <v/>
      </c>
      <c r="C1192" s="3" t="str">
        <f>IFERROR(IF(INDEX('PROJETO PERFURAÇÃO'!$P:$P,MATCH(MEDIÇÃO!D1192,'PROJETO PERFURAÇÃO'!$B:$B,0))="Production","P",IF(INDEX('PROJETO PERFURAÇÃO'!$P:$P,MATCH(MEDIÇÃO!D1192,'PROJETO PERFURAÇÃO'!$B:$B,0))="Buffer","B",IF(INDEX('PROJETO PERFURAÇÃO'!$P:$P,MATCH(MEDIÇÃO!D1192,'PROJETO PERFURAÇÃO'!$B:$B,0))="Pre-Splitting","S"))),"")</f>
        <v/>
      </c>
      <c r="D1192" s="14">
        <f t="shared" si="114"/>
        <v>2632</v>
      </c>
      <c r="E1192" s="4" t="str">
        <f>IFERROR(INDEX('LEV R&amp;D'!$D:$D,MATCH(MEDIÇÃO!D1192,'LEV R&amp;D'!$A:$A,0))-INDEX('PROJETO PERFURAÇÃO'!$AH:$AH,MATCH(MEDIÇÃO!D1192,'PROJETO PERFURAÇÃO'!$B:$B,0)),"")</f>
        <v/>
      </c>
      <c r="F1192" s="8" t="str">
        <f>IFERROR(INDEX('PROJETO PERFURAÇÃO'!$AN:$AN,MATCH(MEDIÇÃO!D1192,'PROJETO PERFURAÇÃO'!$B:$B,0)),"")</f>
        <v/>
      </c>
      <c r="G1192" s="3"/>
      <c r="H1192" s="3"/>
      <c r="I1192" s="3" t="str">
        <f>IFERROR(ROUND(INDEX('PROJETO PERFURAÇÃO'!$AB:$AB,MATCH(MEDIÇÃO!K1192,'PROJETO PERFURAÇÃO'!$B:$B,0)),1)&amp;"''","")</f>
        <v/>
      </c>
      <c r="J1192" s="3" t="str">
        <f>IFERROR(IF(INDEX('PROJETO PERFURAÇÃO'!$P:$P,MATCH(MEDIÇÃO!K1192,'PROJETO PERFURAÇÃO'!$B:$B,0))="Production","P",IF(INDEX('PROJETO PERFURAÇÃO'!$P:$P,MATCH(MEDIÇÃO!K1192,'PROJETO PERFURAÇÃO'!$B:$B,0))="Buffer","B",IF(INDEX('PROJETO PERFURAÇÃO'!$P:$P,MATCH(MEDIÇÃO!K1192,'PROJETO PERFURAÇÃO'!$B:$B,0))="Pre-Splitting","S"))),"")</f>
        <v/>
      </c>
      <c r="K1192" s="14">
        <f t="shared" si="115"/>
        <v>2655</v>
      </c>
      <c r="L1192" s="4" t="str">
        <f>IFERROR(INDEX('LEV R&amp;D'!$D:$D,MATCH(MEDIÇÃO!K1192,'LEV R&amp;D'!$A:$A,0))-INDEX('PROJETO PERFURAÇÃO'!$AH:$AH,MATCH(MEDIÇÃO!K1192,'PROJETO PERFURAÇÃO'!$B:$B,0)),"")</f>
        <v/>
      </c>
      <c r="M1192" s="8" t="str">
        <f>IFERROR(INDEX('PROJETO PERFURAÇÃO'!$AN:$AN,MATCH(MEDIÇÃO!K1192,'PROJETO PERFURAÇÃO'!$B:$B,0)),"")</f>
        <v/>
      </c>
      <c r="N1192" s="3"/>
      <c r="O1192" s="3"/>
      <c r="P1192" s="3" t="str">
        <f>IFERROR(ROUND(INDEX('PROJETO PERFURAÇÃO'!$AB:$AB,MATCH(MEDIÇÃO!R1192,'PROJETO PERFURAÇÃO'!$B:$B,0)),1)&amp;"''","")</f>
        <v/>
      </c>
      <c r="Q1192" s="3" t="str">
        <f>IFERROR(IF(INDEX('PROJETO PERFURAÇÃO'!$P:$P,MATCH(MEDIÇÃO!R1192,'PROJETO PERFURAÇÃO'!$B:$B,0))="Production","P",IF(INDEX('PROJETO PERFURAÇÃO'!$P:$P,MATCH(MEDIÇÃO!R1192,'PROJETO PERFURAÇÃO'!$B:$B,0))="Buffer","B",IF(INDEX('PROJETO PERFURAÇÃO'!$P:$P,MATCH(MEDIÇÃO!R1192,'PROJETO PERFURAÇÃO'!$B:$B,0))="Pre-Splitting","S"))),"")</f>
        <v/>
      </c>
      <c r="R1192" s="14">
        <f t="shared" si="116"/>
        <v>2678</v>
      </c>
      <c r="S1192" s="4" t="str">
        <f>IFERROR(INDEX('LEV R&amp;D'!$D:$D,MATCH(MEDIÇÃO!R1192,'LEV R&amp;D'!$A:$A,0))-INDEX('PROJETO PERFURAÇÃO'!$AH:$AH,MATCH(MEDIÇÃO!R1192,'PROJETO PERFURAÇÃO'!$B:$B,0)),"")</f>
        <v/>
      </c>
      <c r="T1192" s="8" t="str">
        <f>IFERROR(INDEX('PROJETO PERFURAÇÃO'!$AN:$AN,MATCH(MEDIÇÃO!R1192,'PROJETO PERFURAÇÃO'!$B:$B,0)),"")</f>
        <v/>
      </c>
      <c r="U1192" s="3"/>
      <c r="V1192" s="3"/>
    </row>
    <row r="1193" spans="2:22" ht="45" customHeight="1" x14ac:dyDescent="0.25">
      <c r="B1193" s="3" t="str">
        <f>IFERROR(ROUND(INDEX('PROJETO PERFURAÇÃO'!$AB:$AB,MATCH(MEDIÇÃO!D1193,'PROJETO PERFURAÇÃO'!$B:$B,0)),1)&amp;"''","")</f>
        <v/>
      </c>
      <c r="C1193" s="3" t="str">
        <f>IFERROR(IF(INDEX('PROJETO PERFURAÇÃO'!$P:$P,MATCH(MEDIÇÃO!D1193,'PROJETO PERFURAÇÃO'!$B:$B,0))="Production","P",IF(INDEX('PROJETO PERFURAÇÃO'!$P:$P,MATCH(MEDIÇÃO!D1193,'PROJETO PERFURAÇÃO'!$B:$B,0))="Buffer","B",IF(INDEX('PROJETO PERFURAÇÃO'!$P:$P,MATCH(MEDIÇÃO!D1193,'PROJETO PERFURAÇÃO'!$B:$B,0))="Pre-Splitting","S"))),"")</f>
        <v/>
      </c>
      <c r="D1193" s="14">
        <f t="shared" si="114"/>
        <v>2633</v>
      </c>
      <c r="E1193" s="4" t="str">
        <f>IFERROR(INDEX('LEV R&amp;D'!$D:$D,MATCH(MEDIÇÃO!D1193,'LEV R&amp;D'!$A:$A,0))-INDEX('PROJETO PERFURAÇÃO'!$AH:$AH,MATCH(MEDIÇÃO!D1193,'PROJETO PERFURAÇÃO'!$B:$B,0)),"")</f>
        <v/>
      </c>
      <c r="F1193" s="8" t="str">
        <f>IFERROR(INDEX('PROJETO PERFURAÇÃO'!$AN:$AN,MATCH(MEDIÇÃO!D1193,'PROJETO PERFURAÇÃO'!$B:$B,0)),"")</f>
        <v/>
      </c>
      <c r="G1193" s="3"/>
      <c r="H1193" s="3"/>
      <c r="I1193" s="3" t="str">
        <f>IFERROR(ROUND(INDEX('PROJETO PERFURAÇÃO'!$AB:$AB,MATCH(MEDIÇÃO!K1193,'PROJETO PERFURAÇÃO'!$B:$B,0)),1)&amp;"''","")</f>
        <v/>
      </c>
      <c r="J1193" s="3" t="str">
        <f>IFERROR(IF(INDEX('PROJETO PERFURAÇÃO'!$P:$P,MATCH(MEDIÇÃO!K1193,'PROJETO PERFURAÇÃO'!$B:$B,0))="Production","P",IF(INDEX('PROJETO PERFURAÇÃO'!$P:$P,MATCH(MEDIÇÃO!K1193,'PROJETO PERFURAÇÃO'!$B:$B,0))="Buffer","B",IF(INDEX('PROJETO PERFURAÇÃO'!$P:$P,MATCH(MEDIÇÃO!K1193,'PROJETO PERFURAÇÃO'!$B:$B,0))="Pre-Splitting","S"))),"")</f>
        <v/>
      </c>
      <c r="K1193" s="14">
        <f t="shared" si="115"/>
        <v>2656</v>
      </c>
      <c r="L1193" s="4" t="str">
        <f>IFERROR(INDEX('LEV R&amp;D'!$D:$D,MATCH(MEDIÇÃO!K1193,'LEV R&amp;D'!$A:$A,0))-INDEX('PROJETO PERFURAÇÃO'!$AH:$AH,MATCH(MEDIÇÃO!K1193,'PROJETO PERFURAÇÃO'!$B:$B,0)),"")</f>
        <v/>
      </c>
      <c r="M1193" s="8" t="str">
        <f>IFERROR(INDEX('PROJETO PERFURAÇÃO'!$AN:$AN,MATCH(MEDIÇÃO!K1193,'PROJETO PERFURAÇÃO'!$B:$B,0)),"")</f>
        <v/>
      </c>
      <c r="N1193" s="3"/>
      <c r="O1193" s="3"/>
      <c r="P1193" s="3" t="str">
        <f>IFERROR(ROUND(INDEX('PROJETO PERFURAÇÃO'!$AB:$AB,MATCH(MEDIÇÃO!R1193,'PROJETO PERFURAÇÃO'!$B:$B,0)),1)&amp;"''","")</f>
        <v/>
      </c>
      <c r="Q1193" s="3" t="str">
        <f>IFERROR(IF(INDEX('PROJETO PERFURAÇÃO'!$P:$P,MATCH(MEDIÇÃO!R1193,'PROJETO PERFURAÇÃO'!$B:$B,0))="Production","P",IF(INDEX('PROJETO PERFURAÇÃO'!$P:$P,MATCH(MEDIÇÃO!R1193,'PROJETO PERFURAÇÃO'!$B:$B,0))="Buffer","B",IF(INDEX('PROJETO PERFURAÇÃO'!$P:$P,MATCH(MEDIÇÃO!R1193,'PROJETO PERFURAÇÃO'!$B:$B,0))="Pre-Splitting","S"))),"")</f>
        <v/>
      </c>
      <c r="R1193" s="14">
        <f t="shared" si="116"/>
        <v>2679</v>
      </c>
      <c r="S1193" s="4" t="str">
        <f>IFERROR(INDEX('LEV R&amp;D'!$D:$D,MATCH(MEDIÇÃO!R1193,'LEV R&amp;D'!$A:$A,0))-INDEX('PROJETO PERFURAÇÃO'!$AH:$AH,MATCH(MEDIÇÃO!R1193,'PROJETO PERFURAÇÃO'!$B:$B,0)),"")</f>
        <v/>
      </c>
      <c r="T1193" s="8" t="str">
        <f>IFERROR(INDEX('PROJETO PERFURAÇÃO'!$AN:$AN,MATCH(MEDIÇÃO!R1193,'PROJETO PERFURAÇÃO'!$B:$B,0)),"")</f>
        <v/>
      </c>
      <c r="U1193" s="3"/>
      <c r="V1193" s="3"/>
    </row>
    <row r="1194" spans="2:22" ht="45" customHeight="1" x14ac:dyDescent="0.25">
      <c r="B1194" s="3" t="str">
        <f>IFERROR(ROUND(INDEX('PROJETO PERFURAÇÃO'!$AB:$AB,MATCH(MEDIÇÃO!D1194,'PROJETO PERFURAÇÃO'!$B:$B,0)),1)&amp;"''","")</f>
        <v/>
      </c>
      <c r="C1194" s="3" t="str">
        <f>IFERROR(IF(INDEX('PROJETO PERFURAÇÃO'!$P:$P,MATCH(MEDIÇÃO!D1194,'PROJETO PERFURAÇÃO'!$B:$B,0))="Production","P",IF(INDEX('PROJETO PERFURAÇÃO'!$P:$P,MATCH(MEDIÇÃO!D1194,'PROJETO PERFURAÇÃO'!$B:$B,0))="Buffer","B",IF(INDEX('PROJETO PERFURAÇÃO'!$P:$P,MATCH(MEDIÇÃO!D1194,'PROJETO PERFURAÇÃO'!$B:$B,0))="Pre-Splitting","S"))),"")</f>
        <v/>
      </c>
      <c r="D1194" s="14">
        <f t="shared" si="114"/>
        <v>2634</v>
      </c>
      <c r="E1194" s="4" t="str">
        <f>IFERROR(INDEX('LEV R&amp;D'!$D:$D,MATCH(MEDIÇÃO!D1194,'LEV R&amp;D'!$A:$A,0))-INDEX('PROJETO PERFURAÇÃO'!$AH:$AH,MATCH(MEDIÇÃO!D1194,'PROJETO PERFURAÇÃO'!$B:$B,0)),"")</f>
        <v/>
      </c>
      <c r="F1194" s="8" t="str">
        <f>IFERROR(INDEX('PROJETO PERFURAÇÃO'!$AN:$AN,MATCH(MEDIÇÃO!D1194,'PROJETO PERFURAÇÃO'!$B:$B,0)),"")</f>
        <v/>
      </c>
      <c r="G1194" s="3"/>
      <c r="H1194" s="3"/>
      <c r="I1194" s="3" t="str">
        <f>IFERROR(ROUND(INDEX('PROJETO PERFURAÇÃO'!$AB:$AB,MATCH(MEDIÇÃO!K1194,'PROJETO PERFURAÇÃO'!$B:$B,0)),1)&amp;"''","")</f>
        <v/>
      </c>
      <c r="J1194" s="3" t="str">
        <f>IFERROR(IF(INDEX('PROJETO PERFURAÇÃO'!$P:$P,MATCH(MEDIÇÃO!K1194,'PROJETO PERFURAÇÃO'!$B:$B,0))="Production","P",IF(INDEX('PROJETO PERFURAÇÃO'!$P:$P,MATCH(MEDIÇÃO!K1194,'PROJETO PERFURAÇÃO'!$B:$B,0))="Buffer","B",IF(INDEX('PROJETO PERFURAÇÃO'!$P:$P,MATCH(MEDIÇÃO!K1194,'PROJETO PERFURAÇÃO'!$B:$B,0))="Pre-Splitting","S"))),"")</f>
        <v/>
      </c>
      <c r="K1194" s="14">
        <f t="shared" si="115"/>
        <v>2657</v>
      </c>
      <c r="L1194" s="4" t="str">
        <f>IFERROR(INDEX('LEV R&amp;D'!$D:$D,MATCH(MEDIÇÃO!K1194,'LEV R&amp;D'!$A:$A,0))-INDEX('PROJETO PERFURAÇÃO'!$AH:$AH,MATCH(MEDIÇÃO!K1194,'PROJETO PERFURAÇÃO'!$B:$B,0)),"")</f>
        <v/>
      </c>
      <c r="M1194" s="8" t="str">
        <f>IFERROR(INDEX('PROJETO PERFURAÇÃO'!$AN:$AN,MATCH(MEDIÇÃO!K1194,'PROJETO PERFURAÇÃO'!$B:$B,0)),"")</f>
        <v/>
      </c>
      <c r="N1194" s="3"/>
      <c r="O1194" s="3"/>
      <c r="P1194" s="3" t="str">
        <f>IFERROR(ROUND(INDEX('PROJETO PERFURAÇÃO'!$AB:$AB,MATCH(MEDIÇÃO!R1194,'PROJETO PERFURAÇÃO'!$B:$B,0)),1)&amp;"''","")</f>
        <v/>
      </c>
      <c r="Q1194" s="3" t="str">
        <f>IFERROR(IF(INDEX('PROJETO PERFURAÇÃO'!$P:$P,MATCH(MEDIÇÃO!R1194,'PROJETO PERFURAÇÃO'!$B:$B,0))="Production","P",IF(INDEX('PROJETO PERFURAÇÃO'!$P:$P,MATCH(MEDIÇÃO!R1194,'PROJETO PERFURAÇÃO'!$B:$B,0))="Buffer","B",IF(INDEX('PROJETO PERFURAÇÃO'!$P:$P,MATCH(MEDIÇÃO!R1194,'PROJETO PERFURAÇÃO'!$B:$B,0))="Pre-Splitting","S"))),"")</f>
        <v/>
      </c>
      <c r="R1194" s="14">
        <f t="shared" si="116"/>
        <v>2680</v>
      </c>
      <c r="S1194" s="4" t="str">
        <f>IFERROR(INDEX('LEV R&amp;D'!$D:$D,MATCH(MEDIÇÃO!R1194,'LEV R&amp;D'!$A:$A,0))-INDEX('PROJETO PERFURAÇÃO'!$AH:$AH,MATCH(MEDIÇÃO!R1194,'PROJETO PERFURAÇÃO'!$B:$B,0)),"")</f>
        <v/>
      </c>
      <c r="T1194" s="8" t="str">
        <f>IFERROR(INDEX('PROJETO PERFURAÇÃO'!$AN:$AN,MATCH(MEDIÇÃO!R1194,'PROJETO PERFURAÇÃO'!$B:$B,0)),"")</f>
        <v/>
      </c>
      <c r="U1194" s="3"/>
      <c r="V1194" s="3"/>
    </row>
    <row r="1195" spans="2:22" ht="45" customHeight="1" x14ac:dyDescent="0.25">
      <c r="B1195" s="3" t="str">
        <f>IFERROR(ROUND(INDEX('PROJETO PERFURAÇÃO'!$AB:$AB,MATCH(MEDIÇÃO!D1195,'PROJETO PERFURAÇÃO'!$B:$B,0)),1)&amp;"''","")</f>
        <v/>
      </c>
      <c r="C1195" s="3" t="str">
        <f>IFERROR(IF(INDEX('PROJETO PERFURAÇÃO'!$P:$P,MATCH(MEDIÇÃO!D1195,'PROJETO PERFURAÇÃO'!$B:$B,0))="Production","P",IF(INDEX('PROJETO PERFURAÇÃO'!$P:$P,MATCH(MEDIÇÃO!D1195,'PROJETO PERFURAÇÃO'!$B:$B,0))="Buffer","B",IF(INDEX('PROJETO PERFURAÇÃO'!$P:$P,MATCH(MEDIÇÃO!D1195,'PROJETO PERFURAÇÃO'!$B:$B,0))="Pre-Splitting","S"))),"")</f>
        <v/>
      </c>
      <c r="D1195" s="14">
        <f t="shared" si="114"/>
        <v>2635</v>
      </c>
      <c r="E1195" s="4" t="str">
        <f>IFERROR(INDEX('LEV R&amp;D'!$D:$D,MATCH(MEDIÇÃO!D1195,'LEV R&amp;D'!$A:$A,0))-INDEX('PROJETO PERFURAÇÃO'!$AH:$AH,MATCH(MEDIÇÃO!D1195,'PROJETO PERFURAÇÃO'!$B:$B,0)),"")</f>
        <v/>
      </c>
      <c r="F1195" s="8" t="str">
        <f>IFERROR(INDEX('PROJETO PERFURAÇÃO'!$AN:$AN,MATCH(MEDIÇÃO!D1195,'PROJETO PERFURAÇÃO'!$B:$B,0)),"")</f>
        <v/>
      </c>
      <c r="G1195" s="3"/>
      <c r="H1195" s="3"/>
      <c r="I1195" s="3" t="str">
        <f>IFERROR(ROUND(INDEX('PROJETO PERFURAÇÃO'!$AB:$AB,MATCH(MEDIÇÃO!K1195,'PROJETO PERFURAÇÃO'!$B:$B,0)),1)&amp;"''","")</f>
        <v/>
      </c>
      <c r="J1195" s="3" t="str">
        <f>IFERROR(IF(INDEX('PROJETO PERFURAÇÃO'!$P:$P,MATCH(MEDIÇÃO!K1195,'PROJETO PERFURAÇÃO'!$B:$B,0))="Production","P",IF(INDEX('PROJETO PERFURAÇÃO'!$P:$P,MATCH(MEDIÇÃO!K1195,'PROJETO PERFURAÇÃO'!$B:$B,0))="Buffer","B",IF(INDEX('PROJETO PERFURAÇÃO'!$P:$P,MATCH(MEDIÇÃO!K1195,'PROJETO PERFURAÇÃO'!$B:$B,0))="Pre-Splitting","S"))),"")</f>
        <v/>
      </c>
      <c r="K1195" s="14">
        <f t="shared" si="115"/>
        <v>2658</v>
      </c>
      <c r="L1195" s="4" t="str">
        <f>IFERROR(INDEX('LEV R&amp;D'!$D:$D,MATCH(MEDIÇÃO!K1195,'LEV R&amp;D'!$A:$A,0))-INDEX('PROJETO PERFURAÇÃO'!$AH:$AH,MATCH(MEDIÇÃO!K1195,'PROJETO PERFURAÇÃO'!$B:$B,0)),"")</f>
        <v/>
      </c>
      <c r="M1195" s="8" t="str">
        <f>IFERROR(INDEX('PROJETO PERFURAÇÃO'!$AN:$AN,MATCH(MEDIÇÃO!K1195,'PROJETO PERFURAÇÃO'!$B:$B,0)),"")</f>
        <v/>
      </c>
      <c r="N1195" s="3"/>
      <c r="O1195" s="3"/>
      <c r="P1195" s="3" t="str">
        <f>IFERROR(ROUND(INDEX('PROJETO PERFURAÇÃO'!$AB:$AB,MATCH(MEDIÇÃO!R1195,'PROJETO PERFURAÇÃO'!$B:$B,0)),1)&amp;"''","")</f>
        <v/>
      </c>
      <c r="Q1195" s="3" t="str">
        <f>IFERROR(IF(INDEX('PROJETO PERFURAÇÃO'!$P:$P,MATCH(MEDIÇÃO!R1195,'PROJETO PERFURAÇÃO'!$B:$B,0))="Production","P",IF(INDEX('PROJETO PERFURAÇÃO'!$P:$P,MATCH(MEDIÇÃO!R1195,'PROJETO PERFURAÇÃO'!$B:$B,0))="Buffer","B",IF(INDEX('PROJETO PERFURAÇÃO'!$P:$P,MATCH(MEDIÇÃO!R1195,'PROJETO PERFURAÇÃO'!$B:$B,0))="Pre-Splitting","S"))),"")</f>
        <v/>
      </c>
      <c r="R1195" s="14">
        <f t="shared" si="116"/>
        <v>2681</v>
      </c>
      <c r="S1195" s="4" t="str">
        <f>IFERROR(INDEX('LEV R&amp;D'!$D:$D,MATCH(MEDIÇÃO!R1195,'LEV R&amp;D'!$A:$A,0))-INDEX('PROJETO PERFURAÇÃO'!$AH:$AH,MATCH(MEDIÇÃO!R1195,'PROJETO PERFURAÇÃO'!$B:$B,0)),"")</f>
        <v/>
      </c>
      <c r="T1195" s="8" t="str">
        <f>IFERROR(INDEX('PROJETO PERFURAÇÃO'!$AN:$AN,MATCH(MEDIÇÃO!R1195,'PROJETO PERFURAÇÃO'!$B:$B,0)),"")</f>
        <v/>
      </c>
      <c r="U1195" s="3"/>
      <c r="V1195" s="3"/>
    </row>
    <row r="1196" spans="2:22" ht="45" customHeight="1" x14ac:dyDescent="0.25">
      <c r="B1196" s="3" t="str">
        <f>IFERROR(ROUND(INDEX('PROJETO PERFURAÇÃO'!$AB:$AB,MATCH(MEDIÇÃO!D1196,'PROJETO PERFURAÇÃO'!$B:$B,0)),1)&amp;"''","")</f>
        <v/>
      </c>
      <c r="C1196" s="3" t="str">
        <f>IFERROR(IF(INDEX('PROJETO PERFURAÇÃO'!$P:$P,MATCH(MEDIÇÃO!D1196,'PROJETO PERFURAÇÃO'!$B:$B,0))="Production","P",IF(INDEX('PROJETO PERFURAÇÃO'!$P:$P,MATCH(MEDIÇÃO!D1196,'PROJETO PERFURAÇÃO'!$B:$B,0))="Buffer","B",IF(INDEX('PROJETO PERFURAÇÃO'!$P:$P,MATCH(MEDIÇÃO!D1196,'PROJETO PERFURAÇÃO'!$B:$B,0))="Pre-Splitting","S"))),"")</f>
        <v/>
      </c>
      <c r="D1196" s="14">
        <f t="shared" si="114"/>
        <v>2636</v>
      </c>
      <c r="E1196" s="4" t="str">
        <f>IFERROR(INDEX('LEV R&amp;D'!$D:$D,MATCH(MEDIÇÃO!D1196,'LEV R&amp;D'!$A:$A,0))-INDEX('PROJETO PERFURAÇÃO'!$AH:$AH,MATCH(MEDIÇÃO!D1196,'PROJETO PERFURAÇÃO'!$B:$B,0)),"")</f>
        <v/>
      </c>
      <c r="F1196" s="8" t="str">
        <f>IFERROR(INDEX('PROJETO PERFURAÇÃO'!$AN:$AN,MATCH(MEDIÇÃO!D1196,'PROJETO PERFURAÇÃO'!$B:$B,0)),"")</f>
        <v/>
      </c>
      <c r="G1196" s="3"/>
      <c r="H1196" s="3"/>
      <c r="I1196" s="3" t="str">
        <f>IFERROR(ROUND(INDEX('PROJETO PERFURAÇÃO'!$AB:$AB,MATCH(MEDIÇÃO!K1196,'PROJETO PERFURAÇÃO'!$B:$B,0)),1)&amp;"''","")</f>
        <v/>
      </c>
      <c r="J1196" s="3" t="str">
        <f>IFERROR(IF(INDEX('PROJETO PERFURAÇÃO'!$P:$P,MATCH(MEDIÇÃO!K1196,'PROJETO PERFURAÇÃO'!$B:$B,0))="Production","P",IF(INDEX('PROJETO PERFURAÇÃO'!$P:$P,MATCH(MEDIÇÃO!K1196,'PROJETO PERFURAÇÃO'!$B:$B,0))="Buffer","B",IF(INDEX('PROJETO PERFURAÇÃO'!$P:$P,MATCH(MEDIÇÃO!K1196,'PROJETO PERFURAÇÃO'!$B:$B,0))="Pre-Splitting","S"))),"")</f>
        <v/>
      </c>
      <c r="K1196" s="14">
        <f t="shared" si="115"/>
        <v>2659</v>
      </c>
      <c r="L1196" s="4" t="str">
        <f>IFERROR(INDEX('LEV R&amp;D'!$D:$D,MATCH(MEDIÇÃO!K1196,'LEV R&amp;D'!$A:$A,0))-INDEX('PROJETO PERFURAÇÃO'!$AH:$AH,MATCH(MEDIÇÃO!K1196,'PROJETO PERFURAÇÃO'!$B:$B,0)),"")</f>
        <v/>
      </c>
      <c r="M1196" s="8" t="str">
        <f>IFERROR(INDEX('PROJETO PERFURAÇÃO'!$AN:$AN,MATCH(MEDIÇÃO!K1196,'PROJETO PERFURAÇÃO'!$B:$B,0)),"")</f>
        <v/>
      </c>
      <c r="N1196" s="3"/>
      <c r="O1196" s="3"/>
      <c r="P1196" s="3" t="str">
        <f>IFERROR(ROUND(INDEX('PROJETO PERFURAÇÃO'!$AB:$AB,MATCH(MEDIÇÃO!R1196,'PROJETO PERFURAÇÃO'!$B:$B,0)),1)&amp;"''","")</f>
        <v/>
      </c>
      <c r="Q1196" s="3" t="str">
        <f>IFERROR(IF(INDEX('PROJETO PERFURAÇÃO'!$P:$P,MATCH(MEDIÇÃO!R1196,'PROJETO PERFURAÇÃO'!$B:$B,0))="Production","P",IF(INDEX('PROJETO PERFURAÇÃO'!$P:$P,MATCH(MEDIÇÃO!R1196,'PROJETO PERFURAÇÃO'!$B:$B,0))="Buffer","B",IF(INDEX('PROJETO PERFURAÇÃO'!$P:$P,MATCH(MEDIÇÃO!R1196,'PROJETO PERFURAÇÃO'!$B:$B,0))="Pre-Splitting","S"))),"")</f>
        <v/>
      </c>
      <c r="R1196" s="14">
        <f t="shared" si="116"/>
        <v>2682</v>
      </c>
      <c r="S1196" s="4" t="str">
        <f>IFERROR(INDEX('LEV R&amp;D'!$D:$D,MATCH(MEDIÇÃO!R1196,'LEV R&amp;D'!$A:$A,0))-INDEX('PROJETO PERFURAÇÃO'!$AH:$AH,MATCH(MEDIÇÃO!R1196,'PROJETO PERFURAÇÃO'!$B:$B,0)),"")</f>
        <v/>
      </c>
      <c r="T1196" s="8" t="str">
        <f>IFERROR(INDEX('PROJETO PERFURAÇÃO'!$AN:$AN,MATCH(MEDIÇÃO!R1196,'PROJETO PERFURAÇÃO'!$B:$B,0)),"")</f>
        <v/>
      </c>
      <c r="U1196" s="3"/>
      <c r="V1196" s="3"/>
    </row>
    <row r="1197" spans="2:22" ht="45" customHeight="1" x14ac:dyDescent="0.25">
      <c r="B1197" s="3" t="str">
        <f>IFERROR(ROUND(INDEX('PROJETO PERFURAÇÃO'!$AB:$AB,MATCH(MEDIÇÃO!D1197,'PROJETO PERFURAÇÃO'!$B:$B,0)),1)&amp;"''","")</f>
        <v/>
      </c>
      <c r="C1197" s="3" t="str">
        <f>IFERROR(IF(INDEX('PROJETO PERFURAÇÃO'!$P:$P,MATCH(MEDIÇÃO!D1197,'PROJETO PERFURAÇÃO'!$B:$B,0))="Production","P",IF(INDEX('PROJETO PERFURAÇÃO'!$P:$P,MATCH(MEDIÇÃO!D1197,'PROJETO PERFURAÇÃO'!$B:$B,0))="Buffer","B",IF(INDEX('PROJETO PERFURAÇÃO'!$P:$P,MATCH(MEDIÇÃO!D1197,'PROJETO PERFURAÇÃO'!$B:$B,0))="Pre-Splitting","S"))),"")</f>
        <v/>
      </c>
      <c r="D1197" s="14">
        <f t="shared" si="114"/>
        <v>2637</v>
      </c>
      <c r="E1197" s="4" t="str">
        <f>IFERROR(INDEX('LEV R&amp;D'!$D:$D,MATCH(MEDIÇÃO!D1197,'LEV R&amp;D'!$A:$A,0))-INDEX('PROJETO PERFURAÇÃO'!$AH:$AH,MATCH(MEDIÇÃO!D1197,'PROJETO PERFURAÇÃO'!$B:$B,0)),"")</f>
        <v/>
      </c>
      <c r="F1197" s="8" t="str">
        <f>IFERROR(INDEX('PROJETO PERFURAÇÃO'!$AN:$AN,MATCH(MEDIÇÃO!D1197,'PROJETO PERFURAÇÃO'!$B:$B,0)),"")</f>
        <v/>
      </c>
      <c r="G1197" s="3"/>
      <c r="H1197" s="3"/>
      <c r="I1197" s="3" t="str">
        <f>IFERROR(ROUND(INDEX('PROJETO PERFURAÇÃO'!$AB:$AB,MATCH(MEDIÇÃO!K1197,'PROJETO PERFURAÇÃO'!$B:$B,0)),1)&amp;"''","")</f>
        <v/>
      </c>
      <c r="J1197" s="3" t="str">
        <f>IFERROR(IF(INDEX('PROJETO PERFURAÇÃO'!$P:$P,MATCH(MEDIÇÃO!K1197,'PROJETO PERFURAÇÃO'!$B:$B,0))="Production","P",IF(INDEX('PROJETO PERFURAÇÃO'!$P:$P,MATCH(MEDIÇÃO!K1197,'PROJETO PERFURAÇÃO'!$B:$B,0))="Buffer","B",IF(INDEX('PROJETO PERFURAÇÃO'!$P:$P,MATCH(MEDIÇÃO!K1197,'PROJETO PERFURAÇÃO'!$B:$B,0))="Pre-Splitting","S"))),"")</f>
        <v/>
      </c>
      <c r="K1197" s="14">
        <f t="shared" si="115"/>
        <v>2660</v>
      </c>
      <c r="L1197" s="4" t="str">
        <f>IFERROR(INDEX('LEV R&amp;D'!$D:$D,MATCH(MEDIÇÃO!K1197,'LEV R&amp;D'!$A:$A,0))-INDEX('PROJETO PERFURAÇÃO'!$AH:$AH,MATCH(MEDIÇÃO!K1197,'PROJETO PERFURAÇÃO'!$B:$B,0)),"")</f>
        <v/>
      </c>
      <c r="M1197" s="8" t="str">
        <f>IFERROR(INDEX('PROJETO PERFURAÇÃO'!$AN:$AN,MATCH(MEDIÇÃO!K1197,'PROJETO PERFURAÇÃO'!$B:$B,0)),"")</f>
        <v/>
      </c>
      <c r="N1197" s="3"/>
      <c r="O1197" s="3"/>
      <c r="P1197" s="3" t="str">
        <f>IFERROR(ROUND(INDEX('PROJETO PERFURAÇÃO'!$AB:$AB,MATCH(MEDIÇÃO!R1197,'PROJETO PERFURAÇÃO'!$B:$B,0)),1)&amp;"''","")</f>
        <v/>
      </c>
      <c r="Q1197" s="3" t="str">
        <f>IFERROR(IF(INDEX('PROJETO PERFURAÇÃO'!$P:$P,MATCH(MEDIÇÃO!R1197,'PROJETO PERFURAÇÃO'!$B:$B,0))="Production","P",IF(INDEX('PROJETO PERFURAÇÃO'!$P:$P,MATCH(MEDIÇÃO!R1197,'PROJETO PERFURAÇÃO'!$B:$B,0))="Buffer","B",IF(INDEX('PROJETO PERFURAÇÃO'!$P:$P,MATCH(MEDIÇÃO!R1197,'PROJETO PERFURAÇÃO'!$B:$B,0))="Pre-Splitting","S"))),"")</f>
        <v/>
      </c>
      <c r="R1197" s="14">
        <f t="shared" si="116"/>
        <v>2683</v>
      </c>
      <c r="S1197" s="4" t="str">
        <f>IFERROR(INDEX('LEV R&amp;D'!$D:$D,MATCH(MEDIÇÃO!R1197,'LEV R&amp;D'!$A:$A,0))-INDEX('PROJETO PERFURAÇÃO'!$AH:$AH,MATCH(MEDIÇÃO!R1197,'PROJETO PERFURAÇÃO'!$B:$B,0)),"")</f>
        <v/>
      </c>
      <c r="T1197" s="8" t="str">
        <f>IFERROR(INDEX('PROJETO PERFURAÇÃO'!$AN:$AN,MATCH(MEDIÇÃO!R1197,'PROJETO PERFURAÇÃO'!$B:$B,0)),"")</f>
        <v/>
      </c>
      <c r="U1197" s="3"/>
      <c r="V1197" s="3"/>
    </row>
    <row r="1198" spans="2:22" ht="45" customHeight="1" x14ac:dyDescent="0.25">
      <c r="B1198" s="3" t="str">
        <f>IFERROR(ROUND(INDEX('PROJETO PERFURAÇÃO'!$AB:$AB,MATCH(MEDIÇÃO!D1198,'PROJETO PERFURAÇÃO'!$B:$B,0)),1)&amp;"''","")</f>
        <v/>
      </c>
      <c r="C1198" s="3" t="str">
        <f>IFERROR(IF(INDEX('PROJETO PERFURAÇÃO'!$P:$P,MATCH(MEDIÇÃO!D1198,'PROJETO PERFURAÇÃO'!$B:$B,0))="Production","P",IF(INDEX('PROJETO PERFURAÇÃO'!$P:$P,MATCH(MEDIÇÃO!D1198,'PROJETO PERFURAÇÃO'!$B:$B,0))="Buffer","B",IF(INDEX('PROJETO PERFURAÇÃO'!$P:$P,MATCH(MEDIÇÃO!D1198,'PROJETO PERFURAÇÃO'!$B:$B,0))="Pre-Splitting","S"))),"")</f>
        <v/>
      </c>
      <c r="D1198" s="14">
        <f t="shared" si="114"/>
        <v>2638</v>
      </c>
      <c r="E1198" s="4" t="str">
        <f>IFERROR(INDEX('LEV R&amp;D'!$D:$D,MATCH(MEDIÇÃO!D1198,'LEV R&amp;D'!$A:$A,0))-INDEX('PROJETO PERFURAÇÃO'!$AH:$AH,MATCH(MEDIÇÃO!D1198,'PROJETO PERFURAÇÃO'!$B:$B,0)),"")</f>
        <v/>
      </c>
      <c r="F1198" s="8" t="str">
        <f>IFERROR(INDEX('PROJETO PERFURAÇÃO'!$AN:$AN,MATCH(MEDIÇÃO!D1198,'PROJETO PERFURAÇÃO'!$B:$B,0)),"")</f>
        <v/>
      </c>
      <c r="G1198" s="3"/>
      <c r="H1198" s="3"/>
      <c r="I1198" s="3" t="str">
        <f>IFERROR(ROUND(INDEX('PROJETO PERFURAÇÃO'!$AB:$AB,MATCH(MEDIÇÃO!K1198,'PROJETO PERFURAÇÃO'!$B:$B,0)),1)&amp;"''","")</f>
        <v/>
      </c>
      <c r="J1198" s="3" t="str">
        <f>IFERROR(IF(INDEX('PROJETO PERFURAÇÃO'!$P:$P,MATCH(MEDIÇÃO!K1198,'PROJETO PERFURAÇÃO'!$B:$B,0))="Production","P",IF(INDEX('PROJETO PERFURAÇÃO'!$P:$P,MATCH(MEDIÇÃO!K1198,'PROJETO PERFURAÇÃO'!$B:$B,0))="Buffer","B",IF(INDEX('PROJETO PERFURAÇÃO'!$P:$P,MATCH(MEDIÇÃO!K1198,'PROJETO PERFURAÇÃO'!$B:$B,0))="Pre-Splitting","S"))),"")</f>
        <v/>
      </c>
      <c r="K1198" s="14">
        <f t="shared" si="115"/>
        <v>2661</v>
      </c>
      <c r="L1198" s="4" t="str">
        <f>IFERROR(INDEX('LEV R&amp;D'!$D:$D,MATCH(MEDIÇÃO!K1198,'LEV R&amp;D'!$A:$A,0))-INDEX('PROJETO PERFURAÇÃO'!$AH:$AH,MATCH(MEDIÇÃO!K1198,'PROJETO PERFURAÇÃO'!$B:$B,0)),"")</f>
        <v/>
      </c>
      <c r="M1198" s="8" t="str">
        <f>IFERROR(INDEX('PROJETO PERFURAÇÃO'!$AN:$AN,MATCH(MEDIÇÃO!K1198,'PROJETO PERFURAÇÃO'!$B:$B,0)),"")</f>
        <v/>
      </c>
      <c r="N1198" s="3"/>
      <c r="O1198" s="3"/>
      <c r="P1198" s="3" t="str">
        <f>IFERROR(ROUND(INDEX('PROJETO PERFURAÇÃO'!$AB:$AB,MATCH(MEDIÇÃO!R1198,'PROJETO PERFURAÇÃO'!$B:$B,0)),1)&amp;"''","")</f>
        <v/>
      </c>
      <c r="Q1198" s="3" t="str">
        <f>IFERROR(IF(INDEX('PROJETO PERFURAÇÃO'!$P:$P,MATCH(MEDIÇÃO!R1198,'PROJETO PERFURAÇÃO'!$B:$B,0))="Production","P",IF(INDEX('PROJETO PERFURAÇÃO'!$P:$P,MATCH(MEDIÇÃO!R1198,'PROJETO PERFURAÇÃO'!$B:$B,0))="Buffer","B",IF(INDEX('PROJETO PERFURAÇÃO'!$P:$P,MATCH(MEDIÇÃO!R1198,'PROJETO PERFURAÇÃO'!$B:$B,0))="Pre-Splitting","S"))),"")</f>
        <v/>
      </c>
      <c r="R1198" s="14">
        <f t="shared" si="116"/>
        <v>2684</v>
      </c>
      <c r="S1198" s="4" t="str">
        <f>IFERROR(INDEX('LEV R&amp;D'!$D:$D,MATCH(MEDIÇÃO!R1198,'LEV R&amp;D'!$A:$A,0))-INDEX('PROJETO PERFURAÇÃO'!$AH:$AH,MATCH(MEDIÇÃO!R1198,'PROJETO PERFURAÇÃO'!$B:$B,0)),"")</f>
        <v/>
      </c>
      <c r="T1198" s="8" t="str">
        <f>IFERROR(INDEX('PROJETO PERFURAÇÃO'!$AN:$AN,MATCH(MEDIÇÃO!R1198,'PROJETO PERFURAÇÃO'!$B:$B,0)),"")</f>
        <v/>
      </c>
      <c r="U1198" s="3"/>
      <c r="V1198" s="3"/>
    </row>
    <row r="1199" spans="2:22" ht="45" customHeight="1" x14ac:dyDescent="0.25">
      <c r="B1199" s="3" t="str">
        <f>IFERROR(ROUND(INDEX('PROJETO PERFURAÇÃO'!$AB:$AB,MATCH(MEDIÇÃO!D1199,'PROJETO PERFURAÇÃO'!$B:$B,0)),1)&amp;"''","")</f>
        <v/>
      </c>
      <c r="C1199" s="3" t="str">
        <f>IFERROR(IF(INDEX('PROJETO PERFURAÇÃO'!$P:$P,MATCH(MEDIÇÃO!D1199,'PROJETO PERFURAÇÃO'!$B:$B,0))="Production","P",IF(INDEX('PROJETO PERFURAÇÃO'!$P:$P,MATCH(MEDIÇÃO!D1199,'PROJETO PERFURAÇÃO'!$B:$B,0))="Buffer","B",IF(INDEX('PROJETO PERFURAÇÃO'!$P:$P,MATCH(MEDIÇÃO!D1199,'PROJETO PERFURAÇÃO'!$B:$B,0))="Pre-Splitting","S"))),"")</f>
        <v/>
      </c>
      <c r="D1199" s="14">
        <f t="shared" si="114"/>
        <v>2639</v>
      </c>
      <c r="E1199" s="4" t="str">
        <f>IFERROR(INDEX('LEV R&amp;D'!$D:$D,MATCH(MEDIÇÃO!D1199,'LEV R&amp;D'!$A:$A,0))-INDEX('PROJETO PERFURAÇÃO'!$AH:$AH,MATCH(MEDIÇÃO!D1199,'PROJETO PERFURAÇÃO'!$B:$B,0)),"")</f>
        <v/>
      </c>
      <c r="F1199" s="8" t="str">
        <f>IFERROR(INDEX('PROJETO PERFURAÇÃO'!$AN:$AN,MATCH(MEDIÇÃO!D1199,'PROJETO PERFURAÇÃO'!$B:$B,0)),"")</f>
        <v/>
      </c>
      <c r="G1199" s="3"/>
      <c r="H1199" s="3"/>
      <c r="I1199" s="3" t="str">
        <f>IFERROR(ROUND(INDEX('PROJETO PERFURAÇÃO'!$AB:$AB,MATCH(MEDIÇÃO!K1199,'PROJETO PERFURAÇÃO'!$B:$B,0)),1)&amp;"''","")</f>
        <v/>
      </c>
      <c r="J1199" s="3" t="str">
        <f>IFERROR(IF(INDEX('PROJETO PERFURAÇÃO'!$P:$P,MATCH(MEDIÇÃO!K1199,'PROJETO PERFURAÇÃO'!$B:$B,0))="Production","P",IF(INDEX('PROJETO PERFURAÇÃO'!$P:$P,MATCH(MEDIÇÃO!K1199,'PROJETO PERFURAÇÃO'!$B:$B,0))="Buffer","B",IF(INDEX('PROJETO PERFURAÇÃO'!$P:$P,MATCH(MEDIÇÃO!K1199,'PROJETO PERFURAÇÃO'!$B:$B,0))="Pre-Splitting","S"))),"")</f>
        <v/>
      </c>
      <c r="K1199" s="14">
        <f t="shared" si="115"/>
        <v>2662</v>
      </c>
      <c r="L1199" s="4" t="str">
        <f>IFERROR(INDEX('LEV R&amp;D'!$D:$D,MATCH(MEDIÇÃO!K1199,'LEV R&amp;D'!$A:$A,0))-INDEX('PROJETO PERFURAÇÃO'!$AH:$AH,MATCH(MEDIÇÃO!K1199,'PROJETO PERFURAÇÃO'!$B:$B,0)),"")</f>
        <v/>
      </c>
      <c r="M1199" s="8" t="str">
        <f>IFERROR(INDEX('PROJETO PERFURAÇÃO'!$AN:$AN,MATCH(MEDIÇÃO!K1199,'PROJETO PERFURAÇÃO'!$B:$B,0)),"")</f>
        <v/>
      </c>
      <c r="N1199" s="3"/>
      <c r="O1199" s="3"/>
      <c r="P1199" s="3" t="str">
        <f>IFERROR(ROUND(INDEX('PROJETO PERFURAÇÃO'!$AB:$AB,MATCH(MEDIÇÃO!R1199,'PROJETO PERFURAÇÃO'!$B:$B,0)),1)&amp;"''","")</f>
        <v/>
      </c>
      <c r="Q1199" s="3" t="str">
        <f>IFERROR(IF(INDEX('PROJETO PERFURAÇÃO'!$P:$P,MATCH(MEDIÇÃO!R1199,'PROJETO PERFURAÇÃO'!$B:$B,0))="Production","P",IF(INDEX('PROJETO PERFURAÇÃO'!$P:$P,MATCH(MEDIÇÃO!R1199,'PROJETO PERFURAÇÃO'!$B:$B,0))="Buffer","B",IF(INDEX('PROJETO PERFURAÇÃO'!$P:$P,MATCH(MEDIÇÃO!R1199,'PROJETO PERFURAÇÃO'!$B:$B,0))="Pre-Splitting","S"))),"")</f>
        <v/>
      </c>
      <c r="R1199" s="14">
        <f t="shared" si="116"/>
        <v>2685</v>
      </c>
      <c r="S1199" s="4" t="str">
        <f>IFERROR(INDEX('LEV R&amp;D'!$D:$D,MATCH(MEDIÇÃO!R1199,'LEV R&amp;D'!$A:$A,0))-INDEX('PROJETO PERFURAÇÃO'!$AH:$AH,MATCH(MEDIÇÃO!R1199,'PROJETO PERFURAÇÃO'!$B:$B,0)),"")</f>
        <v/>
      </c>
      <c r="T1199" s="8" t="str">
        <f>IFERROR(INDEX('PROJETO PERFURAÇÃO'!$AN:$AN,MATCH(MEDIÇÃO!R1199,'PROJETO PERFURAÇÃO'!$B:$B,0)),"")</f>
        <v/>
      </c>
      <c r="U1199" s="3"/>
      <c r="V1199" s="3"/>
    </row>
    <row r="1200" spans="2:22" ht="45" customHeight="1" x14ac:dyDescent="0.25">
      <c r="B1200" s="3" t="str">
        <f>IFERROR(ROUND(INDEX('PROJETO PERFURAÇÃO'!$AB:$AB,MATCH(MEDIÇÃO!D1200,'PROJETO PERFURAÇÃO'!$B:$B,0)),1)&amp;"''","")</f>
        <v/>
      </c>
      <c r="C1200" s="3" t="str">
        <f>IFERROR(IF(INDEX('PROJETO PERFURAÇÃO'!$P:$P,MATCH(MEDIÇÃO!D1200,'PROJETO PERFURAÇÃO'!$B:$B,0))="Production","P",IF(INDEX('PROJETO PERFURAÇÃO'!$P:$P,MATCH(MEDIÇÃO!D1200,'PROJETO PERFURAÇÃO'!$B:$B,0))="Buffer","B",IF(INDEX('PROJETO PERFURAÇÃO'!$P:$P,MATCH(MEDIÇÃO!D1200,'PROJETO PERFURAÇÃO'!$B:$B,0))="Pre-Splitting","S"))),"")</f>
        <v/>
      </c>
      <c r="D1200" s="14">
        <f t="shared" si="114"/>
        <v>2640</v>
      </c>
      <c r="E1200" s="4" t="str">
        <f>IFERROR(INDEX('LEV R&amp;D'!$D:$D,MATCH(MEDIÇÃO!D1200,'LEV R&amp;D'!$A:$A,0))-INDEX('PROJETO PERFURAÇÃO'!$AH:$AH,MATCH(MEDIÇÃO!D1200,'PROJETO PERFURAÇÃO'!$B:$B,0)),"")</f>
        <v/>
      </c>
      <c r="F1200" s="8" t="str">
        <f>IFERROR(INDEX('PROJETO PERFURAÇÃO'!$AN:$AN,MATCH(MEDIÇÃO!D1200,'PROJETO PERFURAÇÃO'!$B:$B,0)),"")</f>
        <v/>
      </c>
      <c r="G1200" s="3"/>
      <c r="H1200" s="3"/>
      <c r="I1200" s="3" t="str">
        <f>IFERROR(ROUND(INDEX('PROJETO PERFURAÇÃO'!$AB:$AB,MATCH(MEDIÇÃO!K1200,'PROJETO PERFURAÇÃO'!$B:$B,0)),1)&amp;"''","")</f>
        <v/>
      </c>
      <c r="J1200" s="3" t="str">
        <f>IFERROR(IF(INDEX('PROJETO PERFURAÇÃO'!$P:$P,MATCH(MEDIÇÃO!K1200,'PROJETO PERFURAÇÃO'!$B:$B,0))="Production","P",IF(INDEX('PROJETO PERFURAÇÃO'!$P:$P,MATCH(MEDIÇÃO!K1200,'PROJETO PERFURAÇÃO'!$B:$B,0))="Buffer","B",IF(INDEX('PROJETO PERFURAÇÃO'!$P:$P,MATCH(MEDIÇÃO!K1200,'PROJETO PERFURAÇÃO'!$B:$B,0))="Pre-Splitting","S"))),"")</f>
        <v/>
      </c>
      <c r="K1200" s="14">
        <f t="shared" si="115"/>
        <v>2663</v>
      </c>
      <c r="L1200" s="4" t="str">
        <f>IFERROR(INDEX('LEV R&amp;D'!$D:$D,MATCH(MEDIÇÃO!K1200,'LEV R&amp;D'!$A:$A,0))-INDEX('PROJETO PERFURAÇÃO'!$AH:$AH,MATCH(MEDIÇÃO!K1200,'PROJETO PERFURAÇÃO'!$B:$B,0)),"")</f>
        <v/>
      </c>
      <c r="M1200" s="8" t="str">
        <f>IFERROR(INDEX('PROJETO PERFURAÇÃO'!$AN:$AN,MATCH(MEDIÇÃO!K1200,'PROJETO PERFURAÇÃO'!$B:$B,0)),"")</f>
        <v/>
      </c>
      <c r="N1200" s="3"/>
      <c r="O1200" s="3"/>
      <c r="P1200" s="3" t="str">
        <f>IFERROR(ROUND(INDEX('PROJETO PERFURAÇÃO'!$AB:$AB,MATCH(MEDIÇÃO!R1200,'PROJETO PERFURAÇÃO'!$B:$B,0)),1)&amp;"''","")</f>
        <v/>
      </c>
      <c r="Q1200" s="3" t="str">
        <f>IFERROR(IF(INDEX('PROJETO PERFURAÇÃO'!$P:$P,MATCH(MEDIÇÃO!R1200,'PROJETO PERFURAÇÃO'!$B:$B,0))="Production","P",IF(INDEX('PROJETO PERFURAÇÃO'!$P:$P,MATCH(MEDIÇÃO!R1200,'PROJETO PERFURAÇÃO'!$B:$B,0))="Buffer","B",IF(INDEX('PROJETO PERFURAÇÃO'!$P:$P,MATCH(MEDIÇÃO!R1200,'PROJETO PERFURAÇÃO'!$B:$B,0))="Pre-Splitting","S"))),"")</f>
        <v/>
      </c>
      <c r="R1200" s="14">
        <f t="shared" si="116"/>
        <v>2686</v>
      </c>
      <c r="S1200" s="4" t="str">
        <f>IFERROR(INDEX('LEV R&amp;D'!$D:$D,MATCH(MEDIÇÃO!R1200,'LEV R&amp;D'!$A:$A,0))-INDEX('PROJETO PERFURAÇÃO'!$AH:$AH,MATCH(MEDIÇÃO!R1200,'PROJETO PERFURAÇÃO'!$B:$B,0)),"")</f>
        <v/>
      </c>
      <c r="T1200" s="8" t="str">
        <f>IFERROR(INDEX('PROJETO PERFURAÇÃO'!$AN:$AN,MATCH(MEDIÇÃO!R1200,'PROJETO PERFURAÇÃO'!$B:$B,0)),"")</f>
        <v/>
      </c>
      <c r="U1200" s="3"/>
      <c r="V1200" s="3"/>
    </row>
    <row r="1201" spans="1:23" ht="45" customHeight="1" x14ac:dyDescent="0.25">
      <c r="B1201" s="3" t="str">
        <f>IFERROR(ROUND(INDEX('PROJETO PERFURAÇÃO'!$AB:$AB,MATCH(MEDIÇÃO!D1201,'PROJETO PERFURAÇÃO'!$B:$B,0)),1)&amp;"''","")</f>
        <v/>
      </c>
      <c r="C1201" s="3" t="str">
        <f>IFERROR(IF(INDEX('PROJETO PERFURAÇÃO'!$P:$P,MATCH(MEDIÇÃO!D1201,'PROJETO PERFURAÇÃO'!$B:$B,0))="Production","P",IF(INDEX('PROJETO PERFURAÇÃO'!$P:$P,MATCH(MEDIÇÃO!D1201,'PROJETO PERFURAÇÃO'!$B:$B,0))="Buffer","B",IF(INDEX('PROJETO PERFURAÇÃO'!$P:$P,MATCH(MEDIÇÃO!D1201,'PROJETO PERFURAÇÃO'!$B:$B,0))="Pre-Splitting","S"))),"")</f>
        <v/>
      </c>
      <c r="D1201" s="14">
        <f t="shared" si="114"/>
        <v>2641</v>
      </c>
      <c r="E1201" s="4" t="str">
        <f>IFERROR(INDEX('LEV R&amp;D'!$D:$D,MATCH(MEDIÇÃO!D1201,'LEV R&amp;D'!$A:$A,0))-INDEX('PROJETO PERFURAÇÃO'!$AH:$AH,MATCH(MEDIÇÃO!D1201,'PROJETO PERFURAÇÃO'!$B:$B,0)),"")</f>
        <v/>
      </c>
      <c r="F1201" s="8" t="str">
        <f>IFERROR(INDEX('PROJETO PERFURAÇÃO'!$AN:$AN,MATCH(MEDIÇÃO!D1201,'PROJETO PERFURAÇÃO'!$B:$B,0)),"")</f>
        <v/>
      </c>
      <c r="G1201" s="3"/>
      <c r="H1201" s="3"/>
      <c r="I1201" s="3" t="str">
        <f>IFERROR(ROUND(INDEX('PROJETO PERFURAÇÃO'!$AB:$AB,MATCH(MEDIÇÃO!K1201,'PROJETO PERFURAÇÃO'!$B:$B,0)),1)&amp;"''","")</f>
        <v/>
      </c>
      <c r="J1201" s="3" t="str">
        <f>IFERROR(IF(INDEX('PROJETO PERFURAÇÃO'!$P:$P,MATCH(MEDIÇÃO!K1201,'PROJETO PERFURAÇÃO'!$B:$B,0))="Production","P",IF(INDEX('PROJETO PERFURAÇÃO'!$P:$P,MATCH(MEDIÇÃO!K1201,'PROJETO PERFURAÇÃO'!$B:$B,0))="Buffer","B",IF(INDEX('PROJETO PERFURAÇÃO'!$P:$P,MATCH(MEDIÇÃO!K1201,'PROJETO PERFURAÇÃO'!$B:$B,0))="Pre-Splitting","S"))),"")</f>
        <v/>
      </c>
      <c r="K1201" s="14">
        <f t="shared" si="115"/>
        <v>2664</v>
      </c>
      <c r="L1201" s="4" t="str">
        <f>IFERROR(INDEX('LEV R&amp;D'!$D:$D,MATCH(MEDIÇÃO!K1201,'LEV R&amp;D'!$A:$A,0))-INDEX('PROJETO PERFURAÇÃO'!$AH:$AH,MATCH(MEDIÇÃO!K1201,'PROJETO PERFURAÇÃO'!$B:$B,0)),"")</f>
        <v/>
      </c>
      <c r="M1201" s="8" t="str">
        <f>IFERROR(INDEX('PROJETO PERFURAÇÃO'!$AN:$AN,MATCH(MEDIÇÃO!K1201,'PROJETO PERFURAÇÃO'!$B:$B,0)),"")</f>
        <v/>
      </c>
      <c r="N1201" s="3"/>
      <c r="O1201" s="3"/>
      <c r="P1201" s="3" t="str">
        <f>IFERROR(ROUND(INDEX('PROJETO PERFURAÇÃO'!$AB:$AB,MATCH(MEDIÇÃO!R1201,'PROJETO PERFURAÇÃO'!$B:$B,0)),1)&amp;"''","")</f>
        <v/>
      </c>
      <c r="Q1201" s="3" t="str">
        <f>IFERROR(IF(INDEX('PROJETO PERFURAÇÃO'!$P:$P,MATCH(MEDIÇÃO!R1201,'PROJETO PERFURAÇÃO'!$B:$B,0))="Production","P",IF(INDEX('PROJETO PERFURAÇÃO'!$P:$P,MATCH(MEDIÇÃO!R1201,'PROJETO PERFURAÇÃO'!$B:$B,0))="Buffer","B",IF(INDEX('PROJETO PERFURAÇÃO'!$P:$P,MATCH(MEDIÇÃO!R1201,'PROJETO PERFURAÇÃO'!$B:$B,0))="Pre-Splitting","S"))),"")</f>
        <v/>
      </c>
      <c r="R1201" s="14">
        <f t="shared" si="116"/>
        <v>2687</v>
      </c>
      <c r="S1201" s="4" t="str">
        <f>IFERROR(INDEX('LEV R&amp;D'!$D:$D,MATCH(MEDIÇÃO!R1201,'LEV R&amp;D'!$A:$A,0))-INDEX('PROJETO PERFURAÇÃO'!$AH:$AH,MATCH(MEDIÇÃO!R1201,'PROJETO PERFURAÇÃO'!$B:$B,0)),"")</f>
        <v/>
      </c>
      <c r="T1201" s="8" t="str">
        <f>IFERROR(INDEX('PROJETO PERFURAÇÃO'!$AN:$AN,MATCH(MEDIÇÃO!R1201,'PROJETO PERFURAÇÃO'!$B:$B,0)),"")</f>
        <v/>
      </c>
      <c r="U1201" s="3"/>
      <c r="V1201" s="3"/>
    </row>
    <row r="1202" spans="1:23" ht="45" customHeight="1" x14ac:dyDescent="0.25">
      <c r="B1202" s="3" t="str">
        <f>IFERROR(ROUND(INDEX('PROJETO PERFURAÇÃO'!$AB:$AB,MATCH(MEDIÇÃO!D1202,'PROJETO PERFURAÇÃO'!$B:$B,0)),1)&amp;"''","")</f>
        <v/>
      </c>
      <c r="C1202" s="3" t="str">
        <f>IFERROR(IF(INDEX('PROJETO PERFURAÇÃO'!$P:$P,MATCH(MEDIÇÃO!D1202,'PROJETO PERFURAÇÃO'!$B:$B,0))="Production","P",IF(INDEX('PROJETO PERFURAÇÃO'!$P:$P,MATCH(MEDIÇÃO!D1202,'PROJETO PERFURAÇÃO'!$B:$B,0))="Buffer","B",IF(INDEX('PROJETO PERFURAÇÃO'!$P:$P,MATCH(MEDIÇÃO!D1202,'PROJETO PERFURAÇÃO'!$B:$B,0))="Pre-Splitting","S"))),"")</f>
        <v/>
      </c>
      <c r="D1202" s="14">
        <f t="shared" si="114"/>
        <v>2642</v>
      </c>
      <c r="E1202" s="4" t="str">
        <f>IFERROR(INDEX('LEV R&amp;D'!$D:$D,MATCH(MEDIÇÃO!D1202,'LEV R&amp;D'!$A:$A,0))-INDEX('PROJETO PERFURAÇÃO'!$AH:$AH,MATCH(MEDIÇÃO!D1202,'PROJETO PERFURAÇÃO'!$B:$B,0)),"")</f>
        <v/>
      </c>
      <c r="F1202" s="8" t="str">
        <f>IFERROR(INDEX('PROJETO PERFURAÇÃO'!$AN:$AN,MATCH(MEDIÇÃO!D1202,'PROJETO PERFURAÇÃO'!$B:$B,0)),"")</f>
        <v/>
      </c>
      <c r="G1202" s="3"/>
      <c r="H1202" s="3"/>
      <c r="I1202" s="3" t="str">
        <f>IFERROR(ROUND(INDEX('PROJETO PERFURAÇÃO'!$AB:$AB,MATCH(MEDIÇÃO!K1202,'PROJETO PERFURAÇÃO'!$B:$B,0)),1)&amp;"''","")</f>
        <v/>
      </c>
      <c r="J1202" s="3" t="str">
        <f>IFERROR(IF(INDEX('PROJETO PERFURAÇÃO'!$P:$P,MATCH(MEDIÇÃO!K1202,'PROJETO PERFURAÇÃO'!$B:$B,0))="Production","P",IF(INDEX('PROJETO PERFURAÇÃO'!$P:$P,MATCH(MEDIÇÃO!K1202,'PROJETO PERFURAÇÃO'!$B:$B,0))="Buffer","B",IF(INDEX('PROJETO PERFURAÇÃO'!$P:$P,MATCH(MEDIÇÃO!K1202,'PROJETO PERFURAÇÃO'!$B:$B,0))="Pre-Splitting","S"))),"")</f>
        <v/>
      </c>
      <c r="K1202" s="14">
        <f t="shared" si="115"/>
        <v>2665</v>
      </c>
      <c r="L1202" s="4" t="str">
        <f>IFERROR(INDEX('LEV R&amp;D'!$D:$D,MATCH(MEDIÇÃO!K1202,'LEV R&amp;D'!$A:$A,0))-INDEX('PROJETO PERFURAÇÃO'!$AH:$AH,MATCH(MEDIÇÃO!K1202,'PROJETO PERFURAÇÃO'!$B:$B,0)),"")</f>
        <v/>
      </c>
      <c r="M1202" s="8" t="str">
        <f>IFERROR(INDEX('PROJETO PERFURAÇÃO'!$AN:$AN,MATCH(MEDIÇÃO!K1202,'PROJETO PERFURAÇÃO'!$B:$B,0)),"")</f>
        <v/>
      </c>
      <c r="N1202" s="3"/>
      <c r="O1202" s="3"/>
      <c r="P1202" s="3" t="str">
        <f>IFERROR(ROUND(INDEX('PROJETO PERFURAÇÃO'!$AB:$AB,MATCH(MEDIÇÃO!R1202,'PROJETO PERFURAÇÃO'!$B:$B,0)),1)&amp;"''","")</f>
        <v/>
      </c>
      <c r="Q1202" s="3" t="str">
        <f>IFERROR(IF(INDEX('PROJETO PERFURAÇÃO'!$P:$P,MATCH(MEDIÇÃO!R1202,'PROJETO PERFURAÇÃO'!$B:$B,0))="Production","P",IF(INDEX('PROJETO PERFURAÇÃO'!$P:$P,MATCH(MEDIÇÃO!R1202,'PROJETO PERFURAÇÃO'!$B:$B,0))="Buffer","B",IF(INDEX('PROJETO PERFURAÇÃO'!$P:$P,MATCH(MEDIÇÃO!R1202,'PROJETO PERFURAÇÃO'!$B:$B,0))="Pre-Splitting","S"))),"")</f>
        <v/>
      </c>
      <c r="R1202" s="14">
        <f t="shared" si="116"/>
        <v>2688</v>
      </c>
      <c r="S1202" s="4" t="str">
        <f>IFERROR(INDEX('LEV R&amp;D'!$D:$D,MATCH(MEDIÇÃO!R1202,'LEV R&amp;D'!$A:$A,0))-INDEX('PROJETO PERFURAÇÃO'!$AH:$AH,MATCH(MEDIÇÃO!R1202,'PROJETO PERFURAÇÃO'!$B:$B,0)),"")</f>
        <v/>
      </c>
      <c r="T1202" s="8" t="str">
        <f>IFERROR(INDEX('PROJETO PERFURAÇÃO'!$AN:$AN,MATCH(MEDIÇÃO!R1202,'PROJETO PERFURAÇÃO'!$B:$B,0)),"")</f>
        <v/>
      </c>
      <c r="U1202" s="3"/>
      <c r="V1202" s="3"/>
    </row>
    <row r="1203" spans="1:23" ht="45" customHeight="1" x14ac:dyDescent="0.25">
      <c r="B1203" s="3" t="str">
        <f>IFERROR(ROUND(INDEX('PROJETO PERFURAÇÃO'!$AB:$AB,MATCH(MEDIÇÃO!D1203,'PROJETO PERFURAÇÃO'!$B:$B,0)),1)&amp;"''","")</f>
        <v/>
      </c>
      <c r="C1203" s="3" t="str">
        <f>IFERROR(IF(INDEX('PROJETO PERFURAÇÃO'!$P:$P,MATCH(MEDIÇÃO!D1203,'PROJETO PERFURAÇÃO'!$B:$B,0))="Production","P",IF(INDEX('PROJETO PERFURAÇÃO'!$P:$P,MATCH(MEDIÇÃO!D1203,'PROJETO PERFURAÇÃO'!$B:$B,0))="Buffer","B",IF(INDEX('PROJETO PERFURAÇÃO'!$P:$P,MATCH(MEDIÇÃO!D1203,'PROJETO PERFURAÇÃO'!$B:$B,0))="Pre-Splitting","S"))),"")</f>
        <v/>
      </c>
      <c r="D1203" s="14">
        <f t="shared" si="114"/>
        <v>2643</v>
      </c>
      <c r="E1203" s="4" t="str">
        <f>IFERROR(INDEX('LEV R&amp;D'!$D:$D,MATCH(MEDIÇÃO!D1203,'LEV R&amp;D'!$A:$A,0))-INDEX('PROJETO PERFURAÇÃO'!$AH:$AH,MATCH(MEDIÇÃO!D1203,'PROJETO PERFURAÇÃO'!$B:$B,0)),"")</f>
        <v/>
      </c>
      <c r="F1203" s="8" t="str">
        <f>IFERROR(INDEX('PROJETO PERFURAÇÃO'!$AN:$AN,MATCH(MEDIÇÃO!D1203,'PROJETO PERFURAÇÃO'!$B:$B,0)),"")</f>
        <v/>
      </c>
      <c r="G1203" s="3"/>
      <c r="H1203" s="3"/>
      <c r="I1203" s="3" t="str">
        <f>IFERROR(ROUND(INDEX('PROJETO PERFURAÇÃO'!$AB:$AB,MATCH(MEDIÇÃO!K1203,'PROJETO PERFURAÇÃO'!$B:$B,0)),1)&amp;"''","")</f>
        <v/>
      </c>
      <c r="J1203" s="3" t="str">
        <f>IFERROR(IF(INDEX('PROJETO PERFURAÇÃO'!$P:$P,MATCH(MEDIÇÃO!K1203,'PROJETO PERFURAÇÃO'!$B:$B,0))="Production","P",IF(INDEX('PROJETO PERFURAÇÃO'!$P:$P,MATCH(MEDIÇÃO!K1203,'PROJETO PERFURAÇÃO'!$B:$B,0))="Buffer","B",IF(INDEX('PROJETO PERFURAÇÃO'!$P:$P,MATCH(MEDIÇÃO!K1203,'PROJETO PERFURAÇÃO'!$B:$B,0))="Pre-Splitting","S"))),"")</f>
        <v/>
      </c>
      <c r="K1203" s="14">
        <f t="shared" si="115"/>
        <v>2666</v>
      </c>
      <c r="L1203" s="4" t="str">
        <f>IFERROR(INDEX('LEV R&amp;D'!$D:$D,MATCH(MEDIÇÃO!K1203,'LEV R&amp;D'!$A:$A,0))-INDEX('PROJETO PERFURAÇÃO'!$AH:$AH,MATCH(MEDIÇÃO!K1203,'PROJETO PERFURAÇÃO'!$B:$B,0)),"")</f>
        <v/>
      </c>
      <c r="M1203" s="8" t="str">
        <f>IFERROR(INDEX('PROJETO PERFURAÇÃO'!$AN:$AN,MATCH(MEDIÇÃO!K1203,'PROJETO PERFURAÇÃO'!$B:$B,0)),"")</f>
        <v/>
      </c>
      <c r="N1203" s="3"/>
      <c r="O1203" s="3"/>
      <c r="P1203" s="3" t="str">
        <f>IFERROR(ROUND(INDEX('PROJETO PERFURAÇÃO'!$AB:$AB,MATCH(MEDIÇÃO!R1203,'PROJETO PERFURAÇÃO'!$B:$B,0)),1)&amp;"''","")</f>
        <v/>
      </c>
      <c r="Q1203" s="3" t="str">
        <f>IFERROR(IF(INDEX('PROJETO PERFURAÇÃO'!$P:$P,MATCH(MEDIÇÃO!R1203,'PROJETO PERFURAÇÃO'!$B:$B,0))="Production","P",IF(INDEX('PROJETO PERFURAÇÃO'!$P:$P,MATCH(MEDIÇÃO!R1203,'PROJETO PERFURAÇÃO'!$B:$B,0))="Buffer","B",IF(INDEX('PROJETO PERFURAÇÃO'!$P:$P,MATCH(MEDIÇÃO!R1203,'PROJETO PERFURAÇÃO'!$B:$B,0))="Pre-Splitting","S"))),"")</f>
        <v/>
      </c>
      <c r="R1203" s="14">
        <f t="shared" si="116"/>
        <v>2689</v>
      </c>
      <c r="S1203" s="4" t="str">
        <f>IFERROR(INDEX('LEV R&amp;D'!$D:$D,MATCH(MEDIÇÃO!R1203,'LEV R&amp;D'!$A:$A,0))-INDEX('PROJETO PERFURAÇÃO'!$AH:$AH,MATCH(MEDIÇÃO!R1203,'PROJETO PERFURAÇÃO'!$B:$B,0)),"")</f>
        <v/>
      </c>
      <c r="T1203" s="8" t="str">
        <f>IFERROR(INDEX('PROJETO PERFURAÇÃO'!$AN:$AN,MATCH(MEDIÇÃO!R1203,'PROJETO PERFURAÇÃO'!$B:$B,0)),"")</f>
        <v/>
      </c>
      <c r="U1203" s="3"/>
      <c r="V1203" s="3"/>
    </row>
    <row r="1204" spans="1:23" ht="45" customHeight="1" x14ac:dyDescent="0.25">
      <c r="B1204" s="3" t="str">
        <f>IFERROR(ROUND(INDEX('PROJETO PERFURAÇÃO'!$AB:$AB,MATCH(MEDIÇÃO!D1204,'PROJETO PERFURAÇÃO'!$B:$B,0)),1)&amp;"''","")</f>
        <v/>
      </c>
      <c r="C1204" s="3" t="str">
        <f>IFERROR(IF(INDEX('PROJETO PERFURAÇÃO'!$P:$P,MATCH(MEDIÇÃO!D1204,'PROJETO PERFURAÇÃO'!$B:$B,0))="Production","P",IF(INDEX('PROJETO PERFURAÇÃO'!$P:$P,MATCH(MEDIÇÃO!D1204,'PROJETO PERFURAÇÃO'!$B:$B,0))="Buffer","B",IF(INDEX('PROJETO PERFURAÇÃO'!$P:$P,MATCH(MEDIÇÃO!D1204,'PROJETO PERFURAÇÃO'!$B:$B,0))="Pre-Splitting","S"))),"")</f>
        <v/>
      </c>
      <c r="D1204" s="14">
        <f t="shared" si="114"/>
        <v>2644</v>
      </c>
      <c r="E1204" s="4" t="str">
        <f>IFERROR(INDEX('LEV R&amp;D'!$D:$D,MATCH(MEDIÇÃO!D1204,'LEV R&amp;D'!$A:$A,0))-INDEX('PROJETO PERFURAÇÃO'!$AH:$AH,MATCH(MEDIÇÃO!D1204,'PROJETO PERFURAÇÃO'!$B:$B,0)),"")</f>
        <v/>
      </c>
      <c r="F1204" s="8" t="str">
        <f>IFERROR(INDEX('PROJETO PERFURAÇÃO'!$AN:$AN,MATCH(MEDIÇÃO!D1204,'PROJETO PERFURAÇÃO'!$B:$B,0)),"")</f>
        <v/>
      </c>
      <c r="G1204" s="3"/>
      <c r="H1204" s="3"/>
      <c r="I1204" s="3" t="str">
        <f>IFERROR(ROUND(INDEX('PROJETO PERFURAÇÃO'!$AB:$AB,MATCH(MEDIÇÃO!K1204,'PROJETO PERFURAÇÃO'!$B:$B,0)),1)&amp;"''","")</f>
        <v/>
      </c>
      <c r="J1204" s="3" t="str">
        <f>IFERROR(IF(INDEX('PROJETO PERFURAÇÃO'!$P:$P,MATCH(MEDIÇÃO!K1204,'PROJETO PERFURAÇÃO'!$B:$B,0))="Production","P",IF(INDEX('PROJETO PERFURAÇÃO'!$P:$P,MATCH(MEDIÇÃO!K1204,'PROJETO PERFURAÇÃO'!$B:$B,0))="Buffer","B",IF(INDEX('PROJETO PERFURAÇÃO'!$P:$P,MATCH(MEDIÇÃO!K1204,'PROJETO PERFURAÇÃO'!$B:$B,0))="Pre-Splitting","S"))),"")</f>
        <v/>
      </c>
      <c r="K1204" s="14">
        <f t="shared" si="115"/>
        <v>2667</v>
      </c>
      <c r="L1204" s="4" t="str">
        <f>IFERROR(INDEX('LEV R&amp;D'!$D:$D,MATCH(MEDIÇÃO!K1204,'LEV R&amp;D'!$A:$A,0))-INDEX('PROJETO PERFURAÇÃO'!$AH:$AH,MATCH(MEDIÇÃO!K1204,'PROJETO PERFURAÇÃO'!$B:$B,0)),"")</f>
        <v/>
      </c>
      <c r="M1204" s="8" t="str">
        <f>IFERROR(INDEX('PROJETO PERFURAÇÃO'!$AN:$AN,MATCH(MEDIÇÃO!K1204,'PROJETO PERFURAÇÃO'!$B:$B,0)),"")</f>
        <v/>
      </c>
      <c r="N1204" s="3"/>
      <c r="O1204" s="3"/>
      <c r="P1204" s="3" t="str">
        <f>IFERROR(ROUND(INDEX('PROJETO PERFURAÇÃO'!$AB:$AB,MATCH(MEDIÇÃO!R1204,'PROJETO PERFURAÇÃO'!$B:$B,0)),1)&amp;"''","")</f>
        <v/>
      </c>
      <c r="Q1204" s="3" t="str">
        <f>IFERROR(IF(INDEX('PROJETO PERFURAÇÃO'!$P:$P,MATCH(MEDIÇÃO!R1204,'PROJETO PERFURAÇÃO'!$B:$B,0))="Production","P",IF(INDEX('PROJETO PERFURAÇÃO'!$P:$P,MATCH(MEDIÇÃO!R1204,'PROJETO PERFURAÇÃO'!$B:$B,0))="Buffer","B",IF(INDEX('PROJETO PERFURAÇÃO'!$P:$P,MATCH(MEDIÇÃO!R1204,'PROJETO PERFURAÇÃO'!$B:$B,0))="Pre-Splitting","S"))),"")</f>
        <v/>
      </c>
      <c r="R1204" s="14">
        <f t="shared" si="116"/>
        <v>2690</v>
      </c>
      <c r="S1204" s="4" t="str">
        <f>IFERROR(INDEX('LEV R&amp;D'!$D:$D,MATCH(MEDIÇÃO!R1204,'LEV R&amp;D'!$A:$A,0))-INDEX('PROJETO PERFURAÇÃO'!$AH:$AH,MATCH(MEDIÇÃO!R1204,'PROJETO PERFURAÇÃO'!$B:$B,0)),"")</f>
        <v/>
      </c>
      <c r="T1204" s="8" t="str">
        <f>IFERROR(INDEX('PROJETO PERFURAÇÃO'!$AN:$AN,MATCH(MEDIÇÃO!R1204,'PROJETO PERFURAÇÃO'!$B:$B,0)),"")</f>
        <v/>
      </c>
      <c r="U1204" s="3"/>
      <c r="V1204" s="3"/>
    </row>
    <row r="1205" spans="1:23" ht="45" customHeight="1" x14ac:dyDescent="0.25">
      <c r="B1205" s="3" t="str">
        <f>IFERROR(ROUND(INDEX('PROJETO PERFURAÇÃO'!$AB:$AB,MATCH(MEDIÇÃO!D1205,'PROJETO PERFURAÇÃO'!$B:$B,0)),1)&amp;"''","")</f>
        <v/>
      </c>
      <c r="C1205" s="3" t="str">
        <f>IFERROR(IF(INDEX('PROJETO PERFURAÇÃO'!$P:$P,MATCH(MEDIÇÃO!D1205,'PROJETO PERFURAÇÃO'!$B:$B,0))="Production","P",IF(INDEX('PROJETO PERFURAÇÃO'!$P:$P,MATCH(MEDIÇÃO!D1205,'PROJETO PERFURAÇÃO'!$B:$B,0))="Buffer","B",IF(INDEX('PROJETO PERFURAÇÃO'!$P:$P,MATCH(MEDIÇÃO!D1205,'PROJETO PERFURAÇÃO'!$B:$B,0))="Pre-Splitting","S"))),"")</f>
        <v/>
      </c>
      <c r="D1205" s="14">
        <f t="shared" si="114"/>
        <v>2645</v>
      </c>
      <c r="E1205" s="4" t="str">
        <f>IFERROR(INDEX('LEV R&amp;D'!$D:$D,MATCH(MEDIÇÃO!D1205,'LEV R&amp;D'!$A:$A,0))-INDEX('PROJETO PERFURAÇÃO'!$AH:$AH,MATCH(MEDIÇÃO!D1205,'PROJETO PERFURAÇÃO'!$B:$B,0)),"")</f>
        <v/>
      </c>
      <c r="F1205" s="8" t="str">
        <f>IFERROR(INDEX('PROJETO PERFURAÇÃO'!$AN:$AN,MATCH(MEDIÇÃO!D1205,'PROJETO PERFURAÇÃO'!$B:$B,0)),"")</f>
        <v/>
      </c>
      <c r="G1205" s="3"/>
      <c r="H1205" s="3"/>
      <c r="I1205" s="3" t="str">
        <f>IFERROR(ROUND(INDEX('PROJETO PERFURAÇÃO'!$AB:$AB,MATCH(MEDIÇÃO!K1205,'PROJETO PERFURAÇÃO'!$B:$B,0)),1)&amp;"''","")</f>
        <v/>
      </c>
      <c r="J1205" s="3" t="str">
        <f>IFERROR(IF(INDEX('PROJETO PERFURAÇÃO'!$P:$P,MATCH(MEDIÇÃO!K1205,'PROJETO PERFURAÇÃO'!$B:$B,0))="Production","P",IF(INDEX('PROJETO PERFURAÇÃO'!$P:$P,MATCH(MEDIÇÃO!K1205,'PROJETO PERFURAÇÃO'!$B:$B,0))="Buffer","B",IF(INDEX('PROJETO PERFURAÇÃO'!$P:$P,MATCH(MEDIÇÃO!K1205,'PROJETO PERFURAÇÃO'!$B:$B,0))="Pre-Splitting","S"))),"")</f>
        <v/>
      </c>
      <c r="K1205" s="14">
        <f>K1204+1</f>
        <v>2668</v>
      </c>
      <c r="L1205" s="4" t="str">
        <f>IFERROR(INDEX('LEV R&amp;D'!$D:$D,MATCH(MEDIÇÃO!K1205,'LEV R&amp;D'!$A:$A,0))-INDEX('PROJETO PERFURAÇÃO'!$AH:$AH,MATCH(MEDIÇÃO!K1205,'PROJETO PERFURAÇÃO'!$B:$B,0)),"")</f>
        <v/>
      </c>
      <c r="M1205" s="8" t="str">
        <f>IFERROR(INDEX('PROJETO PERFURAÇÃO'!$AN:$AN,MATCH(MEDIÇÃO!K1205,'PROJETO PERFURAÇÃO'!$B:$B,0)),"")</f>
        <v/>
      </c>
      <c r="N1205" s="3"/>
      <c r="O1205" s="3"/>
      <c r="P1205" s="3" t="str">
        <f>IFERROR(ROUND(INDEX('PROJETO PERFURAÇÃO'!$AB:$AB,MATCH(MEDIÇÃO!R1205,'PROJETO PERFURAÇÃO'!$B:$B,0)),1)&amp;"''","")</f>
        <v/>
      </c>
      <c r="Q1205" s="3" t="str">
        <f>IFERROR(IF(INDEX('PROJETO PERFURAÇÃO'!$P:$P,MATCH(MEDIÇÃO!R1205,'PROJETO PERFURAÇÃO'!$B:$B,0))="Production","P",IF(INDEX('PROJETO PERFURAÇÃO'!$P:$P,MATCH(MEDIÇÃO!R1205,'PROJETO PERFURAÇÃO'!$B:$B,0))="Buffer","B",IF(INDEX('PROJETO PERFURAÇÃO'!$P:$P,MATCH(MEDIÇÃO!R1205,'PROJETO PERFURAÇÃO'!$B:$B,0))="Pre-Splitting","S"))),"")</f>
        <v/>
      </c>
      <c r="R1205" s="14">
        <f>R1204+1</f>
        <v>2691</v>
      </c>
      <c r="S1205" s="4" t="str">
        <f>IFERROR(INDEX('LEV R&amp;D'!$D:$D,MATCH(MEDIÇÃO!R1205,'LEV R&amp;D'!$A:$A,0))-INDEX('PROJETO PERFURAÇÃO'!$AH:$AH,MATCH(MEDIÇÃO!R1205,'PROJETO PERFURAÇÃO'!$B:$B,0)),"")</f>
        <v/>
      </c>
      <c r="T1205" s="8" t="str">
        <f>IFERROR(INDEX('PROJETO PERFURAÇÃO'!$AN:$AN,MATCH(MEDIÇÃO!R1205,'PROJETO PERFURAÇÃO'!$B:$B,0)),"")</f>
        <v/>
      </c>
      <c r="U1205" s="3"/>
      <c r="V1205" s="3"/>
    </row>
    <row r="1206" spans="1:23" ht="30" customHeight="1" x14ac:dyDescent="0.25">
      <c r="B1206" s="1"/>
      <c r="C1206" s="1"/>
      <c r="D1206" s="15"/>
      <c r="E1206" s="2"/>
      <c r="F1206" s="16"/>
      <c r="G1206" s="1"/>
      <c r="H1206" s="1"/>
      <c r="I1206" s="1"/>
      <c r="J1206" s="1"/>
      <c r="K1206" s="15"/>
      <c r="L1206" s="2"/>
      <c r="M1206" s="16"/>
      <c r="N1206" s="1"/>
      <c r="O1206" s="1"/>
      <c r="P1206" s="1"/>
      <c r="Q1206" s="1"/>
      <c r="R1206" s="15"/>
      <c r="S1206" s="2"/>
      <c r="T1206" s="16"/>
      <c r="U1206" s="1"/>
      <c r="V1206" s="1"/>
    </row>
    <row r="1207" spans="1:23" ht="30" customHeight="1" x14ac:dyDescent="0.25">
      <c r="C1207" s="20"/>
      <c r="D1207" s="20"/>
      <c r="E1207" s="20"/>
      <c r="F1207" s="20"/>
      <c r="G1207" s="20"/>
      <c r="H1207" s="20"/>
      <c r="I1207" s="20"/>
      <c r="J1207" s="20"/>
      <c r="K1207" s="20"/>
      <c r="M1207" s="20"/>
      <c r="N1207" s="20"/>
      <c r="O1207" s="20"/>
      <c r="P1207" s="20"/>
      <c r="Q1207" s="20"/>
      <c r="R1207" s="20"/>
      <c r="S1207" s="20"/>
      <c r="T1207" s="20"/>
      <c r="U1207" s="20"/>
    </row>
    <row r="1208" spans="1:23" ht="30" customHeight="1" x14ac:dyDescent="0.25">
      <c r="C1208" s="21" t="s">
        <v>40</v>
      </c>
      <c r="D1208" s="21"/>
      <c r="E1208" s="21"/>
      <c r="F1208" s="21"/>
      <c r="G1208" s="21"/>
      <c r="H1208" s="21"/>
      <c r="I1208" s="21"/>
      <c r="J1208" s="21"/>
      <c r="K1208" s="21"/>
      <c r="L1208" s="9"/>
      <c r="M1208" s="21" t="s">
        <v>40</v>
      </c>
      <c r="N1208" s="21"/>
      <c r="O1208" s="21"/>
      <c r="P1208" s="21"/>
      <c r="Q1208" s="21"/>
      <c r="R1208" s="21"/>
      <c r="S1208" s="21"/>
      <c r="T1208" s="21"/>
      <c r="U1208" s="21"/>
      <c r="V1208" s="9"/>
    </row>
    <row r="1209" spans="1:23" ht="30" customHeight="1" x14ac:dyDescent="0.25">
      <c r="D1209" s="9"/>
      <c r="E1209" s="9"/>
      <c r="F1209" s="9"/>
      <c r="G1209" s="9"/>
      <c r="H1209" s="9"/>
      <c r="I1209" s="9"/>
      <c r="J1209" s="9"/>
      <c r="K1209" s="9"/>
      <c r="L1209" s="9"/>
      <c r="M1209" s="9"/>
      <c r="N1209" s="9"/>
      <c r="Q1209" s="9"/>
      <c r="R1209" s="9"/>
      <c r="S1209" s="9"/>
      <c r="T1209" s="9"/>
      <c r="U1209" s="9"/>
      <c r="V1209" s="9"/>
    </row>
    <row r="1210" spans="1:23" ht="30" customHeight="1" x14ac:dyDescent="0.25">
      <c r="B1210" s="19" t="str">
        <f>'PROJETO PERFURAÇÃO'!$C$2&amp;" - "&amp;'PROJETO PERFURAÇÃO'!$H$2</f>
        <v>LIB065 - PP0651026</v>
      </c>
      <c r="C1210" s="19"/>
      <c r="D1210" s="19"/>
      <c r="E1210" s="19"/>
      <c r="F1210" s="19"/>
      <c r="G1210" s="19"/>
      <c r="H1210" s="19"/>
      <c r="I1210" s="11" t="s">
        <v>34</v>
      </c>
      <c r="J1210" s="10" t="s">
        <v>37</v>
      </c>
    </row>
    <row r="1211" spans="1:23" ht="30" customHeight="1" x14ac:dyDescent="0.25">
      <c r="B1211" s="19"/>
      <c r="C1211" s="19"/>
      <c r="D1211" s="19"/>
      <c r="E1211" s="19"/>
      <c r="F1211" s="19"/>
      <c r="G1211" s="19"/>
      <c r="H1211" s="19"/>
      <c r="I1211" s="12" t="s">
        <v>35</v>
      </c>
      <c r="J1211" s="10" t="s">
        <v>38</v>
      </c>
      <c r="K1211" s="9"/>
      <c r="L1211" s="9"/>
      <c r="M1211" s="9"/>
      <c r="N1211" s="9"/>
      <c r="O1211" s="9"/>
      <c r="P1211" s="9"/>
      <c r="Q1211" s="9"/>
      <c r="R1211" s="9"/>
      <c r="S1211" s="9"/>
      <c r="T1211" s="9"/>
      <c r="U1211" s="9"/>
      <c r="V1211" s="9"/>
    </row>
    <row r="1212" spans="1:23" ht="30" customHeight="1" x14ac:dyDescent="0.25">
      <c r="B1212" s="19"/>
      <c r="C1212" s="19"/>
      <c r="D1212" s="19"/>
      <c r="E1212" s="19"/>
      <c r="F1212" s="19"/>
      <c r="G1212" s="19"/>
      <c r="H1212" s="19"/>
      <c r="I1212" s="13" t="s">
        <v>36</v>
      </c>
      <c r="J1212" s="10" t="s">
        <v>39</v>
      </c>
    </row>
    <row r="1213" spans="1:23" ht="30" customHeight="1" x14ac:dyDescent="0.25">
      <c r="A1213" s="1"/>
      <c r="B1213" s="6" t="s">
        <v>33</v>
      </c>
      <c r="C1213" s="6" t="s">
        <v>13</v>
      </c>
      <c r="D1213" s="7" t="s">
        <v>1</v>
      </c>
      <c r="E1213" s="7" t="s">
        <v>29</v>
      </c>
      <c r="F1213" s="7" t="s">
        <v>30</v>
      </c>
      <c r="G1213" s="7" t="s">
        <v>31</v>
      </c>
      <c r="H1213" s="7" t="s">
        <v>32</v>
      </c>
      <c r="I1213" s="6" t="s">
        <v>33</v>
      </c>
      <c r="J1213" s="6" t="s">
        <v>13</v>
      </c>
      <c r="K1213" s="7" t="s">
        <v>1</v>
      </c>
      <c r="L1213" s="7" t="s">
        <v>29</v>
      </c>
      <c r="M1213" s="7" t="s">
        <v>30</v>
      </c>
      <c r="N1213" s="7" t="s">
        <v>31</v>
      </c>
      <c r="O1213" s="7" t="s">
        <v>32</v>
      </c>
      <c r="P1213" s="6" t="s">
        <v>33</v>
      </c>
      <c r="Q1213" s="6" t="s">
        <v>13</v>
      </c>
      <c r="R1213" s="7" t="s">
        <v>1</v>
      </c>
      <c r="S1213" s="7" t="s">
        <v>29</v>
      </c>
      <c r="T1213" s="7" t="s">
        <v>30</v>
      </c>
      <c r="U1213" s="7" t="s">
        <v>31</v>
      </c>
      <c r="V1213" s="7" t="s">
        <v>32</v>
      </c>
      <c r="W1213" s="1"/>
    </row>
    <row r="1214" spans="1:23" ht="45" customHeight="1" x14ac:dyDescent="0.25">
      <c r="B1214" s="3" t="str">
        <f>IFERROR(ROUND(INDEX('PROJETO PERFURAÇÃO'!$AB:$AB,MATCH(MEDIÇÃO!D1214,'PROJETO PERFURAÇÃO'!$B:$B,0)),1)&amp;"''","")</f>
        <v/>
      </c>
      <c r="C1214" s="3" t="str">
        <f>IFERROR(IF(INDEX('PROJETO PERFURAÇÃO'!$P:$P,MATCH(MEDIÇÃO!D1214,'PROJETO PERFURAÇÃO'!$B:$B,0))="Production","P",IF(INDEX('PROJETO PERFURAÇÃO'!$P:$P,MATCH(MEDIÇÃO!D1214,'PROJETO PERFURAÇÃO'!$B:$B,0))="Buffer","B",IF(INDEX('PROJETO PERFURAÇÃO'!$P:$P,MATCH(MEDIÇÃO!D1214,'PROJETO PERFURAÇÃO'!$B:$B,0))="Pre-Splitting","S"))),"")</f>
        <v/>
      </c>
      <c r="D1214" s="14">
        <f>R1205+1</f>
        <v>2692</v>
      </c>
      <c r="E1214" s="4" t="str">
        <f>IFERROR(INDEX('LEV R&amp;D'!$D:$D,MATCH(MEDIÇÃO!D1214,'LEV R&amp;D'!$A:$A,0))-INDEX('PROJETO PERFURAÇÃO'!$AH:$AH,MATCH(MEDIÇÃO!D1214,'PROJETO PERFURAÇÃO'!$B:$B,0)),"")</f>
        <v/>
      </c>
      <c r="F1214" s="8" t="str">
        <f>IFERROR(INDEX('PROJETO PERFURAÇÃO'!$AN:$AN,MATCH(MEDIÇÃO!D1214,'PROJETO PERFURAÇÃO'!$B:$B,0)),"")</f>
        <v/>
      </c>
      <c r="G1214" s="3"/>
      <c r="H1214" s="3"/>
      <c r="I1214" s="3" t="str">
        <f>IFERROR(ROUND(INDEX('PROJETO PERFURAÇÃO'!$AB:$AB,MATCH(MEDIÇÃO!K1214,'PROJETO PERFURAÇÃO'!$B:$B,0)),1)&amp;"''","")</f>
        <v/>
      </c>
      <c r="J1214" s="3" t="str">
        <f>IFERROR(IF(INDEX('PROJETO PERFURAÇÃO'!$P:$P,MATCH(MEDIÇÃO!K1214,'PROJETO PERFURAÇÃO'!$B:$B,0))="Production","P",IF(INDEX('PROJETO PERFURAÇÃO'!$P:$P,MATCH(MEDIÇÃO!K1214,'PROJETO PERFURAÇÃO'!$B:$B,0))="Buffer","B",IF(INDEX('PROJETO PERFURAÇÃO'!$P:$P,MATCH(MEDIÇÃO!K1214,'PROJETO PERFURAÇÃO'!$B:$B,0))="Pre-Splitting","S"))),"")</f>
        <v/>
      </c>
      <c r="K1214" s="14">
        <f>D1236+1</f>
        <v>2715</v>
      </c>
      <c r="L1214" s="4" t="str">
        <f>IFERROR(INDEX('LEV R&amp;D'!$D:$D,MATCH(MEDIÇÃO!K1214,'LEV R&amp;D'!$A:$A,0))-INDEX('PROJETO PERFURAÇÃO'!$AH:$AH,MATCH(MEDIÇÃO!K1214,'PROJETO PERFURAÇÃO'!$B:$B,0)),"")</f>
        <v/>
      </c>
      <c r="M1214" s="8" t="str">
        <f>IFERROR(INDEX('PROJETO PERFURAÇÃO'!$AN:$AN,MATCH(MEDIÇÃO!K1214,'PROJETO PERFURAÇÃO'!$B:$B,0)),"")</f>
        <v/>
      </c>
      <c r="N1214" s="3"/>
      <c r="O1214" s="3"/>
      <c r="P1214" s="3" t="str">
        <f>IFERROR(ROUND(INDEX('PROJETO PERFURAÇÃO'!$AB:$AB,MATCH(MEDIÇÃO!R1214,'PROJETO PERFURAÇÃO'!$B:$B,0)),1)&amp;"''","")</f>
        <v/>
      </c>
      <c r="Q1214" s="3" t="str">
        <f>IFERROR(IF(INDEX('PROJETO PERFURAÇÃO'!$P:$P,MATCH(MEDIÇÃO!R1214,'PROJETO PERFURAÇÃO'!$B:$B,0))="Production","P",IF(INDEX('PROJETO PERFURAÇÃO'!$P:$P,MATCH(MEDIÇÃO!R1214,'PROJETO PERFURAÇÃO'!$B:$B,0))="Buffer","B",IF(INDEX('PROJETO PERFURAÇÃO'!$P:$P,MATCH(MEDIÇÃO!R1214,'PROJETO PERFURAÇÃO'!$B:$B,0))="Pre-Splitting","S"))),"")</f>
        <v/>
      </c>
      <c r="R1214" s="14">
        <f>K1236+1</f>
        <v>2738</v>
      </c>
      <c r="S1214" s="4" t="str">
        <f>IFERROR(INDEX('LEV R&amp;D'!$D:$D,MATCH(MEDIÇÃO!R1214,'LEV R&amp;D'!$A:$A,0))-INDEX('PROJETO PERFURAÇÃO'!$AH:$AH,MATCH(MEDIÇÃO!R1214,'PROJETO PERFURAÇÃO'!$B:$B,0)),"")</f>
        <v/>
      </c>
      <c r="T1214" s="8" t="str">
        <f>IFERROR(INDEX('PROJETO PERFURAÇÃO'!$AN:$AN,MATCH(MEDIÇÃO!R1214,'PROJETO PERFURAÇÃO'!$B:$B,0)),"")</f>
        <v/>
      </c>
      <c r="U1214" s="3"/>
      <c r="V1214" s="3"/>
    </row>
    <row r="1215" spans="1:23" ht="45" customHeight="1" x14ac:dyDescent="0.25">
      <c r="B1215" s="3" t="str">
        <f>IFERROR(ROUND(INDEX('PROJETO PERFURAÇÃO'!$AB:$AB,MATCH(MEDIÇÃO!D1215,'PROJETO PERFURAÇÃO'!$B:$B,0)),1)&amp;"''","")</f>
        <v/>
      </c>
      <c r="C1215" s="3" t="str">
        <f>IFERROR(IF(INDEX('PROJETO PERFURAÇÃO'!$P:$P,MATCH(MEDIÇÃO!D1215,'PROJETO PERFURAÇÃO'!$B:$B,0))="Production","P",IF(INDEX('PROJETO PERFURAÇÃO'!$P:$P,MATCH(MEDIÇÃO!D1215,'PROJETO PERFURAÇÃO'!$B:$B,0))="Buffer","B",IF(INDEX('PROJETO PERFURAÇÃO'!$P:$P,MATCH(MEDIÇÃO!D1215,'PROJETO PERFURAÇÃO'!$B:$B,0))="Pre-Splitting","S"))),"")</f>
        <v/>
      </c>
      <c r="D1215" s="14">
        <f>D1214+1</f>
        <v>2693</v>
      </c>
      <c r="E1215" s="4" t="str">
        <f>IFERROR(INDEX('LEV R&amp;D'!$D:$D,MATCH(MEDIÇÃO!D1215,'LEV R&amp;D'!$A:$A,0))-INDEX('PROJETO PERFURAÇÃO'!$AH:$AH,MATCH(MEDIÇÃO!D1215,'PROJETO PERFURAÇÃO'!$B:$B,0)),"")</f>
        <v/>
      </c>
      <c r="F1215" s="8" t="str">
        <f>IFERROR(INDEX('PROJETO PERFURAÇÃO'!$AN:$AN,MATCH(MEDIÇÃO!D1215,'PROJETO PERFURAÇÃO'!$B:$B,0)),"")</f>
        <v/>
      </c>
      <c r="G1215" s="3"/>
      <c r="H1215" s="3"/>
      <c r="I1215" s="3" t="str">
        <f>IFERROR(ROUND(INDEX('PROJETO PERFURAÇÃO'!$AB:$AB,MATCH(MEDIÇÃO!K1215,'PROJETO PERFURAÇÃO'!$B:$B,0)),1)&amp;"''","")</f>
        <v/>
      </c>
      <c r="J1215" s="3" t="str">
        <f>IFERROR(IF(INDEX('PROJETO PERFURAÇÃO'!$P:$P,MATCH(MEDIÇÃO!K1215,'PROJETO PERFURAÇÃO'!$B:$B,0))="Production","P",IF(INDEX('PROJETO PERFURAÇÃO'!$P:$P,MATCH(MEDIÇÃO!K1215,'PROJETO PERFURAÇÃO'!$B:$B,0))="Buffer","B",IF(INDEX('PROJETO PERFURAÇÃO'!$P:$P,MATCH(MEDIÇÃO!K1215,'PROJETO PERFURAÇÃO'!$B:$B,0))="Pre-Splitting","S"))),"")</f>
        <v/>
      </c>
      <c r="K1215" s="14">
        <f>K1214+1</f>
        <v>2716</v>
      </c>
      <c r="L1215" s="4" t="str">
        <f>IFERROR(INDEX('LEV R&amp;D'!$D:$D,MATCH(MEDIÇÃO!K1215,'LEV R&amp;D'!$A:$A,0))-INDEX('PROJETO PERFURAÇÃO'!$AH:$AH,MATCH(MEDIÇÃO!K1215,'PROJETO PERFURAÇÃO'!$B:$B,0)),"")</f>
        <v/>
      </c>
      <c r="M1215" s="8" t="str">
        <f>IFERROR(INDEX('PROJETO PERFURAÇÃO'!$AN:$AN,MATCH(MEDIÇÃO!K1215,'PROJETO PERFURAÇÃO'!$B:$B,0)),"")</f>
        <v/>
      </c>
      <c r="N1215" s="3"/>
      <c r="O1215" s="3"/>
      <c r="P1215" s="3" t="str">
        <f>IFERROR(ROUND(INDEX('PROJETO PERFURAÇÃO'!$AB:$AB,MATCH(MEDIÇÃO!R1215,'PROJETO PERFURAÇÃO'!$B:$B,0)),1)&amp;"''","")</f>
        <v/>
      </c>
      <c r="Q1215" s="3" t="str">
        <f>IFERROR(IF(INDEX('PROJETO PERFURAÇÃO'!$P:$P,MATCH(MEDIÇÃO!R1215,'PROJETO PERFURAÇÃO'!$B:$B,0))="Production","P",IF(INDEX('PROJETO PERFURAÇÃO'!$P:$P,MATCH(MEDIÇÃO!R1215,'PROJETO PERFURAÇÃO'!$B:$B,0))="Buffer","B",IF(INDEX('PROJETO PERFURAÇÃO'!$P:$P,MATCH(MEDIÇÃO!R1215,'PROJETO PERFURAÇÃO'!$B:$B,0))="Pre-Splitting","S"))),"")</f>
        <v/>
      </c>
      <c r="R1215" s="14">
        <f>R1214+1</f>
        <v>2739</v>
      </c>
      <c r="S1215" s="4" t="str">
        <f>IFERROR(INDEX('LEV R&amp;D'!$D:$D,MATCH(MEDIÇÃO!R1215,'LEV R&amp;D'!$A:$A,0))-INDEX('PROJETO PERFURAÇÃO'!$AH:$AH,MATCH(MEDIÇÃO!R1215,'PROJETO PERFURAÇÃO'!$B:$B,0)),"")</f>
        <v/>
      </c>
      <c r="T1215" s="8" t="str">
        <f>IFERROR(INDEX('PROJETO PERFURAÇÃO'!$AN:$AN,MATCH(MEDIÇÃO!R1215,'PROJETO PERFURAÇÃO'!$B:$B,0)),"")</f>
        <v/>
      </c>
      <c r="U1215" s="3"/>
      <c r="V1215" s="3"/>
    </row>
    <row r="1216" spans="1:23" ht="45" customHeight="1" x14ac:dyDescent="0.25">
      <c r="B1216" s="3" t="str">
        <f>IFERROR(ROUND(INDEX('PROJETO PERFURAÇÃO'!$AB:$AB,MATCH(MEDIÇÃO!D1216,'PROJETO PERFURAÇÃO'!$B:$B,0)),1)&amp;"''","")</f>
        <v/>
      </c>
      <c r="C1216" s="3" t="str">
        <f>IFERROR(IF(INDEX('PROJETO PERFURAÇÃO'!$P:$P,MATCH(MEDIÇÃO!D1216,'PROJETO PERFURAÇÃO'!$B:$B,0))="Production","P",IF(INDEX('PROJETO PERFURAÇÃO'!$P:$P,MATCH(MEDIÇÃO!D1216,'PROJETO PERFURAÇÃO'!$B:$B,0))="Buffer","B",IF(INDEX('PROJETO PERFURAÇÃO'!$P:$P,MATCH(MEDIÇÃO!D1216,'PROJETO PERFURAÇÃO'!$B:$B,0))="Pre-Splitting","S"))),"")</f>
        <v/>
      </c>
      <c r="D1216" s="14">
        <f t="shared" ref="D1216:D1236" si="117">D1215+1</f>
        <v>2694</v>
      </c>
      <c r="E1216" s="4" t="str">
        <f>IFERROR(INDEX('LEV R&amp;D'!$D:$D,MATCH(MEDIÇÃO!D1216,'LEV R&amp;D'!$A:$A,0))-INDEX('PROJETO PERFURAÇÃO'!$AH:$AH,MATCH(MEDIÇÃO!D1216,'PROJETO PERFURAÇÃO'!$B:$B,0)),"")</f>
        <v/>
      </c>
      <c r="F1216" s="8" t="str">
        <f>IFERROR(INDEX('PROJETO PERFURAÇÃO'!$AN:$AN,MATCH(MEDIÇÃO!D1216,'PROJETO PERFURAÇÃO'!$B:$B,0)),"")</f>
        <v/>
      </c>
      <c r="G1216" s="3"/>
      <c r="H1216" s="3"/>
      <c r="I1216" s="3" t="str">
        <f>IFERROR(ROUND(INDEX('PROJETO PERFURAÇÃO'!$AB:$AB,MATCH(MEDIÇÃO!K1216,'PROJETO PERFURAÇÃO'!$B:$B,0)),1)&amp;"''","")</f>
        <v/>
      </c>
      <c r="J1216" s="3" t="str">
        <f>IFERROR(IF(INDEX('PROJETO PERFURAÇÃO'!$P:$P,MATCH(MEDIÇÃO!K1216,'PROJETO PERFURAÇÃO'!$B:$B,0))="Production","P",IF(INDEX('PROJETO PERFURAÇÃO'!$P:$P,MATCH(MEDIÇÃO!K1216,'PROJETO PERFURAÇÃO'!$B:$B,0))="Buffer","B",IF(INDEX('PROJETO PERFURAÇÃO'!$P:$P,MATCH(MEDIÇÃO!K1216,'PROJETO PERFURAÇÃO'!$B:$B,0))="Pre-Splitting","S"))),"")</f>
        <v/>
      </c>
      <c r="K1216" s="14">
        <f t="shared" ref="K1216:K1235" si="118">K1215+1</f>
        <v>2717</v>
      </c>
      <c r="L1216" s="4" t="str">
        <f>IFERROR(INDEX('LEV R&amp;D'!$D:$D,MATCH(MEDIÇÃO!K1216,'LEV R&amp;D'!$A:$A,0))-INDEX('PROJETO PERFURAÇÃO'!$AH:$AH,MATCH(MEDIÇÃO!K1216,'PROJETO PERFURAÇÃO'!$B:$B,0)),"")</f>
        <v/>
      </c>
      <c r="M1216" s="8" t="str">
        <f>IFERROR(INDEX('PROJETO PERFURAÇÃO'!$AN:$AN,MATCH(MEDIÇÃO!K1216,'PROJETO PERFURAÇÃO'!$B:$B,0)),"")</f>
        <v/>
      </c>
      <c r="N1216" s="3"/>
      <c r="O1216" s="3"/>
      <c r="P1216" s="3" t="str">
        <f>IFERROR(ROUND(INDEX('PROJETO PERFURAÇÃO'!$AB:$AB,MATCH(MEDIÇÃO!R1216,'PROJETO PERFURAÇÃO'!$B:$B,0)),1)&amp;"''","")</f>
        <v/>
      </c>
      <c r="Q1216" s="3" t="str">
        <f>IFERROR(IF(INDEX('PROJETO PERFURAÇÃO'!$P:$P,MATCH(MEDIÇÃO!R1216,'PROJETO PERFURAÇÃO'!$B:$B,0))="Production","P",IF(INDEX('PROJETO PERFURAÇÃO'!$P:$P,MATCH(MEDIÇÃO!R1216,'PROJETO PERFURAÇÃO'!$B:$B,0))="Buffer","B",IF(INDEX('PROJETO PERFURAÇÃO'!$P:$P,MATCH(MEDIÇÃO!R1216,'PROJETO PERFURAÇÃO'!$B:$B,0))="Pre-Splitting","S"))),"")</f>
        <v/>
      </c>
      <c r="R1216" s="14">
        <f t="shared" ref="R1216:R1235" si="119">R1215+1</f>
        <v>2740</v>
      </c>
      <c r="S1216" s="4" t="str">
        <f>IFERROR(INDEX('LEV R&amp;D'!$D:$D,MATCH(MEDIÇÃO!R1216,'LEV R&amp;D'!$A:$A,0))-INDEX('PROJETO PERFURAÇÃO'!$AH:$AH,MATCH(MEDIÇÃO!R1216,'PROJETO PERFURAÇÃO'!$B:$B,0)),"")</f>
        <v/>
      </c>
      <c r="T1216" s="8" t="str">
        <f>IFERROR(INDEX('PROJETO PERFURAÇÃO'!$AN:$AN,MATCH(MEDIÇÃO!R1216,'PROJETO PERFURAÇÃO'!$B:$B,0)),"")</f>
        <v/>
      </c>
      <c r="U1216" s="3"/>
      <c r="V1216" s="3"/>
    </row>
    <row r="1217" spans="2:22" ht="45" customHeight="1" x14ac:dyDescent="0.25">
      <c r="B1217" s="3" t="str">
        <f>IFERROR(ROUND(INDEX('PROJETO PERFURAÇÃO'!$AB:$AB,MATCH(MEDIÇÃO!D1217,'PROJETO PERFURAÇÃO'!$B:$B,0)),1)&amp;"''","")</f>
        <v/>
      </c>
      <c r="C1217" s="3" t="str">
        <f>IFERROR(IF(INDEX('PROJETO PERFURAÇÃO'!$P:$P,MATCH(MEDIÇÃO!D1217,'PROJETO PERFURAÇÃO'!$B:$B,0))="Production","P",IF(INDEX('PROJETO PERFURAÇÃO'!$P:$P,MATCH(MEDIÇÃO!D1217,'PROJETO PERFURAÇÃO'!$B:$B,0))="Buffer","B",IF(INDEX('PROJETO PERFURAÇÃO'!$P:$P,MATCH(MEDIÇÃO!D1217,'PROJETO PERFURAÇÃO'!$B:$B,0))="Pre-Splitting","S"))),"")</f>
        <v/>
      </c>
      <c r="D1217" s="14">
        <f t="shared" si="117"/>
        <v>2695</v>
      </c>
      <c r="E1217" s="4" t="str">
        <f>IFERROR(INDEX('LEV R&amp;D'!$D:$D,MATCH(MEDIÇÃO!D1217,'LEV R&amp;D'!$A:$A,0))-INDEX('PROJETO PERFURAÇÃO'!$AH:$AH,MATCH(MEDIÇÃO!D1217,'PROJETO PERFURAÇÃO'!$B:$B,0)),"")</f>
        <v/>
      </c>
      <c r="F1217" s="8" t="str">
        <f>IFERROR(INDEX('PROJETO PERFURAÇÃO'!$AN:$AN,MATCH(MEDIÇÃO!D1217,'PROJETO PERFURAÇÃO'!$B:$B,0)),"")</f>
        <v/>
      </c>
      <c r="G1217" s="3"/>
      <c r="H1217" s="3"/>
      <c r="I1217" s="3" t="str">
        <f>IFERROR(ROUND(INDEX('PROJETO PERFURAÇÃO'!$AB:$AB,MATCH(MEDIÇÃO!K1217,'PROJETO PERFURAÇÃO'!$B:$B,0)),1)&amp;"''","")</f>
        <v/>
      </c>
      <c r="J1217" s="3" t="str">
        <f>IFERROR(IF(INDEX('PROJETO PERFURAÇÃO'!$P:$P,MATCH(MEDIÇÃO!K1217,'PROJETO PERFURAÇÃO'!$B:$B,0))="Production","P",IF(INDEX('PROJETO PERFURAÇÃO'!$P:$P,MATCH(MEDIÇÃO!K1217,'PROJETO PERFURAÇÃO'!$B:$B,0))="Buffer","B",IF(INDEX('PROJETO PERFURAÇÃO'!$P:$P,MATCH(MEDIÇÃO!K1217,'PROJETO PERFURAÇÃO'!$B:$B,0))="Pre-Splitting","S"))),"")</f>
        <v/>
      </c>
      <c r="K1217" s="14">
        <f t="shared" si="118"/>
        <v>2718</v>
      </c>
      <c r="L1217" s="4" t="str">
        <f>IFERROR(INDEX('LEV R&amp;D'!$D:$D,MATCH(MEDIÇÃO!K1217,'LEV R&amp;D'!$A:$A,0))-INDEX('PROJETO PERFURAÇÃO'!$AH:$AH,MATCH(MEDIÇÃO!K1217,'PROJETO PERFURAÇÃO'!$B:$B,0)),"")</f>
        <v/>
      </c>
      <c r="M1217" s="8" t="str">
        <f>IFERROR(INDEX('PROJETO PERFURAÇÃO'!$AN:$AN,MATCH(MEDIÇÃO!K1217,'PROJETO PERFURAÇÃO'!$B:$B,0)),"")</f>
        <v/>
      </c>
      <c r="N1217" s="3"/>
      <c r="O1217" s="3"/>
      <c r="P1217" s="3" t="str">
        <f>IFERROR(ROUND(INDEX('PROJETO PERFURAÇÃO'!$AB:$AB,MATCH(MEDIÇÃO!R1217,'PROJETO PERFURAÇÃO'!$B:$B,0)),1)&amp;"''","")</f>
        <v/>
      </c>
      <c r="Q1217" s="3" t="str">
        <f>IFERROR(IF(INDEX('PROJETO PERFURAÇÃO'!$P:$P,MATCH(MEDIÇÃO!R1217,'PROJETO PERFURAÇÃO'!$B:$B,0))="Production","P",IF(INDEX('PROJETO PERFURAÇÃO'!$P:$P,MATCH(MEDIÇÃO!R1217,'PROJETO PERFURAÇÃO'!$B:$B,0))="Buffer","B",IF(INDEX('PROJETO PERFURAÇÃO'!$P:$P,MATCH(MEDIÇÃO!R1217,'PROJETO PERFURAÇÃO'!$B:$B,0))="Pre-Splitting","S"))),"")</f>
        <v/>
      </c>
      <c r="R1217" s="14">
        <f t="shared" si="119"/>
        <v>2741</v>
      </c>
      <c r="S1217" s="4" t="str">
        <f>IFERROR(INDEX('LEV R&amp;D'!$D:$D,MATCH(MEDIÇÃO!R1217,'LEV R&amp;D'!$A:$A,0))-INDEX('PROJETO PERFURAÇÃO'!$AH:$AH,MATCH(MEDIÇÃO!R1217,'PROJETO PERFURAÇÃO'!$B:$B,0)),"")</f>
        <v/>
      </c>
      <c r="T1217" s="8" t="str">
        <f>IFERROR(INDEX('PROJETO PERFURAÇÃO'!$AN:$AN,MATCH(MEDIÇÃO!R1217,'PROJETO PERFURAÇÃO'!$B:$B,0)),"")</f>
        <v/>
      </c>
      <c r="U1217" s="3"/>
      <c r="V1217" s="3"/>
    </row>
    <row r="1218" spans="2:22" ht="45" customHeight="1" x14ac:dyDescent="0.25">
      <c r="B1218" s="3" t="str">
        <f>IFERROR(ROUND(INDEX('PROJETO PERFURAÇÃO'!$AB:$AB,MATCH(MEDIÇÃO!D1218,'PROJETO PERFURAÇÃO'!$B:$B,0)),1)&amp;"''","")</f>
        <v/>
      </c>
      <c r="C1218" s="3" t="str">
        <f>IFERROR(IF(INDEX('PROJETO PERFURAÇÃO'!$P:$P,MATCH(MEDIÇÃO!D1218,'PROJETO PERFURAÇÃO'!$B:$B,0))="Production","P",IF(INDEX('PROJETO PERFURAÇÃO'!$P:$P,MATCH(MEDIÇÃO!D1218,'PROJETO PERFURAÇÃO'!$B:$B,0))="Buffer","B",IF(INDEX('PROJETO PERFURAÇÃO'!$P:$P,MATCH(MEDIÇÃO!D1218,'PROJETO PERFURAÇÃO'!$B:$B,0))="Pre-Splitting","S"))),"")</f>
        <v/>
      </c>
      <c r="D1218" s="14">
        <f t="shared" si="117"/>
        <v>2696</v>
      </c>
      <c r="E1218" s="4" t="str">
        <f>IFERROR(INDEX('LEV R&amp;D'!$D:$D,MATCH(MEDIÇÃO!D1218,'LEV R&amp;D'!$A:$A,0))-INDEX('PROJETO PERFURAÇÃO'!$AH:$AH,MATCH(MEDIÇÃO!D1218,'PROJETO PERFURAÇÃO'!$B:$B,0)),"")</f>
        <v/>
      </c>
      <c r="F1218" s="8" t="str">
        <f>IFERROR(INDEX('PROJETO PERFURAÇÃO'!$AN:$AN,MATCH(MEDIÇÃO!D1218,'PROJETO PERFURAÇÃO'!$B:$B,0)),"")</f>
        <v/>
      </c>
      <c r="G1218" s="3"/>
      <c r="H1218" s="3"/>
      <c r="I1218" s="3" t="str">
        <f>IFERROR(ROUND(INDEX('PROJETO PERFURAÇÃO'!$AB:$AB,MATCH(MEDIÇÃO!K1218,'PROJETO PERFURAÇÃO'!$B:$B,0)),1)&amp;"''","")</f>
        <v/>
      </c>
      <c r="J1218" s="3" t="str">
        <f>IFERROR(IF(INDEX('PROJETO PERFURAÇÃO'!$P:$P,MATCH(MEDIÇÃO!K1218,'PROJETO PERFURAÇÃO'!$B:$B,0))="Production","P",IF(INDEX('PROJETO PERFURAÇÃO'!$P:$P,MATCH(MEDIÇÃO!K1218,'PROJETO PERFURAÇÃO'!$B:$B,0))="Buffer","B",IF(INDEX('PROJETO PERFURAÇÃO'!$P:$P,MATCH(MEDIÇÃO!K1218,'PROJETO PERFURAÇÃO'!$B:$B,0))="Pre-Splitting","S"))),"")</f>
        <v/>
      </c>
      <c r="K1218" s="14">
        <f t="shared" si="118"/>
        <v>2719</v>
      </c>
      <c r="L1218" s="4" t="str">
        <f>IFERROR(INDEX('LEV R&amp;D'!$D:$D,MATCH(MEDIÇÃO!K1218,'LEV R&amp;D'!$A:$A,0))-INDEX('PROJETO PERFURAÇÃO'!$AH:$AH,MATCH(MEDIÇÃO!K1218,'PROJETO PERFURAÇÃO'!$B:$B,0)),"")</f>
        <v/>
      </c>
      <c r="M1218" s="8" t="str">
        <f>IFERROR(INDEX('PROJETO PERFURAÇÃO'!$AN:$AN,MATCH(MEDIÇÃO!K1218,'PROJETO PERFURAÇÃO'!$B:$B,0)),"")</f>
        <v/>
      </c>
      <c r="N1218" s="3"/>
      <c r="O1218" s="3"/>
      <c r="P1218" s="3" t="str">
        <f>IFERROR(ROUND(INDEX('PROJETO PERFURAÇÃO'!$AB:$AB,MATCH(MEDIÇÃO!R1218,'PROJETO PERFURAÇÃO'!$B:$B,0)),1)&amp;"''","")</f>
        <v/>
      </c>
      <c r="Q1218" s="3" t="str">
        <f>IFERROR(IF(INDEX('PROJETO PERFURAÇÃO'!$P:$P,MATCH(MEDIÇÃO!R1218,'PROJETO PERFURAÇÃO'!$B:$B,0))="Production","P",IF(INDEX('PROJETO PERFURAÇÃO'!$P:$P,MATCH(MEDIÇÃO!R1218,'PROJETO PERFURAÇÃO'!$B:$B,0))="Buffer","B",IF(INDEX('PROJETO PERFURAÇÃO'!$P:$P,MATCH(MEDIÇÃO!R1218,'PROJETO PERFURAÇÃO'!$B:$B,0))="Pre-Splitting","S"))),"")</f>
        <v/>
      </c>
      <c r="R1218" s="14">
        <f t="shared" si="119"/>
        <v>2742</v>
      </c>
      <c r="S1218" s="4" t="str">
        <f>IFERROR(INDEX('LEV R&amp;D'!$D:$D,MATCH(MEDIÇÃO!R1218,'LEV R&amp;D'!$A:$A,0))-INDEX('PROJETO PERFURAÇÃO'!$AH:$AH,MATCH(MEDIÇÃO!R1218,'PROJETO PERFURAÇÃO'!$B:$B,0)),"")</f>
        <v/>
      </c>
      <c r="T1218" s="8" t="str">
        <f>IFERROR(INDEX('PROJETO PERFURAÇÃO'!$AN:$AN,MATCH(MEDIÇÃO!R1218,'PROJETO PERFURAÇÃO'!$B:$B,0)),"")</f>
        <v/>
      </c>
      <c r="U1218" s="3"/>
      <c r="V1218" s="3"/>
    </row>
    <row r="1219" spans="2:22" ht="45" customHeight="1" x14ac:dyDescent="0.25">
      <c r="B1219" s="3" t="str">
        <f>IFERROR(ROUND(INDEX('PROJETO PERFURAÇÃO'!$AB:$AB,MATCH(MEDIÇÃO!D1219,'PROJETO PERFURAÇÃO'!$B:$B,0)),1)&amp;"''","")</f>
        <v/>
      </c>
      <c r="C1219" s="3" t="str">
        <f>IFERROR(IF(INDEX('PROJETO PERFURAÇÃO'!$P:$P,MATCH(MEDIÇÃO!D1219,'PROJETO PERFURAÇÃO'!$B:$B,0))="Production","P",IF(INDEX('PROJETO PERFURAÇÃO'!$P:$P,MATCH(MEDIÇÃO!D1219,'PROJETO PERFURAÇÃO'!$B:$B,0))="Buffer","B",IF(INDEX('PROJETO PERFURAÇÃO'!$P:$P,MATCH(MEDIÇÃO!D1219,'PROJETO PERFURAÇÃO'!$B:$B,0))="Pre-Splitting","S"))),"")</f>
        <v/>
      </c>
      <c r="D1219" s="14">
        <f t="shared" si="117"/>
        <v>2697</v>
      </c>
      <c r="E1219" s="4" t="str">
        <f>IFERROR(INDEX('LEV R&amp;D'!$D:$D,MATCH(MEDIÇÃO!D1219,'LEV R&amp;D'!$A:$A,0))-INDEX('PROJETO PERFURAÇÃO'!$AH:$AH,MATCH(MEDIÇÃO!D1219,'PROJETO PERFURAÇÃO'!$B:$B,0)),"")</f>
        <v/>
      </c>
      <c r="F1219" s="8" t="str">
        <f>IFERROR(INDEX('PROJETO PERFURAÇÃO'!$AN:$AN,MATCH(MEDIÇÃO!D1219,'PROJETO PERFURAÇÃO'!$B:$B,0)),"")</f>
        <v/>
      </c>
      <c r="G1219" s="3"/>
      <c r="H1219" s="3"/>
      <c r="I1219" s="3" t="str">
        <f>IFERROR(ROUND(INDEX('PROJETO PERFURAÇÃO'!$AB:$AB,MATCH(MEDIÇÃO!K1219,'PROJETO PERFURAÇÃO'!$B:$B,0)),1)&amp;"''","")</f>
        <v/>
      </c>
      <c r="J1219" s="3" t="str">
        <f>IFERROR(IF(INDEX('PROJETO PERFURAÇÃO'!$P:$P,MATCH(MEDIÇÃO!K1219,'PROJETO PERFURAÇÃO'!$B:$B,0))="Production","P",IF(INDEX('PROJETO PERFURAÇÃO'!$P:$P,MATCH(MEDIÇÃO!K1219,'PROJETO PERFURAÇÃO'!$B:$B,0))="Buffer","B",IF(INDEX('PROJETO PERFURAÇÃO'!$P:$P,MATCH(MEDIÇÃO!K1219,'PROJETO PERFURAÇÃO'!$B:$B,0))="Pre-Splitting","S"))),"")</f>
        <v/>
      </c>
      <c r="K1219" s="14">
        <f t="shared" si="118"/>
        <v>2720</v>
      </c>
      <c r="L1219" s="4" t="str">
        <f>IFERROR(INDEX('LEV R&amp;D'!$D:$D,MATCH(MEDIÇÃO!K1219,'LEV R&amp;D'!$A:$A,0))-INDEX('PROJETO PERFURAÇÃO'!$AH:$AH,MATCH(MEDIÇÃO!K1219,'PROJETO PERFURAÇÃO'!$B:$B,0)),"")</f>
        <v/>
      </c>
      <c r="M1219" s="8" t="str">
        <f>IFERROR(INDEX('PROJETO PERFURAÇÃO'!$AN:$AN,MATCH(MEDIÇÃO!K1219,'PROJETO PERFURAÇÃO'!$B:$B,0)),"")</f>
        <v/>
      </c>
      <c r="N1219" s="3"/>
      <c r="O1219" s="3"/>
      <c r="P1219" s="3" t="str">
        <f>IFERROR(ROUND(INDEX('PROJETO PERFURAÇÃO'!$AB:$AB,MATCH(MEDIÇÃO!R1219,'PROJETO PERFURAÇÃO'!$B:$B,0)),1)&amp;"''","")</f>
        <v/>
      </c>
      <c r="Q1219" s="3" t="str">
        <f>IFERROR(IF(INDEX('PROJETO PERFURAÇÃO'!$P:$P,MATCH(MEDIÇÃO!R1219,'PROJETO PERFURAÇÃO'!$B:$B,0))="Production","P",IF(INDEX('PROJETO PERFURAÇÃO'!$P:$P,MATCH(MEDIÇÃO!R1219,'PROJETO PERFURAÇÃO'!$B:$B,0))="Buffer","B",IF(INDEX('PROJETO PERFURAÇÃO'!$P:$P,MATCH(MEDIÇÃO!R1219,'PROJETO PERFURAÇÃO'!$B:$B,0))="Pre-Splitting","S"))),"")</f>
        <v/>
      </c>
      <c r="R1219" s="14">
        <f t="shared" si="119"/>
        <v>2743</v>
      </c>
      <c r="S1219" s="4" t="str">
        <f>IFERROR(INDEX('LEV R&amp;D'!$D:$D,MATCH(MEDIÇÃO!R1219,'LEV R&amp;D'!$A:$A,0))-INDEX('PROJETO PERFURAÇÃO'!$AH:$AH,MATCH(MEDIÇÃO!R1219,'PROJETO PERFURAÇÃO'!$B:$B,0)),"")</f>
        <v/>
      </c>
      <c r="T1219" s="8" t="str">
        <f>IFERROR(INDEX('PROJETO PERFURAÇÃO'!$AN:$AN,MATCH(MEDIÇÃO!R1219,'PROJETO PERFURAÇÃO'!$B:$B,0)),"")</f>
        <v/>
      </c>
      <c r="U1219" s="3"/>
      <c r="V1219" s="3"/>
    </row>
    <row r="1220" spans="2:22" ht="45" customHeight="1" x14ac:dyDescent="0.25">
      <c r="B1220" s="3" t="str">
        <f>IFERROR(ROUND(INDEX('PROJETO PERFURAÇÃO'!$AB:$AB,MATCH(MEDIÇÃO!D1220,'PROJETO PERFURAÇÃO'!$B:$B,0)),1)&amp;"''","")</f>
        <v/>
      </c>
      <c r="C1220" s="3" t="str">
        <f>IFERROR(IF(INDEX('PROJETO PERFURAÇÃO'!$P:$P,MATCH(MEDIÇÃO!D1220,'PROJETO PERFURAÇÃO'!$B:$B,0))="Production","P",IF(INDEX('PROJETO PERFURAÇÃO'!$P:$P,MATCH(MEDIÇÃO!D1220,'PROJETO PERFURAÇÃO'!$B:$B,0))="Buffer","B",IF(INDEX('PROJETO PERFURAÇÃO'!$P:$P,MATCH(MEDIÇÃO!D1220,'PROJETO PERFURAÇÃO'!$B:$B,0))="Pre-Splitting","S"))),"")</f>
        <v/>
      </c>
      <c r="D1220" s="14">
        <f t="shared" si="117"/>
        <v>2698</v>
      </c>
      <c r="E1220" s="4" t="str">
        <f>IFERROR(INDEX('LEV R&amp;D'!$D:$D,MATCH(MEDIÇÃO!D1220,'LEV R&amp;D'!$A:$A,0))-INDEX('PROJETO PERFURAÇÃO'!$AH:$AH,MATCH(MEDIÇÃO!D1220,'PROJETO PERFURAÇÃO'!$B:$B,0)),"")</f>
        <v/>
      </c>
      <c r="F1220" s="8" t="str">
        <f>IFERROR(INDEX('PROJETO PERFURAÇÃO'!$AN:$AN,MATCH(MEDIÇÃO!D1220,'PROJETO PERFURAÇÃO'!$B:$B,0)),"")</f>
        <v/>
      </c>
      <c r="G1220" s="3"/>
      <c r="H1220" s="3"/>
      <c r="I1220" s="3" t="str">
        <f>IFERROR(ROUND(INDEX('PROJETO PERFURAÇÃO'!$AB:$AB,MATCH(MEDIÇÃO!K1220,'PROJETO PERFURAÇÃO'!$B:$B,0)),1)&amp;"''","")</f>
        <v/>
      </c>
      <c r="J1220" s="3" t="str">
        <f>IFERROR(IF(INDEX('PROJETO PERFURAÇÃO'!$P:$P,MATCH(MEDIÇÃO!K1220,'PROJETO PERFURAÇÃO'!$B:$B,0))="Production","P",IF(INDEX('PROJETO PERFURAÇÃO'!$P:$P,MATCH(MEDIÇÃO!K1220,'PROJETO PERFURAÇÃO'!$B:$B,0))="Buffer","B",IF(INDEX('PROJETO PERFURAÇÃO'!$P:$P,MATCH(MEDIÇÃO!K1220,'PROJETO PERFURAÇÃO'!$B:$B,0))="Pre-Splitting","S"))),"")</f>
        <v/>
      </c>
      <c r="K1220" s="14">
        <f t="shared" si="118"/>
        <v>2721</v>
      </c>
      <c r="L1220" s="4" t="str">
        <f>IFERROR(INDEX('LEV R&amp;D'!$D:$D,MATCH(MEDIÇÃO!K1220,'LEV R&amp;D'!$A:$A,0))-INDEX('PROJETO PERFURAÇÃO'!$AH:$AH,MATCH(MEDIÇÃO!K1220,'PROJETO PERFURAÇÃO'!$B:$B,0)),"")</f>
        <v/>
      </c>
      <c r="M1220" s="8" t="str">
        <f>IFERROR(INDEX('PROJETO PERFURAÇÃO'!$AN:$AN,MATCH(MEDIÇÃO!K1220,'PROJETO PERFURAÇÃO'!$B:$B,0)),"")</f>
        <v/>
      </c>
      <c r="N1220" s="3"/>
      <c r="O1220" s="3"/>
      <c r="P1220" s="3" t="str">
        <f>IFERROR(ROUND(INDEX('PROJETO PERFURAÇÃO'!$AB:$AB,MATCH(MEDIÇÃO!R1220,'PROJETO PERFURAÇÃO'!$B:$B,0)),1)&amp;"''","")</f>
        <v/>
      </c>
      <c r="Q1220" s="3" t="str">
        <f>IFERROR(IF(INDEX('PROJETO PERFURAÇÃO'!$P:$P,MATCH(MEDIÇÃO!R1220,'PROJETO PERFURAÇÃO'!$B:$B,0))="Production","P",IF(INDEX('PROJETO PERFURAÇÃO'!$P:$P,MATCH(MEDIÇÃO!R1220,'PROJETO PERFURAÇÃO'!$B:$B,0))="Buffer","B",IF(INDEX('PROJETO PERFURAÇÃO'!$P:$P,MATCH(MEDIÇÃO!R1220,'PROJETO PERFURAÇÃO'!$B:$B,0))="Pre-Splitting","S"))),"")</f>
        <v/>
      </c>
      <c r="R1220" s="14">
        <f t="shared" si="119"/>
        <v>2744</v>
      </c>
      <c r="S1220" s="4" t="str">
        <f>IFERROR(INDEX('LEV R&amp;D'!$D:$D,MATCH(MEDIÇÃO!R1220,'LEV R&amp;D'!$A:$A,0))-INDEX('PROJETO PERFURAÇÃO'!$AH:$AH,MATCH(MEDIÇÃO!R1220,'PROJETO PERFURAÇÃO'!$B:$B,0)),"")</f>
        <v/>
      </c>
      <c r="T1220" s="8" t="str">
        <f>IFERROR(INDEX('PROJETO PERFURAÇÃO'!$AN:$AN,MATCH(MEDIÇÃO!R1220,'PROJETO PERFURAÇÃO'!$B:$B,0)),"")</f>
        <v/>
      </c>
      <c r="U1220" s="3"/>
      <c r="V1220" s="3"/>
    </row>
    <row r="1221" spans="2:22" ht="45" customHeight="1" x14ac:dyDescent="0.25">
      <c r="B1221" s="3" t="str">
        <f>IFERROR(ROUND(INDEX('PROJETO PERFURAÇÃO'!$AB:$AB,MATCH(MEDIÇÃO!D1221,'PROJETO PERFURAÇÃO'!$B:$B,0)),1)&amp;"''","")</f>
        <v/>
      </c>
      <c r="C1221" s="3" t="str">
        <f>IFERROR(IF(INDEX('PROJETO PERFURAÇÃO'!$P:$P,MATCH(MEDIÇÃO!D1221,'PROJETO PERFURAÇÃO'!$B:$B,0))="Production","P",IF(INDEX('PROJETO PERFURAÇÃO'!$P:$P,MATCH(MEDIÇÃO!D1221,'PROJETO PERFURAÇÃO'!$B:$B,0))="Buffer","B",IF(INDEX('PROJETO PERFURAÇÃO'!$P:$P,MATCH(MEDIÇÃO!D1221,'PROJETO PERFURAÇÃO'!$B:$B,0))="Pre-Splitting","S"))),"")</f>
        <v/>
      </c>
      <c r="D1221" s="14">
        <f t="shared" si="117"/>
        <v>2699</v>
      </c>
      <c r="E1221" s="4" t="str">
        <f>IFERROR(INDEX('LEV R&amp;D'!$D:$D,MATCH(MEDIÇÃO!D1221,'LEV R&amp;D'!$A:$A,0))-INDEX('PROJETO PERFURAÇÃO'!$AH:$AH,MATCH(MEDIÇÃO!D1221,'PROJETO PERFURAÇÃO'!$B:$B,0)),"")</f>
        <v/>
      </c>
      <c r="F1221" s="8" t="str">
        <f>IFERROR(INDEX('PROJETO PERFURAÇÃO'!$AN:$AN,MATCH(MEDIÇÃO!D1221,'PROJETO PERFURAÇÃO'!$B:$B,0)),"")</f>
        <v/>
      </c>
      <c r="G1221" s="3"/>
      <c r="H1221" s="3"/>
      <c r="I1221" s="3" t="str">
        <f>IFERROR(ROUND(INDEX('PROJETO PERFURAÇÃO'!$AB:$AB,MATCH(MEDIÇÃO!K1221,'PROJETO PERFURAÇÃO'!$B:$B,0)),1)&amp;"''","")</f>
        <v/>
      </c>
      <c r="J1221" s="3" t="str">
        <f>IFERROR(IF(INDEX('PROJETO PERFURAÇÃO'!$P:$P,MATCH(MEDIÇÃO!K1221,'PROJETO PERFURAÇÃO'!$B:$B,0))="Production","P",IF(INDEX('PROJETO PERFURAÇÃO'!$P:$P,MATCH(MEDIÇÃO!K1221,'PROJETO PERFURAÇÃO'!$B:$B,0))="Buffer","B",IF(INDEX('PROJETO PERFURAÇÃO'!$P:$P,MATCH(MEDIÇÃO!K1221,'PROJETO PERFURAÇÃO'!$B:$B,0))="Pre-Splitting","S"))),"")</f>
        <v/>
      </c>
      <c r="K1221" s="14">
        <f t="shared" si="118"/>
        <v>2722</v>
      </c>
      <c r="L1221" s="4" t="str">
        <f>IFERROR(INDEX('LEV R&amp;D'!$D:$D,MATCH(MEDIÇÃO!K1221,'LEV R&amp;D'!$A:$A,0))-INDEX('PROJETO PERFURAÇÃO'!$AH:$AH,MATCH(MEDIÇÃO!K1221,'PROJETO PERFURAÇÃO'!$B:$B,0)),"")</f>
        <v/>
      </c>
      <c r="M1221" s="8" t="str">
        <f>IFERROR(INDEX('PROJETO PERFURAÇÃO'!$AN:$AN,MATCH(MEDIÇÃO!K1221,'PROJETO PERFURAÇÃO'!$B:$B,0)),"")</f>
        <v/>
      </c>
      <c r="N1221" s="3"/>
      <c r="O1221" s="3"/>
      <c r="P1221" s="3" t="str">
        <f>IFERROR(ROUND(INDEX('PROJETO PERFURAÇÃO'!$AB:$AB,MATCH(MEDIÇÃO!R1221,'PROJETO PERFURAÇÃO'!$B:$B,0)),1)&amp;"''","")</f>
        <v/>
      </c>
      <c r="Q1221" s="3" t="str">
        <f>IFERROR(IF(INDEX('PROJETO PERFURAÇÃO'!$P:$P,MATCH(MEDIÇÃO!R1221,'PROJETO PERFURAÇÃO'!$B:$B,0))="Production","P",IF(INDEX('PROJETO PERFURAÇÃO'!$P:$P,MATCH(MEDIÇÃO!R1221,'PROJETO PERFURAÇÃO'!$B:$B,0))="Buffer","B",IF(INDEX('PROJETO PERFURAÇÃO'!$P:$P,MATCH(MEDIÇÃO!R1221,'PROJETO PERFURAÇÃO'!$B:$B,0))="Pre-Splitting","S"))),"")</f>
        <v/>
      </c>
      <c r="R1221" s="14">
        <f t="shared" si="119"/>
        <v>2745</v>
      </c>
      <c r="S1221" s="4" t="str">
        <f>IFERROR(INDEX('LEV R&amp;D'!$D:$D,MATCH(MEDIÇÃO!R1221,'LEV R&amp;D'!$A:$A,0))-INDEX('PROJETO PERFURAÇÃO'!$AH:$AH,MATCH(MEDIÇÃO!R1221,'PROJETO PERFURAÇÃO'!$B:$B,0)),"")</f>
        <v/>
      </c>
      <c r="T1221" s="8" t="str">
        <f>IFERROR(INDEX('PROJETO PERFURAÇÃO'!$AN:$AN,MATCH(MEDIÇÃO!R1221,'PROJETO PERFURAÇÃO'!$B:$B,0)),"")</f>
        <v/>
      </c>
      <c r="U1221" s="3"/>
      <c r="V1221" s="3"/>
    </row>
    <row r="1222" spans="2:22" ht="45" customHeight="1" x14ac:dyDescent="0.25">
      <c r="B1222" s="3" t="str">
        <f>IFERROR(ROUND(INDEX('PROJETO PERFURAÇÃO'!$AB:$AB,MATCH(MEDIÇÃO!D1222,'PROJETO PERFURAÇÃO'!$B:$B,0)),1)&amp;"''","")</f>
        <v/>
      </c>
      <c r="C1222" s="3" t="str">
        <f>IFERROR(IF(INDEX('PROJETO PERFURAÇÃO'!$P:$P,MATCH(MEDIÇÃO!D1222,'PROJETO PERFURAÇÃO'!$B:$B,0))="Production","P",IF(INDEX('PROJETO PERFURAÇÃO'!$P:$P,MATCH(MEDIÇÃO!D1222,'PROJETO PERFURAÇÃO'!$B:$B,0))="Buffer","B",IF(INDEX('PROJETO PERFURAÇÃO'!$P:$P,MATCH(MEDIÇÃO!D1222,'PROJETO PERFURAÇÃO'!$B:$B,0))="Pre-Splitting","S"))),"")</f>
        <v/>
      </c>
      <c r="D1222" s="14">
        <f t="shared" si="117"/>
        <v>2700</v>
      </c>
      <c r="E1222" s="4" t="str">
        <f>IFERROR(INDEX('LEV R&amp;D'!$D:$D,MATCH(MEDIÇÃO!D1222,'LEV R&amp;D'!$A:$A,0))-INDEX('PROJETO PERFURAÇÃO'!$AH:$AH,MATCH(MEDIÇÃO!D1222,'PROJETO PERFURAÇÃO'!$B:$B,0)),"")</f>
        <v/>
      </c>
      <c r="F1222" s="8" t="str">
        <f>IFERROR(INDEX('PROJETO PERFURAÇÃO'!$AN:$AN,MATCH(MEDIÇÃO!D1222,'PROJETO PERFURAÇÃO'!$B:$B,0)),"")</f>
        <v/>
      </c>
      <c r="G1222" s="3"/>
      <c r="H1222" s="3"/>
      <c r="I1222" s="3" t="str">
        <f>IFERROR(ROUND(INDEX('PROJETO PERFURAÇÃO'!$AB:$AB,MATCH(MEDIÇÃO!K1222,'PROJETO PERFURAÇÃO'!$B:$B,0)),1)&amp;"''","")</f>
        <v/>
      </c>
      <c r="J1222" s="3" t="str">
        <f>IFERROR(IF(INDEX('PROJETO PERFURAÇÃO'!$P:$P,MATCH(MEDIÇÃO!K1222,'PROJETO PERFURAÇÃO'!$B:$B,0))="Production","P",IF(INDEX('PROJETO PERFURAÇÃO'!$P:$P,MATCH(MEDIÇÃO!K1222,'PROJETO PERFURAÇÃO'!$B:$B,0))="Buffer","B",IF(INDEX('PROJETO PERFURAÇÃO'!$P:$P,MATCH(MEDIÇÃO!K1222,'PROJETO PERFURAÇÃO'!$B:$B,0))="Pre-Splitting","S"))),"")</f>
        <v/>
      </c>
      <c r="K1222" s="14">
        <f t="shared" si="118"/>
        <v>2723</v>
      </c>
      <c r="L1222" s="4" t="str">
        <f>IFERROR(INDEX('LEV R&amp;D'!$D:$D,MATCH(MEDIÇÃO!K1222,'LEV R&amp;D'!$A:$A,0))-INDEX('PROJETO PERFURAÇÃO'!$AH:$AH,MATCH(MEDIÇÃO!K1222,'PROJETO PERFURAÇÃO'!$B:$B,0)),"")</f>
        <v/>
      </c>
      <c r="M1222" s="8" t="str">
        <f>IFERROR(INDEX('PROJETO PERFURAÇÃO'!$AN:$AN,MATCH(MEDIÇÃO!K1222,'PROJETO PERFURAÇÃO'!$B:$B,0)),"")</f>
        <v/>
      </c>
      <c r="N1222" s="3"/>
      <c r="O1222" s="3"/>
      <c r="P1222" s="3" t="str">
        <f>IFERROR(ROUND(INDEX('PROJETO PERFURAÇÃO'!$AB:$AB,MATCH(MEDIÇÃO!R1222,'PROJETO PERFURAÇÃO'!$B:$B,0)),1)&amp;"''","")</f>
        <v/>
      </c>
      <c r="Q1222" s="3" t="str">
        <f>IFERROR(IF(INDEX('PROJETO PERFURAÇÃO'!$P:$P,MATCH(MEDIÇÃO!R1222,'PROJETO PERFURAÇÃO'!$B:$B,0))="Production","P",IF(INDEX('PROJETO PERFURAÇÃO'!$P:$P,MATCH(MEDIÇÃO!R1222,'PROJETO PERFURAÇÃO'!$B:$B,0))="Buffer","B",IF(INDEX('PROJETO PERFURAÇÃO'!$P:$P,MATCH(MEDIÇÃO!R1222,'PROJETO PERFURAÇÃO'!$B:$B,0))="Pre-Splitting","S"))),"")</f>
        <v/>
      </c>
      <c r="R1222" s="14">
        <f t="shared" si="119"/>
        <v>2746</v>
      </c>
      <c r="S1222" s="4" t="str">
        <f>IFERROR(INDEX('LEV R&amp;D'!$D:$D,MATCH(MEDIÇÃO!R1222,'LEV R&amp;D'!$A:$A,0))-INDEX('PROJETO PERFURAÇÃO'!$AH:$AH,MATCH(MEDIÇÃO!R1222,'PROJETO PERFURAÇÃO'!$B:$B,0)),"")</f>
        <v/>
      </c>
      <c r="T1222" s="8" t="str">
        <f>IFERROR(INDEX('PROJETO PERFURAÇÃO'!$AN:$AN,MATCH(MEDIÇÃO!R1222,'PROJETO PERFURAÇÃO'!$B:$B,0)),"")</f>
        <v/>
      </c>
      <c r="U1222" s="3"/>
      <c r="V1222" s="3"/>
    </row>
    <row r="1223" spans="2:22" ht="45" customHeight="1" x14ac:dyDescent="0.25">
      <c r="B1223" s="3" t="str">
        <f>IFERROR(ROUND(INDEX('PROJETO PERFURAÇÃO'!$AB:$AB,MATCH(MEDIÇÃO!D1223,'PROJETO PERFURAÇÃO'!$B:$B,0)),1)&amp;"''","")</f>
        <v/>
      </c>
      <c r="C1223" s="3" t="str">
        <f>IFERROR(IF(INDEX('PROJETO PERFURAÇÃO'!$P:$P,MATCH(MEDIÇÃO!D1223,'PROJETO PERFURAÇÃO'!$B:$B,0))="Production","P",IF(INDEX('PROJETO PERFURAÇÃO'!$P:$P,MATCH(MEDIÇÃO!D1223,'PROJETO PERFURAÇÃO'!$B:$B,0))="Buffer","B",IF(INDEX('PROJETO PERFURAÇÃO'!$P:$P,MATCH(MEDIÇÃO!D1223,'PROJETO PERFURAÇÃO'!$B:$B,0))="Pre-Splitting","S"))),"")</f>
        <v/>
      </c>
      <c r="D1223" s="14">
        <f t="shared" si="117"/>
        <v>2701</v>
      </c>
      <c r="E1223" s="4" t="str">
        <f>IFERROR(INDEX('LEV R&amp;D'!$D:$D,MATCH(MEDIÇÃO!D1223,'LEV R&amp;D'!$A:$A,0))-INDEX('PROJETO PERFURAÇÃO'!$AH:$AH,MATCH(MEDIÇÃO!D1223,'PROJETO PERFURAÇÃO'!$B:$B,0)),"")</f>
        <v/>
      </c>
      <c r="F1223" s="8" t="str">
        <f>IFERROR(INDEX('PROJETO PERFURAÇÃO'!$AN:$AN,MATCH(MEDIÇÃO!D1223,'PROJETO PERFURAÇÃO'!$B:$B,0)),"")</f>
        <v/>
      </c>
      <c r="G1223" s="3"/>
      <c r="H1223" s="3"/>
      <c r="I1223" s="3" t="str">
        <f>IFERROR(ROUND(INDEX('PROJETO PERFURAÇÃO'!$AB:$AB,MATCH(MEDIÇÃO!K1223,'PROJETO PERFURAÇÃO'!$B:$B,0)),1)&amp;"''","")</f>
        <v/>
      </c>
      <c r="J1223" s="3" t="str">
        <f>IFERROR(IF(INDEX('PROJETO PERFURAÇÃO'!$P:$P,MATCH(MEDIÇÃO!K1223,'PROJETO PERFURAÇÃO'!$B:$B,0))="Production","P",IF(INDEX('PROJETO PERFURAÇÃO'!$P:$P,MATCH(MEDIÇÃO!K1223,'PROJETO PERFURAÇÃO'!$B:$B,0))="Buffer","B",IF(INDEX('PROJETO PERFURAÇÃO'!$P:$P,MATCH(MEDIÇÃO!K1223,'PROJETO PERFURAÇÃO'!$B:$B,0))="Pre-Splitting","S"))),"")</f>
        <v/>
      </c>
      <c r="K1223" s="14">
        <f t="shared" si="118"/>
        <v>2724</v>
      </c>
      <c r="L1223" s="4" t="str">
        <f>IFERROR(INDEX('LEV R&amp;D'!$D:$D,MATCH(MEDIÇÃO!K1223,'LEV R&amp;D'!$A:$A,0))-INDEX('PROJETO PERFURAÇÃO'!$AH:$AH,MATCH(MEDIÇÃO!K1223,'PROJETO PERFURAÇÃO'!$B:$B,0)),"")</f>
        <v/>
      </c>
      <c r="M1223" s="8" t="str">
        <f>IFERROR(INDEX('PROJETO PERFURAÇÃO'!$AN:$AN,MATCH(MEDIÇÃO!K1223,'PROJETO PERFURAÇÃO'!$B:$B,0)),"")</f>
        <v/>
      </c>
      <c r="N1223" s="3"/>
      <c r="O1223" s="3"/>
      <c r="P1223" s="3" t="str">
        <f>IFERROR(ROUND(INDEX('PROJETO PERFURAÇÃO'!$AB:$AB,MATCH(MEDIÇÃO!R1223,'PROJETO PERFURAÇÃO'!$B:$B,0)),1)&amp;"''","")</f>
        <v/>
      </c>
      <c r="Q1223" s="3" t="str">
        <f>IFERROR(IF(INDEX('PROJETO PERFURAÇÃO'!$P:$P,MATCH(MEDIÇÃO!R1223,'PROJETO PERFURAÇÃO'!$B:$B,0))="Production","P",IF(INDEX('PROJETO PERFURAÇÃO'!$P:$P,MATCH(MEDIÇÃO!R1223,'PROJETO PERFURAÇÃO'!$B:$B,0))="Buffer","B",IF(INDEX('PROJETO PERFURAÇÃO'!$P:$P,MATCH(MEDIÇÃO!R1223,'PROJETO PERFURAÇÃO'!$B:$B,0))="Pre-Splitting","S"))),"")</f>
        <v/>
      </c>
      <c r="R1223" s="14">
        <f t="shared" si="119"/>
        <v>2747</v>
      </c>
      <c r="S1223" s="4" t="str">
        <f>IFERROR(INDEX('LEV R&amp;D'!$D:$D,MATCH(MEDIÇÃO!R1223,'LEV R&amp;D'!$A:$A,0))-INDEX('PROJETO PERFURAÇÃO'!$AH:$AH,MATCH(MEDIÇÃO!R1223,'PROJETO PERFURAÇÃO'!$B:$B,0)),"")</f>
        <v/>
      </c>
      <c r="T1223" s="8" t="str">
        <f>IFERROR(INDEX('PROJETO PERFURAÇÃO'!$AN:$AN,MATCH(MEDIÇÃO!R1223,'PROJETO PERFURAÇÃO'!$B:$B,0)),"")</f>
        <v/>
      </c>
      <c r="U1223" s="3"/>
      <c r="V1223" s="3"/>
    </row>
    <row r="1224" spans="2:22" ht="45" customHeight="1" x14ac:dyDescent="0.25">
      <c r="B1224" s="3" t="str">
        <f>IFERROR(ROUND(INDEX('PROJETO PERFURAÇÃO'!$AB:$AB,MATCH(MEDIÇÃO!D1224,'PROJETO PERFURAÇÃO'!$B:$B,0)),1)&amp;"''","")</f>
        <v/>
      </c>
      <c r="C1224" s="3" t="str">
        <f>IFERROR(IF(INDEX('PROJETO PERFURAÇÃO'!$P:$P,MATCH(MEDIÇÃO!D1224,'PROJETO PERFURAÇÃO'!$B:$B,0))="Production","P",IF(INDEX('PROJETO PERFURAÇÃO'!$P:$P,MATCH(MEDIÇÃO!D1224,'PROJETO PERFURAÇÃO'!$B:$B,0))="Buffer","B",IF(INDEX('PROJETO PERFURAÇÃO'!$P:$P,MATCH(MEDIÇÃO!D1224,'PROJETO PERFURAÇÃO'!$B:$B,0))="Pre-Splitting","S"))),"")</f>
        <v/>
      </c>
      <c r="D1224" s="14">
        <f t="shared" si="117"/>
        <v>2702</v>
      </c>
      <c r="E1224" s="4" t="str">
        <f>IFERROR(INDEX('LEV R&amp;D'!$D:$D,MATCH(MEDIÇÃO!D1224,'LEV R&amp;D'!$A:$A,0))-INDEX('PROJETO PERFURAÇÃO'!$AH:$AH,MATCH(MEDIÇÃO!D1224,'PROJETO PERFURAÇÃO'!$B:$B,0)),"")</f>
        <v/>
      </c>
      <c r="F1224" s="8" t="str">
        <f>IFERROR(INDEX('PROJETO PERFURAÇÃO'!$AN:$AN,MATCH(MEDIÇÃO!D1224,'PROJETO PERFURAÇÃO'!$B:$B,0)),"")</f>
        <v/>
      </c>
      <c r="G1224" s="3"/>
      <c r="H1224" s="3"/>
      <c r="I1224" s="3" t="str">
        <f>IFERROR(ROUND(INDEX('PROJETO PERFURAÇÃO'!$AB:$AB,MATCH(MEDIÇÃO!K1224,'PROJETO PERFURAÇÃO'!$B:$B,0)),1)&amp;"''","")</f>
        <v/>
      </c>
      <c r="J1224" s="3" t="str">
        <f>IFERROR(IF(INDEX('PROJETO PERFURAÇÃO'!$P:$P,MATCH(MEDIÇÃO!K1224,'PROJETO PERFURAÇÃO'!$B:$B,0))="Production","P",IF(INDEX('PROJETO PERFURAÇÃO'!$P:$P,MATCH(MEDIÇÃO!K1224,'PROJETO PERFURAÇÃO'!$B:$B,0))="Buffer","B",IF(INDEX('PROJETO PERFURAÇÃO'!$P:$P,MATCH(MEDIÇÃO!K1224,'PROJETO PERFURAÇÃO'!$B:$B,0))="Pre-Splitting","S"))),"")</f>
        <v/>
      </c>
      <c r="K1224" s="14">
        <f t="shared" si="118"/>
        <v>2725</v>
      </c>
      <c r="L1224" s="4" t="str">
        <f>IFERROR(INDEX('LEV R&amp;D'!$D:$D,MATCH(MEDIÇÃO!K1224,'LEV R&amp;D'!$A:$A,0))-INDEX('PROJETO PERFURAÇÃO'!$AH:$AH,MATCH(MEDIÇÃO!K1224,'PROJETO PERFURAÇÃO'!$B:$B,0)),"")</f>
        <v/>
      </c>
      <c r="M1224" s="8" t="str">
        <f>IFERROR(INDEX('PROJETO PERFURAÇÃO'!$AN:$AN,MATCH(MEDIÇÃO!K1224,'PROJETO PERFURAÇÃO'!$B:$B,0)),"")</f>
        <v/>
      </c>
      <c r="N1224" s="3"/>
      <c r="O1224" s="3"/>
      <c r="P1224" s="3" t="str">
        <f>IFERROR(ROUND(INDEX('PROJETO PERFURAÇÃO'!$AB:$AB,MATCH(MEDIÇÃO!R1224,'PROJETO PERFURAÇÃO'!$B:$B,0)),1)&amp;"''","")</f>
        <v/>
      </c>
      <c r="Q1224" s="3" t="str">
        <f>IFERROR(IF(INDEX('PROJETO PERFURAÇÃO'!$P:$P,MATCH(MEDIÇÃO!R1224,'PROJETO PERFURAÇÃO'!$B:$B,0))="Production","P",IF(INDEX('PROJETO PERFURAÇÃO'!$P:$P,MATCH(MEDIÇÃO!R1224,'PROJETO PERFURAÇÃO'!$B:$B,0))="Buffer","B",IF(INDEX('PROJETO PERFURAÇÃO'!$P:$P,MATCH(MEDIÇÃO!R1224,'PROJETO PERFURAÇÃO'!$B:$B,0))="Pre-Splitting","S"))),"")</f>
        <v/>
      </c>
      <c r="R1224" s="14">
        <f t="shared" si="119"/>
        <v>2748</v>
      </c>
      <c r="S1224" s="4" t="str">
        <f>IFERROR(INDEX('LEV R&amp;D'!$D:$D,MATCH(MEDIÇÃO!R1224,'LEV R&amp;D'!$A:$A,0))-INDEX('PROJETO PERFURAÇÃO'!$AH:$AH,MATCH(MEDIÇÃO!R1224,'PROJETO PERFURAÇÃO'!$B:$B,0)),"")</f>
        <v/>
      </c>
      <c r="T1224" s="8" t="str">
        <f>IFERROR(INDEX('PROJETO PERFURAÇÃO'!$AN:$AN,MATCH(MEDIÇÃO!R1224,'PROJETO PERFURAÇÃO'!$B:$B,0)),"")</f>
        <v/>
      </c>
      <c r="U1224" s="3"/>
      <c r="V1224" s="3"/>
    </row>
    <row r="1225" spans="2:22" ht="45" customHeight="1" x14ac:dyDescent="0.25">
      <c r="B1225" s="3" t="str">
        <f>IFERROR(ROUND(INDEX('PROJETO PERFURAÇÃO'!$AB:$AB,MATCH(MEDIÇÃO!D1225,'PROJETO PERFURAÇÃO'!$B:$B,0)),1)&amp;"''","")</f>
        <v/>
      </c>
      <c r="C1225" s="3" t="str">
        <f>IFERROR(IF(INDEX('PROJETO PERFURAÇÃO'!$P:$P,MATCH(MEDIÇÃO!D1225,'PROJETO PERFURAÇÃO'!$B:$B,0))="Production","P",IF(INDEX('PROJETO PERFURAÇÃO'!$P:$P,MATCH(MEDIÇÃO!D1225,'PROJETO PERFURAÇÃO'!$B:$B,0))="Buffer","B",IF(INDEX('PROJETO PERFURAÇÃO'!$P:$P,MATCH(MEDIÇÃO!D1225,'PROJETO PERFURAÇÃO'!$B:$B,0))="Pre-Splitting","S"))),"")</f>
        <v/>
      </c>
      <c r="D1225" s="14">
        <f t="shared" si="117"/>
        <v>2703</v>
      </c>
      <c r="E1225" s="4" t="str">
        <f>IFERROR(INDEX('LEV R&amp;D'!$D:$D,MATCH(MEDIÇÃO!D1225,'LEV R&amp;D'!$A:$A,0))-INDEX('PROJETO PERFURAÇÃO'!$AH:$AH,MATCH(MEDIÇÃO!D1225,'PROJETO PERFURAÇÃO'!$B:$B,0)),"")</f>
        <v/>
      </c>
      <c r="F1225" s="8" t="str">
        <f>IFERROR(INDEX('PROJETO PERFURAÇÃO'!$AN:$AN,MATCH(MEDIÇÃO!D1225,'PROJETO PERFURAÇÃO'!$B:$B,0)),"")</f>
        <v/>
      </c>
      <c r="G1225" s="3"/>
      <c r="H1225" s="3"/>
      <c r="I1225" s="3" t="str">
        <f>IFERROR(ROUND(INDEX('PROJETO PERFURAÇÃO'!$AB:$AB,MATCH(MEDIÇÃO!K1225,'PROJETO PERFURAÇÃO'!$B:$B,0)),1)&amp;"''","")</f>
        <v/>
      </c>
      <c r="J1225" s="3" t="str">
        <f>IFERROR(IF(INDEX('PROJETO PERFURAÇÃO'!$P:$P,MATCH(MEDIÇÃO!K1225,'PROJETO PERFURAÇÃO'!$B:$B,0))="Production","P",IF(INDEX('PROJETO PERFURAÇÃO'!$P:$P,MATCH(MEDIÇÃO!K1225,'PROJETO PERFURAÇÃO'!$B:$B,0))="Buffer","B",IF(INDEX('PROJETO PERFURAÇÃO'!$P:$P,MATCH(MEDIÇÃO!K1225,'PROJETO PERFURAÇÃO'!$B:$B,0))="Pre-Splitting","S"))),"")</f>
        <v/>
      </c>
      <c r="K1225" s="14">
        <f t="shared" si="118"/>
        <v>2726</v>
      </c>
      <c r="L1225" s="4" t="str">
        <f>IFERROR(INDEX('LEV R&amp;D'!$D:$D,MATCH(MEDIÇÃO!K1225,'LEV R&amp;D'!$A:$A,0))-INDEX('PROJETO PERFURAÇÃO'!$AH:$AH,MATCH(MEDIÇÃO!K1225,'PROJETO PERFURAÇÃO'!$B:$B,0)),"")</f>
        <v/>
      </c>
      <c r="M1225" s="8" t="str">
        <f>IFERROR(INDEX('PROJETO PERFURAÇÃO'!$AN:$AN,MATCH(MEDIÇÃO!K1225,'PROJETO PERFURAÇÃO'!$B:$B,0)),"")</f>
        <v/>
      </c>
      <c r="N1225" s="3"/>
      <c r="O1225" s="3"/>
      <c r="P1225" s="3" t="str">
        <f>IFERROR(ROUND(INDEX('PROJETO PERFURAÇÃO'!$AB:$AB,MATCH(MEDIÇÃO!R1225,'PROJETO PERFURAÇÃO'!$B:$B,0)),1)&amp;"''","")</f>
        <v/>
      </c>
      <c r="Q1225" s="3" t="str">
        <f>IFERROR(IF(INDEX('PROJETO PERFURAÇÃO'!$P:$P,MATCH(MEDIÇÃO!R1225,'PROJETO PERFURAÇÃO'!$B:$B,0))="Production","P",IF(INDEX('PROJETO PERFURAÇÃO'!$P:$P,MATCH(MEDIÇÃO!R1225,'PROJETO PERFURAÇÃO'!$B:$B,0))="Buffer","B",IF(INDEX('PROJETO PERFURAÇÃO'!$P:$P,MATCH(MEDIÇÃO!R1225,'PROJETO PERFURAÇÃO'!$B:$B,0))="Pre-Splitting","S"))),"")</f>
        <v/>
      </c>
      <c r="R1225" s="14">
        <f t="shared" si="119"/>
        <v>2749</v>
      </c>
      <c r="S1225" s="4" t="str">
        <f>IFERROR(INDEX('LEV R&amp;D'!$D:$D,MATCH(MEDIÇÃO!R1225,'LEV R&amp;D'!$A:$A,0))-INDEX('PROJETO PERFURAÇÃO'!$AH:$AH,MATCH(MEDIÇÃO!R1225,'PROJETO PERFURAÇÃO'!$B:$B,0)),"")</f>
        <v/>
      </c>
      <c r="T1225" s="8" t="str">
        <f>IFERROR(INDEX('PROJETO PERFURAÇÃO'!$AN:$AN,MATCH(MEDIÇÃO!R1225,'PROJETO PERFURAÇÃO'!$B:$B,0)),"")</f>
        <v/>
      </c>
      <c r="U1225" s="3"/>
      <c r="V1225" s="3"/>
    </row>
    <row r="1226" spans="2:22" ht="45" customHeight="1" x14ac:dyDescent="0.25">
      <c r="B1226" s="3" t="str">
        <f>IFERROR(ROUND(INDEX('PROJETO PERFURAÇÃO'!$AB:$AB,MATCH(MEDIÇÃO!D1226,'PROJETO PERFURAÇÃO'!$B:$B,0)),1)&amp;"''","")</f>
        <v/>
      </c>
      <c r="C1226" s="3" t="str">
        <f>IFERROR(IF(INDEX('PROJETO PERFURAÇÃO'!$P:$P,MATCH(MEDIÇÃO!D1226,'PROJETO PERFURAÇÃO'!$B:$B,0))="Production","P",IF(INDEX('PROJETO PERFURAÇÃO'!$P:$P,MATCH(MEDIÇÃO!D1226,'PROJETO PERFURAÇÃO'!$B:$B,0))="Buffer","B",IF(INDEX('PROJETO PERFURAÇÃO'!$P:$P,MATCH(MEDIÇÃO!D1226,'PROJETO PERFURAÇÃO'!$B:$B,0))="Pre-Splitting","S"))),"")</f>
        <v/>
      </c>
      <c r="D1226" s="14">
        <f t="shared" si="117"/>
        <v>2704</v>
      </c>
      <c r="E1226" s="4" t="str">
        <f>IFERROR(INDEX('LEV R&amp;D'!$D:$D,MATCH(MEDIÇÃO!D1226,'LEV R&amp;D'!$A:$A,0))-INDEX('PROJETO PERFURAÇÃO'!$AH:$AH,MATCH(MEDIÇÃO!D1226,'PROJETO PERFURAÇÃO'!$B:$B,0)),"")</f>
        <v/>
      </c>
      <c r="F1226" s="8" t="str">
        <f>IFERROR(INDEX('PROJETO PERFURAÇÃO'!$AN:$AN,MATCH(MEDIÇÃO!D1226,'PROJETO PERFURAÇÃO'!$B:$B,0)),"")</f>
        <v/>
      </c>
      <c r="G1226" s="3"/>
      <c r="H1226" s="3"/>
      <c r="I1226" s="3" t="str">
        <f>IFERROR(ROUND(INDEX('PROJETO PERFURAÇÃO'!$AB:$AB,MATCH(MEDIÇÃO!K1226,'PROJETO PERFURAÇÃO'!$B:$B,0)),1)&amp;"''","")</f>
        <v/>
      </c>
      <c r="J1226" s="3" t="str">
        <f>IFERROR(IF(INDEX('PROJETO PERFURAÇÃO'!$P:$P,MATCH(MEDIÇÃO!K1226,'PROJETO PERFURAÇÃO'!$B:$B,0))="Production","P",IF(INDEX('PROJETO PERFURAÇÃO'!$P:$P,MATCH(MEDIÇÃO!K1226,'PROJETO PERFURAÇÃO'!$B:$B,0))="Buffer","B",IF(INDEX('PROJETO PERFURAÇÃO'!$P:$P,MATCH(MEDIÇÃO!K1226,'PROJETO PERFURAÇÃO'!$B:$B,0))="Pre-Splitting","S"))),"")</f>
        <v/>
      </c>
      <c r="K1226" s="14">
        <f t="shared" si="118"/>
        <v>2727</v>
      </c>
      <c r="L1226" s="4" t="str">
        <f>IFERROR(INDEX('LEV R&amp;D'!$D:$D,MATCH(MEDIÇÃO!K1226,'LEV R&amp;D'!$A:$A,0))-INDEX('PROJETO PERFURAÇÃO'!$AH:$AH,MATCH(MEDIÇÃO!K1226,'PROJETO PERFURAÇÃO'!$B:$B,0)),"")</f>
        <v/>
      </c>
      <c r="M1226" s="8" t="str">
        <f>IFERROR(INDEX('PROJETO PERFURAÇÃO'!$AN:$AN,MATCH(MEDIÇÃO!K1226,'PROJETO PERFURAÇÃO'!$B:$B,0)),"")</f>
        <v/>
      </c>
      <c r="N1226" s="3"/>
      <c r="O1226" s="3"/>
      <c r="P1226" s="3" t="str">
        <f>IFERROR(ROUND(INDEX('PROJETO PERFURAÇÃO'!$AB:$AB,MATCH(MEDIÇÃO!R1226,'PROJETO PERFURAÇÃO'!$B:$B,0)),1)&amp;"''","")</f>
        <v/>
      </c>
      <c r="Q1226" s="3" t="str">
        <f>IFERROR(IF(INDEX('PROJETO PERFURAÇÃO'!$P:$P,MATCH(MEDIÇÃO!R1226,'PROJETO PERFURAÇÃO'!$B:$B,0))="Production","P",IF(INDEX('PROJETO PERFURAÇÃO'!$P:$P,MATCH(MEDIÇÃO!R1226,'PROJETO PERFURAÇÃO'!$B:$B,0))="Buffer","B",IF(INDEX('PROJETO PERFURAÇÃO'!$P:$P,MATCH(MEDIÇÃO!R1226,'PROJETO PERFURAÇÃO'!$B:$B,0))="Pre-Splitting","S"))),"")</f>
        <v/>
      </c>
      <c r="R1226" s="14">
        <f t="shared" si="119"/>
        <v>2750</v>
      </c>
      <c r="S1226" s="4" t="str">
        <f>IFERROR(INDEX('LEV R&amp;D'!$D:$D,MATCH(MEDIÇÃO!R1226,'LEV R&amp;D'!$A:$A,0))-INDEX('PROJETO PERFURAÇÃO'!$AH:$AH,MATCH(MEDIÇÃO!R1226,'PROJETO PERFURAÇÃO'!$B:$B,0)),"")</f>
        <v/>
      </c>
      <c r="T1226" s="8" t="str">
        <f>IFERROR(INDEX('PROJETO PERFURAÇÃO'!$AN:$AN,MATCH(MEDIÇÃO!R1226,'PROJETO PERFURAÇÃO'!$B:$B,0)),"")</f>
        <v/>
      </c>
      <c r="U1226" s="3"/>
      <c r="V1226" s="3"/>
    </row>
    <row r="1227" spans="2:22" ht="45" customHeight="1" x14ac:dyDescent="0.25">
      <c r="B1227" s="3" t="str">
        <f>IFERROR(ROUND(INDEX('PROJETO PERFURAÇÃO'!$AB:$AB,MATCH(MEDIÇÃO!D1227,'PROJETO PERFURAÇÃO'!$B:$B,0)),1)&amp;"''","")</f>
        <v/>
      </c>
      <c r="C1227" s="3" t="str">
        <f>IFERROR(IF(INDEX('PROJETO PERFURAÇÃO'!$P:$P,MATCH(MEDIÇÃO!D1227,'PROJETO PERFURAÇÃO'!$B:$B,0))="Production","P",IF(INDEX('PROJETO PERFURAÇÃO'!$P:$P,MATCH(MEDIÇÃO!D1227,'PROJETO PERFURAÇÃO'!$B:$B,0))="Buffer","B",IF(INDEX('PROJETO PERFURAÇÃO'!$P:$P,MATCH(MEDIÇÃO!D1227,'PROJETO PERFURAÇÃO'!$B:$B,0))="Pre-Splitting","S"))),"")</f>
        <v/>
      </c>
      <c r="D1227" s="14">
        <f t="shared" si="117"/>
        <v>2705</v>
      </c>
      <c r="E1227" s="4" t="str">
        <f>IFERROR(INDEX('LEV R&amp;D'!$D:$D,MATCH(MEDIÇÃO!D1227,'LEV R&amp;D'!$A:$A,0))-INDEX('PROJETO PERFURAÇÃO'!$AH:$AH,MATCH(MEDIÇÃO!D1227,'PROJETO PERFURAÇÃO'!$B:$B,0)),"")</f>
        <v/>
      </c>
      <c r="F1227" s="8" t="str">
        <f>IFERROR(INDEX('PROJETO PERFURAÇÃO'!$AN:$AN,MATCH(MEDIÇÃO!D1227,'PROJETO PERFURAÇÃO'!$B:$B,0)),"")</f>
        <v/>
      </c>
      <c r="G1227" s="3"/>
      <c r="H1227" s="3"/>
      <c r="I1227" s="3" t="str">
        <f>IFERROR(ROUND(INDEX('PROJETO PERFURAÇÃO'!$AB:$AB,MATCH(MEDIÇÃO!K1227,'PROJETO PERFURAÇÃO'!$B:$B,0)),1)&amp;"''","")</f>
        <v/>
      </c>
      <c r="J1227" s="3" t="str">
        <f>IFERROR(IF(INDEX('PROJETO PERFURAÇÃO'!$P:$P,MATCH(MEDIÇÃO!K1227,'PROJETO PERFURAÇÃO'!$B:$B,0))="Production","P",IF(INDEX('PROJETO PERFURAÇÃO'!$P:$P,MATCH(MEDIÇÃO!K1227,'PROJETO PERFURAÇÃO'!$B:$B,0))="Buffer","B",IF(INDEX('PROJETO PERFURAÇÃO'!$P:$P,MATCH(MEDIÇÃO!K1227,'PROJETO PERFURAÇÃO'!$B:$B,0))="Pre-Splitting","S"))),"")</f>
        <v/>
      </c>
      <c r="K1227" s="14">
        <f t="shared" si="118"/>
        <v>2728</v>
      </c>
      <c r="L1227" s="4" t="str">
        <f>IFERROR(INDEX('LEV R&amp;D'!$D:$D,MATCH(MEDIÇÃO!K1227,'LEV R&amp;D'!$A:$A,0))-INDEX('PROJETO PERFURAÇÃO'!$AH:$AH,MATCH(MEDIÇÃO!K1227,'PROJETO PERFURAÇÃO'!$B:$B,0)),"")</f>
        <v/>
      </c>
      <c r="M1227" s="8" t="str">
        <f>IFERROR(INDEX('PROJETO PERFURAÇÃO'!$AN:$AN,MATCH(MEDIÇÃO!K1227,'PROJETO PERFURAÇÃO'!$B:$B,0)),"")</f>
        <v/>
      </c>
      <c r="N1227" s="3"/>
      <c r="O1227" s="3"/>
      <c r="P1227" s="3" t="str">
        <f>IFERROR(ROUND(INDEX('PROJETO PERFURAÇÃO'!$AB:$AB,MATCH(MEDIÇÃO!R1227,'PROJETO PERFURAÇÃO'!$B:$B,0)),1)&amp;"''","")</f>
        <v/>
      </c>
      <c r="Q1227" s="3" t="str">
        <f>IFERROR(IF(INDEX('PROJETO PERFURAÇÃO'!$P:$P,MATCH(MEDIÇÃO!R1227,'PROJETO PERFURAÇÃO'!$B:$B,0))="Production","P",IF(INDEX('PROJETO PERFURAÇÃO'!$P:$P,MATCH(MEDIÇÃO!R1227,'PROJETO PERFURAÇÃO'!$B:$B,0))="Buffer","B",IF(INDEX('PROJETO PERFURAÇÃO'!$P:$P,MATCH(MEDIÇÃO!R1227,'PROJETO PERFURAÇÃO'!$B:$B,0))="Pre-Splitting","S"))),"")</f>
        <v/>
      </c>
      <c r="R1227" s="14">
        <f t="shared" si="119"/>
        <v>2751</v>
      </c>
      <c r="S1227" s="4" t="str">
        <f>IFERROR(INDEX('LEV R&amp;D'!$D:$D,MATCH(MEDIÇÃO!R1227,'LEV R&amp;D'!$A:$A,0))-INDEX('PROJETO PERFURAÇÃO'!$AH:$AH,MATCH(MEDIÇÃO!R1227,'PROJETO PERFURAÇÃO'!$B:$B,0)),"")</f>
        <v/>
      </c>
      <c r="T1227" s="8" t="str">
        <f>IFERROR(INDEX('PROJETO PERFURAÇÃO'!$AN:$AN,MATCH(MEDIÇÃO!R1227,'PROJETO PERFURAÇÃO'!$B:$B,0)),"")</f>
        <v/>
      </c>
      <c r="U1227" s="3"/>
      <c r="V1227" s="3"/>
    </row>
    <row r="1228" spans="2:22" ht="45" customHeight="1" x14ac:dyDescent="0.25">
      <c r="B1228" s="3" t="str">
        <f>IFERROR(ROUND(INDEX('PROJETO PERFURAÇÃO'!$AB:$AB,MATCH(MEDIÇÃO!D1228,'PROJETO PERFURAÇÃO'!$B:$B,0)),1)&amp;"''","")</f>
        <v/>
      </c>
      <c r="C1228" s="3" t="str">
        <f>IFERROR(IF(INDEX('PROJETO PERFURAÇÃO'!$P:$P,MATCH(MEDIÇÃO!D1228,'PROJETO PERFURAÇÃO'!$B:$B,0))="Production","P",IF(INDEX('PROJETO PERFURAÇÃO'!$P:$P,MATCH(MEDIÇÃO!D1228,'PROJETO PERFURAÇÃO'!$B:$B,0))="Buffer","B",IF(INDEX('PROJETO PERFURAÇÃO'!$P:$P,MATCH(MEDIÇÃO!D1228,'PROJETO PERFURAÇÃO'!$B:$B,0))="Pre-Splitting","S"))),"")</f>
        <v/>
      </c>
      <c r="D1228" s="14">
        <f t="shared" si="117"/>
        <v>2706</v>
      </c>
      <c r="E1228" s="4" t="str">
        <f>IFERROR(INDEX('LEV R&amp;D'!$D:$D,MATCH(MEDIÇÃO!D1228,'LEV R&amp;D'!$A:$A,0))-INDEX('PROJETO PERFURAÇÃO'!$AH:$AH,MATCH(MEDIÇÃO!D1228,'PROJETO PERFURAÇÃO'!$B:$B,0)),"")</f>
        <v/>
      </c>
      <c r="F1228" s="8" t="str">
        <f>IFERROR(INDEX('PROJETO PERFURAÇÃO'!$AN:$AN,MATCH(MEDIÇÃO!D1228,'PROJETO PERFURAÇÃO'!$B:$B,0)),"")</f>
        <v/>
      </c>
      <c r="G1228" s="3"/>
      <c r="H1228" s="3"/>
      <c r="I1228" s="3" t="str">
        <f>IFERROR(ROUND(INDEX('PROJETO PERFURAÇÃO'!$AB:$AB,MATCH(MEDIÇÃO!K1228,'PROJETO PERFURAÇÃO'!$B:$B,0)),1)&amp;"''","")</f>
        <v/>
      </c>
      <c r="J1228" s="3" t="str">
        <f>IFERROR(IF(INDEX('PROJETO PERFURAÇÃO'!$P:$P,MATCH(MEDIÇÃO!K1228,'PROJETO PERFURAÇÃO'!$B:$B,0))="Production","P",IF(INDEX('PROJETO PERFURAÇÃO'!$P:$P,MATCH(MEDIÇÃO!K1228,'PROJETO PERFURAÇÃO'!$B:$B,0))="Buffer","B",IF(INDEX('PROJETO PERFURAÇÃO'!$P:$P,MATCH(MEDIÇÃO!K1228,'PROJETO PERFURAÇÃO'!$B:$B,0))="Pre-Splitting","S"))),"")</f>
        <v/>
      </c>
      <c r="K1228" s="14">
        <f t="shared" si="118"/>
        <v>2729</v>
      </c>
      <c r="L1228" s="4" t="str">
        <f>IFERROR(INDEX('LEV R&amp;D'!$D:$D,MATCH(MEDIÇÃO!K1228,'LEV R&amp;D'!$A:$A,0))-INDEX('PROJETO PERFURAÇÃO'!$AH:$AH,MATCH(MEDIÇÃO!K1228,'PROJETO PERFURAÇÃO'!$B:$B,0)),"")</f>
        <v/>
      </c>
      <c r="M1228" s="8" t="str">
        <f>IFERROR(INDEX('PROJETO PERFURAÇÃO'!$AN:$AN,MATCH(MEDIÇÃO!K1228,'PROJETO PERFURAÇÃO'!$B:$B,0)),"")</f>
        <v/>
      </c>
      <c r="N1228" s="3"/>
      <c r="O1228" s="3"/>
      <c r="P1228" s="3" t="str">
        <f>IFERROR(ROUND(INDEX('PROJETO PERFURAÇÃO'!$AB:$AB,MATCH(MEDIÇÃO!R1228,'PROJETO PERFURAÇÃO'!$B:$B,0)),1)&amp;"''","")</f>
        <v/>
      </c>
      <c r="Q1228" s="3" t="str">
        <f>IFERROR(IF(INDEX('PROJETO PERFURAÇÃO'!$P:$P,MATCH(MEDIÇÃO!R1228,'PROJETO PERFURAÇÃO'!$B:$B,0))="Production","P",IF(INDEX('PROJETO PERFURAÇÃO'!$P:$P,MATCH(MEDIÇÃO!R1228,'PROJETO PERFURAÇÃO'!$B:$B,0))="Buffer","B",IF(INDEX('PROJETO PERFURAÇÃO'!$P:$P,MATCH(MEDIÇÃO!R1228,'PROJETO PERFURAÇÃO'!$B:$B,0))="Pre-Splitting","S"))),"")</f>
        <v/>
      </c>
      <c r="R1228" s="14">
        <f t="shared" si="119"/>
        <v>2752</v>
      </c>
      <c r="S1228" s="4" t="str">
        <f>IFERROR(INDEX('LEV R&amp;D'!$D:$D,MATCH(MEDIÇÃO!R1228,'LEV R&amp;D'!$A:$A,0))-INDEX('PROJETO PERFURAÇÃO'!$AH:$AH,MATCH(MEDIÇÃO!R1228,'PROJETO PERFURAÇÃO'!$B:$B,0)),"")</f>
        <v/>
      </c>
      <c r="T1228" s="8" t="str">
        <f>IFERROR(INDEX('PROJETO PERFURAÇÃO'!$AN:$AN,MATCH(MEDIÇÃO!R1228,'PROJETO PERFURAÇÃO'!$B:$B,0)),"")</f>
        <v/>
      </c>
      <c r="U1228" s="3"/>
      <c r="V1228" s="3"/>
    </row>
    <row r="1229" spans="2:22" ht="45" customHeight="1" x14ac:dyDescent="0.25">
      <c r="B1229" s="3" t="str">
        <f>IFERROR(ROUND(INDEX('PROJETO PERFURAÇÃO'!$AB:$AB,MATCH(MEDIÇÃO!D1229,'PROJETO PERFURAÇÃO'!$B:$B,0)),1)&amp;"''","")</f>
        <v/>
      </c>
      <c r="C1229" s="3" t="str">
        <f>IFERROR(IF(INDEX('PROJETO PERFURAÇÃO'!$P:$P,MATCH(MEDIÇÃO!D1229,'PROJETO PERFURAÇÃO'!$B:$B,0))="Production","P",IF(INDEX('PROJETO PERFURAÇÃO'!$P:$P,MATCH(MEDIÇÃO!D1229,'PROJETO PERFURAÇÃO'!$B:$B,0))="Buffer","B",IF(INDEX('PROJETO PERFURAÇÃO'!$P:$P,MATCH(MEDIÇÃO!D1229,'PROJETO PERFURAÇÃO'!$B:$B,0))="Pre-Splitting","S"))),"")</f>
        <v/>
      </c>
      <c r="D1229" s="14">
        <f t="shared" si="117"/>
        <v>2707</v>
      </c>
      <c r="E1229" s="4" t="str">
        <f>IFERROR(INDEX('LEV R&amp;D'!$D:$D,MATCH(MEDIÇÃO!D1229,'LEV R&amp;D'!$A:$A,0))-INDEX('PROJETO PERFURAÇÃO'!$AH:$AH,MATCH(MEDIÇÃO!D1229,'PROJETO PERFURAÇÃO'!$B:$B,0)),"")</f>
        <v/>
      </c>
      <c r="F1229" s="8" t="str">
        <f>IFERROR(INDEX('PROJETO PERFURAÇÃO'!$AN:$AN,MATCH(MEDIÇÃO!D1229,'PROJETO PERFURAÇÃO'!$B:$B,0)),"")</f>
        <v/>
      </c>
      <c r="G1229" s="3"/>
      <c r="H1229" s="3"/>
      <c r="I1229" s="3" t="str">
        <f>IFERROR(ROUND(INDEX('PROJETO PERFURAÇÃO'!$AB:$AB,MATCH(MEDIÇÃO!K1229,'PROJETO PERFURAÇÃO'!$B:$B,0)),1)&amp;"''","")</f>
        <v/>
      </c>
      <c r="J1229" s="3" t="str">
        <f>IFERROR(IF(INDEX('PROJETO PERFURAÇÃO'!$P:$P,MATCH(MEDIÇÃO!K1229,'PROJETO PERFURAÇÃO'!$B:$B,0))="Production","P",IF(INDEX('PROJETO PERFURAÇÃO'!$P:$P,MATCH(MEDIÇÃO!K1229,'PROJETO PERFURAÇÃO'!$B:$B,0))="Buffer","B",IF(INDEX('PROJETO PERFURAÇÃO'!$P:$P,MATCH(MEDIÇÃO!K1229,'PROJETO PERFURAÇÃO'!$B:$B,0))="Pre-Splitting","S"))),"")</f>
        <v/>
      </c>
      <c r="K1229" s="14">
        <f t="shared" si="118"/>
        <v>2730</v>
      </c>
      <c r="L1229" s="4" t="str">
        <f>IFERROR(INDEX('LEV R&amp;D'!$D:$D,MATCH(MEDIÇÃO!K1229,'LEV R&amp;D'!$A:$A,0))-INDEX('PROJETO PERFURAÇÃO'!$AH:$AH,MATCH(MEDIÇÃO!K1229,'PROJETO PERFURAÇÃO'!$B:$B,0)),"")</f>
        <v/>
      </c>
      <c r="M1229" s="8" t="str">
        <f>IFERROR(INDEX('PROJETO PERFURAÇÃO'!$AN:$AN,MATCH(MEDIÇÃO!K1229,'PROJETO PERFURAÇÃO'!$B:$B,0)),"")</f>
        <v/>
      </c>
      <c r="N1229" s="3"/>
      <c r="O1229" s="3"/>
      <c r="P1229" s="3" t="str">
        <f>IFERROR(ROUND(INDEX('PROJETO PERFURAÇÃO'!$AB:$AB,MATCH(MEDIÇÃO!R1229,'PROJETO PERFURAÇÃO'!$B:$B,0)),1)&amp;"''","")</f>
        <v/>
      </c>
      <c r="Q1229" s="3" t="str">
        <f>IFERROR(IF(INDEX('PROJETO PERFURAÇÃO'!$P:$P,MATCH(MEDIÇÃO!R1229,'PROJETO PERFURAÇÃO'!$B:$B,0))="Production","P",IF(INDEX('PROJETO PERFURAÇÃO'!$P:$P,MATCH(MEDIÇÃO!R1229,'PROJETO PERFURAÇÃO'!$B:$B,0))="Buffer","B",IF(INDEX('PROJETO PERFURAÇÃO'!$P:$P,MATCH(MEDIÇÃO!R1229,'PROJETO PERFURAÇÃO'!$B:$B,0))="Pre-Splitting","S"))),"")</f>
        <v/>
      </c>
      <c r="R1229" s="14">
        <f t="shared" si="119"/>
        <v>2753</v>
      </c>
      <c r="S1229" s="4" t="str">
        <f>IFERROR(INDEX('LEV R&amp;D'!$D:$D,MATCH(MEDIÇÃO!R1229,'LEV R&amp;D'!$A:$A,0))-INDEX('PROJETO PERFURAÇÃO'!$AH:$AH,MATCH(MEDIÇÃO!R1229,'PROJETO PERFURAÇÃO'!$B:$B,0)),"")</f>
        <v/>
      </c>
      <c r="T1229" s="8" t="str">
        <f>IFERROR(INDEX('PROJETO PERFURAÇÃO'!$AN:$AN,MATCH(MEDIÇÃO!R1229,'PROJETO PERFURAÇÃO'!$B:$B,0)),"")</f>
        <v/>
      </c>
      <c r="U1229" s="3"/>
      <c r="V1229" s="3"/>
    </row>
    <row r="1230" spans="2:22" ht="45" customHeight="1" x14ac:dyDescent="0.25">
      <c r="B1230" s="3" t="str">
        <f>IFERROR(ROUND(INDEX('PROJETO PERFURAÇÃO'!$AB:$AB,MATCH(MEDIÇÃO!D1230,'PROJETO PERFURAÇÃO'!$B:$B,0)),1)&amp;"''","")</f>
        <v/>
      </c>
      <c r="C1230" s="3" t="str">
        <f>IFERROR(IF(INDEX('PROJETO PERFURAÇÃO'!$P:$P,MATCH(MEDIÇÃO!D1230,'PROJETO PERFURAÇÃO'!$B:$B,0))="Production","P",IF(INDEX('PROJETO PERFURAÇÃO'!$P:$P,MATCH(MEDIÇÃO!D1230,'PROJETO PERFURAÇÃO'!$B:$B,0))="Buffer","B",IF(INDEX('PROJETO PERFURAÇÃO'!$P:$P,MATCH(MEDIÇÃO!D1230,'PROJETO PERFURAÇÃO'!$B:$B,0))="Pre-Splitting","S"))),"")</f>
        <v/>
      </c>
      <c r="D1230" s="14">
        <f t="shared" si="117"/>
        <v>2708</v>
      </c>
      <c r="E1230" s="4" t="str">
        <f>IFERROR(INDEX('LEV R&amp;D'!$D:$D,MATCH(MEDIÇÃO!D1230,'LEV R&amp;D'!$A:$A,0))-INDEX('PROJETO PERFURAÇÃO'!$AH:$AH,MATCH(MEDIÇÃO!D1230,'PROJETO PERFURAÇÃO'!$B:$B,0)),"")</f>
        <v/>
      </c>
      <c r="F1230" s="8" t="str">
        <f>IFERROR(INDEX('PROJETO PERFURAÇÃO'!$AN:$AN,MATCH(MEDIÇÃO!D1230,'PROJETO PERFURAÇÃO'!$B:$B,0)),"")</f>
        <v/>
      </c>
      <c r="G1230" s="3"/>
      <c r="H1230" s="3"/>
      <c r="I1230" s="3" t="str">
        <f>IFERROR(ROUND(INDEX('PROJETO PERFURAÇÃO'!$AB:$AB,MATCH(MEDIÇÃO!K1230,'PROJETO PERFURAÇÃO'!$B:$B,0)),1)&amp;"''","")</f>
        <v/>
      </c>
      <c r="J1230" s="3" t="str">
        <f>IFERROR(IF(INDEX('PROJETO PERFURAÇÃO'!$P:$P,MATCH(MEDIÇÃO!K1230,'PROJETO PERFURAÇÃO'!$B:$B,0))="Production","P",IF(INDEX('PROJETO PERFURAÇÃO'!$P:$P,MATCH(MEDIÇÃO!K1230,'PROJETO PERFURAÇÃO'!$B:$B,0))="Buffer","B",IF(INDEX('PROJETO PERFURAÇÃO'!$P:$P,MATCH(MEDIÇÃO!K1230,'PROJETO PERFURAÇÃO'!$B:$B,0))="Pre-Splitting","S"))),"")</f>
        <v/>
      </c>
      <c r="K1230" s="14">
        <f t="shared" si="118"/>
        <v>2731</v>
      </c>
      <c r="L1230" s="4" t="str">
        <f>IFERROR(INDEX('LEV R&amp;D'!$D:$D,MATCH(MEDIÇÃO!K1230,'LEV R&amp;D'!$A:$A,0))-INDEX('PROJETO PERFURAÇÃO'!$AH:$AH,MATCH(MEDIÇÃO!K1230,'PROJETO PERFURAÇÃO'!$B:$B,0)),"")</f>
        <v/>
      </c>
      <c r="M1230" s="8" t="str">
        <f>IFERROR(INDEX('PROJETO PERFURAÇÃO'!$AN:$AN,MATCH(MEDIÇÃO!K1230,'PROJETO PERFURAÇÃO'!$B:$B,0)),"")</f>
        <v/>
      </c>
      <c r="N1230" s="3"/>
      <c r="O1230" s="3"/>
      <c r="P1230" s="3" t="str">
        <f>IFERROR(ROUND(INDEX('PROJETO PERFURAÇÃO'!$AB:$AB,MATCH(MEDIÇÃO!R1230,'PROJETO PERFURAÇÃO'!$B:$B,0)),1)&amp;"''","")</f>
        <v/>
      </c>
      <c r="Q1230" s="3" t="str">
        <f>IFERROR(IF(INDEX('PROJETO PERFURAÇÃO'!$P:$P,MATCH(MEDIÇÃO!R1230,'PROJETO PERFURAÇÃO'!$B:$B,0))="Production","P",IF(INDEX('PROJETO PERFURAÇÃO'!$P:$P,MATCH(MEDIÇÃO!R1230,'PROJETO PERFURAÇÃO'!$B:$B,0))="Buffer","B",IF(INDEX('PROJETO PERFURAÇÃO'!$P:$P,MATCH(MEDIÇÃO!R1230,'PROJETO PERFURAÇÃO'!$B:$B,0))="Pre-Splitting","S"))),"")</f>
        <v/>
      </c>
      <c r="R1230" s="14">
        <f t="shared" si="119"/>
        <v>2754</v>
      </c>
      <c r="S1230" s="4" t="str">
        <f>IFERROR(INDEX('LEV R&amp;D'!$D:$D,MATCH(MEDIÇÃO!R1230,'LEV R&amp;D'!$A:$A,0))-INDEX('PROJETO PERFURAÇÃO'!$AH:$AH,MATCH(MEDIÇÃO!R1230,'PROJETO PERFURAÇÃO'!$B:$B,0)),"")</f>
        <v/>
      </c>
      <c r="T1230" s="8" t="str">
        <f>IFERROR(INDEX('PROJETO PERFURAÇÃO'!$AN:$AN,MATCH(MEDIÇÃO!R1230,'PROJETO PERFURAÇÃO'!$B:$B,0)),"")</f>
        <v/>
      </c>
      <c r="U1230" s="3"/>
      <c r="V1230" s="3"/>
    </row>
    <row r="1231" spans="2:22" ht="45" customHeight="1" x14ac:dyDescent="0.25">
      <c r="B1231" s="3" t="str">
        <f>IFERROR(ROUND(INDEX('PROJETO PERFURAÇÃO'!$AB:$AB,MATCH(MEDIÇÃO!D1231,'PROJETO PERFURAÇÃO'!$B:$B,0)),1)&amp;"''","")</f>
        <v/>
      </c>
      <c r="C1231" s="3" t="str">
        <f>IFERROR(IF(INDEX('PROJETO PERFURAÇÃO'!$P:$P,MATCH(MEDIÇÃO!D1231,'PROJETO PERFURAÇÃO'!$B:$B,0))="Production","P",IF(INDEX('PROJETO PERFURAÇÃO'!$P:$P,MATCH(MEDIÇÃO!D1231,'PROJETO PERFURAÇÃO'!$B:$B,0))="Buffer","B",IF(INDEX('PROJETO PERFURAÇÃO'!$P:$P,MATCH(MEDIÇÃO!D1231,'PROJETO PERFURAÇÃO'!$B:$B,0))="Pre-Splitting","S"))),"")</f>
        <v/>
      </c>
      <c r="D1231" s="14">
        <f t="shared" si="117"/>
        <v>2709</v>
      </c>
      <c r="E1231" s="4" t="str">
        <f>IFERROR(INDEX('LEV R&amp;D'!$D:$D,MATCH(MEDIÇÃO!D1231,'LEV R&amp;D'!$A:$A,0))-INDEX('PROJETO PERFURAÇÃO'!$AH:$AH,MATCH(MEDIÇÃO!D1231,'PROJETO PERFURAÇÃO'!$B:$B,0)),"")</f>
        <v/>
      </c>
      <c r="F1231" s="8" t="str">
        <f>IFERROR(INDEX('PROJETO PERFURAÇÃO'!$AN:$AN,MATCH(MEDIÇÃO!D1231,'PROJETO PERFURAÇÃO'!$B:$B,0)),"")</f>
        <v/>
      </c>
      <c r="G1231" s="3"/>
      <c r="H1231" s="3"/>
      <c r="I1231" s="3" t="str">
        <f>IFERROR(ROUND(INDEX('PROJETO PERFURAÇÃO'!$AB:$AB,MATCH(MEDIÇÃO!K1231,'PROJETO PERFURAÇÃO'!$B:$B,0)),1)&amp;"''","")</f>
        <v/>
      </c>
      <c r="J1231" s="3" t="str">
        <f>IFERROR(IF(INDEX('PROJETO PERFURAÇÃO'!$P:$P,MATCH(MEDIÇÃO!K1231,'PROJETO PERFURAÇÃO'!$B:$B,0))="Production","P",IF(INDEX('PROJETO PERFURAÇÃO'!$P:$P,MATCH(MEDIÇÃO!K1231,'PROJETO PERFURAÇÃO'!$B:$B,0))="Buffer","B",IF(INDEX('PROJETO PERFURAÇÃO'!$P:$P,MATCH(MEDIÇÃO!K1231,'PROJETO PERFURAÇÃO'!$B:$B,0))="Pre-Splitting","S"))),"")</f>
        <v/>
      </c>
      <c r="K1231" s="14">
        <f t="shared" si="118"/>
        <v>2732</v>
      </c>
      <c r="L1231" s="4" t="str">
        <f>IFERROR(INDEX('LEV R&amp;D'!$D:$D,MATCH(MEDIÇÃO!K1231,'LEV R&amp;D'!$A:$A,0))-INDEX('PROJETO PERFURAÇÃO'!$AH:$AH,MATCH(MEDIÇÃO!K1231,'PROJETO PERFURAÇÃO'!$B:$B,0)),"")</f>
        <v/>
      </c>
      <c r="M1231" s="8" t="str">
        <f>IFERROR(INDEX('PROJETO PERFURAÇÃO'!$AN:$AN,MATCH(MEDIÇÃO!K1231,'PROJETO PERFURAÇÃO'!$B:$B,0)),"")</f>
        <v/>
      </c>
      <c r="N1231" s="3"/>
      <c r="O1231" s="3"/>
      <c r="P1231" s="3" t="str">
        <f>IFERROR(ROUND(INDEX('PROJETO PERFURAÇÃO'!$AB:$AB,MATCH(MEDIÇÃO!R1231,'PROJETO PERFURAÇÃO'!$B:$B,0)),1)&amp;"''","")</f>
        <v/>
      </c>
      <c r="Q1231" s="3" t="str">
        <f>IFERROR(IF(INDEX('PROJETO PERFURAÇÃO'!$P:$P,MATCH(MEDIÇÃO!R1231,'PROJETO PERFURAÇÃO'!$B:$B,0))="Production","P",IF(INDEX('PROJETO PERFURAÇÃO'!$P:$P,MATCH(MEDIÇÃO!R1231,'PROJETO PERFURAÇÃO'!$B:$B,0))="Buffer","B",IF(INDEX('PROJETO PERFURAÇÃO'!$P:$P,MATCH(MEDIÇÃO!R1231,'PROJETO PERFURAÇÃO'!$B:$B,0))="Pre-Splitting","S"))),"")</f>
        <v/>
      </c>
      <c r="R1231" s="14">
        <f t="shared" si="119"/>
        <v>2755</v>
      </c>
      <c r="S1231" s="4" t="str">
        <f>IFERROR(INDEX('LEV R&amp;D'!$D:$D,MATCH(MEDIÇÃO!R1231,'LEV R&amp;D'!$A:$A,0))-INDEX('PROJETO PERFURAÇÃO'!$AH:$AH,MATCH(MEDIÇÃO!R1231,'PROJETO PERFURAÇÃO'!$B:$B,0)),"")</f>
        <v/>
      </c>
      <c r="T1231" s="8" t="str">
        <f>IFERROR(INDEX('PROJETO PERFURAÇÃO'!$AN:$AN,MATCH(MEDIÇÃO!R1231,'PROJETO PERFURAÇÃO'!$B:$B,0)),"")</f>
        <v/>
      </c>
      <c r="U1231" s="3"/>
      <c r="V1231" s="3"/>
    </row>
    <row r="1232" spans="2:22" ht="45" customHeight="1" x14ac:dyDescent="0.25">
      <c r="B1232" s="3" t="str">
        <f>IFERROR(ROUND(INDEX('PROJETO PERFURAÇÃO'!$AB:$AB,MATCH(MEDIÇÃO!D1232,'PROJETO PERFURAÇÃO'!$B:$B,0)),1)&amp;"''","")</f>
        <v/>
      </c>
      <c r="C1232" s="3" t="str">
        <f>IFERROR(IF(INDEX('PROJETO PERFURAÇÃO'!$P:$P,MATCH(MEDIÇÃO!D1232,'PROJETO PERFURAÇÃO'!$B:$B,0))="Production","P",IF(INDEX('PROJETO PERFURAÇÃO'!$P:$P,MATCH(MEDIÇÃO!D1232,'PROJETO PERFURAÇÃO'!$B:$B,0))="Buffer","B",IF(INDEX('PROJETO PERFURAÇÃO'!$P:$P,MATCH(MEDIÇÃO!D1232,'PROJETO PERFURAÇÃO'!$B:$B,0))="Pre-Splitting","S"))),"")</f>
        <v/>
      </c>
      <c r="D1232" s="14">
        <f t="shared" si="117"/>
        <v>2710</v>
      </c>
      <c r="E1232" s="4" t="str">
        <f>IFERROR(INDEX('LEV R&amp;D'!$D:$D,MATCH(MEDIÇÃO!D1232,'LEV R&amp;D'!$A:$A,0))-INDEX('PROJETO PERFURAÇÃO'!$AH:$AH,MATCH(MEDIÇÃO!D1232,'PROJETO PERFURAÇÃO'!$B:$B,0)),"")</f>
        <v/>
      </c>
      <c r="F1232" s="8" t="str">
        <f>IFERROR(INDEX('PROJETO PERFURAÇÃO'!$AN:$AN,MATCH(MEDIÇÃO!D1232,'PROJETO PERFURAÇÃO'!$B:$B,0)),"")</f>
        <v/>
      </c>
      <c r="G1232" s="3"/>
      <c r="H1232" s="3"/>
      <c r="I1232" s="3" t="str">
        <f>IFERROR(ROUND(INDEX('PROJETO PERFURAÇÃO'!$AB:$AB,MATCH(MEDIÇÃO!K1232,'PROJETO PERFURAÇÃO'!$B:$B,0)),1)&amp;"''","")</f>
        <v/>
      </c>
      <c r="J1232" s="3" t="str">
        <f>IFERROR(IF(INDEX('PROJETO PERFURAÇÃO'!$P:$P,MATCH(MEDIÇÃO!K1232,'PROJETO PERFURAÇÃO'!$B:$B,0))="Production","P",IF(INDEX('PROJETO PERFURAÇÃO'!$P:$P,MATCH(MEDIÇÃO!K1232,'PROJETO PERFURAÇÃO'!$B:$B,0))="Buffer","B",IF(INDEX('PROJETO PERFURAÇÃO'!$P:$P,MATCH(MEDIÇÃO!K1232,'PROJETO PERFURAÇÃO'!$B:$B,0))="Pre-Splitting","S"))),"")</f>
        <v/>
      </c>
      <c r="K1232" s="14">
        <f t="shared" si="118"/>
        <v>2733</v>
      </c>
      <c r="L1232" s="4" t="str">
        <f>IFERROR(INDEX('LEV R&amp;D'!$D:$D,MATCH(MEDIÇÃO!K1232,'LEV R&amp;D'!$A:$A,0))-INDEX('PROJETO PERFURAÇÃO'!$AH:$AH,MATCH(MEDIÇÃO!K1232,'PROJETO PERFURAÇÃO'!$B:$B,0)),"")</f>
        <v/>
      </c>
      <c r="M1232" s="8" t="str">
        <f>IFERROR(INDEX('PROJETO PERFURAÇÃO'!$AN:$AN,MATCH(MEDIÇÃO!K1232,'PROJETO PERFURAÇÃO'!$B:$B,0)),"")</f>
        <v/>
      </c>
      <c r="N1232" s="3"/>
      <c r="O1232" s="3"/>
      <c r="P1232" s="3" t="str">
        <f>IFERROR(ROUND(INDEX('PROJETO PERFURAÇÃO'!$AB:$AB,MATCH(MEDIÇÃO!R1232,'PROJETO PERFURAÇÃO'!$B:$B,0)),1)&amp;"''","")</f>
        <v/>
      </c>
      <c r="Q1232" s="3" t="str">
        <f>IFERROR(IF(INDEX('PROJETO PERFURAÇÃO'!$P:$P,MATCH(MEDIÇÃO!R1232,'PROJETO PERFURAÇÃO'!$B:$B,0))="Production","P",IF(INDEX('PROJETO PERFURAÇÃO'!$P:$P,MATCH(MEDIÇÃO!R1232,'PROJETO PERFURAÇÃO'!$B:$B,0))="Buffer","B",IF(INDEX('PROJETO PERFURAÇÃO'!$P:$P,MATCH(MEDIÇÃO!R1232,'PROJETO PERFURAÇÃO'!$B:$B,0))="Pre-Splitting","S"))),"")</f>
        <v/>
      </c>
      <c r="R1232" s="14">
        <f t="shared" si="119"/>
        <v>2756</v>
      </c>
      <c r="S1232" s="4" t="str">
        <f>IFERROR(INDEX('LEV R&amp;D'!$D:$D,MATCH(MEDIÇÃO!R1232,'LEV R&amp;D'!$A:$A,0))-INDEX('PROJETO PERFURAÇÃO'!$AH:$AH,MATCH(MEDIÇÃO!R1232,'PROJETO PERFURAÇÃO'!$B:$B,0)),"")</f>
        <v/>
      </c>
      <c r="T1232" s="8" t="str">
        <f>IFERROR(INDEX('PROJETO PERFURAÇÃO'!$AN:$AN,MATCH(MEDIÇÃO!R1232,'PROJETO PERFURAÇÃO'!$B:$B,0)),"")</f>
        <v/>
      </c>
      <c r="U1232" s="3"/>
      <c r="V1232" s="3"/>
    </row>
    <row r="1233" spans="1:23" ht="45" customHeight="1" x14ac:dyDescent="0.25">
      <c r="B1233" s="3" t="str">
        <f>IFERROR(ROUND(INDEX('PROJETO PERFURAÇÃO'!$AB:$AB,MATCH(MEDIÇÃO!D1233,'PROJETO PERFURAÇÃO'!$B:$B,0)),1)&amp;"''","")</f>
        <v/>
      </c>
      <c r="C1233" s="3" t="str">
        <f>IFERROR(IF(INDEX('PROJETO PERFURAÇÃO'!$P:$P,MATCH(MEDIÇÃO!D1233,'PROJETO PERFURAÇÃO'!$B:$B,0))="Production","P",IF(INDEX('PROJETO PERFURAÇÃO'!$P:$P,MATCH(MEDIÇÃO!D1233,'PROJETO PERFURAÇÃO'!$B:$B,0))="Buffer","B",IF(INDEX('PROJETO PERFURAÇÃO'!$P:$P,MATCH(MEDIÇÃO!D1233,'PROJETO PERFURAÇÃO'!$B:$B,0))="Pre-Splitting","S"))),"")</f>
        <v/>
      </c>
      <c r="D1233" s="14">
        <f t="shared" si="117"/>
        <v>2711</v>
      </c>
      <c r="E1233" s="4" t="str">
        <f>IFERROR(INDEX('LEV R&amp;D'!$D:$D,MATCH(MEDIÇÃO!D1233,'LEV R&amp;D'!$A:$A,0))-INDEX('PROJETO PERFURAÇÃO'!$AH:$AH,MATCH(MEDIÇÃO!D1233,'PROJETO PERFURAÇÃO'!$B:$B,0)),"")</f>
        <v/>
      </c>
      <c r="F1233" s="8" t="str">
        <f>IFERROR(INDEX('PROJETO PERFURAÇÃO'!$AN:$AN,MATCH(MEDIÇÃO!D1233,'PROJETO PERFURAÇÃO'!$B:$B,0)),"")</f>
        <v/>
      </c>
      <c r="G1233" s="3"/>
      <c r="H1233" s="3"/>
      <c r="I1233" s="3" t="str">
        <f>IFERROR(ROUND(INDEX('PROJETO PERFURAÇÃO'!$AB:$AB,MATCH(MEDIÇÃO!K1233,'PROJETO PERFURAÇÃO'!$B:$B,0)),1)&amp;"''","")</f>
        <v/>
      </c>
      <c r="J1233" s="3" t="str">
        <f>IFERROR(IF(INDEX('PROJETO PERFURAÇÃO'!$P:$P,MATCH(MEDIÇÃO!K1233,'PROJETO PERFURAÇÃO'!$B:$B,0))="Production","P",IF(INDEX('PROJETO PERFURAÇÃO'!$P:$P,MATCH(MEDIÇÃO!K1233,'PROJETO PERFURAÇÃO'!$B:$B,0))="Buffer","B",IF(INDEX('PROJETO PERFURAÇÃO'!$P:$P,MATCH(MEDIÇÃO!K1233,'PROJETO PERFURAÇÃO'!$B:$B,0))="Pre-Splitting","S"))),"")</f>
        <v/>
      </c>
      <c r="K1233" s="14">
        <f t="shared" si="118"/>
        <v>2734</v>
      </c>
      <c r="L1233" s="4" t="str">
        <f>IFERROR(INDEX('LEV R&amp;D'!$D:$D,MATCH(MEDIÇÃO!K1233,'LEV R&amp;D'!$A:$A,0))-INDEX('PROJETO PERFURAÇÃO'!$AH:$AH,MATCH(MEDIÇÃO!K1233,'PROJETO PERFURAÇÃO'!$B:$B,0)),"")</f>
        <v/>
      </c>
      <c r="M1233" s="8" t="str">
        <f>IFERROR(INDEX('PROJETO PERFURAÇÃO'!$AN:$AN,MATCH(MEDIÇÃO!K1233,'PROJETO PERFURAÇÃO'!$B:$B,0)),"")</f>
        <v/>
      </c>
      <c r="N1233" s="3"/>
      <c r="O1233" s="3"/>
      <c r="P1233" s="3" t="str">
        <f>IFERROR(ROUND(INDEX('PROJETO PERFURAÇÃO'!$AB:$AB,MATCH(MEDIÇÃO!R1233,'PROJETO PERFURAÇÃO'!$B:$B,0)),1)&amp;"''","")</f>
        <v/>
      </c>
      <c r="Q1233" s="3" t="str">
        <f>IFERROR(IF(INDEX('PROJETO PERFURAÇÃO'!$P:$P,MATCH(MEDIÇÃO!R1233,'PROJETO PERFURAÇÃO'!$B:$B,0))="Production","P",IF(INDEX('PROJETO PERFURAÇÃO'!$P:$P,MATCH(MEDIÇÃO!R1233,'PROJETO PERFURAÇÃO'!$B:$B,0))="Buffer","B",IF(INDEX('PROJETO PERFURAÇÃO'!$P:$P,MATCH(MEDIÇÃO!R1233,'PROJETO PERFURAÇÃO'!$B:$B,0))="Pre-Splitting","S"))),"")</f>
        <v/>
      </c>
      <c r="R1233" s="14">
        <f t="shared" si="119"/>
        <v>2757</v>
      </c>
      <c r="S1233" s="4" t="str">
        <f>IFERROR(INDEX('LEV R&amp;D'!$D:$D,MATCH(MEDIÇÃO!R1233,'LEV R&amp;D'!$A:$A,0))-INDEX('PROJETO PERFURAÇÃO'!$AH:$AH,MATCH(MEDIÇÃO!R1233,'PROJETO PERFURAÇÃO'!$B:$B,0)),"")</f>
        <v/>
      </c>
      <c r="T1233" s="8" t="str">
        <f>IFERROR(INDEX('PROJETO PERFURAÇÃO'!$AN:$AN,MATCH(MEDIÇÃO!R1233,'PROJETO PERFURAÇÃO'!$B:$B,0)),"")</f>
        <v/>
      </c>
      <c r="U1233" s="3"/>
      <c r="V1233" s="3"/>
    </row>
    <row r="1234" spans="1:23" ht="45" customHeight="1" x14ac:dyDescent="0.25">
      <c r="B1234" s="3" t="str">
        <f>IFERROR(ROUND(INDEX('PROJETO PERFURAÇÃO'!$AB:$AB,MATCH(MEDIÇÃO!D1234,'PROJETO PERFURAÇÃO'!$B:$B,0)),1)&amp;"''","")</f>
        <v/>
      </c>
      <c r="C1234" s="3" t="str">
        <f>IFERROR(IF(INDEX('PROJETO PERFURAÇÃO'!$P:$P,MATCH(MEDIÇÃO!D1234,'PROJETO PERFURAÇÃO'!$B:$B,0))="Production","P",IF(INDEX('PROJETO PERFURAÇÃO'!$P:$P,MATCH(MEDIÇÃO!D1234,'PROJETO PERFURAÇÃO'!$B:$B,0))="Buffer","B",IF(INDEX('PROJETO PERFURAÇÃO'!$P:$P,MATCH(MEDIÇÃO!D1234,'PROJETO PERFURAÇÃO'!$B:$B,0))="Pre-Splitting","S"))),"")</f>
        <v/>
      </c>
      <c r="D1234" s="14">
        <f t="shared" si="117"/>
        <v>2712</v>
      </c>
      <c r="E1234" s="4" t="str">
        <f>IFERROR(INDEX('LEV R&amp;D'!$D:$D,MATCH(MEDIÇÃO!D1234,'LEV R&amp;D'!$A:$A,0))-INDEX('PROJETO PERFURAÇÃO'!$AH:$AH,MATCH(MEDIÇÃO!D1234,'PROJETO PERFURAÇÃO'!$B:$B,0)),"")</f>
        <v/>
      </c>
      <c r="F1234" s="8" t="str">
        <f>IFERROR(INDEX('PROJETO PERFURAÇÃO'!$AN:$AN,MATCH(MEDIÇÃO!D1234,'PROJETO PERFURAÇÃO'!$B:$B,0)),"")</f>
        <v/>
      </c>
      <c r="G1234" s="3"/>
      <c r="H1234" s="3"/>
      <c r="I1234" s="3" t="str">
        <f>IFERROR(ROUND(INDEX('PROJETO PERFURAÇÃO'!$AB:$AB,MATCH(MEDIÇÃO!K1234,'PROJETO PERFURAÇÃO'!$B:$B,0)),1)&amp;"''","")</f>
        <v/>
      </c>
      <c r="J1234" s="3" t="str">
        <f>IFERROR(IF(INDEX('PROJETO PERFURAÇÃO'!$P:$P,MATCH(MEDIÇÃO!K1234,'PROJETO PERFURAÇÃO'!$B:$B,0))="Production","P",IF(INDEX('PROJETO PERFURAÇÃO'!$P:$P,MATCH(MEDIÇÃO!K1234,'PROJETO PERFURAÇÃO'!$B:$B,0))="Buffer","B",IF(INDEX('PROJETO PERFURAÇÃO'!$P:$P,MATCH(MEDIÇÃO!K1234,'PROJETO PERFURAÇÃO'!$B:$B,0))="Pre-Splitting","S"))),"")</f>
        <v/>
      </c>
      <c r="K1234" s="14">
        <f t="shared" si="118"/>
        <v>2735</v>
      </c>
      <c r="L1234" s="4" t="str">
        <f>IFERROR(INDEX('LEV R&amp;D'!$D:$D,MATCH(MEDIÇÃO!K1234,'LEV R&amp;D'!$A:$A,0))-INDEX('PROJETO PERFURAÇÃO'!$AH:$AH,MATCH(MEDIÇÃO!K1234,'PROJETO PERFURAÇÃO'!$B:$B,0)),"")</f>
        <v/>
      </c>
      <c r="M1234" s="8" t="str">
        <f>IFERROR(INDEX('PROJETO PERFURAÇÃO'!$AN:$AN,MATCH(MEDIÇÃO!K1234,'PROJETO PERFURAÇÃO'!$B:$B,0)),"")</f>
        <v/>
      </c>
      <c r="N1234" s="3"/>
      <c r="O1234" s="3"/>
      <c r="P1234" s="3" t="str">
        <f>IFERROR(ROUND(INDEX('PROJETO PERFURAÇÃO'!$AB:$AB,MATCH(MEDIÇÃO!R1234,'PROJETO PERFURAÇÃO'!$B:$B,0)),1)&amp;"''","")</f>
        <v/>
      </c>
      <c r="Q1234" s="3" t="str">
        <f>IFERROR(IF(INDEX('PROJETO PERFURAÇÃO'!$P:$P,MATCH(MEDIÇÃO!R1234,'PROJETO PERFURAÇÃO'!$B:$B,0))="Production","P",IF(INDEX('PROJETO PERFURAÇÃO'!$P:$P,MATCH(MEDIÇÃO!R1234,'PROJETO PERFURAÇÃO'!$B:$B,0))="Buffer","B",IF(INDEX('PROJETO PERFURAÇÃO'!$P:$P,MATCH(MEDIÇÃO!R1234,'PROJETO PERFURAÇÃO'!$B:$B,0))="Pre-Splitting","S"))),"")</f>
        <v/>
      </c>
      <c r="R1234" s="14">
        <f t="shared" si="119"/>
        <v>2758</v>
      </c>
      <c r="S1234" s="4" t="str">
        <f>IFERROR(INDEX('LEV R&amp;D'!$D:$D,MATCH(MEDIÇÃO!R1234,'LEV R&amp;D'!$A:$A,0))-INDEX('PROJETO PERFURAÇÃO'!$AH:$AH,MATCH(MEDIÇÃO!R1234,'PROJETO PERFURAÇÃO'!$B:$B,0)),"")</f>
        <v/>
      </c>
      <c r="T1234" s="8" t="str">
        <f>IFERROR(INDEX('PROJETO PERFURAÇÃO'!$AN:$AN,MATCH(MEDIÇÃO!R1234,'PROJETO PERFURAÇÃO'!$B:$B,0)),"")</f>
        <v/>
      </c>
      <c r="U1234" s="3"/>
      <c r="V1234" s="3"/>
    </row>
    <row r="1235" spans="1:23" ht="45" customHeight="1" x14ac:dyDescent="0.25">
      <c r="B1235" s="3" t="str">
        <f>IFERROR(ROUND(INDEX('PROJETO PERFURAÇÃO'!$AB:$AB,MATCH(MEDIÇÃO!D1235,'PROJETO PERFURAÇÃO'!$B:$B,0)),1)&amp;"''","")</f>
        <v/>
      </c>
      <c r="C1235" s="3" t="str">
        <f>IFERROR(IF(INDEX('PROJETO PERFURAÇÃO'!$P:$P,MATCH(MEDIÇÃO!D1235,'PROJETO PERFURAÇÃO'!$B:$B,0))="Production","P",IF(INDEX('PROJETO PERFURAÇÃO'!$P:$P,MATCH(MEDIÇÃO!D1235,'PROJETO PERFURAÇÃO'!$B:$B,0))="Buffer","B",IF(INDEX('PROJETO PERFURAÇÃO'!$P:$P,MATCH(MEDIÇÃO!D1235,'PROJETO PERFURAÇÃO'!$B:$B,0))="Pre-Splitting","S"))),"")</f>
        <v/>
      </c>
      <c r="D1235" s="14">
        <f t="shared" si="117"/>
        <v>2713</v>
      </c>
      <c r="E1235" s="4" t="str">
        <f>IFERROR(INDEX('LEV R&amp;D'!$D:$D,MATCH(MEDIÇÃO!D1235,'LEV R&amp;D'!$A:$A,0))-INDEX('PROJETO PERFURAÇÃO'!$AH:$AH,MATCH(MEDIÇÃO!D1235,'PROJETO PERFURAÇÃO'!$B:$B,0)),"")</f>
        <v/>
      </c>
      <c r="F1235" s="8" t="str">
        <f>IFERROR(INDEX('PROJETO PERFURAÇÃO'!$AN:$AN,MATCH(MEDIÇÃO!D1235,'PROJETO PERFURAÇÃO'!$B:$B,0)),"")</f>
        <v/>
      </c>
      <c r="G1235" s="3"/>
      <c r="H1235" s="3"/>
      <c r="I1235" s="3" t="str">
        <f>IFERROR(ROUND(INDEX('PROJETO PERFURAÇÃO'!$AB:$AB,MATCH(MEDIÇÃO!K1235,'PROJETO PERFURAÇÃO'!$B:$B,0)),1)&amp;"''","")</f>
        <v/>
      </c>
      <c r="J1235" s="3" t="str">
        <f>IFERROR(IF(INDEX('PROJETO PERFURAÇÃO'!$P:$P,MATCH(MEDIÇÃO!K1235,'PROJETO PERFURAÇÃO'!$B:$B,0))="Production","P",IF(INDEX('PROJETO PERFURAÇÃO'!$P:$P,MATCH(MEDIÇÃO!K1235,'PROJETO PERFURAÇÃO'!$B:$B,0))="Buffer","B",IF(INDEX('PROJETO PERFURAÇÃO'!$P:$P,MATCH(MEDIÇÃO!K1235,'PROJETO PERFURAÇÃO'!$B:$B,0))="Pre-Splitting","S"))),"")</f>
        <v/>
      </c>
      <c r="K1235" s="14">
        <f t="shared" si="118"/>
        <v>2736</v>
      </c>
      <c r="L1235" s="4" t="str">
        <f>IFERROR(INDEX('LEV R&amp;D'!$D:$D,MATCH(MEDIÇÃO!K1235,'LEV R&amp;D'!$A:$A,0))-INDEX('PROJETO PERFURAÇÃO'!$AH:$AH,MATCH(MEDIÇÃO!K1235,'PROJETO PERFURAÇÃO'!$B:$B,0)),"")</f>
        <v/>
      </c>
      <c r="M1235" s="8" t="str">
        <f>IFERROR(INDEX('PROJETO PERFURAÇÃO'!$AN:$AN,MATCH(MEDIÇÃO!K1235,'PROJETO PERFURAÇÃO'!$B:$B,0)),"")</f>
        <v/>
      </c>
      <c r="N1235" s="3"/>
      <c r="O1235" s="3"/>
      <c r="P1235" s="3" t="str">
        <f>IFERROR(ROUND(INDEX('PROJETO PERFURAÇÃO'!$AB:$AB,MATCH(MEDIÇÃO!R1235,'PROJETO PERFURAÇÃO'!$B:$B,0)),1)&amp;"''","")</f>
        <v/>
      </c>
      <c r="Q1235" s="3" t="str">
        <f>IFERROR(IF(INDEX('PROJETO PERFURAÇÃO'!$P:$P,MATCH(MEDIÇÃO!R1235,'PROJETO PERFURAÇÃO'!$B:$B,0))="Production","P",IF(INDEX('PROJETO PERFURAÇÃO'!$P:$P,MATCH(MEDIÇÃO!R1235,'PROJETO PERFURAÇÃO'!$B:$B,0))="Buffer","B",IF(INDEX('PROJETO PERFURAÇÃO'!$P:$P,MATCH(MEDIÇÃO!R1235,'PROJETO PERFURAÇÃO'!$B:$B,0))="Pre-Splitting","S"))),"")</f>
        <v/>
      </c>
      <c r="R1235" s="14">
        <f t="shared" si="119"/>
        <v>2759</v>
      </c>
      <c r="S1235" s="4" t="str">
        <f>IFERROR(INDEX('LEV R&amp;D'!$D:$D,MATCH(MEDIÇÃO!R1235,'LEV R&amp;D'!$A:$A,0))-INDEX('PROJETO PERFURAÇÃO'!$AH:$AH,MATCH(MEDIÇÃO!R1235,'PROJETO PERFURAÇÃO'!$B:$B,0)),"")</f>
        <v/>
      </c>
      <c r="T1235" s="8" t="str">
        <f>IFERROR(INDEX('PROJETO PERFURAÇÃO'!$AN:$AN,MATCH(MEDIÇÃO!R1235,'PROJETO PERFURAÇÃO'!$B:$B,0)),"")</f>
        <v/>
      </c>
      <c r="U1235" s="3"/>
      <c r="V1235" s="3"/>
    </row>
    <row r="1236" spans="1:23" ht="45" customHeight="1" x14ac:dyDescent="0.25">
      <c r="B1236" s="3" t="str">
        <f>IFERROR(ROUND(INDEX('PROJETO PERFURAÇÃO'!$AB:$AB,MATCH(MEDIÇÃO!D1236,'PROJETO PERFURAÇÃO'!$B:$B,0)),1)&amp;"''","")</f>
        <v/>
      </c>
      <c r="C1236" s="3" t="str">
        <f>IFERROR(IF(INDEX('PROJETO PERFURAÇÃO'!$P:$P,MATCH(MEDIÇÃO!D1236,'PROJETO PERFURAÇÃO'!$B:$B,0))="Production","P",IF(INDEX('PROJETO PERFURAÇÃO'!$P:$P,MATCH(MEDIÇÃO!D1236,'PROJETO PERFURAÇÃO'!$B:$B,0))="Buffer","B",IF(INDEX('PROJETO PERFURAÇÃO'!$P:$P,MATCH(MEDIÇÃO!D1236,'PROJETO PERFURAÇÃO'!$B:$B,0))="Pre-Splitting","S"))),"")</f>
        <v/>
      </c>
      <c r="D1236" s="14">
        <f t="shared" si="117"/>
        <v>2714</v>
      </c>
      <c r="E1236" s="4" t="str">
        <f>IFERROR(INDEX('LEV R&amp;D'!$D:$D,MATCH(MEDIÇÃO!D1236,'LEV R&amp;D'!$A:$A,0))-INDEX('PROJETO PERFURAÇÃO'!$AH:$AH,MATCH(MEDIÇÃO!D1236,'PROJETO PERFURAÇÃO'!$B:$B,0)),"")</f>
        <v/>
      </c>
      <c r="F1236" s="8" t="str">
        <f>IFERROR(INDEX('PROJETO PERFURAÇÃO'!$AN:$AN,MATCH(MEDIÇÃO!D1236,'PROJETO PERFURAÇÃO'!$B:$B,0)),"")</f>
        <v/>
      </c>
      <c r="G1236" s="3"/>
      <c r="H1236" s="3"/>
      <c r="I1236" s="3" t="str">
        <f>IFERROR(ROUND(INDEX('PROJETO PERFURAÇÃO'!$AB:$AB,MATCH(MEDIÇÃO!K1236,'PROJETO PERFURAÇÃO'!$B:$B,0)),1)&amp;"''","")</f>
        <v/>
      </c>
      <c r="J1236" s="3" t="str">
        <f>IFERROR(IF(INDEX('PROJETO PERFURAÇÃO'!$P:$P,MATCH(MEDIÇÃO!K1236,'PROJETO PERFURAÇÃO'!$B:$B,0))="Production","P",IF(INDEX('PROJETO PERFURAÇÃO'!$P:$P,MATCH(MEDIÇÃO!K1236,'PROJETO PERFURAÇÃO'!$B:$B,0))="Buffer","B",IF(INDEX('PROJETO PERFURAÇÃO'!$P:$P,MATCH(MEDIÇÃO!K1236,'PROJETO PERFURAÇÃO'!$B:$B,0))="Pre-Splitting","S"))),"")</f>
        <v/>
      </c>
      <c r="K1236" s="14">
        <f>K1235+1</f>
        <v>2737</v>
      </c>
      <c r="L1236" s="4" t="str">
        <f>IFERROR(INDEX('LEV R&amp;D'!$D:$D,MATCH(MEDIÇÃO!K1236,'LEV R&amp;D'!$A:$A,0))-INDEX('PROJETO PERFURAÇÃO'!$AH:$AH,MATCH(MEDIÇÃO!K1236,'PROJETO PERFURAÇÃO'!$B:$B,0)),"")</f>
        <v/>
      </c>
      <c r="M1236" s="8" t="str">
        <f>IFERROR(INDEX('PROJETO PERFURAÇÃO'!$AN:$AN,MATCH(MEDIÇÃO!K1236,'PROJETO PERFURAÇÃO'!$B:$B,0)),"")</f>
        <v/>
      </c>
      <c r="N1236" s="3"/>
      <c r="O1236" s="3"/>
      <c r="P1236" s="3" t="str">
        <f>IFERROR(ROUND(INDEX('PROJETO PERFURAÇÃO'!$AB:$AB,MATCH(MEDIÇÃO!R1236,'PROJETO PERFURAÇÃO'!$B:$B,0)),1)&amp;"''","")</f>
        <v/>
      </c>
      <c r="Q1236" s="3" t="str">
        <f>IFERROR(IF(INDEX('PROJETO PERFURAÇÃO'!$P:$P,MATCH(MEDIÇÃO!R1236,'PROJETO PERFURAÇÃO'!$B:$B,0))="Production","P",IF(INDEX('PROJETO PERFURAÇÃO'!$P:$P,MATCH(MEDIÇÃO!R1236,'PROJETO PERFURAÇÃO'!$B:$B,0))="Buffer","B",IF(INDEX('PROJETO PERFURAÇÃO'!$P:$P,MATCH(MEDIÇÃO!R1236,'PROJETO PERFURAÇÃO'!$B:$B,0))="Pre-Splitting","S"))),"")</f>
        <v/>
      </c>
      <c r="R1236" s="14">
        <f>R1235+1</f>
        <v>2760</v>
      </c>
      <c r="S1236" s="4" t="str">
        <f>IFERROR(INDEX('LEV R&amp;D'!$D:$D,MATCH(MEDIÇÃO!R1236,'LEV R&amp;D'!$A:$A,0))-INDEX('PROJETO PERFURAÇÃO'!$AH:$AH,MATCH(MEDIÇÃO!R1236,'PROJETO PERFURAÇÃO'!$B:$B,0)),"")</f>
        <v/>
      </c>
      <c r="T1236" s="8" t="str">
        <f>IFERROR(INDEX('PROJETO PERFURAÇÃO'!$AN:$AN,MATCH(MEDIÇÃO!R1236,'PROJETO PERFURAÇÃO'!$B:$B,0)),"")</f>
        <v/>
      </c>
      <c r="U1236" s="3"/>
      <c r="V1236" s="3"/>
    </row>
    <row r="1237" spans="1:23" ht="30" customHeight="1" x14ac:dyDescent="0.25">
      <c r="B1237" s="1"/>
      <c r="C1237" s="1"/>
      <c r="D1237" s="15"/>
      <c r="E1237" s="2"/>
      <c r="F1237" s="16"/>
      <c r="G1237" s="1"/>
      <c r="H1237" s="1"/>
      <c r="I1237" s="1"/>
      <c r="J1237" s="1"/>
      <c r="K1237" s="15"/>
      <c r="L1237" s="2"/>
      <c r="M1237" s="16"/>
      <c r="N1237" s="1"/>
      <c r="O1237" s="1"/>
      <c r="P1237" s="1"/>
      <c r="Q1237" s="1"/>
      <c r="R1237" s="15"/>
      <c r="S1237" s="2"/>
      <c r="T1237" s="16"/>
      <c r="U1237" s="1"/>
      <c r="V1237" s="1"/>
    </row>
    <row r="1238" spans="1:23" ht="30" customHeight="1" x14ac:dyDescent="0.25">
      <c r="C1238" s="20"/>
      <c r="D1238" s="20"/>
      <c r="E1238" s="20"/>
      <c r="F1238" s="20"/>
      <c r="G1238" s="20"/>
      <c r="H1238" s="20"/>
      <c r="I1238" s="20"/>
      <c r="J1238" s="20"/>
      <c r="K1238" s="20"/>
      <c r="M1238" s="20"/>
      <c r="N1238" s="20"/>
      <c r="O1238" s="20"/>
      <c r="P1238" s="20"/>
      <c r="Q1238" s="20"/>
      <c r="R1238" s="20"/>
      <c r="S1238" s="20"/>
      <c r="T1238" s="20"/>
      <c r="U1238" s="20"/>
    </row>
    <row r="1239" spans="1:23" ht="30" customHeight="1" x14ac:dyDescent="0.25">
      <c r="C1239" s="21" t="s">
        <v>40</v>
      </c>
      <c r="D1239" s="21"/>
      <c r="E1239" s="21"/>
      <c r="F1239" s="21"/>
      <c r="G1239" s="21"/>
      <c r="H1239" s="21"/>
      <c r="I1239" s="21"/>
      <c r="J1239" s="21"/>
      <c r="K1239" s="21"/>
      <c r="L1239" s="9"/>
      <c r="M1239" s="21" t="s">
        <v>40</v>
      </c>
      <c r="N1239" s="21"/>
      <c r="O1239" s="21"/>
      <c r="P1239" s="21"/>
      <c r="Q1239" s="21"/>
      <c r="R1239" s="21"/>
      <c r="S1239" s="21"/>
      <c r="T1239" s="21"/>
      <c r="U1239" s="21"/>
      <c r="V1239" s="9"/>
    </row>
    <row r="1240" spans="1:23" ht="30" customHeight="1" x14ac:dyDescent="0.25">
      <c r="D1240" s="9"/>
      <c r="E1240" s="9"/>
      <c r="F1240" s="9"/>
      <c r="G1240" s="9"/>
      <c r="H1240" s="9"/>
      <c r="I1240" s="9"/>
      <c r="J1240" s="9"/>
      <c r="K1240" s="9"/>
      <c r="L1240" s="9"/>
      <c r="M1240" s="9"/>
      <c r="N1240" s="9"/>
      <c r="Q1240" s="9"/>
      <c r="R1240" s="9"/>
      <c r="S1240" s="9"/>
      <c r="T1240" s="9"/>
      <c r="U1240" s="9"/>
      <c r="V1240" s="9"/>
    </row>
    <row r="1241" spans="1:23" ht="30" customHeight="1" x14ac:dyDescent="0.25">
      <c r="B1241" s="19" t="str">
        <f>'PROJETO PERFURAÇÃO'!$C$2&amp;" - "&amp;'PROJETO PERFURAÇÃO'!$H$2</f>
        <v>LIB065 - PP0651026</v>
      </c>
      <c r="C1241" s="19"/>
      <c r="D1241" s="19"/>
      <c r="E1241" s="19"/>
      <c r="F1241" s="19"/>
      <c r="G1241" s="19"/>
      <c r="H1241" s="19"/>
      <c r="I1241" s="11" t="s">
        <v>34</v>
      </c>
      <c r="J1241" s="10" t="s">
        <v>37</v>
      </c>
    </row>
    <row r="1242" spans="1:23" ht="30" customHeight="1" x14ac:dyDescent="0.25">
      <c r="B1242" s="19"/>
      <c r="C1242" s="19"/>
      <c r="D1242" s="19"/>
      <c r="E1242" s="19"/>
      <c r="F1242" s="19"/>
      <c r="G1242" s="19"/>
      <c r="H1242" s="19"/>
      <c r="I1242" s="12" t="s">
        <v>35</v>
      </c>
      <c r="J1242" s="10" t="s">
        <v>38</v>
      </c>
      <c r="K1242" s="9"/>
      <c r="L1242" s="9"/>
      <c r="M1242" s="9"/>
      <c r="N1242" s="9"/>
      <c r="O1242" s="9"/>
      <c r="P1242" s="9"/>
      <c r="Q1242" s="9"/>
      <c r="R1242" s="9"/>
      <c r="S1242" s="9"/>
      <c r="T1242" s="9"/>
      <c r="U1242" s="9"/>
      <c r="V1242" s="9"/>
    </row>
    <row r="1243" spans="1:23" ht="30" customHeight="1" x14ac:dyDescent="0.25">
      <c r="B1243" s="19"/>
      <c r="C1243" s="19"/>
      <c r="D1243" s="19"/>
      <c r="E1243" s="19"/>
      <c r="F1243" s="19"/>
      <c r="G1243" s="19"/>
      <c r="H1243" s="19"/>
      <c r="I1243" s="13" t="s">
        <v>36</v>
      </c>
      <c r="J1243" s="10" t="s">
        <v>39</v>
      </c>
    </row>
    <row r="1244" spans="1:23" ht="30" customHeight="1" x14ac:dyDescent="0.25">
      <c r="A1244" s="1"/>
      <c r="B1244" s="6" t="s">
        <v>33</v>
      </c>
      <c r="C1244" s="6" t="s">
        <v>13</v>
      </c>
      <c r="D1244" s="7" t="s">
        <v>1</v>
      </c>
      <c r="E1244" s="7" t="s">
        <v>29</v>
      </c>
      <c r="F1244" s="7" t="s">
        <v>30</v>
      </c>
      <c r="G1244" s="7" t="s">
        <v>31</v>
      </c>
      <c r="H1244" s="7" t="s">
        <v>32</v>
      </c>
      <c r="I1244" s="6" t="s">
        <v>33</v>
      </c>
      <c r="J1244" s="6" t="s">
        <v>13</v>
      </c>
      <c r="K1244" s="7" t="s">
        <v>1</v>
      </c>
      <c r="L1244" s="7" t="s">
        <v>29</v>
      </c>
      <c r="M1244" s="7" t="s">
        <v>30</v>
      </c>
      <c r="N1244" s="7" t="s">
        <v>31</v>
      </c>
      <c r="O1244" s="7" t="s">
        <v>32</v>
      </c>
      <c r="P1244" s="6" t="s">
        <v>33</v>
      </c>
      <c r="Q1244" s="6" t="s">
        <v>13</v>
      </c>
      <c r="R1244" s="7" t="s">
        <v>1</v>
      </c>
      <c r="S1244" s="7" t="s">
        <v>29</v>
      </c>
      <c r="T1244" s="7" t="s">
        <v>30</v>
      </c>
      <c r="U1244" s="7" t="s">
        <v>31</v>
      </c>
      <c r="V1244" s="7" t="s">
        <v>32</v>
      </c>
      <c r="W1244" s="1"/>
    </row>
    <row r="1245" spans="1:23" ht="45" customHeight="1" x14ac:dyDescent="0.25">
      <c r="B1245" s="3" t="str">
        <f>IFERROR(ROUND(INDEX('PROJETO PERFURAÇÃO'!$AB:$AB,MATCH(MEDIÇÃO!D1245,'PROJETO PERFURAÇÃO'!$B:$B,0)),1)&amp;"''","")</f>
        <v/>
      </c>
      <c r="C1245" s="3" t="str">
        <f>IFERROR(IF(INDEX('PROJETO PERFURAÇÃO'!$P:$P,MATCH(MEDIÇÃO!D1245,'PROJETO PERFURAÇÃO'!$B:$B,0))="Production","P",IF(INDEX('PROJETO PERFURAÇÃO'!$P:$P,MATCH(MEDIÇÃO!D1245,'PROJETO PERFURAÇÃO'!$B:$B,0))="Buffer","B",IF(INDEX('PROJETO PERFURAÇÃO'!$P:$P,MATCH(MEDIÇÃO!D1245,'PROJETO PERFURAÇÃO'!$B:$B,0))="Pre-Splitting","S"))),"")</f>
        <v/>
      </c>
      <c r="D1245" s="14">
        <f>R1236+1</f>
        <v>2761</v>
      </c>
      <c r="E1245" s="4" t="str">
        <f>IFERROR(INDEX('LEV R&amp;D'!$D:$D,MATCH(MEDIÇÃO!D1245,'LEV R&amp;D'!$A:$A,0))-INDEX('PROJETO PERFURAÇÃO'!$AH:$AH,MATCH(MEDIÇÃO!D1245,'PROJETO PERFURAÇÃO'!$B:$B,0)),"")</f>
        <v/>
      </c>
      <c r="F1245" s="8" t="str">
        <f>IFERROR(INDEX('PROJETO PERFURAÇÃO'!$AN:$AN,MATCH(MEDIÇÃO!D1245,'PROJETO PERFURAÇÃO'!$B:$B,0)),"")</f>
        <v/>
      </c>
      <c r="G1245" s="3"/>
      <c r="H1245" s="3"/>
      <c r="I1245" s="3" t="str">
        <f>IFERROR(ROUND(INDEX('PROJETO PERFURAÇÃO'!$AB:$AB,MATCH(MEDIÇÃO!K1245,'PROJETO PERFURAÇÃO'!$B:$B,0)),1)&amp;"''","")</f>
        <v/>
      </c>
      <c r="J1245" s="3" t="str">
        <f>IFERROR(IF(INDEX('PROJETO PERFURAÇÃO'!$P:$P,MATCH(MEDIÇÃO!K1245,'PROJETO PERFURAÇÃO'!$B:$B,0))="Production","P",IF(INDEX('PROJETO PERFURAÇÃO'!$P:$P,MATCH(MEDIÇÃO!K1245,'PROJETO PERFURAÇÃO'!$B:$B,0))="Buffer","B",IF(INDEX('PROJETO PERFURAÇÃO'!$P:$P,MATCH(MEDIÇÃO!K1245,'PROJETO PERFURAÇÃO'!$B:$B,0))="Pre-Splitting","S"))),"")</f>
        <v/>
      </c>
      <c r="K1245" s="14">
        <f>D1267+1</f>
        <v>2784</v>
      </c>
      <c r="L1245" s="4" t="str">
        <f>IFERROR(INDEX('LEV R&amp;D'!$D:$D,MATCH(MEDIÇÃO!K1245,'LEV R&amp;D'!$A:$A,0))-INDEX('PROJETO PERFURAÇÃO'!$AH:$AH,MATCH(MEDIÇÃO!K1245,'PROJETO PERFURAÇÃO'!$B:$B,0)),"")</f>
        <v/>
      </c>
      <c r="M1245" s="8" t="str">
        <f>IFERROR(INDEX('PROJETO PERFURAÇÃO'!$AN:$AN,MATCH(MEDIÇÃO!K1245,'PROJETO PERFURAÇÃO'!$B:$B,0)),"")</f>
        <v/>
      </c>
      <c r="N1245" s="3"/>
      <c r="O1245" s="3"/>
      <c r="P1245" s="3" t="str">
        <f>IFERROR(ROUND(INDEX('PROJETO PERFURAÇÃO'!$AB:$AB,MATCH(MEDIÇÃO!R1245,'PROJETO PERFURAÇÃO'!$B:$B,0)),1)&amp;"''","")</f>
        <v/>
      </c>
      <c r="Q1245" s="3" t="str">
        <f>IFERROR(IF(INDEX('PROJETO PERFURAÇÃO'!$P:$P,MATCH(MEDIÇÃO!R1245,'PROJETO PERFURAÇÃO'!$B:$B,0))="Production","P",IF(INDEX('PROJETO PERFURAÇÃO'!$P:$P,MATCH(MEDIÇÃO!R1245,'PROJETO PERFURAÇÃO'!$B:$B,0))="Buffer","B",IF(INDEX('PROJETO PERFURAÇÃO'!$P:$P,MATCH(MEDIÇÃO!R1245,'PROJETO PERFURAÇÃO'!$B:$B,0))="Pre-Splitting","S"))),"")</f>
        <v/>
      </c>
      <c r="R1245" s="14">
        <f>K1267+1</f>
        <v>2807</v>
      </c>
      <c r="S1245" s="4" t="str">
        <f>IFERROR(INDEX('LEV R&amp;D'!$D:$D,MATCH(MEDIÇÃO!R1245,'LEV R&amp;D'!$A:$A,0))-INDEX('PROJETO PERFURAÇÃO'!$AH:$AH,MATCH(MEDIÇÃO!R1245,'PROJETO PERFURAÇÃO'!$B:$B,0)),"")</f>
        <v/>
      </c>
      <c r="T1245" s="8" t="str">
        <f>IFERROR(INDEX('PROJETO PERFURAÇÃO'!$AN:$AN,MATCH(MEDIÇÃO!R1245,'PROJETO PERFURAÇÃO'!$B:$B,0)),"")</f>
        <v/>
      </c>
      <c r="U1245" s="3"/>
      <c r="V1245" s="3"/>
    </row>
    <row r="1246" spans="1:23" ht="45" customHeight="1" x14ac:dyDescent="0.25">
      <c r="B1246" s="3" t="str">
        <f>IFERROR(ROUND(INDEX('PROJETO PERFURAÇÃO'!$AB:$AB,MATCH(MEDIÇÃO!D1246,'PROJETO PERFURAÇÃO'!$B:$B,0)),1)&amp;"''","")</f>
        <v/>
      </c>
      <c r="C1246" s="3" t="str">
        <f>IFERROR(IF(INDEX('PROJETO PERFURAÇÃO'!$P:$P,MATCH(MEDIÇÃO!D1246,'PROJETO PERFURAÇÃO'!$B:$B,0))="Production","P",IF(INDEX('PROJETO PERFURAÇÃO'!$P:$P,MATCH(MEDIÇÃO!D1246,'PROJETO PERFURAÇÃO'!$B:$B,0))="Buffer","B",IF(INDEX('PROJETO PERFURAÇÃO'!$P:$P,MATCH(MEDIÇÃO!D1246,'PROJETO PERFURAÇÃO'!$B:$B,0))="Pre-Splitting","S"))),"")</f>
        <v/>
      </c>
      <c r="D1246" s="14">
        <f>D1245+1</f>
        <v>2762</v>
      </c>
      <c r="E1246" s="4" t="str">
        <f>IFERROR(INDEX('LEV R&amp;D'!$D:$D,MATCH(MEDIÇÃO!D1246,'LEV R&amp;D'!$A:$A,0))-INDEX('PROJETO PERFURAÇÃO'!$AH:$AH,MATCH(MEDIÇÃO!D1246,'PROJETO PERFURAÇÃO'!$B:$B,0)),"")</f>
        <v/>
      </c>
      <c r="F1246" s="8" t="str">
        <f>IFERROR(INDEX('PROJETO PERFURAÇÃO'!$AN:$AN,MATCH(MEDIÇÃO!D1246,'PROJETO PERFURAÇÃO'!$B:$B,0)),"")</f>
        <v/>
      </c>
      <c r="G1246" s="3"/>
      <c r="H1246" s="3"/>
      <c r="I1246" s="3" t="str">
        <f>IFERROR(ROUND(INDEX('PROJETO PERFURAÇÃO'!$AB:$AB,MATCH(MEDIÇÃO!K1246,'PROJETO PERFURAÇÃO'!$B:$B,0)),1)&amp;"''","")</f>
        <v/>
      </c>
      <c r="J1246" s="3" t="str">
        <f>IFERROR(IF(INDEX('PROJETO PERFURAÇÃO'!$P:$P,MATCH(MEDIÇÃO!K1246,'PROJETO PERFURAÇÃO'!$B:$B,0))="Production","P",IF(INDEX('PROJETO PERFURAÇÃO'!$P:$P,MATCH(MEDIÇÃO!K1246,'PROJETO PERFURAÇÃO'!$B:$B,0))="Buffer","B",IF(INDEX('PROJETO PERFURAÇÃO'!$P:$P,MATCH(MEDIÇÃO!K1246,'PROJETO PERFURAÇÃO'!$B:$B,0))="Pre-Splitting","S"))),"")</f>
        <v/>
      </c>
      <c r="K1246" s="14">
        <f>K1245+1</f>
        <v>2785</v>
      </c>
      <c r="L1246" s="4" t="str">
        <f>IFERROR(INDEX('LEV R&amp;D'!$D:$D,MATCH(MEDIÇÃO!K1246,'LEV R&amp;D'!$A:$A,0))-INDEX('PROJETO PERFURAÇÃO'!$AH:$AH,MATCH(MEDIÇÃO!K1246,'PROJETO PERFURAÇÃO'!$B:$B,0)),"")</f>
        <v/>
      </c>
      <c r="M1246" s="8" t="str">
        <f>IFERROR(INDEX('PROJETO PERFURAÇÃO'!$AN:$AN,MATCH(MEDIÇÃO!K1246,'PROJETO PERFURAÇÃO'!$B:$B,0)),"")</f>
        <v/>
      </c>
      <c r="N1246" s="3"/>
      <c r="O1246" s="3"/>
      <c r="P1246" s="3" t="str">
        <f>IFERROR(ROUND(INDEX('PROJETO PERFURAÇÃO'!$AB:$AB,MATCH(MEDIÇÃO!R1246,'PROJETO PERFURAÇÃO'!$B:$B,0)),1)&amp;"''","")</f>
        <v/>
      </c>
      <c r="Q1246" s="3" t="str">
        <f>IFERROR(IF(INDEX('PROJETO PERFURAÇÃO'!$P:$P,MATCH(MEDIÇÃO!R1246,'PROJETO PERFURAÇÃO'!$B:$B,0))="Production","P",IF(INDEX('PROJETO PERFURAÇÃO'!$P:$P,MATCH(MEDIÇÃO!R1246,'PROJETO PERFURAÇÃO'!$B:$B,0))="Buffer","B",IF(INDEX('PROJETO PERFURAÇÃO'!$P:$P,MATCH(MEDIÇÃO!R1246,'PROJETO PERFURAÇÃO'!$B:$B,0))="Pre-Splitting","S"))),"")</f>
        <v/>
      </c>
      <c r="R1246" s="14">
        <f>R1245+1</f>
        <v>2808</v>
      </c>
      <c r="S1246" s="4" t="str">
        <f>IFERROR(INDEX('LEV R&amp;D'!$D:$D,MATCH(MEDIÇÃO!R1246,'LEV R&amp;D'!$A:$A,0))-INDEX('PROJETO PERFURAÇÃO'!$AH:$AH,MATCH(MEDIÇÃO!R1246,'PROJETO PERFURAÇÃO'!$B:$B,0)),"")</f>
        <v/>
      </c>
      <c r="T1246" s="8" t="str">
        <f>IFERROR(INDEX('PROJETO PERFURAÇÃO'!$AN:$AN,MATCH(MEDIÇÃO!R1246,'PROJETO PERFURAÇÃO'!$B:$B,0)),"")</f>
        <v/>
      </c>
      <c r="U1246" s="3"/>
      <c r="V1246" s="3"/>
    </row>
    <row r="1247" spans="1:23" ht="45" customHeight="1" x14ac:dyDescent="0.25">
      <c r="B1247" s="3" t="str">
        <f>IFERROR(ROUND(INDEX('PROJETO PERFURAÇÃO'!$AB:$AB,MATCH(MEDIÇÃO!D1247,'PROJETO PERFURAÇÃO'!$B:$B,0)),1)&amp;"''","")</f>
        <v/>
      </c>
      <c r="C1247" s="3" t="str">
        <f>IFERROR(IF(INDEX('PROJETO PERFURAÇÃO'!$P:$P,MATCH(MEDIÇÃO!D1247,'PROJETO PERFURAÇÃO'!$B:$B,0))="Production","P",IF(INDEX('PROJETO PERFURAÇÃO'!$P:$P,MATCH(MEDIÇÃO!D1247,'PROJETO PERFURAÇÃO'!$B:$B,0))="Buffer","B",IF(INDEX('PROJETO PERFURAÇÃO'!$P:$P,MATCH(MEDIÇÃO!D1247,'PROJETO PERFURAÇÃO'!$B:$B,0))="Pre-Splitting","S"))),"")</f>
        <v/>
      </c>
      <c r="D1247" s="14">
        <f t="shared" ref="D1247:D1267" si="120">D1246+1</f>
        <v>2763</v>
      </c>
      <c r="E1247" s="4" t="str">
        <f>IFERROR(INDEX('LEV R&amp;D'!$D:$D,MATCH(MEDIÇÃO!D1247,'LEV R&amp;D'!$A:$A,0))-INDEX('PROJETO PERFURAÇÃO'!$AH:$AH,MATCH(MEDIÇÃO!D1247,'PROJETO PERFURAÇÃO'!$B:$B,0)),"")</f>
        <v/>
      </c>
      <c r="F1247" s="8" t="str">
        <f>IFERROR(INDEX('PROJETO PERFURAÇÃO'!$AN:$AN,MATCH(MEDIÇÃO!D1247,'PROJETO PERFURAÇÃO'!$B:$B,0)),"")</f>
        <v/>
      </c>
      <c r="G1247" s="3"/>
      <c r="H1247" s="3"/>
      <c r="I1247" s="3" t="str">
        <f>IFERROR(ROUND(INDEX('PROJETO PERFURAÇÃO'!$AB:$AB,MATCH(MEDIÇÃO!K1247,'PROJETO PERFURAÇÃO'!$B:$B,0)),1)&amp;"''","")</f>
        <v/>
      </c>
      <c r="J1247" s="3" t="str">
        <f>IFERROR(IF(INDEX('PROJETO PERFURAÇÃO'!$P:$P,MATCH(MEDIÇÃO!K1247,'PROJETO PERFURAÇÃO'!$B:$B,0))="Production","P",IF(INDEX('PROJETO PERFURAÇÃO'!$P:$P,MATCH(MEDIÇÃO!K1247,'PROJETO PERFURAÇÃO'!$B:$B,0))="Buffer","B",IF(INDEX('PROJETO PERFURAÇÃO'!$P:$P,MATCH(MEDIÇÃO!K1247,'PROJETO PERFURAÇÃO'!$B:$B,0))="Pre-Splitting","S"))),"")</f>
        <v/>
      </c>
      <c r="K1247" s="14">
        <f t="shared" ref="K1247:K1266" si="121">K1246+1</f>
        <v>2786</v>
      </c>
      <c r="L1247" s="4" t="str">
        <f>IFERROR(INDEX('LEV R&amp;D'!$D:$D,MATCH(MEDIÇÃO!K1247,'LEV R&amp;D'!$A:$A,0))-INDEX('PROJETO PERFURAÇÃO'!$AH:$AH,MATCH(MEDIÇÃO!K1247,'PROJETO PERFURAÇÃO'!$B:$B,0)),"")</f>
        <v/>
      </c>
      <c r="M1247" s="8" t="str">
        <f>IFERROR(INDEX('PROJETO PERFURAÇÃO'!$AN:$AN,MATCH(MEDIÇÃO!K1247,'PROJETO PERFURAÇÃO'!$B:$B,0)),"")</f>
        <v/>
      </c>
      <c r="N1247" s="3"/>
      <c r="O1247" s="3"/>
      <c r="P1247" s="3" t="str">
        <f>IFERROR(ROUND(INDEX('PROJETO PERFURAÇÃO'!$AB:$AB,MATCH(MEDIÇÃO!R1247,'PROJETO PERFURAÇÃO'!$B:$B,0)),1)&amp;"''","")</f>
        <v/>
      </c>
      <c r="Q1247" s="3" t="str">
        <f>IFERROR(IF(INDEX('PROJETO PERFURAÇÃO'!$P:$P,MATCH(MEDIÇÃO!R1247,'PROJETO PERFURAÇÃO'!$B:$B,0))="Production","P",IF(INDEX('PROJETO PERFURAÇÃO'!$P:$P,MATCH(MEDIÇÃO!R1247,'PROJETO PERFURAÇÃO'!$B:$B,0))="Buffer","B",IF(INDEX('PROJETO PERFURAÇÃO'!$P:$P,MATCH(MEDIÇÃO!R1247,'PROJETO PERFURAÇÃO'!$B:$B,0))="Pre-Splitting","S"))),"")</f>
        <v/>
      </c>
      <c r="R1247" s="14">
        <f t="shared" ref="R1247:R1266" si="122">R1246+1</f>
        <v>2809</v>
      </c>
      <c r="S1247" s="4" t="str">
        <f>IFERROR(INDEX('LEV R&amp;D'!$D:$D,MATCH(MEDIÇÃO!R1247,'LEV R&amp;D'!$A:$A,0))-INDEX('PROJETO PERFURAÇÃO'!$AH:$AH,MATCH(MEDIÇÃO!R1247,'PROJETO PERFURAÇÃO'!$B:$B,0)),"")</f>
        <v/>
      </c>
      <c r="T1247" s="8" t="str">
        <f>IFERROR(INDEX('PROJETO PERFURAÇÃO'!$AN:$AN,MATCH(MEDIÇÃO!R1247,'PROJETO PERFURAÇÃO'!$B:$B,0)),"")</f>
        <v/>
      </c>
      <c r="U1247" s="3"/>
      <c r="V1247" s="3"/>
    </row>
    <row r="1248" spans="1:23" ht="45" customHeight="1" x14ac:dyDescent="0.25">
      <c r="B1248" s="3" t="str">
        <f>IFERROR(ROUND(INDEX('PROJETO PERFURAÇÃO'!$AB:$AB,MATCH(MEDIÇÃO!D1248,'PROJETO PERFURAÇÃO'!$B:$B,0)),1)&amp;"''","")</f>
        <v/>
      </c>
      <c r="C1248" s="3" t="str">
        <f>IFERROR(IF(INDEX('PROJETO PERFURAÇÃO'!$P:$P,MATCH(MEDIÇÃO!D1248,'PROJETO PERFURAÇÃO'!$B:$B,0))="Production","P",IF(INDEX('PROJETO PERFURAÇÃO'!$P:$P,MATCH(MEDIÇÃO!D1248,'PROJETO PERFURAÇÃO'!$B:$B,0))="Buffer","B",IF(INDEX('PROJETO PERFURAÇÃO'!$P:$P,MATCH(MEDIÇÃO!D1248,'PROJETO PERFURAÇÃO'!$B:$B,0))="Pre-Splitting","S"))),"")</f>
        <v/>
      </c>
      <c r="D1248" s="14">
        <f t="shared" si="120"/>
        <v>2764</v>
      </c>
      <c r="E1248" s="4" t="str">
        <f>IFERROR(INDEX('LEV R&amp;D'!$D:$D,MATCH(MEDIÇÃO!D1248,'LEV R&amp;D'!$A:$A,0))-INDEX('PROJETO PERFURAÇÃO'!$AH:$AH,MATCH(MEDIÇÃO!D1248,'PROJETO PERFURAÇÃO'!$B:$B,0)),"")</f>
        <v/>
      </c>
      <c r="F1248" s="8" t="str">
        <f>IFERROR(INDEX('PROJETO PERFURAÇÃO'!$AN:$AN,MATCH(MEDIÇÃO!D1248,'PROJETO PERFURAÇÃO'!$B:$B,0)),"")</f>
        <v/>
      </c>
      <c r="G1248" s="3"/>
      <c r="H1248" s="3"/>
      <c r="I1248" s="3" t="str">
        <f>IFERROR(ROUND(INDEX('PROJETO PERFURAÇÃO'!$AB:$AB,MATCH(MEDIÇÃO!K1248,'PROJETO PERFURAÇÃO'!$B:$B,0)),1)&amp;"''","")</f>
        <v/>
      </c>
      <c r="J1248" s="3" t="str">
        <f>IFERROR(IF(INDEX('PROJETO PERFURAÇÃO'!$P:$P,MATCH(MEDIÇÃO!K1248,'PROJETO PERFURAÇÃO'!$B:$B,0))="Production","P",IF(INDEX('PROJETO PERFURAÇÃO'!$P:$P,MATCH(MEDIÇÃO!K1248,'PROJETO PERFURAÇÃO'!$B:$B,0))="Buffer","B",IF(INDEX('PROJETO PERFURAÇÃO'!$P:$P,MATCH(MEDIÇÃO!K1248,'PROJETO PERFURAÇÃO'!$B:$B,0))="Pre-Splitting","S"))),"")</f>
        <v/>
      </c>
      <c r="K1248" s="14">
        <f t="shared" si="121"/>
        <v>2787</v>
      </c>
      <c r="L1248" s="4" t="str">
        <f>IFERROR(INDEX('LEV R&amp;D'!$D:$D,MATCH(MEDIÇÃO!K1248,'LEV R&amp;D'!$A:$A,0))-INDEX('PROJETO PERFURAÇÃO'!$AH:$AH,MATCH(MEDIÇÃO!K1248,'PROJETO PERFURAÇÃO'!$B:$B,0)),"")</f>
        <v/>
      </c>
      <c r="M1248" s="8" t="str">
        <f>IFERROR(INDEX('PROJETO PERFURAÇÃO'!$AN:$AN,MATCH(MEDIÇÃO!K1248,'PROJETO PERFURAÇÃO'!$B:$B,0)),"")</f>
        <v/>
      </c>
      <c r="N1248" s="3"/>
      <c r="O1248" s="3"/>
      <c r="P1248" s="3" t="str">
        <f>IFERROR(ROUND(INDEX('PROJETO PERFURAÇÃO'!$AB:$AB,MATCH(MEDIÇÃO!R1248,'PROJETO PERFURAÇÃO'!$B:$B,0)),1)&amp;"''","")</f>
        <v/>
      </c>
      <c r="Q1248" s="3" t="str">
        <f>IFERROR(IF(INDEX('PROJETO PERFURAÇÃO'!$P:$P,MATCH(MEDIÇÃO!R1248,'PROJETO PERFURAÇÃO'!$B:$B,0))="Production","P",IF(INDEX('PROJETO PERFURAÇÃO'!$P:$P,MATCH(MEDIÇÃO!R1248,'PROJETO PERFURAÇÃO'!$B:$B,0))="Buffer","B",IF(INDEX('PROJETO PERFURAÇÃO'!$P:$P,MATCH(MEDIÇÃO!R1248,'PROJETO PERFURAÇÃO'!$B:$B,0))="Pre-Splitting","S"))),"")</f>
        <v/>
      </c>
      <c r="R1248" s="14">
        <f t="shared" si="122"/>
        <v>2810</v>
      </c>
      <c r="S1248" s="4" t="str">
        <f>IFERROR(INDEX('LEV R&amp;D'!$D:$D,MATCH(MEDIÇÃO!R1248,'LEV R&amp;D'!$A:$A,0))-INDEX('PROJETO PERFURAÇÃO'!$AH:$AH,MATCH(MEDIÇÃO!R1248,'PROJETO PERFURAÇÃO'!$B:$B,0)),"")</f>
        <v/>
      </c>
      <c r="T1248" s="8" t="str">
        <f>IFERROR(INDEX('PROJETO PERFURAÇÃO'!$AN:$AN,MATCH(MEDIÇÃO!R1248,'PROJETO PERFURAÇÃO'!$B:$B,0)),"")</f>
        <v/>
      </c>
      <c r="U1248" s="3"/>
      <c r="V1248" s="3"/>
    </row>
    <row r="1249" spans="2:22" ht="45" customHeight="1" x14ac:dyDescent="0.25">
      <c r="B1249" s="3" t="str">
        <f>IFERROR(ROUND(INDEX('PROJETO PERFURAÇÃO'!$AB:$AB,MATCH(MEDIÇÃO!D1249,'PROJETO PERFURAÇÃO'!$B:$B,0)),1)&amp;"''","")</f>
        <v/>
      </c>
      <c r="C1249" s="3" t="str">
        <f>IFERROR(IF(INDEX('PROJETO PERFURAÇÃO'!$P:$P,MATCH(MEDIÇÃO!D1249,'PROJETO PERFURAÇÃO'!$B:$B,0))="Production","P",IF(INDEX('PROJETO PERFURAÇÃO'!$P:$P,MATCH(MEDIÇÃO!D1249,'PROJETO PERFURAÇÃO'!$B:$B,0))="Buffer","B",IF(INDEX('PROJETO PERFURAÇÃO'!$P:$P,MATCH(MEDIÇÃO!D1249,'PROJETO PERFURAÇÃO'!$B:$B,0))="Pre-Splitting","S"))),"")</f>
        <v/>
      </c>
      <c r="D1249" s="14">
        <f t="shared" si="120"/>
        <v>2765</v>
      </c>
      <c r="E1249" s="4" t="str">
        <f>IFERROR(INDEX('LEV R&amp;D'!$D:$D,MATCH(MEDIÇÃO!D1249,'LEV R&amp;D'!$A:$A,0))-INDEX('PROJETO PERFURAÇÃO'!$AH:$AH,MATCH(MEDIÇÃO!D1249,'PROJETO PERFURAÇÃO'!$B:$B,0)),"")</f>
        <v/>
      </c>
      <c r="F1249" s="8" t="str">
        <f>IFERROR(INDEX('PROJETO PERFURAÇÃO'!$AN:$AN,MATCH(MEDIÇÃO!D1249,'PROJETO PERFURAÇÃO'!$B:$B,0)),"")</f>
        <v/>
      </c>
      <c r="G1249" s="3"/>
      <c r="H1249" s="3"/>
      <c r="I1249" s="3" t="str">
        <f>IFERROR(ROUND(INDEX('PROJETO PERFURAÇÃO'!$AB:$AB,MATCH(MEDIÇÃO!K1249,'PROJETO PERFURAÇÃO'!$B:$B,0)),1)&amp;"''","")</f>
        <v/>
      </c>
      <c r="J1249" s="3" t="str">
        <f>IFERROR(IF(INDEX('PROJETO PERFURAÇÃO'!$P:$P,MATCH(MEDIÇÃO!K1249,'PROJETO PERFURAÇÃO'!$B:$B,0))="Production","P",IF(INDEX('PROJETO PERFURAÇÃO'!$P:$P,MATCH(MEDIÇÃO!K1249,'PROJETO PERFURAÇÃO'!$B:$B,0))="Buffer","B",IF(INDEX('PROJETO PERFURAÇÃO'!$P:$P,MATCH(MEDIÇÃO!K1249,'PROJETO PERFURAÇÃO'!$B:$B,0))="Pre-Splitting","S"))),"")</f>
        <v/>
      </c>
      <c r="K1249" s="14">
        <f t="shared" si="121"/>
        <v>2788</v>
      </c>
      <c r="L1249" s="4" t="str">
        <f>IFERROR(INDEX('LEV R&amp;D'!$D:$D,MATCH(MEDIÇÃO!K1249,'LEV R&amp;D'!$A:$A,0))-INDEX('PROJETO PERFURAÇÃO'!$AH:$AH,MATCH(MEDIÇÃO!K1249,'PROJETO PERFURAÇÃO'!$B:$B,0)),"")</f>
        <v/>
      </c>
      <c r="M1249" s="8" t="str">
        <f>IFERROR(INDEX('PROJETO PERFURAÇÃO'!$AN:$AN,MATCH(MEDIÇÃO!K1249,'PROJETO PERFURAÇÃO'!$B:$B,0)),"")</f>
        <v/>
      </c>
      <c r="N1249" s="3"/>
      <c r="O1249" s="3"/>
      <c r="P1249" s="3" t="str">
        <f>IFERROR(ROUND(INDEX('PROJETO PERFURAÇÃO'!$AB:$AB,MATCH(MEDIÇÃO!R1249,'PROJETO PERFURAÇÃO'!$B:$B,0)),1)&amp;"''","")</f>
        <v/>
      </c>
      <c r="Q1249" s="3" t="str">
        <f>IFERROR(IF(INDEX('PROJETO PERFURAÇÃO'!$P:$P,MATCH(MEDIÇÃO!R1249,'PROJETO PERFURAÇÃO'!$B:$B,0))="Production","P",IF(INDEX('PROJETO PERFURAÇÃO'!$P:$P,MATCH(MEDIÇÃO!R1249,'PROJETO PERFURAÇÃO'!$B:$B,0))="Buffer","B",IF(INDEX('PROJETO PERFURAÇÃO'!$P:$P,MATCH(MEDIÇÃO!R1249,'PROJETO PERFURAÇÃO'!$B:$B,0))="Pre-Splitting","S"))),"")</f>
        <v/>
      </c>
      <c r="R1249" s="14">
        <f t="shared" si="122"/>
        <v>2811</v>
      </c>
      <c r="S1249" s="4" t="str">
        <f>IFERROR(INDEX('LEV R&amp;D'!$D:$D,MATCH(MEDIÇÃO!R1249,'LEV R&amp;D'!$A:$A,0))-INDEX('PROJETO PERFURAÇÃO'!$AH:$AH,MATCH(MEDIÇÃO!R1249,'PROJETO PERFURAÇÃO'!$B:$B,0)),"")</f>
        <v/>
      </c>
      <c r="T1249" s="8" t="str">
        <f>IFERROR(INDEX('PROJETO PERFURAÇÃO'!$AN:$AN,MATCH(MEDIÇÃO!R1249,'PROJETO PERFURAÇÃO'!$B:$B,0)),"")</f>
        <v/>
      </c>
      <c r="U1249" s="3"/>
      <c r="V1249" s="3"/>
    </row>
    <row r="1250" spans="2:22" ht="45" customHeight="1" x14ac:dyDescent="0.25">
      <c r="B1250" s="3" t="str">
        <f>IFERROR(ROUND(INDEX('PROJETO PERFURAÇÃO'!$AB:$AB,MATCH(MEDIÇÃO!D1250,'PROJETO PERFURAÇÃO'!$B:$B,0)),1)&amp;"''","")</f>
        <v/>
      </c>
      <c r="C1250" s="3" t="str">
        <f>IFERROR(IF(INDEX('PROJETO PERFURAÇÃO'!$P:$P,MATCH(MEDIÇÃO!D1250,'PROJETO PERFURAÇÃO'!$B:$B,0))="Production","P",IF(INDEX('PROJETO PERFURAÇÃO'!$P:$P,MATCH(MEDIÇÃO!D1250,'PROJETO PERFURAÇÃO'!$B:$B,0))="Buffer","B",IF(INDEX('PROJETO PERFURAÇÃO'!$P:$P,MATCH(MEDIÇÃO!D1250,'PROJETO PERFURAÇÃO'!$B:$B,0))="Pre-Splitting","S"))),"")</f>
        <v/>
      </c>
      <c r="D1250" s="14">
        <f t="shared" si="120"/>
        <v>2766</v>
      </c>
      <c r="E1250" s="4" t="str">
        <f>IFERROR(INDEX('LEV R&amp;D'!$D:$D,MATCH(MEDIÇÃO!D1250,'LEV R&amp;D'!$A:$A,0))-INDEX('PROJETO PERFURAÇÃO'!$AH:$AH,MATCH(MEDIÇÃO!D1250,'PROJETO PERFURAÇÃO'!$B:$B,0)),"")</f>
        <v/>
      </c>
      <c r="F1250" s="8" t="str">
        <f>IFERROR(INDEX('PROJETO PERFURAÇÃO'!$AN:$AN,MATCH(MEDIÇÃO!D1250,'PROJETO PERFURAÇÃO'!$B:$B,0)),"")</f>
        <v/>
      </c>
      <c r="G1250" s="3"/>
      <c r="H1250" s="3"/>
      <c r="I1250" s="3" t="str">
        <f>IFERROR(ROUND(INDEX('PROJETO PERFURAÇÃO'!$AB:$AB,MATCH(MEDIÇÃO!K1250,'PROJETO PERFURAÇÃO'!$B:$B,0)),1)&amp;"''","")</f>
        <v/>
      </c>
      <c r="J1250" s="3" t="str">
        <f>IFERROR(IF(INDEX('PROJETO PERFURAÇÃO'!$P:$P,MATCH(MEDIÇÃO!K1250,'PROJETO PERFURAÇÃO'!$B:$B,0))="Production","P",IF(INDEX('PROJETO PERFURAÇÃO'!$P:$P,MATCH(MEDIÇÃO!K1250,'PROJETO PERFURAÇÃO'!$B:$B,0))="Buffer","B",IF(INDEX('PROJETO PERFURAÇÃO'!$P:$P,MATCH(MEDIÇÃO!K1250,'PROJETO PERFURAÇÃO'!$B:$B,0))="Pre-Splitting","S"))),"")</f>
        <v/>
      </c>
      <c r="K1250" s="14">
        <f t="shared" si="121"/>
        <v>2789</v>
      </c>
      <c r="L1250" s="4" t="str">
        <f>IFERROR(INDEX('LEV R&amp;D'!$D:$D,MATCH(MEDIÇÃO!K1250,'LEV R&amp;D'!$A:$A,0))-INDEX('PROJETO PERFURAÇÃO'!$AH:$AH,MATCH(MEDIÇÃO!K1250,'PROJETO PERFURAÇÃO'!$B:$B,0)),"")</f>
        <v/>
      </c>
      <c r="M1250" s="8" t="str">
        <f>IFERROR(INDEX('PROJETO PERFURAÇÃO'!$AN:$AN,MATCH(MEDIÇÃO!K1250,'PROJETO PERFURAÇÃO'!$B:$B,0)),"")</f>
        <v/>
      </c>
      <c r="N1250" s="3"/>
      <c r="O1250" s="3"/>
      <c r="P1250" s="3" t="str">
        <f>IFERROR(ROUND(INDEX('PROJETO PERFURAÇÃO'!$AB:$AB,MATCH(MEDIÇÃO!R1250,'PROJETO PERFURAÇÃO'!$B:$B,0)),1)&amp;"''","")</f>
        <v/>
      </c>
      <c r="Q1250" s="3" t="str">
        <f>IFERROR(IF(INDEX('PROJETO PERFURAÇÃO'!$P:$P,MATCH(MEDIÇÃO!R1250,'PROJETO PERFURAÇÃO'!$B:$B,0))="Production","P",IF(INDEX('PROJETO PERFURAÇÃO'!$P:$P,MATCH(MEDIÇÃO!R1250,'PROJETO PERFURAÇÃO'!$B:$B,0))="Buffer","B",IF(INDEX('PROJETO PERFURAÇÃO'!$P:$P,MATCH(MEDIÇÃO!R1250,'PROJETO PERFURAÇÃO'!$B:$B,0))="Pre-Splitting","S"))),"")</f>
        <v/>
      </c>
      <c r="R1250" s="14">
        <f t="shared" si="122"/>
        <v>2812</v>
      </c>
      <c r="S1250" s="4" t="str">
        <f>IFERROR(INDEX('LEV R&amp;D'!$D:$D,MATCH(MEDIÇÃO!R1250,'LEV R&amp;D'!$A:$A,0))-INDEX('PROJETO PERFURAÇÃO'!$AH:$AH,MATCH(MEDIÇÃO!R1250,'PROJETO PERFURAÇÃO'!$B:$B,0)),"")</f>
        <v/>
      </c>
      <c r="T1250" s="8" t="str">
        <f>IFERROR(INDEX('PROJETO PERFURAÇÃO'!$AN:$AN,MATCH(MEDIÇÃO!R1250,'PROJETO PERFURAÇÃO'!$B:$B,0)),"")</f>
        <v/>
      </c>
      <c r="U1250" s="3"/>
      <c r="V1250" s="3"/>
    </row>
    <row r="1251" spans="2:22" ht="45" customHeight="1" x14ac:dyDescent="0.25">
      <c r="B1251" s="3" t="str">
        <f>IFERROR(ROUND(INDEX('PROJETO PERFURAÇÃO'!$AB:$AB,MATCH(MEDIÇÃO!D1251,'PROJETO PERFURAÇÃO'!$B:$B,0)),1)&amp;"''","")</f>
        <v/>
      </c>
      <c r="C1251" s="3" t="str">
        <f>IFERROR(IF(INDEX('PROJETO PERFURAÇÃO'!$P:$P,MATCH(MEDIÇÃO!D1251,'PROJETO PERFURAÇÃO'!$B:$B,0))="Production","P",IF(INDEX('PROJETO PERFURAÇÃO'!$P:$P,MATCH(MEDIÇÃO!D1251,'PROJETO PERFURAÇÃO'!$B:$B,0))="Buffer","B",IF(INDEX('PROJETO PERFURAÇÃO'!$P:$P,MATCH(MEDIÇÃO!D1251,'PROJETO PERFURAÇÃO'!$B:$B,0))="Pre-Splitting","S"))),"")</f>
        <v/>
      </c>
      <c r="D1251" s="14">
        <f t="shared" si="120"/>
        <v>2767</v>
      </c>
      <c r="E1251" s="4" t="str">
        <f>IFERROR(INDEX('LEV R&amp;D'!$D:$D,MATCH(MEDIÇÃO!D1251,'LEV R&amp;D'!$A:$A,0))-INDEX('PROJETO PERFURAÇÃO'!$AH:$AH,MATCH(MEDIÇÃO!D1251,'PROJETO PERFURAÇÃO'!$B:$B,0)),"")</f>
        <v/>
      </c>
      <c r="F1251" s="8" t="str">
        <f>IFERROR(INDEX('PROJETO PERFURAÇÃO'!$AN:$AN,MATCH(MEDIÇÃO!D1251,'PROJETO PERFURAÇÃO'!$B:$B,0)),"")</f>
        <v/>
      </c>
      <c r="G1251" s="3"/>
      <c r="H1251" s="3"/>
      <c r="I1251" s="3" t="str">
        <f>IFERROR(ROUND(INDEX('PROJETO PERFURAÇÃO'!$AB:$AB,MATCH(MEDIÇÃO!K1251,'PROJETO PERFURAÇÃO'!$B:$B,0)),1)&amp;"''","")</f>
        <v/>
      </c>
      <c r="J1251" s="3" t="str">
        <f>IFERROR(IF(INDEX('PROJETO PERFURAÇÃO'!$P:$P,MATCH(MEDIÇÃO!K1251,'PROJETO PERFURAÇÃO'!$B:$B,0))="Production","P",IF(INDEX('PROJETO PERFURAÇÃO'!$P:$P,MATCH(MEDIÇÃO!K1251,'PROJETO PERFURAÇÃO'!$B:$B,0))="Buffer","B",IF(INDEX('PROJETO PERFURAÇÃO'!$P:$P,MATCH(MEDIÇÃO!K1251,'PROJETO PERFURAÇÃO'!$B:$B,0))="Pre-Splitting","S"))),"")</f>
        <v/>
      </c>
      <c r="K1251" s="14">
        <f t="shared" si="121"/>
        <v>2790</v>
      </c>
      <c r="L1251" s="4" t="str">
        <f>IFERROR(INDEX('LEV R&amp;D'!$D:$D,MATCH(MEDIÇÃO!K1251,'LEV R&amp;D'!$A:$A,0))-INDEX('PROJETO PERFURAÇÃO'!$AH:$AH,MATCH(MEDIÇÃO!K1251,'PROJETO PERFURAÇÃO'!$B:$B,0)),"")</f>
        <v/>
      </c>
      <c r="M1251" s="8" t="str">
        <f>IFERROR(INDEX('PROJETO PERFURAÇÃO'!$AN:$AN,MATCH(MEDIÇÃO!K1251,'PROJETO PERFURAÇÃO'!$B:$B,0)),"")</f>
        <v/>
      </c>
      <c r="N1251" s="3"/>
      <c r="O1251" s="3"/>
      <c r="P1251" s="3" t="str">
        <f>IFERROR(ROUND(INDEX('PROJETO PERFURAÇÃO'!$AB:$AB,MATCH(MEDIÇÃO!R1251,'PROJETO PERFURAÇÃO'!$B:$B,0)),1)&amp;"''","")</f>
        <v/>
      </c>
      <c r="Q1251" s="3" t="str">
        <f>IFERROR(IF(INDEX('PROJETO PERFURAÇÃO'!$P:$P,MATCH(MEDIÇÃO!R1251,'PROJETO PERFURAÇÃO'!$B:$B,0))="Production","P",IF(INDEX('PROJETO PERFURAÇÃO'!$P:$P,MATCH(MEDIÇÃO!R1251,'PROJETO PERFURAÇÃO'!$B:$B,0))="Buffer","B",IF(INDEX('PROJETO PERFURAÇÃO'!$P:$P,MATCH(MEDIÇÃO!R1251,'PROJETO PERFURAÇÃO'!$B:$B,0))="Pre-Splitting","S"))),"")</f>
        <v/>
      </c>
      <c r="R1251" s="14">
        <f t="shared" si="122"/>
        <v>2813</v>
      </c>
      <c r="S1251" s="4" t="str">
        <f>IFERROR(INDEX('LEV R&amp;D'!$D:$D,MATCH(MEDIÇÃO!R1251,'LEV R&amp;D'!$A:$A,0))-INDEX('PROJETO PERFURAÇÃO'!$AH:$AH,MATCH(MEDIÇÃO!R1251,'PROJETO PERFURAÇÃO'!$B:$B,0)),"")</f>
        <v/>
      </c>
      <c r="T1251" s="8" t="str">
        <f>IFERROR(INDEX('PROJETO PERFURAÇÃO'!$AN:$AN,MATCH(MEDIÇÃO!R1251,'PROJETO PERFURAÇÃO'!$B:$B,0)),"")</f>
        <v/>
      </c>
      <c r="U1251" s="3"/>
      <c r="V1251" s="3"/>
    </row>
    <row r="1252" spans="2:22" ht="45" customHeight="1" x14ac:dyDescent="0.25">
      <c r="B1252" s="3" t="str">
        <f>IFERROR(ROUND(INDEX('PROJETO PERFURAÇÃO'!$AB:$AB,MATCH(MEDIÇÃO!D1252,'PROJETO PERFURAÇÃO'!$B:$B,0)),1)&amp;"''","")</f>
        <v/>
      </c>
      <c r="C1252" s="3" t="str">
        <f>IFERROR(IF(INDEX('PROJETO PERFURAÇÃO'!$P:$P,MATCH(MEDIÇÃO!D1252,'PROJETO PERFURAÇÃO'!$B:$B,0))="Production","P",IF(INDEX('PROJETO PERFURAÇÃO'!$P:$P,MATCH(MEDIÇÃO!D1252,'PROJETO PERFURAÇÃO'!$B:$B,0))="Buffer","B",IF(INDEX('PROJETO PERFURAÇÃO'!$P:$P,MATCH(MEDIÇÃO!D1252,'PROJETO PERFURAÇÃO'!$B:$B,0))="Pre-Splitting","S"))),"")</f>
        <v/>
      </c>
      <c r="D1252" s="14">
        <f t="shared" si="120"/>
        <v>2768</v>
      </c>
      <c r="E1252" s="4" t="str">
        <f>IFERROR(INDEX('LEV R&amp;D'!$D:$D,MATCH(MEDIÇÃO!D1252,'LEV R&amp;D'!$A:$A,0))-INDEX('PROJETO PERFURAÇÃO'!$AH:$AH,MATCH(MEDIÇÃO!D1252,'PROJETO PERFURAÇÃO'!$B:$B,0)),"")</f>
        <v/>
      </c>
      <c r="F1252" s="8" t="str">
        <f>IFERROR(INDEX('PROJETO PERFURAÇÃO'!$AN:$AN,MATCH(MEDIÇÃO!D1252,'PROJETO PERFURAÇÃO'!$B:$B,0)),"")</f>
        <v/>
      </c>
      <c r="G1252" s="3"/>
      <c r="H1252" s="3"/>
      <c r="I1252" s="3" t="str">
        <f>IFERROR(ROUND(INDEX('PROJETO PERFURAÇÃO'!$AB:$AB,MATCH(MEDIÇÃO!K1252,'PROJETO PERFURAÇÃO'!$B:$B,0)),1)&amp;"''","")</f>
        <v/>
      </c>
      <c r="J1252" s="3" t="str">
        <f>IFERROR(IF(INDEX('PROJETO PERFURAÇÃO'!$P:$P,MATCH(MEDIÇÃO!K1252,'PROJETO PERFURAÇÃO'!$B:$B,0))="Production","P",IF(INDEX('PROJETO PERFURAÇÃO'!$P:$P,MATCH(MEDIÇÃO!K1252,'PROJETO PERFURAÇÃO'!$B:$B,0))="Buffer","B",IF(INDEX('PROJETO PERFURAÇÃO'!$P:$P,MATCH(MEDIÇÃO!K1252,'PROJETO PERFURAÇÃO'!$B:$B,0))="Pre-Splitting","S"))),"")</f>
        <v/>
      </c>
      <c r="K1252" s="14">
        <f t="shared" si="121"/>
        <v>2791</v>
      </c>
      <c r="L1252" s="4" t="str">
        <f>IFERROR(INDEX('LEV R&amp;D'!$D:$D,MATCH(MEDIÇÃO!K1252,'LEV R&amp;D'!$A:$A,0))-INDEX('PROJETO PERFURAÇÃO'!$AH:$AH,MATCH(MEDIÇÃO!K1252,'PROJETO PERFURAÇÃO'!$B:$B,0)),"")</f>
        <v/>
      </c>
      <c r="M1252" s="8" t="str">
        <f>IFERROR(INDEX('PROJETO PERFURAÇÃO'!$AN:$AN,MATCH(MEDIÇÃO!K1252,'PROJETO PERFURAÇÃO'!$B:$B,0)),"")</f>
        <v/>
      </c>
      <c r="N1252" s="3"/>
      <c r="O1252" s="3"/>
      <c r="P1252" s="3" t="str">
        <f>IFERROR(ROUND(INDEX('PROJETO PERFURAÇÃO'!$AB:$AB,MATCH(MEDIÇÃO!R1252,'PROJETO PERFURAÇÃO'!$B:$B,0)),1)&amp;"''","")</f>
        <v/>
      </c>
      <c r="Q1252" s="3" t="str">
        <f>IFERROR(IF(INDEX('PROJETO PERFURAÇÃO'!$P:$P,MATCH(MEDIÇÃO!R1252,'PROJETO PERFURAÇÃO'!$B:$B,0))="Production","P",IF(INDEX('PROJETO PERFURAÇÃO'!$P:$P,MATCH(MEDIÇÃO!R1252,'PROJETO PERFURAÇÃO'!$B:$B,0))="Buffer","B",IF(INDEX('PROJETO PERFURAÇÃO'!$P:$P,MATCH(MEDIÇÃO!R1252,'PROJETO PERFURAÇÃO'!$B:$B,0))="Pre-Splitting","S"))),"")</f>
        <v/>
      </c>
      <c r="R1252" s="14">
        <f t="shared" si="122"/>
        <v>2814</v>
      </c>
      <c r="S1252" s="4" t="str">
        <f>IFERROR(INDEX('LEV R&amp;D'!$D:$D,MATCH(MEDIÇÃO!R1252,'LEV R&amp;D'!$A:$A,0))-INDEX('PROJETO PERFURAÇÃO'!$AH:$AH,MATCH(MEDIÇÃO!R1252,'PROJETO PERFURAÇÃO'!$B:$B,0)),"")</f>
        <v/>
      </c>
      <c r="T1252" s="8" t="str">
        <f>IFERROR(INDEX('PROJETO PERFURAÇÃO'!$AN:$AN,MATCH(MEDIÇÃO!R1252,'PROJETO PERFURAÇÃO'!$B:$B,0)),"")</f>
        <v/>
      </c>
      <c r="U1252" s="3"/>
      <c r="V1252" s="3"/>
    </row>
    <row r="1253" spans="2:22" ht="45" customHeight="1" x14ac:dyDescent="0.25">
      <c r="B1253" s="3" t="str">
        <f>IFERROR(ROUND(INDEX('PROJETO PERFURAÇÃO'!$AB:$AB,MATCH(MEDIÇÃO!D1253,'PROJETO PERFURAÇÃO'!$B:$B,0)),1)&amp;"''","")</f>
        <v/>
      </c>
      <c r="C1253" s="3" t="str">
        <f>IFERROR(IF(INDEX('PROJETO PERFURAÇÃO'!$P:$P,MATCH(MEDIÇÃO!D1253,'PROJETO PERFURAÇÃO'!$B:$B,0))="Production","P",IF(INDEX('PROJETO PERFURAÇÃO'!$P:$P,MATCH(MEDIÇÃO!D1253,'PROJETO PERFURAÇÃO'!$B:$B,0))="Buffer","B",IF(INDEX('PROJETO PERFURAÇÃO'!$P:$P,MATCH(MEDIÇÃO!D1253,'PROJETO PERFURAÇÃO'!$B:$B,0))="Pre-Splitting","S"))),"")</f>
        <v/>
      </c>
      <c r="D1253" s="14">
        <f t="shared" si="120"/>
        <v>2769</v>
      </c>
      <c r="E1253" s="4" t="str">
        <f>IFERROR(INDEX('LEV R&amp;D'!$D:$D,MATCH(MEDIÇÃO!D1253,'LEV R&amp;D'!$A:$A,0))-INDEX('PROJETO PERFURAÇÃO'!$AH:$AH,MATCH(MEDIÇÃO!D1253,'PROJETO PERFURAÇÃO'!$B:$B,0)),"")</f>
        <v/>
      </c>
      <c r="F1253" s="8" t="str">
        <f>IFERROR(INDEX('PROJETO PERFURAÇÃO'!$AN:$AN,MATCH(MEDIÇÃO!D1253,'PROJETO PERFURAÇÃO'!$B:$B,0)),"")</f>
        <v/>
      </c>
      <c r="G1253" s="3"/>
      <c r="H1253" s="3"/>
      <c r="I1253" s="3" t="str">
        <f>IFERROR(ROUND(INDEX('PROJETO PERFURAÇÃO'!$AB:$AB,MATCH(MEDIÇÃO!K1253,'PROJETO PERFURAÇÃO'!$B:$B,0)),1)&amp;"''","")</f>
        <v/>
      </c>
      <c r="J1253" s="3" t="str">
        <f>IFERROR(IF(INDEX('PROJETO PERFURAÇÃO'!$P:$P,MATCH(MEDIÇÃO!K1253,'PROJETO PERFURAÇÃO'!$B:$B,0))="Production","P",IF(INDEX('PROJETO PERFURAÇÃO'!$P:$P,MATCH(MEDIÇÃO!K1253,'PROJETO PERFURAÇÃO'!$B:$B,0))="Buffer","B",IF(INDEX('PROJETO PERFURAÇÃO'!$P:$P,MATCH(MEDIÇÃO!K1253,'PROJETO PERFURAÇÃO'!$B:$B,0))="Pre-Splitting","S"))),"")</f>
        <v/>
      </c>
      <c r="K1253" s="14">
        <f t="shared" si="121"/>
        <v>2792</v>
      </c>
      <c r="L1253" s="4" t="str">
        <f>IFERROR(INDEX('LEV R&amp;D'!$D:$D,MATCH(MEDIÇÃO!K1253,'LEV R&amp;D'!$A:$A,0))-INDEX('PROJETO PERFURAÇÃO'!$AH:$AH,MATCH(MEDIÇÃO!K1253,'PROJETO PERFURAÇÃO'!$B:$B,0)),"")</f>
        <v/>
      </c>
      <c r="M1253" s="8" t="str">
        <f>IFERROR(INDEX('PROJETO PERFURAÇÃO'!$AN:$AN,MATCH(MEDIÇÃO!K1253,'PROJETO PERFURAÇÃO'!$B:$B,0)),"")</f>
        <v/>
      </c>
      <c r="N1253" s="3"/>
      <c r="O1253" s="3"/>
      <c r="P1253" s="3" t="str">
        <f>IFERROR(ROUND(INDEX('PROJETO PERFURAÇÃO'!$AB:$AB,MATCH(MEDIÇÃO!R1253,'PROJETO PERFURAÇÃO'!$B:$B,0)),1)&amp;"''","")</f>
        <v/>
      </c>
      <c r="Q1253" s="3" t="str">
        <f>IFERROR(IF(INDEX('PROJETO PERFURAÇÃO'!$P:$P,MATCH(MEDIÇÃO!R1253,'PROJETO PERFURAÇÃO'!$B:$B,0))="Production","P",IF(INDEX('PROJETO PERFURAÇÃO'!$P:$P,MATCH(MEDIÇÃO!R1253,'PROJETO PERFURAÇÃO'!$B:$B,0))="Buffer","B",IF(INDEX('PROJETO PERFURAÇÃO'!$P:$P,MATCH(MEDIÇÃO!R1253,'PROJETO PERFURAÇÃO'!$B:$B,0))="Pre-Splitting","S"))),"")</f>
        <v/>
      </c>
      <c r="R1253" s="14">
        <f t="shared" si="122"/>
        <v>2815</v>
      </c>
      <c r="S1253" s="4" t="str">
        <f>IFERROR(INDEX('LEV R&amp;D'!$D:$D,MATCH(MEDIÇÃO!R1253,'LEV R&amp;D'!$A:$A,0))-INDEX('PROJETO PERFURAÇÃO'!$AH:$AH,MATCH(MEDIÇÃO!R1253,'PROJETO PERFURAÇÃO'!$B:$B,0)),"")</f>
        <v/>
      </c>
      <c r="T1253" s="8" t="str">
        <f>IFERROR(INDEX('PROJETO PERFURAÇÃO'!$AN:$AN,MATCH(MEDIÇÃO!R1253,'PROJETO PERFURAÇÃO'!$B:$B,0)),"")</f>
        <v/>
      </c>
      <c r="U1253" s="3"/>
      <c r="V1253" s="3"/>
    </row>
    <row r="1254" spans="2:22" ht="45" customHeight="1" x14ac:dyDescent="0.25">
      <c r="B1254" s="3" t="str">
        <f>IFERROR(ROUND(INDEX('PROJETO PERFURAÇÃO'!$AB:$AB,MATCH(MEDIÇÃO!D1254,'PROJETO PERFURAÇÃO'!$B:$B,0)),1)&amp;"''","")</f>
        <v/>
      </c>
      <c r="C1254" s="3" t="str">
        <f>IFERROR(IF(INDEX('PROJETO PERFURAÇÃO'!$P:$P,MATCH(MEDIÇÃO!D1254,'PROJETO PERFURAÇÃO'!$B:$B,0))="Production","P",IF(INDEX('PROJETO PERFURAÇÃO'!$P:$P,MATCH(MEDIÇÃO!D1254,'PROJETO PERFURAÇÃO'!$B:$B,0))="Buffer","B",IF(INDEX('PROJETO PERFURAÇÃO'!$P:$P,MATCH(MEDIÇÃO!D1254,'PROJETO PERFURAÇÃO'!$B:$B,0))="Pre-Splitting","S"))),"")</f>
        <v/>
      </c>
      <c r="D1254" s="14">
        <f t="shared" si="120"/>
        <v>2770</v>
      </c>
      <c r="E1254" s="4" t="str">
        <f>IFERROR(INDEX('LEV R&amp;D'!$D:$D,MATCH(MEDIÇÃO!D1254,'LEV R&amp;D'!$A:$A,0))-INDEX('PROJETO PERFURAÇÃO'!$AH:$AH,MATCH(MEDIÇÃO!D1254,'PROJETO PERFURAÇÃO'!$B:$B,0)),"")</f>
        <v/>
      </c>
      <c r="F1254" s="8" t="str">
        <f>IFERROR(INDEX('PROJETO PERFURAÇÃO'!$AN:$AN,MATCH(MEDIÇÃO!D1254,'PROJETO PERFURAÇÃO'!$B:$B,0)),"")</f>
        <v/>
      </c>
      <c r="G1254" s="3"/>
      <c r="H1254" s="3"/>
      <c r="I1254" s="3" t="str">
        <f>IFERROR(ROUND(INDEX('PROJETO PERFURAÇÃO'!$AB:$AB,MATCH(MEDIÇÃO!K1254,'PROJETO PERFURAÇÃO'!$B:$B,0)),1)&amp;"''","")</f>
        <v/>
      </c>
      <c r="J1254" s="3" t="str">
        <f>IFERROR(IF(INDEX('PROJETO PERFURAÇÃO'!$P:$P,MATCH(MEDIÇÃO!K1254,'PROJETO PERFURAÇÃO'!$B:$B,0))="Production","P",IF(INDEX('PROJETO PERFURAÇÃO'!$P:$P,MATCH(MEDIÇÃO!K1254,'PROJETO PERFURAÇÃO'!$B:$B,0))="Buffer","B",IF(INDEX('PROJETO PERFURAÇÃO'!$P:$P,MATCH(MEDIÇÃO!K1254,'PROJETO PERFURAÇÃO'!$B:$B,0))="Pre-Splitting","S"))),"")</f>
        <v/>
      </c>
      <c r="K1254" s="14">
        <f t="shared" si="121"/>
        <v>2793</v>
      </c>
      <c r="L1254" s="4" t="str">
        <f>IFERROR(INDEX('LEV R&amp;D'!$D:$D,MATCH(MEDIÇÃO!K1254,'LEV R&amp;D'!$A:$A,0))-INDEX('PROJETO PERFURAÇÃO'!$AH:$AH,MATCH(MEDIÇÃO!K1254,'PROJETO PERFURAÇÃO'!$B:$B,0)),"")</f>
        <v/>
      </c>
      <c r="M1254" s="8" t="str">
        <f>IFERROR(INDEX('PROJETO PERFURAÇÃO'!$AN:$AN,MATCH(MEDIÇÃO!K1254,'PROJETO PERFURAÇÃO'!$B:$B,0)),"")</f>
        <v/>
      </c>
      <c r="N1254" s="3"/>
      <c r="O1254" s="3"/>
      <c r="P1254" s="3" t="str">
        <f>IFERROR(ROUND(INDEX('PROJETO PERFURAÇÃO'!$AB:$AB,MATCH(MEDIÇÃO!R1254,'PROJETO PERFURAÇÃO'!$B:$B,0)),1)&amp;"''","")</f>
        <v/>
      </c>
      <c r="Q1254" s="3" t="str">
        <f>IFERROR(IF(INDEX('PROJETO PERFURAÇÃO'!$P:$P,MATCH(MEDIÇÃO!R1254,'PROJETO PERFURAÇÃO'!$B:$B,0))="Production","P",IF(INDEX('PROJETO PERFURAÇÃO'!$P:$P,MATCH(MEDIÇÃO!R1254,'PROJETO PERFURAÇÃO'!$B:$B,0))="Buffer","B",IF(INDEX('PROJETO PERFURAÇÃO'!$P:$P,MATCH(MEDIÇÃO!R1254,'PROJETO PERFURAÇÃO'!$B:$B,0))="Pre-Splitting","S"))),"")</f>
        <v/>
      </c>
      <c r="R1254" s="14">
        <f t="shared" si="122"/>
        <v>2816</v>
      </c>
      <c r="S1254" s="4" t="str">
        <f>IFERROR(INDEX('LEV R&amp;D'!$D:$D,MATCH(MEDIÇÃO!R1254,'LEV R&amp;D'!$A:$A,0))-INDEX('PROJETO PERFURAÇÃO'!$AH:$AH,MATCH(MEDIÇÃO!R1254,'PROJETO PERFURAÇÃO'!$B:$B,0)),"")</f>
        <v/>
      </c>
      <c r="T1254" s="8" t="str">
        <f>IFERROR(INDEX('PROJETO PERFURAÇÃO'!$AN:$AN,MATCH(MEDIÇÃO!R1254,'PROJETO PERFURAÇÃO'!$B:$B,0)),"")</f>
        <v/>
      </c>
      <c r="U1254" s="3"/>
      <c r="V1254" s="3"/>
    </row>
    <row r="1255" spans="2:22" ht="45" customHeight="1" x14ac:dyDescent="0.25">
      <c r="B1255" s="3" t="str">
        <f>IFERROR(ROUND(INDEX('PROJETO PERFURAÇÃO'!$AB:$AB,MATCH(MEDIÇÃO!D1255,'PROJETO PERFURAÇÃO'!$B:$B,0)),1)&amp;"''","")</f>
        <v/>
      </c>
      <c r="C1255" s="3" t="str">
        <f>IFERROR(IF(INDEX('PROJETO PERFURAÇÃO'!$P:$P,MATCH(MEDIÇÃO!D1255,'PROJETO PERFURAÇÃO'!$B:$B,0))="Production","P",IF(INDEX('PROJETO PERFURAÇÃO'!$P:$P,MATCH(MEDIÇÃO!D1255,'PROJETO PERFURAÇÃO'!$B:$B,0))="Buffer","B",IF(INDEX('PROJETO PERFURAÇÃO'!$P:$P,MATCH(MEDIÇÃO!D1255,'PROJETO PERFURAÇÃO'!$B:$B,0))="Pre-Splitting","S"))),"")</f>
        <v/>
      </c>
      <c r="D1255" s="14">
        <f t="shared" si="120"/>
        <v>2771</v>
      </c>
      <c r="E1255" s="4" t="str">
        <f>IFERROR(INDEX('LEV R&amp;D'!$D:$D,MATCH(MEDIÇÃO!D1255,'LEV R&amp;D'!$A:$A,0))-INDEX('PROJETO PERFURAÇÃO'!$AH:$AH,MATCH(MEDIÇÃO!D1255,'PROJETO PERFURAÇÃO'!$B:$B,0)),"")</f>
        <v/>
      </c>
      <c r="F1255" s="8" t="str">
        <f>IFERROR(INDEX('PROJETO PERFURAÇÃO'!$AN:$AN,MATCH(MEDIÇÃO!D1255,'PROJETO PERFURAÇÃO'!$B:$B,0)),"")</f>
        <v/>
      </c>
      <c r="G1255" s="3"/>
      <c r="H1255" s="3"/>
      <c r="I1255" s="3" t="str">
        <f>IFERROR(ROUND(INDEX('PROJETO PERFURAÇÃO'!$AB:$AB,MATCH(MEDIÇÃO!K1255,'PROJETO PERFURAÇÃO'!$B:$B,0)),1)&amp;"''","")</f>
        <v/>
      </c>
      <c r="J1255" s="3" t="str">
        <f>IFERROR(IF(INDEX('PROJETO PERFURAÇÃO'!$P:$P,MATCH(MEDIÇÃO!K1255,'PROJETO PERFURAÇÃO'!$B:$B,0))="Production","P",IF(INDEX('PROJETO PERFURAÇÃO'!$P:$P,MATCH(MEDIÇÃO!K1255,'PROJETO PERFURAÇÃO'!$B:$B,0))="Buffer","B",IF(INDEX('PROJETO PERFURAÇÃO'!$P:$P,MATCH(MEDIÇÃO!K1255,'PROJETO PERFURAÇÃO'!$B:$B,0))="Pre-Splitting","S"))),"")</f>
        <v/>
      </c>
      <c r="K1255" s="14">
        <f t="shared" si="121"/>
        <v>2794</v>
      </c>
      <c r="L1255" s="4" t="str">
        <f>IFERROR(INDEX('LEV R&amp;D'!$D:$D,MATCH(MEDIÇÃO!K1255,'LEV R&amp;D'!$A:$A,0))-INDEX('PROJETO PERFURAÇÃO'!$AH:$AH,MATCH(MEDIÇÃO!K1255,'PROJETO PERFURAÇÃO'!$B:$B,0)),"")</f>
        <v/>
      </c>
      <c r="M1255" s="8" t="str">
        <f>IFERROR(INDEX('PROJETO PERFURAÇÃO'!$AN:$AN,MATCH(MEDIÇÃO!K1255,'PROJETO PERFURAÇÃO'!$B:$B,0)),"")</f>
        <v/>
      </c>
      <c r="N1255" s="3"/>
      <c r="O1255" s="3"/>
      <c r="P1255" s="3" t="str">
        <f>IFERROR(ROUND(INDEX('PROJETO PERFURAÇÃO'!$AB:$AB,MATCH(MEDIÇÃO!R1255,'PROJETO PERFURAÇÃO'!$B:$B,0)),1)&amp;"''","")</f>
        <v/>
      </c>
      <c r="Q1255" s="3" t="str">
        <f>IFERROR(IF(INDEX('PROJETO PERFURAÇÃO'!$P:$P,MATCH(MEDIÇÃO!R1255,'PROJETO PERFURAÇÃO'!$B:$B,0))="Production","P",IF(INDEX('PROJETO PERFURAÇÃO'!$P:$P,MATCH(MEDIÇÃO!R1255,'PROJETO PERFURAÇÃO'!$B:$B,0))="Buffer","B",IF(INDEX('PROJETO PERFURAÇÃO'!$P:$P,MATCH(MEDIÇÃO!R1255,'PROJETO PERFURAÇÃO'!$B:$B,0))="Pre-Splitting","S"))),"")</f>
        <v/>
      </c>
      <c r="R1255" s="14">
        <f t="shared" si="122"/>
        <v>2817</v>
      </c>
      <c r="S1255" s="4" t="str">
        <f>IFERROR(INDEX('LEV R&amp;D'!$D:$D,MATCH(MEDIÇÃO!R1255,'LEV R&amp;D'!$A:$A,0))-INDEX('PROJETO PERFURAÇÃO'!$AH:$AH,MATCH(MEDIÇÃO!R1255,'PROJETO PERFURAÇÃO'!$B:$B,0)),"")</f>
        <v/>
      </c>
      <c r="T1255" s="8" t="str">
        <f>IFERROR(INDEX('PROJETO PERFURAÇÃO'!$AN:$AN,MATCH(MEDIÇÃO!R1255,'PROJETO PERFURAÇÃO'!$B:$B,0)),"")</f>
        <v/>
      </c>
      <c r="U1255" s="3"/>
      <c r="V1255" s="3"/>
    </row>
    <row r="1256" spans="2:22" ht="45" customHeight="1" x14ac:dyDescent="0.25">
      <c r="B1256" s="3" t="str">
        <f>IFERROR(ROUND(INDEX('PROJETO PERFURAÇÃO'!$AB:$AB,MATCH(MEDIÇÃO!D1256,'PROJETO PERFURAÇÃO'!$B:$B,0)),1)&amp;"''","")</f>
        <v/>
      </c>
      <c r="C1256" s="3" t="str">
        <f>IFERROR(IF(INDEX('PROJETO PERFURAÇÃO'!$P:$P,MATCH(MEDIÇÃO!D1256,'PROJETO PERFURAÇÃO'!$B:$B,0))="Production","P",IF(INDEX('PROJETO PERFURAÇÃO'!$P:$P,MATCH(MEDIÇÃO!D1256,'PROJETO PERFURAÇÃO'!$B:$B,0))="Buffer","B",IF(INDEX('PROJETO PERFURAÇÃO'!$P:$P,MATCH(MEDIÇÃO!D1256,'PROJETO PERFURAÇÃO'!$B:$B,0))="Pre-Splitting","S"))),"")</f>
        <v/>
      </c>
      <c r="D1256" s="14">
        <f t="shared" si="120"/>
        <v>2772</v>
      </c>
      <c r="E1256" s="4" t="str">
        <f>IFERROR(INDEX('LEV R&amp;D'!$D:$D,MATCH(MEDIÇÃO!D1256,'LEV R&amp;D'!$A:$A,0))-INDEX('PROJETO PERFURAÇÃO'!$AH:$AH,MATCH(MEDIÇÃO!D1256,'PROJETO PERFURAÇÃO'!$B:$B,0)),"")</f>
        <v/>
      </c>
      <c r="F1256" s="8" t="str">
        <f>IFERROR(INDEX('PROJETO PERFURAÇÃO'!$AN:$AN,MATCH(MEDIÇÃO!D1256,'PROJETO PERFURAÇÃO'!$B:$B,0)),"")</f>
        <v/>
      </c>
      <c r="G1256" s="3"/>
      <c r="H1256" s="3"/>
      <c r="I1256" s="3" t="str">
        <f>IFERROR(ROUND(INDEX('PROJETO PERFURAÇÃO'!$AB:$AB,MATCH(MEDIÇÃO!K1256,'PROJETO PERFURAÇÃO'!$B:$B,0)),1)&amp;"''","")</f>
        <v/>
      </c>
      <c r="J1256" s="3" t="str">
        <f>IFERROR(IF(INDEX('PROJETO PERFURAÇÃO'!$P:$P,MATCH(MEDIÇÃO!K1256,'PROJETO PERFURAÇÃO'!$B:$B,0))="Production","P",IF(INDEX('PROJETO PERFURAÇÃO'!$P:$P,MATCH(MEDIÇÃO!K1256,'PROJETO PERFURAÇÃO'!$B:$B,0))="Buffer","B",IF(INDEX('PROJETO PERFURAÇÃO'!$P:$P,MATCH(MEDIÇÃO!K1256,'PROJETO PERFURAÇÃO'!$B:$B,0))="Pre-Splitting","S"))),"")</f>
        <v/>
      </c>
      <c r="K1256" s="14">
        <f t="shared" si="121"/>
        <v>2795</v>
      </c>
      <c r="L1256" s="4" t="str">
        <f>IFERROR(INDEX('LEV R&amp;D'!$D:$D,MATCH(MEDIÇÃO!K1256,'LEV R&amp;D'!$A:$A,0))-INDEX('PROJETO PERFURAÇÃO'!$AH:$AH,MATCH(MEDIÇÃO!K1256,'PROJETO PERFURAÇÃO'!$B:$B,0)),"")</f>
        <v/>
      </c>
      <c r="M1256" s="8" t="str">
        <f>IFERROR(INDEX('PROJETO PERFURAÇÃO'!$AN:$AN,MATCH(MEDIÇÃO!K1256,'PROJETO PERFURAÇÃO'!$B:$B,0)),"")</f>
        <v/>
      </c>
      <c r="N1256" s="3"/>
      <c r="O1256" s="3"/>
      <c r="P1256" s="3" t="str">
        <f>IFERROR(ROUND(INDEX('PROJETO PERFURAÇÃO'!$AB:$AB,MATCH(MEDIÇÃO!R1256,'PROJETO PERFURAÇÃO'!$B:$B,0)),1)&amp;"''","")</f>
        <v/>
      </c>
      <c r="Q1256" s="3" t="str">
        <f>IFERROR(IF(INDEX('PROJETO PERFURAÇÃO'!$P:$P,MATCH(MEDIÇÃO!R1256,'PROJETO PERFURAÇÃO'!$B:$B,0))="Production","P",IF(INDEX('PROJETO PERFURAÇÃO'!$P:$P,MATCH(MEDIÇÃO!R1256,'PROJETO PERFURAÇÃO'!$B:$B,0))="Buffer","B",IF(INDEX('PROJETO PERFURAÇÃO'!$P:$P,MATCH(MEDIÇÃO!R1256,'PROJETO PERFURAÇÃO'!$B:$B,0))="Pre-Splitting","S"))),"")</f>
        <v/>
      </c>
      <c r="R1256" s="14">
        <f t="shared" si="122"/>
        <v>2818</v>
      </c>
      <c r="S1256" s="4" t="str">
        <f>IFERROR(INDEX('LEV R&amp;D'!$D:$D,MATCH(MEDIÇÃO!R1256,'LEV R&amp;D'!$A:$A,0))-INDEX('PROJETO PERFURAÇÃO'!$AH:$AH,MATCH(MEDIÇÃO!R1256,'PROJETO PERFURAÇÃO'!$B:$B,0)),"")</f>
        <v/>
      </c>
      <c r="T1256" s="8" t="str">
        <f>IFERROR(INDEX('PROJETO PERFURAÇÃO'!$AN:$AN,MATCH(MEDIÇÃO!R1256,'PROJETO PERFURAÇÃO'!$B:$B,0)),"")</f>
        <v/>
      </c>
      <c r="U1256" s="3"/>
      <c r="V1256" s="3"/>
    </row>
    <row r="1257" spans="2:22" ht="45" customHeight="1" x14ac:dyDescent="0.25">
      <c r="B1257" s="3" t="str">
        <f>IFERROR(ROUND(INDEX('PROJETO PERFURAÇÃO'!$AB:$AB,MATCH(MEDIÇÃO!D1257,'PROJETO PERFURAÇÃO'!$B:$B,0)),1)&amp;"''","")</f>
        <v/>
      </c>
      <c r="C1257" s="3" t="str">
        <f>IFERROR(IF(INDEX('PROJETO PERFURAÇÃO'!$P:$P,MATCH(MEDIÇÃO!D1257,'PROJETO PERFURAÇÃO'!$B:$B,0))="Production","P",IF(INDEX('PROJETO PERFURAÇÃO'!$P:$P,MATCH(MEDIÇÃO!D1257,'PROJETO PERFURAÇÃO'!$B:$B,0))="Buffer","B",IF(INDEX('PROJETO PERFURAÇÃO'!$P:$P,MATCH(MEDIÇÃO!D1257,'PROJETO PERFURAÇÃO'!$B:$B,0))="Pre-Splitting","S"))),"")</f>
        <v/>
      </c>
      <c r="D1257" s="14">
        <f t="shared" si="120"/>
        <v>2773</v>
      </c>
      <c r="E1257" s="4" t="str">
        <f>IFERROR(INDEX('LEV R&amp;D'!$D:$D,MATCH(MEDIÇÃO!D1257,'LEV R&amp;D'!$A:$A,0))-INDEX('PROJETO PERFURAÇÃO'!$AH:$AH,MATCH(MEDIÇÃO!D1257,'PROJETO PERFURAÇÃO'!$B:$B,0)),"")</f>
        <v/>
      </c>
      <c r="F1257" s="8" t="str">
        <f>IFERROR(INDEX('PROJETO PERFURAÇÃO'!$AN:$AN,MATCH(MEDIÇÃO!D1257,'PROJETO PERFURAÇÃO'!$B:$B,0)),"")</f>
        <v/>
      </c>
      <c r="G1257" s="3"/>
      <c r="H1257" s="3"/>
      <c r="I1257" s="3" t="str">
        <f>IFERROR(ROUND(INDEX('PROJETO PERFURAÇÃO'!$AB:$AB,MATCH(MEDIÇÃO!K1257,'PROJETO PERFURAÇÃO'!$B:$B,0)),1)&amp;"''","")</f>
        <v/>
      </c>
      <c r="J1257" s="3" t="str">
        <f>IFERROR(IF(INDEX('PROJETO PERFURAÇÃO'!$P:$P,MATCH(MEDIÇÃO!K1257,'PROJETO PERFURAÇÃO'!$B:$B,0))="Production","P",IF(INDEX('PROJETO PERFURAÇÃO'!$P:$P,MATCH(MEDIÇÃO!K1257,'PROJETO PERFURAÇÃO'!$B:$B,0))="Buffer","B",IF(INDEX('PROJETO PERFURAÇÃO'!$P:$P,MATCH(MEDIÇÃO!K1257,'PROJETO PERFURAÇÃO'!$B:$B,0))="Pre-Splitting","S"))),"")</f>
        <v/>
      </c>
      <c r="K1257" s="14">
        <f t="shared" si="121"/>
        <v>2796</v>
      </c>
      <c r="L1257" s="4" t="str">
        <f>IFERROR(INDEX('LEV R&amp;D'!$D:$D,MATCH(MEDIÇÃO!K1257,'LEV R&amp;D'!$A:$A,0))-INDEX('PROJETO PERFURAÇÃO'!$AH:$AH,MATCH(MEDIÇÃO!K1257,'PROJETO PERFURAÇÃO'!$B:$B,0)),"")</f>
        <v/>
      </c>
      <c r="M1257" s="8" t="str">
        <f>IFERROR(INDEX('PROJETO PERFURAÇÃO'!$AN:$AN,MATCH(MEDIÇÃO!K1257,'PROJETO PERFURAÇÃO'!$B:$B,0)),"")</f>
        <v/>
      </c>
      <c r="N1257" s="3"/>
      <c r="O1257" s="3"/>
      <c r="P1257" s="3" t="str">
        <f>IFERROR(ROUND(INDEX('PROJETO PERFURAÇÃO'!$AB:$AB,MATCH(MEDIÇÃO!R1257,'PROJETO PERFURAÇÃO'!$B:$B,0)),1)&amp;"''","")</f>
        <v/>
      </c>
      <c r="Q1257" s="3" t="str">
        <f>IFERROR(IF(INDEX('PROJETO PERFURAÇÃO'!$P:$P,MATCH(MEDIÇÃO!R1257,'PROJETO PERFURAÇÃO'!$B:$B,0))="Production","P",IF(INDEX('PROJETO PERFURAÇÃO'!$P:$P,MATCH(MEDIÇÃO!R1257,'PROJETO PERFURAÇÃO'!$B:$B,0))="Buffer","B",IF(INDEX('PROJETO PERFURAÇÃO'!$P:$P,MATCH(MEDIÇÃO!R1257,'PROJETO PERFURAÇÃO'!$B:$B,0))="Pre-Splitting","S"))),"")</f>
        <v/>
      </c>
      <c r="R1257" s="14">
        <f t="shared" si="122"/>
        <v>2819</v>
      </c>
      <c r="S1257" s="4" t="str">
        <f>IFERROR(INDEX('LEV R&amp;D'!$D:$D,MATCH(MEDIÇÃO!R1257,'LEV R&amp;D'!$A:$A,0))-INDEX('PROJETO PERFURAÇÃO'!$AH:$AH,MATCH(MEDIÇÃO!R1257,'PROJETO PERFURAÇÃO'!$B:$B,0)),"")</f>
        <v/>
      </c>
      <c r="T1257" s="8" t="str">
        <f>IFERROR(INDEX('PROJETO PERFURAÇÃO'!$AN:$AN,MATCH(MEDIÇÃO!R1257,'PROJETO PERFURAÇÃO'!$B:$B,0)),"")</f>
        <v/>
      </c>
      <c r="U1257" s="3"/>
      <c r="V1257" s="3"/>
    </row>
    <row r="1258" spans="2:22" ht="45" customHeight="1" x14ac:dyDescent="0.25">
      <c r="B1258" s="3" t="str">
        <f>IFERROR(ROUND(INDEX('PROJETO PERFURAÇÃO'!$AB:$AB,MATCH(MEDIÇÃO!D1258,'PROJETO PERFURAÇÃO'!$B:$B,0)),1)&amp;"''","")</f>
        <v/>
      </c>
      <c r="C1258" s="3" t="str">
        <f>IFERROR(IF(INDEX('PROJETO PERFURAÇÃO'!$P:$P,MATCH(MEDIÇÃO!D1258,'PROJETO PERFURAÇÃO'!$B:$B,0))="Production","P",IF(INDEX('PROJETO PERFURAÇÃO'!$P:$P,MATCH(MEDIÇÃO!D1258,'PROJETO PERFURAÇÃO'!$B:$B,0))="Buffer","B",IF(INDEX('PROJETO PERFURAÇÃO'!$P:$P,MATCH(MEDIÇÃO!D1258,'PROJETO PERFURAÇÃO'!$B:$B,0))="Pre-Splitting","S"))),"")</f>
        <v/>
      </c>
      <c r="D1258" s="14">
        <f t="shared" si="120"/>
        <v>2774</v>
      </c>
      <c r="E1258" s="4" t="str">
        <f>IFERROR(INDEX('LEV R&amp;D'!$D:$D,MATCH(MEDIÇÃO!D1258,'LEV R&amp;D'!$A:$A,0))-INDEX('PROJETO PERFURAÇÃO'!$AH:$AH,MATCH(MEDIÇÃO!D1258,'PROJETO PERFURAÇÃO'!$B:$B,0)),"")</f>
        <v/>
      </c>
      <c r="F1258" s="8" t="str">
        <f>IFERROR(INDEX('PROJETO PERFURAÇÃO'!$AN:$AN,MATCH(MEDIÇÃO!D1258,'PROJETO PERFURAÇÃO'!$B:$B,0)),"")</f>
        <v/>
      </c>
      <c r="G1258" s="3"/>
      <c r="H1258" s="3"/>
      <c r="I1258" s="3" t="str">
        <f>IFERROR(ROUND(INDEX('PROJETO PERFURAÇÃO'!$AB:$AB,MATCH(MEDIÇÃO!K1258,'PROJETO PERFURAÇÃO'!$B:$B,0)),1)&amp;"''","")</f>
        <v/>
      </c>
      <c r="J1258" s="3" t="str">
        <f>IFERROR(IF(INDEX('PROJETO PERFURAÇÃO'!$P:$P,MATCH(MEDIÇÃO!K1258,'PROJETO PERFURAÇÃO'!$B:$B,0))="Production","P",IF(INDEX('PROJETO PERFURAÇÃO'!$P:$P,MATCH(MEDIÇÃO!K1258,'PROJETO PERFURAÇÃO'!$B:$B,0))="Buffer","B",IF(INDEX('PROJETO PERFURAÇÃO'!$P:$P,MATCH(MEDIÇÃO!K1258,'PROJETO PERFURAÇÃO'!$B:$B,0))="Pre-Splitting","S"))),"")</f>
        <v/>
      </c>
      <c r="K1258" s="14">
        <f t="shared" si="121"/>
        <v>2797</v>
      </c>
      <c r="L1258" s="4" t="str">
        <f>IFERROR(INDEX('LEV R&amp;D'!$D:$D,MATCH(MEDIÇÃO!K1258,'LEV R&amp;D'!$A:$A,0))-INDEX('PROJETO PERFURAÇÃO'!$AH:$AH,MATCH(MEDIÇÃO!K1258,'PROJETO PERFURAÇÃO'!$B:$B,0)),"")</f>
        <v/>
      </c>
      <c r="M1258" s="8" t="str">
        <f>IFERROR(INDEX('PROJETO PERFURAÇÃO'!$AN:$AN,MATCH(MEDIÇÃO!K1258,'PROJETO PERFURAÇÃO'!$B:$B,0)),"")</f>
        <v/>
      </c>
      <c r="N1258" s="3"/>
      <c r="O1258" s="3"/>
      <c r="P1258" s="3" t="str">
        <f>IFERROR(ROUND(INDEX('PROJETO PERFURAÇÃO'!$AB:$AB,MATCH(MEDIÇÃO!R1258,'PROJETO PERFURAÇÃO'!$B:$B,0)),1)&amp;"''","")</f>
        <v/>
      </c>
      <c r="Q1258" s="3" t="str">
        <f>IFERROR(IF(INDEX('PROJETO PERFURAÇÃO'!$P:$P,MATCH(MEDIÇÃO!R1258,'PROJETO PERFURAÇÃO'!$B:$B,0))="Production","P",IF(INDEX('PROJETO PERFURAÇÃO'!$P:$P,MATCH(MEDIÇÃO!R1258,'PROJETO PERFURAÇÃO'!$B:$B,0))="Buffer","B",IF(INDEX('PROJETO PERFURAÇÃO'!$P:$P,MATCH(MEDIÇÃO!R1258,'PROJETO PERFURAÇÃO'!$B:$B,0))="Pre-Splitting","S"))),"")</f>
        <v/>
      </c>
      <c r="R1258" s="14">
        <f t="shared" si="122"/>
        <v>2820</v>
      </c>
      <c r="S1258" s="4" t="str">
        <f>IFERROR(INDEX('LEV R&amp;D'!$D:$D,MATCH(MEDIÇÃO!R1258,'LEV R&amp;D'!$A:$A,0))-INDEX('PROJETO PERFURAÇÃO'!$AH:$AH,MATCH(MEDIÇÃO!R1258,'PROJETO PERFURAÇÃO'!$B:$B,0)),"")</f>
        <v/>
      </c>
      <c r="T1258" s="8" t="str">
        <f>IFERROR(INDEX('PROJETO PERFURAÇÃO'!$AN:$AN,MATCH(MEDIÇÃO!R1258,'PROJETO PERFURAÇÃO'!$B:$B,0)),"")</f>
        <v/>
      </c>
      <c r="U1258" s="3"/>
      <c r="V1258" s="3"/>
    </row>
    <row r="1259" spans="2:22" ht="45" customHeight="1" x14ac:dyDescent="0.25">
      <c r="B1259" s="3" t="str">
        <f>IFERROR(ROUND(INDEX('PROJETO PERFURAÇÃO'!$AB:$AB,MATCH(MEDIÇÃO!D1259,'PROJETO PERFURAÇÃO'!$B:$B,0)),1)&amp;"''","")</f>
        <v/>
      </c>
      <c r="C1259" s="3" t="str">
        <f>IFERROR(IF(INDEX('PROJETO PERFURAÇÃO'!$P:$P,MATCH(MEDIÇÃO!D1259,'PROJETO PERFURAÇÃO'!$B:$B,0))="Production","P",IF(INDEX('PROJETO PERFURAÇÃO'!$P:$P,MATCH(MEDIÇÃO!D1259,'PROJETO PERFURAÇÃO'!$B:$B,0))="Buffer","B",IF(INDEX('PROJETO PERFURAÇÃO'!$P:$P,MATCH(MEDIÇÃO!D1259,'PROJETO PERFURAÇÃO'!$B:$B,0))="Pre-Splitting","S"))),"")</f>
        <v/>
      </c>
      <c r="D1259" s="14">
        <f t="shared" si="120"/>
        <v>2775</v>
      </c>
      <c r="E1259" s="4" t="str">
        <f>IFERROR(INDEX('LEV R&amp;D'!$D:$D,MATCH(MEDIÇÃO!D1259,'LEV R&amp;D'!$A:$A,0))-INDEX('PROJETO PERFURAÇÃO'!$AH:$AH,MATCH(MEDIÇÃO!D1259,'PROJETO PERFURAÇÃO'!$B:$B,0)),"")</f>
        <v/>
      </c>
      <c r="F1259" s="8" t="str">
        <f>IFERROR(INDEX('PROJETO PERFURAÇÃO'!$AN:$AN,MATCH(MEDIÇÃO!D1259,'PROJETO PERFURAÇÃO'!$B:$B,0)),"")</f>
        <v/>
      </c>
      <c r="G1259" s="3"/>
      <c r="H1259" s="3"/>
      <c r="I1259" s="3" t="str">
        <f>IFERROR(ROUND(INDEX('PROJETO PERFURAÇÃO'!$AB:$AB,MATCH(MEDIÇÃO!K1259,'PROJETO PERFURAÇÃO'!$B:$B,0)),1)&amp;"''","")</f>
        <v/>
      </c>
      <c r="J1259" s="3" t="str">
        <f>IFERROR(IF(INDEX('PROJETO PERFURAÇÃO'!$P:$P,MATCH(MEDIÇÃO!K1259,'PROJETO PERFURAÇÃO'!$B:$B,0))="Production","P",IF(INDEX('PROJETO PERFURAÇÃO'!$P:$P,MATCH(MEDIÇÃO!K1259,'PROJETO PERFURAÇÃO'!$B:$B,0))="Buffer","B",IF(INDEX('PROJETO PERFURAÇÃO'!$P:$P,MATCH(MEDIÇÃO!K1259,'PROJETO PERFURAÇÃO'!$B:$B,0))="Pre-Splitting","S"))),"")</f>
        <v/>
      </c>
      <c r="K1259" s="14">
        <f t="shared" si="121"/>
        <v>2798</v>
      </c>
      <c r="L1259" s="4" t="str">
        <f>IFERROR(INDEX('LEV R&amp;D'!$D:$D,MATCH(MEDIÇÃO!K1259,'LEV R&amp;D'!$A:$A,0))-INDEX('PROJETO PERFURAÇÃO'!$AH:$AH,MATCH(MEDIÇÃO!K1259,'PROJETO PERFURAÇÃO'!$B:$B,0)),"")</f>
        <v/>
      </c>
      <c r="M1259" s="8" t="str">
        <f>IFERROR(INDEX('PROJETO PERFURAÇÃO'!$AN:$AN,MATCH(MEDIÇÃO!K1259,'PROJETO PERFURAÇÃO'!$B:$B,0)),"")</f>
        <v/>
      </c>
      <c r="N1259" s="3"/>
      <c r="O1259" s="3"/>
      <c r="P1259" s="3" t="str">
        <f>IFERROR(ROUND(INDEX('PROJETO PERFURAÇÃO'!$AB:$AB,MATCH(MEDIÇÃO!R1259,'PROJETO PERFURAÇÃO'!$B:$B,0)),1)&amp;"''","")</f>
        <v/>
      </c>
      <c r="Q1259" s="3" t="str">
        <f>IFERROR(IF(INDEX('PROJETO PERFURAÇÃO'!$P:$P,MATCH(MEDIÇÃO!R1259,'PROJETO PERFURAÇÃO'!$B:$B,0))="Production","P",IF(INDEX('PROJETO PERFURAÇÃO'!$P:$P,MATCH(MEDIÇÃO!R1259,'PROJETO PERFURAÇÃO'!$B:$B,0))="Buffer","B",IF(INDEX('PROJETO PERFURAÇÃO'!$P:$P,MATCH(MEDIÇÃO!R1259,'PROJETO PERFURAÇÃO'!$B:$B,0))="Pre-Splitting","S"))),"")</f>
        <v/>
      </c>
      <c r="R1259" s="14">
        <f t="shared" si="122"/>
        <v>2821</v>
      </c>
      <c r="S1259" s="4" t="str">
        <f>IFERROR(INDEX('LEV R&amp;D'!$D:$D,MATCH(MEDIÇÃO!R1259,'LEV R&amp;D'!$A:$A,0))-INDEX('PROJETO PERFURAÇÃO'!$AH:$AH,MATCH(MEDIÇÃO!R1259,'PROJETO PERFURAÇÃO'!$B:$B,0)),"")</f>
        <v/>
      </c>
      <c r="T1259" s="8" t="str">
        <f>IFERROR(INDEX('PROJETO PERFURAÇÃO'!$AN:$AN,MATCH(MEDIÇÃO!R1259,'PROJETO PERFURAÇÃO'!$B:$B,0)),"")</f>
        <v/>
      </c>
      <c r="U1259" s="3"/>
      <c r="V1259" s="3"/>
    </row>
    <row r="1260" spans="2:22" ht="45" customHeight="1" x14ac:dyDescent="0.25">
      <c r="B1260" s="3" t="str">
        <f>IFERROR(ROUND(INDEX('PROJETO PERFURAÇÃO'!$AB:$AB,MATCH(MEDIÇÃO!D1260,'PROJETO PERFURAÇÃO'!$B:$B,0)),1)&amp;"''","")</f>
        <v/>
      </c>
      <c r="C1260" s="3" t="str">
        <f>IFERROR(IF(INDEX('PROJETO PERFURAÇÃO'!$P:$P,MATCH(MEDIÇÃO!D1260,'PROJETO PERFURAÇÃO'!$B:$B,0))="Production","P",IF(INDEX('PROJETO PERFURAÇÃO'!$P:$P,MATCH(MEDIÇÃO!D1260,'PROJETO PERFURAÇÃO'!$B:$B,0))="Buffer","B",IF(INDEX('PROJETO PERFURAÇÃO'!$P:$P,MATCH(MEDIÇÃO!D1260,'PROJETO PERFURAÇÃO'!$B:$B,0))="Pre-Splitting","S"))),"")</f>
        <v/>
      </c>
      <c r="D1260" s="14">
        <f t="shared" si="120"/>
        <v>2776</v>
      </c>
      <c r="E1260" s="4" t="str">
        <f>IFERROR(INDEX('LEV R&amp;D'!$D:$D,MATCH(MEDIÇÃO!D1260,'LEV R&amp;D'!$A:$A,0))-INDEX('PROJETO PERFURAÇÃO'!$AH:$AH,MATCH(MEDIÇÃO!D1260,'PROJETO PERFURAÇÃO'!$B:$B,0)),"")</f>
        <v/>
      </c>
      <c r="F1260" s="8" t="str">
        <f>IFERROR(INDEX('PROJETO PERFURAÇÃO'!$AN:$AN,MATCH(MEDIÇÃO!D1260,'PROJETO PERFURAÇÃO'!$B:$B,0)),"")</f>
        <v/>
      </c>
      <c r="G1260" s="3"/>
      <c r="H1260" s="3"/>
      <c r="I1260" s="3" t="str">
        <f>IFERROR(ROUND(INDEX('PROJETO PERFURAÇÃO'!$AB:$AB,MATCH(MEDIÇÃO!K1260,'PROJETO PERFURAÇÃO'!$B:$B,0)),1)&amp;"''","")</f>
        <v/>
      </c>
      <c r="J1260" s="3" t="str">
        <f>IFERROR(IF(INDEX('PROJETO PERFURAÇÃO'!$P:$P,MATCH(MEDIÇÃO!K1260,'PROJETO PERFURAÇÃO'!$B:$B,0))="Production","P",IF(INDEX('PROJETO PERFURAÇÃO'!$P:$P,MATCH(MEDIÇÃO!K1260,'PROJETO PERFURAÇÃO'!$B:$B,0))="Buffer","B",IF(INDEX('PROJETO PERFURAÇÃO'!$P:$P,MATCH(MEDIÇÃO!K1260,'PROJETO PERFURAÇÃO'!$B:$B,0))="Pre-Splitting","S"))),"")</f>
        <v/>
      </c>
      <c r="K1260" s="14">
        <f t="shared" si="121"/>
        <v>2799</v>
      </c>
      <c r="L1260" s="4" t="str">
        <f>IFERROR(INDEX('LEV R&amp;D'!$D:$D,MATCH(MEDIÇÃO!K1260,'LEV R&amp;D'!$A:$A,0))-INDEX('PROJETO PERFURAÇÃO'!$AH:$AH,MATCH(MEDIÇÃO!K1260,'PROJETO PERFURAÇÃO'!$B:$B,0)),"")</f>
        <v/>
      </c>
      <c r="M1260" s="8" t="str">
        <f>IFERROR(INDEX('PROJETO PERFURAÇÃO'!$AN:$AN,MATCH(MEDIÇÃO!K1260,'PROJETO PERFURAÇÃO'!$B:$B,0)),"")</f>
        <v/>
      </c>
      <c r="N1260" s="3"/>
      <c r="O1260" s="3"/>
      <c r="P1260" s="3" t="str">
        <f>IFERROR(ROUND(INDEX('PROJETO PERFURAÇÃO'!$AB:$AB,MATCH(MEDIÇÃO!R1260,'PROJETO PERFURAÇÃO'!$B:$B,0)),1)&amp;"''","")</f>
        <v/>
      </c>
      <c r="Q1260" s="3" t="str">
        <f>IFERROR(IF(INDEX('PROJETO PERFURAÇÃO'!$P:$P,MATCH(MEDIÇÃO!R1260,'PROJETO PERFURAÇÃO'!$B:$B,0))="Production","P",IF(INDEX('PROJETO PERFURAÇÃO'!$P:$P,MATCH(MEDIÇÃO!R1260,'PROJETO PERFURAÇÃO'!$B:$B,0))="Buffer","B",IF(INDEX('PROJETO PERFURAÇÃO'!$P:$P,MATCH(MEDIÇÃO!R1260,'PROJETO PERFURAÇÃO'!$B:$B,0))="Pre-Splitting","S"))),"")</f>
        <v/>
      </c>
      <c r="R1260" s="14">
        <f t="shared" si="122"/>
        <v>2822</v>
      </c>
      <c r="S1260" s="4" t="str">
        <f>IFERROR(INDEX('LEV R&amp;D'!$D:$D,MATCH(MEDIÇÃO!R1260,'LEV R&amp;D'!$A:$A,0))-INDEX('PROJETO PERFURAÇÃO'!$AH:$AH,MATCH(MEDIÇÃO!R1260,'PROJETO PERFURAÇÃO'!$B:$B,0)),"")</f>
        <v/>
      </c>
      <c r="T1260" s="8" t="str">
        <f>IFERROR(INDEX('PROJETO PERFURAÇÃO'!$AN:$AN,MATCH(MEDIÇÃO!R1260,'PROJETO PERFURAÇÃO'!$B:$B,0)),"")</f>
        <v/>
      </c>
      <c r="U1260" s="3"/>
      <c r="V1260" s="3"/>
    </row>
    <row r="1261" spans="2:22" ht="45" customHeight="1" x14ac:dyDescent="0.25">
      <c r="B1261" s="3" t="str">
        <f>IFERROR(ROUND(INDEX('PROJETO PERFURAÇÃO'!$AB:$AB,MATCH(MEDIÇÃO!D1261,'PROJETO PERFURAÇÃO'!$B:$B,0)),1)&amp;"''","")</f>
        <v/>
      </c>
      <c r="C1261" s="3" t="str">
        <f>IFERROR(IF(INDEX('PROJETO PERFURAÇÃO'!$P:$P,MATCH(MEDIÇÃO!D1261,'PROJETO PERFURAÇÃO'!$B:$B,0))="Production","P",IF(INDEX('PROJETO PERFURAÇÃO'!$P:$P,MATCH(MEDIÇÃO!D1261,'PROJETO PERFURAÇÃO'!$B:$B,0))="Buffer","B",IF(INDEX('PROJETO PERFURAÇÃO'!$P:$P,MATCH(MEDIÇÃO!D1261,'PROJETO PERFURAÇÃO'!$B:$B,0))="Pre-Splitting","S"))),"")</f>
        <v/>
      </c>
      <c r="D1261" s="14">
        <f t="shared" si="120"/>
        <v>2777</v>
      </c>
      <c r="E1261" s="4" t="str">
        <f>IFERROR(INDEX('LEV R&amp;D'!$D:$D,MATCH(MEDIÇÃO!D1261,'LEV R&amp;D'!$A:$A,0))-INDEX('PROJETO PERFURAÇÃO'!$AH:$AH,MATCH(MEDIÇÃO!D1261,'PROJETO PERFURAÇÃO'!$B:$B,0)),"")</f>
        <v/>
      </c>
      <c r="F1261" s="8" t="str">
        <f>IFERROR(INDEX('PROJETO PERFURAÇÃO'!$AN:$AN,MATCH(MEDIÇÃO!D1261,'PROJETO PERFURAÇÃO'!$B:$B,0)),"")</f>
        <v/>
      </c>
      <c r="G1261" s="3"/>
      <c r="H1261" s="3"/>
      <c r="I1261" s="3" t="str">
        <f>IFERROR(ROUND(INDEX('PROJETO PERFURAÇÃO'!$AB:$AB,MATCH(MEDIÇÃO!K1261,'PROJETO PERFURAÇÃO'!$B:$B,0)),1)&amp;"''","")</f>
        <v/>
      </c>
      <c r="J1261" s="3" t="str">
        <f>IFERROR(IF(INDEX('PROJETO PERFURAÇÃO'!$P:$P,MATCH(MEDIÇÃO!K1261,'PROJETO PERFURAÇÃO'!$B:$B,0))="Production","P",IF(INDEX('PROJETO PERFURAÇÃO'!$P:$P,MATCH(MEDIÇÃO!K1261,'PROJETO PERFURAÇÃO'!$B:$B,0))="Buffer","B",IF(INDEX('PROJETO PERFURAÇÃO'!$P:$P,MATCH(MEDIÇÃO!K1261,'PROJETO PERFURAÇÃO'!$B:$B,0))="Pre-Splitting","S"))),"")</f>
        <v/>
      </c>
      <c r="K1261" s="14">
        <f t="shared" si="121"/>
        <v>2800</v>
      </c>
      <c r="L1261" s="4" t="str">
        <f>IFERROR(INDEX('LEV R&amp;D'!$D:$D,MATCH(MEDIÇÃO!K1261,'LEV R&amp;D'!$A:$A,0))-INDEX('PROJETO PERFURAÇÃO'!$AH:$AH,MATCH(MEDIÇÃO!K1261,'PROJETO PERFURAÇÃO'!$B:$B,0)),"")</f>
        <v/>
      </c>
      <c r="M1261" s="8" t="str">
        <f>IFERROR(INDEX('PROJETO PERFURAÇÃO'!$AN:$AN,MATCH(MEDIÇÃO!K1261,'PROJETO PERFURAÇÃO'!$B:$B,0)),"")</f>
        <v/>
      </c>
      <c r="N1261" s="3"/>
      <c r="O1261" s="3"/>
      <c r="P1261" s="3" t="str">
        <f>IFERROR(ROUND(INDEX('PROJETO PERFURAÇÃO'!$AB:$AB,MATCH(MEDIÇÃO!R1261,'PROJETO PERFURAÇÃO'!$B:$B,0)),1)&amp;"''","")</f>
        <v/>
      </c>
      <c r="Q1261" s="3" t="str">
        <f>IFERROR(IF(INDEX('PROJETO PERFURAÇÃO'!$P:$P,MATCH(MEDIÇÃO!R1261,'PROJETO PERFURAÇÃO'!$B:$B,0))="Production","P",IF(INDEX('PROJETO PERFURAÇÃO'!$P:$P,MATCH(MEDIÇÃO!R1261,'PROJETO PERFURAÇÃO'!$B:$B,0))="Buffer","B",IF(INDEX('PROJETO PERFURAÇÃO'!$P:$P,MATCH(MEDIÇÃO!R1261,'PROJETO PERFURAÇÃO'!$B:$B,0))="Pre-Splitting","S"))),"")</f>
        <v/>
      </c>
      <c r="R1261" s="14">
        <f t="shared" si="122"/>
        <v>2823</v>
      </c>
      <c r="S1261" s="4" t="str">
        <f>IFERROR(INDEX('LEV R&amp;D'!$D:$D,MATCH(MEDIÇÃO!R1261,'LEV R&amp;D'!$A:$A,0))-INDEX('PROJETO PERFURAÇÃO'!$AH:$AH,MATCH(MEDIÇÃO!R1261,'PROJETO PERFURAÇÃO'!$B:$B,0)),"")</f>
        <v/>
      </c>
      <c r="T1261" s="8" t="str">
        <f>IFERROR(INDEX('PROJETO PERFURAÇÃO'!$AN:$AN,MATCH(MEDIÇÃO!R1261,'PROJETO PERFURAÇÃO'!$B:$B,0)),"")</f>
        <v/>
      </c>
      <c r="U1261" s="3"/>
      <c r="V1261" s="3"/>
    </row>
    <row r="1262" spans="2:22" ht="45" customHeight="1" x14ac:dyDescent="0.25">
      <c r="B1262" s="3" t="str">
        <f>IFERROR(ROUND(INDEX('PROJETO PERFURAÇÃO'!$AB:$AB,MATCH(MEDIÇÃO!D1262,'PROJETO PERFURAÇÃO'!$B:$B,0)),1)&amp;"''","")</f>
        <v/>
      </c>
      <c r="C1262" s="3" t="str">
        <f>IFERROR(IF(INDEX('PROJETO PERFURAÇÃO'!$P:$P,MATCH(MEDIÇÃO!D1262,'PROJETO PERFURAÇÃO'!$B:$B,0))="Production","P",IF(INDEX('PROJETO PERFURAÇÃO'!$P:$P,MATCH(MEDIÇÃO!D1262,'PROJETO PERFURAÇÃO'!$B:$B,0))="Buffer","B",IF(INDEX('PROJETO PERFURAÇÃO'!$P:$P,MATCH(MEDIÇÃO!D1262,'PROJETO PERFURAÇÃO'!$B:$B,0))="Pre-Splitting","S"))),"")</f>
        <v/>
      </c>
      <c r="D1262" s="14">
        <f t="shared" si="120"/>
        <v>2778</v>
      </c>
      <c r="E1262" s="4" t="str">
        <f>IFERROR(INDEX('LEV R&amp;D'!$D:$D,MATCH(MEDIÇÃO!D1262,'LEV R&amp;D'!$A:$A,0))-INDEX('PROJETO PERFURAÇÃO'!$AH:$AH,MATCH(MEDIÇÃO!D1262,'PROJETO PERFURAÇÃO'!$B:$B,0)),"")</f>
        <v/>
      </c>
      <c r="F1262" s="8" t="str">
        <f>IFERROR(INDEX('PROJETO PERFURAÇÃO'!$AN:$AN,MATCH(MEDIÇÃO!D1262,'PROJETO PERFURAÇÃO'!$B:$B,0)),"")</f>
        <v/>
      </c>
      <c r="G1262" s="3"/>
      <c r="H1262" s="3"/>
      <c r="I1262" s="3" t="str">
        <f>IFERROR(ROUND(INDEX('PROJETO PERFURAÇÃO'!$AB:$AB,MATCH(MEDIÇÃO!K1262,'PROJETO PERFURAÇÃO'!$B:$B,0)),1)&amp;"''","")</f>
        <v/>
      </c>
      <c r="J1262" s="3" t="str">
        <f>IFERROR(IF(INDEX('PROJETO PERFURAÇÃO'!$P:$P,MATCH(MEDIÇÃO!K1262,'PROJETO PERFURAÇÃO'!$B:$B,0))="Production","P",IF(INDEX('PROJETO PERFURAÇÃO'!$P:$P,MATCH(MEDIÇÃO!K1262,'PROJETO PERFURAÇÃO'!$B:$B,0))="Buffer","B",IF(INDEX('PROJETO PERFURAÇÃO'!$P:$P,MATCH(MEDIÇÃO!K1262,'PROJETO PERFURAÇÃO'!$B:$B,0))="Pre-Splitting","S"))),"")</f>
        <v/>
      </c>
      <c r="K1262" s="14">
        <f t="shared" si="121"/>
        <v>2801</v>
      </c>
      <c r="L1262" s="4" t="str">
        <f>IFERROR(INDEX('LEV R&amp;D'!$D:$D,MATCH(MEDIÇÃO!K1262,'LEV R&amp;D'!$A:$A,0))-INDEX('PROJETO PERFURAÇÃO'!$AH:$AH,MATCH(MEDIÇÃO!K1262,'PROJETO PERFURAÇÃO'!$B:$B,0)),"")</f>
        <v/>
      </c>
      <c r="M1262" s="8" t="str">
        <f>IFERROR(INDEX('PROJETO PERFURAÇÃO'!$AN:$AN,MATCH(MEDIÇÃO!K1262,'PROJETO PERFURAÇÃO'!$B:$B,0)),"")</f>
        <v/>
      </c>
      <c r="N1262" s="3"/>
      <c r="O1262" s="3"/>
      <c r="P1262" s="3" t="str">
        <f>IFERROR(ROUND(INDEX('PROJETO PERFURAÇÃO'!$AB:$AB,MATCH(MEDIÇÃO!R1262,'PROJETO PERFURAÇÃO'!$B:$B,0)),1)&amp;"''","")</f>
        <v/>
      </c>
      <c r="Q1262" s="3" t="str">
        <f>IFERROR(IF(INDEX('PROJETO PERFURAÇÃO'!$P:$P,MATCH(MEDIÇÃO!R1262,'PROJETO PERFURAÇÃO'!$B:$B,0))="Production","P",IF(INDEX('PROJETO PERFURAÇÃO'!$P:$P,MATCH(MEDIÇÃO!R1262,'PROJETO PERFURAÇÃO'!$B:$B,0))="Buffer","B",IF(INDEX('PROJETO PERFURAÇÃO'!$P:$P,MATCH(MEDIÇÃO!R1262,'PROJETO PERFURAÇÃO'!$B:$B,0))="Pre-Splitting","S"))),"")</f>
        <v/>
      </c>
      <c r="R1262" s="14">
        <f t="shared" si="122"/>
        <v>2824</v>
      </c>
      <c r="S1262" s="4" t="str">
        <f>IFERROR(INDEX('LEV R&amp;D'!$D:$D,MATCH(MEDIÇÃO!R1262,'LEV R&amp;D'!$A:$A,0))-INDEX('PROJETO PERFURAÇÃO'!$AH:$AH,MATCH(MEDIÇÃO!R1262,'PROJETO PERFURAÇÃO'!$B:$B,0)),"")</f>
        <v/>
      </c>
      <c r="T1262" s="8" t="str">
        <f>IFERROR(INDEX('PROJETO PERFURAÇÃO'!$AN:$AN,MATCH(MEDIÇÃO!R1262,'PROJETO PERFURAÇÃO'!$B:$B,0)),"")</f>
        <v/>
      </c>
      <c r="U1262" s="3"/>
      <c r="V1262" s="3"/>
    </row>
    <row r="1263" spans="2:22" ht="45" customHeight="1" x14ac:dyDescent="0.25">
      <c r="B1263" s="3" t="str">
        <f>IFERROR(ROUND(INDEX('PROJETO PERFURAÇÃO'!$AB:$AB,MATCH(MEDIÇÃO!D1263,'PROJETO PERFURAÇÃO'!$B:$B,0)),1)&amp;"''","")</f>
        <v/>
      </c>
      <c r="C1263" s="3" t="str">
        <f>IFERROR(IF(INDEX('PROJETO PERFURAÇÃO'!$P:$P,MATCH(MEDIÇÃO!D1263,'PROJETO PERFURAÇÃO'!$B:$B,0))="Production","P",IF(INDEX('PROJETO PERFURAÇÃO'!$P:$P,MATCH(MEDIÇÃO!D1263,'PROJETO PERFURAÇÃO'!$B:$B,0))="Buffer","B",IF(INDEX('PROJETO PERFURAÇÃO'!$P:$P,MATCH(MEDIÇÃO!D1263,'PROJETO PERFURAÇÃO'!$B:$B,0))="Pre-Splitting","S"))),"")</f>
        <v/>
      </c>
      <c r="D1263" s="14">
        <f t="shared" si="120"/>
        <v>2779</v>
      </c>
      <c r="E1263" s="4" t="str">
        <f>IFERROR(INDEX('LEV R&amp;D'!$D:$D,MATCH(MEDIÇÃO!D1263,'LEV R&amp;D'!$A:$A,0))-INDEX('PROJETO PERFURAÇÃO'!$AH:$AH,MATCH(MEDIÇÃO!D1263,'PROJETO PERFURAÇÃO'!$B:$B,0)),"")</f>
        <v/>
      </c>
      <c r="F1263" s="8" t="str">
        <f>IFERROR(INDEX('PROJETO PERFURAÇÃO'!$AN:$AN,MATCH(MEDIÇÃO!D1263,'PROJETO PERFURAÇÃO'!$B:$B,0)),"")</f>
        <v/>
      </c>
      <c r="G1263" s="3"/>
      <c r="H1263" s="3"/>
      <c r="I1263" s="3" t="str">
        <f>IFERROR(ROUND(INDEX('PROJETO PERFURAÇÃO'!$AB:$AB,MATCH(MEDIÇÃO!K1263,'PROJETO PERFURAÇÃO'!$B:$B,0)),1)&amp;"''","")</f>
        <v/>
      </c>
      <c r="J1263" s="3" t="str">
        <f>IFERROR(IF(INDEX('PROJETO PERFURAÇÃO'!$P:$P,MATCH(MEDIÇÃO!K1263,'PROJETO PERFURAÇÃO'!$B:$B,0))="Production","P",IF(INDEX('PROJETO PERFURAÇÃO'!$P:$P,MATCH(MEDIÇÃO!K1263,'PROJETO PERFURAÇÃO'!$B:$B,0))="Buffer","B",IF(INDEX('PROJETO PERFURAÇÃO'!$P:$P,MATCH(MEDIÇÃO!K1263,'PROJETO PERFURAÇÃO'!$B:$B,0))="Pre-Splitting","S"))),"")</f>
        <v/>
      </c>
      <c r="K1263" s="14">
        <f t="shared" si="121"/>
        <v>2802</v>
      </c>
      <c r="L1263" s="4" t="str">
        <f>IFERROR(INDEX('LEV R&amp;D'!$D:$D,MATCH(MEDIÇÃO!K1263,'LEV R&amp;D'!$A:$A,0))-INDEX('PROJETO PERFURAÇÃO'!$AH:$AH,MATCH(MEDIÇÃO!K1263,'PROJETO PERFURAÇÃO'!$B:$B,0)),"")</f>
        <v/>
      </c>
      <c r="M1263" s="8" t="str">
        <f>IFERROR(INDEX('PROJETO PERFURAÇÃO'!$AN:$AN,MATCH(MEDIÇÃO!K1263,'PROJETO PERFURAÇÃO'!$B:$B,0)),"")</f>
        <v/>
      </c>
      <c r="N1263" s="3"/>
      <c r="O1263" s="3"/>
      <c r="P1263" s="3" t="str">
        <f>IFERROR(ROUND(INDEX('PROJETO PERFURAÇÃO'!$AB:$AB,MATCH(MEDIÇÃO!R1263,'PROJETO PERFURAÇÃO'!$B:$B,0)),1)&amp;"''","")</f>
        <v/>
      </c>
      <c r="Q1263" s="3" t="str">
        <f>IFERROR(IF(INDEX('PROJETO PERFURAÇÃO'!$P:$P,MATCH(MEDIÇÃO!R1263,'PROJETO PERFURAÇÃO'!$B:$B,0))="Production","P",IF(INDEX('PROJETO PERFURAÇÃO'!$P:$P,MATCH(MEDIÇÃO!R1263,'PROJETO PERFURAÇÃO'!$B:$B,0))="Buffer","B",IF(INDEX('PROJETO PERFURAÇÃO'!$P:$P,MATCH(MEDIÇÃO!R1263,'PROJETO PERFURAÇÃO'!$B:$B,0))="Pre-Splitting","S"))),"")</f>
        <v/>
      </c>
      <c r="R1263" s="14">
        <f t="shared" si="122"/>
        <v>2825</v>
      </c>
      <c r="S1263" s="4" t="str">
        <f>IFERROR(INDEX('LEV R&amp;D'!$D:$D,MATCH(MEDIÇÃO!R1263,'LEV R&amp;D'!$A:$A,0))-INDEX('PROJETO PERFURAÇÃO'!$AH:$AH,MATCH(MEDIÇÃO!R1263,'PROJETO PERFURAÇÃO'!$B:$B,0)),"")</f>
        <v/>
      </c>
      <c r="T1263" s="8" t="str">
        <f>IFERROR(INDEX('PROJETO PERFURAÇÃO'!$AN:$AN,MATCH(MEDIÇÃO!R1263,'PROJETO PERFURAÇÃO'!$B:$B,0)),"")</f>
        <v/>
      </c>
      <c r="U1263" s="3"/>
      <c r="V1263" s="3"/>
    </row>
    <row r="1264" spans="2:22" ht="45" customHeight="1" x14ac:dyDescent="0.25">
      <c r="B1264" s="3" t="str">
        <f>IFERROR(ROUND(INDEX('PROJETO PERFURAÇÃO'!$AB:$AB,MATCH(MEDIÇÃO!D1264,'PROJETO PERFURAÇÃO'!$B:$B,0)),1)&amp;"''","")</f>
        <v/>
      </c>
      <c r="C1264" s="3" t="str">
        <f>IFERROR(IF(INDEX('PROJETO PERFURAÇÃO'!$P:$P,MATCH(MEDIÇÃO!D1264,'PROJETO PERFURAÇÃO'!$B:$B,0))="Production","P",IF(INDEX('PROJETO PERFURAÇÃO'!$P:$P,MATCH(MEDIÇÃO!D1264,'PROJETO PERFURAÇÃO'!$B:$B,0))="Buffer","B",IF(INDEX('PROJETO PERFURAÇÃO'!$P:$P,MATCH(MEDIÇÃO!D1264,'PROJETO PERFURAÇÃO'!$B:$B,0))="Pre-Splitting","S"))),"")</f>
        <v/>
      </c>
      <c r="D1264" s="14">
        <f t="shared" si="120"/>
        <v>2780</v>
      </c>
      <c r="E1264" s="4" t="str">
        <f>IFERROR(INDEX('LEV R&amp;D'!$D:$D,MATCH(MEDIÇÃO!D1264,'LEV R&amp;D'!$A:$A,0))-INDEX('PROJETO PERFURAÇÃO'!$AH:$AH,MATCH(MEDIÇÃO!D1264,'PROJETO PERFURAÇÃO'!$B:$B,0)),"")</f>
        <v/>
      </c>
      <c r="F1264" s="8" t="str">
        <f>IFERROR(INDEX('PROJETO PERFURAÇÃO'!$AN:$AN,MATCH(MEDIÇÃO!D1264,'PROJETO PERFURAÇÃO'!$B:$B,0)),"")</f>
        <v/>
      </c>
      <c r="G1264" s="3"/>
      <c r="H1264" s="3"/>
      <c r="I1264" s="3" t="str">
        <f>IFERROR(ROUND(INDEX('PROJETO PERFURAÇÃO'!$AB:$AB,MATCH(MEDIÇÃO!K1264,'PROJETO PERFURAÇÃO'!$B:$B,0)),1)&amp;"''","")</f>
        <v/>
      </c>
      <c r="J1264" s="3" t="str">
        <f>IFERROR(IF(INDEX('PROJETO PERFURAÇÃO'!$P:$P,MATCH(MEDIÇÃO!K1264,'PROJETO PERFURAÇÃO'!$B:$B,0))="Production","P",IF(INDEX('PROJETO PERFURAÇÃO'!$P:$P,MATCH(MEDIÇÃO!K1264,'PROJETO PERFURAÇÃO'!$B:$B,0))="Buffer","B",IF(INDEX('PROJETO PERFURAÇÃO'!$P:$P,MATCH(MEDIÇÃO!K1264,'PROJETO PERFURAÇÃO'!$B:$B,0))="Pre-Splitting","S"))),"")</f>
        <v/>
      </c>
      <c r="K1264" s="14">
        <f t="shared" si="121"/>
        <v>2803</v>
      </c>
      <c r="L1264" s="4" t="str">
        <f>IFERROR(INDEX('LEV R&amp;D'!$D:$D,MATCH(MEDIÇÃO!K1264,'LEV R&amp;D'!$A:$A,0))-INDEX('PROJETO PERFURAÇÃO'!$AH:$AH,MATCH(MEDIÇÃO!K1264,'PROJETO PERFURAÇÃO'!$B:$B,0)),"")</f>
        <v/>
      </c>
      <c r="M1264" s="8" t="str">
        <f>IFERROR(INDEX('PROJETO PERFURAÇÃO'!$AN:$AN,MATCH(MEDIÇÃO!K1264,'PROJETO PERFURAÇÃO'!$B:$B,0)),"")</f>
        <v/>
      </c>
      <c r="N1264" s="3"/>
      <c r="O1264" s="3"/>
      <c r="P1264" s="3" t="str">
        <f>IFERROR(ROUND(INDEX('PROJETO PERFURAÇÃO'!$AB:$AB,MATCH(MEDIÇÃO!R1264,'PROJETO PERFURAÇÃO'!$B:$B,0)),1)&amp;"''","")</f>
        <v/>
      </c>
      <c r="Q1264" s="3" t="str">
        <f>IFERROR(IF(INDEX('PROJETO PERFURAÇÃO'!$P:$P,MATCH(MEDIÇÃO!R1264,'PROJETO PERFURAÇÃO'!$B:$B,0))="Production","P",IF(INDEX('PROJETO PERFURAÇÃO'!$P:$P,MATCH(MEDIÇÃO!R1264,'PROJETO PERFURAÇÃO'!$B:$B,0))="Buffer","B",IF(INDEX('PROJETO PERFURAÇÃO'!$P:$P,MATCH(MEDIÇÃO!R1264,'PROJETO PERFURAÇÃO'!$B:$B,0))="Pre-Splitting","S"))),"")</f>
        <v/>
      </c>
      <c r="R1264" s="14">
        <f t="shared" si="122"/>
        <v>2826</v>
      </c>
      <c r="S1264" s="4" t="str">
        <f>IFERROR(INDEX('LEV R&amp;D'!$D:$D,MATCH(MEDIÇÃO!R1264,'LEV R&amp;D'!$A:$A,0))-INDEX('PROJETO PERFURAÇÃO'!$AH:$AH,MATCH(MEDIÇÃO!R1264,'PROJETO PERFURAÇÃO'!$B:$B,0)),"")</f>
        <v/>
      </c>
      <c r="T1264" s="8" t="str">
        <f>IFERROR(INDEX('PROJETO PERFURAÇÃO'!$AN:$AN,MATCH(MEDIÇÃO!R1264,'PROJETO PERFURAÇÃO'!$B:$B,0)),"")</f>
        <v/>
      </c>
      <c r="U1264" s="3"/>
      <c r="V1264" s="3"/>
    </row>
    <row r="1265" spans="1:23" ht="45" customHeight="1" x14ac:dyDescent="0.25">
      <c r="B1265" s="3" t="str">
        <f>IFERROR(ROUND(INDEX('PROJETO PERFURAÇÃO'!$AB:$AB,MATCH(MEDIÇÃO!D1265,'PROJETO PERFURAÇÃO'!$B:$B,0)),1)&amp;"''","")</f>
        <v/>
      </c>
      <c r="C1265" s="3" t="str">
        <f>IFERROR(IF(INDEX('PROJETO PERFURAÇÃO'!$P:$P,MATCH(MEDIÇÃO!D1265,'PROJETO PERFURAÇÃO'!$B:$B,0))="Production","P",IF(INDEX('PROJETO PERFURAÇÃO'!$P:$P,MATCH(MEDIÇÃO!D1265,'PROJETO PERFURAÇÃO'!$B:$B,0))="Buffer","B",IF(INDEX('PROJETO PERFURAÇÃO'!$P:$P,MATCH(MEDIÇÃO!D1265,'PROJETO PERFURAÇÃO'!$B:$B,0))="Pre-Splitting","S"))),"")</f>
        <v/>
      </c>
      <c r="D1265" s="14">
        <f t="shared" si="120"/>
        <v>2781</v>
      </c>
      <c r="E1265" s="4" t="str">
        <f>IFERROR(INDEX('LEV R&amp;D'!$D:$D,MATCH(MEDIÇÃO!D1265,'LEV R&amp;D'!$A:$A,0))-INDEX('PROJETO PERFURAÇÃO'!$AH:$AH,MATCH(MEDIÇÃO!D1265,'PROJETO PERFURAÇÃO'!$B:$B,0)),"")</f>
        <v/>
      </c>
      <c r="F1265" s="8" t="str">
        <f>IFERROR(INDEX('PROJETO PERFURAÇÃO'!$AN:$AN,MATCH(MEDIÇÃO!D1265,'PROJETO PERFURAÇÃO'!$B:$B,0)),"")</f>
        <v/>
      </c>
      <c r="G1265" s="3"/>
      <c r="H1265" s="3"/>
      <c r="I1265" s="3" t="str">
        <f>IFERROR(ROUND(INDEX('PROJETO PERFURAÇÃO'!$AB:$AB,MATCH(MEDIÇÃO!K1265,'PROJETO PERFURAÇÃO'!$B:$B,0)),1)&amp;"''","")</f>
        <v/>
      </c>
      <c r="J1265" s="3" t="str">
        <f>IFERROR(IF(INDEX('PROJETO PERFURAÇÃO'!$P:$P,MATCH(MEDIÇÃO!K1265,'PROJETO PERFURAÇÃO'!$B:$B,0))="Production","P",IF(INDEX('PROJETO PERFURAÇÃO'!$P:$P,MATCH(MEDIÇÃO!K1265,'PROJETO PERFURAÇÃO'!$B:$B,0))="Buffer","B",IF(INDEX('PROJETO PERFURAÇÃO'!$P:$P,MATCH(MEDIÇÃO!K1265,'PROJETO PERFURAÇÃO'!$B:$B,0))="Pre-Splitting","S"))),"")</f>
        <v/>
      </c>
      <c r="K1265" s="14">
        <f t="shared" si="121"/>
        <v>2804</v>
      </c>
      <c r="L1265" s="4" t="str">
        <f>IFERROR(INDEX('LEV R&amp;D'!$D:$D,MATCH(MEDIÇÃO!K1265,'LEV R&amp;D'!$A:$A,0))-INDEX('PROJETO PERFURAÇÃO'!$AH:$AH,MATCH(MEDIÇÃO!K1265,'PROJETO PERFURAÇÃO'!$B:$B,0)),"")</f>
        <v/>
      </c>
      <c r="M1265" s="8" t="str">
        <f>IFERROR(INDEX('PROJETO PERFURAÇÃO'!$AN:$AN,MATCH(MEDIÇÃO!K1265,'PROJETO PERFURAÇÃO'!$B:$B,0)),"")</f>
        <v/>
      </c>
      <c r="N1265" s="3"/>
      <c r="O1265" s="3"/>
      <c r="P1265" s="3" t="str">
        <f>IFERROR(ROUND(INDEX('PROJETO PERFURAÇÃO'!$AB:$AB,MATCH(MEDIÇÃO!R1265,'PROJETO PERFURAÇÃO'!$B:$B,0)),1)&amp;"''","")</f>
        <v/>
      </c>
      <c r="Q1265" s="3" t="str">
        <f>IFERROR(IF(INDEX('PROJETO PERFURAÇÃO'!$P:$P,MATCH(MEDIÇÃO!R1265,'PROJETO PERFURAÇÃO'!$B:$B,0))="Production","P",IF(INDEX('PROJETO PERFURAÇÃO'!$P:$P,MATCH(MEDIÇÃO!R1265,'PROJETO PERFURAÇÃO'!$B:$B,0))="Buffer","B",IF(INDEX('PROJETO PERFURAÇÃO'!$P:$P,MATCH(MEDIÇÃO!R1265,'PROJETO PERFURAÇÃO'!$B:$B,0))="Pre-Splitting","S"))),"")</f>
        <v/>
      </c>
      <c r="R1265" s="14">
        <f t="shared" si="122"/>
        <v>2827</v>
      </c>
      <c r="S1265" s="4" t="str">
        <f>IFERROR(INDEX('LEV R&amp;D'!$D:$D,MATCH(MEDIÇÃO!R1265,'LEV R&amp;D'!$A:$A,0))-INDEX('PROJETO PERFURAÇÃO'!$AH:$AH,MATCH(MEDIÇÃO!R1265,'PROJETO PERFURAÇÃO'!$B:$B,0)),"")</f>
        <v/>
      </c>
      <c r="T1265" s="8" t="str">
        <f>IFERROR(INDEX('PROJETO PERFURAÇÃO'!$AN:$AN,MATCH(MEDIÇÃO!R1265,'PROJETO PERFURAÇÃO'!$B:$B,0)),"")</f>
        <v/>
      </c>
      <c r="U1265" s="3"/>
      <c r="V1265" s="3"/>
    </row>
    <row r="1266" spans="1:23" ht="45" customHeight="1" x14ac:dyDescent="0.25">
      <c r="B1266" s="3" t="str">
        <f>IFERROR(ROUND(INDEX('PROJETO PERFURAÇÃO'!$AB:$AB,MATCH(MEDIÇÃO!D1266,'PROJETO PERFURAÇÃO'!$B:$B,0)),1)&amp;"''","")</f>
        <v/>
      </c>
      <c r="C1266" s="3" t="str">
        <f>IFERROR(IF(INDEX('PROJETO PERFURAÇÃO'!$P:$P,MATCH(MEDIÇÃO!D1266,'PROJETO PERFURAÇÃO'!$B:$B,0))="Production","P",IF(INDEX('PROJETO PERFURAÇÃO'!$P:$P,MATCH(MEDIÇÃO!D1266,'PROJETO PERFURAÇÃO'!$B:$B,0))="Buffer","B",IF(INDEX('PROJETO PERFURAÇÃO'!$P:$P,MATCH(MEDIÇÃO!D1266,'PROJETO PERFURAÇÃO'!$B:$B,0))="Pre-Splitting","S"))),"")</f>
        <v/>
      </c>
      <c r="D1266" s="14">
        <f t="shared" si="120"/>
        <v>2782</v>
      </c>
      <c r="E1266" s="4" t="str">
        <f>IFERROR(INDEX('LEV R&amp;D'!$D:$D,MATCH(MEDIÇÃO!D1266,'LEV R&amp;D'!$A:$A,0))-INDEX('PROJETO PERFURAÇÃO'!$AH:$AH,MATCH(MEDIÇÃO!D1266,'PROJETO PERFURAÇÃO'!$B:$B,0)),"")</f>
        <v/>
      </c>
      <c r="F1266" s="8" t="str">
        <f>IFERROR(INDEX('PROJETO PERFURAÇÃO'!$AN:$AN,MATCH(MEDIÇÃO!D1266,'PROJETO PERFURAÇÃO'!$B:$B,0)),"")</f>
        <v/>
      </c>
      <c r="G1266" s="3"/>
      <c r="H1266" s="3"/>
      <c r="I1266" s="3" t="str">
        <f>IFERROR(ROUND(INDEX('PROJETO PERFURAÇÃO'!$AB:$AB,MATCH(MEDIÇÃO!K1266,'PROJETO PERFURAÇÃO'!$B:$B,0)),1)&amp;"''","")</f>
        <v/>
      </c>
      <c r="J1266" s="3" t="str">
        <f>IFERROR(IF(INDEX('PROJETO PERFURAÇÃO'!$P:$P,MATCH(MEDIÇÃO!K1266,'PROJETO PERFURAÇÃO'!$B:$B,0))="Production","P",IF(INDEX('PROJETO PERFURAÇÃO'!$P:$P,MATCH(MEDIÇÃO!K1266,'PROJETO PERFURAÇÃO'!$B:$B,0))="Buffer","B",IF(INDEX('PROJETO PERFURAÇÃO'!$P:$P,MATCH(MEDIÇÃO!K1266,'PROJETO PERFURAÇÃO'!$B:$B,0))="Pre-Splitting","S"))),"")</f>
        <v/>
      </c>
      <c r="K1266" s="14">
        <f t="shared" si="121"/>
        <v>2805</v>
      </c>
      <c r="L1266" s="4" t="str">
        <f>IFERROR(INDEX('LEV R&amp;D'!$D:$D,MATCH(MEDIÇÃO!K1266,'LEV R&amp;D'!$A:$A,0))-INDEX('PROJETO PERFURAÇÃO'!$AH:$AH,MATCH(MEDIÇÃO!K1266,'PROJETO PERFURAÇÃO'!$B:$B,0)),"")</f>
        <v/>
      </c>
      <c r="M1266" s="8" t="str">
        <f>IFERROR(INDEX('PROJETO PERFURAÇÃO'!$AN:$AN,MATCH(MEDIÇÃO!K1266,'PROJETO PERFURAÇÃO'!$B:$B,0)),"")</f>
        <v/>
      </c>
      <c r="N1266" s="3"/>
      <c r="O1266" s="3"/>
      <c r="P1266" s="3" t="str">
        <f>IFERROR(ROUND(INDEX('PROJETO PERFURAÇÃO'!$AB:$AB,MATCH(MEDIÇÃO!R1266,'PROJETO PERFURAÇÃO'!$B:$B,0)),1)&amp;"''","")</f>
        <v/>
      </c>
      <c r="Q1266" s="3" t="str">
        <f>IFERROR(IF(INDEX('PROJETO PERFURAÇÃO'!$P:$P,MATCH(MEDIÇÃO!R1266,'PROJETO PERFURAÇÃO'!$B:$B,0))="Production","P",IF(INDEX('PROJETO PERFURAÇÃO'!$P:$P,MATCH(MEDIÇÃO!R1266,'PROJETO PERFURAÇÃO'!$B:$B,0))="Buffer","B",IF(INDEX('PROJETO PERFURAÇÃO'!$P:$P,MATCH(MEDIÇÃO!R1266,'PROJETO PERFURAÇÃO'!$B:$B,0))="Pre-Splitting","S"))),"")</f>
        <v/>
      </c>
      <c r="R1266" s="14">
        <f t="shared" si="122"/>
        <v>2828</v>
      </c>
      <c r="S1266" s="4" t="str">
        <f>IFERROR(INDEX('LEV R&amp;D'!$D:$D,MATCH(MEDIÇÃO!R1266,'LEV R&amp;D'!$A:$A,0))-INDEX('PROJETO PERFURAÇÃO'!$AH:$AH,MATCH(MEDIÇÃO!R1266,'PROJETO PERFURAÇÃO'!$B:$B,0)),"")</f>
        <v/>
      </c>
      <c r="T1266" s="8" t="str">
        <f>IFERROR(INDEX('PROJETO PERFURAÇÃO'!$AN:$AN,MATCH(MEDIÇÃO!R1266,'PROJETO PERFURAÇÃO'!$B:$B,0)),"")</f>
        <v/>
      </c>
      <c r="U1266" s="3"/>
      <c r="V1266" s="3"/>
    </row>
    <row r="1267" spans="1:23" ht="45" customHeight="1" x14ac:dyDescent="0.25">
      <c r="B1267" s="3" t="str">
        <f>IFERROR(ROUND(INDEX('PROJETO PERFURAÇÃO'!$AB:$AB,MATCH(MEDIÇÃO!D1267,'PROJETO PERFURAÇÃO'!$B:$B,0)),1)&amp;"''","")</f>
        <v/>
      </c>
      <c r="C1267" s="3" t="str">
        <f>IFERROR(IF(INDEX('PROJETO PERFURAÇÃO'!$P:$P,MATCH(MEDIÇÃO!D1267,'PROJETO PERFURAÇÃO'!$B:$B,0))="Production","P",IF(INDEX('PROJETO PERFURAÇÃO'!$P:$P,MATCH(MEDIÇÃO!D1267,'PROJETO PERFURAÇÃO'!$B:$B,0))="Buffer","B",IF(INDEX('PROJETO PERFURAÇÃO'!$P:$P,MATCH(MEDIÇÃO!D1267,'PROJETO PERFURAÇÃO'!$B:$B,0))="Pre-Splitting","S"))),"")</f>
        <v/>
      </c>
      <c r="D1267" s="14">
        <f t="shared" si="120"/>
        <v>2783</v>
      </c>
      <c r="E1267" s="4" t="str">
        <f>IFERROR(INDEX('LEV R&amp;D'!$D:$D,MATCH(MEDIÇÃO!D1267,'LEV R&amp;D'!$A:$A,0))-INDEX('PROJETO PERFURAÇÃO'!$AH:$AH,MATCH(MEDIÇÃO!D1267,'PROJETO PERFURAÇÃO'!$B:$B,0)),"")</f>
        <v/>
      </c>
      <c r="F1267" s="8" t="str">
        <f>IFERROR(INDEX('PROJETO PERFURAÇÃO'!$AN:$AN,MATCH(MEDIÇÃO!D1267,'PROJETO PERFURAÇÃO'!$B:$B,0)),"")</f>
        <v/>
      </c>
      <c r="G1267" s="3"/>
      <c r="H1267" s="3"/>
      <c r="I1267" s="3" t="str">
        <f>IFERROR(ROUND(INDEX('PROJETO PERFURAÇÃO'!$AB:$AB,MATCH(MEDIÇÃO!K1267,'PROJETO PERFURAÇÃO'!$B:$B,0)),1)&amp;"''","")</f>
        <v/>
      </c>
      <c r="J1267" s="3" t="str">
        <f>IFERROR(IF(INDEX('PROJETO PERFURAÇÃO'!$P:$P,MATCH(MEDIÇÃO!K1267,'PROJETO PERFURAÇÃO'!$B:$B,0))="Production","P",IF(INDEX('PROJETO PERFURAÇÃO'!$P:$P,MATCH(MEDIÇÃO!K1267,'PROJETO PERFURAÇÃO'!$B:$B,0))="Buffer","B",IF(INDEX('PROJETO PERFURAÇÃO'!$P:$P,MATCH(MEDIÇÃO!K1267,'PROJETO PERFURAÇÃO'!$B:$B,0))="Pre-Splitting","S"))),"")</f>
        <v/>
      </c>
      <c r="K1267" s="14">
        <f>K1266+1</f>
        <v>2806</v>
      </c>
      <c r="L1267" s="4" t="str">
        <f>IFERROR(INDEX('LEV R&amp;D'!$D:$D,MATCH(MEDIÇÃO!K1267,'LEV R&amp;D'!$A:$A,0))-INDEX('PROJETO PERFURAÇÃO'!$AH:$AH,MATCH(MEDIÇÃO!K1267,'PROJETO PERFURAÇÃO'!$B:$B,0)),"")</f>
        <v/>
      </c>
      <c r="M1267" s="8" t="str">
        <f>IFERROR(INDEX('PROJETO PERFURAÇÃO'!$AN:$AN,MATCH(MEDIÇÃO!K1267,'PROJETO PERFURAÇÃO'!$B:$B,0)),"")</f>
        <v/>
      </c>
      <c r="N1267" s="3"/>
      <c r="O1267" s="3"/>
      <c r="P1267" s="3" t="str">
        <f>IFERROR(ROUND(INDEX('PROJETO PERFURAÇÃO'!$AB:$AB,MATCH(MEDIÇÃO!R1267,'PROJETO PERFURAÇÃO'!$B:$B,0)),1)&amp;"''","")</f>
        <v/>
      </c>
      <c r="Q1267" s="3" t="str">
        <f>IFERROR(IF(INDEX('PROJETO PERFURAÇÃO'!$P:$P,MATCH(MEDIÇÃO!R1267,'PROJETO PERFURAÇÃO'!$B:$B,0))="Production","P",IF(INDEX('PROJETO PERFURAÇÃO'!$P:$P,MATCH(MEDIÇÃO!R1267,'PROJETO PERFURAÇÃO'!$B:$B,0))="Buffer","B",IF(INDEX('PROJETO PERFURAÇÃO'!$P:$P,MATCH(MEDIÇÃO!R1267,'PROJETO PERFURAÇÃO'!$B:$B,0))="Pre-Splitting","S"))),"")</f>
        <v/>
      </c>
      <c r="R1267" s="14">
        <f>R1266+1</f>
        <v>2829</v>
      </c>
      <c r="S1267" s="4" t="str">
        <f>IFERROR(INDEX('LEV R&amp;D'!$D:$D,MATCH(MEDIÇÃO!R1267,'LEV R&amp;D'!$A:$A,0))-INDEX('PROJETO PERFURAÇÃO'!$AH:$AH,MATCH(MEDIÇÃO!R1267,'PROJETO PERFURAÇÃO'!$B:$B,0)),"")</f>
        <v/>
      </c>
      <c r="T1267" s="8" t="str">
        <f>IFERROR(INDEX('PROJETO PERFURAÇÃO'!$AN:$AN,MATCH(MEDIÇÃO!R1267,'PROJETO PERFURAÇÃO'!$B:$B,0)),"")</f>
        <v/>
      </c>
      <c r="U1267" s="3"/>
      <c r="V1267" s="3"/>
    </row>
    <row r="1268" spans="1:23" ht="30" customHeight="1" x14ac:dyDescent="0.25">
      <c r="B1268" s="1"/>
      <c r="C1268" s="1"/>
      <c r="D1268" s="15"/>
      <c r="E1268" s="2"/>
      <c r="F1268" s="16"/>
      <c r="G1268" s="1"/>
      <c r="H1268" s="1"/>
      <c r="I1268" s="1"/>
      <c r="J1268" s="1"/>
      <c r="K1268" s="15"/>
      <c r="L1268" s="2"/>
      <c r="M1268" s="16"/>
      <c r="N1268" s="1"/>
      <c r="O1268" s="1"/>
      <c r="P1268" s="1"/>
      <c r="Q1268" s="1"/>
      <c r="R1268" s="15"/>
      <c r="S1268" s="2"/>
      <c r="T1268" s="16"/>
      <c r="U1268" s="1"/>
      <c r="V1268" s="1"/>
    </row>
    <row r="1269" spans="1:23" ht="30" customHeight="1" x14ac:dyDescent="0.25">
      <c r="C1269" s="20"/>
      <c r="D1269" s="20"/>
      <c r="E1269" s="20"/>
      <c r="F1269" s="20"/>
      <c r="G1269" s="20"/>
      <c r="H1269" s="20"/>
      <c r="I1269" s="20"/>
      <c r="J1269" s="20"/>
      <c r="K1269" s="20"/>
      <c r="M1269" s="20"/>
      <c r="N1269" s="20"/>
      <c r="O1269" s="20"/>
      <c r="P1269" s="20"/>
      <c r="Q1269" s="20"/>
      <c r="R1269" s="20"/>
      <c r="S1269" s="20"/>
      <c r="T1269" s="20"/>
      <c r="U1269" s="20"/>
    </row>
    <row r="1270" spans="1:23" ht="30" customHeight="1" x14ac:dyDescent="0.25">
      <c r="C1270" s="21" t="s">
        <v>40</v>
      </c>
      <c r="D1270" s="21"/>
      <c r="E1270" s="21"/>
      <c r="F1270" s="21"/>
      <c r="G1270" s="21"/>
      <c r="H1270" s="21"/>
      <c r="I1270" s="21"/>
      <c r="J1270" s="21"/>
      <c r="K1270" s="21"/>
      <c r="L1270" s="9"/>
      <c r="M1270" s="21" t="s">
        <v>40</v>
      </c>
      <c r="N1270" s="21"/>
      <c r="O1270" s="21"/>
      <c r="P1270" s="21"/>
      <c r="Q1270" s="21"/>
      <c r="R1270" s="21"/>
      <c r="S1270" s="21"/>
      <c r="T1270" s="21"/>
      <c r="U1270" s="21"/>
      <c r="V1270" s="9"/>
    </row>
    <row r="1271" spans="1:23" ht="30" customHeight="1" x14ac:dyDescent="0.25">
      <c r="D1271" s="9"/>
      <c r="E1271" s="9"/>
      <c r="F1271" s="9"/>
      <c r="G1271" s="9"/>
      <c r="H1271" s="9"/>
      <c r="I1271" s="9"/>
      <c r="J1271" s="9"/>
      <c r="K1271" s="9"/>
      <c r="L1271" s="9"/>
      <c r="M1271" s="9"/>
      <c r="N1271" s="9"/>
      <c r="Q1271" s="9"/>
      <c r="R1271" s="9"/>
      <c r="S1271" s="9"/>
      <c r="T1271" s="9"/>
      <c r="U1271" s="9"/>
      <c r="V1271" s="9"/>
    </row>
    <row r="1272" spans="1:23" ht="30" customHeight="1" x14ac:dyDescent="0.25">
      <c r="B1272" s="19" t="str">
        <f>'PROJETO PERFURAÇÃO'!$C$2&amp;" - "&amp;'PROJETO PERFURAÇÃO'!$H$2</f>
        <v>LIB065 - PP0651026</v>
      </c>
      <c r="C1272" s="19"/>
      <c r="D1272" s="19"/>
      <c r="E1272" s="19"/>
      <c r="F1272" s="19"/>
      <c r="G1272" s="19"/>
      <c r="H1272" s="19"/>
      <c r="I1272" s="11" t="s">
        <v>34</v>
      </c>
      <c r="J1272" s="10" t="s">
        <v>37</v>
      </c>
    </row>
    <row r="1273" spans="1:23" ht="30" customHeight="1" x14ac:dyDescent="0.25">
      <c r="B1273" s="19"/>
      <c r="C1273" s="19"/>
      <c r="D1273" s="19"/>
      <c r="E1273" s="19"/>
      <c r="F1273" s="19"/>
      <c r="G1273" s="19"/>
      <c r="H1273" s="19"/>
      <c r="I1273" s="12" t="s">
        <v>35</v>
      </c>
      <c r="J1273" s="10" t="s">
        <v>38</v>
      </c>
      <c r="K1273" s="9"/>
      <c r="L1273" s="9"/>
      <c r="M1273" s="9"/>
      <c r="N1273" s="9"/>
      <c r="O1273" s="9"/>
      <c r="P1273" s="9"/>
      <c r="Q1273" s="9"/>
      <c r="R1273" s="9"/>
      <c r="S1273" s="9"/>
      <c r="T1273" s="9"/>
      <c r="U1273" s="9"/>
      <c r="V1273" s="9"/>
    </row>
    <row r="1274" spans="1:23" ht="30" customHeight="1" x14ac:dyDescent="0.25">
      <c r="B1274" s="19"/>
      <c r="C1274" s="19"/>
      <c r="D1274" s="19"/>
      <c r="E1274" s="19"/>
      <c r="F1274" s="19"/>
      <c r="G1274" s="19"/>
      <c r="H1274" s="19"/>
      <c r="I1274" s="13" t="s">
        <v>36</v>
      </c>
      <c r="J1274" s="10" t="s">
        <v>39</v>
      </c>
    </row>
    <row r="1275" spans="1:23" ht="30" customHeight="1" x14ac:dyDescent="0.25">
      <c r="A1275" s="1"/>
      <c r="B1275" s="6" t="s">
        <v>33</v>
      </c>
      <c r="C1275" s="6" t="s">
        <v>13</v>
      </c>
      <c r="D1275" s="7" t="s">
        <v>1</v>
      </c>
      <c r="E1275" s="7" t="s">
        <v>29</v>
      </c>
      <c r="F1275" s="7" t="s">
        <v>30</v>
      </c>
      <c r="G1275" s="7" t="s">
        <v>31</v>
      </c>
      <c r="H1275" s="7" t="s">
        <v>32</v>
      </c>
      <c r="I1275" s="6" t="s">
        <v>33</v>
      </c>
      <c r="J1275" s="6" t="s">
        <v>13</v>
      </c>
      <c r="K1275" s="7" t="s">
        <v>1</v>
      </c>
      <c r="L1275" s="7" t="s">
        <v>29</v>
      </c>
      <c r="M1275" s="7" t="s">
        <v>30</v>
      </c>
      <c r="N1275" s="7" t="s">
        <v>31</v>
      </c>
      <c r="O1275" s="7" t="s">
        <v>32</v>
      </c>
      <c r="P1275" s="6" t="s">
        <v>33</v>
      </c>
      <c r="Q1275" s="6" t="s">
        <v>13</v>
      </c>
      <c r="R1275" s="7" t="s">
        <v>1</v>
      </c>
      <c r="S1275" s="7" t="s">
        <v>29</v>
      </c>
      <c r="T1275" s="7" t="s">
        <v>30</v>
      </c>
      <c r="U1275" s="7" t="s">
        <v>31</v>
      </c>
      <c r="V1275" s="7" t="s">
        <v>32</v>
      </c>
      <c r="W1275" s="1"/>
    </row>
    <row r="1276" spans="1:23" ht="45" customHeight="1" x14ac:dyDescent="0.25">
      <c r="B1276" s="3" t="str">
        <f>IFERROR(ROUND(INDEX('PROJETO PERFURAÇÃO'!$AB:$AB,MATCH(MEDIÇÃO!D1276,'PROJETO PERFURAÇÃO'!$B:$B,0)),1)&amp;"''","")</f>
        <v/>
      </c>
      <c r="C1276" s="3" t="str">
        <f>IFERROR(IF(INDEX('PROJETO PERFURAÇÃO'!$P:$P,MATCH(MEDIÇÃO!D1276,'PROJETO PERFURAÇÃO'!$B:$B,0))="Production","P",IF(INDEX('PROJETO PERFURAÇÃO'!$P:$P,MATCH(MEDIÇÃO!D1276,'PROJETO PERFURAÇÃO'!$B:$B,0))="Buffer","B",IF(INDEX('PROJETO PERFURAÇÃO'!$P:$P,MATCH(MEDIÇÃO!D1276,'PROJETO PERFURAÇÃO'!$B:$B,0))="Pre-Splitting","S"))),"")</f>
        <v/>
      </c>
      <c r="D1276" s="14">
        <f>R1267+1</f>
        <v>2830</v>
      </c>
      <c r="E1276" s="4" t="str">
        <f>IFERROR(INDEX('LEV R&amp;D'!$D:$D,MATCH(MEDIÇÃO!D1276,'LEV R&amp;D'!$A:$A,0))-INDEX('PROJETO PERFURAÇÃO'!$AH:$AH,MATCH(MEDIÇÃO!D1276,'PROJETO PERFURAÇÃO'!$B:$B,0)),"")</f>
        <v/>
      </c>
      <c r="F1276" s="8" t="str">
        <f>IFERROR(INDEX('PROJETO PERFURAÇÃO'!$AN:$AN,MATCH(MEDIÇÃO!D1276,'PROJETO PERFURAÇÃO'!$B:$B,0)),"")</f>
        <v/>
      </c>
      <c r="G1276" s="3"/>
      <c r="H1276" s="3"/>
      <c r="I1276" s="3" t="str">
        <f>IFERROR(ROUND(INDEX('PROJETO PERFURAÇÃO'!$AB:$AB,MATCH(MEDIÇÃO!K1276,'PROJETO PERFURAÇÃO'!$B:$B,0)),1)&amp;"''","")</f>
        <v/>
      </c>
      <c r="J1276" s="3" t="str">
        <f>IFERROR(IF(INDEX('PROJETO PERFURAÇÃO'!$P:$P,MATCH(MEDIÇÃO!K1276,'PROJETO PERFURAÇÃO'!$B:$B,0))="Production","P",IF(INDEX('PROJETO PERFURAÇÃO'!$P:$P,MATCH(MEDIÇÃO!K1276,'PROJETO PERFURAÇÃO'!$B:$B,0))="Buffer","B",IF(INDEX('PROJETO PERFURAÇÃO'!$P:$P,MATCH(MEDIÇÃO!K1276,'PROJETO PERFURAÇÃO'!$B:$B,0))="Pre-Splitting","S"))),"")</f>
        <v/>
      </c>
      <c r="K1276" s="14">
        <f>D1298+1</f>
        <v>2853</v>
      </c>
      <c r="L1276" s="4" t="str">
        <f>IFERROR(INDEX('LEV R&amp;D'!$D:$D,MATCH(MEDIÇÃO!K1276,'LEV R&amp;D'!$A:$A,0))-INDEX('PROJETO PERFURAÇÃO'!$AH:$AH,MATCH(MEDIÇÃO!K1276,'PROJETO PERFURAÇÃO'!$B:$B,0)),"")</f>
        <v/>
      </c>
      <c r="M1276" s="8" t="str">
        <f>IFERROR(INDEX('PROJETO PERFURAÇÃO'!$AN:$AN,MATCH(MEDIÇÃO!K1276,'PROJETO PERFURAÇÃO'!$B:$B,0)),"")</f>
        <v/>
      </c>
      <c r="N1276" s="3"/>
      <c r="O1276" s="3"/>
      <c r="P1276" s="3" t="str">
        <f>IFERROR(ROUND(INDEX('PROJETO PERFURAÇÃO'!$AB:$AB,MATCH(MEDIÇÃO!R1276,'PROJETO PERFURAÇÃO'!$B:$B,0)),1)&amp;"''","")</f>
        <v/>
      </c>
      <c r="Q1276" s="3" t="str">
        <f>IFERROR(IF(INDEX('PROJETO PERFURAÇÃO'!$P:$P,MATCH(MEDIÇÃO!R1276,'PROJETO PERFURAÇÃO'!$B:$B,0))="Production","P",IF(INDEX('PROJETO PERFURAÇÃO'!$P:$P,MATCH(MEDIÇÃO!R1276,'PROJETO PERFURAÇÃO'!$B:$B,0))="Buffer","B",IF(INDEX('PROJETO PERFURAÇÃO'!$P:$P,MATCH(MEDIÇÃO!R1276,'PROJETO PERFURAÇÃO'!$B:$B,0))="Pre-Splitting","S"))),"")</f>
        <v/>
      </c>
      <c r="R1276" s="14">
        <f>K1298+1</f>
        <v>2876</v>
      </c>
      <c r="S1276" s="4" t="str">
        <f>IFERROR(INDEX('LEV R&amp;D'!$D:$D,MATCH(MEDIÇÃO!R1276,'LEV R&amp;D'!$A:$A,0))-INDEX('PROJETO PERFURAÇÃO'!$AH:$AH,MATCH(MEDIÇÃO!R1276,'PROJETO PERFURAÇÃO'!$B:$B,0)),"")</f>
        <v/>
      </c>
      <c r="T1276" s="8" t="str">
        <f>IFERROR(INDEX('PROJETO PERFURAÇÃO'!$AN:$AN,MATCH(MEDIÇÃO!R1276,'PROJETO PERFURAÇÃO'!$B:$B,0)),"")</f>
        <v/>
      </c>
      <c r="U1276" s="3"/>
      <c r="V1276" s="3"/>
    </row>
    <row r="1277" spans="1:23" ht="45" customHeight="1" x14ac:dyDescent="0.25">
      <c r="B1277" s="3" t="str">
        <f>IFERROR(ROUND(INDEX('PROJETO PERFURAÇÃO'!$AB:$AB,MATCH(MEDIÇÃO!D1277,'PROJETO PERFURAÇÃO'!$B:$B,0)),1)&amp;"''","")</f>
        <v/>
      </c>
      <c r="C1277" s="3" t="str">
        <f>IFERROR(IF(INDEX('PROJETO PERFURAÇÃO'!$P:$P,MATCH(MEDIÇÃO!D1277,'PROJETO PERFURAÇÃO'!$B:$B,0))="Production","P",IF(INDEX('PROJETO PERFURAÇÃO'!$P:$P,MATCH(MEDIÇÃO!D1277,'PROJETO PERFURAÇÃO'!$B:$B,0))="Buffer","B",IF(INDEX('PROJETO PERFURAÇÃO'!$P:$P,MATCH(MEDIÇÃO!D1277,'PROJETO PERFURAÇÃO'!$B:$B,0))="Pre-Splitting","S"))),"")</f>
        <v/>
      </c>
      <c r="D1277" s="14">
        <f>D1276+1</f>
        <v>2831</v>
      </c>
      <c r="E1277" s="4" t="str">
        <f>IFERROR(INDEX('LEV R&amp;D'!$D:$D,MATCH(MEDIÇÃO!D1277,'LEV R&amp;D'!$A:$A,0))-INDEX('PROJETO PERFURAÇÃO'!$AH:$AH,MATCH(MEDIÇÃO!D1277,'PROJETO PERFURAÇÃO'!$B:$B,0)),"")</f>
        <v/>
      </c>
      <c r="F1277" s="8" t="str">
        <f>IFERROR(INDEX('PROJETO PERFURAÇÃO'!$AN:$AN,MATCH(MEDIÇÃO!D1277,'PROJETO PERFURAÇÃO'!$B:$B,0)),"")</f>
        <v/>
      </c>
      <c r="G1277" s="3"/>
      <c r="H1277" s="3"/>
      <c r="I1277" s="3" t="str">
        <f>IFERROR(ROUND(INDEX('PROJETO PERFURAÇÃO'!$AB:$AB,MATCH(MEDIÇÃO!K1277,'PROJETO PERFURAÇÃO'!$B:$B,0)),1)&amp;"''","")</f>
        <v/>
      </c>
      <c r="J1277" s="3" t="str">
        <f>IFERROR(IF(INDEX('PROJETO PERFURAÇÃO'!$P:$P,MATCH(MEDIÇÃO!K1277,'PROJETO PERFURAÇÃO'!$B:$B,0))="Production","P",IF(INDEX('PROJETO PERFURAÇÃO'!$P:$P,MATCH(MEDIÇÃO!K1277,'PROJETO PERFURAÇÃO'!$B:$B,0))="Buffer","B",IF(INDEX('PROJETO PERFURAÇÃO'!$P:$P,MATCH(MEDIÇÃO!K1277,'PROJETO PERFURAÇÃO'!$B:$B,0))="Pre-Splitting","S"))),"")</f>
        <v/>
      </c>
      <c r="K1277" s="14">
        <f>K1276+1</f>
        <v>2854</v>
      </c>
      <c r="L1277" s="4" t="str">
        <f>IFERROR(INDEX('LEV R&amp;D'!$D:$D,MATCH(MEDIÇÃO!K1277,'LEV R&amp;D'!$A:$A,0))-INDEX('PROJETO PERFURAÇÃO'!$AH:$AH,MATCH(MEDIÇÃO!K1277,'PROJETO PERFURAÇÃO'!$B:$B,0)),"")</f>
        <v/>
      </c>
      <c r="M1277" s="8" t="str">
        <f>IFERROR(INDEX('PROJETO PERFURAÇÃO'!$AN:$AN,MATCH(MEDIÇÃO!K1277,'PROJETO PERFURAÇÃO'!$B:$B,0)),"")</f>
        <v/>
      </c>
      <c r="N1277" s="3"/>
      <c r="O1277" s="3"/>
      <c r="P1277" s="3" t="str">
        <f>IFERROR(ROUND(INDEX('PROJETO PERFURAÇÃO'!$AB:$AB,MATCH(MEDIÇÃO!R1277,'PROJETO PERFURAÇÃO'!$B:$B,0)),1)&amp;"''","")</f>
        <v/>
      </c>
      <c r="Q1277" s="3" t="str">
        <f>IFERROR(IF(INDEX('PROJETO PERFURAÇÃO'!$P:$P,MATCH(MEDIÇÃO!R1277,'PROJETO PERFURAÇÃO'!$B:$B,0))="Production","P",IF(INDEX('PROJETO PERFURAÇÃO'!$P:$P,MATCH(MEDIÇÃO!R1277,'PROJETO PERFURAÇÃO'!$B:$B,0))="Buffer","B",IF(INDEX('PROJETO PERFURAÇÃO'!$P:$P,MATCH(MEDIÇÃO!R1277,'PROJETO PERFURAÇÃO'!$B:$B,0))="Pre-Splitting","S"))),"")</f>
        <v/>
      </c>
      <c r="R1277" s="14">
        <f>R1276+1</f>
        <v>2877</v>
      </c>
      <c r="S1277" s="4" t="str">
        <f>IFERROR(INDEX('LEV R&amp;D'!$D:$D,MATCH(MEDIÇÃO!R1277,'LEV R&amp;D'!$A:$A,0))-INDEX('PROJETO PERFURAÇÃO'!$AH:$AH,MATCH(MEDIÇÃO!R1277,'PROJETO PERFURAÇÃO'!$B:$B,0)),"")</f>
        <v/>
      </c>
      <c r="T1277" s="8" t="str">
        <f>IFERROR(INDEX('PROJETO PERFURAÇÃO'!$AN:$AN,MATCH(MEDIÇÃO!R1277,'PROJETO PERFURAÇÃO'!$B:$B,0)),"")</f>
        <v/>
      </c>
      <c r="U1277" s="3"/>
      <c r="V1277" s="3"/>
    </row>
    <row r="1278" spans="1:23" ht="45" customHeight="1" x14ac:dyDescent="0.25">
      <c r="B1278" s="3" t="str">
        <f>IFERROR(ROUND(INDEX('PROJETO PERFURAÇÃO'!$AB:$AB,MATCH(MEDIÇÃO!D1278,'PROJETO PERFURAÇÃO'!$B:$B,0)),1)&amp;"''","")</f>
        <v/>
      </c>
      <c r="C1278" s="3" t="str">
        <f>IFERROR(IF(INDEX('PROJETO PERFURAÇÃO'!$P:$P,MATCH(MEDIÇÃO!D1278,'PROJETO PERFURAÇÃO'!$B:$B,0))="Production","P",IF(INDEX('PROJETO PERFURAÇÃO'!$P:$P,MATCH(MEDIÇÃO!D1278,'PROJETO PERFURAÇÃO'!$B:$B,0))="Buffer","B",IF(INDEX('PROJETO PERFURAÇÃO'!$P:$P,MATCH(MEDIÇÃO!D1278,'PROJETO PERFURAÇÃO'!$B:$B,0))="Pre-Splitting","S"))),"")</f>
        <v/>
      </c>
      <c r="D1278" s="14">
        <f t="shared" ref="D1278:D1298" si="123">D1277+1</f>
        <v>2832</v>
      </c>
      <c r="E1278" s="4" t="str">
        <f>IFERROR(INDEX('LEV R&amp;D'!$D:$D,MATCH(MEDIÇÃO!D1278,'LEV R&amp;D'!$A:$A,0))-INDEX('PROJETO PERFURAÇÃO'!$AH:$AH,MATCH(MEDIÇÃO!D1278,'PROJETO PERFURAÇÃO'!$B:$B,0)),"")</f>
        <v/>
      </c>
      <c r="F1278" s="8" t="str">
        <f>IFERROR(INDEX('PROJETO PERFURAÇÃO'!$AN:$AN,MATCH(MEDIÇÃO!D1278,'PROJETO PERFURAÇÃO'!$B:$B,0)),"")</f>
        <v/>
      </c>
      <c r="G1278" s="3"/>
      <c r="H1278" s="3"/>
      <c r="I1278" s="3" t="str">
        <f>IFERROR(ROUND(INDEX('PROJETO PERFURAÇÃO'!$AB:$AB,MATCH(MEDIÇÃO!K1278,'PROJETO PERFURAÇÃO'!$B:$B,0)),1)&amp;"''","")</f>
        <v/>
      </c>
      <c r="J1278" s="3" t="str">
        <f>IFERROR(IF(INDEX('PROJETO PERFURAÇÃO'!$P:$P,MATCH(MEDIÇÃO!K1278,'PROJETO PERFURAÇÃO'!$B:$B,0))="Production","P",IF(INDEX('PROJETO PERFURAÇÃO'!$P:$P,MATCH(MEDIÇÃO!K1278,'PROJETO PERFURAÇÃO'!$B:$B,0))="Buffer","B",IF(INDEX('PROJETO PERFURAÇÃO'!$P:$P,MATCH(MEDIÇÃO!K1278,'PROJETO PERFURAÇÃO'!$B:$B,0))="Pre-Splitting","S"))),"")</f>
        <v/>
      </c>
      <c r="K1278" s="14">
        <f t="shared" ref="K1278:K1297" si="124">K1277+1</f>
        <v>2855</v>
      </c>
      <c r="L1278" s="4" t="str">
        <f>IFERROR(INDEX('LEV R&amp;D'!$D:$D,MATCH(MEDIÇÃO!K1278,'LEV R&amp;D'!$A:$A,0))-INDEX('PROJETO PERFURAÇÃO'!$AH:$AH,MATCH(MEDIÇÃO!K1278,'PROJETO PERFURAÇÃO'!$B:$B,0)),"")</f>
        <v/>
      </c>
      <c r="M1278" s="8" t="str">
        <f>IFERROR(INDEX('PROJETO PERFURAÇÃO'!$AN:$AN,MATCH(MEDIÇÃO!K1278,'PROJETO PERFURAÇÃO'!$B:$B,0)),"")</f>
        <v/>
      </c>
      <c r="N1278" s="3"/>
      <c r="O1278" s="3"/>
      <c r="P1278" s="3" t="str">
        <f>IFERROR(ROUND(INDEX('PROJETO PERFURAÇÃO'!$AB:$AB,MATCH(MEDIÇÃO!R1278,'PROJETO PERFURAÇÃO'!$B:$B,0)),1)&amp;"''","")</f>
        <v/>
      </c>
      <c r="Q1278" s="3" t="str">
        <f>IFERROR(IF(INDEX('PROJETO PERFURAÇÃO'!$P:$P,MATCH(MEDIÇÃO!R1278,'PROJETO PERFURAÇÃO'!$B:$B,0))="Production","P",IF(INDEX('PROJETO PERFURAÇÃO'!$P:$P,MATCH(MEDIÇÃO!R1278,'PROJETO PERFURAÇÃO'!$B:$B,0))="Buffer","B",IF(INDEX('PROJETO PERFURAÇÃO'!$P:$P,MATCH(MEDIÇÃO!R1278,'PROJETO PERFURAÇÃO'!$B:$B,0))="Pre-Splitting","S"))),"")</f>
        <v/>
      </c>
      <c r="R1278" s="14">
        <f t="shared" ref="R1278:R1297" si="125">R1277+1</f>
        <v>2878</v>
      </c>
      <c r="S1278" s="4" t="str">
        <f>IFERROR(INDEX('LEV R&amp;D'!$D:$D,MATCH(MEDIÇÃO!R1278,'LEV R&amp;D'!$A:$A,0))-INDEX('PROJETO PERFURAÇÃO'!$AH:$AH,MATCH(MEDIÇÃO!R1278,'PROJETO PERFURAÇÃO'!$B:$B,0)),"")</f>
        <v/>
      </c>
      <c r="T1278" s="8" t="str">
        <f>IFERROR(INDEX('PROJETO PERFURAÇÃO'!$AN:$AN,MATCH(MEDIÇÃO!R1278,'PROJETO PERFURAÇÃO'!$B:$B,0)),"")</f>
        <v/>
      </c>
      <c r="U1278" s="3"/>
      <c r="V1278" s="3"/>
    </row>
    <row r="1279" spans="1:23" ht="45" customHeight="1" x14ac:dyDescent="0.25">
      <c r="B1279" s="3" t="str">
        <f>IFERROR(ROUND(INDEX('PROJETO PERFURAÇÃO'!$AB:$AB,MATCH(MEDIÇÃO!D1279,'PROJETO PERFURAÇÃO'!$B:$B,0)),1)&amp;"''","")</f>
        <v/>
      </c>
      <c r="C1279" s="3" t="str">
        <f>IFERROR(IF(INDEX('PROJETO PERFURAÇÃO'!$P:$P,MATCH(MEDIÇÃO!D1279,'PROJETO PERFURAÇÃO'!$B:$B,0))="Production","P",IF(INDEX('PROJETO PERFURAÇÃO'!$P:$P,MATCH(MEDIÇÃO!D1279,'PROJETO PERFURAÇÃO'!$B:$B,0))="Buffer","B",IF(INDEX('PROJETO PERFURAÇÃO'!$P:$P,MATCH(MEDIÇÃO!D1279,'PROJETO PERFURAÇÃO'!$B:$B,0))="Pre-Splitting","S"))),"")</f>
        <v/>
      </c>
      <c r="D1279" s="14">
        <f t="shared" si="123"/>
        <v>2833</v>
      </c>
      <c r="E1279" s="4" t="str">
        <f>IFERROR(INDEX('LEV R&amp;D'!$D:$D,MATCH(MEDIÇÃO!D1279,'LEV R&amp;D'!$A:$A,0))-INDEX('PROJETO PERFURAÇÃO'!$AH:$AH,MATCH(MEDIÇÃO!D1279,'PROJETO PERFURAÇÃO'!$B:$B,0)),"")</f>
        <v/>
      </c>
      <c r="F1279" s="8" t="str">
        <f>IFERROR(INDEX('PROJETO PERFURAÇÃO'!$AN:$AN,MATCH(MEDIÇÃO!D1279,'PROJETO PERFURAÇÃO'!$B:$B,0)),"")</f>
        <v/>
      </c>
      <c r="G1279" s="3"/>
      <c r="H1279" s="3"/>
      <c r="I1279" s="3" t="str">
        <f>IFERROR(ROUND(INDEX('PROJETO PERFURAÇÃO'!$AB:$AB,MATCH(MEDIÇÃO!K1279,'PROJETO PERFURAÇÃO'!$B:$B,0)),1)&amp;"''","")</f>
        <v/>
      </c>
      <c r="J1279" s="3" t="str">
        <f>IFERROR(IF(INDEX('PROJETO PERFURAÇÃO'!$P:$P,MATCH(MEDIÇÃO!K1279,'PROJETO PERFURAÇÃO'!$B:$B,0))="Production","P",IF(INDEX('PROJETO PERFURAÇÃO'!$P:$P,MATCH(MEDIÇÃO!K1279,'PROJETO PERFURAÇÃO'!$B:$B,0))="Buffer","B",IF(INDEX('PROJETO PERFURAÇÃO'!$P:$P,MATCH(MEDIÇÃO!K1279,'PROJETO PERFURAÇÃO'!$B:$B,0))="Pre-Splitting","S"))),"")</f>
        <v/>
      </c>
      <c r="K1279" s="14">
        <f t="shared" si="124"/>
        <v>2856</v>
      </c>
      <c r="L1279" s="4" t="str">
        <f>IFERROR(INDEX('LEV R&amp;D'!$D:$D,MATCH(MEDIÇÃO!K1279,'LEV R&amp;D'!$A:$A,0))-INDEX('PROJETO PERFURAÇÃO'!$AH:$AH,MATCH(MEDIÇÃO!K1279,'PROJETO PERFURAÇÃO'!$B:$B,0)),"")</f>
        <v/>
      </c>
      <c r="M1279" s="8" t="str">
        <f>IFERROR(INDEX('PROJETO PERFURAÇÃO'!$AN:$AN,MATCH(MEDIÇÃO!K1279,'PROJETO PERFURAÇÃO'!$B:$B,0)),"")</f>
        <v/>
      </c>
      <c r="N1279" s="3"/>
      <c r="O1279" s="3"/>
      <c r="P1279" s="3" t="str">
        <f>IFERROR(ROUND(INDEX('PROJETO PERFURAÇÃO'!$AB:$AB,MATCH(MEDIÇÃO!R1279,'PROJETO PERFURAÇÃO'!$B:$B,0)),1)&amp;"''","")</f>
        <v/>
      </c>
      <c r="Q1279" s="3" t="str">
        <f>IFERROR(IF(INDEX('PROJETO PERFURAÇÃO'!$P:$P,MATCH(MEDIÇÃO!R1279,'PROJETO PERFURAÇÃO'!$B:$B,0))="Production","P",IF(INDEX('PROJETO PERFURAÇÃO'!$P:$P,MATCH(MEDIÇÃO!R1279,'PROJETO PERFURAÇÃO'!$B:$B,0))="Buffer","B",IF(INDEX('PROJETO PERFURAÇÃO'!$P:$P,MATCH(MEDIÇÃO!R1279,'PROJETO PERFURAÇÃO'!$B:$B,0))="Pre-Splitting","S"))),"")</f>
        <v/>
      </c>
      <c r="R1279" s="14">
        <f t="shared" si="125"/>
        <v>2879</v>
      </c>
      <c r="S1279" s="4" t="str">
        <f>IFERROR(INDEX('LEV R&amp;D'!$D:$D,MATCH(MEDIÇÃO!R1279,'LEV R&amp;D'!$A:$A,0))-INDEX('PROJETO PERFURAÇÃO'!$AH:$AH,MATCH(MEDIÇÃO!R1279,'PROJETO PERFURAÇÃO'!$B:$B,0)),"")</f>
        <v/>
      </c>
      <c r="T1279" s="8" t="str">
        <f>IFERROR(INDEX('PROJETO PERFURAÇÃO'!$AN:$AN,MATCH(MEDIÇÃO!R1279,'PROJETO PERFURAÇÃO'!$B:$B,0)),"")</f>
        <v/>
      </c>
      <c r="U1279" s="3"/>
      <c r="V1279" s="3"/>
    </row>
    <row r="1280" spans="1:23" ht="45" customHeight="1" x14ac:dyDescent="0.25">
      <c r="B1280" s="3" t="str">
        <f>IFERROR(ROUND(INDEX('PROJETO PERFURAÇÃO'!$AB:$AB,MATCH(MEDIÇÃO!D1280,'PROJETO PERFURAÇÃO'!$B:$B,0)),1)&amp;"''","")</f>
        <v/>
      </c>
      <c r="C1280" s="3" t="str">
        <f>IFERROR(IF(INDEX('PROJETO PERFURAÇÃO'!$P:$P,MATCH(MEDIÇÃO!D1280,'PROJETO PERFURAÇÃO'!$B:$B,0))="Production","P",IF(INDEX('PROJETO PERFURAÇÃO'!$P:$P,MATCH(MEDIÇÃO!D1280,'PROJETO PERFURAÇÃO'!$B:$B,0))="Buffer","B",IF(INDEX('PROJETO PERFURAÇÃO'!$P:$P,MATCH(MEDIÇÃO!D1280,'PROJETO PERFURAÇÃO'!$B:$B,0))="Pre-Splitting","S"))),"")</f>
        <v/>
      </c>
      <c r="D1280" s="14">
        <f t="shared" si="123"/>
        <v>2834</v>
      </c>
      <c r="E1280" s="4" t="str">
        <f>IFERROR(INDEX('LEV R&amp;D'!$D:$D,MATCH(MEDIÇÃO!D1280,'LEV R&amp;D'!$A:$A,0))-INDEX('PROJETO PERFURAÇÃO'!$AH:$AH,MATCH(MEDIÇÃO!D1280,'PROJETO PERFURAÇÃO'!$B:$B,0)),"")</f>
        <v/>
      </c>
      <c r="F1280" s="8" t="str">
        <f>IFERROR(INDEX('PROJETO PERFURAÇÃO'!$AN:$AN,MATCH(MEDIÇÃO!D1280,'PROJETO PERFURAÇÃO'!$B:$B,0)),"")</f>
        <v/>
      </c>
      <c r="G1280" s="3"/>
      <c r="H1280" s="3"/>
      <c r="I1280" s="3" t="str">
        <f>IFERROR(ROUND(INDEX('PROJETO PERFURAÇÃO'!$AB:$AB,MATCH(MEDIÇÃO!K1280,'PROJETO PERFURAÇÃO'!$B:$B,0)),1)&amp;"''","")</f>
        <v/>
      </c>
      <c r="J1280" s="3" t="str">
        <f>IFERROR(IF(INDEX('PROJETO PERFURAÇÃO'!$P:$P,MATCH(MEDIÇÃO!K1280,'PROJETO PERFURAÇÃO'!$B:$B,0))="Production","P",IF(INDEX('PROJETO PERFURAÇÃO'!$P:$P,MATCH(MEDIÇÃO!K1280,'PROJETO PERFURAÇÃO'!$B:$B,0))="Buffer","B",IF(INDEX('PROJETO PERFURAÇÃO'!$P:$P,MATCH(MEDIÇÃO!K1280,'PROJETO PERFURAÇÃO'!$B:$B,0))="Pre-Splitting","S"))),"")</f>
        <v/>
      </c>
      <c r="K1280" s="14">
        <f t="shared" si="124"/>
        <v>2857</v>
      </c>
      <c r="L1280" s="4" t="str">
        <f>IFERROR(INDEX('LEV R&amp;D'!$D:$D,MATCH(MEDIÇÃO!K1280,'LEV R&amp;D'!$A:$A,0))-INDEX('PROJETO PERFURAÇÃO'!$AH:$AH,MATCH(MEDIÇÃO!K1280,'PROJETO PERFURAÇÃO'!$B:$B,0)),"")</f>
        <v/>
      </c>
      <c r="M1280" s="8" t="str">
        <f>IFERROR(INDEX('PROJETO PERFURAÇÃO'!$AN:$AN,MATCH(MEDIÇÃO!K1280,'PROJETO PERFURAÇÃO'!$B:$B,0)),"")</f>
        <v/>
      </c>
      <c r="N1280" s="3"/>
      <c r="O1280" s="3"/>
      <c r="P1280" s="3" t="str">
        <f>IFERROR(ROUND(INDEX('PROJETO PERFURAÇÃO'!$AB:$AB,MATCH(MEDIÇÃO!R1280,'PROJETO PERFURAÇÃO'!$B:$B,0)),1)&amp;"''","")</f>
        <v/>
      </c>
      <c r="Q1280" s="3" t="str">
        <f>IFERROR(IF(INDEX('PROJETO PERFURAÇÃO'!$P:$P,MATCH(MEDIÇÃO!R1280,'PROJETO PERFURAÇÃO'!$B:$B,0))="Production","P",IF(INDEX('PROJETO PERFURAÇÃO'!$P:$P,MATCH(MEDIÇÃO!R1280,'PROJETO PERFURAÇÃO'!$B:$B,0))="Buffer","B",IF(INDEX('PROJETO PERFURAÇÃO'!$P:$P,MATCH(MEDIÇÃO!R1280,'PROJETO PERFURAÇÃO'!$B:$B,0))="Pre-Splitting","S"))),"")</f>
        <v/>
      </c>
      <c r="R1280" s="14">
        <f t="shared" si="125"/>
        <v>2880</v>
      </c>
      <c r="S1280" s="4" t="str">
        <f>IFERROR(INDEX('LEV R&amp;D'!$D:$D,MATCH(MEDIÇÃO!R1280,'LEV R&amp;D'!$A:$A,0))-INDEX('PROJETO PERFURAÇÃO'!$AH:$AH,MATCH(MEDIÇÃO!R1280,'PROJETO PERFURAÇÃO'!$B:$B,0)),"")</f>
        <v/>
      </c>
      <c r="T1280" s="8" t="str">
        <f>IFERROR(INDEX('PROJETO PERFURAÇÃO'!$AN:$AN,MATCH(MEDIÇÃO!R1280,'PROJETO PERFURAÇÃO'!$B:$B,0)),"")</f>
        <v/>
      </c>
      <c r="U1280" s="3"/>
      <c r="V1280" s="3"/>
    </row>
    <row r="1281" spans="2:22" ht="45" customHeight="1" x14ac:dyDescent="0.25">
      <c r="B1281" s="3" t="str">
        <f>IFERROR(ROUND(INDEX('PROJETO PERFURAÇÃO'!$AB:$AB,MATCH(MEDIÇÃO!D1281,'PROJETO PERFURAÇÃO'!$B:$B,0)),1)&amp;"''","")</f>
        <v/>
      </c>
      <c r="C1281" s="3" t="str">
        <f>IFERROR(IF(INDEX('PROJETO PERFURAÇÃO'!$P:$P,MATCH(MEDIÇÃO!D1281,'PROJETO PERFURAÇÃO'!$B:$B,0))="Production","P",IF(INDEX('PROJETO PERFURAÇÃO'!$P:$P,MATCH(MEDIÇÃO!D1281,'PROJETO PERFURAÇÃO'!$B:$B,0))="Buffer","B",IF(INDEX('PROJETO PERFURAÇÃO'!$P:$P,MATCH(MEDIÇÃO!D1281,'PROJETO PERFURAÇÃO'!$B:$B,0))="Pre-Splitting","S"))),"")</f>
        <v/>
      </c>
      <c r="D1281" s="14">
        <f t="shared" si="123"/>
        <v>2835</v>
      </c>
      <c r="E1281" s="4" t="str">
        <f>IFERROR(INDEX('LEV R&amp;D'!$D:$D,MATCH(MEDIÇÃO!D1281,'LEV R&amp;D'!$A:$A,0))-INDEX('PROJETO PERFURAÇÃO'!$AH:$AH,MATCH(MEDIÇÃO!D1281,'PROJETO PERFURAÇÃO'!$B:$B,0)),"")</f>
        <v/>
      </c>
      <c r="F1281" s="8" t="str">
        <f>IFERROR(INDEX('PROJETO PERFURAÇÃO'!$AN:$AN,MATCH(MEDIÇÃO!D1281,'PROJETO PERFURAÇÃO'!$B:$B,0)),"")</f>
        <v/>
      </c>
      <c r="G1281" s="3"/>
      <c r="H1281" s="3"/>
      <c r="I1281" s="3" t="str">
        <f>IFERROR(ROUND(INDEX('PROJETO PERFURAÇÃO'!$AB:$AB,MATCH(MEDIÇÃO!K1281,'PROJETO PERFURAÇÃO'!$B:$B,0)),1)&amp;"''","")</f>
        <v/>
      </c>
      <c r="J1281" s="3" t="str">
        <f>IFERROR(IF(INDEX('PROJETO PERFURAÇÃO'!$P:$P,MATCH(MEDIÇÃO!K1281,'PROJETO PERFURAÇÃO'!$B:$B,0))="Production","P",IF(INDEX('PROJETO PERFURAÇÃO'!$P:$P,MATCH(MEDIÇÃO!K1281,'PROJETO PERFURAÇÃO'!$B:$B,0))="Buffer","B",IF(INDEX('PROJETO PERFURAÇÃO'!$P:$P,MATCH(MEDIÇÃO!K1281,'PROJETO PERFURAÇÃO'!$B:$B,0))="Pre-Splitting","S"))),"")</f>
        <v/>
      </c>
      <c r="K1281" s="14">
        <f t="shared" si="124"/>
        <v>2858</v>
      </c>
      <c r="L1281" s="4" t="str">
        <f>IFERROR(INDEX('LEV R&amp;D'!$D:$D,MATCH(MEDIÇÃO!K1281,'LEV R&amp;D'!$A:$A,0))-INDEX('PROJETO PERFURAÇÃO'!$AH:$AH,MATCH(MEDIÇÃO!K1281,'PROJETO PERFURAÇÃO'!$B:$B,0)),"")</f>
        <v/>
      </c>
      <c r="M1281" s="8" t="str">
        <f>IFERROR(INDEX('PROJETO PERFURAÇÃO'!$AN:$AN,MATCH(MEDIÇÃO!K1281,'PROJETO PERFURAÇÃO'!$B:$B,0)),"")</f>
        <v/>
      </c>
      <c r="N1281" s="3"/>
      <c r="O1281" s="3"/>
      <c r="P1281" s="3" t="str">
        <f>IFERROR(ROUND(INDEX('PROJETO PERFURAÇÃO'!$AB:$AB,MATCH(MEDIÇÃO!R1281,'PROJETO PERFURAÇÃO'!$B:$B,0)),1)&amp;"''","")</f>
        <v/>
      </c>
      <c r="Q1281" s="3" t="str">
        <f>IFERROR(IF(INDEX('PROJETO PERFURAÇÃO'!$P:$P,MATCH(MEDIÇÃO!R1281,'PROJETO PERFURAÇÃO'!$B:$B,0))="Production","P",IF(INDEX('PROJETO PERFURAÇÃO'!$P:$P,MATCH(MEDIÇÃO!R1281,'PROJETO PERFURAÇÃO'!$B:$B,0))="Buffer","B",IF(INDEX('PROJETO PERFURAÇÃO'!$P:$P,MATCH(MEDIÇÃO!R1281,'PROJETO PERFURAÇÃO'!$B:$B,0))="Pre-Splitting","S"))),"")</f>
        <v/>
      </c>
      <c r="R1281" s="14">
        <f t="shared" si="125"/>
        <v>2881</v>
      </c>
      <c r="S1281" s="4" t="str">
        <f>IFERROR(INDEX('LEV R&amp;D'!$D:$D,MATCH(MEDIÇÃO!R1281,'LEV R&amp;D'!$A:$A,0))-INDEX('PROJETO PERFURAÇÃO'!$AH:$AH,MATCH(MEDIÇÃO!R1281,'PROJETO PERFURAÇÃO'!$B:$B,0)),"")</f>
        <v/>
      </c>
      <c r="T1281" s="8" t="str">
        <f>IFERROR(INDEX('PROJETO PERFURAÇÃO'!$AN:$AN,MATCH(MEDIÇÃO!R1281,'PROJETO PERFURAÇÃO'!$B:$B,0)),"")</f>
        <v/>
      </c>
      <c r="U1281" s="3"/>
      <c r="V1281" s="3"/>
    </row>
    <row r="1282" spans="2:22" ht="45" customHeight="1" x14ac:dyDescent="0.25">
      <c r="B1282" s="3" t="str">
        <f>IFERROR(ROUND(INDEX('PROJETO PERFURAÇÃO'!$AB:$AB,MATCH(MEDIÇÃO!D1282,'PROJETO PERFURAÇÃO'!$B:$B,0)),1)&amp;"''","")</f>
        <v/>
      </c>
      <c r="C1282" s="3" t="str">
        <f>IFERROR(IF(INDEX('PROJETO PERFURAÇÃO'!$P:$P,MATCH(MEDIÇÃO!D1282,'PROJETO PERFURAÇÃO'!$B:$B,0))="Production","P",IF(INDEX('PROJETO PERFURAÇÃO'!$P:$P,MATCH(MEDIÇÃO!D1282,'PROJETO PERFURAÇÃO'!$B:$B,0))="Buffer","B",IF(INDEX('PROJETO PERFURAÇÃO'!$P:$P,MATCH(MEDIÇÃO!D1282,'PROJETO PERFURAÇÃO'!$B:$B,0))="Pre-Splitting","S"))),"")</f>
        <v/>
      </c>
      <c r="D1282" s="14">
        <f t="shared" si="123"/>
        <v>2836</v>
      </c>
      <c r="E1282" s="4" t="str">
        <f>IFERROR(INDEX('LEV R&amp;D'!$D:$D,MATCH(MEDIÇÃO!D1282,'LEV R&amp;D'!$A:$A,0))-INDEX('PROJETO PERFURAÇÃO'!$AH:$AH,MATCH(MEDIÇÃO!D1282,'PROJETO PERFURAÇÃO'!$B:$B,0)),"")</f>
        <v/>
      </c>
      <c r="F1282" s="8" t="str">
        <f>IFERROR(INDEX('PROJETO PERFURAÇÃO'!$AN:$AN,MATCH(MEDIÇÃO!D1282,'PROJETO PERFURAÇÃO'!$B:$B,0)),"")</f>
        <v/>
      </c>
      <c r="G1282" s="3"/>
      <c r="H1282" s="3"/>
      <c r="I1282" s="3" t="str">
        <f>IFERROR(ROUND(INDEX('PROJETO PERFURAÇÃO'!$AB:$AB,MATCH(MEDIÇÃO!K1282,'PROJETO PERFURAÇÃO'!$B:$B,0)),1)&amp;"''","")</f>
        <v/>
      </c>
      <c r="J1282" s="3" t="str">
        <f>IFERROR(IF(INDEX('PROJETO PERFURAÇÃO'!$P:$P,MATCH(MEDIÇÃO!K1282,'PROJETO PERFURAÇÃO'!$B:$B,0))="Production","P",IF(INDEX('PROJETO PERFURAÇÃO'!$P:$P,MATCH(MEDIÇÃO!K1282,'PROJETO PERFURAÇÃO'!$B:$B,0))="Buffer","B",IF(INDEX('PROJETO PERFURAÇÃO'!$P:$P,MATCH(MEDIÇÃO!K1282,'PROJETO PERFURAÇÃO'!$B:$B,0))="Pre-Splitting","S"))),"")</f>
        <v/>
      </c>
      <c r="K1282" s="14">
        <f t="shared" si="124"/>
        <v>2859</v>
      </c>
      <c r="L1282" s="4" t="str">
        <f>IFERROR(INDEX('LEV R&amp;D'!$D:$D,MATCH(MEDIÇÃO!K1282,'LEV R&amp;D'!$A:$A,0))-INDEX('PROJETO PERFURAÇÃO'!$AH:$AH,MATCH(MEDIÇÃO!K1282,'PROJETO PERFURAÇÃO'!$B:$B,0)),"")</f>
        <v/>
      </c>
      <c r="M1282" s="8" t="str">
        <f>IFERROR(INDEX('PROJETO PERFURAÇÃO'!$AN:$AN,MATCH(MEDIÇÃO!K1282,'PROJETO PERFURAÇÃO'!$B:$B,0)),"")</f>
        <v/>
      </c>
      <c r="N1282" s="3"/>
      <c r="O1282" s="3"/>
      <c r="P1282" s="3" t="str">
        <f>IFERROR(ROUND(INDEX('PROJETO PERFURAÇÃO'!$AB:$AB,MATCH(MEDIÇÃO!R1282,'PROJETO PERFURAÇÃO'!$B:$B,0)),1)&amp;"''","")</f>
        <v/>
      </c>
      <c r="Q1282" s="3" t="str">
        <f>IFERROR(IF(INDEX('PROJETO PERFURAÇÃO'!$P:$P,MATCH(MEDIÇÃO!R1282,'PROJETO PERFURAÇÃO'!$B:$B,0))="Production","P",IF(INDEX('PROJETO PERFURAÇÃO'!$P:$P,MATCH(MEDIÇÃO!R1282,'PROJETO PERFURAÇÃO'!$B:$B,0))="Buffer","B",IF(INDEX('PROJETO PERFURAÇÃO'!$P:$P,MATCH(MEDIÇÃO!R1282,'PROJETO PERFURAÇÃO'!$B:$B,0))="Pre-Splitting","S"))),"")</f>
        <v/>
      </c>
      <c r="R1282" s="14">
        <f t="shared" si="125"/>
        <v>2882</v>
      </c>
      <c r="S1282" s="4" t="str">
        <f>IFERROR(INDEX('LEV R&amp;D'!$D:$D,MATCH(MEDIÇÃO!R1282,'LEV R&amp;D'!$A:$A,0))-INDEX('PROJETO PERFURAÇÃO'!$AH:$AH,MATCH(MEDIÇÃO!R1282,'PROJETO PERFURAÇÃO'!$B:$B,0)),"")</f>
        <v/>
      </c>
      <c r="T1282" s="8" t="str">
        <f>IFERROR(INDEX('PROJETO PERFURAÇÃO'!$AN:$AN,MATCH(MEDIÇÃO!R1282,'PROJETO PERFURAÇÃO'!$B:$B,0)),"")</f>
        <v/>
      </c>
      <c r="U1282" s="3"/>
      <c r="V1282" s="3"/>
    </row>
    <row r="1283" spans="2:22" ht="45" customHeight="1" x14ac:dyDescent="0.25">
      <c r="B1283" s="3" t="str">
        <f>IFERROR(ROUND(INDEX('PROJETO PERFURAÇÃO'!$AB:$AB,MATCH(MEDIÇÃO!D1283,'PROJETO PERFURAÇÃO'!$B:$B,0)),1)&amp;"''","")</f>
        <v/>
      </c>
      <c r="C1283" s="3" t="str">
        <f>IFERROR(IF(INDEX('PROJETO PERFURAÇÃO'!$P:$P,MATCH(MEDIÇÃO!D1283,'PROJETO PERFURAÇÃO'!$B:$B,0))="Production","P",IF(INDEX('PROJETO PERFURAÇÃO'!$P:$P,MATCH(MEDIÇÃO!D1283,'PROJETO PERFURAÇÃO'!$B:$B,0))="Buffer","B",IF(INDEX('PROJETO PERFURAÇÃO'!$P:$P,MATCH(MEDIÇÃO!D1283,'PROJETO PERFURAÇÃO'!$B:$B,0))="Pre-Splitting","S"))),"")</f>
        <v/>
      </c>
      <c r="D1283" s="14">
        <f t="shared" si="123"/>
        <v>2837</v>
      </c>
      <c r="E1283" s="4" t="str">
        <f>IFERROR(INDEX('LEV R&amp;D'!$D:$D,MATCH(MEDIÇÃO!D1283,'LEV R&amp;D'!$A:$A,0))-INDEX('PROJETO PERFURAÇÃO'!$AH:$AH,MATCH(MEDIÇÃO!D1283,'PROJETO PERFURAÇÃO'!$B:$B,0)),"")</f>
        <v/>
      </c>
      <c r="F1283" s="8" t="str">
        <f>IFERROR(INDEX('PROJETO PERFURAÇÃO'!$AN:$AN,MATCH(MEDIÇÃO!D1283,'PROJETO PERFURAÇÃO'!$B:$B,0)),"")</f>
        <v/>
      </c>
      <c r="G1283" s="3"/>
      <c r="H1283" s="3"/>
      <c r="I1283" s="3" t="str">
        <f>IFERROR(ROUND(INDEX('PROJETO PERFURAÇÃO'!$AB:$AB,MATCH(MEDIÇÃO!K1283,'PROJETO PERFURAÇÃO'!$B:$B,0)),1)&amp;"''","")</f>
        <v/>
      </c>
      <c r="J1283" s="3" t="str">
        <f>IFERROR(IF(INDEX('PROJETO PERFURAÇÃO'!$P:$P,MATCH(MEDIÇÃO!K1283,'PROJETO PERFURAÇÃO'!$B:$B,0))="Production","P",IF(INDEX('PROJETO PERFURAÇÃO'!$P:$P,MATCH(MEDIÇÃO!K1283,'PROJETO PERFURAÇÃO'!$B:$B,0))="Buffer","B",IF(INDEX('PROJETO PERFURAÇÃO'!$P:$P,MATCH(MEDIÇÃO!K1283,'PROJETO PERFURAÇÃO'!$B:$B,0))="Pre-Splitting","S"))),"")</f>
        <v/>
      </c>
      <c r="K1283" s="14">
        <f t="shared" si="124"/>
        <v>2860</v>
      </c>
      <c r="L1283" s="4" t="str">
        <f>IFERROR(INDEX('LEV R&amp;D'!$D:$D,MATCH(MEDIÇÃO!K1283,'LEV R&amp;D'!$A:$A,0))-INDEX('PROJETO PERFURAÇÃO'!$AH:$AH,MATCH(MEDIÇÃO!K1283,'PROJETO PERFURAÇÃO'!$B:$B,0)),"")</f>
        <v/>
      </c>
      <c r="M1283" s="8" t="str">
        <f>IFERROR(INDEX('PROJETO PERFURAÇÃO'!$AN:$AN,MATCH(MEDIÇÃO!K1283,'PROJETO PERFURAÇÃO'!$B:$B,0)),"")</f>
        <v/>
      </c>
      <c r="N1283" s="3"/>
      <c r="O1283" s="3"/>
      <c r="P1283" s="3" t="str">
        <f>IFERROR(ROUND(INDEX('PROJETO PERFURAÇÃO'!$AB:$AB,MATCH(MEDIÇÃO!R1283,'PROJETO PERFURAÇÃO'!$B:$B,0)),1)&amp;"''","")</f>
        <v/>
      </c>
      <c r="Q1283" s="3" t="str">
        <f>IFERROR(IF(INDEX('PROJETO PERFURAÇÃO'!$P:$P,MATCH(MEDIÇÃO!R1283,'PROJETO PERFURAÇÃO'!$B:$B,0))="Production","P",IF(INDEX('PROJETO PERFURAÇÃO'!$P:$P,MATCH(MEDIÇÃO!R1283,'PROJETO PERFURAÇÃO'!$B:$B,0))="Buffer","B",IF(INDEX('PROJETO PERFURAÇÃO'!$P:$P,MATCH(MEDIÇÃO!R1283,'PROJETO PERFURAÇÃO'!$B:$B,0))="Pre-Splitting","S"))),"")</f>
        <v/>
      </c>
      <c r="R1283" s="14">
        <f t="shared" si="125"/>
        <v>2883</v>
      </c>
      <c r="S1283" s="4" t="str">
        <f>IFERROR(INDEX('LEV R&amp;D'!$D:$D,MATCH(MEDIÇÃO!R1283,'LEV R&amp;D'!$A:$A,0))-INDEX('PROJETO PERFURAÇÃO'!$AH:$AH,MATCH(MEDIÇÃO!R1283,'PROJETO PERFURAÇÃO'!$B:$B,0)),"")</f>
        <v/>
      </c>
      <c r="T1283" s="8" t="str">
        <f>IFERROR(INDEX('PROJETO PERFURAÇÃO'!$AN:$AN,MATCH(MEDIÇÃO!R1283,'PROJETO PERFURAÇÃO'!$B:$B,0)),"")</f>
        <v/>
      </c>
      <c r="U1283" s="3"/>
      <c r="V1283" s="3"/>
    </row>
    <row r="1284" spans="2:22" ht="45" customHeight="1" x14ac:dyDescent="0.25">
      <c r="B1284" s="3" t="str">
        <f>IFERROR(ROUND(INDEX('PROJETO PERFURAÇÃO'!$AB:$AB,MATCH(MEDIÇÃO!D1284,'PROJETO PERFURAÇÃO'!$B:$B,0)),1)&amp;"''","")</f>
        <v/>
      </c>
      <c r="C1284" s="3" t="str">
        <f>IFERROR(IF(INDEX('PROJETO PERFURAÇÃO'!$P:$P,MATCH(MEDIÇÃO!D1284,'PROJETO PERFURAÇÃO'!$B:$B,0))="Production","P",IF(INDEX('PROJETO PERFURAÇÃO'!$P:$P,MATCH(MEDIÇÃO!D1284,'PROJETO PERFURAÇÃO'!$B:$B,0))="Buffer","B",IF(INDEX('PROJETO PERFURAÇÃO'!$P:$P,MATCH(MEDIÇÃO!D1284,'PROJETO PERFURAÇÃO'!$B:$B,0))="Pre-Splitting","S"))),"")</f>
        <v/>
      </c>
      <c r="D1284" s="14">
        <f t="shared" si="123"/>
        <v>2838</v>
      </c>
      <c r="E1284" s="4" t="str">
        <f>IFERROR(INDEX('LEV R&amp;D'!$D:$D,MATCH(MEDIÇÃO!D1284,'LEV R&amp;D'!$A:$A,0))-INDEX('PROJETO PERFURAÇÃO'!$AH:$AH,MATCH(MEDIÇÃO!D1284,'PROJETO PERFURAÇÃO'!$B:$B,0)),"")</f>
        <v/>
      </c>
      <c r="F1284" s="8" t="str">
        <f>IFERROR(INDEX('PROJETO PERFURAÇÃO'!$AN:$AN,MATCH(MEDIÇÃO!D1284,'PROJETO PERFURAÇÃO'!$B:$B,0)),"")</f>
        <v/>
      </c>
      <c r="G1284" s="3"/>
      <c r="H1284" s="3"/>
      <c r="I1284" s="3" t="str">
        <f>IFERROR(ROUND(INDEX('PROJETO PERFURAÇÃO'!$AB:$AB,MATCH(MEDIÇÃO!K1284,'PROJETO PERFURAÇÃO'!$B:$B,0)),1)&amp;"''","")</f>
        <v/>
      </c>
      <c r="J1284" s="3" t="str">
        <f>IFERROR(IF(INDEX('PROJETO PERFURAÇÃO'!$P:$P,MATCH(MEDIÇÃO!K1284,'PROJETO PERFURAÇÃO'!$B:$B,0))="Production","P",IF(INDEX('PROJETO PERFURAÇÃO'!$P:$P,MATCH(MEDIÇÃO!K1284,'PROJETO PERFURAÇÃO'!$B:$B,0))="Buffer","B",IF(INDEX('PROJETO PERFURAÇÃO'!$P:$P,MATCH(MEDIÇÃO!K1284,'PROJETO PERFURAÇÃO'!$B:$B,0))="Pre-Splitting","S"))),"")</f>
        <v/>
      </c>
      <c r="K1284" s="14">
        <f t="shared" si="124"/>
        <v>2861</v>
      </c>
      <c r="L1284" s="4" t="str">
        <f>IFERROR(INDEX('LEV R&amp;D'!$D:$D,MATCH(MEDIÇÃO!K1284,'LEV R&amp;D'!$A:$A,0))-INDEX('PROJETO PERFURAÇÃO'!$AH:$AH,MATCH(MEDIÇÃO!K1284,'PROJETO PERFURAÇÃO'!$B:$B,0)),"")</f>
        <v/>
      </c>
      <c r="M1284" s="8" t="str">
        <f>IFERROR(INDEX('PROJETO PERFURAÇÃO'!$AN:$AN,MATCH(MEDIÇÃO!K1284,'PROJETO PERFURAÇÃO'!$B:$B,0)),"")</f>
        <v/>
      </c>
      <c r="N1284" s="3"/>
      <c r="O1284" s="3"/>
      <c r="P1284" s="3" t="str">
        <f>IFERROR(ROUND(INDEX('PROJETO PERFURAÇÃO'!$AB:$AB,MATCH(MEDIÇÃO!R1284,'PROJETO PERFURAÇÃO'!$B:$B,0)),1)&amp;"''","")</f>
        <v/>
      </c>
      <c r="Q1284" s="3" t="str">
        <f>IFERROR(IF(INDEX('PROJETO PERFURAÇÃO'!$P:$P,MATCH(MEDIÇÃO!R1284,'PROJETO PERFURAÇÃO'!$B:$B,0))="Production","P",IF(INDEX('PROJETO PERFURAÇÃO'!$P:$P,MATCH(MEDIÇÃO!R1284,'PROJETO PERFURAÇÃO'!$B:$B,0))="Buffer","B",IF(INDEX('PROJETO PERFURAÇÃO'!$P:$P,MATCH(MEDIÇÃO!R1284,'PROJETO PERFURAÇÃO'!$B:$B,0))="Pre-Splitting","S"))),"")</f>
        <v/>
      </c>
      <c r="R1284" s="14">
        <f t="shared" si="125"/>
        <v>2884</v>
      </c>
      <c r="S1284" s="4" t="str">
        <f>IFERROR(INDEX('LEV R&amp;D'!$D:$D,MATCH(MEDIÇÃO!R1284,'LEV R&amp;D'!$A:$A,0))-INDEX('PROJETO PERFURAÇÃO'!$AH:$AH,MATCH(MEDIÇÃO!R1284,'PROJETO PERFURAÇÃO'!$B:$B,0)),"")</f>
        <v/>
      </c>
      <c r="T1284" s="8" t="str">
        <f>IFERROR(INDEX('PROJETO PERFURAÇÃO'!$AN:$AN,MATCH(MEDIÇÃO!R1284,'PROJETO PERFURAÇÃO'!$B:$B,0)),"")</f>
        <v/>
      </c>
      <c r="U1284" s="3"/>
      <c r="V1284" s="3"/>
    </row>
    <row r="1285" spans="2:22" ht="45" customHeight="1" x14ac:dyDescent="0.25">
      <c r="B1285" s="3" t="str">
        <f>IFERROR(ROUND(INDEX('PROJETO PERFURAÇÃO'!$AB:$AB,MATCH(MEDIÇÃO!D1285,'PROJETO PERFURAÇÃO'!$B:$B,0)),1)&amp;"''","")</f>
        <v/>
      </c>
      <c r="C1285" s="3" t="str">
        <f>IFERROR(IF(INDEX('PROJETO PERFURAÇÃO'!$P:$P,MATCH(MEDIÇÃO!D1285,'PROJETO PERFURAÇÃO'!$B:$B,0))="Production","P",IF(INDEX('PROJETO PERFURAÇÃO'!$P:$P,MATCH(MEDIÇÃO!D1285,'PROJETO PERFURAÇÃO'!$B:$B,0))="Buffer","B",IF(INDEX('PROJETO PERFURAÇÃO'!$P:$P,MATCH(MEDIÇÃO!D1285,'PROJETO PERFURAÇÃO'!$B:$B,0))="Pre-Splitting","S"))),"")</f>
        <v/>
      </c>
      <c r="D1285" s="14">
        <f t="shared" si="123"/>
        <v>2839</v>
      </c>
      <c r="E1285" s="4" t="str">
        <f>IFERROR(INDEX('LEV R&amp;D'!$D:$D,MATCH(MEDIÇÃO!D1285,'LEV R&amp;D'!$A:$A,0))-INDEX('PROJETO PERFURAÇÃO'!$AH:$AH,MATCH(MEDIÇÃO!D1285,'PROJETO PERFURAÇÃO'!$B:$B,0)),"")</f>
        <v/>
      </c>
      <c r="F1285" s="8" t="str">
        <f>IFERROR(INDEX('PROJETO PERFURAÇÃO'!$AN:$AN,MATCH(MEDIÇÃO!D1285,'PROJETO PERFURAÇÃO'!$B:$B,0)),"")</f>
        <v/>
      </c>
      <c r="G1285" s="3"/>
      <c r="H1285" s="3"/>
      <c r="I1285" s="3" t="str">
        <f>IFERROR(ROUND(INDEX('PROJETO PERFURAÇÃO'!$AB:$AB,MATCH(MEDIÇÃO!K1285,'PROJETO PERFURAÇÃO'!$B:$B,0)),1)&amp;"''","")</f>
        <v/>
      </c>
      <c r="J1285" s="3" t="str">
        <f>IFERROR(IF(INDEX('PROJETO PERFURAÇÃO'!$P:$P,MATCH(MEDIÇÃO!K1285,'PROJETO PERFURAÇÃO'!$B:$B,0))="Production","P",IF(INDEX('PROJETO PERFURAÇÃO'!$P:$P,MATCH(MEDIÇÃO!K1285,'PROJETO PERFURAÇÃO'!$B:$B,0))="Buffer","B",IF(INDEX('PROJETO PERFURAÇÃO'!$P:$P,MATCH(MEDIÇÃO!K1285,'PROJETO PERFURAÇÃO'!$B:$B,0))="Pre-Splitting","S"))),"")</f>
        <v/>
      </c>
      <c r="K1285" s="14">
        <f t="shared" si="124"/>
        <v>2862</v>
      </c>
      <c r="L1285" s="4" t="str">
        <f>IFERROR(INDEX('LEV R&amp;D'!$D:$D,MATCH(MEDIÇÃO!K1285,'LEV R&amp;D'!$A:$A,0))-INDEX('PROJETO PERFURAÇÃO'!$AH:$AH,MATCH(MEDIÇÃO!K1285,'PROJETO PERFURAÇÃO'!$B:$B,0)),"")</f>
        <v/>
      </c>
      <c r="M1285" s="8" t="str">
        <f>IFERROR(INDEX('PROJETO PERFURAÇÃO'!$AN:$AN,MATCH(MEDIÇÃO!K1285,'PROJETO PERFURAÇÃO'!$B:$B,0)),"")</f>
        <v/>
      </c>
      <c r="N1285" s="3"/>
      <c r="O1285" s="3"/>
      <c r="P1285" s="3" t="str">
        <f>IFERROR(ROUND(INDEX('PROJETO PERFURAÇÃO'!$AB:$AB,MATCH(MEDIÇÃO!R1285,'PROJETO PERFURAÇÃO'!$B:$B,0)),1)&amp;"''","")</f>
        <v/>
      </c>
      <c r="Q1285" s="3" t="str">
        <f>IFERROR(IF(INDEX('PROJETO PERFURAÇÃO'!$P:$P,MATCH(MEDIÇÃO!R1285,'PROJETO PERFURAÇÃO'!$B:$B,0))="Production","P",IF(INDEX('PROJETO PERFURAÇÃO'!$P:$P,MATCH(MEDIÇÃO!R1285,'PROJETO PERFURAÇÃO'!$B:$B,0))="Buffer","B",IF(INDEX('PROJETO PERFURAÇÃO'!$P:$P,MATCH(MEDIÇÃO!R1285,'PROJETO PERFURAÇÃO'!$B:$B,0))="Pre-Splitting","S"))),"")</f>
        <v/>
      </c>
      <c r="R1285" s="14">
        <f t="shared" si="125"/>
        <v>2885</v>
      </c>
      <c r="S1285" s="4" t="str">
        <f>IFERROR(INDEX('LEV R&amp;D'!$D:$D,MATCH(MEDIÇÃO!R1285,'LEV R&amp;D'!$A:$A,0))-INDEX('PROJETO PERFURAÇÃO'!$AH:$AH,MATCH(MEDIÇÃO!R1285,'PROJETO PERFURAÇÃO'!$B:$B,0)),"")</f>
        <v/>
      </c>
      <c r="T1285" s="8" t="str">
        <f>IFERROR(INDEX('PROJETO PERFURAÇÃO'!$AN:$AN,MATCH(MEDIÇÃO!R1285,'PROJETO PERFURAÇÃO'!$B:$B,0)),"")</f>
        <v/>
      </c>
      <c r="U1285" s="3"/>
      <c r="V1285" s="3"/>
    </row>
    <row r="1286" spans="2:22" ht="45" customHeight="1" x14ac:dyDescent="0.25">
      <c r="B1286" s="3" t="str">
        <f>IFERROR(ROUND(INDEX('PROJETO PERFURAÇÃO'!$AB:$AB,MATCH(MEDIÇÃO!D1286,'PROJETO PERFURAÇÃO'!$B:$B,0)),1)&amp;"''","")</f>
        <v/>
      </c>
      <c r="C1286" s="3" t="str">
        <f>IFERROR(IF(INDEX('PROJETO PERFURAÇÃO'!$P:$P,MATCH(MEDIÇÃO!D1286,'PROJETO PERFURAÇÃO'!$B:$B,0))="Production","P",IF(INDEX('PROJETO PERFURAÇÃO'!$P:$P,MATCH(MEDIÇÃO!D1286,'PROJETO PERFURAÇÃO'!$B:$B,0))="Buffer","B",IF(INDEX('PROJETO PERFURAÇÃO'!$P:$P,MATCH(MEDIÇÃO!D1286,'PROJETO PERFURAÇÃO'!$B:$B,0))="Pre-Splitting","S"))),"")</f>
        <v/>
      </c>
      <c r="D1286" s="14">
        <f t="shared" si="123"/>
        <v>2840</v>
      </c>
      <c r="E1286" s="4" t="str">
        <f>IFERROR(INDEX('LEV R&amp;D'!$D:$D,MATCH(MEDIÇÃO!D1286,'LEV R&amp;D'!$A:$A,0))-INDEX('PROJETO PERFURAÇÃO'!$AH:$AH,MATCH(MEDIÇÃO!D1286,'PROJETO PERFURAÇÃO'!$B:$B,0)),"")</f>
        <v/>
      </c>
      <c r="F1286" s="8" t="str">
        <f>IFERROR(INDEX('PROJETO PERFURAÇÃO'!$AN:$AN,MATCH(MEDIÇÃO!D1286,'PROJETO PERFURAÇÃO'!$B:$B,0)),"")</f>
        <v/>
      </c>
      <c r="G1286" s="3"/>
      <c r="H1286" s="3"/>
      <c r="I1286" s="3" t="str">
        <f>IFERROR(ROUND(INDEX('PROJETO PERFURAÇÃO'!$AB:$AB,MATCH(MEDIÇÃO!K1286,'PROJETO PERFURAÇÃO'!$B:$B,0)),1)&amp;"''","")</f>
        <v/>
      </c>
      <c r="J1286" s="3" t="str">
        <f>IFERROR(IF(INDEX('PROJETO PERFURAÇÃO'!$P:$P,MATCH(MEDIÇÃO!K1286,'PROJETO PERFURAÇÃO'!$B:$B,0))="Production","P",IF(INDEX('PROJETO PERFURAÇÃO'!$P:$P,MATCH(MEDIÇÃO!K1286,'PROJETO PERFURAÇÃO'!$B:$B,0))="Buffer","B",IF(INDEX('PROJETO PERFURAÇÃO'!$P:$P,MATCH(MEDIÇÃO!K1286,'PROJETO PERFURAÇÃO'!$B:$B,0))="Pre-Splitting","S"))),"")</f>
        <v/>
      </c>
      <c r="K1286" s="14">
        <f t="shared" si="124"/>
        <v>2863</v>
      </c>
      <c r="L1286" s="4" t="str">
        <f>IFERROR(INDEX('LEV R&amp;D'!$D:$D,MATCH(MEDIÇÃO!K1286,'LEV R&amp;D'!$A:$A,0))-INDEX('PROJETO PERFURAÇÃO'!$AH:$AH,MATCH(MEDIÇÃO!K1286,'PROJETO PERFURAÇÃO'!$B:$B,0)),"")</f>
        <v/>
      </c>
      <c r="M1286" s="8" t="str">
        <f>IFERROR(INDEX('PROJETO PERFURAÇÃO'!$AN:$AN,MATCH(MEDIÇÃO!K1286,'PROJETO PERFURAÇÃO'!$B:$B,0)),"")</f>
        <v/>
      </c>
      <c r="N1286" s="3"/>
      <c r="O1286" s="3"/>
      <c r="P1286" s="3" t="str">
        <f>IFERROR(ROUND(INDEX('PROJETO PERFURAÇÃO'!$AB:$AB,MATCH(MEDIÇÃO!R1286,'PROJETO PERFURAÇÃO'!$B:$B,0)),1)&amp;"''","")</f>
        <v/>
      </c>
      <c r="Q1286" s="3" t="str">
        <f>IFERROR(IF(INDEX('PROJETO PERFURAÇÃO'!$P:$P,MATCH(MEDIÇÃO!R1286,'PROJETO PERFURAÇÃO'!$B:$B,0))="Production","P",IF(INDEX('PROJETO PERFURAÇÃO'!$P:$P,MATCH(MEDIÇÃO!R1286,'PROJETO PERFURAÇÃO'!$B:$B,0))="Buffer","B",IF(INDEX('PROJETO PERFURAÇÃO'!$P:$P,MATCH(MEDIÇÃO!R1286,'PROJETO PERFURAÇÃO'!$B:$B,0))="Pre-Splitting","S"))),"")</f>
        <v/>
      </c>
      <c r="R1286" s="14">
        <f t="shared" si="125"/>
        <v>2886</v>
      </c>
      <c r="S1286" s="4" t="str">
        <f>IFERROR(INDEX('LEV R&amp;D'!$D:$D,MATCH(MEDIÇÃO!R1286,'LEV R&amp;D'!$A:$A,0))-INDEX('PROJETO PERFURAÇÃO'!$AH:$AH,MATCH(MEDIÇÃO!R1286,'PROJETO PERFURAÇÃO'!$B:$B,0)),"")</f>
        <v/>
      </c>
      <c r="T1286" s="8" t="str">
        <f>IFERROR(INDEX('PROJETO PERFURAÇÃO'!$AN:$AN,MATCH(MEDIÇÃO!R1286,'PROJETO PERFURAÇÃO'!$B:$B,0)),"")</f>
        <v/>
      </c>
      <c r="U1286" s="3"/>
      <c r="V1286" s="3"/>
    </row>
    <row r="1287" spans="2:22" ht="45" customHeight="1" x14ac:dyDescent="0.25">
      <c r="B1287" s="3" t="str">
        <f>IFERROR(ROUND(INDEX('PROJETO PERFURAÇÃO'!$AB:$AB,MATCH(MEDIÇÃO!D1287,'PROJETO PERFURAÇÃO'!$B:$B,0)),1)&amp;"''","")</f>
        <v/>
      </c>
      <c r="C1287" s="3" t="str">
        <f>IFERROR(IF(INDEX('PROJETO PERFURAÇÃO'!$P:$P,MATCH(MEDIÇÃO!D1287,'PROJETO PERFURAÇÃO'!$B:$B,0))="Production","P",IF(INDEX('PROJETO PERFURAÇÃO'!$P:$P,MATCH(MEDIÇÃO!D1287,'PROJETO PERFURAÇÃO'!$B:$B,0))="Buffer","B",IF(INDEX('PROJETO PERFURAÇÃO'!$P:$P,MATCH(MEDIÇÃO!D1287,'PROJETO PERFURAÇÃO'!$B:$B,0))="Pre-Splitting","S"))),"")</f>
        <v/>
      </c>
      <c r="D1287" s="14">
        <f t="shared" si="123"/>
        <v>2841</v>
      </c>
      <c r="E1287" s="4" t="str">
        <f>IFERROR(INDEX('LEV R&amp;D'!$D:$D,MATCH(MEDIÇÃO!D1287,'LEV R&amp;D'!$A:$A,0))-INDEX('PROJETO PERFURAÇÃO'!$AH:$AH,MATCH(MEDIÇÃO!D1287,'PROJETO PERFURAÇÃO'!$B:$B,0)),"")</f>
        <v/>
      </c>
      <c r="F1287" s="8" t="str">
        <f>IFERROR(INDEX('PROJETO PERFURAÇÃO'!$AN:$AN,MATCH(MEDIÇÃO!D1287,'PROJETO PERFURAÇÃO'!$B:$B,0)),"")</f>
        <v/>
      </c>
      <c r="G1287" s="3"/>
      <c r="H1287" s="3"/>
      <c r="I1287" s="3" t="str">
        <f>IFERROR(ROUND(INDEX('PROJETO PERFURAÇÃO'!$AB:$AB,MATCH(MEDIÇÃO!K1287,'PROJETO PERFURAÇÃO'!$B:$B,0)),1)&amp;"''","")</f>
        <v/>
      </c>
      <c r="J1287" s="3" t="str">
        <f>IFERROR(IF(INDEX('PROJETO PERFURAÇÃO'!$P:$P,MATCH(MEDIÇÃO!K1287,'PROJETO PERFURAÇÃO'!$B:$B,0))="Production","P",IF(INDEX('PROJETO PERFURAÇÃO'!$P:$P,MATCH(MEDIÇÃO!K1287,'PROJETO PERFURAÇÃO'!$B:$B,0))="Buffer","B",IF(INDEX('PROJETO PERFURAÇÃO'!$P:$P,MATCH(MEDIÇÃO!K1287,'PROJETO PERFURAÇÃO'!$B:$B,0))="Pre-Splitting","S"))),"")</f>
        <v/>
      </c>
      <c r="K1287" s="14">
        <f t="shared" si="124"/>
        <v>2864</v>
      </c>
      <c r="L1287" s="4" t="str">
        <f>IFERROR(INDEX('LEV R&amp;D'!$D:$D,MATCH(MEDIÇÃO!K1287,'LEV R&amp;D'!$A:$A,0))-INDEX('PROJETO PERFURAÇÃO'!$AH:$AH,MATCH(MEDIÇÃO!K1287,'PROJETO PERFURAÇÃO'!$B:$B,0)),"")</f>
        <v/>
      </c>
      <c r="M1287" s="8" t="str">
        <f>IFERROR(INDEX('PROJETO PERFURAÇÃO'!$AN:$AN,MATCH(MEDIÇÃO!K1287,'PROJETO PERFURAÇÃO'!$B:$B,0)),"")</f>
        <v/>
      </c>
      <c r="N1287" s="3"/>
      <c r="O1287" s="3"/>
      <c r="P1287" s="3" t="str">
        <f>IFERROR(ROUND(INDEX('PROJETO PERFURAÇÃO'!$AB:$AB,MATCH(MEDIÇÃO!R1287,'PROJETO PERFURAÇÃO'!$B:$B,0)),1)&amp;"''","")</f>
        <v/>
      </c>
      <c r="Q1287" s="3" t="str">
        <f>IFERROR(IF(INDEX('PROJETO PERFURAÇÃO'!$P:$P,MATCH(MEDIÇÃO!R1287,'PROJETO PERFURAÇÃO'!$B:$B,0))="Production","P",IF(INDEX('PROJETO PERFURAÇÃO'!$P:$P,MATCH(MEDIÇÃO!R1287,'PROJETO PERFURAÇÃO'!$B:$B,0))="Buffer","B",IF(INDEX('PROJETO PERFURAÇÃO'!$P:$P,MATCH(MEDIÇÃO!R1287,'PROJETO PERFURAÇÃO'!$B:$B,0))="Pre-Splitting","S"))),"")</f>
        <v/>
      </c>
      <c r="R1287" s="14">
        <f t="shared" si="125"/>
        <v>2887</v>
      </c>
      <c r="S1287" s="4" t="str">
        <f>IFERROR(INDEX('LEV R&amp;D'!$D:$D,MATCH(MEDIÇÃO!R1287,'LEV R&amp;D'!$A:$A,0))-INDEX('PROJETO PERFURAÇÃO'!$AH:$AH,MATCH(MEDIÇÃO!R1287,'PROJETO PERFURAÇÃO'!$B:$B,0)),"")</f>
        <v/>
      </c>
      <c r="T1287" s="8" t="str">
        <f>IFERROR(INDEX('PROJETO PERFURAÇÃO'!$AN:$AN,MATCH(MEDIÇÃO!R1287,'PROJETO PERFURAÇÃO'!$B:$B,0)),"")</f>
        <v/>
      </c>
      <c r="U1287" s="3"/>
      <c r="V1287" s="3"/>
    </row>
    <row r="1288" spans="2:22" ht="45" customHeight="1" x14ac:dyDescent="0.25">
      <c r="B1288" s="3" t="str">
        <f>IFERROR(ROUND(INDEX('PROJETO PERFURAÇÃO'!$AB:$AB,MATCH(MEDIÇÃO!D1288,'PROJETO PERFURAÇÃO'!$B:$B,0)),1)&amp;"''","")</f>
        <v/>
      </c>
      <c r="C1288" s="3" t="str">
        <f>IFERROR(IF(INDEX('PROJETO PERFURAÇÃO'!$P:$P,MATCH(MEDIÇÃO!D1288,'PROJETO PERFURAÇÃO'!$B:$B,0))="Production","P",IF(INDEX('PROJETO PERFURAÇÃO'!$P:$P,MATCH(MEDIÇÃO!D1288,'PROJETO PERFURAÇÃO'!$B:$B,0))="Buffer","B",IF(INDEX('PROJETO PERFURAÇÃO'!$P:$P,MATCH(MEDIÇÃO!D1288,'PROJETO PERFURAÇÃO'!$B:$B,0))="Pre-Splitting","S"))),"")</f>
        <v/>
      </c>
      <c r="D1288" s="14">
        <f t="shared" si="123"/>
        <v>2842</v>
      </c>
      <c r="E1288" s="4" t="str">
        <f>IFERROR(INDEX('LEV R&amp;D'!$D:$D,MATCH(MEDIÇÃO!D1288,'LEV R&amp;D'!$A:$A,0))-INDEX('PROJETO PERFURAÇÃO'!$AH:$AH,MATCH(MEDIÇÃO!D1288,'PROJETO PERFURAÇÃO'!$B:$B,0)),"")</f>
        <v/>
      </c>
      <c r="F1288" s="8" t="str">
        <f>IFERROR(INDEX('PROJETO PERFURAÇÃO'!$AN:$AN,MATCH(MEDIÇÃO!D1288,'PROJETO PERFURAÇÃO'!$B:$B,0)),"")</f>
        <v/>
      </c>
      <c r="G1288" s="3"/>
      <c r="H1288" s="3"/>
      <c r="I1288" s="3" t="str">
        <f>IFERROR(ROUND(INDEX('PROJETO PERFURAÇÃO'!$AB:$AB,MATCH(MEDIÇÃO!K1288,'PROJETO PERFURAÇÃO'!$B:$B,0)),1)&amp;"''","")</f>
        <v/>
      </c>
      <c r="J1288" s="3" t="str">
        <f>IFERROR(IF(INDEX('PROJETO PERFURAÇÃO'!$P:$P,MATCH(MEDIÇÃO!K1288,'PROJETO PERFURAÇÃO'!$B:$B,0))="Production","P",IF(INDEX('PROJETO PERFURAÇÃO'!$P:$P,MATCH(MEDIÇÃO!K1288,'PROJETO PERFURAÇÃO'!$B:$B,0))="Buffer","B",IF(INDEX('PROJETO PERFURAÇÃO'!$P:$P,MATCH(MEDIÇÃO!K1288,'PROJETO PERFURAÇÃO'!$B:$B,0))="Pre-Splitting","S"))),"")</f>
        <v/>
      </c>
      <c r="K1288" s="14">
        <f t="shared" si="124"/>
        <v>2865</v>
      </c>
      <c r="L1288" s="4" t="str">
        <f>IFERROR(INDEX('LEV R&amp;D'!$D:$D,MATCH(MEDIÇÃO!K1288,'LEV R&amp;D'!$A:$A,0))-INDEX('PROJETO PERFURAÇÃO'!$AH:$AH,MATCH(MEDIÇÃO!K1288,'PROJETO PERFURAÇÃO'!$B:$B,0)),"")</f>
        <v/>
      </c>
      <c r="M1288" s="8" t="str">
        <f>IFERROR(INDEX('PROJETO PERFURAÇÃO'!$AN:$AN,MATCH(MEDIÇÃO!K1288,'PROJETO PERFURAÇÃO'!$B:$B,0)),"")</f>
        <v/>
      </c>
      <c r="N1288" s="3"/>
      <c r="O1288" s="3"/>
      <c r="P1288" s="3" t="str">
        <f>IFERROR(ROUND(INDEX('PROJETO PERFURAÇÃO'!$AB:$AB,MATCH(MEDIÇÃO!R1288,'PROJETO PERFURAÇÃO'!$B:$B,0)),1)&amp;"''","")</f>
        <v/>
      </c>
      <c r="Q1288" s="3" t="str">
        <f>IFERROR(IF(INDEX('PROJETO PERFURAÇÃO'!$P:$P,MATCH(MEDIÇÃO!R1288,'PROJETO PERFURAÇÃO'!$B:$B,0))="Production","P",IF(INDEX('PROJETO PERFURAÇÃO'!$P:$P,MATCH(MEDIÇÃO!R1288,'PROJETO PERFURAÇÃO'!$B:$B,0))="Buffer","B",IF(INDEX('PROJETO PERFURAÇÃO'!$P:$P,MATCH(MEDIÇÃO!R1288,'PROJETO PERFURAÇÃO'!$B:$B,0))="Pre-Splitting","S"))),"")</f>
        <v/>
      </c>
      <c r="R1288" s="14">
        <f t="shared" si="125"/>
        <v>2888</v>
      </c>
      <c r="S1288" s="4" t="str">
        <f>IFERROR(INDEX('LEV R&amp;D'!$D:$D,MATCH(MEDIÇÃO!R1288,'LEV R&amp;D'!$A:$A,0))-INDEX('PROJETO PERFURAÇÃO'!$AH:$AH,MATCH(MEDIÇÃO!R1288,'PROJETO PERFURAÇÃO'!$B:$B,0)),"")</f>
        <v/>
      </c>
      <c r="T1288" s="8" t="str">
        <f>IFERROR(INDEX('PROJETO PERFURAÇÃO'!$AN:$AN,MATCH(MEDIÇÃO!R1288,'PROJETO PERFURAÇÃO'!$B:$B,0)),"")</f>
        <v/>
      </c>
      <c r="U1288" s="3"/>
      <c r="V1288" s="3"/>
    </row>
    <row r="1289" spans="2:22" ht="45" customHeight="1" x14ac:dyDescent="0.25">
      <c r="B1289" s="3" t="str">
        <f>IFERROR(ROUND(INDEX('PROJETO PERFURAÇÃO'!$AB:$AB,MATCH(MEDIÇÃO!D1289,'PROJETO PERFURAÇÃO'!$B:$B,0)),1)&amp;"''","")</f>
        <v/>
      </c>
      <c r="C1289" s="3" t="str">
        <f>IFERROR(IF(INDEX('PROJETO PERFURAÇÃO'!$P:$P,MATCH(MEDIÇÃO!D1289,'PROJETO PERFURAÇÃO'!$B:$B,0))="Production","P",IF(INDEX('PROJETO PERFURAÇÃO'!$P:$P,MATCH(MEDIÇÃO!D1289,'PROJETO PERFURAÇÃO'!$B:$B,0))="Buffer","B",IF(INDEX('PROJETO PERFURAÇÃO'!$P:$P,MATCH(MEDIÇÃO!D1289,'PROJETO PERFURAÇÃO'!$B:$B,0))="Pre-Splitting","S"))),"")</f>
        <v/>
      </c>
      <c r="D1289" s="14">
        <f t="shared" si="123"/>
        <v>2843</v>
      </c>
      <c r="E1289" s="4" t="str">
        <f>IFERROR(INDEX('LEV R&amp;D'!$D:$D,MATCH(MEDIÇÃO!D1289,'LEV R&amp;D'!$A:$A,0))-INDEX('PROJETO PERFURAÇÃO'!$AH:$AH,MATCH(MEDIÇÃO!D1289,'PROJETO PERFURAÇÃO'!$B:$B,0)),"")</f>
        <v/>
      </c>
      <c r="F1289" s="8" t="str">
        <f>IFERROR(INDEX('PROJETO PERFURAÇÃO'!$AN:$AN,MATCH(MEDIÇÃO!D1289,'PROJETO PERFURAÇÃO'!$B:$B,0)),"")</f>
        <v/>
      </c>
      <c r="G1289" s="3"/>
      <c r="H1289" s="3"/>
      <c r="I1289" s="3" t="str">
        <f>IFERROR(ROUND(INDEX('PROJETO PERFURAÇÃO'!$AB:$AB,MATCH(MEDIÇÃO!K1289,'PROJETO PERFURAÇÃO'!$B:$B,0)),1)&amp;"''","")</f>
        <v/>
      </c>
      <c r="J1289" s="3" t="str">
        <f>IFERROR(IF(INDEX('PROJETO PERFURAÇÃO'!$P:$P,MATCH(MEDIÇÃO!K1289,'PROJETO PERFURAÇÃO'!$B:$B,0))="Production","P",IF(INDEX('PROJETO PERFURAÇÃO'!$P:$P,MATCH(MEDIÇÃO!K1289,'PROJETO PERFURAÇÃO'!$B:$B,0))="Buffer","B",IF(INDEX('PROJETO PERFURAÇÃO'!$P:$P,MATCH(MEDIÇÃO!K1289,'PROJETO PERFURAÇÃO'!$B:$B,0))="Pre-Splitting","S"))),"")</f>
        <v/>
      </c>
      <c r="K1289" s="14">
        <f t="shared" si="124"/>
        <v>2866</v>
      </c>
      <c r="L1289" s="4" t="str">
        <f>IFERROR(INDEX('LEV R&amp;D'!$D:$D,MATCH(MEDIÇÃO!K1289,'LEV R&amp;D'!$A:$A,0))-INDEX('PROJETO PERFURAÇÃO'!$AH:$AH,MATCH(MEDIÇÃO!K1289,'PROJETO PERFURAÇÃO'!$B:$B,0)),"")</f>
        <v/>
      </c>
      <c r="M1289" s="8" t="str">
        <f>IFERROR(INDEX('PROJETO PERFURAÇÃO'!$AN:$AN,MATCH(MEDIÇÃO!K1289,'PROJETO PERFURAÇÃO'!$B:$B,0)),"")</f>
        <v/>
      </c>
      <c r="N1289" s="3"/>
      <c r="O1289" s="3"/>
      <c r="P1289" s="3" t="str">
        <f>IFERROR(ROUND(INDEX('PROJETO PERFURAÇÃO'!$AB:$AB,MATCH(MEDIÇÃO!R1289,'PROJETO PERFURAÇÃO'!$B:$B,0)),1)&amp;"''","")</f>
        <v/>
      </c>
      <c r="Q1289" s="3" t="str">
        <f>IFERROR(IF(INDEX('PROJETO PERFURAÇÃO'!$P:$P,MATCH(MEDIÇÃO!R1289,'PROJETO PERFURAÇÃO'!$B:$B,0))="Production","P",IF(INDEX('PROJETO PERFURAÇÃO'!$P:$P,MATCH(MEDIÇÃO!R1289,'PROJETO PERFURAÇÃO'!$B:$B,0))="Buffer","B",IF(INDEX('PROJETO PERFURAÇÃO'!$P:$P,MATCH(MEDIÇÃO!R1289,'PROJETO PERFURAÇÃO'!$B:$B,0))="Pre-Splitting","S"))),"")</f>
        <v/>
      </c>
      <c r="R1289" s="14">
        <f t="shared" si="125"/>
        <v>2889</v>
      </c>
      <c r="S1289" s="4" t="str">
        <f>IFERROR(INDEX('LEV R&amp;D'!$D:$D,MATCH(MEDIÇÃO!R1289,'LEV R&amp;D'!$A:$A,0))-INDEX('PROJETO PERFURAÇÃO'!$AH:$AH,MATCH(MEDIÇÃO!R1289,'PROJETO PERFURAÇÃO'!$B:$B,0)),"")</f>
        <v/>
      </c>
      <c r="T1289" s="8" t="str">
        <f>IFERROR(INDEX('PROJETO PERFURAÇÃO'!$AN:$AN,MATCH(MEDIÇÃO!R1289,'PROJETO PERFURAÇÃO'!$B:$B,0)),"")</f>
        <v/>
      </c>
      <c r="U1289" s="3"/>
      <c r="V1289" s="3"/>
    </row>
    <row r="1290" spans="2:22" ht="45" customHeight="1" x14ac:dyDescent="0.25">
      <c r="B1290" s="3" t="str">
        <f>IFERROR(ROUND(INDEX('PROJETO PERFURAÇÃO'!$AB:$AB,MATCH(MEDIÇÃO!D1290,'PROJETO PERFURAÇÃO'!$B:$B,0)),1)&amp;"''","")</f>
        <v/>
      </c>
      <c r="C1290" s="3" t="str">
        <f>IFERROR(IF(INDEX('PROJETO PERFURAÇÃO'!$P:$P,MATCH(MEDIÇÃO!D1290,'PROJETO PERFURAÇÃO'!$B:$B,0))="Production","P",IF(INDEX('PROJETO PERFURAÇÃO'!$P:$P,MATCH(MEDIÇÃO!D1290,'PROJETO PERFURAÇÃO'!$B:$B,0))="Buffer","B",IF(INDEX('PROJETO PERFURAÇÃO'!$P:$P,MATCH(MEDIÇÃO!D1290,'PROJETO PERFURAÇÃO'!$B:$B,0))="Pre-Splitting","S"))),"")</f>
        <v/>
      </c>
      <c r="D1290" s="14">
        <f t="shared" si="123"/>
        <v>2844</v>
      </c>
      <c r="E1290" s="4" t="str">
        <f>IFERROR(INDEX('LEV R&amp;D'!$D:$D,MATCH(MEDIÇÃO!D1290,'LEV R&amp;D'!$A:$A,0))-INDEX('PROJETO PERFURAÇÃO'!$AH:$AH,MATCH(MEDIÇÃO!D1290,'PROJETO PERFURAÇÃO'!$B:$B,0)),"")</f>
        <v/>
      </c>
      <c r="F1290" s="8" t="str">
        <f>IFERROR(INDEX('PROJETO PERFURAÇÃO'!$AN:$AN,MATCH(MEDIÇÃO!D1290,'PROJETO PERFURAÇÃO'!$B:$B,0)),"")</f>
        <v/>
      </c>
      <c r="G1290" s="3"/>
      <c r="H1290" s="3"/>
      <c r="I1290" s="3" t="str">
        <f>IFERROR(ROUND(INDEX('PROJETO PERFURAÇÃO'!$AB:$AB,MATCH(MEDIÇÃO!K1290,'PROJETO PERFURAÇÃO'!$B:$B,0)),1)&amp;"''","")</f>
        <v/>
      </c>
      <c r="J1290" s="3" t="str">
        <f>IFERROR(IF(INDEX('PROJETO PERFURAÇÃO'!$P:$P,MATCH(MEDIÇÃO!K1290,'PROJETO PERFURAÇÃO'!$B:$B,0))="Production","P",IF(INDEX('PROJETO PERFURAÇÃO'!$P:$P,MATCH(MEDIÇÃO!K1290,'PROJETO PERFURAÇÃO'!$B:$B,0))="Buffer","B",IF(INDEX('PROJETO PERFURAÇÃO'!$P:$P,MATCH(MEDIÇÃO!K1290,'PROJETO PERFURAÇÃO'!$B:$B,0))="Pre-Splitting","S"))),"")</f>
        <v/>
      </c>
      <c r="K1290" s="14">
        <f t="shared" si="124"/>
        <v>2867</v>
      </c>
      <c r="L1290" s="4" t="str">
        <f>IFERROR(INDEX('LEV R&amp;D'!$D:$D,MATCH(MEDIÇÃO!K1290,'LEV R&amp;D'!$A:$A,0))-INDEX('PROJETO PERFURAÇÃO'!$AH:$AH,MATCH(MEDIÇÃO!K1290,'PROJETO PERFURAÇÃO'!$B:$B,0)),"")</f>
        <v/>
      </c>
      <c r="M1290" s="8" t="str">
        <f>IFERROR(INDEX('PROJETO PERFURAÇÃO'!$AN:$AN,MATCH(MEDIÇÃO!K1290,'PROJETO PERFURAÇÃO'!$B:$B,0)),"")</f>
        <v/>
      </c>
      <c r="N1290" s="3"/>
      <c r="O1290" s="3"/>
      <c r="P1290" s="3" t="str">
        <f>IFERROR(ROUND(INDEX('PROJETO PERFURAÇÃO'!$AB:$AB,MATCH(MEDIÇÃO!R1290,'PROJETO PERFURAÇÃO'!$B:$B,0)),1)&amp;"''","")</f>
        <v/>
      </c>
      <c r="Q1290" s="3" t="str">
        <f>IFERROR(IF(INDEX('PROJETO PERFURAÇÃO'!$P:$P,MATCH(MEDIÇÃO!R1290,'PROJETO PERFURAÇÃO'!$B:$B,0))="Production","P",IF(INDEX('PROJETO PERFURAÇÃO'!$P:$P,MATCH(MEDIÇÃO!R1290,'PROJETO PERFURAÇÃO'!$B:$B,0))="Buffer","B",IF(INDEX('PROJETO PERFURAÇÃO'!$P:$P,MATCH(MEDIÇÃO!R1290,'PROJETO PERFURAÇÃO'!$B:$B,0))="Pre-Splitting","S"))),"")</f>
        <v/>
      </c>
      <c r="R1290" s="14">
        <f t="shared" si="125"/>
        <v>2890</v>
      </c>
      <c r="S1290" s="4" t="str">
        <f>IFERROR(INDEX('LEV R&amp;D'!$D:$D,MATCH(MEDIÇÃO!R1290,'LEV R&amp;D'!$A:$A,0))-INDEX('PROJETO PERFURAÇÃO'!$AH:$AH,MATCH(MEDIÇÃO!R1290,'PROJETO PERFURAÇÃO'!$B:$B,0)),"")</f>
        <v/>
      </c>
      <c r="T1290" s="8" t="str">
        <f>IFERROR(INDEX('PROJETO PERFURAÇÃO'!$AN:$AN,MATCH(MEDIÇÃO!R1290,'PROJETO PERFURAÇÃO'!$B:$B,0)),"")</f>
        <v/>
      </c>
      <c r="U1290" s="3"/>
      <c r="V1290" s="3"/>
    </row>
    <row r="1291" spans="2:22" ht="45" customHeight="1" x14ac:dyDescent="0.25">
      <c r="B1291" s="3" t="str">
        <f>IFERROR(ROUND(INDEX('PROJETO PERFURAÇÃO'!$AB:$AB,MATCH(MEDIÇÃO!D1291,'PROJETO PERFURAÇÃO'!$B:$B,0)),1)&amp;"''","")</f>
        <v/>
      </c>
      <c r="C1291" s="3" t="str">
        <f>IFERROR(IF(INDEX('PROJETO PERFURAÇÃO'!$P:$P,MATCH(MEDIÇÃO!D1291,'PROJETO PERFURAÇÃO'!$B:$B,0))="Production","P",IF(INDEX('PROJETO PERFURAÇÃO'!$P:$P,MATCH(MEDIÇÃO!D1291,'PROJETO PERFURAÇÃO'!$B:$B,0))="Buffer","B",IF(INDEX('PROJETO PERFURAÇÃO'!$P:$P,MATCH(MEDIÇÃO!D1291,'PROJETO PERFURAÇÃO'!$B:$B,0))="Pre-Splitting","S"))),"")</f>
        <v/>
      </c>
      <c r="D1291" s="14">
        <f t="shared" si="123"/>
        <v>2845</v>
      </c>
      <c r="E1291" s="4" t="str">
        <f>IFERROR(INDEX('LEV R&amp;D'!$D:$D,MATCH(MEDIÇÃO!D1291,'LEV R&amp;D'!$A:$A,0))-INDEX('PROJETO PERFURAÇÃO'!$AH:$AH,MATCH(MEDIÇÃO!D1291,'PROJETO PERFURAÇÃO'!$B:$B,0)),"")</f>
        <v/>
      </c>
      <c r="F1291" s="8" t="str">
        <f>IFERROR(INDEX('PROJETO PERFURAÇÃO'!$AN:$AN,MATCH(MEDIÇÃO!D1291,'PROJETO PERFURAÇÃO'!$B:$B,0)),"")</f>
        <v/>
      </c>
      <c r="G1291" s="3"/>
      <c r="H1291" s="3"/>
      <c r="I1291" s="3" t="str">
        <f>IFERROR(ROUND(INDEX('PROJETO PERFURAÇÃO'!$AB:$AB,MATCH(MEDIÇÃO!K1291,'PROJETO PERFURAÇÃO'!$B:$B,0)),1)&amp;"''","")</f>
        <v/>
      </c>
      <c r="J1291" s="3" t="str">
        <f>IFERROR(IF(INDEX('PROJETO PERFURAÇÃO'!$P:$P,MATCH(MEDIÇÃO!K1291,'PROJETO PERFURAÇÃO'!$B:$B,0))="Production","P",IF(INDEX('PROJETO PERFURAÇÃO'!$P:$P,MATCH(MEDIÇÃO!K1291,'PROJETO PERFURAÇÃO'!$B:$B,0))="Buffer","B",IF(INDEX('PROJETO PERFURAÇÃO'!$P:$P,MATCH(MEDIÇÃO!K1291,'PROJETO PERFURAÇÃO'!$B:$B,0))="Pre-Splitting","S"))),"")</f>
        <v/>
      </c>
      <c r="K1291" s="14">
        <f t="shared" si="124"/>
        <v>2868</v>
      </c>
      <c r="L1291" s="4" t="str">
        <f>IFERROR(INDEX('LEV R&amp;D'!$D:$D,MATCH(MEDIÇÃO!K1291,'LEV R&amp;D'!$A:$A,0))-INDEX('PROJETO PERFURAÇÃO'!$AH:$AH,MATCH(MEDIÇÃO!K1291,'PROJETO PERFURAÇÃO'!$B:$B,0)),"")</f>
        <v/>
      </c>
      <c r="M1291" s="8" t="str">
        <f>IFERROR(INDEX('PROJETO PERFURAÇÃO'!$AN:$AN,MATCH(MEDIÇÃO!K1291,'PROJETO PERFURAÇÃO'!$B:$B,0)),"")</f>
        <v/>
      </c>
      <c r="N1291" s="3"/>
      <c r="O1291" s="3"/>
      <c r="P1291" s="3" t="str">
        <f>IFERROR(ROUND(INDEX('PROJETO PERFURAÇÃO'!$AB:$AB,MATCH(MEDIÇÃO!R1291,'PROJETO PERFURAÇÃO'!$B:$B,0)),1)&amp;"''","")</f>
        <v/>
      </c>
      <c r="Q1291" s="3" t="str">
        <f>IFERROR(IF(INDEX('PROJETO PERFURAÇÃO'!$P:$P,MATCH(MEDIÇÃO!R1291,'PROJETO PERFURAÇÃO'!$B:$B,0))="Production","P",IF(INDEX('PROJETO PERFURAÇÃO'!$P:$P,MATCH(MEDIÇÃO!R1291,'PROJETO PERFURAÇÃO'!$B:$B,0))="Buffer","B",IF(INDEX('PROJETO PERFURAÇÃO'!$P:$P,MATCH(MEDIÇÃO!R1291,'PROJETO PERFURAÇÃO'!$B:$B,0))="Pre-Splitting","S"))),"")</f>
        <v/>
      </c>
      <c r="R1291" s="14">
        <f t="shared" si="125"/>
        <v>2891</v>
      </c>
      <c r="S1291" s="4" t="str">
        <f>IFERROR(INDEX('LEV R&amp;D'!$D:$D,MATCH(MEDIÇÃO!R1291,'LEV R&amp;D'!$A:$A,0))-INDEX('PROJETO PERFURAÇÃO'!$AH:$AH,MATCH(MEDIÇÃO!R1291,'PROJETO PERFURAÇÃO'!$B:$B,0)),"")</f>
        <v/>
      </c>
      <c r="T1291" s="8" t="str">
        <f>IFERROR(INDEX('PROJETO PERFURAÇÃO'!$AN:$AN,MATCH(MEDIÇÃO!R1291,'PROJETO PERFURAÇÃO'!$B:$B,0)),"")</f>
        <v/>
      </c>
      <c r="U1291" s="3"/>
      <c r="V1291" s="3"/>
    </row>
    <row r="1292" spans="2:22" ht="45" customHeight="1" x14ac:dyDescent="0.25">
      <c r="B1292" s="3" t="str">
        <f>IFERROR(ROUND(INDEX('PROJETO PERFURAÇÃO'!$AB:$AB,MATCH(MEDIÇÃO!D1292,'PROJETO PERFURAÇÃO'!$B:$B,0)),1)&amp;"''","")</f>
        <v/>
      </c>
      <c r="C1292" s="3" t="str">
        <f>IFERROR(IF(INDEX('PROJETO PERFURAÇÃO'!$P:$P,MATCH(MEDIÇÃO!D1292,'PROJETO PERFURAÇÃO'!$B:$B,0))="Production","P",IF(INDEX('PROJETO PERFURAÇÃO'!$P:$P,MATCH(MEDIÇÃO!D1292,'PROJETO PERFURAÇÃO'!$B:$B,0))="Buffer","B",IF(INDEX('PROJETO PERFURAÇÃO'!$P:$P,MATCH(MEDIÇÃO!D1292,'PROJETO PERFURAÇÃO'!$B:$B,0))="Pre-Splitting","S"))),"")</f>
        <v/>
      </c>
      <c r="D1292" s="14">
        <f t="shared" si="123"/>
        <v>2846</v>
      </c>
      <c r="E1292" s="4" t="str">
        <f>IFERROR(INDEX('LEV R&amp;D'!$D:$D,MATCH(MEDIÇÃO!D1292,'LEV R&amp;D'!$A:$A,0))-INDEX('PROJETO PERFURAÇÃO'!$AH:$AH,MATCH(MEDIÇÃO!D1292,'PROJETO PERFURAÇÃO'!$B:$B,0)),"")</f>
        <v/>
      </c>
      <c r="F1292" s="8" t="str">
        <f>IFERROR(INDEX('PROJETO PERFURAÇÃO'!$AN:$AN,MATCH(MEDIÇÃO!D1292,'PROJETO PERFURAÇÃO'!$B:$B,0)),"")</f>
        <v/>
      </c>
      <c r="G1292" s="3"/>
      <c r="H1292" s="3"/>
      <c r="I1292" s="3" t="str">
        <f>IFERROR(ROUND(INDEX('PROJETO PERFURAÇÃO'!$AB:$AB,MATCH(MEDIÇÃO!K1292,'PROJETO PERFURAÇÃO'!$B:$B,0)),1)&amp;"''","")</f>
        <v/>
      </c>
      <c r="J1292" s="3" t="str">
        <f>IFERROR(IF(INDEX('PROJETO PERFURAÇÃO'!$P:$P,MATCH(MEDIÇÃO!K1292,'PROJETO PERFURAÇÃO'!$B:$B,0))="Production","P",IF(INDEX('PROJETO PERFURAÇÃO'!$P:$P,MATCH(MEDIÇÃO!K1292,'PROJETO PERFURAÇÃO'!$B:$B,0))="Buffer","B",IF(INDEX('PROJETO PERFURAÇÃO'!$P:$P,MATCH(MEDIÇÃO!K1292,'PROJETO PERFURAÇÃO'!$B:$B,0))="Pre-Splitting","S"))),"")</f>
        <v/>
      </c>
      <c r="K1292" s="14">
        <f t="shared" si="124"/>
        <v>2869</v>
      </c>
      <c r="L1292" s="4" t="str">
        <f>IFERROR(INDEX('LEV R&amp;D'!$D:$D,MATCH(MEDIÇÃO!K1292,'LEV R&amp;D'!$A:$A,0))-INDEX('PROJETO PERFURAÇÃO'!$AH:$AH,MATCH(MEDIÇÃO!K1292,'PROJETO PERFURAÇÃO'!$B:$B,0)),"")</f>
        <v/>
      </c>
      <c r="M1292" s="8" t="str">
        <f>IFERROR(INDEX('PROJETO PERFURAÇÃO'!$AN:$AN,MATCH(MEDIÇÃO!K1292,'PROJETO PERFURAÇÃO'!$B:$B,0)),"")</f>
        <v/>
      </c>
      <c r="N1292" s="3"/>
      <c r="O1292" s="3"/>
      <c r="P1292" s="3" t="str">
        <f>IFERROR(ROUND(INDEX('PROJETO PERFURAÇÃO'!$AB:$AB,MATCH(MEDIÇÃO!R1292,'PROJETO PERFURAÇÃO'!$B:$B,0)),1)&amp;"''","")</f>
        <v/>
      </c>
      <c r="Q1292" s="3" t="str">
        <f>IFERROR(IF(INDEX('PROJETO PERFURAÇÃO'!$P:$P,MATCH(MEDIÇÃO!R1292,'PROJETO PERFURAÇÃO'!$B:$B,0))="Production","P",IF(INDEX('PROJETO PERFURAÇÃO'!$P:$P,MATCH(MEDIÇÃO!R1292,'PROJETO PERFURAÇÃO'!$B:$B,0))="Buffer","B",IF(INDEX('PROJETO PERFURAÇÃO'!$P:$P,MATCH(MEDIÇÃO!R1292,'PROJETO PERFURAÇÃO'!$B:$B,0))="Pre-Splitting","S"))),"")</f>
        <v/>
      </c>
      <c r="R1292" s="14">
        <f t="shared" si="125"/>
        <v>2892</v>
      </c>
      <c r="S1292" s="4" t="str">
        <f>IFERROR(INDEX('LEV R&amp;D'!$D:$D,MATCH(MEDIÇÃO!R1292,'LEV R&amp;D'!$A:$A,0))-INDEX('PROJETO PERFURAÇÃO'!$AH:$AH,MATCH(MEDIÇÃO!R1292,'PROJETO PERFURAÇÃO'!$B:$B,0)),"")</f>
        <v/>
      </c>
      <c r="T1292" s="8" t="str">
        <f>IFERROR(INDEX('PROJETO PERFURAÇÃO'!$AN:$AN,MATCH(MEDIÇÃO!R1292,'PROJETO PERFURAÇÃO'!$B:$B,0)),"")</f>
        <v/>
      </c>
      <c r="U1292" s="3"/>
      <c r="V1292" s="3"/>
    </row>
    <row r="1293" spans="2:22" ht="45" customHeight="1" x14ac:dyDescent="0.25">
      <c r="B1293" s="3" t="str">
        <f>IFERROR(ROUND(INDEX('PROJETO PERFURAÇÃO'!$AB:$AB,MATCH(MEDIÇÃO!D1293,'PROJETO PERFURAÇÃO'!$B:$B,0)),1)&amp;"''","")</f>
        <v/>
      </c>
      <c r="C1293" s="3" t="str">
        <f>IFERROR(IF(INDEX('PROJETO PERFURAÇÃO'!$P:$P,MATCH(MEDIÇÃO!D1293,'PROJETO PERFURAÇÃO'!$B:$B,0))="Production","P",IF(INDEX('PROJETO PERFURAÇÃO'!$P:$P,MATCH(MEDIÇÃO!D1293,'PROJETO PERFURAÇÃO'!$B:$B,0))="Buffer","B",IF(INDEX('PROJETO PERFURAÇÃO'!$P:$P,MATCH(MEDIÇÃO!D1293,'PROJETO PERFURAÇÃO'!$B:$B,0))="Pre-Splitting","S"))),"")</f>
        <v/>
      </c>
      <c r="D1293" s="14">
        <f t="shared" si="123"/>
        <v>2847</v>
      </c>
      <c r="E1293" s="4" t="str">
        <f>IFERROR(INDEX('LEV R&amp;D'!$D:$D,MATCH(MEDIÇÃO!D1293,'LEV R&amp;D'!$A:$A,0))-INDEX('PROJETO PERFURAÇÃO'!$AH:$AH,MATCH(MEDIÇÃO!D1293,'PROJETO PERFURAÇÃO'!$B:$B,0)),"")</f>
        <v/>
      </c>
      <c r="F1293" s="8" t="str">
        <f>IFERROR(INDEX('PROJETO PERFURAÇÃO'!$AN:$AN,MATCH(MEDIÇÃO!D1293,'PROJETO PERFURAÇÃO'!$B:$B,0)),"")</f>
        <v/>
      </c>
      <c r="G1293" s="3"/>
      <c r="H1293" s="3"/>
      <c r="I1293" s="3" t="str">
        <f>IFERROR(ROUND(INDEX('PROJETO PERFURAÇÃO'!$AB:$AB,MATCH(MEDIÇÃO!K1293,'PROJETO PERFURAÇÃO'!$B:$B,0)),1)&amp;"''","")</f>
        <v/>
      </c>
      <c r="J1293" s="3" t="str">
        <f>IFERROR(IF(INDEX('PROJETO PERFURAÇÃO'!$P:$P,MATCH(MEDIÇÃO!K1293,'PROJETO PERFURAÇÃO'!$B:$B,0))="Production","P",IF(INDEX('PROJETO PERFURAÇÃO'!$P:$P,MATCH(MEDIÇÃO!K1293,'PROJETO PERFURAÇÃO'!$B:$B,0))="Buffer","B",IF(INDEX('PROJETO PERFURAÇÃO'!$P:$P,MATCH(MEDIÇÃO!K1293,'PROJETO PERFURAÇÃO'!$B:$B,0))="Pre-Splitting","S"))),"")</f>
        <v/>
      </c>
      <c r="K1293" s="14">
        <f t="shared" si="124"/>
        <v>2870</v>
      </c>
      <c r="L1293" s="4" t="str">
        <f>IFERROR(INDEX('LEV R&amp;D'!$D:$D,MATCH(MEDIÇÃO!K1293,'LEV R&amp;D'!$A:$A,0))-INDEX('PROJETO PERFURAÇÃO'!$AH:$AH,MATCH(MEDIÇÃO!K1293,'PROJETO PERFURAÇÃO'!$B:$B,0)),"")</f>
        <v/>
      </c>
      <c r="M1293" s="8" t="str">
        <f>IFERROR(INDEX('PROJETO PERFURAÇÃO'!$AN:$AN,MATCH(MEDIÇÃO!K1293,'PROJETO PERFURAÇÃO'!$B:$B,0)),"")</f>
        <v/>
      </c>
      <c r="N1293" s="3"/>
      <c r="O1293" s="3"/>
      <c r="P1293" s="3" t="str">
        <f>IFERROR(ROUND(INDEX('PROJETO PERFURAÇÃO'!$AB:$AB,MATCH(MEDIÇÃO!R1293,'PROJETO PERFURAÇÃO'!$B:$B,0)),1)&amp;"''","")</f>
        <v/>
      </c>
      <c r="Q1293" s="3" t="str">
        <f>IFERROR(IF(INDEX('PROJETO PERFURAÇÃO'!$P:$P,MATCH(MEDIÇÃO!R1293,'PROJETO PERFURAÇÃO'!$B:$B,0))="Production","P",IF(INDEX('PROJETO PERFURAÇÃO'!$P:$P,MATCH(MEDIÇÃO!R1293,'PROJETO PERFURAÇÃO'!$B:$B,0))="Buffer","B",IF(INDEX('PROJETO PERFURAÇÃO'!$P:$P,MATCH(MEDIÇÃO!R1293,'PROJETO PERFURAÇÃO'!$B:$B,0))="Pre-Splitting","S"))),"")</f>
        <v/>
      </c>
      <c r="R1293" s="14">
        <f t="shared" si="125"/>
        <v>2893</v>
      </c>
      <c r="S1293" s="4" t="str">
        <f>IFERROR(INDEX('LEV R&amp;D'!$D:$D,MATCH(MEDIÇÃO!R1293,'LEV R&amp;D'!$A:$A,0))-INDEX('PROJETO PERFURAÇÃO'!$AH:$AH,MATCH(MEDIÇÃO!R1293,'PROJETO PERFURAÇÃO'!$B:$B,0)),"")</f>
        <v/>
      </c>
      <c r="T1293" s="8" t="str">
        <f>IFERROR(INDEX('PROJETO PERFURAÇÃO'!$AN:$AN,MATCH(MEDIÇÃO!R1293,'PROJETO PERFURAÇÃO'!$B:$B,0)),"")</f>
        <v/>
      </c>
      <c r="U1293" s="3"/>
      <c r="V1293" s="3"/>
    </row>
    <row r="1294" spans="2:22" ht="45" customHeight="1" x14ac:dyDescent="0.25">
      <c r="B1294" s="3" t="str">
        <f>IFERROR(ROUND(INDEX('PROJETO PERFURAÇÃO'!$AB:$AB,MATCH(MEDIÇÃO!D1294,'PROJETO PERFURAÇÃO'!$B:$B,0)),1)&amp;"''","")</f>
        <v/>
      </c>
      <c r="C1294" s="3" t="str">
        <f>IFERROR(IF(INDEX('PROJETO PERFURAÇÃO'!$P:$P,MATCH(MEDIÇÃO!D1294,'PROJETO PERFURAÇÃO'!$B:$B,0))="Production","P",IF(INDEX('PROJETO PERFURAÇÃO'!$P:$P,MATCH(MEDIÇÃO!D1294,'PROJETO PERFURAÇÃO'!$B:$B,0))="Buffer","B",IF(INDEX('PROJETO PERFURAÇÃO'!$P:$P,MATCH(MEDIÇÃO!D1294,'PROJETO PERFURAÇÃO'!$B:$B,0))="Pre-Splitting","S"))),"")</f>
        <v/>
      </c>
      <c r="D1294" s="14">
        <f t="shared" si="123"/>
        <v>2848</v>
      </c>
      <c r="E1294" s="4" t="str">
        <f>IFERROR(INDEX('LEV R&amp;D'!$D:$D,MATCH(MEDIÇÃO!D1294,'LEV R&amp;D'!$A:$A,0))-INDEX('PROJETO PERFURAÇÃO'!$AH:$AH,MATCH(MEDIÇÃO!D1294,'PROJETO PERFURAÇÃO'!$B:$B,0)),"")</f>
        <v/>
      </c>
      <c r="F1294" s="8" t="str">
        <f>IFERROR(INDEX('PROJETO PERFURAÇÃO'!$AN:$AN,MATCH(MEDIÇÃO!D1294,'PROJETO PERFURAÇÃO'!$B:$B,0)),"")</f>
        <v/>
      </c>
      <c r="G1294" s="3"/>
      <c r="H1294" s="3"/>
      <c r="I1294" s="3" t="str">
        <f>IFERROR(ROUND(INDEX('PROJETO PERFURAÇÃO'!$AB:$AB,MATCH(MEDIÇÃO!K1294,'PROJETO PERFURAÇÃO'!$B:$B,0)),1)&amp;"''","")</f>
        <v/>
      </c>
      <c r="J1294" s="3" t="str">
        <f>IFERROR(IF(INDEX('PROJETO PERFURAÇÃO'!$P:$P,MATCH(MEDIÇÃO!K1294,'PROJETO PERFURAÇÃO'!$B:$B,0))="Production","P",IF(INDEX('PROJETO PERFURAÇÃO'!$P:$P,MATCH(MEDIÇÃO!K1294,'PROJETO PERFURAÇÃO'!$B:$B,0))="Buffer","B",IF(INDEX('PROJETO PERFURAÇÃO'!$P:$P,MATCH(MEDIÇÃO!K1294,'PROJETO PERFURAÇÃO'!$B:$B,0))="Pre-Splitting","S"))),"")</f>
        <v/>
      </c>
      <c r="K1294" s="14">
        <f t="shared" si="124"/>
        <v>2871</v>
      </c>
      <c r="L1294" s="4" t="str">
        <f>IFERROR(INDEX('LEV R&amp;D'!$D:$D,MATCH(MEDIÇÃO!K1294,'LEV R&amp;D'!$A:$A,0))-INDEX('PROJETO PERFURAÇÃO'!$AH:$AH,MATCH(MEDIÇÃO!K1294,'PROJETO PERFURAÇÃO'!$B:$B,0)),"")</f>
        <v/>
      </c>
      <c r="M1294" s="8" t="str">
        <f>IFERROR(INDEX('PROJETO PERFURAÇÃO'!$AN:$AN,MATCH(MEDIÇÃO!K1294,'PROJETO PERFURAÇÃO'!$B:$B,0)),"")</f>
        <v/>
      </c>
      <c r="N1294" s="3"/>
      <c r="O1294" s="3"/>
      <c r="P1294" s="3" t="str">
        <f>IFERROR(ROUND(INDEX('PROJETO PERFURAÇÃO'!$AB:$AB,MATCH(MEDIÇÃO!R1294,'PROJETO PERFURAÇÃO'!$B:$B,0)),1)&amp;"''","")</f>
        <v/>
      </c>
      <c r="Q1294" s="3" t="str">
        <f>IFERROR(IF(INDEX('PROJETO PERFURAÇÃO'!$P:$P,MATCH(MEDIÇÃO!R1294,'PROJETO PERFURAÇÃO'!$B:$B,0))="Production","P",IF(INDEX('PROJETO PERFURAÇÃO'!$P:$P,MATCH(MEDIÇÃO!R1294,'PROJETO PERFURAÇÃO'!$B:$B,0))="Buffer","B",IF(INDEX('PROJETO PERFURAÇÃO'!$P:$P,MATCH(MEDIÇÃO!R1294,'PROJETO PERFURAÇÃO'!$B:$B,0))="Pre-Splitting","S"))),"")</f>
        <v/>
      </c>
      <c r="R1294" s="14">
        <f t="shared" si="125"/>
        <v>2894</v>
      </c>
      <c r="S1294" s="4" t="str">
        <f>IFERROR(INDEX('LEV R&amp;D'!$D:$D,MATCH(MEDIÇÃO!R1294,'LEV R&amp;D'!$A:$A,0))-INDEX('PROJETO PERFURAÇÃO'!$AH:$AH,MATCH(MEDIÇÃO!R1294,'PROJETO PERFURAÇÃO'!$B:$B,0)),"")</f>
        <v/>
      </c>
      <c r="T1294" s="8" t="str">
        <f>IFERROR(INDEX('PROJETO PERFURAÇÃO'!$AN:$AN,MATCH(MEDIÇÃO!R1294,'PROJETO PERFURAÇÃO'!$B:$B,0)),"")</f>
        <v/>
      </c>
      <c r="U1294" s="3"/>
      <c r="V1294" s="3"/>
    </row>
    <row r="1295" spans="2:22" ht="45" customHeight="1" x14ac:dyDescent="0.25">
      <c r="B1295" s="3" t="str">
        <f>IFERROR(ROUND(INDEX('PROJETO PERFURAÇÃO'!$AB:$AB,MATCH(MEDIÇÃO!D1295,'PROJETO PERFURAÇÃO'!$B:$B,0)),1)&amp;"''","")</f>
        <v/>
      </c>
      <c r="C1295" s="3" t="str">
        <f>IFERROR(IF(INDEX('PROJETO PERFURAÇÃO'!$P:$P,MATCH(MEDIÇÃO!D1295,'PROJETO PERFURAÇÃO'!$B:$B,0))="Production","P",IF(INDEX('PROJETO PERFURAÇÃO'!$P:$P,MATCH(MEDIÇÃO!D1295,'PROJETO PERFURAÇÃO'!$B:$B,0))="Buffer","B",IF(INDEX('PROJETO PERFURAÇÃO'!$P:$P,MATCH(MEDIÇÃO!D1295,'PROJETO PERFURAÇÃO'!$B:$B,0))="Pre-Splitting","S"))),"")</f>
        <v/>
      </c>
      <c r="D1295" s="14">
        <f t="shared" si="123"/>
        <v>2849</v>
      </c>
      <c r="E1295" s="4" t="str">
        <f>IFERROR(INDEX('LEV R&amp;D'!$D:$D,MATCH(MEDIÇÃO!D1295,'LEV R&amp;D'!$A:$A,0))-INDEX('PROJETO PERFURAÇÃO'!$AH:$AH,MATCH(MEDIÇÃO!D1295,'PROJETO PERFURAÇÃO'!$B:$B,0)),"")</f>
        <v/>
      </c>
      <c r="F1295" s="8" t="str">
        <f>IFERROR(INDEX('PROJETO PERFURAÇÃO'!$AN:$AN,MATCH(MEDIÇÃO!D1295,'PROJETO PERFURAÇÃO'!$B:$B,0)),"")</f>
        <v/>
      </c>
      <c r="G1295" s="3"/>
      <c r="H1295" s="3"/>
      <c r="I1295" s="3" t="str">
        <f>IFERROR(ROUND(INDEX('PROJETO PERFURAÇÃO'!$AB:$AB,MATCH(MEDIÇÃO!K1295,'PROJETO PERFURAÇÃO'!$B:$B,0)),1)&amp;"''","")</f>
        <v/>
      </c>
      <c r="J1295" s="3" t="str">
        <f>IFERROR(IF(INDEX('PROJETO PERFURAÇÃO'!$P:$P,MATCH(MEDIÇÃO!K1295,'PROJETO PERFURAÇÃO'!$B:$B,0))="Production","P",IF(INDEX('PROJETO PERFURAÇÃO'!$P:$P,MATCH(MEDIÇÃO!K1295,'PROJETO PERFURAÇÃO'!$B:$B,0))="Buffer","B",IF(INDEX('PROJETO PERFURAÇÃO'!$P:$P,MATCH(MEDIÇÃO!K1295,'PROJETO PERFURAÇÃO'!$B:$B,0))="Pre-Splitting","S"))),"")</f>
        <v/>
      </c>
      <c r="K1295" s="14">
        <f t="shared" si="124"/>
        <v>2872</v>
      </c>
      <c r="L1295" s="4" t="str">
        <f>IFERROR(INDEX('LEV R&amp;D'!$D:$D,MATCH(MEDIÇÃO!K1295,'LEV R&amp;D'!$A:$A,0))-INDEX('PROJETO PERFURAÇÃO'!$AH:$AH,MATCH(MEDIÇÃO!K1295,'PROJETO PERFURAÇÃO'!$B:$B,0)),"")</f>
        <v/>
      </c>
      <c r="M1295" s="8" t="str">
        <f>IFERROR(INDEX('PROJETO PERFURAÇÃO'!$AN:$AN,MATCH(MEDIÇÃO!K1295,'PROJETO PERFURAÇÃO'!$B:$B,0)),"")</f>
        <v/>
      </c>
      <c r="N1295" s="3"/>
      <c r="O1295" s="3"/>
      <c r="P1295" s="3" t="str">
        <f>IFERROR(ROUND(INDEX('PROJETO PERFURAÇÃO'!$AB:$AB,MATCH(MEDIÇÃO!R1295,'PROJETO PERFURAÇÃO'!$B:$B,0)),1)&amp;"''","")</f>
        <v/>
      </c>
      <c r="Q1295" s="3" t="str">
        <f>IFERROR(IF(INDEX('PROJETO PERFURAÇÃO'!$P:$P,MATCH(MEDIÇÃO!R1295,'PROJETO PERFURAÇÃO'!$B:$B,0))="Production","P",IF(INDEX('PROJETO PERFURAÇÃO'!$P:$P,MATCH(MEDIÇÃO!R1295,'PROJETO PERFURAÇÃO'!$B:$B,0))="Buffer","B",IF(INDEX('PROJETO PERFURAÇÃO'!$P:$P,MATCH(MEDIÇÃO!R1295,'PROJETO PERFURAÇÃO'!$B:$B,0))="Pre-Splitting","S"))),"")</f>
        <v/>
      </c>
      <c r="R1295" s="14">
        <f t="shared" si="125"/>
        <v>2895</v>
      </c>
      <c r="S1295" s="4" t="str">
        <f>IFERROR(INDEX('LEV R&amp;D'!$D:$D,MATCH(MEDIÇÃO!R1295,'LEV R&amp;D'!$A:$A,0))-INDEX('PROJETO PERFURAÇÃO'!$AH:$AH,MATCH(MEDIÇÃO!R1295,'PROJETO PERFURAÇÃO'!$B:$B,0)),"")</f>
        <v/>
      </c>
      <c r="T1295" s="8" t="str">
        <f>IFERROR(INDEX('PROJETO PERFURAÇÃO'!$AN:$AN,MATCH(MEDIÇÃO!R1295,'PROJETO PERFURAÇÃO'!$B:$B,0)),"")</f>
        <v/>
      </c>
      <c r="U1295" s="3"/>
      <c r="V1295" s="3"/>
    </row>
    <row r="1296" spans="2:22" ht="45" customHeight="1" x14ac:dyDescent="0.25">
      <c r="B1296" s="3" t="str">
        <f>IFERROR(ROUND(INDEX('PROJETO PERFURAÇÃO'!$AB:$AB,MATCH(MEDIÇÃO!D1296,'PROJETO PERFURAÇÃO'!$B:$B,0)),1)&amp;"''","")</f>
        <v/>
      </c>
      <c r="C1296" s="3" t="str">
        <f>IFERROR(IF(INDEX('PROJETO PERFURAÇÃO'!$P:$P,MATCH(MEDIÇÃO!D1296,'PROJETO PERFURAÇÃO'!$B:$B,0))="Production","P",IF(INDEX('PROJETO PERFURAÇÃO'!$P:$P,MATCH(MEDIÇÃO!D1296,'PROJETO PERFURAÇÃO'!$B:$B,0))="Buffer","B",IF(INDEX('PROJETO PERFURAÇÃO'!$P:$P,MATCH(MEDIÇÃO!D1296,'PROJETO PERFURAÇÃO'!$B:$B,0))="Pre-Splitting","S"))),"")</f>
        <v/>
      </c>
      <c r="D1296" s="14">
        <f t="shared" si="123"/>
        <v>2850</v>
      </c>
      <c r="E1296" s="4" t="str">
        <f>IFERROR(INDEX('LEV R&amp;D'!$D:$D,MATCH(MEDIÇÃO!D1296,'LEV R&amp;D'!$A:$A,0))-INDEX('PROJETO PERFURAÇÃO'!$AH:$AH,MATCH(MEDIÇÃO!D1296,'PROJETO PERFURAÇÃO'!$B:$B,0)),"")</f>
        <v/>
      </c>
      <c r="F1296" s="8" t="str">
        <f>IFERROR(INDEX('PROJETO PERFURAÇÃO'!$AN:$AN,MATCH(MEDIÇÃO!D1296,'PROJETO PERFURAÇÃO'!$B:$B,0)),"")</f>
        <v/>
      </c>
      <c r="G1296" s="3"/>
      <c r="H1296" s="3"/>
      <c r="I1296" s="3" t="str">
        <f>IFERROR(ROUND(INDEX('PROJETO PERFURAÇÃO'!$AB:$AB,MATCH(MEDIÇÃO!K1296,'PROJETO PERFURAÇÃO'!$B:$B,0)),1)&amp;"''","")</f>
        <v/>
      </c>
      <c r="J1296" s="3" t="str">
        <f>IFERROR(IF(INDEX('PROJETO PERFURAÇÃO'!$P:$P,MATCH(MEDIÇÃO!K1296,'PROJETO PERFURAÇÃO'!$B:$B,0))="Production","P",IF(INDEX('PROJETO PERFURAÇÃO'!$P:$P,MATCH(MEDIÇÃO!K1296,'PROJETO PERFURAÇÃO'!$B:$B,0))="Buffer","B",IF(INDEX('PROJETO PERFURAÇÃO'!$P:$P,MATCH(MEDIÇÃO!K1296,'PROJETO PERFURAÇÃO'!$B:$B,0))="Pre-Splitting","S"))),"")</f>
        <v/>
      </c>
      <c r="K1296" s="14">
        <f t="shared" si="124"/>
        <v>2873</v>
      </c>
      <c r="L1296" s="4" t="str">
        <f>IFERROR(INDEX('LEV R&amp;D'!$D:$D,MATCH(MEDIÇÃO!K1296,'LEV R&amp;D'!$A:$A,0))-INDEX('PROJETO PERFURAÇÃO'!$AH:$AH,MATCH(MEDIÇÃO!K1296,'PROJETO PERFURAÇÃO'!$B:$B,0)),"")</f>
        <v/>
      </c>
      <c r="M1296" s="8" t="str">
        <f>IFERROR(INDEX('PROJETO PERFURAÇÃO'!$AN:$AN,MATCH(MEDIÇÃO!K1296,'PROJETO PERFURAÇÃO'!$B:$B,0)),"")</f>
        <v/>
      </c>
      <c r="N1296" s="3"/>
      <c r="O1296" s="3"/>
      <c r="P1296" s="3" t="str">
        <f>IFERROR(ROUND(INDEX('PROJETO PERFURAÇÃO'!$AB:$AB,MATCH(MEDIÇÃO!R1296,'PROJETO PERFURAÇÃO'!$B:$B,0)),1)&amp;"''","")</f>
        <v/>
      </c>
      <c r="Q1296" s="3" t="str">
        <f>IFERROR(IF(INDEX('PROJETO PERFURAÇÃO'!$P:$P,MATCH(MEDIÇÃO!R1296,'PROJETO PERFURAÇÃO'!$B:$B,0))="Production","P",IF(INDEX('PROJETO PERFURAÇÃO'!$P:$P,MATCH(MEDIÇÃO!R1296,'PROJETO PERFURAÇÃO'!$B:$B,0))="Buffer","B",IF(INDEX('PROJETO PERFURAÇÃO'!$P:$P,MATCH(MEDIÇÃO!R1296,'PROJETO PERFURAÇÃO'!$B:$B,0))="Pre-Splitting","S"))),"")</f>
        <v/>
      </c>
      <c r="R1296" s="14">
        <f t="shared" si="125"/>
        <v>2896</v>
      </c>
      <c r="S1296" s="4" t="str">
        <f>IFERROR(INDEX('LEV R&amp;D'!$D:$D,MATCH(MEDIÇÃO!R1296,'LEV R&amp;D'!$A:$A,0))-INDEX('PROJETO PERFURAÇÃO'!$AH:$AH,MATCH(MEDIÇÃO!R1296,'PROJETO PERFURAÇÃO'!$B:$B,0)),"")</f>
        <v/>
      </c>
      <c r="T1296" s="8" t="str">
        <f>IFERROR(INDEX('PROJETO PERFURAÇÃO'!$AN:$AN,MATCH(MEDIÇÃO!R1296,'PROJETO PERFURAÇÃO'!$B:$B,0)),"")</f>
        <v/>
      </c>
      <c r="U1296" s="3"/>
      <c r="V1296" s="3"/>
    </row>
    <row r="1297" spans="1:23" ht="45" customHeight="1" x14ac:dyDescent="0.25">
      <c r="B1297" s="3" t="str">
        <f>IFERROR(ROUND(INDEX('PROJETO PERFURAÇÃO'!$AB:$AB,MATCH(MEDIÇÃO!D1297,'PROJETO PERFURAÇÃO'!$B:$B,0)),1)&amp;"''","")</f>
        <v/>
      </c>
      <c r="C1297" s="3" t="str">
        <f>IFERROR(IF(INDEX('PROJETO PERFURAÇÃO'!$P:$P,MATCH(MEDIÇÃO!D1297,'PROJETO PERFURAÇÃO'!$B:$B,0))="Production","P",IF(INDEX('PROJETO PERFURAÇÃO'!$P:$P,MATCH(MEDIÇÃO!D1297,'PROJETO PERFURAÇÃO'!$B:$B,0))="Buffer","B",IF(INDEX('PROJETO PERFURAÇÃO'!$P:$P,MATCH(MEDIÇÃO!D1297,'PROJETO PERFURAÇÃO'!$B:$B,0))="Pre-Splitting","S"))),"")</f>
        <v/>
      </c>
      <c r="D1297" s="14">
        <f t="shared" si="123"/>
        <v>2851</v>
      </c>
      <c r="E1297" s="4" t="str">
        <f>IFERROR(INDEX('LEV R&amp;D'!$D:$D,MATCH(MEDIÇÃO!D1297,'LEV R&amp;D'!$A:$A,0))-INDEX('PROJETO PERFURAÇÃO'!$AH:$AH,MATCH(MEDIÇÃO!D1297,'PROJETO PERFURAÇÃO'!$B:$B,0)),"")</f>
        <v/>
      </c>
      <c r="F1297" s="8" t="str">
        <f>IFERROR(INDEX('PROJETO PERFURAÇÃO'!$AN:$AN,MATCH(MEDIÇÃO!D1297,'PROJETO PERFURAÇÃO'!$B:$B,0)),"")</f>
        <v/>
      </c>
      <c r="G1297" s="3"/>
      <c r="H1297" s="3"/>
      <c r="I1297" s="3" t="str">
        <f>IFERROR(ROUND(INDEX('PROJETO PERFURAÇÃO'!$AB:$AB,MATCH(MEDIÇÃO!K1297,'PROJETO PERFURAÇÃO'!$B:$B,0)),1)&amp;"''","")</f>
        <v/>
      </c>
      <c r="J1297" s="3" t="str">
        <f>IFERROR(IF(INDEX('PROJETO PERFURAÇÃO'!$P:$P,MATCH(MEDIÇÃO!K1297,'PROJETO PERFURAÇÃO'!$B:$B,0))="Production","P",IF(INDEX('PROJETO PERFURAÇÃO'!$P:$P,MATCH(MEDIÇÃO!K1297,'PROJETO PERFURAÇÃO'!$B:$B,0))="Buffer","B",IF(INDEX('PROJETO PERFURAÇÃO'!$P:$P,MATCH(MEDIÇÃO!K1297,'PROJETO PERFURAÇÃO'!$B:$B,0))="Pre-Splitting","S"))),"")</f>
        <v/>
      </c>
      <c r="K1297" s="14">
        <f t="shared" si="124"/>
        <v>2874</v>
      </c>
      <c r="L1297" s="4" t="str">
        <f>IFERROR(INDEX('LEV R&amp;D'!$D:$D,MATCH(MEDIÇÃO!K1297,'LEV R&amp;D'!$A:$A,0))-INDEX('PROJETO PERFURAÇÃO'!$AH:$AH,MATCH(MEDIÇÃO!K1297,'PROJETO PERFURAÇÃO'!$B:$B,0)),"")</f>
        <v/>
      </c>
      <c r="M1297" s="8" t="str">
        <f>IFERROR(INDEX('PROJETO PERFURAÇÃO'!$AN:$AN,MATCH(MEDIÇÃO!K1297,'PROJETO PERFURAÇÃO'!$B:$B,0)),"")</f>
        <v/>
      </c>
      <c r="N1297" s="3"/>
      <c r="O1297" s="3"/>
      <c r="P1297" s="3" t="str">
        <f>IFERROR(ROUND(INDEX('PROJETO PERFURAÇÃO'!$AB:$AB,MATCH(MEDIÇÃO!R1297,'PROJETO PERFURAÇÃO'!$B:$B,0)),1)&amp;"''","")</f>
        <v/>
      </c>
      <c r="Q1297" s="3" t="str">
        <f>IFERROR(IF(INDEX('PROJETO PERFURAÇÃO'!$P:$P,MATCH(MEDIÇÃO!R1297,'PROJETO PERFURAÇÃO'!$B:$B,0))="Production","P",IF(INDEX('PROJETO PERFURAÇÃO'!$P:$P,MATCH(MEDIÇÃO!R1297,'PROJETO PERFURAÇÃO'!$B:$B,0))="Buffer","B",IF(INDEX('PROJETO PERFURAÇÃO'!$P:$P,MATCH(MEDIÇÃO!R1297,'PROJETO PERFURAÇÃO'!$B:$B,0))="Pre-Splitting","S"))),"")</f>
        <v/>
      </c>
      <c r="R1297" s="14">
        <f t="shared" si="125"/>
        <v>2897</v>
      </c>
      <c r="S1297" s="4" t="str">
        <f>IFERROR(INDEX('LEV R&amp;D'!$D:$D,MATCH(MEDIÇÃO!R1297,'LEV R&amp;D'!$A:$A,0))-INDEX('PROJETO PERFURAÇÃO'!$AH:$AH,MATCH(MEDIÇÃO!R1297,'PROJETO PERFURAÇÃO'!$B:$B,0)),"")</f>
        <v/>
      </c>
      <c r="T1297" s="8" t="str">
        <f>IFERROR(INDEX('PROJETO PERFURAÇÃO'!$AN:$AN,MATCH(MEDIÇÃO!R1297,'PROJETO PERFURAÇÃO'!$B:$B,0)),"")</f>
        <v/>
      </c>
      <c r="U1297" s="3"/>
      <c r="V1297" s="3"/>
    </row>
    <row r="1298" spans="1:23" ht="45" customHeight="1" x14ac:dyDescent="0.25">
      <c r="B1298" s="3" t="str">
        <f>IFERROR(ROUND(INDEX('PROJETO PERFURAÇÃO'!$AB:$AB,MATCH(MEDIÇÃO!D1298,'PROJETO PERFURAÇÃO'!$B:$B,0)),1)&amp;"''","")</f>
        <v/>
      </c>
      <c r="C1298" s="3" t="str">
        <f>IFERROR(IF(INDEX('PROJETO PERFURAÇÃO'!$P:$P,MATCH(MEDIÇÃO!D1298,'PROJETO PERFURAÇÃO'!$B:$B,0))="Production","P",IF(INDEX('PROJETO PERFURAÇÃO'!$P:$P,MATCH(MEDIÇÃO!D1298,'PROJETO PERFURAÇÃO'!$B:$B,0))="Buffer","B",IF(INDEX('PROJETO PERFURAÇÃO'!$P:$P,MATCH(MEDIÇÃO!D1298,'PROJETO PERFURAÇÃO'!$B:$B,0))="Pre-Splitting","S"))),"")</f>
        <v/>
      </c>
      <c r="D1298" s="14">
        <f t="shared" si="123"/>
        <v>2852</v>
      </c>
      <c r="E1298" s="4" t="str">
        <f>IFERROR(INDEX('LEV R&amp;D'!$D:$D,MATCH(MEDIÇÃO!D1298,'LEV R&amp;D'!$A:$A,0))-INDEX('PROJETO PERFURAÇÃO'!$AH:$AH,MATCH(MEDIÇÃO!D1298,'PROJETO PERFURAÇÃO'!$B:$B,0)),"")</f>
        <v/>
      </c>
      <c r="F1298" s="8" t="str">
        <f>IFERROR(INDEX('PROJETO PERFURAÇÃO'!$AN:$AN,MATCH(MEDIÇÃO!D1298,'PROJETO PERFURAÇÃO'!$B:$B,0)),"")</f>
        <v/>
      </c>
      <c r="G1298" s="3"/>
      <c r="H1298" s="3"/>
      <c r="I1298" s="3" t="str">
        <f>IFERROR(ROUND(INDEX('PROJETO PERFURAÇÃO'!$AB:$AB,MATCH(MEDIÇÃO!K1298,'PROJETO PERFURAÇÃO'!$B:$B,0)),1)&amp;"''","")</f>
        <v/>
      </c>
      <c r="J1298" s="3" t="str">
        <f>IFERROR(IF(INDEX('PROJETO PERFURAÇÃO'!$P:$P,MATCH(MEDIÇÃO!K1298,'PROJETO PERFURAÇÃO'!$B:$B,0))="Production","P",IF(INDEX('PROJETO PERFURAÇÃO'!$P:$P,MATCH(MEDIÇÃO!K1298,'PROJETO PERFURAÇÃO'!$B:$B,0))="Buffer","B",IF(INDEX('PROJETO PERFURAÇÃO'!$P:$P,MATCH(MEDIÇÃO!K1298,'PROJETO PERFURAÇÃO'!$B:$B,0))="Pre-Splitting","S"))),"")</f>
        <v/>
      </c>
      <c r="K1298" s="14">
        <f>K1297+1</f>
        <v>2875</v>
      </c>
      <c r="L1298" s="4" t="str">
        <f>IFERROR(INDEX('LEV R&amp;D'!$D:$D,MATCH(MEDIÇÃO!K1298,'LEV R&amp;D'!$A:$A,0))-INDEX('PROJETO PERFURAÇÃO'!$AH:$AH,MATCH(MEDIÇÃO!K1298,'PROJETO PERFURAÇÃO'!$B:$B,0)),"")</f>
        <v/>
      </c>
      <c r="M1298" s="8" t="str">
        <f>IFERROR(INDEX('PROJETO PERFURAÇÃO'!$AN:$AN,MATCH(MEDIÇÃO!K1298,'PROJETO PERFURAÇÃO'!$B:$B,0)),"")</f>
        <v/>
      </c>
      <c r="N1298" s="3"/>
      <c r="O1298" s="3"/>
      <c r="P1298" s="3" t="str">
        <f>IFERROR(ROUND(INDEX('PROJETO PERFURAÇÃO'!$AB:$AB,MATCH(MEDIÇÃO!R1298,'PROJETO PERFURAÇÃO'!$B:$B,0)),1)&amp;"''","")</f>
        <v/>
      </c>
      <c r="Q1298" s="3" t="str">
        <f>IFERROR(IF(INDEX('PROJETO PERFURAÇÃO'!$P:$P,MATCH(MEDIÇÃO!R1298,'PROJETO PERFURAÇÃO'!$B:$B,0))="Production","P",IF(INDEX('PROJETO PERFURAÇÃO'!$P:$P,MATCH(MEDIÇÃO!R1298,'PROJETO PERFURAÇÃO'!$B:$B,0))="Buffer","B",IF(INDEX('PROJETO PERFURAÇÃO'!$P:$P,MATCH(MEDIÇÃO!R1298,'PROJETO PERFURAÇÃO'!$B:$B,0))="Pre-Splitting","S"))),"")</f>
        <v/>
      </c>
      <c r="R1298" s="14">
        <f>R1297+1</f>
        <v>2898</v>
      </c>
      <c r="S1298" s="4" t="str">
        <f>IFERROR(INDEX('LEV R&amp;D'!$D:$D,MATCH(MEDIÇÃO!R1298,'LEV R&amp;D'!$A:$A,0))-INDEX('PROJETO PERFURAÇÃO'!$AH:$AH,MATCH(MEDIÇÃO!R1298,'PROJETO PERFURAÇÃO'!$B:$B,0)),"")</f>
        <v/>
      </c>
      <c r="T1298" s="8" t="str">
        <f>IFERROR(INDEX('PROJETO PERFURAÇÃO'!$AN:$AN,MATCH(MEDIÇÃO!R1298,'PROJETO PERFURAÇÃO'!$B:$B,0)),"")</f>
        <v/>
      </c>
      <c r="U1298" s="3"/>
      <c r="V1298" s="3"/>
    </row>
    <row r="1299" spans="1:23" ht="30" customHeight="1" x14ac:dyDescent="0.25">
      <c r="B1299" s="1"/>
      <c r="C1299" s="1"/>
      <c r="D1299" s="15"/>
      <c r="E1299" s="2"/>
      <c r="F1299" s="16"/>
      <c r="G1299" s="1"/>
      <c r="H1299" s="1"/>
      <c r="I1299" s="1"/>
      <c r="J1299" s="1"/>
      <c r="K1299" s="15"/>
      <c r="L1299" s="2"/>
      <c r="M1299" s="16"/>
      <c r="N1299" s="1"/>
      <c r="O1299" s="1"/>
      <c r="P1299" s="1"/>
      <c r="Q1299" s="1"/>
      <c r="R1299" s="15"/>
      <c r="S1299" s="2"/>
      <c r="T1299" s="16"/>
      <c r="U1299" s="1"/>
      <c r="V1299" s="1"/>
    </row>
    <row r="1300" spans="1:23" ht="30" customHeight="1" x14ac:dyDescent="0.25">
      <c r="C1300" s="20"/>
      <c r="D1300" s="20"/>
      <c r="E1300" s="20"/>
      <c r="F1300" s="20"/>
      <c r="G1300" s="20"/>
      <c r="H1300" s="20"/>
      <c r="I1300" s="20"/>
      <c r="J1300" s="20"/>
      <c r="K1300" s="20"/>
      <c r="M1300" s="20"/>
      <c r="N1300" s="20"/>
      <c r="O1300" s="20"/>
      <c r="P1300" s="20"/>
      <c r="Q1300" s="20"/>
      <c r="R1300" s="20"/>
      <c r="S1300" s="20"/>
      <c r="T1300" s="20"/>
      <c r="U1300" s="20"/>
    </row>
    <row r="1301" spans="1:23" ht="30" customHeight="1" x14ac:dyDescent="0.25">
      <c r="C1301" s="21" t="s">
        <v>40</v>
      </c>
      <c r="D1301" s="21"/>
      <c r="E1301" s="21"/>
      <c r="F1301" s="21"/>
      <c r="G1301" s="21"/>
      <c r="H1301" s="21"/>
      <c r="I1301" s="21"/>
      <c r="J1301" s="21"/>
      <c r="K1301" s="21"/>
      <c r="L1301" s="9"/>
      <c r="M1301" s="21" t="s">
        <v>40</v>
      </c>
      <c r="N1301" s="21"/>
      <c r="O1301" s="21"/>
      <c r="P1301" s="21"/>
      <c r="Q1301" s="21"/>
      <c r="R1301" s="21"/>
      <c r="S1301" s="21"/>
      <c r="T1301" s="21"/>
      <c r="U1301" s="21"/>
      <c r="V1301" s="9"/>
    </row>
    <row r="1302" spans="1:23" ht="30" customHeight="1" x14ac:dyDescent="0.25">
      <c r="D1302" s="9"/>
      <c r="E1302" s="9"/>
      <c r="F1302" s="9"/>
      <c r="G1302" s="9"/>
      <c r="H1302" s="9"/>
      <c r="I1302" s="9"/>
      <c r="J1302" s="9"/>
      <c r="K1302" s="9"/>
      <c r="L1302" s="9"/>
      <c r="M1302" s="9"/>
      <c r="N1302" s="9"/>
      <c r="Q1302" s="9"/>
      <c r="R1302" s="9"/>
      <c r="S1302" s="9"/>
      <c r="T1302" s="9"/>
      <c r="U1302" s="9"/>
      <c r="V1302" s="9"/>
    </row>
    <row r="1303" spans="1:23" ht="30" customHeight="1" x14ac:dyDescent="0.25">
      <c r="B1303" s="19" t="str">
        <f>'PROJETO PERFURAÇÃO'!$C$2&amp;" - "&amp;'PROJETO PERFURAÇÃO'!$H$2</f>
        <v>LIB065 - PP0651026</v>
      </c>
      <c r="C1303" s="19"/>
      <c r="D1303" s="19"/>
      <c r="E1303" s="19"/>
      <c r="F1303" s="19"/>
      <c r="G1303" s="19"/>
      <c r="H1303" s="19"/>
      <c r="I1303" s="11" t="s">
        <v>34</v>
      </c>
      <c r="J1303" s="10" t="s">
        <v>37</v>
      </c>
    </row>
    <row r="1304" spans="1:23" ht="30" customHeight="1" x14ac:dyDescent="0.25">
      <c r="B1304" s="19"/>
      <c r="C1304" s="19"/>
      <c r="D1304" s="19"/>
      <c r="E1304" s="19"/>
      <c r="F1304" s="19"/>
      <c r="G1304" s="19"/>
      <c r="H1304" s="19"/>
      <c r="I1304" s="12" t="s">
        <v>35</v>
      </c>
      <c r="J1304" s="10" t="s">
        <v>38</v>
      </c>
      <c r="K1304" s="9"/>
      <c r="L1304" s="9"/>
      <c r="M1304" s="9"/>
      <c r="N1304" s="9"/>
      <c r="O1304" s="9"/>
      <c r="P1304" s="9"/>
      <c r="Q1304" s="9"/>
      <c r="R1304" s="9"/>
      <c r="S1304" s="9"/>
      <c r="T1304" s="9"/>
      <c r="U1304" s="9"/>
      <c r="V1304" s="9"/>
    </row>
    <row r="1305" spans="1:23" ht="30" customHeight="1" x14ac:dyDescent="0.25">
      <c r="B1305" s="19"/>
      <c r="C1305" s="19"/>
      <c r="D1305" s="19"/>
      <c r="E1305" s="19"/>
      <c r="F1305" s="19"/>
      <c r="G1305" s="19"/>
      <c r="H1305" s="19"/>
      <c r="I1305" s="13" t="s">
        <v>36</v>
      </c>
      <c r="J1305" s="10" t="s">
        <v>39</v>
      </c>
    </row>
    <row r="1306" spans="1:23" ht="30" customHeight="1" x14ac:dyDescent="0.25">
      <c r="A1306" s="1"/>
      <c r="B1306" s="6" t="s">
        <v>33</v>
      </c>
      <c r="C1306" s="6" t="s">
        <v>13</v>
      </c>
      <c r="D1306" s="7" t="s">
        <v>1</v>
      </c>
      <c r="E1306" s="7" t="s">
        <v>29</v>
      </c>
      <c r="F1306" s="7" t="s">
        <v>30</v>
      </c>
      <c r="G1306" s="7" t="s">
        <v>31</v>
      </c>
      <c r="H1306" s="7" t="s">
        <v>32</v>
      </c>
      <c r="I1306" s="6" t="s">
        <v>33</v>
      </c>
      <c r="J1306" s="6" t="s">
        <v>13</v>
      </c>
      <c r="K1306" s="7" t="s">
        <v>1</v>
      </c>
      <c r="L1306" s="7" t="s">
        <v>29</v>
      </c>
      <c r="M1306" s="7" t="s">
        <v>30</v>
      </c>
      <c r="N1306" s="7" t="s">
        <v>31</v>
      </c>
      <c r="O1306" s="7" t="s">
        <v>32</v>
      </c>
      <c r="P1306" s="6" t="s">
        <v>33</v>
      </c>
      <c r="Q1306" s="6" t="s">
        <v>13</v>
      </c>
      <c r="R1306" s="7" t="s">
        <v>1</v>
      </c>
      <c r="S1306" s="7" t="s">
        <v>29</v>
      </c>
      <c r="T1306" s="7" t="s">
        <v>30</v>
      </c>
      <c r="U1306" s="7" t="s">
        <v>31</v>
      </c>
      <c r="V1306" s="7" t="s">
        <v>32</v>
      </c>
      <c r="W1306" s="1"/>
    </row>
    <row r="1307" spans="1:23" ht="45" customHeight="1" x14ac:dyDescent="0.25">
      <c r="B1307" s="3" t="str">
        <f>IFERROR(ROUND(INDEX('PROJETO PERFURAÇÃO'!$AB:$AB,MATCH(MEDIÇÃO!D1307,'PROJETO PERFURAÇÃO'!$B:$B,0)),1)&amp;"''","")</f>
        <v/>
      </c>
      <c r="C1307" s="3" t="str">
        <f>IFERROR(IF(INDEX('PROJETO PERFURAÇÃO'!$P:$P,MATCH(MEDIÇÃO!D1307,'PROJETO PERFURAÇÃO'!$B:$B,0))="Production","P",IF(INDEX('PROJETO PERFURAÇÃO'!$P:$P,MATCH(MEDIÇÃO!D1307,'PROJETO PERFURAÇÃO'!$B:$B,0))="Buffer","B",IF(INDEX('PROJETO PERFURAÇÃO'!$P:$P,MATCH(MEDIÇÃO!D1307,'PROJETO PERFURAÇÃO'!$B:$B,0))="Pre-Splitting","S"))),"")</f>
        <v/>
      </c>
      <c r="D1307" s="14">
        <f>R1298+1</f>
        <v>2899</v>
      </c>
      <c r="E1307" s="4" t="str">
        <f>IFERROR(INDEX('LEV R&amp;D'!$D:$D,MATCH(MEDIÇÃO!D1307,'LEV R&amp;D'!$A:$A,0))-INDEX('PROJETO PERFURAÇÃO'!$AH:$AH,MATCH(MEDIÇÃO!D1307,'PROJETO PERFURAÇÃO'!$B:$B,0)),"")</f>
        <v/>
      </c>
      <c r="F1307" s="8" t="str">
        <f>IFERROR(INDEX('PROJETO PERFURAÇÃO'!$AN:$AN,MATCH(MEDIÇÃO!D1307,'PROJETO PERFURAÇÃO'!$B:$B,0)),"")</f>
        <v/>
      </c>
      <c r="G1307" s="3"/>
      <c r="H1307" s="3"/>
      <c r="I1307" s="3" t="str">
        <f>IFERROR(ROUND(INDEX('PROJETO PERFURAÇÃO'!$AB:$AB,MATCH(MEDIÇÃO!K1307,'PROJETO PERFURAÇÃO'!$B:$B,0)),1)&amp;"''","")</f>
        <v/>
      </c>
      <c r="J1307" s="3" t="str">
        <f>IFERROR(IF(INDEX('PROJETO PERFURAÇÃO'!$P:$P,MATCH(MEDIÇÃO!K1307,'PROJETO PERFURAÇÃO'!$B:$B,0))="Production","P",IF(INDEX('PROJETO PERFURAÇÃO'!$P:$P,MATCH(MEDIÇÃO!K1307,'PROJETO PERFURAÇÃO'!$B:$B,0))="Buffer","B",IF(INDEX('PROJETO PERFURAÇÃO'!$P:$P,MATCH(MEDIÇÃO!K1307,'PROJETO PERFURAÇÃO'!$B:$B,0))="Pre-Splitting","S"))),"")</f>
        <v/>
      </c>
      <c r="K1307" s="14">
        <f>D1329+1</f>
        <v>2922</v>
      </c>
      <c r="L1307" s="4" t="str">
        <f>IFERROR(INDEX('LEV R&amp;D'!$D:$D,MATCH(MEDIÇÃO!K1307,'LEV R&amp;D'!$A:$A,0))-INDEX('PROJETO PERFURAÇÃO'!$AH:$AH,MATCH(MEDIÇÃO!K1307,'PROJETO PERFURAÇÃO'!$B:$B,0)),"")</f>
        <v/>
      </c>
      <c r="M1307" s="8" t="str">
        <f>IFERROR(INDEX('PROJETO PERFURAÇÃO'!$AN:$AN,MATCH(MEDIÇÃO!K1307,'PROJETO PERFURAÇÃO'!$B:$B,0)),"")</f>
        <v/>
      </c>
      <c r="N1307" s="3"/>
      <c r="O1307" s="3"/>
      <c r="P1307" s="3" t="str">
        <f>IFERROR(ROUND(INDEX('PROJETO PERFURAÇÃO'!$AB:$AB,MATCH(MEDIÇÃO!R1307,'PROJETO PERFURAÇÃO'!$B:$B,0)),1)&amp;"''","")</f>
        <v/>
      </c>
      <c r="Q1307" s="3" t="str">
        <f>IFERROR(IF(INDEX('PROJETO PERFURAÇÃO'!$P:$P,MATCH(MEDIÇÃO!R1307,'PROJETO PERFURAÇÃO'!$B:$B,0))="Production","P",IF(INDEX('PROJETO PERFURAÇÃO'!$P:$P,MATCH(MEDIÇÃO!R1307,'PROJETO PERFURAÇÃO'!$B:$B,0))="Buffer","B",IF(INDEX('PROJETO PERFURAÇÃO'!$P:$P,MATCH(MEDIÇÃO!R1307,'PROJETO PERFURAÇÃO'!$B:$B,0))="Pre-Splitting","S"))),"")</f>
        <v/>
      </c>
      <c r="R1307" s="14">
        <f>K1329+1</f>
        <v>2945</v>
      </c>
      <c r="S1307" s="4" t="str">
        <f>IFERROR(INDEX('LEV R&amp;D'!$D:$D,MATCH(MEDIÇÃO!R1307,'LEV R&amp;D'!$A:$A,0))-INDEX('PROJETO PERFURAÇÃO'!$AH:$AH,MATCH(MEDIÇÃO!R1307,'PROJETO PERFURAÇÃO'!$B:$B,0)),"")</f>
        <v/>
      </c>
      <c r="T1307" s="8" t="str">
        <f>IFERROR(INDEX('PROJETO PERFURAÇÃO'!$AN:$AN,MATCH(MEDIÇÃO!R1307,'PROJETO PERFURAÇÃO'!$B:$B,0)),"")</f>
        <v/>
      </c>
      <c r="U1307" s="3"/>
      <c r="V1307" s="3"/>
    </row>
    <row r="1308" spans="1:23" ht="45" customHeight="1" x14ac:dyDescent="0.25">
      <c r="B1308" s="3" t="str">
        <f>IFERROR(ROUND(INDEX('PROJETO PERFURAÇÃO'!$AB:$AB,MATCH(MEDIÇÃO!D1308,'PROJETO PERFURAÇÃO'!$B:$B,0)),1)&amp;"''","")</f>
        <v/>
      </c>
      <c r="C1308" s="3" t="str">
        <f>IFERROR(IF(INDEX('PROJETO PERFURAÇÃO'!$P:$P,MATCH(MEDIÇÃO!D1308,'PROJETO PERFURAÇÃO'!$B:$B,0))="Production","P",IF(INDEX('PROJETO PERFURAÇÃO'!$P:$P,MATCH(MEDIÇÃO!D1308,'PROJETO PERFURAÇÃO'!$B:$B,0))="Buffer","B",IF(INDEX('PROJETO PERFURAÇÃO'!$P:$P,MATCH(MEDIÇÃO!D1308,'PROJETO PERFURAÇÃO'!$B:$B,0))="Pre-Splitting","S"))),"")</f>
        <v/>
      </c>
      <c r="D1308" s="14">
        <f>D1307+1</f>
        <v>2900</v>
      </c>
      <c r="E1308" s="4" t="str">
        <f>IFERROR(INDEX('LEV R&amp;D'!$D:$D,MATCH(MEDIÇÃO!D1308,'LEV R&amp;D'!$A:$A,0))-INDEX('PROJETO PERFURAÇÃO'!$AH:$AH,MATCH(MEDIÇÃO!D1308,'PROJETO PERFURAÇÃO'!$B:$B,0)),"")</f>
        <v/>
      </c>
      <c r="F1308" s="8" t="str">
        <f>IFERROR(INDEX('PROJETO PERFURAÇÃO'!$AN:$AN,MATCH(MEDIÇÃO!D1308,'PROJETO PERFURAÇÃO'!$B:$B,0)),"")</f>
        <v/>
      </c>
      <c r="G1308" s="3"/>
      <c r="H1308" s="3"/>
      <c r="I1308" s="3" t="str">
        <f>IFERROR(ROUND(INDEX('PROJETO PERFURAÇÃO'!$AB:$AB,MATCH(MEDIÇÃO!K1308,'PROJETO PERFURAÇÃO'!$B:$B,0)),1)&amp;"''","")</f>
        <v/>
      </c>
      <c r="J1308" s="3" t="str">
        <f>IFERROR(IF(INDEX('PROJETO PERFURAÇÃO'!$P:$P,MATCH(MEDIÇÃO!K1308,'PROJETO PERFURAÇÃO'!$B:$B,0))="Production","P",IF(INDEX('PROJETO PERFURAÇÃO'!$P:$P,MATCH(MEDIÇÃO!K1308,'PROJETO PERFURAÇÃO'!$B:$B,0))="Buffer","B",IF(INDEX('PROJETO PERFURAÇÃO'!$P:$P,MATCH(MEDIÇÃO!K1308,'PROJETO PERFURAÇÃO'!$B:$B,0))="Pre-Splitting","S"))),"")</f>
        <v/>
      </c>
      <c r="K1308" s="14">
        <f>K1307+1</f>
        <v>2923</v>
      </c>
      <c r="L1308" s="4" t="str">
        <f>IFERROR(INDEX('LEV R&amp;D'!$D:$D,MATCH(MEDIÇÃO!K1308,'LEV R&amp;D'!$A:$A,0))-INDEX('PROJETO PERFURAÇÃO'!$AH:$AH,MATCH(MEDIÇÃO!K1308,'PROJETO PERFURAÇÃO'!$B:$B,0)),"")</f>
        <v/>
      </c>
      <c r="M1308" s="8" t="str">
        <f>IFERROR(INDEX('PROJETO PERFURAÇÃO'!$AN:$AN,MATCH(MEDIÇÃO!K1308,'PROJETO PERFURAÇÃO'!$B:$B,0)),"")</f>
        <v/>
      </c>
      <c r="N1308" s="3"/>
      <c r="O1308" s="3"/>
      <c r="P1308" s="3" t="str">
        <f>IFERROR(ROUND(INDEX('PROJETO PERFURAÇÃO'!$AB:$AB,MATCH(MEDIÇÃO!R1308,'PROJETO PERFURAÇÃO'!$B:$B,0)),1)&amp;"''","")</f>
        <v/>
      </c>
      <c r="Q1308" s="3" t="str">
        <f>IFERROR(IF(INDEX('PROJETO PERFURAÇÃO'!$P:$P,MATCH(MEDIÇÃO!R1308,'PROJETO PERFURAÇÃO'!$B:$B,0))="Production","P",IF(INDEX('PROJETO PERFURAÇÃO'!$P:$P,MATCH(MEDIÇÃO!R1308,'PROJETO PERFURAÇÃO'!$B:$B,0))="Buffer","B",IF(INDEX('PROJETO PERFURAÇÃO'!$P:$P,MATCH(MEDIÇÃO!R1308,'PROJETO PERFURAÇÃO'!$B:$B,0))="Pre-Splitting","S"))),"")</f>
        <v/>
      </c>
      <c r="R1308" s="14">
        <f>R1307+1</f>
        <v>2946</v>
      </c>
      <c r="S1308" s="4" t="str">
        <f>IFERROR(INDEX('LEV R&amp;D'!$D:$D,MATCH(MEDIÇÃO!R1308,'LEV R&amp;D'!$A:$A,0))-INDEX('PROJETO PERFURAÇÃO'!$AH:$AH,MATCH(MEDIÇÃO!R1308,'PROJETO PERFURAÇÃO'!$B:$B,0)),"")</f>
        <v/>
      </c>
      <c r="T1308" s="8" t="str">
        <f>IFERROR(INDEX('PROJETO PERFURAÇÃO'!$AN:$AN,MATCH(MEDIÇÃO!R1308,'PROJETO PERFURAÇÃO'!$B:$B,0)),"")</f>
        <v/>
      </c>
      <c r="U1308" s="3"/>
      <c r="V1308" s="3"/>
    </row>
    <row r="1309" spans="1:23" ht="45" customHeight="1" x14ac:dyDescent="0.25">
      <c r="B1309" s="3" t="str">
        <f>IFERROR(ROUND(INDEX('PROJETO PERFURAÇÃO'!$AB:$AB,MATCH(MEDIÇÃO!D1309,'PROJETO PERFURAÇÃO'!$B:$B,0)),1)&amp;"''","")</f>
        <v/>
      </c>
      <c r="C1309" s="3" t="str">
        <f>IFERROR(IF(INDEX('PROJETO PERFURAÇÃO'!$P:$P,MATCH(MEDIÇÃO!D1309,'PROJETO PERFURAÇÃO'!$B:$B,0))="Production","P",IF(INDEX('PROJETO PERFURAÇÃO'!$P:$P,MATCH(MEDIÇÃO!D1309,'PROJETO PERFURAÇÃO'!$B:$B,0))="Buffer","B",IF(INDEX('PROJETO PERFURAÇÃO'!$P:$P,MATCH(MEDIÇÃO!D1309,'PROJETO PERFURAÇÃO'!$B:$B,0))="Pre-Splitting","S"))),"")</f>
        <v/>
      </c>
      <c r="D1309" s="14">
        <f t="shared" ref="D1309:D1329" si="126">D1308+1</f>
        <v>2901</v>
      </c>
      <c r="E1309" s="4" t="str">
        <f>IFERROR(INDEX('LEV R&amp;D'!$D:$D,MATCH(MEDIÇÃO!D1309,'LEV R&amp;D'!$A:$A,0))-INDEX('PROJETO PERFURAÇÃO'!$AH:$AH,MATCH(MEDIÇÃO!D1309,'PROJETO PERFURAÇÃO'!$B:$B,0)),"")</f>
        <v/>
      </c>
      <c r="F1309" s="8" t="str">
        <f>IFERROR(INDEX('PROJETO PERFURAÇÃO'!$AN:$AN,MATCH(MEDIÇÃO!D1309,'PROJETO PERFURAÇÃO'!$B:$B,0)),"")</f>
        <v/>
      </c>
      <c r="G1309" s="3"/>
      <c r="H1309" s="3"/>
      <c r="I1309" s="3" t="str">
        <f>IFERROR(ROUND(INDEX('PROJETO PERFURAÇÃO'!$AB:$AB,MATCH(MEDIÇÃO!K1309,'PROJETO PERFURAÇÃO'!$B:$B,0)),1)&amp;"''","")</f>
        <v/>
      </c>
      <c r="J1309" s="3" t="str">
        <f>IFERROR(IF(INDEX('PROJETO PERFURAÇÃO'!$P:$P,MATCH(MEDIÇÃO!K1309,'PROJETO PERFURAÇÃO'!$B:$B,0))="Production","P",IF(INDEX('PROJETO PERFURAÇÃO'!$P:$P,MATCH(MEDIÇÃO!K1309,'PROJETO PERFURAÇÃO'!$B:$B,0))="Buffer","B",IF(INDEX('PROJETO PERFURAÇÃO'!$P:$P,MATCH(MEDIÇÃO!K1309,'PROJETO PERFURAÇÃO'!$B:$B,0))="Pre-Splitting","S"))),"")</f>
        <v/>
      </c>
      <c r="K1309" s="14">
        <f t="shared" ref="K1309:K1328" si="127">K1308+1</f>
        <v>2924</v>
      </c>
      <c r="L1309" s="4" t="str">
        <f>IFERROR(INDEX('LEV R&amp;D'!$D:$D,MATCH(MEDIÇÃO!K1309,'LEV R&amp;D'!$A:$A,0))-INDEX('PROJETO PERFURAÇÃO'!$AH:$AH,MATCH(MEDIÇÃO!K1309,'PROJETO PERFURAÇÃO'!$B:$B,0)),"")</f>
        <v/>
      </c>
      <c r="M1309" s="8" t="str">
        <f>IFERROR(INDEX('PROJETO PERFURAÇÃO'!$AN:$AN,MATCH(MEDIÇÃO!K1309,'PROJETO PERFURAÇÃO'!$B:$B,0)),"")</f>
        <v/>
      </c>
      <c r="N1309" s="3"/>
      <c r="O1309" s="3"/>
      <c r="P1309" s="3" t="str">
        <f>IFERROR(ROUND(INDEX('PROJETO PERFURAÇÃO'!$AB:$AB,MATCH(MEDIÇÃO!R1309,'PROJETO PERFURAÇÃO'!$B:$B,0)),1)&amp;"''","")</f>
        <v/>
      </c>
      <c r="Q1309" s="3" t="str">
        <f>IFERROR(IF(INDEX('PROJETO PERFURAÇÃO'!$P:$P,MATCH(MEDIÇÃO!R1309,'PROJETO PERFURAÇÃO'!$B:$B,0))="Production","P",IF(INDEX('PROJETO PERFURAÇÃO'!$P:$P,MATCH(MEDIÇÃO!R1309,'PROJETO PERFURAÇÃO'!$B:$B,0))="Buffer","B",IF(INDEX('PROJETO PERFURAÇÃO'!$P:$P,MATCH(MEDIÇÃO!R1309,'PROJETO PERFURAÇÃO'!$B:$B,0))="Pre-Splitting","S"))),"")</f>
        <v/>
      </c>
      <c r="R1309" s="14">
        <f t="shared" ref="R1309:R1328" si="128">R1308+1</f>
        <v>2947</v>
      </c>
      <c r="S1309" s="4" t="str">
        <f>IFERROR(INDEX('LEV R&amp;D'!$D:$D,MATCH(MEDIÇÃO!R1309,'LEV R&amp;D'!$A:$A,0))-INDEX('PROJETO PERFURAÇÃO'!$AH:$AH,MATCH(MEDIÇÃO!R1309,'PROJETO PERFURAÇÃO'!$B:$B,0)),"")</f>
        <v/>
      </c>
      <c r="T1309" s="8" t="str">
        <f>IFERROR(INDEX('PROJETO PERFURAÇÃO'!$AN:$AN,MATCH(MEDIÇÃO!R1309,'PROJETO PERFURAÇÃO'!$B:$B,0)),"")</f>
        <v/>
      </c>
      <c r="U1309" s="3"/>
      <c r="V1309" s="3"/>
    </row>
    <row r="1310" spans="1:23" ht="45" customHeight="1" x14ac:dyDescent="0.25">
      <c r="B1310" s="3" t="str">
        <f>IFERROR(ROUND(INDEX('PROJETO PERFURAÇÃO'!$AB:$AB,MATCH(MEDIÇÃO!D1310,'PROJETO PERFURAÇÃO'!$B:$B,0)),1)&amp;"''","")</f>
        <v/>
      </c>
      <c r="C1310" s="3" t="str">
        <f>IFERROR(IF(INDEX('PROJETO PERFURAÇÃO'!$P:$P,MATCH(MEDIÇÃO!D1310,'PROJETO PERFURAÇÃO'!$B:$B,0))="Production","P",IF(INDEX('PROJETO PERFURAÇÃO'!$P:$P,MATCH(MEDIÇÃO!D1310,'PROJETO PERFURAÇÃO'!$B:$B,0))="Buffer","B",IF(INDEX('PROJETO PERFURAÇÃO'!$P:$P,MATCH(MEDIÇÃO!D1310,'PROJETO PERFURAÇÃO'!$B:$B,0))="Pre-Splitting","S"))),"")</f>
        <v/>
      </c>
      <c r="D1310" s="14">
        <f t="shared" si="126"/>
        <v>2902</v>
      </c>
      <c r="E1310" s="4" t="str">
        <f>IFERROR(INDEX('LEV R&amp;D'!$D:$D,MATCH(MEDIÇÃO!D1310,'LEV R&amp;D'!$A:$A,0))-INDEX('PROJETO PERFURAÇÃO'!$AH:$AH,MATCH(MEDIÇÃO!D1310,'PROJETO PERFURAÇÃO'!$B:$B,0)),"")</f>
        <v/>
      </c>
      <c r="F1310" s="8" t="str">
        <f>IFERROR(INDEX('PROJETO PERFURAÇÃO'!$AN:$AN,MATCH(MEDIÇÃO!D1310,'PROJETO PERFURAÇÃO'!$B:$B,0)),"")</f>
        <v/>
      </c>
      <c r="G1310" s="3"/>
      <c r="H1310" s="3"/>
      <c r="I1310" s="3" t="str">
        <f>IFERROR(ROUND(INDEX('PROJETO PERFURAÇÃO'!$AB:$AB,MATCH(MEDIÇÃO!K1310,'PROJETO PERFURAÇÃO'!$B:$B,0)),1)&amp;"''","")</f>
        <v/>
      </c>
      <c r="J1310" s="3" t="str">
        <f>IFERROR(IF(INDEX('PROJETO PERFURAÇÃO'!$P:$P,MATCH(MEDIÇÃO!K1310,'PROJETO PERFURAÇÃO'!$B:$B,0))="Production","P",IF(INDEX('PROJETO PERFURAÇÃO'!$P:$P,MATCH(MEDIÇÃO!K1310,'PROJETO PERFURAÇÃO'!$B:$B,0))="Buffer","B",IF(INDEX('PROJETO PERFURAÇÃO'!$P:$P,MATCH(MEDIÇÃO!K1310,'PROJETO PERFURAÇÃO'!$B:$B,0))="Pre-Splitting","S"))),"")</f>
        <v/>
      </c>
      <c r="K1310" s="14">
        <f t="shared" si="127"/>
        <v>2925</v>
      </c>
      <c r="L1310" s="4" t="str">
        <f>IFERROR(INDEX('LEV R&amp;D'!$D:$D,MATCH(MEDIÇÃO!K1310,'LEV R&amp;D'!$A:$A,0))-INDEX('PROJETO PERFURAÇÃO'!$AH:$AH,MATCH(MEDIÇÃO!K1310,'PROJETO PERFURAÇÃO'!$B:$B,0)),"")</f>
        <v/>
      </c>
      <c r="M1310" s="8" t="str">
        <f>IFERROR(INDEX('PROJETO PERFURAÇÃO'!$AN:$AN,MATCH(MEDIÇÃO!K1310,'PROJETO PERFURAÇÃO'!$B:$B,0)),"")</f>
        <v/>
      </c>
      <c r="N1310" s="3"/>
      <c r="O1310" s="3"/>
      <c r="P1310" s="3" t="str">
        <f>IFERROR(ROUND(INDEX('PROJETO PERFURAÇÃO'!$AB:$AB,MATCH(MEDIÇÃO!R1310,'PROJETO PERFURAÇÃO'!$B:$B,0)),1)&amp;"''","")</f>
        <v/>
      </c>
      <c r="Q1310" s="3" t="str">
        <f>IFERROR(IF(INDEX('PROJETO PERFURAÇÃO'!$P:$P,MATCH(MEDIÇÃO!R1310,'PROJETO PERFURAÇÃO'!$B:$B,0))="Production","P",IF(INDEX('PROJETO PERFURAÇÃO'!$P:$P,MATCH(MEDIÇÃO!R1310,'PROJETO PERFURAÇÃO'!$B:$B,0))="Buffer","B",IF(INDEX('PROJETO PERFURAÇÃO'!$P:$P,MATCH(MEDIÇÃO!R1310,'PROJETO PERFURAÇÃO'!$B:$B,0))="Pre-Splitting","S"))),"")</f>
        <v/>
      </c>
      <c r="R1310" s="14">
        <f t="shared" si="128"/>
        <v>2948</v>
      </c>
      <c r="S1310" s="4" t="str">
        <f>IFERROR(INDEX('LEV R&amp;D'!$D:$D,MATCH(MEDIÇÃO!R1310,'LEV R&amp;D'!$A:$A,0))-INDEX('PROJETO PERFURAÇÃO'!$AH:$AH,MATCH(MEDIÇÃO!R1310,'PROJETO PERFURAÇÃO'!$B:$B,0)),"")</f>
        <v/>
      </c>
      <c r="T1310" s="8" t="str">
        <f>IFERROR(INDEX('PROJETO PERFURAÇÃO'!$AN:$AN,MATCH(MEDIÇÃO!R1310,'PROJETO PERFURAÇÃO'!$B:$B,0)),"")</f>
        <v/>
      </c>
      <c r="U1310" s="3"/>
      <c r="V1310" s="3"/>
    </row>
    <row r="1311" spans="1:23" ht="45" customHeight="1" x14ac:dyDescent="0.25">
      <c r="B1311" s="3" t="str">
        <f>IFERROR(ROUND(INDEX('PROJETO PERFURAÇÃO'!$AB:$AB,MATCH(MEDIÇÃO!D1311,'PROJETO PERFURAÇÃO'!$B:$B,0)),1)&amp;"''","")</f>
        <v/>
      </c>
      <c r="C1311" s="3" t="str">
        <f>IFERROR(IF(INDEX('PROJETO PERFURAÇÃO'!$P:$P,MATCH(MEDIÇÃO!D1311,'PROJETO PERFURAÇÃO'!$B:$B,0))="Production","P",IF(INDEX('PROJETO PERFURAÇÃO'!$P:$P,MATCH(MEDIÇÃO!D1311,'PROJETO PERFURAÇÃO'!$B:$B,0))="Buffer","B",IF(INDEX('PROJETO PERFURAÇÃO'!$P:$P,MATCH(MEDIÇÃO!D1311,'PROJETO PERFURAÇÃO'!$B:$B,0))="Pre-Splitting","S"))),"")</f>
        <v/>
      </c>
      <c r="D1311" s="14">
        <f t="shared" si="126"/>
        <v>2903</v>
      </c>
      <c r="E1311" s="4" t="str">
        <f>IFERROR(INDEX('LEV R&amp;D'!$D:$D,MATCH(MEDIÇÃO!D1311,'LEV R&amp;D'!$A:$A,0))-INDEX('PROJETO PERFURAÇÃO'!$AH:$AH,MATCH(MEDIÇÃO!D1311,'PROJETO PERFURAÇÃO'!$B:$B,0)),"")</f>
        <v/>
      </c>
      <c r="F1311" s="8" t="str">
        <f>IFERROR(INDEX('PROJETO PERFURAÇÃO'!$AN:$AN,MATCH(MEDIÇÃO!D1311,'PROJETO PERFURAÇÃO'!$B:$B,0)),"")</f>
        <v/>
      </c>
      <c r="G1311" s="3"/>
      <c r="H1311" s="3"/>
      <c r="I1311" s="3" t="str">
        <f>IFERROR(ROUND(INDEX('PROJETO PERFURAÇÃO'!$AB:$AB,MATCH(MEDIÇÃO!K1311,'PROJETO PERFURAÇÃO'!$B:$B,0)),1)&amp;"''","")</f>
        <v/>
      </c>
      <c r="J1311" s="3" t="str">
        <f>IFERROR(IF(INDEX('PROJETO PERFURAÇÃO'!$P:$P,MATCH(MEDIÇÃO!K1311,'PROJETO PERFURAÇÃO'!$B:$B,0))="Production","P",IF(INDEX('PROJETO PERFURAÇÃO'!$P:$P,MATCH(MEDIÇÃO!K1311,'PROJETO PERFURAÇÃO'!$B:$B,0))="Buffer","B",IF(INDEX('PROJETO PERFURAÇÃO'!$P:$P,MATCH(MEDIÇÃO!K1311,'PROJETO PERFURAÇÃO'!$B:$B,0))="Pre-Splitting","S"))),"")</f>
        <v/>
      </c>
      <c r="K1311" s="14">
        <f t="shared" si="127"/>
        <v>2926</v>
      </c>
      <c r="L1311" s="4" t="str">
        <f>IFERROR(INDEX('LEV R&amp;D'!$D:$D,MATCH(MEDIÇÃO!K1311,'LEV R&amp;D'!$A:$A,0))-INDEX('PROJETO PERFURAÇÃO'!$AH:$AH,MATCH(MEDIÇÃO!K1311,'PROJETO PERFURAÇÃO'!$B:$B,0)),"")</f>
        <v/>
      </c>
      <c r="M1311" s="8" t="str">
        <f>IFERROR(INDEX('PROJETO PERFURAÇÃO'!$AN:$AN,MATCH(MEDIÇÃO!K1311,'PROJETO PERFURAÇÃO'!$B:$B,0)),"")</f>
        <v/>
      </c>
      <c r="N1311" s="3"/>
      <c r="O1311" s="3"/>
      <c r="P1311" s="3" t="str">
        <f>IFERROR(ROUND(INDEX('PROJETO PERFURAÇÃO'!$AB:$AB,MATCH(MEDIÇÃO!R1311,'PROJETO PERFURAÇÃO'!$B:$B,0)),1)&amp;"''","")</f>
        <v/>
      </c>
      <c r="Q1311" s="3" t="str">
        <f>IFERROR(IF(INDEX('PROJETO PERFURAÇÃO'!$P:$P,MATCH(MEDIÇÃO!R1311,'PROJETO PERFURAÇÃO'!$B:$B,0))="Production","P",IF(INDEX('PROJETO PERFURAÇÃO'!$P:$P,MATCH(MEDIÇÃO!R1311,'PROJETO PERFURAÇÃO'!$B:$B,0))="Buffer","B",IF(INDEX('PROJETO PERFURAÇÃO'!$P:$P,MATCH(MEDIÇÃO!R1311,'PROJETO PERFURAÇÃO'!$B:$B,0))="Pre-Splitting","S"))),"")</f>
        <v/>
      </c>
      <c r="R1311" s="14">
        <f t="shared" si="128"/>
        <v>2949</v>
      </c>
      <c r="S1311" s="4" t="str">
        <f>IFERROR(INDEX('LEV R&amp;D'!$D:$D,MATCH(MEDIÇÃO!R1311,'LEV R&amp;D'!$A:$A,0))-INDEX('PROJETO PERFURAÇÃO'!$AH:$AH,MATCH(MEDIÇÃO!R1311,'PROJETO PERFURAÇÃO'!$B:$B,0)),"")</f>
        <v/>
      </c>
      <c r="T1311" s="8" t="str">
        <f>IFERROR(INDEX('PROJETO PERFURAÇÃO'!$AN:$AN,MATCH(MEDIÇÃO!R1311,'PROJETO PERFURAÇÃO'!$B:$B,0)),"")</f>
        <v/>
      </c>
      <c r="U1311" s="3"/>
      <c r="V1311" s="3"/>
    </row>
    <row r="1312" spans="1:23" ht="45" customHeight="1" x14ac:dyDescent="0.25">
      <c r="B1312" s="3" t="str">
        <f>IFERROR(ROUND(INDEX('PROJETO PERFURAÇÃO'!$AB:$AB,MATCH(MEDIÇÃO!D1312,'PROJETO PERFURAÇÃO'!$B:$B,0)),1)&amp;"''","")</f>
        <v/>
      </c>
      <c r="C1312" s="3" t="str">
        <f>IFERROR(IF(INDEX('PROJETO PERFURAÇÃO'!$P:$P,MATCH(MEDIÇÃO!D1312,'PROJETO PERFURAÇÃO'!$B:$B,0))="Production","P",IF(INDEX('PROJETO PERFURAÇÃO'!$P:$P,MATCH(MEDIÇÃO!D1312,'PROJETO PERFURAÇÃO'!$B:$B,0))="Buffer","B",IF(INDEX('PROJETO PERFURAÇÃO'!$P:$P,MATCH(MEDIÇÃO!D1312,'PROJETO PERFURAÇÃO'!$B:$B,0))="Pre-Splitting","S"))),"")</f>
        <v/>
      </c>
      <c r="D1312" s="14">
        <f t="shared" si="126"/>
        <v>2904</v>
      </c>
      <c r="E1312" s="4" t="str">
        <f>IFERROR(INDEX('LEV R&amp;D'!$D:$D,MATCH(MEDIÇÃO!D1312,'LEV R&amp;D'!$A:$A,0))-INDEX('PROJETO PERFURAÇÃO'!$AH:$AH,MATCH(MEDIÇÃO!D1312,'PROJETO PERFURAÇÃO'!$B:$B,0)),"")</f>
        <v/>
      </c>
      <c r="F1312" s="8" t="str">
        <f>IFERROR(INDEX('PROJETO PERFURAÇÃO'!$AN:$AN,MATCH(MEDIÇÃO!D1312,'PROJETO PERFURAÇÃO'!$B:$B,0)),"")</f>
        <v/>
      </c>
      <c r="G1312" s="3"/>
      <c r="H1312" s="3"/>
      <c r="I1312" s="3" t="str">
        <f>IFERROR(ROUND(INDEX('PROJETO PERFURAÇÃO'!$AB:$AB,MATCH(MEDIÇÃO!K1312,'PROJETO PERFURAÇÃO'!$B:$B,0)),1)&amp;"''","")</f>
        <v/>
      </c>
      <c r="J1312" s="3" t="str">
        <f>IFERROR(IF(INDEX('PROJETO PERFURAÇÃO'!$P:$P,MATCH(MEDIÇÃO!K1312,'PROJETO PERFURAÇÃO'!$B:$B,0))="Production","P",IF(INDEX('PROJETO PERFURAÇÃO'!$P:$P,MATCH(MEDIÇÃO!K1312,'PROJETO PERFURAÇÃO'!$B:$B,0))="Buffer","B",IF(INDEX('PROJETO PERFURAÇÃO'!$P:$P,MATCH(MEDIÇÃO!K1312,'PROJETO PERFURAÇÃO'!$B:$B,0))="Pre-Splitting","S"))),"")</f>
        <v/>
      </c>
      <c r="K1312" s="14">
        <f t="shared" si="127"/>
        <v>2927</v>
      </c>
      <c r="L1312" s="4" t="str">
        <f>IFERROR(INDEX('LEV R&amp;D'!$D:$D,MATCH(MEDIÇÃO!K1312,'LEV R&amp;D'!$A:$A,0))-INDEX('PROJETO PERFURAÇÃO'!$AH:$AH,MATCH(MEDIÇÃO!K1312,'PROJETO PERFURAÇÃO'!$B:$B,0)),"")</f>
        <v/>
      </c>
      <c r="M1312" s="8" t="str">
        <f>IFERROR(INDEX('PROJETO PERFURAÇÃO'!$AN:$AN,MATCH(MEDIÇÃO!K1312,'PROJETO PERFURAÇÃO'!$B:$B,0)),"")</f>
        <v/>
      </c>
      <c r="N1312" s="3"/>
      <c r="O1312" s="3"/>
      <c r="P1312" s="3" t="str">
        <f>IFERROR(ROUND(INDEX('PROJETO PERFURAÇÃO'!$AB:$AB,MATCH(MEDIÇÃO!R1312,'PROJETO PERFURAÇÃO'!$B:$B,0)),1)&amp;"''","")</f>
        <v/>
      </c>
      <c r="Q1312" s="3" t="str">
        <f>IFERROR(IF(INDEX('PROJETO PERFURAÇÃO'!$P:$P,MATCH(MEDIÇÃO!R1312,'PROJETO PERFURAÇÃO'!$B:$B,0))="Production","P",IF(INDEX('PROJETO PERFURAÇÃO'!$P:$P,MATCH(MEDIÇÃO!R1312,'PROJETO PERFURAÇÃO'!$B:$B,0))="Buffer","B",IF(INDEX('PROJETO PERFURAÇÃO'!$P:$P,MATCH(MEDIÇÃO!R1312,'PROJETO PERFURAÇÃO'!$B:$B,0))="Pre-Splitting","S"))),"")</f>
        <v/>
      </c>
      <c r="R1312" s="14">
        <f t="shared" si="128"/>
        <v>2950</v>
      </c>
      <c r="S1312" s="4" t="str">
        <f>IFERROR(INDEX('LEV R&amp;D'!$D:$D,MATCH(MEDIÇÃO!R1312,'LEV R&amp;D'!$A:$A,0))-INDEX('PROJETO PERFURAÇÃO'!$AH:$AH,MATCH(MEDIÇÃO!R1312,'PROJETO PERFURAÇÃO'!$B:$B,0)),"")</f>
        <v/>
      </c>
      <c r="T1312" s="8" t="str">
        <f>IFERROR(INDEX('PROJETO PERFURAÇÃO'!$AN:$AN,MATCH(MEDIÇÃO!R1312,'PROJETO PERFURAÇÃO'!$B:$B,0)),"")</f>
        <v/>
      </c>
      <c r="U1312" s="3"/>
      <c r="V1312" s="3"/>
    </row>
    <row r="1313" spans="2:22" ht="45" customHeight="1" x14ac:dyDescent="0.25">
      <c r="B1313" s="3" t="str">
        <f>IFERROR(ROUND(INDEX('PROJETO PERFURAÇÃO'!$AB:$AB,MATCH(MEDIÇÃO!D1313,'PROJETO PERFURAÇÃO'!$B:$B,0)),1)&amp;"''","")</f>
        <v/>
      </c>
      <c r="C1313" s="3" t="str">
        <f>IFERROR(IF(INDEX('PROJETO PERFURAÇÃO'!$P:$P,MATCH(MEDIÇÃO!D1313,'PROJETO PERFURAÇÃO'!$B:$B,0))="Production","P",IF(INDEX('PROJETO PERFURAÇÃO'!$P:$P,MATCH(MEDIÇÃO!D1313,'PROJETO PERFURAÇÃO'!$B:$B,0))="Buffer","B",IF(INDEX('PROJETO PERFURAÇÃO'!$P:$P,MATCH(MEDIÇÃO!D1313,'PROJETO PERFURAÇÃO'!$B:$B,0))="Pre-Splitting","S"))),"")</f>
        <v/>
      </c>
      <c r="D1313" s="14">
        <f t="shared" si="126"/>
        <v>2905</v>
      </c>
      <c r="E1313" s="4" t="str">
        <f>IFERROR(INDEX('LEV R&amp;D'!$D:$D,MATCH(MEDIÇÃO!D1313,'LEV R&amp;D'!$A:$A,0))-INDEX('PROJETO PERFURAÇÃO'!$AH:$AH,MATCH(MEDIÇÃO!D1313,'PROJETO PERFURAÇÃO'!$B:$B,0)),"")</f>
        <v/>
      </c>
      <c r="F1313" s="8" t="str">
        <f>IFERROR(INDEX('PROJETO PERFURAÇÃO'!$AN:$AN,MATCH(MEDIÇÃO!D1313,'PROJETO PERFURAÇÃO'!$B:$B,0)),"")</f>
        <v/>
      </c>
      <c r="G1313" s="3"/>
      <c r="H1313" s="3"/>
      <c r="I1313" s="3" t="str">
        <f>IFERROR(ROUND(INDEX('PROJETO PERFURAÇÃO'!$AB:$AB,MATCH(MEDIÇÃO!K1313,'PROJETO PERFURAÇÃO'!$B:$B,0)),1)&amp;"''","")</f>
        <v/>
      </c>
      <c r="J1313" s="3" t="str">
        <f>IFERROR(IF(INDEX('PROJETO PERFURAÇÃO'!$P:$P,MATCH(MEDIÇÃO!K1313,'PROJETO PERFURAÇÃO'!$B:$B,0))="Production","P",IF(INDEX('PROJETO PERFURAÇÃO'!$P:$P,MATCH(MEDIÇÃO!K1313,'PROJETO PERFURAÇÃO'!$B:$B,0))="Buffer","B",IF(INDEX('PROJETO PERFURAÇÃO'!$P:$P,MATCH(MEDIÇÃO!K1313,'PROJETO PERFURAÇÃO'!$B:$B,0))="Pre-Splitting","S"))),"")</f>
        <v/>
      </c>
      <c r="K1313" s="14">
        <f t="shared" si="127"/>
        <v>2928</v>
      </c>
      <c r="L1313" s="4" t="str">
        <f>IFERROR(INDEX('LEV R&amp;D'!$D:$D,MATCH(MEDIÇÃO!K1313,'LEV R&amp;D'!$A:$A,0))-INDEX('PROJETO PERFURAÇÃO'!$AH:$AH,MATCH(MEDIÇÃO!K1313,'PROJETO PERFURAÇÃO'!$B:$B,0)),"")</f>
        <v/>
      </c>
      <c r="M1313" s="8" t="str">
        <f>IFERROR(INDEX('PROJETO PERFURAÇÃO'!$AN:$AN,MATCH(MEDIÇÃO!K1313,'PROJETO PERFURAÇÃO'!$B:$B,0)),"")</f>
        <v/>
      </c>
      <c r="N1313" s="3"/>
      <c r="O1313" s="3"/>
      <c r="P1313" s="3" t="str">
        <f>IFERROR(ROUND(INDEX('PROJETO PERFURAÇÃO'!$AB:$AB,MATCH(MEDIÇÃO!R1313,'PROJETO PERFURAÇÃO'!$B:$B,0)),1)&amp;"''","")</f>
        <v/>
      </c>
      <c r="Q1313" s="3" t="str">
        <f>IFERROR(IF(INDEX('PROJETO PERFURAÇÃO'!$P:$P,MATCH(MEDIÇÃO!R1313,'PROJETO PERFURAÇÃO'!$B:$B,0))="Production","P",IF(INDEX('PROJETO PERFURAÇÃO'!$P:$P,MATCH(MEDIÇÃO!R1313,'PROJETO PERFURAÇÃO'!$B:$B,0))="Buffer","B",IF(INDEX('PROJETO PERFURAÇÃO'!$P:$P,MATCH(MEDIÇÃO!R1313,'PROJETO PERFURAÇÃO'!$B:$B,0))="Pre-Splitting","S"))),"")</f>
        <v/>
      </c>
      <c r="R1313" s="14">
        <f t="shared" si="128"/>
        <v>2951</v>
      </c>
      <c r="S1313" s="4" t="str">
        <f>IFERROR(INDEX('LEV R&amp;D'!$D:$D,MATCH(MEDIÇÃO!R1313,'LEV R&amp;D'!$A:$A,0))-INDEX('PROJETO PERFURAÇÃO'!$AH:$AH,MATCH(MEDIÇÃO!R1313,'PROJETO PERFURAÇÃO'!$B:$B,0)),"")</f>
        <v/>
      </c>
      <c r="T1313" s="8" t="str">
        <f>IFERROR(INDEX('PROJETO PERFURAÇÃO'!$AN:$AN,MATCH(MEDIÇÃO!R1313,'PROJETO PERFURAÇÃO'!$B:$B,0)),"")</f>
        <v/>
      </c>
      <c r="U1313" s="3"/>
      <c r="V1313" s="3"/>
    </row>
    <row r="1314" spans="2:22" ht="45" customHeight="1" x14ac:dyDescent="0.25">
      <c r="B1314" s="3" t="str">
        <f>IFERROR(ROUND(INDEX('PROJETO PERFURAÇÃO'!$AB:$AB,MATCH(MEDIÇÃO!D1314,'PROJETO PERFURAÇÃO'!$B:$B,0)),1)&amp;"''","")</f>
        <v/>
      </c>
      <c r="C1314" s="3" t="str">
        <f>IFERROR(IF(INDEX('PROJETO PERFURAÇÃO'!$P:$P,MATCH(MEDIÇÃO!D1314,'PROJETO PERFURAÇÃO'!$B:$B,0))="Production","P",IF(INDEX('PROJETO PERFURAÇÃO'!$P:$P,MATCH(MEDIÇÃO!D1314,'PROJETO PERFURAÇÃO'!$B:$B,0))="Buffer","B",IF(INDEX('PROJETO PERFURAÇÃO'!$P:$P,MATCH(MEDIÇÃO!D1314,'PROJETO PERFURAÇÃO'!$B:$B,0))="Pre-Splitting","S"))),"")</f>
        <v/>
      </c>
      <c r="D1314" s="14">
        <f t="shared" si="126"/>
        <v>2906</v>
      </c>
      <c r="E1314" s="4" t="str">
        <f>IFERROR(INDEX('LEV R&amp;D'!$D:$D,MATCH(MEDIÇÃO!D1314,'LEV R&amp;D'!$A:$A,0))-INDEX('PROJETO PERFURAÇÃO'!$AH:$AH,MATCH(MEDIÇÃO!D1314,'PROJETO PERFURAÇÃO'!$B:$B,0)),"")</f>
        <v/>
      </c>
      <c r="F1314" s="8" t="str">
        <f>IFERROR(INDEX('PROJETO PERFURAÇÃO'!$AN:$AN,MATCH(MEDIÇÃO!D1314,'PROJETO PERFURAÇÃO'!$B:$B,0)),"")</f>
        <v/>
      </c>
      <c r="G1314" s="3"/>
      <c r="H1314" s="3"/>
      <c r="I1314" s="3" t="str">
        <f>IFERROR(ROUND(INDEX('PROJETO PERFURAÇÃO'!$AB:$AB,MATCH(MEDIÇÃO!K1314,'PROJETO PERFURAÇÃO'!$B:$B,0)),1)&amp;"''","")</f>
        <v/>
      </c>
      <c r="J1314" s="3" t="str">
        <f>IFERROR(IF(INDEX('PROJETO PERFURAÇÃO'!$P:$P,MATCH(MEDIÇÃO!K1314,'PROJETO PERFURAÇÃO'!$B:$B,0))="Production","P",IF(INDEX('PROJETO PERFURAÇÃO'!$P:$P,MATCH(MEDIÇÃO!K1314,'PROJETO PERFURAÇÃO'!$B:$B,0))="Buffer","B",IF(INDEX('PROJETO PERFURAÇÃO'!$P:$P,MATCH(MEDIÇÃO!K1314,'PROJETO PERFURAÇÃO'!$B:$B,0))="Pre-Splitting","S"))),"")</f>
        <v/>
      </c>
      <c r="K1314" s="14">
        <f t="shared" si="127"/>
        <v>2929</v>
      </c>
      <c r="L1314" s="4" t="str">
        <f>IFERROR(INDEX('LEV R&amp;D'!$D:$D,MATCH(MEDIÇÃO!K1314,'LEV R&amp;D'!$A:$A,0))-INDEX('PROJETO PERFURAÇÃO'!$AH:$AH,MATCH(MEDIÇÃO!K1314,'PROJETO PERFURAÇÃO'!$B:$B,0)),"")</f>
        <v/>
      </c>
      <c r="M1314" s="8" t="str">
        <f>IFERROR(INDEX('PROJETO PERFURAÇÃO'!$AN:$AN,MATCH(MEDIÇÃO!K1314,'PROJETO PERFURAÇÃO'!$B:$B,0)),"")</f>
        <v/>
      </c>
      <c r="N1314" s="3"/>
      <c r="O1314" s="3"/>
      <c r="P1314" s="3" t="str">
        <f>IFERROR(ROUND(INDEX('PROJETO PERFURAÇÃO'!$AB:$AB,MATCH(MEDIÇÃO!R1314,'PROJETO PERFURAÇÃO'!$B:$B,0)),1)&amp;"''","")</f>
        <v/>
      </c>
      <c r="Q1314" s="3" t="str">
        <f>IFERROR(IF(INDEX('PROJETO PERFURAÇÃO'!$P:$P,MATCH(MEDIÇÃO!R1314,'PROJETO PERFURAÇÃO'!$B:$B,0))="Production","P",IF(INDEX('PROJETO PERFURAÇÃO'!$P:$P,MATCH(MEDIÇÃO!R1314,'PROJETO PERFURAÇÃO'!$B:$B,0))="Buffer","B",IF(INDEX('PROJETO PERFURAÇÃO'!$P:$P,MATCH(MEDIÇÃO!R1314,'PROJETO PERFURAÇÃO'!$B:$B,0))="Pre-Splitting","S"))),"")</f>
        <v/>
      </c>
      <c r="R1314" s="14">
        <f t="shared" si="128"/>
        <v>2952</v>
      </c>
      <c r="S1314" s="4" t="str">
        <f>IFERROR(INDEX('LEV R&amp;D'!$D:$D,MATCH(MEDIÇÃO!R1314,'LEV R&amp;D'!$A:$A,0))-INDEX('PROJETO PERFURAÇÃO'!$AH:$AH,MATCH(MEDIÇÃO!R1314,'PROJETO PERFURAÇÃO'!$B:$B,0)),"")</f>
        <v/>
      </c>
      <c r="T1314" s="8" t="str">
        <f>IFERROR(INDEX('PROJETO PERFURAÇÃO'!$AN:$AN,MATCH(MEDIÇÃO!R1314,'PROJETO PERFURAÇÃO'!$B:$B,0)),"")</f>
        <v/>
      </c>
      <c r="U1314" s="3"/>
      <c r="V1314" s="3"/>
    </row>
    <row r="1315" spans="2:22" ht="45" customHeight="1" x14ac:dyDescent="0.25">
      <c r="B1315" s="3" t="str">
        <f>IFERROR(ROUND(INDEX('PROJETO PERFURAÇÃO'!$AB:$AB,MATCH(MEDIÇÃO!D1315,'PROJETO PERFURAÇÃO'!$B:$B,0)),1)&amp;"''","")</f>
        <v/>
      </c>
      <c r="C1315" s="3" t="str">
        <f>IFERROR(IF(INDEX('PROJETO PERFURAÇÃO'!$P:$P,MATCH(MEDIÇÃO!D1315,'PROJETO PERFURAÇÃO'!$B:$B,0))="Production","P",IF(INDEX('PROJETO PERFURAÇÃO'!$P:$P,MATCH(MEDIÇÃO!D1315,'PROJETO PERFURAÇÃO'!$B:$B,0))="Buffer","B",IF(INDEX('PROJETO PERFURAÇÃO'!$P:$P,MATCH(MEDIÇÃO!D1315,'PROJETO PERFURAÇÃO'!$B:$B,0))="Pre-Splitting","S"))),"")</f>
        <v/>
      </c>
      <c r="D1315" s="14">
        <f t="shared" si="126"/>
        <v>2907</v>
      </c>
      <c r="E1315" s="4" t="str">
        <f>IFERROR(INDEX('LEV R&amp;D'!$D:$D,MATCH(MEDIÇÃO!D1315,'LEV R&amp;D'!$A:$A,0))-INDEX('PROJETO PERFURAÇÃO'!$AH:$AH,MATCH(MEDIÇÃO!D1315,'PROJETO PERFURAÇÃO'!$B:$B,0)),"")</f>
        <v/>
      </c>
      <c r="F1315" s="8" t="str">
        <f>IFERROR(INDEX('PROJETO PERFURAÇÃO'!$AN:$AN,MATCH(MEDIÇÃO!D1315,'PROJETO PERFURAÇÃO'!$B:$B,0)),"")</f>
        <v/>
      </c>
      <c r="G1315" s="3"/>
      <c r="H1315" s="3"/>
      <c r="I1315" s="3" t="str">
        <f>IFERROR(ROUND(INDEX('PROJETO PERFURAÇÃO'!$AB:$AB,MATCH(MEDIÇÃO!K1315,'PROJETO PERFURAÇÃO'!$B:$B,0)),1)&amp;"''","")</f>
        <v/>
      </c>
      <c r="J1315" s="3" t="str">
        <f>IFERROR(IF(INDEX('PROJETO PERFURAÇÃO'!$P:$P,MATCH(MEDIÇÃO!K1315,'PROJETO PERFURAÇÃO'!$B:$B,0))="Production","P",IF(INDEX('PROJETO PERFURAÇÃO'!$P:$P,MATCH(MEDIÇÃO!K1315,'PROJETO PERFURAÇÃO'!$B:$B,0))="Buffer","B",IF(INDEX('PROJETO PERFURAÇÃO'!$P:$P,MATCH(MEDIÇÃO!K1315,'PROJETO PERFURAÇÃO'!$B:$B,0))="Pre-Splitting","S"))),"")</f>
        <v/>
      </c>
      <c r="K1315" s="14">
        <f t="shared" si="127"/>
        <v>2930</v>
      </c>
      <c r="L1315" s="4" t="str">
        <f>IFERROR(INDEX('LEV R&amp;D'!$D:$D,MATCH(MEDIÇÃO!K1315,'LEV R&amp;D'!$A:$A,0))-INDEX('PROJETO PERFURAÇÃO'!$AH:$AH,MATCH(MEDIÇÃO!K1315,'PROJETO PERFURAÇÃO'!$B:$B,0)),"")</f>
        <v/>
      </c>
      <c r="M1315" s="8" t="str">
        <f>IFERROR(INDEX('PROJETO PERFURAÇÃO'!$AN:$AN,MATCH(MEDIÇÃO!K1315,'PROJETO PERFURAÇÃO'!$B:$B,0)),"")</f>
        <v/>
      </c>
      <c r="N1315" s="3"/>
      <c r="O1315" s="3"/>
      <c r="P1315" s="3" t="str">
        <f>IFERROR(ROUND(INDEX('PROJETO PERFURAÇÃO'!$AB:$AB,MATCH(MEDIÇÃO!R1315,'PROJETO PERFURAÇÃO'!$B:$B,0)),1)&amp;"''","")</f>
        <v/>
      </c>
      <c r="Q1315" s="3" t="str">
        <f>IFERROR(IF(INDEX('PROJETO PERFURAÇÃO'!$P:$P,MATCH(MEDIÇÃO!R1315,'PROJETO PERFURAÇÃO'!$B:$B,0))="Production","P",IF(INDEX('PROJETO PERFURAÇÃO'!$P:$P,MATCH(MEDIÇÃO!R1315,'PROJETO PERFURAÇÃO'!$B:$B,0))="Buffer","B",IF(INDEX('PROJETO PERFURAÇÃO'!$P:$P,MATCH(MEDIÇÃO!R1315,'PROJETO PERFURAÇÃO'!$B:$B,0))="Pre-Splitting","S"))),"")</f>
        <v/>
      </c>
      <c r="R1315" s="14">
        <f t="shared" si="128"/>
        <v>2953</v>
      </c>
      <c r="S1315" s="4" t="str">
        <f>IFERROR(INDEX('LEV R&amp;D'!$D:$D,MATCH(MEDIÇÃO!R1315,'LEV R&amp;D'!$A:$A,0))-INDEX('PROJETO PERFURAÇÃO'!$AH:$AH,MATCH(MEDIÇÃO!R1315,'PROJETO PERFURAÇÃO'!$B:$B,0)),"")</f>
        <v/>
      </c>
      <c r="T1315" s="8" t="str">
        <f>IFERROR(INDEX('PROJETO PERFURAÇÃO'!$AN:$AN,MATCH(MEDIÇÃO!R1315,'PROJETO PERFURAÇÃO'!$B:$B,0)),"")</f>
        <v/>
      </c>
      <c r="U1315" s="3"/>
      <c r="V1315" s="3"/>
    </row>
    <row r="1316" spans="2:22" ht="45" customHeight="1" x14ac:dyDescent="0.25">
      <c r="B1316" s="3" t="str">
        <f>IFERROR(ROUND(INDEX('PROJETO PERFURAÇÃO'!$AB:$AB,MATCH(MEDIÇÃO!D1316,'PROJETO PERFURAÇÃO'!$B:$B,0)),1)&amp;"''","")</f>
        <v/>
      </c>
      <c r="C1316" s="3" t="str">
        <f>IFERROR(IF(INDEX('PROJETO PERFURAÇÃO'!$P:$P,MATCH(MEDIÇÃO!D1316,'PROJETO PERFURAÇÃO'!$B:$B,0))="Production","P",IF(INDEX('PROJETO PERFURAÇÃO'!$P:$P,MATCH(MEDIÇÃO!D1316,'PROJETO PERFURAÇÃO'!$B:$B,0))="Buffer","B",IF(INDEX('PROJETO PERFURAÇÃO'!$P:$P,MATCH(MEDIÇÃO!D1316,'PROJETO PERFURAÇÃO'!$B:$B,0))="Pre-Splitting","S"))),"")</f>
        <v/>
      </c>
      <c r="D1316" s="14">
        <f t="shared" si="126"/>
        <v>2908</v>
      </c>
      <c r="E1316" s="4" t="str">
        <f>IFERROR(INDEX('LEV R&amp;D'!$D:$D,MATCH(MEDIÇÃO!D1316,'LEV R&amp;D'!$A:$A,0))-INDEX('PROJETO PERFURAÇÃO'!$AH:$AH,MATCH(MEDIÇÃO!D1316,'PROJETO PERFURAÇÃO'!$B:$B,0)),"")</f>
        <v/>
      </c>
      <c r="F1316" s="8" t="str">
        <f>IFERROR(INDEX('PROJETO PERFURAÇÃO'!$AN:$AN,MATCH(MEDIÇÃO!D1316,'PROJETO PERFURAÇÃO'!$B:$B,0)),"")</f>
        <v/>
      </c>
      <c r="G1316" s="3"/>
      <c r="H1316" s="3"/>
      <c r="I1316" s="3" t="str">
        <f>IFERROR(ROUND(INDEX('PROJETO PERFURAÇÃO'!$AB:$AB,MATCH(MEDIÇÃO!K1316,'PROJETO PERFURAÇÃO'!$B:$B,0)),1)&amp;"''","")</f>
        <v/>
      </c>
      <c r="J1316" s="3" t="str">
        <f>IFERROR(IF(INDEX('PROJETO PERFURAÇÃO'!$P:$P,MATCH(MEDIÇÃO!K1316,'PROJETO PERFURAÇÃO'!$B:$B,0))="Production","P",IF(INDEX('PROJETO PERFURAÇÃO'!$P:$P,MATCH(MEDIÇÃO!K1316,'PROJETO PERFURAÇÃO'!$B:$B,0))="Buffer","B",IF(INDEX('PROJETO PERFURAÇÃO'!$P:$P,MATCH(MEDIÇÃO!K1316,'PROJETO PERFURAÇÃO'!$B:$B,0))="Pre-Splitting","S"))),"")</f>
        <v/>
      </c>
      <c r="K1316" s="14">
        <f t="shared" si="127"/>
        <v>2931</v>
      </c>
      <c r="L1316" s="4" t="str">
        <f>IFERROR(INDEX('LEV R&amp;D'!$D:$D,MATCH(MEDIÇÃO!K1316,'LEV R&amp;D'!$A:$A,0))-INDEX('PROJETO PERFURAÇÃO'!$AH:$AH,MATCH(MEDIÇÃO!K1316,'PROJETO PERFURAÇÃO'!$B:$B,0)),"")</f>
        <v/>
      </c>
      <c r="M1316" s="8" t="str">
        <f>IFERROR(INDEX('PROJETO PERFURAÇÃO'!$AN:$AN,MATCH(MEDIÇÃO!K1316,'PROJETO PERFURAÇÃO'!$B:$B,0)),"")</f>
        <v/>
      </c>
      <c r="N1316" s="3"/>
      <c r="O1316" s="3"/>
      <c r="P1316" s="3" t="str">
        <f>IFERROR(ROUND(INDEX('PROJETO PERFURAÇÃO'!$AB:$AB,MATCH(MEDIÇÃO!R1316,'PROJETO PERFURAÇÃO'!$B:$B,0)),1)&amp;"''","")</f>
        <v/>
      </c>
      <c r="Q1316" s="3" t="str">
        <f>IFERROR(IF(INDEX('PROJETO PERFURAÇÃO'!$P:$P,MATCH(MEDIÇÃO!R1316,'PROJETO PERFURAÇÃO'!$B:$B,0))="Production","P",IF(INDEX('PROJETO PERFURAÇÃO'!$P:$P,MATCH(MEDIÇÃO!R1316,'PROJETO PERFURAÇÃO'!$B:$B,0))="Buffer","B",IF(INDEX('PROJETO PERFURAÇÃO'!$P:$P,MATCH(MEDIÇÃO!R1316,'PROJETO PERFURAÇÃO'!$B:$B,0))="Pre-Splitting","S"))),"")</f>
        <v/>
      </c>
      <c r="R1316" s="14">
        <f t="shared" si="128"/>
        <v>2954</v>
      </c>
      <c r="S1316" s="4" t="str">
        <f>IFERROR(INDEX('LEV R&amp;D'!$D:$D,MATCH(MEDIÇÃO!R1316,'LEV R&amp;D'!$A:$A,0))-INDEX('PROJETO PERFURAÇÃO'!$AH:$AH,MATCH(MEDIÇÃO!R1316,'PROJETO PERFURAÇÃO'!$B:$B,0)),"")</f>
        <v/>
      </c>
      <c r="T1316" s="8" t="str">
        <f>IFERROR(INDEX('PROJETO PERFURAÇÃO'!$AN:$AN,MATCH(MEDIÇÃO!R1316,'PROJETO PERFURAÇÃO'!$B:$B,0)),"")</f>
        <v/>
      </c>
      <c r="U1316" s="3"/>
      <c r="V1316" s="3"/>
    </row>
    <row r="1317" spans="2:22" ht="45" customHeight="1" x14ac:dyDescent="0.25">
      <c r="B1317" s="3" t="str">
        <f>IFERROR(ROUND(INDEX('PROJETO PERFURAÇÃO'!$AB:$AB,MATCH(MEDIÇÃO!D1317,'PROJETO PERFURAÇÃO'!$B:$B,0)),1)&amp;"''","")</f>
        <v/>
      </c>
      <c r="C1317" s="3" t="str">
        <f>IFERROR(IF(INDEX('PROJETO PERFURAÇÃO'!$P:$P,MATCH(MEDIÇÃO!D1317,'PROJETO PERFURAÇÃO'!$B:$B,0))="Production","P",IF(INDEX('PROJETO PERFURAÇÃO'!$P:$P,MATCH(MEDIÇÃO!D1317,'PROJETO PERFURAÇÃO'!$B:$B,0))="Buffer","B",IF(INDEX('PROJETO PERFURAÇÃO'!$P:$P,MATCH(MEDIÇÃO!D1317,'PROJETO PERFURAÇÃO'!$B:$B,0))="Pre-Splitting","S"))),"")</f>
        <v/>
      </c>
      <c r="D1317" s="14">
        <f t="shared" si="126"/>
        <v>2909</v>
      </c>
      <c r="E1317" s="4" t="str">
        <f>IFERROR(INDEX('LEV R&amp;D'!$D:$D,MATCH(MEDIÇÃO!D1317,'LEV R&amp;D'!$A:$A,0))-INDEX('PROJETO PERFURAÇÃO'!$AH:$AH,MATCH(MEDIÇÃO!D1317,'PROJETO PERFURAÇÃO'!$B:$B,0)),"")</f>
        <v/>
      </c>
      <c r="F1317" s="8" t="str">
        <f>IFERROR(INDEX('PROJETO PERFURAÇÃO'!$AN:$AN,MATCH(MEDIÇÃO!D1317,'PROJETO PERFURAÇÃO'!$B:$B,0)),"")</f>
        <v/>
      </c>
      <c r="G1317" s="3"/>
      <c r="H1317" s="3"/>
      <c r="I1317" s="3" t="str">
        <f>IFERROR(ROUND(INDEX('PROJETO PERFURAÇÃO'!$AB:$AB,MATCH(MEDIÇÃO!K1317,'PROJETO PERFURAÇÃO'!$B:$B,0)),1)&amp;"''","")</f>
        <v/>
      </c>
      <c r="J1317" s="3" t="str">
        <f>IFERROR(IF(INDEX('PROJETO PERFURAÇÃO'!$P:$P,MATCH(MEDIÇÃO!K1317,'PROJETO PERFURAÇÃO'!$B:$B,0))="Production","P",IF(INDEX('PROJETO PERFURAÇÃO'!$P:$P,MATCH(MEDIÇÃO!K1317,'PROJETO PERFURAÇÃO'!$B:$B,0))="Buffer","B",IF(INDEX('PROJETO PERFURAÇÃO'!$P:$P,MATCH(MEDIÇÃO!K1317,'PROJETO PERFURAÇÃO'!$B:$B,0))="Pre-Splitting","S"))),"")</f>
        <v/>
      </c>
      <c r="K1317" s="14">
        <f t="shared" si="127"/>
        <v>2932</v>
      </c>
      <c r="L1317" s="4" t="str">
        <f>IFERROR(INDEX('LEV R&amp;D'!$D:$D,MATCH(MEDIÇÃO!K1317,'LEV R&amp;D'!$A:$A,0))-INDEX('PROJETO PERFURAÇÃO'!$AH:$AH,MATCH(MEDIÇÃO!K1317,'PROJETO PERFURAÇÃO'!$B:$B,0)),"")</f>
        <v/>
      </c>
      <c r="M1317" s="8" t="str">
        <f>IFERROR(INDEX('PROJETO PERFURAÇÃO'!$AN:$AN,MATCH(MEDIÇÃO!K1317,'PROJETO PERFURAÇÃO'!$B:$B,0)),"")</f>
        <v/>
      </c>
      <c r="N1317" s="3"/>
      <c r="O1317" s="3"/>
      <c r="P1317" s="3" t="str">
        <f>IFERROR(ROUND(INDEX('PROJETO PERFURAÇÃO'!$AB:$AB,MATCH(MEDIÇÃO!R1317,'PROJETO PERFURAÇÃO'!$B:$B,0)),1)&amp;"''","")</f>
        <v/>
      </c>
      <c r="Q1317" s="3" t="str">
        <f>IFERROR(IF(INDEX('PROJETO PERFURAÇÃO'!$P:$P,MATCH(MEDIÇÃO!R1317,'PROJETO PERFURAÇÃO'!$B:$B,0))="Production","P",IF(INDEX('PROJETO PERFURAÇÃO'!$P:$P,MATCH(MEDIÇÃO!R1317,'PROJETO PERFURAÇÃO'!$B:$B,0))="Buffer","B",IF(INDEX('PROJETO PERFURAÇÃO'!$P:$P,MATCH(MEDIÇÃO!R1317,'PROJETO PERFURAÇÃO'!$B:$B,0))="Pre-Splitting","S"))),"")</f>
        <v/>
      </c>
      <c r="R1317" s="14">
        <f t="shared" si="128"/>
        <v>2955</v>
      </c>
      <c r="S1317" s="4" t="str">
        <f>IFERROR(INDEX('LEV R&amp;D'!$D:$D,MATCH(MEDIÇÃO!R1317,'LEV R&amp;D'!$A:$A,0))-INDEX('PROJETO PERFURAÇÃO'!$AH:$AH,MATCH(MEDIÇÃO!R1317,'PROJETO PERFURAÇÃO'!$B:$B,0)),"")</f>
        <v/>
      </c>
      <c r="T1317" s="8" t="str">
        <f>IFERROR(INDEX('PROJETO PERFURAÇÃO'!$AN:$AN,MATCH(MEDIÇÃO!R1317,'PROJETO PERFURAÇÃO'!$B:$B,0)),"")</f>
        <v/>
      </c>
      <c r="U1317" s="3"/>
      <c r="V1317" s="3"/>
    </row>
    <row r="1318" spans="2:22" ht="45" customHeight="1" x14ac:dyDescent="0.25">
      <c r="B1318" s="3" t="str">
        <f>IFERROR(ROUND(INDEX('PROJETO PERFURAÇÃO'!$AB:$AB,MATCH(MEDIÇÃO!D1318,'PROJETO PERFURAÇÃO'!$B:$B,0)),1)&amp;"''","")</f>
        <v/>
      </c>
      <c r="C1318" s="3" t="str">
        <f>IFERROR(IF(INDEX('PROJETO PERFURAÇÃO'!$P:$P,MATCH(MEDIÇÃO!D1318,'PROJETO PERFURAÇÃO'!$B:$B,0))="Production","P",IF(INDEX('PROJETO PERFURAÇÃO'!$P:$P,MATCH(MEDIÇÃO!D1318,'PROJETO PERFURAÇÃO'!$B:$B,0))="Buffer","B",IF(INDEX('PROJETO PERFURAÇÃO'!$P:$P,MATCH(MEDIÇÃO!D1318,'PROJETO PERFURAÇÃO'!$B:$B,0))="Pre-Splitting","S"))),"")</f>
        <v/>
      </c>
      <c r="D1318" s="14">
        <f t="shared" si="126"/>
        <v>2910</v>
      </c>
      <c r="E1318" s="4" t="str">
        <f>IFERROR(INDEX('LEV R&amp;D'!$D:$D,MATCH(MEDIÇÃO!D1318,'LEV R&amp;D'!$A:$A,0))-INDEX('PROJETO PERFURAÇÃO'!$AH:$AH,MATCH(MEDIÇÃO!D1318,'PROJETO PERFURAÇÃO'!$B:$B,0)),"")</f>
        <v/>
      </c>
      <c r="F1318" s="8" t="str">
        <f>IFERROR(INDEX('PROJETO PERFURAÇÃO'!$AN:$AN,MATCH(MEDIÇÃO!D1318,'PROJETO PERFURAÇÃO'!$B:$B,0)),"")</f>
        <v/>
      </c>
      <c r="G1318" s="3"/>
      <c r="H1318" s="3"/>
      <c r="I1318" s="3" t="str">
        <f>IFERROR(ROUND(INDEX('PROJETO PERFURAÇÃO'!$AB:$AB,MATCH(MEDIÇÃO!K1318,'PROJETO PERFURAÇÃO'!$B:$B,0)),1)&amp;"''","")</f>
        <v/>
      </c>
      <c r="J1318" s="3" t="str">
        <f>IFERROR(IF(INDEX('PROJETO PERFURAÇÃO'!$P:$P,MATCH(MEDIÇÃO!K1318,'PROJETO PERFURAÇÃO'!$B:$B,0))="Production","P",IF(INDEX('PROJETO PERFURAÇÃO'!$P:$P,MATCH(MEDIÇÃO!K1318,'PROJETO PERFURAÇÃO'!$B:$B,0))="Buffer","B",IF(INDEX('PROJETO PERFURAÇÃO'!$P:$P,MATCH(MEDIÇÃO!K1318,'PROJETO PERFURAÇÃO'!$B:$B,0))="Pre-Splitting","S"))),"")</f>
        <v/>
      </c>
      <c r="K1318" s="14">
        <f t="shared" si="127"/>
        <v>2933</v>
      </c>
      <c r="L1318" s="4" t="str">
        <f>IFERROR(INDEX('LEV R&amp;D'!$D:$D,MATCH(MEDIÇÃO!K1318,'LEV R&amp;D'!$A:$A,0))-INDEX('PROJETO PERFURAÇÃO'!$AH:$AH,MATCH(MEDIÇÃO!K1318,'PROJETO PERFURAÇÃO'!$B:$B,0)),"")</f>
        <v/>
      </c>
      <c r="M1318" s="8" t="str">
        <f>IFERROR(INDEX('PROJETO PERFURAÇÃO'!$AN:$AN,MATCH(MEDIÇÃO!K1318,'PROJETO PERFURAÇÃO'!$B:$B,0)),"")</f>
        <v/>
      </c>
      <c r="N1318" s="3"/>
      <c r="O1318" s="3"/>
      <c r="P1318" s="3" t="str">
        <f>IFERROR(ROUND(INDEX('PROJETO PERFURAÇÃO'!$AB:$AB,MATCH(MEDIÇÃO!R1318,'PROJETO PERFURAÇÃO'!$B:$B,0)),1)&amp;"''","")</f>
        <v/>
      </c>
      <c r="Q1318" s="3" t="str">
        <f>IFERROR(IF(INDEX('PROJETO PERFURAÇÃO'!$P:$P,MATCH(MEDIÇÃO!R1318,'PROJETO PERFURAÇÃO'!$B:$B,0))="Production","P",IF(INDEX('PROJETO PERFURAÇÃO'!$P:$P,MATCH(MEDIÇÃO!R1318,'PROJETO PERFURAÇÃO'!$B:$B,0))="Buffer","B",IF(INDEX('PROJETO PERFURAÇÃO'!$P:$P,MATCH(MEDIÇÃO!R1318,'PROJETO PERFURAÇÃO'!$B:$B,0))="Pre-Splitting","S"))),"")</f>
        <v/>
      </c>
      <c r="R1318" s="14">
        <f t="shared" si="128"/>
        <v>2956</v>
      </c>
      <c r="S1318" s="4" t="str">
        <f>IFERROR(INDEX('LEV R&amp;D'!$D:$D,MATCH(MEDIÇÃO!R1318,'LEV R&amp;D'!$A:$A,0))-INDEX('PROJETO PERFURAÇÃO'!$AH:$AH,MATCH(MEDIÇÃO!R1318,'PROJETO PERFURAÇÃO'!$B:$B,0)),"")</f>
        <v/>
      </c>
      <c r="T1318" s="8" t="str">
        <f>IFERROR(INDEX('PROJETO PERFURAÇÃO'!$AN:$AN,MATCH(MEDIÇÃO!R1318,'PROJETO PERFURAÇÃO'!$B:$B,0)),"")</f>
        <v/>
      </c>
      <c r="U1318" s="3"/>
      <c r="V1318" s="3"/>
    </row>
    <row r="1319" spans="2:22" ht="45" customHeight="1" x14ac:dyDescent="0.25">
      <c r="B1319" s="3" t="str">
        <f>IFERROR(ROUND(INDEX('PROJETO PERFURAÇÃO'!$AB:$AB,MATCH(MEDIÇÃO!D1319,'PROJETO PERFURAÇÃO'!$B:$B,0)),1)&amp;"''","")</f>
        <v/>
      </c>
      <c r="C1319" s="3" t="str">
        <f>IFERROR(IF(INDEX('PROJETO PERFURAÇÃO'!$P:$P,MATCH(MEDIÇÃO!D1319,'PROJETO PERFURAÇÃO'!$B:$B,0))="Production","P",IF(INDEX('PROJETO PERFURAÇÃO'!$P:$P,MATCH(MEDIÇÃO!D1319,'PROJETO PERFURAÇÃO'!$B:$B,0))="Buffer","B",IF(INDEX('PROJETO PERFURAÇÃO'!$P:$P,MATCH(MEDIÇÃO!D1319,'PROJETO PERFURAÇÃO'!$B:$B,0))="Pre-Splitting","S"))),"")</f>
        <v/>
      </c>
      <c r="D1319" s="14">
        <f t="shared" si="126"/>
        <v>2911</v>
      </c>
      <c r="E1319" s="4" t="str">
        <f>IFERROR(INDEX('LEV R&amp;D'!$D:$D,MATCH(MEDIÇÃO!D1319,'LEV R&amp;D'!$A:$A,0))-INDEX('PROJETO PERFURAÇÃO'!$AH:$AH,MATCH(MEDIÇÃO!D1319,'PROJETO PERFURAÇÃO'!$B:$B,0)),"")</f>
        <v/>
      </c>
      <c r="F1319" s="8" t="str">
        <f>IFERROR(INDEX('PROJETO PERFURAÇÃO'!$AN:$AN,MATCH(MEDIÇÃO!D1319,'PROJETO PERFURAÇÃO'!$B:$B,0)),"")</f>
        <v/>
      </c>
      <c r="G1319" s="3"/>
      <c r="H1319" s="3"/>
      <c r="I1319" s="3" t="str">
        <f>IFERROR(ROUND(INDEX('PROJETO PERFURAÇÃO'!$AB:$AB,MATCH(MEDIÇÃO!K1319,'PROJETO PERFURAÇÃO'!$B:$B,0)),1)&amp;"''","")</f>
        <v/>
      </c>
      <c r="J1319" s="3" t="str">
        <f>IFERROR(IF(INDEX('PROJETO PERFURAÇÃO'!$P:$P,MATCH(MEDIÇÃO!K1319,'PROJETO PERFURAÇÃO'!$B:$B,0))="Production","P",IF(INDEX('PROJETO PERFURAÇÃO'!$P:$P,MATCH(MEDIÇÃO!K1319,'PROJETO PERFURAÇÃO'!$B:$B,0))="Buffer","B",IF(INDEX('PROJETO PERFURAÇÃO'!$P:$P,MATCH(MEDIÇÃO!K1319,'PROJETO PERFURAÇÃO'!$B:$B,0))="Pre-Splitting","S"))),"")</f>
        <v/>
      </c>
      <c r="K1319" s="14">
        <f t="shared" si="127"/>
        <v>2934</v>
      </c>
      <c r="L1319" s="4" t="str">
        <f>IFERROR(INDEX('LEV R&amp;D'!$D:$D,MATCH(MEDIÇÃO!K1319,'LEV R&amp;D'!$A:$A,0))-INDEX('PROJETO PERFURAÇÃO'!$AH:$AH,MATCH(MEDIÇÃO!K1319,'PROJETO PERFURAÇÃO'!$B:$B,0)),"")</f>
        <v/>
      </c>
      <c r="M1319" s="8" t="str">
        <f>IFERROR(INDEX('PROJETO PERFURAÇÃO'!$AN:$AN,MATCH(MEDIÇÃO!K1319,'PROJETO PERFURAÇÃO'!$B:$B,0)),"")</f>
        <v/>
      </c>
      <c r="N1319" s="3"/>
      <c r="O1319" s="3"/>
      <c r="P1319" s="3" t="str">
        <f>IFERROR(ROUND(INDEX('PROJETO PERFURAÇÃO'!$AB:$AB,MATCH(MEDIÇÃO!R1319,'PROJETO PERFURAÇÃO'!$B:$B,0)),1)&amp;"''","")</f>
        <v/>
      </c>
      <c r="Q1319" s="3" t="str">
        <f>IFERROR(IF(INDEX('PROJETO PERFURAÇÃO'!$P:$P,MATCH(MEDIÇÃO!R1319,'PROJETO PERFURAÇÃO'!$B:$B,0))="Production","P",IF(INDEX('PROJETO PERFURAÇÃO'!$P:$P,MATCH(MEDIÇÃO!R1319,'PROJETO PERFURAÇÃO'!$B:$B,0))="Buffer","B",IF(INDEX('PROJETO PERFURAÇÃO'!$P:$P,MATCH(MEDIÇÃO!R1319,'PROJETO PERFURAÇÃO'!$B:$B,0))="Pre-Splitting","S"))),"")</f>
        <v/>
      </c>
      <c r="R1319" s="14">
        <f t="shared" si="128"/>
        <v>2957</v>
      </c>
      <c r="S1319" s="4" t="str">
        <f>IFERROR(INDEX('LEV R&amp;D'!$D:$D,MATCH(MEDIÇÃO!R1319,'LEV R&amp;D'!$A:$A,0))-INDEX('PROJETO PERFURAÇÃO'!$AH:$AH,MATCH(MEDIÇÃO!R1319,'PROJETO PERFURAÇÃO'!$B:$B,0)),"")</f>
        <v/>
      </c>
      <c r="T1319" s="8" t="str">
        <f>IFERROR(INDEX('PROJETO PERFURAÇÃO'!$AN:$AN,MATCH(MEDIÇÃO!R1319,'PROJETO PERFURAÇÃO'!$B:$B,0)),"")</f>
        <v/>
      </c>
      <c r="U1319" s="3"/>
      <c r="V1319" s="3"/>
    </row>
    <row r="1320" spans="2:22" ht="45" customHeight="1" x14ac:dyDescent="0.25">
      <c r="B1320" s="3" t="str">
        <f>IFERROR(ROUND(INDEX('PROJETO PERFURAÇÃO'!$AB:$AB,MATCH(MEDIÇÃO!D1320,'PROJETO PERFURAÇÃO'!$B:$B,0)),1)&amp;"''","")</f>
        <v/>
      </c>
      <c r="C1320" s="3" t="str">
        <f>IFERROR(IF(INDEX('PROJETO PERFURAÇÃO'!$P:$P,MATCH(MEDIÇÃO!D1320,'PROJETO PERFURAÇÃO'!$B:$B,0))="Production","P",IF(INDEX('PROJETO PERFURAÇÃO'!$P:$P,MATCH(MEDIÇÃO!D1320,'PROJETO PERFURAÇÃO'!$B:$B,0))="Buffer","B",IF(INDEX('PROJETO PERFURAÇÃO'!$P:$P,MATCH(MEDIÇÃO!D1320,'PROJETO PERFURAÇÃO'!$B:$B,0))="Pre-Splitting","S"))),"")</f>
        <v/>
      </c>
      <c r="D1320" s="14">
        <f t="shared" si="126"/>
        <v>2912</v>
      </c>
      <c r="E1320" s="4" t="str">
        <f>IFERROR(INDEX('LEV R&amp;D'!$D:$D,MATCH(MEDIÇÃO!D1320,'LEV R&amp;D'!$A:$A,0))-INDEX('PROJETO PERFURAÇÃO'!$AH:$AH,MATCH(MEDIÇÃO!D1320,'PROJETO PERFURAÇÃO'!$B:$B,0)),"")</f>
        <v/>
      </c>
      <c r="F1320" s="8" t="str">
        <f>IFERROR(INDEX('PROJETO PERFURAÇÃO'!$AN:$AN,MATCH(MEDIÇÃO!D1320,'PROJETO PERFURAÇÃO'!$B:$B,0)),"")</f>
        <v/>
      </c>
      <c r="G1320" s="3"/>
      <c r="H1320" s="3"/>
      <c r="I1320" s="3" t="str">
        <f>IFERROR(ROUND(INDEX('PROJETO PERFURAÇÃO'!$AB:$AB,MATCH(MEDIÇÃO!K1320,'PROJETO PERFURAÇÃO'!$B:$B,0)),1)&amp;"''","")</f>
        <v/>
      </c>
      <c r="J1320" s="3" t="str">
        <f>IFERROR(IF(INDEX('PROJETO PERFURAÇÃO'!$P:$P,MATCH(MEDIÇÃO!K1320,'PROJETO PERFURAÇÃO'!$B:$B,0))="Production","P",IF(INDEX('PROJETO PERFURAÇÃO'!$P:$P,MATCH(MEDIÇÃO!K1320,'PROJETO PERFURAÇÃO'!$B:$B,0))="Buffer","B",IF(INDEX('PROJETO PERFURAÇÃO'!$P:$P,MATCH(MEDIÇÃO!K1320,'PROJETO PERFURAÇÃO'!$B:$B,0))="Pre-Splitting","S"))),"")</f>
        <v/>
      </c>
      <c r="K1320" s="14">
        <f t="shared" si="127"/>
        <v>2935</v>
      </c>
      <c r="L1320" s="4" t="str">
        <f>IFERROR(INDEX('LEV R&amp;D'!$D:$D,MATCH(MEDIÇÃO!K1320,'LEV R&amp;D'!$A:$A,0))-INDEX('PROJETO PERFURAÇÃO'!$AH:$AH,MATCH(MEDIÇÃO!K1320,'PROJETO PERFURAÇÃO'!$B:$B,0)),"")</f>
        <v/>
      </c>
      <c r="M1320" s="8" t="str">
        <f>IFERROR(INDEX('PROJETO PERFURAÇÃO'!$AN:$AN,MATCH(MEDIÇÃO!K1320,'PROJETO PERFURAÇÃO'!$B:$B,0)),"")</f>
        <v/>
      </c>
      <c r="N1320" s="3"/>
      <c r="O1320" s="3"/>
      <c r="P1320" s="3" t="str">
        <f>IFERROR(ROUND(INDEX('PROJETO PERFURAÇÃO'!$AB:$AB,MATCH(MEDIÇÃO!R1320,'PROJETO PERFURAÇÃO'!$B:$B,0)),1)&amp;"''","")</f>
        <v/>
      </c>
      <c r="Q1320" s="3" t="str">
        <f>IFERROR(IF(INDEX('PROJETO PERFURAÇÃO'!$P:$P,MATCH(MEDIÇÃO!R1320,'PROJETO PERFURAÇÃO'!$B:$B,0))="Production","P",IF(INDEX('PROJETO PERFURAÇÃO'!$P:$P,MATCH(MEDIÇÃO!R1320,'PROJETO PERFURAÇÃO'!$B:$B,0))="Buffer","B",IF(INDEX('PROJETO PERFURAÇÃO'!$P:$P,MATCH(MEDIÇÃO!R1320,'PROJETO PERFURAÇÃO'!$B:$B,0))="Pre-Splitting","S"))),"")</f>
        <v/>
      </c>
      <c r="R1320" s="14">
        <f t="shared" si="128"/>
        <v>2958</v>
      </c>
      <c r="S1320" s="4" t="str">
        <f>IFERROR(INDEX('LEV R&amp;D'!$D:$D,MATCH(MEDIÇÃO!R1320,'LEV R&amp;D'!$A:$A,0))-INDEX('PROJETO PERFURAÇÃO'!$AH:$AH,MATCH(MEDIÇÃO!R1320,'PROJETO PERFURAÇÃO'!$B:$B,0)),"")</f>
        <v/>
      </c>
      <c r="T1320" s="8" t="str">
        <f>IFERROR(INDEX('PROJETO PERFURAÇÃO'!$AN:$AN,MATCH(MEDIÇÃO!R1320,'PROJETO PERFURAÇÃO'!$B:$B,0)),"")</f>
        <v/>
      </c>
      <c r="U1320" s="3"/>
      <c r="V1320" s="3"/>
    </row>
    <row r="1321" spans="2:22" ht="45" customHeight="1" x14ac:dyDescent="0.25">
      <c r="B1321" s="3" t="str">
        <f>IFERROR(ROUND(INDEX('PROJETO PERFURAÇÃO'!$AB:$AB,MATCH(MEDIÇÃO!D1321,'PROJETO PERFURAÇÃO'!$B:$B,0)),1)&amp;"''","")</f>
        <v/>
      </c>
      <c r="C1321" s="3" t="str">
        <f>IFERROR(IF(INDEX('PROJETO PERFURAÇÃO'!$P:$P,MATCH(MEDIÇÃO!D1321,'PROJETO PERFURAÇÃO'!$B:$B,0))="Production","P",IF(INDEX('PROJETO PERFURAÇÃO'!$P:$P,MATCH(MEDIÇÃO!D1321,'PROJETO PERFURAÇÃO'!$B:$B,0))="Buffer","B",IF(INDEX('PROJETO PERFURAÇÃO'!$P:$P,MATCH(MEDIÇÃO!D1321,'PROJETO PERFURAÇÃO'!$B:$B,0))="Pre-Splitting","S"))),"")</f>
        <v/>
      </c>
      <c r="D1321" s="14">
        <f t="shared" si="126"/>
        <v>2913</v>
      </c>
      <c r="E1321" s="4" t="str">
        <f>IFERROR(INDEX('LEV R&amp;D'!$D:$D,MATCH(MEDIÇÃO!D1321,'LEV R&amp;D'!$A:$A,0))-INDEX('PROJETO PERFURAÇÃO'!$AH:$AH,MATCH(MEDIÇÃO!D1321,'PROJETO PERFURAÇÃO'!$B:$B,0)),"")</f>
        <v/>
      </c>
      <c r="F1321" s="8" t="str">
        <f>IFERROR(INDEX('PROJETO PERFURAÇÃO'!$AN:$AN,MATCH(MEDIÇÃO!D1321,'PROJETO PERFURAÇÃO'!$B:$B,0)),"")</f>
        <v/>
      </c>
      <c r="G1321" s="3"/>
      <c r="H1321" s="3"/>
      <c r="I1321" s="3" t="str">
        <f>IFERROR(ROUND(INDEX('PROJETO PERFURAÇÃO'!$AB:$AB,MATCH(MEDIÇÃO!K1321,'PROJETO PERFURAÇÃO'!$B:$B,0)),1)&amp;"''","")</f>
        <v/>
      </c>
      <c r="J1321" s="3" t="str">
        <f>IFERROR(IF(INDEX('PROJETO PERFURAÇÃO'!$P:$P,MATCH(MEDIÇÃO!K1321,'PROJETO PERFURAÇÃO'!$B:$B,0))="Production","P",IF(INDEX('PROJETO PERFURAÇÃO'!$P:$P,MATCH(MEDIÇÃO!K1321,'PROJETO PERFURAÇÃO'!$B:$B,0))="Buffer","B",IF(INDEX('PROJETO PERFURAÇÃO'!$P:$P,MATCH(MEDIÇÃO!K1321,'PROJETO PERFURAÇÃO'!$B:$B,0))="Pre-Splitting","S"))),"")</f>
        <v/>
      </c>
      <c r="K1321" s="14">
        <f t="shared" si="127"/>
        <v>2936</v>
      </c>
      <c r="L1321" s="4" t="str">
        <f>IFERROR(INDEX('LEV R&amp;D'!$D:$D,MATCH(MEDIÇÃO!K1321,'LEV R&amp;D'!$A:$A,0))-INDEX('PROJETO PERFURAÇÃO'!$AH:$AH,MATCH(MEDIÇÃO!K1321,'PROJETO PERFURAÇÃO'!$B:$B,0)),"")</f>
        <v/>
      </c>
      <c r="M1321" s="8" t="str">
        <f>IFERROR(INDEX('PROJETO PERFURAÇÃO'!$AN:$AN,MATCH(MEDIÇÃO!K1321,'PROJETO PERFURAÇÃO'!$B:$B,0)),"")</f>
        <v/>
      </c>
      <c r="N1321" s="3"/>
      <c r="O1321" s="3"/>
      <c r="P1321" s="3" t="str">
        <f>IFERROR(ROUND(INDEX('PROJETO PERFURAÇÃO'!$AB:$AB,MATCH(MEDIÇÃO!R1321,'PROJETO PERFURAÇÃO'!$B:$B,0)),1)&amp;"''","")</f>
        <v/>
      </c>
      <c r="Q1321" s="3" t="str">
        <f>IFERROR(IF(INDEX('PROJETO PERFURAÇÃO'!$P:$P,MATCH(MEDIÇÃO!R1321,'PROJETO PERFURAÇÃO'!$B:$B,0))="Production","P",IF(INDEX('PROJETO PERFURAÇÃO'!$P:$P,MATCH(MEDIÇÃO!R1321,'PROJETO PERFURAÇÃO'!$B:$B,0))="Buffer","B",IF(INDEX('PROJETO PERFURAÇÃO'!$P:$P,MATCH(MEDIÇÃO!R1321,'PROJETO PERFURAÇÃO'!$B:$B,0))="Pre-Splitting","S"))),"")</f>
        <v/>
      </c>
      <c r="R1321" s="14">
        <f t="shared" si="128"/>
        <v>2959</v>
      </c>
      <c r="S1321" s="4" t="str">
        <f>IFERROR(INDEX('LEV R&amp;D'!$D:$D,MATCH(MEDIÇÃO!R1321,'LEV R&amp;D'!$A:$A,0))-INDEX('PROJETO PERFURAÇÃO'!$AH:$AH,MATCH(MEDIÇÃO!R1321,'PROJETO PERFURAÇÃO'!$B:$B,0)),"")</f>
        <v/>
      </c>
      <c r="T1321" s="8" t="str">
        <f>IFERROR(INDEX('PROJETO PERFURAÇÃO'!$AN:$AN,MATCH(MEDIÇÃO!R1321,'PROJETO PERFURAÇÃO'!$B:$B,0)),"")</f>
        <v/>
      </c>
      <c r="U1321" s="3"/>
      <c r="V1321" s="3"/>
    </row>
    <row r="1322" spans="2:22" ht="45" customHeight="1" x14ac:dyDescent="0.25">
      <c r="B1322" s="3" t="str">
        <f>IFERROR(ROUND(INDEX('PROJETO PERFURAÇÃO'!$AB:$AB,MATCH(MEDIÇÃO!D1322,'PROJETO PERFURAÇÃO'!$B:$B,0)),1)&amp;"''","")</f>
        <v/>
      </c>
      <c r="C1322" s="3" t="str">
        <f>IFERROR(IF(INDEX('PROJETO PERFURAÇÃO'!$P:$P,MATCH(MEDIÇÃO!D1322,'PROJETO PERFURAÇÃO'!$B:$B,0))="Production","P",IF(INDEX('PROJETO PERFURAÇÃO'!$P:$P,MATCH(MEDIÇÃO!D1322,'PROJETO PERFURAÇÃO'!$B:$B,0))="Buffer","B",IF(INDEX('PROJETO PERFURAÇÃO'!$P:$P,MATCH(MEDIÇÃO!D1322,'PROJETO PERFURAÇÃO'!$B:$B,0))="Pre-Splitting","S"))),"")</f>
        <v/>
      </c>
      <c r="D1322" s="14">
        <f t="shared" si="126"/>
        <v>2914</v>
      </c>
      <c r="E1322" s="4" t="str">
        <f>IFERROR(INDEX('LEV R&amp;D'!$D:$D,MATCH(MEDIÇÃO!D1322,'LEV R&amp;D'!$A:$A,0))-INDEX('PROJETO PERFURAÇÃO'!$AH:$AH,MATCH(MEDIÇÃO!D1322,'PROJETO PERFURAÇÃO'!$B:$B,0)),"")</f>
        <v/>
      </c>
      <c r="F1322" s="8" t="str">
        <f>IFERROR(INDEX('PROJETO PERFURAÇÃO'!$AN:$AN,MATCH(MEDIÇÃO!D1322,'PROJETO PERFURAÇÃO'!$B:$B,0)),"")</f>
        <v/>
      </c>
      <c r="G1322" s="3"/>
      <c r="H1322" s="3"/>
      <c r="I1322" s="3" t="str">
        <f>IFERROR(ROUND(INDEX('PROJETO PERFURAÇÃO'!$AB:$AB,MATCH(MEDIÇÃO!K1322,'PROJETO PERFURAÇÃO'!$B:$B,0)),1)&amp;"''","")</f>
        <v/>
      </c>
      <c r="J1322" s="3" t="str">
        <f>IFERROR(IF(INDEX('PROJETO PERFURAÇÃO'!$P:$P,MATCH(MEDIÇÃO!K1322,'PROJETO PERFURAÇÃO'!$B:$B,0))="Production","P",IF(INDEX('PROJETO PERFURAÇÃO'!$P:$P,MATCH(MEDIÇÃO!K1322,'PROJETO PERFURAÇÃO'!$B:$B,0))="Buffer","B",IF(INDEX('PROJETO PERFURAÇÃO'!$P:$P,MATCH(MEDIÇÃO!K1322,'PROJETO PERFURAÇÃO'!$B:$B,0))="Pre-Splitting","S"))),"")</f>
        <v/>
      </c>
      <c r="K1322" s="14">
        <f t="shared" si="127"/>
        <v>2937</v>
      </c>
      <c r="L1322" s="4" t="str">
        <f>IFERROR(INDEX('LEV R&amp;D'!$D:$D,MATCH(MEDIÇÃO!K1322,'LEV R&amp;D'!$A:$A,0))-INDEX('PROJETO PERFURAÇÃO'!$AH:$AH,MATCH(MEDIÇÃO!K1322,'PROJETO PERFURAÇÃO'!$B:$B,0)),"")</f>
        <v/>
      </c>
      <c r="M1322" s="8" t="str">
        <f>IFERROR(INDEX('PROJETO PERFURAÇÃO'!$AN:$AN,MATCH(MEDIÇÃO!K1322,'PROJETO PERFURAÇÃO'!$B:$B,0)),"")</f>
        <v/>
      </c>
      <c r="N1322" s="3"/>
      <c r="O1322" s="3"/>
      <c r="P1322" s="3" t="str">
        <f>IFERROR(ROUND(INDEX('PROJETO PERFURAÇÃO'!$AB:$AB,MATCH(MEDIÇÃO!R1322,'PROJETO PERFURAÇÃO'!$B:$B,0)),1)&amp;"''","")</f>
        <v/>
      </c>
      <c r="Q1322" s="3" t="str">
        <f>IFERROR(IF(INDEX('PROJETO PERFURAÇÃO'!$P:$P,MATCH(MEDIÇÃO!R1322,'PROJETO PERFURAÇÃO'!$B:$B,0))="Production","P",IF(INDEX('PROJETO PERFURAÇÃO'!$P:$P,MATCH(MEDIÇÃO!R1322,'PROJETO PERFURAÇÃO'!$B:$B,0))="Buffer","B",IF(INDEX('PROJETO PERFURAÇÃO'!$P:$P,MATCH(MEDIÇÃO!R1322,'PROJETO PERFURAÇÃO'!$B:$B,0))="Pre-Splitting","S"))),"")</f>
        <v/>
      </c>
      <c r="R1322" s="14">
        <f t="shared" si="128"/>
        <v>2960</v>
      </c>
      <c r="S1322" s="4" t="str">
        <f>IFERROR(INDEX('LEV R&amp;D'!$D:$D,MATCH(MEDIÇÃO!R1322,'LEV R&amp;D'!$A:$A,0))-INDEX('PROJETO PERFURAÇÃO'!$AH:$AH,MATCH(MEDIÇÃO!R1322,'PROJETO PERFURAÇÃO'!$B:$B,0)),"")</f>
        <v/>
      </c>
      <c r="T1322" s="8" t="str">
        <f>IFERROR(INDEX('PROJETO PERFURAÇÃO'!$AN:$AN,MATCH(MEDIÇÃO!R1322,'PROJETO PERFURAÇÃO'!$B:$B,0)),"")</f>
        <v/>
      </c>
      <c r="U1322" s="3"/>
      <c r="V1322" s="3"/>
    </row>
    <row r="1323" spans="2:22" ht="45" customHeight="1" x14ac:dyDescent="0.25">
      <c r="B1323" s="3" t="str">
        <f>IFERROR(ROUND(INDEX('PROJETO PERFURAÇÃO'!$AB:$AB,MATCH(MEDIÇÃO!D1323,'PROJETO PERFURAÇÃO'!$B:$B,0)),1)&amp;"''","")</f>
        <v/>
      </c>
      <c r="C1323" s="3" t="str">
        <f>IFERROR(IF(INDEX('PROJETO PERFURAÇÃO'!$P:$P,MATCH(MEDIÇÃO!D1323,'PROJETO PERFURAÇÃO'!$B:$B,0))="Production","P",IF(INDEX('PROJETO PERFURAÇÃO'!$P:$P,MATCH(MEDIÇÃO!D1323,'PROJETO PERFURAÇÃO'!$B:$B,0))="Buffer","B",IF(INDEX('PROJETO PERFURAÇÃO'!$P:$P,MATCH(MEDIÇÃO!D1323,'PROJETO PERFURAÇÃO'!$B:$B,0))="Pre-Splitting","S"))),"")</f>
        <v/>
      </c>
      <c r="D1323" s="14">
        <f t="shared" si="126"/>
        <v>2915</v>
      </c>
      <c r="E1323" s="4" t="str">
        <f>IFERROR(INDEX('LEV R&amp;D'!$D:$D,MATCH(MEDIÇÃO!D1323,'LEV R&amp;D'!$A:$A,0))-INDEX('PROJETO PERFURAÇÃO'!$AH:$AH,MATCH(MEDIÇÃO!D1323,'PROJETO PERFURAÇÃO'!$B:$B,0)),"")</f>
        <v/>
      </c>
      <c r="F1323" s="8" t="str">
        <f>IFERROR(INDEX('PROJETO PERFURAÇÃO'!$AN:$AN,MATCH(MEDIÇÃO!D1323,'PROJETO PERFURAÇÃO'!$B:$B,0)),"")</f>
        <v/>
      </c>
      <c r="G1323" s="3"/>
      <c r="H1323" s="3"/>
      <c r="I1323" s="3" t="str">
        <f>IFERROR(ROUND(INDEX('PROJETO PERFURAÇÃO'!$AB:$AB,MATCH(MEDIÇÃO!K1323,'PROJETO PERFURAÇÃO'!$B:$B,0)),1)&amp;"''","")</f>
        <v/>
      </c>
      <c r="J1323" s="3" t="str">
        <f>IFERROR(IF(INDEX('PROJETO PERFURAÇÃO'!$P:$P,MATCH(MEDIÇÃO!K1323,'PROJETO PERFURAÇÃO'!$B:$B,0))="Production","P",IF(INDEX('PROJETO PERFURAÇÃO'!$P:$P,MATCH(MEDIÇÃO!K1323,'PROJETO PERFURAÇÃO'!$B:$B,0))="Buffer","B",IF(INDEX('PROJETO PERFURAÇÃO'!$P:$P,MATCH(MEDIÇÃO!K1323,'PROJETO PERFURAÇÃO'!$B:$B,0))="Pre-Splitting","S"))),"")</f>
        <v/>
      </c>
      <c r="K1323" s="14">
        <f t="shared" si="127"/>
        <v>2938</v>
      </c>
      <c r="L1323" s="4" t="str">
        <f>IFERROR(INDEX('LEV R&amp;D'!$D:$D,MATCH(MEDIÇÃO!K1323,'LEV R&amp;D'!$A:$A,0))-INDEX('PROJETO PERFURAÇÃO'!$AH:$AH,MATCH(MEDIÇÃO!K1323,'PROJETO PERFURAÇÃO'!$B:$B,0)),"")</f>
        <v/>
      </c>
      <c r="M1323" s="8" t="str">
        <f>IFERROR(INDEX('PROJETO PERFURAÇÃO'!$AN:$AN,MATCH(MEDIÇÃO!K1323,'PROJETO PERFURAÇÃO'!$B:$B,0)),"")</f>
        <v/>
      </c>
      <c r="N1323" s="3"/>
      <c r="O1323" s="3"/>
      <c r="P1323" s="3" t="str">
        <f>IFERROR(ROUND(INDEX('PROJETO PERFURAÇÃO'!$AB:$AB,MATCH(MEDIÇÃO!R1323,'PROJETO PERFURAÇÃO'!$B:$B,0)),1)&amp;"''","")</f>
        <v/>
      </c>
      <c r="Q1323" s="3" t="str">
        <f>IFERROR(IF(INDEX('PROJETO PERFURAÇÃO'!$P:$P,MATCH(MEDIÇÃO!R1323,'PROJETO PERFURAÇÃO'!$B:$B,0))="Production","P",IF(INDEX('PROJETO PERFURAÇÃO'!$P:$P,MATCH(MEDIÇÃO!R1323,'PROJETO PERFURAÇÃO'!$B:$B,0))="Buffer","B",IF(INDEX('PROJETO PERFURAÇÃO'!$P:$P,MATCH(MEDIÇÃO!R1323,'PROJETO PERFURAÇÃO'!$B:$B,0))="Pre-Splitting","S"))),"")</f>
        <v/>
      </c>
      <c r="R1323" s="14">
        <f t="shared" si="128"/>
        <v>2961</v>
      </c>
      <c r="S1323" s="4" t="str">
        <f>IFERROR(INDEX('LEV R&amp;D'!$D:$D,MATCH(MEDIÇÃO!R1323,'LEV R&amp;D'!$A:$A,0))-INDEX('PROJETO PERFURAÇÃO'!$AH:$AH,MATCH(MEDIÇÃO!R1323,'PROJETO PERFURAÇÃO'!$B:$B,0)),"")</f>
        <v/>
      </c>
      <c r="T1323" s="8" t="str">
        <f>IFERROR(INDEX('PROJETO PERFURAÇÃO'!$AN:$AN,MATCH(MEDIÇÃO!R1323,'PROJETO PERFURAÇÃO'!$B:$B,0)),"")</f>
        <v/>
      </c>
      <c r="U1323" s="3"/>
      <c r="V1323" s="3"/>
    </row>
    <row r="1324" spans="2:22" ht="45" customHeight="1" x14ac:dyDescent="0.25">
      <c r="B1324" s="3" t="str">
        <f>IFERROR(ROUND(INDEX('PROJETO PERFURAÇÃO'!$AB:$AB,MATCH(MEDIÇÃO!D1324,'PROJETO PERFURAÇÃO'!$B:$B,0)),1)&amp;"''","")</f>
        <v/>
      </c>
      <c r="C1324" s="3" t="str">
        <f>IFERROR(IF(INDEX('PROJETO PERFURAÇÃO'!$P:$P,MATCH(MEDIÇÃO!D1324,'PROJETO PERFURAÇÃO'!$B:$B,0))="Production","P",IF(INDEX('PROJETO PERFURAÇÃO'!$P:$P,MATCH(MEDIÇÃO!D1324,'PROJETO PERFURAÇÃO'!$B:$B,0))="Buffer","B",IF(INDEX('PROJETO PERFURAÇÃO'!$P:$P,MATCH(MEDIÇÃO!D1324,'PROJETO PERFURAÇÃO'!$B:$B,0))="Pre-Splitting","S"))),"")</f>
        <v/>
      </c>
      <c r="D1324" s="14">
        <f t="shared" si="126"/>
        <v>2916</v>
      </c>
      <c r="E1324" s="4" t="str">
        <f>IFERROR(INDEX('LEV R&amp;D'!$D:$D,MATCH(MEDIÇÃO!D1324,'LEV R&amp;D'!$A:$A,0))-INDEX('PROJETO PERFURAÇÃO'!$AH:$AH,MATCH(MEDIÇÃO!D1324,'PROJETO PERFURAÇÃO'!$B:$B,0)),"")</f>
        <v/>
      </c>
      <c r="F1324" s="8" t="str">
        <f>IFERROR(INDEX('PROJETO PERFURAÇÃO'!$AN:$AN,MATCH(MEDIÇÃO!D1324,'PROJETO PERFURAÇÃO'!$B:$B,0)),"")</f>
        <v/>
      </c>
      <c r="G1324" s="3"/>
      <c r="H1324" s="3"/>
      <c r="I1324" s="3" t="str">
        <f>IFERROR(ROUND(INDEX('PROJETO PERFURAÇÃO'!$AB:$AB,MATCH(MEDIÇÃO!K1324,'PROJETO PERFURAÇÃO'!$B:$B,0)),1)&amp;"''","")</f>
        <v/>
      </c>
      <c r="J1324" s="3" t="str">
        <f>IFERROR(IF(INDEX('PROJETO PERFURAÇÃO'!$P:$P,MATCH(MEDIÇÃO!K1324,'PROJETO PERFURAÇÃO'!$B:$B,0))="Production","P",IF(INDEX('PROJETO PERFURAÇÃO'!$P:$P,MATCH(MEDIÇÃO!K1324,'PROJETO PERFURAÇÃO'!$B:$B,0))="Buffer","B",IF(INDEX('PROJETO PERFURAÇÃO'!$P:$P,MATCH(MEDIÇÃO!K1324,'PROJETO PERFURAÇÃO'!$B:$B,0))="Pre-Splitting","S"))),"")</f>
        <v/>
      </c>
      <c r="K1324" s="14">
        <f t="shared" si="127"/>
        <v>2939</v>
      </c>
      <c r="L1324" s="4" t="str">
        <f>IFERROR(INDEX('LEV R&amp;D'!$D:$D,MATCH(MEDIÇÃO!K1324,'LEV R&amp;D'!$A:$A,0))-INDEX('PROJETO PERFURAÇÃO'!$AH:$AH,MATCH(MEDIÇÃO!K1324,'PROJETO PERFURAÇÃO'!$B:$B,0)),"")</f>
        <v/>
      </c>
      <c r="M1324" s="8" t="str">
        <f>IFERROR(INDEX('PROJETO PERFURAÇÃO'!$AN:$AN,MATCH(MEDIÇÃO!K1324,'PROJETO PERFURAÇÃO'!$B:$B,0)),"")</f>
        <v/>
      </c>
      <c r="N1324" s="3"/>
      <c r="O1324" s="3"/>
      <c r="P1324" s="3" t="str">
        <f>IFERROR(ROUND(INDEX('PROJETO PERFURAÇÃO'!$AB:$AB,MATCH(MEDIÇÃO!R1324,'PROJETO PERFURAÇÃO'!$B:$B,0)),1)&amp;"''","")</f>
        <v/>
      </c>
      <c r="Q1324" s="3" t="str">
        <f>IFERROR(IF(INDEX('PROJETO PERFURAÇÃO'!$P:$P,MATCH(MEDIÇÃO!R1324,'PROJETO PERFURAÇÃO'!$B:$B,0))="Production","P",IF(INDEX('PROJETO PERFURAÇÃO'!$P:$P,MATCH(MEDIÇÃO!R1324,'PROJETO PERFURAÇÃO'!$B:$B,0))="Buffer","B",IF(INDEX('PROJETO PERFURAÇÃO'!$P:$P,MATCH(MEDIÇÃO!R1324,'PROJETO PERFURAÇÃO'!$B:$B,0))="Pre-Splitting","S"))),"")</f>
        <v/>
      </c>
      <c r="R1324" s="14">
        <f t="shared" si="128"/>
        <v>2962</v>
      </c>
      <c r="S1324" s="4" t="str">
        <f>IFERROR(INDEX('LEV R&amp;D'!$D:$D,MATCH(MEDIÇÃO!R1324,'LEV R&amp;D'!$A:$A,0))-INDEX('PROJETO PERFURAÇÃO'!$AH:$AH,MATCH(MEDIÇÃO!R1324,'PROJETO PERFURAÇÃO'!$B:$B,0)),"")</f>
        <v/>
      </c>
      <c r="T1324" s="8" t="str">
        <f>IFERROR(INDEX('PROJETO PERFURAÇÃO'!$AN:$AN,MATCH(MEDIÇÃO!R1324,'PROJETO PERFURAÇÃO'!$B:$B,0)),"")</f>
        <v/>
      </c>
      <c r="U1324" s="3"/>
      <c r="V1324" s="3"/>
    </row>
    <row r="1325" spans="2:22" ht="45" customHeight="1" x14ac:dyDescent="0.25">
      <c r="B1325" s="3" t="str">
        <f>IFERROR(ROUND(INDEX('PROJETO PERFURAÇÃO'!$AB:$AB,MATCH(MEDIÇÃO!D1325,'PROJETO PERFURAÇÃO'!$B:$B,0)),1)&amp;"''","")</f>
        <v/>
      </c>
      <c r="C1325" s="3" t="str">
        <f>IFERROR(IF(INDEX('PROJETO PERFURAÇÃO'!$P:$P,MATCH(MEDIÇÃO!D1325,'PROJETO PERFURAÇÃO'!$B:$B,0))="Production","P",IF(INDEX('PROJETO PERFURAÇÃO'!$P:$P,MATCH(MEDIÇÃO!D1325,'PROJETO PERFURAÇÃO'!$B:$B,0))="Buffer","B",IF(INDEX('PROJETO PERFURAÇÃO'!$P:$P,MATCH(MEDIÇÃO!D1325,'PROJETO PERFURAÇÃO'!$B:$B,0))="Pre-Splitting","S"))),"")</f>
        <v/>
      </c>
      <c r="D1325" s="14">
        <f t="shared" si="126"/>
        <v>2917</v>
      </c>
      <c r="E1325" s="4" t="str">
        <f>IFERROR(INDEX('LEV R&amp;D'!$D:$D,MATCH(MEDIÇÃO!D1325,'LEV R&amp;D'!$A:$A,0))-INDEX('PROJETO PERFURAÇÃO'!$AH:$AH,MATCH(MEDIÇÃO!D1325,'PROJETO PERFURAÇÃO'!$B:$B,0)),"")</f>
        <v/>
      </c>
      <c r="F1325" s="8" t="str">
        <f>IFERROR(INDEX('PROJETO PERFURAÇÃO'!$AN:$AN,MATCH(MEDIÇÃO!D1325,'PROJETO PERFURAÇÃO'!$B:$B,0)),"")</f>
        <v/>
      </c>
      <c r="G1325" s="3"/>
      <c r="H1325" s="3"/>
      <c r="I1325" s="3" t="str">
        <f>IFERROR(ROUND(INDEX('PROJETO PERFURAÇÃO'!$AB:$AB,MATCH(MEDIÇÃO!K1325,'PROJETO PERFURAÇÃO'!$B:$B,0)),1)&amp;"''","")</f>
        <v/>
      </c>
      <c r="J1325" s="3" t="str">
        <f>IFERROR(IF(INDEX('PROJETO PERFURAÇÃO'!$P:$P,MATCH(MEDIÇÃO!K1325,'PROJETO PERFURAÇÃO'!$B:$B,0))="Production","P",IF(INDEX('PROJETO PERFURAÇÃO'!$P:$P,MATCH(MEDIÇÃO!K1325,'PROJETO PERFURAÇÃO'!$B:$B,0))="Buffer","B",IF(INDEX('PROJETO PERFURAÇÃO'!$P:$P,MATCH(MEDIÇÃO!K1325,'PROJETO PERFURAÇÃO'!$B:$B,0))="Pre-Splitting","S"))),"")</f>
        <v/>
      </c>
      <c r="K1325" s="14">
        <f t="shared" si="127"/>
        <v>2940</v>
      </c>
      <c r="L1325" s="4" t="str">
        <f>IFERROR(INDEX('LEV R&amp;D'!$D:$D,MATCH(MEDIÇÃO!K1325,'LEV R&amp;D'!$A:$A,0))-INDEX('PROJETO PERFURAÇÃO'!$AH:$AH,MATCH(MEDIÇÃO!K1325,'PROJETO PERFURAÇÃO'!$B:$B,0)),"")</f>
        <v/>
      </c>
      <c r="M1325" s="8" t="str">
        <f>IFERROR(INDEX('PROJETO PERFURAÇÃO'!$AN:$AN,MATCH(MEDIÇÃO!K1325,'PROJETO PERFURAÇÃO'!$B:$B,0)),"")</f>
        <v/>
      </c>
      <c r="N1325" s="3"/>
      <c r="O1325" s="3"/>
      <c r="P1325" s="3" t="str">
        <f>IFERROR(ROUND(INDEX('PROJETO PERFURAÇÃO'!$AB:$AB,MATCH(MEDIÇÃO!R1325,'PROJETO PERFURAÇÃO'!$B:$B,0)),1)&amp;"''","")</f>
        <v/>
      </c>
      <c r="Q1325" s="3" t="str">
        <f>IFERROR(IF(INDEX('PROJETO PERFURAÇÃO'!$P:$P,MATCH(MEDIÇÃO!R1325,'PROJETO PERFURAÇÃO'!$B:$B,0))="Production","P",IF(INDEX('PROJETO PERFURAÇÃO'!$P:$P,MATCH(MEDIÇÃO!R1325,'PROJETO PERFURAÇÃO'!$B:$B,0))="Buffer","B",IF(INDEX('PROJETO PERFURAÇÃO'!$P:$P,MATCH(MEDIÇÃO!R1325,'PROJETO PERFURAÇÃO'!$B:$B,0))="Pre-Splitting","S"))),"")</f>
        <v/>
      </c>
      <c r="R1325" s="14">
        <f t="shared" si="128"/>
        <v>2963</v>
      </c>
      <c r="S1325" s="4" t="str">
        <f>IFERROR(INDEX('LEV R&amp;D'!$D:$D,MATCH(MEDIÇÃO!R1325,'LEV R&amp;D'!$A:$A,0))-INDEX('PROJETO PERFURAÇÃO'!$AH:$AH,MATCH(MEDIÇÃO!R1325,'PROJETO PERFURAÇÃO'!$B:$B,0)),"")</f>
        <v/>
      </c>
      <c r="T1325" s="8" t="str">
        <f>IFERROR(INDEX('PROJETO PERFURAÇÃO'!$AN:$AN,MATCH(MEDIÇÃO!R1325,'PROJETO PERFURAÇÃO'!$B:$B,0)),"")</f>
        <v/>
      </c>
      <c r="U1325" s="3"/>
      <c r="V1325" s="3"/>
    </row>
    <row r="1326" spans="2:22" ht="45" customHeight="1" x14ac:dyDescent="0.25">
      <c r="B1326" s="3" t="str">
        <f>IFERROR(ROUND(INDEX('PROJETO PERFURAÇÃO'!$AB:$AB,MATCH(MEDIÇÃO!D1326,'PROJETO PERFURAÇÃO'!$B:$B,0)),1)&amp;"''","")</f>
        <v/>
      </c>
      <c r="C1326" s="3" t="str">
        <f>IFERROR(IF(INDEX('PROJETO PERFURAÇÃO'!$P:$P,MATCH(MEDIÇÃO!D1326,'PROJETO PERFURAÇÃO'!$B:$B,0))="Production","P",IF(INDEX('PROJETO PERFURAÇÃO'!$P:$P,MATCH(MEDIÇÃO!D1326,'PROJETO PERFURAÇÃO'!$B:$B,0))="Buffer","B",IF(INDEX('PROJETO PERFURAÇÃO'!$P:$P,MATCH(MEDIÇÃO!D1326,'PROJETO PERFURAÇÃO'!$B:$B,0))="Pre-Splitting","S"))),"")</f>
        <v/>
      </c>
      <c r="D1326" s="14">
        <f t="shared" si="126"/>
        <v>2918</v>
      </c>
      <c r="E1326" s="4" t="str">
        <f>IFERROR(INDEX('LEV R&amp;D'!$D:$D,MATCH(MEDIÇÃO!D1326,'LEV R&amp;D'!$A:$A,0))-INDEX('PROJETO PERFURAÇÃO'!$AH:$AH,MATCH(MEDIÇÃO!D1326,'PROJETO PERFURAÇÃO'!$B:$B,0)),"")</f>
        <v/>
      </c>
      <c r="F1326" s="8" t="str">
        <f>IFERROR(INDEX('PROJETO PERFURAÇÃO'!$AN:$AN,MATCH(MEDIÇÃO!D1326,'PROJETO PERFURAÇÃO'!$B:$B,0)),"")</f>
        <v/>
      </c>
      <c r="G1326" s="3"/>
      <c r="H1326" s="3"/>
      <c r="I1326" s="3" t="str">
        <f>IFERROR(ROUND(INDEX('PROJETO PERFURAÇÃO'!$AB:$AB,MATCH(MEDIÇÃO!K1326,'PROJETO PERFURAÇÃO'!$B:$B,0)),1)&amp;"''","")</f>
        <v/>
      </c>
      <c r="J1326" s="3" t="str">
        <f>IFERROR(IF(INDEX('PROJETO PERFURAÇÃO'!$P:$P,MATCH(MEDIÇÃO!K1326,'PROJETO PERFURAÇÃO'!$B:$B,0))="Production","P",IF(INDEX('PROJETO PERFURAÇÃO'!$P:$P,MATCH(MEDIÇÃO!K1326,'PROJETO PERFURAÇÃO'!$B:$B,0))="Buffer","B",IF(INDEX('PROJETO PERFURAÇÃO'!$P:$P,MATCH(MEDIÇÃO!K1326,'PROJETO PERFURAÇÃO'!$B:$B,0))="Pre-Splitting","S"))),"")</f>
        <v/>
      </c>
      <c r="K1326" s="14">
        <f t="shared" si="127"/>
        <v>2941</v>
      </c>
      <c r="L1326" s="4" t="str">
        <f>IFERROR(INDEX('LEV R&amp;D'!$D:$D,MATCH(MEDIÇÃO!K1326,'LEV R&amp;D'!$A:$A,0))-INDEX('PROJETO PERFURAÇÃO'!$AH:$AH,MATCH(MEDIÇÃO!K1326,'PROJETO PERFURAÇÃO'!$B:$B,0)),"")</f>
        <v/>
      </c>
      <c r="M1326" s="8" t="str">
        <f>IFERROR(INDEX('PROJETO PERFURAÇÃO'!$AN:$AN,MATCH(MEDIÇÃO!K1326,'PROJETO PERFURAÇÃO'!$B:$B,0)),"")</f>
        <v/>
      </c>
      <c r="N1326" s="3"/>
      <c r="O1326" s="3"/>
      <c r="P1326" s="3" t="str">
        <f>IFERROR(ROUND(INDEX('PROJETO PERFURAÇÃO'!$AB:$AB,MATCH(MEDIÇÃO!R1326,'PROJETO PERFURAÇÃO'!$B:$B,0)),1)&amp;"''","")</f>
        <v/>
      </c>
      <c r="Q1326" s="3" t="str">
        <f>IFERROR(IF(INDEX('PROJETO PERFURAÇÃO'!$P:$P,MATCH(MEDIÇÃO!R1326,'PROJETO PERFURAÇÃO'!$B:$B,0))="Production","P",IF(INDEX('PROJETO PERFURAÇÃO'!$P:$P,MATCH(MEDIÇÃO!R1326,'PROJETO PERFURAÇÃO'!$B:$B,0))="Buffer","B",IF(INDEX('PROJETO PERFURAÇÃO'!$P:$P,MATCH(MEDIÇÃO!R1326,'PROJETO PERFURAÇÃO'!$B:$B,0))="Pre-Splitting","S"))),"")</f>
        <v/>
      </c>
      <c r="R1326" s="14">
        <f t="shared" si="128"/>
        <v>2964</v>
      </c>
      <c r="S1326" s="4" t="str">
        <f>IFERROR(INDEX('LEV R&amp;D'!$D:$D,MATCH(MEDIÇÃO!R1326,'LEV R&amp;D'!$A:$A,0))-INDEX('PROJETO PERFURAÇÃO'!$AH:$AH,MATCH(MEDIÇÃO!R1326,'PROJETO PERFURAÇÃO'!$B:$B,0)),"")</f>
        <v/>
      </c>
      <c r="T1326" s="8" t="str">
        <f>IFERROR(INDEX('PROJETO PERFURAÇÃO'!$AN:$AN,MATCH(MEDIÇÃO!R1326,'PROJETO PERFURAÇÃO'!$B:$B,0)),"")</f>
        <v/>
      </c>
      <c r="U1326" s="3"/>
      <c r="V1326" s="3"/>
    </row>
    <row r="1327" spans="2:22" ht="45" customHeight="1" x14ac:dyDescent="0.25">
      <c r="B1327" s="3" t="str">
        <f>IFERROR(ROUND(INDEX('PROJETO PERFURAÇÃO'!$AB:$AB,MATCH(MEDIÇÃO!D1327,'PROJETO PERFURAÇÃO'!$B:$B,0)),1)&amp;"''","")</f>
        <v/>
      </c>
      <c r="C1327" s="3" t="str">
        <f>IFERROR(IF(INDEX('PROJETO PERFURAÇÃO'!$P:$P,MATCH(MEDIÇÃO!D1327,'PROJETO PERFURAÇÃO'!$B:$B,0))="Production","P",IF(INDEX('PROJETO PERFURAÇÃO'!$P:$P,MATCH(MEDIÇÃO!D1327,'PROJETO PERFURAÇÃO'!$B:$B,0))="Buffer","B",IF(INDEX('PROJETO PERFURAÇÃO'!$P:$P,MATCH(MEDIÇÃO!D1327,'PROJETO PERFURAÇÃO'!$B:$B,0))="Pre-Splitting","S"))),"")</f>
        <v/>
      </c>
      <c r="D1327" s="14">
        <f t="shared" si="126"/>
        <v>2919</v>
      </c>
      <c r="E1327" s="4" t="str">
        <f>IFERROR(INDEX('LEV R&amp;D'!$D:$D,MATCH(MEDIÇÃO!D1327,'LEV R&amp;D'!$A:$A,0))-INDEX('PROJETO PERFURAÇÃO'!$AH:$AH,MATCH(MEDIÇÃO!D1327,'PROJETO PERFURAÇÃO'!$B:$B,0)),"")</f>
        <v/>
      </c>
      <c r="F1327" s="8" t="str">
        <f>IFERROR(INDEX('PROJETO PERFURAÇÃO'!$AN:$AN,MATCH(MEDIÇÃO!D1327,'PROJETO PERFURAÇÃO'!$B:$B,0)),"")</f>
        <v/>
      </c>
      <c r="G1327" s="3"/>
      <c r="H1327" s="3"/>
      <c r="I1327" s="3" t="str">
        <f>IFERROR(ROUND(INDEX('PROJETO PERFURAÇÃO'!$AB:$AB,MATCH(MEDIÇÃO!K1327,'PROJETO PERFURAÇÃO'!$B:$B,0)),1)&amp;"''","")</f>
        <v/>
      </c>
      <c r="J1327" s="3" t="str">
        <f>IFERROR(IF(INDEX('PROJETO PERFURAÇÃO'!$P:$P,MATCH(MEDIÇÃO!K1327,'PROJETO PERFURAÇÃO'!$B:$B,0))="Production","P",IF(INDEX('PROJETO PERFURAÇÃO'!$P:$P,MATCH(MEDIÇÃO!K1327,'PROJETO PERFURAÇÃO'!$B:$B,0))="Buffer","B",IF(INDEX('PROJETO PERFURAÇÃO'!$P:$P,MATCH(MEDIÇÃO!K1327,'PROJETO PERFURAÇÃO'!$B:$B,0))="Pre-Splitting","S"))),"")</f>
        <v/>
      </c>
      <c r="K1327" s="14">
        <f t="shared" si="127"/>
        <v>2942</v>
      </c>
      <c r="L1327" s="4" t="str">
        <f>IFERROR(INDEX('LEV R&amp;D'!$D:$D,MATCH(MEDIÇÃO!K1327,'LEV R&amp;D'!$A:$A,0))-INDEX('PROJETO PERFURAÇÃO'!$AH:$AH,MATCH(MEDIÇÃO!K1327,'PROJETO PERFURAÇÃO'!$B:$B,0)),"")</f>
        <v/>
      </c>
      <c r="M1327" s="8" t="str">
        <f>IFERROR(INDEX('PROJETO PERFURAÇÃO'!$AN:$AN,MATCH(MEDIÇÃO!K1327,'PROJETO PERFURAÇÃO'!$B:$B,0)),"")</f>
        <v/>
      </c>
      <c r="N1327" s="3"/>
      <c r="O1327" s="3"/>
      <c r="P1327" s="3" t="str">
        <f>IFERROR(ROUND(INDEX('PROJETO PERFURAÇÃO'!$AB:$AB,MATCH(MEDIÇÃO!R1327,'PROJETO PERFURAÇÃO'!$B:$B,0)),1)&amp;"''","")</f>
        <v/>
      </c>
      <c r="Q1327" s="3" t="str">
        <f>IFERROR(IF(INDEX('PROJETO PERFURAÇÃO'!$P:$P,MATCH(MEDIÇÃO!R1327,'PROJETO PERFURAÇÃO'!$B:$B,0))="Production","P",IF(INDEX('PROJETO PERFURAÇÃO'!$P:$P,MATCH(MEDIÇÃO!R1327,'PROJETO PERFURAÇÃO'!$B:$B,0))="Buffer","B",IF(INDEX('PROJETO PERFURAÇÃO'!$P:$P,MATCH(MEDIÇÃO!R1327,'PROJETO PERFURAÇÃO'!$B:$B,0))="Pre-Splitting","S"))),"")</f>
        <v/>
      </c>
      <c r="R1327" s="14">
        <f t="shared" si="128"/>
        <v>2965</v>
      </c>
      <c r="S1327" s="4" t="str">
        <f>IFERROR(INDEX('LEV R&amp;D'!$D:$D,MATCH(MEDIÇÃO!R1327,'LEV R&amp;D'!$A:$A,0))-INDEX('PROJETO PERFURAÇÃO'!$AH:$AH,MATCH(MEDIÇÃO!R1327,'PROJETO PERFURAÇÃO'!$B:$B,0)),"")</f>
        <v/>
      </c>
      <c r="T1327" s="8" t="str">
        <f>IFERROR(INDEX('PROJETO PERFURAÇÃO'!$AN:$AN,MATCH(MEDIÇÃO!R1327,'PROJETO PERFURAÇÃO'!$B:$B,0)),"")</f>
        <v/>
      </c>
      <c r="U1327" s="3"/>
      <c r="V1327" s="3"/>
    </row>
    <row r="1328" spans="2:22" ht="45" customHeight="1" x14ac:dyDescent="0.25">
      <c r="B1328" s="3" t="str">
        <f>IFERROR(ROUND(INDEX('PROJETO PERFURAÇÃO'!$AB:$AB,MATCH(MEDIÇÃO!D1328,'PROJETO PERFURAÇÃO'!$B:$B,0)),1)&amp;"''","")</f>
        <v/>
      </c>
      <c r="C1328" s="3" t="str">
        <f>IFERROR(IF(INDEX('PROJETO PERFURAÇÃO'!$P:$P,MATCH(MEDIÇÃO!D1328,'PROJETO PERFURAÇÃO'!$B:$B,0))="Production","P",IF(INDEX('PROJETO PERFURAÇÃO'!$P:$P,MATCH(MEDIÇÃO!D1328,'PROJETO PERFURAÇÃO'!$B:$B,0))="Buffer","B",IF(INDEX('PROJETO PERFURAÇÃO'!$P:$P,MATCH(MEDIÇÃO!D1328,'PROJETO PERFURAÇÃO'!$B:$B,0))="Pre-Splitting","S"))),"")</f>
        <v/>
      </c>
      <c r="D1328" s="14">
        <f t="shared" si="126"/>
        <v>2920</v>
      </c>
      <c r="E1328" s="4" t="str">
        <f>IFERROR(INDEX('LEV R&amp;D'!$D:$D,MATCH(MEDIÇÃO!D1328,'LEV R&amp;D'!$A:$A,0))-INDEX('PROJETO PERFURAÇÃO'!$AH:$AH,MATCH(MEDIÇÃO!D1328,'PROJETO PERFURAÇÃO'!$B:$B,0)),"")</f>
        <v/>
      </c>
      <c r="F1328" s="8" t="str">
        <f>IFERROR(INDEX('PROJETO PERFURAÇÃO'!$AN:$AN,MATCH(MEDIÇÃO!D1328,'PROJETO PERFURAÇÃO'!$B:$B,0)),"")</f>
        <v/>
      </c>
      <c r="G1328" s="3"/>
      <c r="H1328" s="3"/>
      <c r="I1328" s="3" t="str">
        <f>IFERROR(ROUND(INDEX('PROJETO PERFURAÇÃO'!$AB:$AB,MATCH(MEDIÇÃO!K1328,'PROJETO PERFURAÇÃO'!$B:$B,0)),1)&amp;"''","")</f>
        <v/>
      </c>
      <c r="J1328" s="3" t="str">
        <f>IFERROR(IF(INDEX('PROJETO PERFURAÇÃO'!$P:$P,MATCH(MEDIÇÃO!K1328,'PROJETO PERFURAÇÃO'!$B:$B,0))="Production","P",IF(INDEX('PROJETO PERFURAÇÃO'!$P:$P,MATCH(MEDIÇÃO!K1328,'PROJETO PERFURAÇÃO'!$B:$B,0))="Buffer","B",IF(INDEX('PROJETO PERFURAÇÃO'!$P:$P,MATCH(MEDIÇÃO!K1328,'PROJETO PERFURAÇÃO'!$B:$B,0))="Pre-Splitting","S"))),"")</f>
        <v/>
      </c>
      <c r="K1328" s="14">
        <f t="shared" si="127"/>
        <v>2943</v>
      </c>
      <c r="L1328" s="4" t="str">
        <f>IFERROR(INDEX('LEV R&amp;D'!$D:$D,MATCH(MEDIÇÃO!K1328,'LEV R&amp;D'!$A:$A,0))-INDEX('PROJETO PERFURAÇÃO'!$AH:$AH,MATCH(MEDIÇÃO!K1328,'PROJETO PERFURAÇÃO'!$B:$B,0)),"")</f>
        <v/>
      </c>
      <c r="M1328" s="8" t="str">
        <f>IFERROR(INDEX('PROJETO PERFURAÇÃO'!$AN:$AN,MATCH(MEDIÇÃO!K1328,'PROJETO PERFURAÇÃO'!$B:$B,0)),"")</f>
        <v/>
      </c>
      <c r="N1328" s="3"/>
      <c r="O1328" s="3"/>
      <c r="P1328" s="3" t="str">
        <f>IFERROR(ROUND(INDEX('PROJETO PERFURAÇÃO'!$AB:$AB,MATCH(MEDIÇÃO!R1328,'PROJETO PERFURAÇÃO'!$B:$B,0)),1)&amp;"''","")</f>
        <v/>
      </c>
      <c r="Q1328" s="3" t="str">
        <f>IFERROR(IF(INDEX('PROJETO PERFURAÇÃO'!$P:$P,MATCH(MEDIÇÃO!R1328,'PROJETO PERFURAÇÃO'!$B:$B,0))="Production","P",IF(INDEX('PROJETO PERFURAÇÃO'!$P:$P,MATCH(MEDIÇÃO!R1328,'PROJETO PERFURAÇÃO'!$B:$B,0))="Buffer","B",IF(INDEX('PROJETO PERFURAÇÃO'!$P:$P,MATCH(MEDIÇÃO!R1328,'PROJETO PERFURAÇÃO'!$B:$B,0))="Pre-Splitting","S"))),"")</f>
        <v/>
      </c>
      <c r="R1328" s="14">
        <f t="shared" si="128"/>
        <v>2966</v>
      </c>
      <c r="S1328" s="4" t="str">
        <f>IFERROR(INDEX('LEV R&amp;D'!$D:$D,MATCH(MEDIÇÃO!R1328,'LEV R&amp;D'!$A:$A,0))-INDEX('PROJETO PERFURAÇÃO'!$AH:$AH,MATCH(MEDIÇÃO!R1328,'PROJETO PERFURAÇÃO'!$B:$B,0)),"")</f>
        <v/>
      </c>
      <c r="T1328" s="8" t="str">
        <f>IFERROR(INDEX('PROJETO PERFURAÇÃO'!$AN:$AN,MATCH(MEDIÇÃO!R1328,'PROJETO PERFURAÇÃO'!$B:$B,0)),"")</f>
        <v/>
      </c>
      <c r="U1328" s="3"/>
      <c r="V1328" s="3"/>
    </row>
    <row r="1329" spans="1:23" ht="45" customHeight="1" x14ac:dyDescent="0.25">
      <c r="B1329" s="3" t="str">
        <f>IFERROR(ROUND(INDEX('PROJETO PERFURAÇÃO'!$AB:$AB,MATCH(MEDIÇÃO!D1329,'PROJETO PERFURAÇÃO'!$B:$B,0)),1)&amp;"''","")</f>
        <v/>
      </c>
      <c r="C1329" s="3" t="str">
        <f>IFERROR(IF(INDEX('PROJETO PERFURAÇÃO'!$P:$P,MATCH(MEDIÇÃO!D1329,'PROJETO PERFURAÇÃO'!$B:$B,0))="Production","P",IF(INDEX('PROJETO PERFURAÇÃO'!$P:$P,MATCH(MEDIÇÃO!D1329,'PROJETO PERFURAÇÃO'!$B:$B,0))="Buffer","B",IF(INDEX('PROJETO PERFURAÇÃO'!$P:$P,MATCH(MEDIÇÃO!D1329,'PROJETO PERFURAÇÃO'!$B:$B,0))="Pre-Splitting","S"))),"")</f>
        <v/>
      </c>
      <c r="D1329" s="14">
        <f t="shared" si="126"/>
        <v>2921</v>
      </c>
      <c r="E1329" s="4" t="str">
        <f>IFERROR(INDEX('LEV R&amp;D'!$D:$D,MATCH(MEDIÇÃO!D1329,'LEV R&amp;D'!$A:$A,0))-INDEX('PROJETO PERFURAÇÃO'!$AH:$AH,MATCH(MEDIÇÃO!D1329,'PROJETO PERFURAÇÃO'!$B:$B,0)),"")</f>
        <v/>
      </c>
      <c r="F1329" s="8" t="str">
        <f>IFERROR(INDEX('PROJETO PERFURAÇÃO'!$AN:$AN,MATCH(MEDIÇÃO!D1329,'PROJETO PERFURAÇÃO'!$B:$B,0)),"")</f>
        <v/>
      </c>
      <c r="G1329" s="3"/>
      <c r="H1329" s="3"/>
      <c r="I1329" s="3" t="str">
        <f>IFERROR(ROUND(INDEX('PROJETO PERFURAÇÃO'!$AB:$AB,MATCH(MEDIÇÃO!K1329,'PROJETO PERFURAÇÃO'!$B:$B,0)),1)&amp;"''","")</f>
        <v/>
      </c>
      <c r="J1329" s="3" t="str">
        <f>IFERROR(IF(INDEX('PROJETO PERFURAÇÃO'!$P:$P,MATCH(MEDIÇÃO!K1329,'PROJETO PERFURAÇÃO'!$B:$B,0))="Production","P",IF(INDEX('PROJETO PERFURAÇÃO'!$P:$P,MATCH(MEDIÇÃO!K1329,'PROJETO PERFURAÇÃO'!$B:$B,0))="Buffer","B",IF(INDEX('PROJETO PERFURAÇÃO'!$P:$P,MATCH(MEDIÇÃO!K1329,'PROJETO PERFURAÇÃO'!$B:$B,0))="Pre-Splitting","S"))),"")</f>
        <v/>
      </c>
      <c r="K1329" s="14">
        <f>K1328+1</f>
        <v>2944</v>
      </c>
      <c r="L1329" s="4" t="str">
        <f>IFERROR(INDEX('LEV R&amp;D'!$D:$D,MATCH(MEDIÇÃO!K1329,'LEV R&amp;D'!$A:$A,0))-INDEX('PROJETO PERFURAÇÃO'!$AH:$AH,MATCH(MEDIÇÃO!K1329,'PROJETO PERFURAÇÃO'!$B:$B,0)),"")</f>
        <v/>
      </c>
      <c r="M1329" s="8" t="str">
        <f>IFERROR(INDEX('PROJETO PERFURAÇÃO'!$AN:$AN,MATCH(MEDIÇÃO!K1329,'PROJETO PERFURAÇÃO'!$B:$B,0)),"")</f>
        <v/>
      </c>
      <c r="N1329" s="3"/>
      <c r="O1329" s="3"/>
      <c r="P1329" s="3" t="str">
        <f>IFERROR(ROUND(INDEX('PROJETO PERFURAÇÃO'!$AB:$AB,MATCH(MEDIÇÃO!R1329,'PROJETO PERFURAÇÃO'!$B:$B,0)),1)&amp;"''","")</f>
        <v/>
      </c>
      <c r="Q1329" s="3" t="str">
        <f>IFERROR(IF(INDEX('PROJETO PERFURAÇÃO'!$P:$P,MATCH(MEDIÇÃO!R1329,'PROJETO PERFURAÇÃO'!$B:$B,0))="Production","P",IF(INDEX('PROJETO PERFURAÇÃO'!$P:$P,MATCH(MEDIÇÃO!R1329,'PROJETO PERFURAÇÃO'!$B:$B,0))="Buffer","B",IF(INDEX('PROJETO PERFURAÇÃO'!$P:$P,MATCH(MEDIÇÃO!R1329,'PROJETO PERFURAÇÃO'!$B:$B,0))="Pre-Splitting","S"))),"")</f>
        <v/>
      </c>
      <c r="R1329" s="14">
        <f>R1328+1</f>
        <v>2967</v>
      </c>
      <c r="S1329" s="4" t="str">
        <f>IFERROR(INDEX('LEV R&amp;D'!$D:$D,MATCH(MEDIÇÃO!R1329,'LEV R&amp;D'!$A:$A,0))-INDEX('PROJETO PERFURAÇÃO'!$AH:$AH,MATCH(MEDIÇÃO!R1329,'PROJETO PERFURAÇÃO'!$B:$B,0)),"")</f>
        <v/>
      </c>
      <c r="T1329" s="8" t="str">
        <f>IFERROR(INDEX('PROJETO PERFURAÇÃO'!$AN:$AN,MATCH(MEDIÇÃO!R1329,'PROJETO PERFURAÇÃO'!$B:$B,0)),"")</f>
        <v/>
      </c>
      <c r="U1329" s="3"/>
      <c r="V1329" s="3"/>
    </row>
    <row r="1330" spans="1:23" ht="30" customHeight="1" x14ac:dyDescent="0.25">
      <c r="B1330" s="1"/>
      <c r="C1330" s="1"/>
      <c r="D1330" s="15"/>
      <c r="E1330" s="2"/>
      <c r="F1330" s="16"/>
      <c r="G1330" s="1"/>
      <c r="H1330" s="1"/>
      <c r="I1330" s="1"/>
      <c r="J1330" s="1"/>
      <c r="K1330" s="15"/>
      <c r="L1330" s="2"/>
      <c r="M1330" s="16"/>
      <c r="N1330" s="1"/>
      <c r="O1330" s="1"/>
      <c r="P1330" s="1"/>
      <c r="Q1330" s="1"/>
      <c r="R1330" s="15"/>
      <c r="S1330" s="2"/>
      <c r="T1330" s="16"/>
      <c r="U1330" s="1"/>
      <c r="V1330" s="1"/>
    </row>
    <row r="1331" spans="1:23" ht="30" customHeight="1" x14ac:dyDescent="0.25">
      <c r="C1331" s="20"/>
      <c r="D1331" s="20"/>
      <c r="E1331" s="20"/>
      <c r="F1331" s="20"/>
      <c r="G1331" s="20"/>
      <c r="H1331" s="20"/>
      <c r="I1331" s="20"/>
      <c r="J1331" s="20"/>
      <c r="K1331" s="20"/>
      <c r="M1331" s="20"/>
      <c r="N1331" s="20"/>
      <c r="O1331" s="20"/>
      <c r="P1331" s="20"/>
      <c r="Q1331" s="20"/>
      <c r="R1331" s="20"/>
      <c r="S1331" s="20"/>
      <c r="T1331" s="20"/>
      <c r="U1331" s="20"/>
    </row>
    <row r="1332" spans="1:23" ht="30" customHeight="1" x14ac:dyDescent="0.25">
      <c r="C1332" s="21" t="s">
        <v>40</v>
      </c>
      <c r="D1332" s="21"/>
      <c r="E1332" s="21"/>
      <c r="F1332" s="21"/>
      <c r="G1332" s="21"/>
      <c r="H1332" s="21"/>
      <c r="I1332" s="21"/>
      <c r="J1332" s="21"/>
      <c r="K1332" s="21"/>
      <c r="L1332" s="9"/>
      <c r="M1332" s="21" t="s">
        <v>40</v>
      </c>
      <c r="N1332" s="21"/>
      <c r="O1332" s="21"/>
      <c r="P1332" s="21"/>
      <c r="Q1332" s="21"/>
      <c r="R1332" s="21"/>
      <c r="S1332" s="21"/>
      <c r="T1332" s="21"/>
      <c r="U1332" s="21"/>
      <c r="V1332" s="9"/>
    </row>
    <row r="1333" spans="1:23" ht="30" customHeight="1" x14ac:dyDescent="0.25">
      <c r="D1333" s="9"/>
      <c r="E1333" s="9"/>
      <c r="F1333" s="9"/>
      <c r="G1333" s="9"/>
      <c r="H1333" s="9"/>
      <c r="I1333" s="9"/>
      <c r="J1333" s="9"/>
      <c r="K1333" s="9"/>
      <c r="L1333" s="9"/>
      <c r="M1333" s="9"/>
      <c r="N1333" s="9"/>
      <c r="Q1333" s="9"/>
      <c r="R1333" s="9"/>
      <c r="S1333" s="9"/>
      <c r="T1333" s="9"/>
      <c r="U1333" s="9"/>
      <c r="V1333" s="9"/>
    </row>
    <row r="1334" spans="1:23" ht="30" customHeight="1" x14ac:dyDescent="0.25">
      <c r="B1334" s="19" t="str">
        <f>'PROJETO PERFURAÇÃO'!$C$2&amp;" - "&amp;'PROJETO PERFURAÇÃO'!$H$2</f>
        <v>LIB065 - PP0651026</v>
      </c>
      <c r="C1334" s="19"/>
      <c r="D1334" s="19"/>
      <c r="E1334" s="19"/>
      <c r="F1334" s="19"/>
      <c r="G1334" s="19"/>
      <c r="H1334" s="19"/>
      <c r="I1334" s="11" t="s">
        <v>34</v>
      </c>
      <c r="J1334" s="10" t="s">
        <v>37</v>
      </c>
    </row>
    <row r="1335" spans="1:23" ht="30" customHeight="1" x14ac:dyDescent="0.25">
      <c r="B1335" s="19"/>
      <c r="C1335" s="19"/>
      <c r="D1335" s="19"/>
      <c r="E1335" s="19"/>
      <c r="F1335" s="19"/>
      <c r="G1335" s="19"/>
      <c r="H1335" s="19"/>
      <c r="I1335" s="12" t="s">
        <v>35</v>
      </c>
      <c r="J1335" s="10" t="s">
        <v>38</v>
      </c>
      <c r="K1335" s="9"/>
      <c r="L1335" s="9"/>
      <c r="M1335" s="9"/>
      <c r="N1335" s="9"/>
      <c r="O1335" s="9"/>
      <c r="P1335" s="9"/>
      <c r="Q1335" s="9"/>
      <c r="R1335" s="9"/>
      <c r="S1335" s="9"/>
      <c r="T1335" s="9"/>
      <c r="U1335" s="9"/>
      <c r="V1335" s="9"/>
    </row>
    <row r="1336" spans="1:23" ht="30" customHeight="1" x14ac:dyDescent="0.25">
      <c r="B1336" s="19"/>
      <c r="C1336" s="19"/>
      <c r="D1336" s="19"/>
      <c r="E1336" s="19"/>
      <c r="F1336" s="19"/>
      <c r="G1336" s="19"/>
      <c r="H1336" s="19"/>
      <c r="I1336" s="13" t="s">
        <v>36</v>
      </c>
      <c r="J1336" s="10" t="s">
        <v>39</v>
      </c>
    </row>
    <row r="1337" spans="1:23" ht="30" customHeight="1" x14ac:dyDescent="0.25">
      <c r="A1337" s="1"/>
      <c r="B1337" s="6" t="s">
        <v>33</v>
      </c>
      <c r="C1337" s="6" t="s">
        <v>13</v>
      </c>
      <c r="D1337" s="7" t="s">
        <v>1</v>
      </c>
      <c r="E1337" s="7" t="s">
        <v>29</v>
      </c>
      <c r="F1337" s="7" t="s">
        <v>30</v>
      </c>
      <c r="G1337" s="7" t="s">
        <v>31</v>
      </c>
      <c r="H1337" s="7" t="s">
        <v>32</v>
      </c>
      <c r="I1337" s="6" t="s">
        <v>33</v>
      </c>
      <c r="J1337" s="6" t="s">
        <v>13</v>
      </c>
      <c r="K1337" s="7" t="s">
        <v>1</v>
      </c>
      <c r="L1337" s="7" t="s">
        <v>29</v>
      </c>
      <c r="M1337" s="7" t="s">
        <v>30</v>
      </c>
      <c r="N1337" s="7" t="s">
        <v>31</v>
      </c>
      <c r="O1337" s="7" t="s">
        <v>32</v>
      </c>
      <c r="P1337" s="6" t="s">
        <v>33</v>
      </c>
      <c r="Q1337" s="6" t="s">
        <v>13</v>
      </c>
      <c r="R1337" s="7" t="s">
        <v>1</v>
      </c>
      <c r="S1337" s="7" t="s">
        <v>29</v>
      </c>
      <c r="T1337" s="7" t="s">
        <v>30</v>
      </c>
      <c r="U1337" s="7" t="s">
        <v>31</v>
      </c>
      <c r="V1337" s="7" t="s">
        <v>32</v>
      </c>
      <c r="W1337" s="1"/>
    </row>
    <row r="1338" spans="1:23" ht="45" customHeight="1" x14ac:dyDescent="0.25">
      <c r="B1338" s="3" t="str">
        <f>IFERROR(ROUND(INDEX('PROJETO PERFURAÇÃO'!$AB:$AB,MATCH(MEDIÇÃO!D1338,'PROJETO PERFURAÇÃO'!$B:$B,0)),1)&amp;"''","")</f>
        <v/>
      </c>
      <c r="C1338" s="3" t="str">
        <f>IFERROR(IF(INDEX('PROJETO PERFURAÇÃO'!$P:$P,MATCH(MEDIÇÃO!D1338,'PROJETO PERFURAÇÃO'!$B:$B,0))="Production","P",IF(INDEX('PROJETO PERFURAÇÃO'!$P:$P,MATCH(MEDIÇÃO!D1338,'PROJETO PERFURAÇÃO'!$B:$B,0))="Buffer","B",IF(INDEX('PROJETO PERFURAÇÃO'!$P:$P,MATCH(MEDIÇÃO!D1338,'PROJETO PERFURAÇÃO'!$B:$B,0))="Pre-Splitting","S"))),"")</f>
        <v/>
      </c>
      <c r="D1338" s="14">
        <f>R1329+1</f>
        <v>2968</v>
      </c>
      <c r="E1338" s="4" t="str">
        <f>IFERROR(INDEX('LEV R&amp;D'!$D:$D,MATCH(MEDIÇÃO!D1338,'LEV R&amp;D'!$A:$A,0))-INDEX('PROJETO PERFURAÇÃO'!$AH:$AH,MATCH(MEDIÇÃO!D1338,'PROJETO PERFURAÇÃO'!$B:$B,0)),"")</f>
        <v/>
      </c>
      <c r="F1338" s="8" t="str">
        <f>IFERROR(INDEX('PROJETO PERFURAÇÃO'!$AN:$AN,MATCH(MEDIÇÃO!D1338,'PROJETO PERFURAÇÃO'!$B:$B,0)),"")</f>
        <v/>
      </c>
      <c r="G1338" s="3"/>
      <c r="H1338" s="3"/>
      <c r="I1338" s="3" t="str">
        <f>IFERROR(ROUND(INDEX('PROJETO PERFURAÇÃO'!$AB:$AB,MATCH(MEDIÇÃO!K1338,'PROJETO PERFURAÇÃO'!$B:$B,0)),1)&amp;"''","")</f>
        <v/>
      </c>
      <c r="J1338" s="3" t="str">
        <f>IFERROR(IF(INDEX('PROJETO PERFURAÇÃO'!$P:$P,MATCH(MEDIÇÃO!K1338,'PROJETO PERFURAÇÃO'!$B:$B,0))="Production","P",IF(INDEX('PROJETO PERFURAÇÃO'!$P:$P,MATCH(MEDIÇÃO!K1338,'PROJETO PERFURAÇÃO'!$B:$B,0))="Buffer","B",IF(INDEX('PROJETO PERFURAÇÃO'!$P:$P,MATCH(MEDIÇÃO!K1338,'PROJETO PERFURAÇÃO'!$B:$B,0))="Pre-Splitting","S"))),"")</f>
        <v/>
      </c>
      <c r="K1338" s="14">
        <f>D1360+1</f>
        <v>2991</v>
      </c>
      <c r="L1338" s="4" t="str">
        <f>IFERROR(INDEX('LEV R&amp;D'!$D:$D,MATCH(MEDIÇÃO!K1338,'LEV R&amp;D'!$A:$A,0))-INDEX('PROJETO PERFURAÇÃO'!$AH:$AH,MATCH(MEDIÇÃO!K1338,'PROJETO PERFURAÇÃO'!$B:$B,0)),"")</f>
        <v/>
      </c>
      <c r="M1338" s="8" t="str">
        <f>IFERROR(INDEX('PROJETO PERFURAÇÃO'!$AN:$AN,MATCH(MEDIÇÃO!K1338,'PROJETO PERFURAÇÃO'!$B:$B,0)),"")</f>
        <v/>
      </c>
      <c r="N1338" s="3"/>
      <c r="O1338" s="3"/>
      <c r="P1338" s="3" t="str">
        <f>IFERROR(ROUND(INDEX('PROJETO PERFURAÇÃO'!$AB:$AB,MATCH(MEDIÇÃO!R1338,'PROJETO PERFURAÇÃO'!$B:$B,0)),1)&amp;"''","")</f>
        <v/>
      </c>
      <c r="Q1338" s="3" t="str">
        <f>IFERROR(IF(INDEX('PROJETO PERFURAÇÃO'!$P:$P,MATCH(MEDIÇÃO!R1338,'PROJETO PERFURAÇÃO'!$B:$B,0))="Production","P",IF(INDEX('PROJETO PERFURAÇÃO'!$P:$P,MATCH(MEDIÇÃO!R1338,'PROJETO PERFURAÇÃO'!$B:$B,0))="Buffer","B",IF(INDEX('PROJETO PERFURAÇÃO'!$P:$P,MATCH(MEDIÇÃO!R1338,'PROJETO PERFURAÇÃO'!$B:$B,0))="Pre-Splitting","S"))),"")</f>
        <v/>
      </c>
      <c r="R1338" s="14">
        <f>K1360+1</f>
        <v>3014</v>
      </c>
      <c r="S1338" s="4" t="str">
        <f>IFERROR(INDEX('LEV R&amp;D'!$D:$D,MATCH(MEDIÇÃO!R1338,'LEV R&amp;D'!$A:$A,0))-INDEX('PROJETO PERFURAÇÃO'!$AH:$AH,MATCH(MEDIÇÃO!R1338,'PROJETO PERFURAÇÃO'!$B:$B,0)),"")</f>
        <v/>
      </c>
      <c r="T1338" s="8" t="str">
        <f>IFERROR(INDEX('PROJETO PERFURAÇÃO'!$AN:$AN,MATCH(MEDIÇÃO!R1338,'PROJETO PERFURAÇÃO'!$B:$B,0)),"")</f>
        <v/>
      </c>
      <c r="U1338" s="3"/>
      <c r="V1338" s="3"/>
    </row>
    <row r="1339" spans="1:23" ht="45" customHeight="1" x14ac:dyDescent="0.25">
      <c r="B1339" s="3" t="str">
        <f>IFERROR(ROUND(INDEX('PROJETO PERFURAÇÃO'!$AB:$AB,MATCH(MEDIÇÃO!D1339,'PROJETO PERFURAÇÃO'!$B:$B,0)),1)&amp;"''","")</f>
        <v/>
      </c>
      <c r="C1339" s="3" t="str">
        <f>IFERROR(IF(INDEX('PROJETO PERFURAÇÃO'!$P:$P,MATCH(MEDIÇÃO!D1339,'PROJETO PERFURAÇÃO'!$B:$B,0))="Production","P",IF(INDEX('PROJETO PERFURAÇÃO'!$P:$P,MATCH(MEDIÇÃO!D1339,'PROJETO PERFURAÇÃO'!$B:$B,0))="Buffer","B",IF(INDEX('PROJETO PERFURAÇÃO'!$P:$P,MATCH(MEDIÇÃO!D1339,'PROJETO PERFURAÇÃO'!$B:$B,0))="Pre-Splitting","S"))),"")</f>
        <v/>
      </c>
      <c r="D1339" s="14">
        <f>D1338+1</f>
        <v>2969</v>
      </c>
      <c r="E1339" s="4" t="str">
        <f>IFERROR(INDEX('LEV R&amp;D'!$D:$D,MATCH(MEDIÇÃO!D1339,'LEV R&amp;D'!$A:$A,0))-INDEX('PROJETO PERFURAÇÃO'!$AH:$AH,MATCH(MEDIÇÃO!D1339,'PROJETO PERFURAÇÃO'!$B:$B,0)),"")</f>
        <v/>
      </c>
      <c r="F1339" s="8" t="str">
        <f>IFERROR(INDEX('PROJETO PERFURAÇÃO'!$AN:$AN,MATCH(MEDIÇÃO!D1339,'PROJETO PERFURAÇÃO'!$B:$B,0)),"")</f>
        <v/>
      </c>
      <c r="G1339" s="3"/>
      <c r="H1339" s="3"/>
      <c r="I1339" s="3" t="str">
        <f>IFERROR(ROUND(INDEX('PROJETO PERFURAÇÃO'!$AB:$AB,MATCH(MEDIÇÃO!K1339,'PROJETO PERFURAÇÃO'!$B:$B,0)),1)&amp;"''","")</f>
        <v/>
      </c>
      <c r="J1339" s="3" t="str">
        <f>IFERROR(IF(INDEX('PROJETO PERFURAÇÃO'!$P:$P,MATCH(MEDIÇÃO!K1339,'PROJETO PERFURAÇÃO'!$B:$B,0))="Production","P",IF(INDEX('PROJETO PERFURAÇÃO'!$P:$P,MATCH(MEDIÇÃO!K1339,'PROJETO PERFURAÇÃO'!$B:$B,0))="Buffer","B",IF(INDEX('PROJETO PERFURAÇÃO'!$P:$P,MATCH(MEDIÇÃO!K1339,'PROJETO PERFURAÇÃO'!$B:$B,0))="Pre-Splitting","S"))),"")</f>
        <v/>
      </c>
      <c r="K1339" s="14">
        <f>K1338+1</f>
        <v>2992</v>
      </c>
      <c r="L1339" s="4" t="str">
        <f>IFERROR(INDEX('LEV R&amp;D'!$D:$D,MATCH(MEDIÇÃO!K1339,'LEV R&amp;D'!$A:$A,0))-INDEX('PROJETO PERFURAÇÃO'!$AH:$AH,MATCH(MEDIÇÃO!K1339,'PROJETO PERFURAÇÃO'!$B:$B,0)),"")</f>
        <v/>
      </c>
      <c r="M1339" s="8" t="str">
        <f>IFERROR(INDEX('PROJETO PERFURAÇÃO'!$AN:$AN,MATCH(MEDIÇÃO!K1339,'PROJETO PERFURAÇÃO'!$B:$B,0)),"")</f>
        <v/>
      </c>
      <c r="N1339" s="3"/>
      <c r="O1339" s="3"/>
      <c r="P1339" s="3" t="str">
        <f>IFERROR(ROUND(INDEX('PROJETO PERFURAÇÃO'!$AB:$AB,MATCH(MEDIÇÃO!R1339,'PROJETO PERFURAÇÃO'!$B:$B,0)),1)&amp;"''","")</f>
        <v/>
      </c>
      <c r="Q1339" s="3" t="str">
        <f>IFERROR(IF(INDEX('PROJETO PERFURAÇÃO'!$P:$P,MATCH(MEDIÇÃO!R1339,'PROJETO PERFURAÇÃO'!$B:$B,0))="Production","P",IF(INDEX('PROJETO PERFURAÇÃO'!$P:$P,MATCH(MEDIÇÃO!R1339,'PROJETO PERFURAÇÃO'!$B:$B,0))="Buffer","B",IF(INDEX('PROJETO PERFURAÇÃO'!$P:$P,MATCH(MEDIÇÃO!R1339,'PROJETO PERFURAÇÃO'!$B:$B,0))="Pre-Splitting","S"))),"")</f>
        <v/>
      </c>
      <c r="R1339" s="14">
        <f>R1338+1</f>
        <v>3015</v>
      </c>
      <c r="S1339" s="4" t="str">
        <f>IFERROR(INDEX('LEV R&amp;D'!$D:$D,MATCH(MEDIÇÃO!R1339,'LEV R&amp;D'!$A:$A,0))-INDEX('PROJETO PERFURAÇÃO'!$AH:$AH,MATCH(MEDIÇÃO!R1339,'PROJETO PERFURAÇÃO'!$B:$B,0)),"")</f>
        <v/>
      </c>
      <c r="T1339" s="8" t="str">
        <f>IFERROR(INDEX('PROJETO PERFURAÇÃO'!$AN:$AN,MATCH(MEDIÇÃO!R1339,'PROJETO PERFURAÇÃO'!$B:$B,0)),"")</f>
        <v/>
      </c>
      <c r="U1339" s="3"/>
      <c r="V1339" s="3"/>
    </row>
    <row r="1340" spans="1:23" ht="45" customHeight="1" x14ac:dyDescent="0.25">
      <c r="B1340" s="3" t="str">
        <f>IFERROR(ROUND(INDEX('PROJETO PERFURAÇÃO'!$AB:$AB,MATCH(MEDIÇÃO!D1340,'PROJETO PERFURAÇÃO'!$B:$B,0)),1)&amp;"''","")</f>
        <v/>
      </c>
      <c r="C1340" s="3" t="str">
        <f>IFERROR(IF(INDEX('PROJETO PERFURAÇÃO'!$P:$P,MATCH(MEDIÇÃO!D1340,'PROJETO PERFURAÇÃO'!$B:$B,0))="Production","P",IF(INDEX('PROJETO PERFURAÇÃO'!$P:$P,MATCH(MEDIÇÃO!D1340,'PROJETO PERFURAÇÃO'!$B:$B,0))="Buffer","B",IF(INDEX('PROJETO PERFURAÇÃO'!$P:$P,MATCH(MEDIÇÃO!D1340,'PROJETO PERFURAÇÃO'!$B:$B,0))="Pre-Splitting","S"))),"")</f>
        <v/>
      </c>
      <c r="D1340" s="14">
        <f t="shared" ref="D1340:D1360" si="129">D1339+1</f>
        <v>2970</v>
      </c>
      <c r="E1340" s="4" t="str">
        <f>IFERROR(INDEX('LEV R&amp;D'!$D:$D,MATCH(MEDIÇÃO!D1340,'LEV R&amp;D'!$A:$A,0))-INDEX('PROJETO PERFURAÇÃO'!$AH:$AH,MATCH(MEDIÇÃO!D1340,'PROJETO PERFURAÇÃO'!$B:$B,0)),"")</f>
        <v/>
      </c>
      <c r="F1340" s="8" t="str">
        <f>IFERROR(INDEX('PROJETO PERFURAÇÃO'!$AN:$AN,MATCH(MEDIÇÃO!D1340,'PROJETO PERFURAÇÃO'!$B:$B,0)),"")</f>
        <v/>
      </c>
      <c r="G1340" s="3"/>
      <c r="H1340" s="3"/>
      <c r="I1340" s="3" t="str">
        <f>IFERROR(ROUND(INDEX('PROJETO PERFURAÇÃO'!$AB:$AB,MATCH(MEDIÇÃO!K1340,'PROJETO PERFURAÇÃO'!$B:$B,0)),1)&amp;"''","")</f>
        <v/>
      </c>
      <c r="J1340" s="3" t="str">
        <f>IFERROR(IF(INDEX('PROJETO PERFURAÇÃO'!$P:$P,MATCH(MEDIÇÃO!K1340,'PROJETO PERFURAÇÃO'!$B:$B,0))="Production","P",IF(INDEX('PROJETO PERFURAÇÃO'!$P:$P,MATCH(MEDIÇÃO!K1340,'PROJETO PERFURAÇÃO'!$B:$B,0))="Buffer","B",IF(INDEX('PROJETO PERFURAÇÃO'!$P:$P,MATCH(MEDIÇÃO!K1340,'PROJETO PERFURAÇÃO'!$B:$B,0))="Pre-Splitting","S"))),"")</f>
        <v/>
      </c>
      <c r="K1340" s="14">
        <f t="shared" ref="K1340:K1359" si="130">K1339+1</f>
        <v>2993</v>
      </c>
      <c r="L1340" s="4" t="str">
        <f>IFERROR(INDEX('LEV R&amp;D'!$D:$D,MATCH(MEDIÇÃO!K1340,'LEV R&amp;D'!$A:$A,0))-INDEX('PROJETO PERFURAÇÃO'!$AH:$AH,MATCH(MEDIÇÃO!K1340,'PROJETO PERFURAÇÃO'!$B:$B,0)),"")</f>
        <v/>
      </c>
      <c r="M1340" s="8" t="str">
        <f>IFERROR(INDEX('PROJETO PERFURAÇÃO'!$AN:$AN,MATCH(MEDIÇÃO!K1340,'PROJETO PERFURAÇÃO'!$B:$B,0)),"")</f>
        <v/>
      </c>
      <c r="N1340" s="3"/>
      <c r="O1340" s="3"/>
      <c r="P1340" s="3" t="str">
        <f>IFERROR(ROUND(INDEX('PROJETO PERFURAÇÃO'!$AB:$AB,MATCH(MEDIÇÃO!R1340,'PROJETO PERFURAÇÃO'!$B:$B,0)),1)&amp;"''","")</f>
        <v/>
      </c>
      <c r="Q1340" s="3" t="str">
        <f>IFERROR(IF(INDEX('PROJETO PERFURAÇÃO'!$P:$P,MATCH(MEDIÇÃO!R1340,'PROJETO PERFURAÇÃO'!$B:$B,0))="Production","P",IF(INDEX('PROJETO PERFURAÇÃO'!$P:$P,MATCH(MEDIÇÃO!R1340,'PROJETO PERFURAÇÃO'!$B:$B,0))="Buffer","B",IF(INDEX('PROJETO PERFURAÇÃO'!$P:$P,MATCH(MEDIÇÃO!R1340,'PROJETO PERFURAÇÃO'!$B:$B,0))="Pre-Splitting","S"))),"")</f>
        <v/>
      </c>
      <c r="R1340" s="14">
        <f t="shared" ref="R1340:R1359" si="131">R1339+1</f>
        <v>3016</v>
      </c>
      <c r="S1340" s="4" t="str">
        <f>IFERROR(INDEX('LEV R&amp;D'!$D:$D,MATCH(MEDIÇÃO!R1340,'LEV R&amp;D'!$A:$A,0))-INDEX('PROJETO PERFURAÇÃO'!$AH:$AH,MATCH(MEDIÇÃO!R1340,'PROJETO PERFURAÇÃO'!$B:$B,0)),"")</f>
        <v/>
      </c>
      <c r="T1340" s="8" t="str">
        <f>IFERROR(INDEX('PROJETO PERFURAÇÃO'!$AN:$AN,MATCH(MEDIÇÃO!R1340,'PROJETO PERFURAÇÃO'!$B:$B,0)),"")</f>
        <v/>
      </c>
      <c r="U1340" s="3"/>
      <c r="V1340" s="3"/>
    </row>
    <row r="1341" spans="1:23" ht="45" customHeight="1" x14ac:dyDescent="0.25">
      <c r="B1341" s="3" t="str">
        <f>IFERROR(ROUND(INDEX('PROJETO PERFURAÇÃO'!$AB:$AB,MATCH(MEDIÇÃO!D1341,'PROJETO PERFURAÇÃO'!$B:$B,0)),1)&amp;"''","")</f>
        <v/>
      </c>
      <c r="C1341" s="3" t="str">
        <f>IFERROR(IF(INDEX('PROJETO PERFURAÇÃO'!$P:$P,MATCH(MEDIÇÃO!D1341,'PROJETO PERFURAÇÃO'!$B:$B,0))="Production","P",IF(INDEX('PROJETO PERFURAÇÃO'!$P:$P,MATCH(MEDIÇÃO!D1341,'PROJETO PERFURAÇÃO'!$B:$B,0))="Buffer","B",IF(INDEX('PROJETO PERFURAÇÃO'!$P:$P,MATCH(MEDIÇÃO!D1341,'PROJETO PERFURAÇÃO'!$B:$B,0))="Pre-Splitting","S"))),"")</f>
        <v/>
      </c>
      <c r="D1341" s="14">
        <f t="shared" si="129"/>
        <v>2971</v>
      </c>
      <c r="E1341" s="4" t="str">
        <f>IFERROR(INDEX('LEV R&amp;D'!$D:$D,MATCH(MEDIÇÃO!D1341,'LEV R&amp;D'!$A:$A,0))-INDEX('PROJETO PERFURAÇÃO'!$AH:$AH,MATCH(MEDIÇÃO!D1341,'PROJETO PERFURAÇÃO'!$B:$B,0)),"")</f>
        <v/>
      </c>
      <c r="F1341" s="8" t="str">
        <f>IFERROR(INDEX('PROJETO PERFURAÇÃO'!$AN:$AN,MATCH(MEDIÇÃO!D1341,'PROJETO PERFURAÇÃO'!$B:$B,0)),"")</f>
        <v/>
      </c>
      <c r="G1341" s="3"/>
      <c r="H1341" s="3"/>
      <c r="I1341" s="3" t="str">
        <f>IFERROR(ROUND(INDEX('PROJETO PERFURAÇÃO'!$AB:$AB,MATCH(MEDIÇÃO!K1341,'PROJETO PERFURAÇÃO'!$B:$B,0)),1)&amp;"''","")</f>
        <v/>
      </c>
      <c r="J1341" s="3" t="str">
        <f>IFERROR(IF(INDEX('PROJETO PERFURAÇÃO'!$P:$P,MATCH(MEDIÇÃO!K1341,'PROJETO PERFURAÇÃO'!$B:$B,0))="Production","P",IF(INDEX('PROJETO PERFURAÇÃO'!$P:$P,MATCH(MEDIÇÃO!K1341,'PROJETO PERFURAÇÃO'!$B:$B,0))="Buffer","B",IF(INDEX('PROJETO PERFURAÇÃO'!$P:$P,MATCH(MEDIÇÃO!K1341,'PROJETO PERFURAÇÃO'!$B:$B,0))="Pre-Splitting","S"))),"")</f>
        <v/>
      </c>
      <c r="K1341" s="14">
        <f t="shared" si="130"/>
        <v>2994</v>
      </c>
      <c r="L1341" s="4" t="str">
        <f>IFERROR(INDEX('LEV R&amp;D'!$D:$D,MATCH(MEDIÇÃO!K1341,'LEV R&amp;D'!$A:$A,0))-INDEX('PROJETO PERFURAÇÃO'!$AH:$AH,MATCH(MEDIÇÃO!K1341,'PROJETO PERFURAÇÃO'!$B:$B,0)),"")</f>
        <v/>
      </c>
      <c r="M1341" s="8" t="str">
        <f>IFERROR(INDEX('PROJETO PERFURAÇÃO'!$AN:$AN,MATCH(MEDIÇÃO!K1341,'PROJETO PERFURAÇÃO'!$B:$B,0)),"")</f>
        <v/>
      </c>
      <c r="N1341" s="3"/>
      <c r="O1341" s="3"/>
      <c r="P1341" s="3" t="str">
        <f>IFERROR(ROUND(INDEX('PROJETO PERFURAÇÃO'!$AB:$AB,MATCH(MEDIÇÃO!R1341,'PROJETO PERFURAÇÃO'!$B:$B,0)),1)&amp;"''","")</f>
        <v/>
      </c>
      <c r="Q1341" s="3" t="str">
        <f>IFERROR(IF(INDEX('PROJETO PERFURAÇÃO'!$P:$P,MATCH(MEDIÇÃO!R1341,'PROJETO PERFURAÇÃO'!$B:$B,0))="Production","P",IF(INDEX('PROJETO PERFURAÇÃO'!$P:$P,MATCH(MEDIÇÃO!R1341,'PROJETO PERFURAÇÃO'!$B:$B,0))="Buffer","B",IF(INDEX('PROJETO PERFURAÇÃO'!$P:$P,MATCH(MEDIÇÃO!R1341,'PROJETO PERFURAÇÃO'!$B:$B,0))="Pre-Splitting","S"))),"")</f>
        <v/>
      </c>
      <c r="R1341" s="14">
        <f t="shared" si="131"/>
        <v>3017</v>
      </c>
      <c r="S1341" s="4" t="str">
        <f>IFERROR(INDEX('LEV R&amp;D'!$D:$D,MATCH(MEDIÇÃO!R1341,'LEV R&amp;D'!$A:$A,0))-INDEX('PROJETO PERFURAÇÃO'!$AH:$AH,MATCH(MEDIÇÃO!R1341,'PROJETO PERFURAÇÃO'!$B:$B,0)),"")</f>
        <v/>
      </c>
      <c r="T1341" s="8" t="str">
        <f>IFERROR(INDEX('PROJETO PERFURAÇÃO'!$AN:$AN,MATCH(MEDIÇÃO!R1341,'PROJETO PERFURAÇÃO'!$B:$B,0)),"")</f>
        <v/>
      </c>
      <c r="U1341" s="3"/>
      <c r="V1341" s="3"/>
    </row>
    <row r="1342" spans="1:23" ht="45" customHeight="1" x14ac:dyDescent="0.25">
      <c r="B1342" s="3" t="str">
        <f>IFERROR(ROUND(INDEX('PROJETO PERFURAÇÃO'!$AB:$AB,MATCH(MEDIÇÃO!D1342,'PROJETO PERFURAÇÃO'!$B:$B,0)),1)&amp;"''","")</f>
        <v/>
      </c>
      <c r="C1342" s="3" t="str">
        <f>IFERROR(IF(INDEX('PROJETO PERFURAÇÃO'!$P:$P,MATCH(MEDIÇÃO!D1342,'PROJETO PERFURAÇÃO'!$B:$B,0))="Production","P",IF(INDEX('PROJETO PERFURAÇÃO'!$P:$P,MATCH(MEDIÇÃO!D1342,'PROJETO PERFURAÇÃO'!$B:$B,0))="Buffer","B",IF(INDEX('PROJETO PERFURAÇÃO'!$P:$P,MATCH(MEDIÇÃO!D1342,'PROJETO PERFURAÇÃO'!$B:$B,0))="Pre-Splitting","S"))),"")</f>
        <v/>
      </c>
      <c r="D1342" s="14">
        <f t="shared" si="129"/>
        <v>2972</v>
      </c>
      <c r="E1342" s="4" t="str">
        <f>IFERROR(INDEX('LEV R&amp;D'!$D:$D,MATCH(MEDIÇÃO!D1342,'LEV R&amp;D'!$A:$A,0))-INDEX('PROJETO PERFURAÇÃO'!$AH:$AH,MATCH(MEDIÇÃO!D1342,'PROJETO PERFURAÇÃO'!$B:$B,0)),"")</f>
        <v/>
      </c>
      <c r="F1342" s="8" t="str">
        <f>IFERROR(INDEX('PROJETO PERFURAÇÃO'!$AN:$AN,MATCH(MEDIÇÃO!D1342,'PROJETO PERFURAÇÃO'!$B:$B,0)),"")</f>
        <v/>
      </c>
      <c r="G1342" s="3"/>
      <c r="H1342" s="3"/>
      <c r="I1342" s="3" t="str">
        <f>IFERROR(ROUND(INDEX('PROJETO PERFURAÇÃO'!$AB:$AB,MATCH(MEDIÇÃO!K1342,'PROJETO PERFURAÇÃO'!$B:$B,0)),1)&amp;"''","")</f>
        <v/>
      </c>
      <c r="J1342" s="3" t="str">
        <f>IFERROR(IF(INDEX('PROJETO PERFURAÇÃO'!$P:$P,MATCH(MEDIÇÃO!K1342,'PROJETO PERFURAÇÃO'!$B:$B,0))="Production","P",IF(INDEX('PROJETO PERFURAÇÃO'!$P:$P,MATCH(MEDIÇÃO!K1342,'PROJETO PERFURAÇÃO'!$B:$B,0))="Buffer","B",IF(INDEX('PROJETO PERFURAÇÃO'!$P:$P,MATCH(MEDIÇÃO!K1342,'PROJETO PERFURAÇÃO'!$B:$B,0))="Pre-Splitting","S"))),"")</f>
        <v/>
      </c>
      <c r="K1342" s="14">
        <f t="shared" si="130"/>
        <v>2995</v>
      </c>
      <c r="L1342" s="4" t="str">
        <f>IFERROR(INDEX('LEV R&amp;D'!$D:$D,MATCH(MEDIÇÃO!K1342,'LEV R&amp;D'!$A:$A,0))-INDEX('PROJETO PERFURAÇÃO'!$AH:$AH,MATCH(MEDIÇÃO!K1342,'PROJETO PERFURAÇÃO'!$B:$B,0)),"")</f>
        <v/>
      </c>
      <c r="M1342" s="8" t="str">
        <f>IFERROR(INDEX('PROJETO PERFURAÇÃO'!$AN:$AN,MATCH(MEDIÇÃO!K1342,'PROJETO PERFURAÇÃO'!$B:$B,0)),"")</f>
        <v/>
      </c>
      <c r="N1342" s="3"/>
      <c r="O1342" s="3"/>
      <c r="P1342" s="3" t="str">
        <f>IFERROR(ROUND(INDEX('PROJETO PERFURAÇÃO'!$AB:$AB,MATCH(MEDIÇÃO!R1342,'PROJETO PERFURAÇÃO'!$B:$B,0)),1)&amp;"''","")</f>
        <v/>
      </c>
      <c r="Q1342" s="3" t="str">
        <f>IFERROR(IF(INDEX('PROJETO PERFURAÇÃO'!$P:$P,MATCH(MEDIÇÃO!R1342,'PROJETO PERFURAÇÃO'!$B:$B,0))="Production","P",IF(INDEX('PROJETO PERFURAÇÃO'!$P:$P,MATCH(MEDIÇÃO!R1342,'PROJETO PERFURAÇÃO'!$B:$B,0))="Buffer","B",IF(INDEX('PROJETO PERFURAÇÃO'!$P:$P,MATCH(MEDIÇÃO!R1342,'PROJETO PERFURAÇÃO'!$B:$B,0))="Pre-Splitting","S"))),"")</f>
        <v/>
      </c>
      <c r="R1342" s="14">
        <f t="shared" si="131"/>
        <v>3018</v>
      </c>
      <c r="S1342" s="4" t="str">
        <f>IFERROR(INDEX('LEV R&amp;D'!$D:$D,MATCH(MEDIÇÃO!R1342,'LEV R&amp;D'!$A:$A,0))-INDEX('PROJETO PERFURAÇÃO'!$AH:$AH,MATCH(MEDIÇÃO!R1342,'PROJETO PERFURAÇÃO'!$B:$B,0)),"")</f>
        <v/>
      </c>
      <c r="T1342" s="8" t="str">
        <f>IFERROR(INDEX('PROJETO PERFURAÇÃO'!$AN:$AN,MATCH(MEDIÇÃO!R1342,'PROJETO PERFURAÇÃO'!$B:$B,0)),"")</f>
        <v/>
      </c>
      <c r="U1342" s="3"/>
      <c r="V1342" s="3"/>
    </row>
    <row r="1343" spans="1:23" ht="45" customHeight="1" x14ac:dyDescent="0.25">
      <c r="B1343" s="3" t="str">
        <f>IFERROR(ROUND(INDEX('PROJETO PERFURAÇÃO'!$AB:$AB,MATCH(MEDIÇÃO!D1343,'PROJETO PERFURAÇÃO'!$B:$B,0)),1)&amp;"''","")</f>
        <v/>
      </c>
      <c r="C1343" s="3" t="str">
        <f>IFERROR(IF(INDEX('PROJETO PERFURAÇÃO'!$P:$P,MATCH(MEDIÇÃO!D1343,'PROJETO PERFURAÇÃO'!$B:$B,0))="Production","P",IF(INDEX('PROJETO PERFURAÇÃO'!$P:$P,MATCH(MEDIÇÃO!D1343,'PROJETO PERFURAÇÃO'!$B:$B,0))="Buffer","B",IF(INDEX('PROJETO PERFURAÇÃO'!$P:$P,MATCH(MEDIÇÃO!D1343,'PROJETO PERFURAÇÃO'!$B:$B,0))="Pre-Splitting","S"))),"")</f>
        <v/>
      </c>
      <c r="D1343" s="14">
        <f t="shared" si="129"/>
        <v>2973</v>
      </c>
      <c r="E1343" s="4" t="str">
        <f>IFERROR(INDEX('LEV R&amp;D'!$D:$D,MATCH(MEDIÇÃO!D1343,'LEV R&amp;D'!$A:$A,0))-INDEX('PROJETO PERFURAÇÃO'!$AH:$AH,MATCH(MEDIÇÃO!D1343,'PROJETO PERFURAÇÃO'!$B:$B,0)),"")</f>
        <v/>
      </c>
      <c r="F1343" s="8" t="str">
        <f>IFERROR(INDEX('PROJETO PERFURAÇÃO'!$AN:$AN,MATCH(MEDIÇÃO!D1343,'PROJETO PERFURAÇÃO'!$B:$B,0)),"")</f>
        <v/>
      </c>
      <c r="G1343" s="3"/>
      <c r="H1343" s="3"/>
      <c r="I1343" s="3" t="str">
        <f>IFERROR(ROUND(INDEX('PROJETO PERFURAÇÃO'!$AB:$AB,MATCH(MEDIÇÃO!K1343,'PROJETO PERFURAÇÃO'!$B:$B,0)),1)&amp;"''","")</f>
        <v/>
      </c>
      <c r="J1343" s="3" t="str">
        <f>IFERROR(IF(INDEX('PROJETO PERFURAÇÃO'!$P:$P,MATCH(MEDIÇÃO!K1343,'PROJETO PERFURAÇÃO'!$B:$B,0))="Production","P",IF(INDEX('PROJETO PERFURAÇÃO'!$P:$P,MATCH(MEDIÇÃO!K1343,'PROJETO PERFURAÇÃO'!$B:$B,0))="Buffer","B",IF(INDEX('PROJETO PERFURAÇÃO'!$P:$P,MATCH(MEDIÇÃO!K1343,'PROJETO PERFURAÇÃO'!$B:$B,0))="Pre-Splitting","S"))),"")</f>
        <v/>
      </c>
      <c r="K1343" s="14">
        <f t="shared" si="130"/>
        <v>2996</v>
      </c>
      <c r="L1343" s="4" t="str">
        <f>IFERROR(INDEX('LEV R&amp;D'!$D:$D,MATCH(MEDIÇÃO!K1343,'LEV R&amp;D'!$A:$A,0))-INDEX('PROJETO PERFURAÇÃO'!$AH:$AH,MATCH(MEDIÇÃO!K1343,'PROJETO PERFURAÇÃO'!$B:$B,0)),"")</f>
        <v/>
      </c>
      <c r="M1343" s="8" t="str">
        <f>IFERROR(INDEX('PROJETO PERFURAÇÃO'!$AN:$AN,MATCH(MEDIÇÃO!K1343,'PROJETO PERFURAÇÃO'!$B:$B,0)),"")</f>
        <v/>
      </c>
      <c r="N1343" s="3"/>
      <c r="O1343" s="3"/>
      <c r="P1343" s="3" t="str">
        <f>IFERROR(ROUND(INDEX('PROJETO PERFURAÇÃO'!$AB:$AB,MATCH(MEDIÇÃO!R1343,'PROJETO PERFURAÇÃO'!$B:$B,0)),1)&amp;"''","")</f>
        <v/>
      </c>
      <c r="Q1343" s="3" t="str">
        <f>IFERROR(IF(INDEX('PROJETO PERFURAÇÃO'!$P:$P,MATCH(MEDIÇÃO!R1343,'PROJETO PERFURAÇÃO'!$B:$B,0))="Production","P",IF(INDEX('PROJETO PERFURAÇÃO'!$P:$P,MATCH(MEDIÇÃO!R1343,'PROJETO PERFURAÇÃO'!$B:$B,0))="Buffer","B",IF(INDEX('PROJETO PERFURAÇÃO'!$P:$P,MATCH(MEDIÇÃO!R1343,'PROJETO PERFURAÇÃO'!$B:$B,0))="Pre-Splitting","S"))),"")</f>
        <v/>
      </c>
      <c r="R1343" s="14">
        <f t="shared" si="131"/>
        <v>3019</v>
      </c>
      <c r="S1343" s="4" t="str">
        <f>IFERROR(INDEX('LEV R&amp;D'!$D:$D,MATCH(MEDIÇÃO!R1343,'LEV R&amp;D'!$A:$A,0))-INDEX('PROJETO PERFURAÇÃO'!$AH:$AH,MATCH(MEDIÇÃO!R1343,'PROJETO PERFURAÇÃO'!$B:$B,0)),"")</f>
        <v/>
      </c>
      <c r="T1343" s="8" t="str">
        <f>IFERROR(INDEX('PROJETO PERFURAÇÃO'!$AN:$AN,MATCH(MEDIÇÃO!R1343,'PROJETO PERFURAÇÃO'!$B:$B,0)),"")</f>
        <v/>
      </c>
      <c r="U1343" s="3"/>
      <c r="V1343" s="3"/>
    </row>
    <row r="1344" spans="1:23" ht="45" customHeight="1" x14ac:dyDescent="0.25">
      <c r="B1344" s="3" t="str">
        <f>IFERROR(ROUND(INDEX('PROJETO PERFURAÇÃO'!$AB:$AB,MATCH(MEDIÇÃO!D1344,'PROJETO PERFURAÇÃO'!$B:$B,0)),1)&amp;"''","")</f>
        <v/>
      </c>
      <c r="C1344" s="3" t="str">
        <f>IFERROR(IF(INDEX('PROJETO PERFURAÇÃO'!$P:$P,MATCH(MEDIÇÃO!D1344,'PROJETO PERFURAÇÃO'!$B:$B,0))="Production","P",IF(INDEX('PROJETO PERFURAÇÃO'!$P:$P,MATCH(MEDIÇÃO!D1344,'PROJETO PERFURAÇÃO'!$B:$B,0))="Buffer","B",IF(INDEX('PROJETO PERFURAÇÃO'!$P:$P,MATCH(MEDIÇÃO!D1344,'PROJETO PERFURAÇÃO'!$B:$B,0))="Pre-Splitting","S"))),"")</f>
        <v/>
      </c>
      <c r="D1344" s="14">
        <f t="shared" si="129"/>
        <v>2974</v>
      </c>
      <c r="E1344" s="4" t="str">
        <f>IFERROR(INDEX('LEV R&amp;D'!$D:$D,MATCH(MEDIÇÃO!D1344,'LEV R&amp;D'!$A:$A,0))-INDEX('PROJETO PERFURAÇÃO'!$AH:$AH,MATCH(MEDIÇÃO!D1344,'PROJETO PERFURAÇÃO'!$B:$B,0)),"")</f>
        <v/>
      </c>
      <c r="F1344" s="8" t="str">
        <f>IFERROR(INDEX('PROJETO PERFURAÇÃO'!$AN:$AN,MATCH(MEDIÇÃO!D1344,'PROJETO PERFURAÇÃO'!$B:$B,0)),"")</f>
        <v/>
      </c>
      <c r="G1344" s="3"/>
      <c r="H1344" s="3"/>
      <c r="I1344" s="3" t="str">
        <f>IFERROR(ROUND(INDEX('PROJETO PERFURAÇÃO'!$AB:$AB,MATCH(MEDIÇÃO!K1344,'PROJETO PERFURAÇÃO'!$B:$B,0)),1)&amp;"''","")</f>
        <v/>
      </c>
      <c r="J1344" s="3" t="str">
        <f>IFERROR(IF(INDEX('PROJETO PERFURAÇÃO'!$P:$P,MATCH(MEDIÇÃO!K1344,'PROJETO PERFURAÇÃO'!$B:$B,0))="Production","P",IF(INDEX('PROJETO PERFURAÇÃO'!$P:$P,MATCH(MEDIÇÃO!K1344,'PROJETO PERFURAÇÃO'!$B:$B,0))="Buffer","B",IF(INDEX('PROJETO PERFURAÇÃO'!$P:$P,MATCH(MEDIÇÃO!K1344,'PROJETO PERFURAÇÃO'!$B:$B,0))="Pre-Splitting","S"))),"")</f>
        <v/>
      </c>
      <c r="K1344" s="14">
        <f t="shared" si="130"/>
        <v>2997</v>
      </c>
      <c r="L1344" s="4" t="str">
        <f>IFERROR(INDEX('LEV R&amp;D'!$D:$D,MATCH(MEDIÇÃO!K1344,'LEV R&amp;D'!$A:$A,0))-INDEX('PROJETO PERFURAÇÃO'!$AH:$AH,MATCH(MEDIÇÃO!K1344,'PROJETO PERFURAÇÃO'!$B:$B,0)),"")</f>
        <v/>
      </c>
      <c r="M1344" s="8" t="str">
        <f>IFERROR(INDEX('PROJETO PERFURAÇÃO'!$AN:$AN,MATCH(MEDIÇÃO!K1344,'PROJETO PERFURAÇÃO'!$B:$B,0)),"")</f>
        <v/>
      </c>
      <c r="N1344" s="3"/>
      <c r="O1344" s="3"/>
      <c r="P1344" s="3" t="str">
        <f>IFERROR(ROUND(INDEX('PROJETO PERFURAÇÃO'!$AB:$AB,MATCH(MEDIÇÃO!R1344,'PROJETO PERFURAÇÃO'!$B:$B,0)),1)&amp;"''","")</f>
        <v/>
      </c>
      <c r="Q1344" s="3" t="str">
        <f>IFERROR(IF(INDEX('PROJETO PERFURAÇÃO'!$P:$P,MATCH(MEDIÇÃO!R1344,'PROJETO PERFURAÇÃO'!$B:$B,0))="Production","P",IF(INDEX('PROJETO PERFURAÇÃO'!$P:$P,MATCH(MEDIÇÃO!R1344,'PROJETO PERFURAÇÃO'!$B:$B,0))="Buffer","B",IF(INDEX('PROJETO PERFURAÇÃO'!$P:$P,MATCH(MEDIÇÃO!R1344,'PROJETO PERFURAÇÃO'!$B:$B,0))="Pre-Splitting","S"))),"")</f>
        <v/>
      </c>
      <c r="R1344" s="14">
        <f t="shared" si="131"/>
        <v>3020</v>
      </c>
      <c r="S1344" s="4" t="str">
        <f>IFERROR(INDEX('LEV R&amp;D'!$D:$D,MATCH(MEDIÇÃO!R1344,'LEV R&amp;D'!$A:$A,0))-INDEX('PROJETO PERFURAÇÃO'!$AH:$AH,MATCH(MEDIÇÃO!R1344,'PROJETO PERFURAÇÃO'!$B:$B,0)),"")</f>
        <v/>
      </c>
      <c r="T1344" s="8" t="str">
        <f>IFERROR(INDEX('PROJETO PERFURAÇÃO'!$AN:$AN,MATCH(MEDIÇÃO!R1344,'PROJETO PERFURAÇÃO'!$B:$B,0)),"")</f>
        <v/>
      </c>
      <c r="U1344" s="3"/>
      <c r="V1344" s="3"/>
    </row>
    <row r="1345" spans="2:22" ht="45" customHeight="1" x14ac:dyDescent="0.25">
      <c r="B1345" s="3" t="str">
        <f>IFERROR(ROUND(INDEX('PROJETO PERFURAÇÃO'!$AB:$AB,MATCH(MEDIÇÃO!D1345,'PROJETO PERFURAÇÃO'!$B:$B,0)),1)&amp;"''","")</f>
        <v/>
      </c>
      <c r="C1345" s="3" t="str">
        <f>IFERROR(IF(INDEX('PROJETO PERFURAÇÃO'!$P:$P,MATCH(MEDIÇÃO!D1345,'PROJETO PERFURAÇÃO'!$B:$B,0))="Production","P",IF(INDEX('PROJETO PERFURAÇÃO'!$P:$P,MATCH(MEDIÇÃO!D1345,'PROJETO PERFURAÇÃO'!$B:$B,0))="Buffer","B",IF(INDEX('PROJETO PERFURAÇÃO'!$P:$P,MATCH(MEDIÇÃO!D1345,'PROJETO PERFURAÇÃO'!$B:$B,0))="Pre-Splitting","S"))),"")</f>
        <v/>
      </c>
      <c r="D1345" s="14">
        <f t="shared" si="129"/>
        <v>2975</v>
      </c>
      <c r="E1345" s="4" t="str">
        <f>IFERROR(INDEX('LEV R&amp;D'!$D:$D,MATCH(MEDIÇÃO!D1345,'LEV R&amp;D'!$A:$A,0))-INDEX('PROJETO PERFURAÇÃO'!$AH:$AH,MATCH(MEDIÇÃO!D1345,'PROJETO PERFURAÇÃO'!$B:$B,0)),"")</f>
        <v/>
      </c>
      <c r="F1345" s="8" t="str">
        <f>IFERROR(INDEX('PROJETO PERFURAÇÃO'!$AN:$AN,MATCH(MEDIÇÃO!D1345,'PROJETO PERFURAÇÃO'!$B:$B,0)),"")</f>
        <v/>
      </c>
      <c r="G1345" s="3"/>
      <c r="H1345" s="3"/>
      <c r="I1345" s="3" t="str">
        <f>IFERROR(ROUND(INDEX('PROJETO PERFURAÇÃO'!$AB:$AB,MATCH(MEDIÇÃO!K1345,'PROJETO PERFURAÇÃO'!$B:$B,0)),1)&amp;"''","")</f>
        <v/>
      </c>
      <c r="J1345" s="3" t="str">
        <f>IFERROR(IF(INDEX('PROJETO PERFURAÇÃO'!$P:$P,MATCH(MEDIÇÃO!K1345,'PROJETO PERFURAÇÃO'!$B:$B,0))="Production","P",IF(INDEX('PROJETO PERFURAÇÃO'!$P:$P,MATCH(MEDIÇÃO!K1345,'PROJETO PERFURAÇÃO'!$B:$B,0))="Buffer","B",IF(INDEX('PROJETO PERFURAÇÃO'!$P:$P,MATCH(MEDIÇÃO!K1345,'PROJETO PERFURAÇÃO'!$B:$B,0))="Pre-Splitting","S"))),"")</f>
        <v/>
      </c>
      <c r="K1345" s="14">
        <f t="shared" si="130"/>
        <v>2998</v>
      </c>
      <c r="L1345" s="4" t="str">
        <f>IFERROR(INDEX('LEV R&amp;D'!$D:$D,MATCH(MEDIÇÃO!K1345,'LEV R&amp;D'!$A:$A,0))-INDEX('PROJETO PERFURAÇÃO'!$AH:$AH,MATCH(MEDIÇÃO!K1345,'PROJETO PERFURAÇÃO'!$B:$B,0)),"")</f>
        <v/>
      </c>
      <c r="M1345" s="8" t="str">
        <f>IFERROR(INDEX('PROJETO PERFURAÇÃO'!$AN:$AN,MATCH(MEDIÇÃO!K1345,'PROJETO PERFURAÇÃO'!$B:$B,0)),"")</f>
        <v/>
      </c>
      <c r="N1345" s="3"/>
      <c r="O1345" s="3"/>
      <c r="P1345" s="3" t="str">
        <f>IFERROR(ROUND(INDEX('PROJETO PERFURAÇÃO'!$AB:$AB,MATCH(MEDIÇÃO!R1345,'PROJETO PERFURAÇÃO'!$B:$B,0)),1)&amp;"''","")</f>
        <v/>
      </c>
      <c r="Q1345" s="3" t="str">
        <f>IFERROR(IF(INDEX('PROJETO PERFURAÇÃO'!$P:$P,MATCH(MEDIÇÃO!R1345,'PROJETO PERFURAÇÃO'!$B:$B,0))="Production","P",IF(INDEX('PROJETO PERFURAÇÃO'!$P:$P,MATCH(MEDIÇÃO!R1345,'PROJETO PERFURAÇÃO'!$B:$B,0))="Buffer","B",IF(INDEX('PROJETO PERFURAÇÃO'!$P:$P,MATCH(MEDIÇÃO!R1345,'PROJETO PERFURAÇÃO'!$B:$B,0))="Pre-Splitting","S"))),"")</f>
        <v/>
      </c>
      <c r="R1345" s="14">
        <f t="shared" si="131"/>
        <v>3021</v>
      </c>
      <c r="S1345" s="4" t="str">
        <f>IFERROR(INDEX('LEV R&amp;D'!$D:$D,MATCH(MEDIÇÃO!R1345,'LEV R&amp;D'!$A:$A,0))-INDEX('PROJETO PERFURAÇÃO'!$AH:$AH,MATCH(MEDIÇÃO!R1345,'PROJETO PERFURAÇÃO'!$B:$B,0)),"")</f>
        <v/>
      </c>
      <c r="T1345" s="8" t="str">
        <f>IFERROR(INDEX('PROJETO PERFURAÇÃO'!$AN:$AN,MATCH(MEDIÇÃO!R1345,'PROJETO PERFURAÇÃO'!$B:$B,0)),"")</f>
        <v/>
      </c>
      <c r="U1345" s="3"/>
      <c r="V1345" s="3"/>
    </row>
    <row r="1346" spans="2:22" ht="45" customHeight="1" x14ac:dyDescent="0.25">
      <c r="B1346" s="3" t="str">
        <f>IFERROR(ROUND(INDEX('PROJETO PERFURAÇÃO'!$AB:$AB,MATCH(MEDIÇÃO!D1346,'PROJETO PERFURAÇÃO'!$B:$B,0)),1)&amp;"''","")</f>
        <v/>
      </c>
      <c r="C1346" s="3" t="str">
        <f>IFERROR(IF(INDEX('PROJETO PERFURAÇÃO'!$P:$P,MATCH(MEDIÇÃO!D1346,'PROJETO PERFURAÇÃO'!$B:$B,0))="Production","P",IF(INDEX('PROJETO PERFURAÇÃO'!$P:$P,MATCH(MEDIÇÃO!D1346,'PROJETO PERFURAÇÃO'!$B:$B,0))="Buffer","B",IF(INDEX('PROJETO PERFURAÇÃO'!$P:$P,MATCH(MEDIÇÃO!D1346,'PROJETO PERFURAÇÃO'!$B:$B,0))="Pre-Splitting","S"))),"")</f>
        <v/>
      </c>
      <c r="D1346" s="14">
        <f t="shared" si="129"/>
        <v>2976</v>
      </c>
      <c r="E1346" s="4" t="str">
        <f>IFERROR(INDEX('LEV R&amp;D'!$D:$D,MATCH(MEDIÇÃO!D1346,'LEV R&amp;D'!$A:$A,0))-INDEX('PROJETO PERFURAÇÃO'!$AH:$AH,MATCH(MEDIÇÃO!D1346,'PROJETO PERFURAÇÃO'!$B:$B,0)),"")</f>
        <v/>
      </c>
      <c r="F1346" s="8" t="str">
        <f>IFERROR(INDEX('PROJETO PERFURAÇÃO'!$AN:$AN,MATCH(MEDIÇÃO!D1346,'PROJETO PERFURAÇÃO'!$B:$B,0)),"")</f>
        <v/>
      </c>
      <c r="G1346" s="3"/>
      <c r="H1346" s="3"/>
      <c r="I1346" s="3" t="str">
        <f>IFERROR(ROUND(INDEX('PROJETO PERFURAÇÃO'!$AB:$AB,MATCH(MEDIÇÃO!K1346,'PROJETO PERFURAÇÃO'!$B:$B,0)),1)&amp;"''","")</f>
        <v/>
      </c>
      <c r="J1346" s="3" t="str">
        <f>IFERROR(IF(INDEX('PROJETO PERFURAÇÃO'!$P:$P,MATCH(MEDIÇÃO!K1346,'PROJETO PERFURAÇÃO'!$B:$B,0))="Production","P",IF(INDEX('PROJETO PERFURAÇÃO'!$P:$P,MATCH(MEDIÇÃO!K1346,'PROJETO PERFURAÇÃO'!$B:$B,0))="Buffer","B",IF(INDEX('PROJETO PERFURAÇÃO'!$P:$P,MATCH(MEDIÇÃO!K1346,'PROJETO PERFURAÇÃO'!$B:$B,0))="Pre-Splitting","S"))),"")</f>
        <v/>
      </c>
      <c r="K1346" s="14">
        <f t="shared" si="130"/>
        <v>2999</v>
      </c>
      <c r="L1346" s="4" t="str">
        <f>IFERROR(INDEX('LEV R&amp;D'!$D:$D,MATCH(MEDIÇÃO!K1346,'LEV R&amp;D'!$A:$A,0))-INDEX('PROJETO PERFURAÇÃO'!$AH:$AH,MATCH(MEDIÇÃO!K1346,'PROJETO PERFURAÇÃO'!$B:$B,0)),"")</f>
        <v/>
      </c>
      <c r="M1346" s="8" t="str">
        <f>IFERROR(INDEX('PROJETO PERFURAÇÃO'!$AN:$AN,MATCH(MEDIÇÃO!K1346,'PROJETO PERFURAÇÃO'!$B:$B,0)),"")</f>
        <v/>
      </c>
      <c r="N1346" s="3"/>
      <c r="O1346" s="3"/>
      <c r="P1346" s="3" t="str">
        <f>IFERROR(ROUND(INDEX('PROJETO PERFURAÇÃO'!$AB:$AB,MATCH(MEDIÇÃO!R1346,'PROJETO PERFURAÇÃO'!$B:$B,0)),1)&amp;"''","")</f>
        <v/>
      </c>
      <c r="Q1346" s="3" t="str">
        <f>IFERROR(IF(INDEX('PROJETO PERFURAÇÃO'!$P:$P,MATCH(MEDIÇÃO!R1346,'PROJETO PERFURAÇÃO'!$B:$B,0))="Production","P",IF(INDEX('PROJETO PERFURAÇÃO'!$P:$P,MATCH(MEDIÇÃO!R1346,'PROJETO PERFURAÇÃO'!$B:$B,0))="Buffer","B",IF(INDEX('PROJETO PERFURAÇÃO'!$P:$P,MATCH(MEDIÇÃO!R1346,'PROJETO PERFURAÇÃO'!$B:$B,0))="Pre-Splitting","S"))),"")</f>
        <v/>
      </c>
      <c r="R1346" s="14">
        <f t="shared" si="131"/>
        <v>3022</v>
      </c>
      <c r="S1346" s="4" t="str">
        <f>IFERROR(INDEX('LEV R&amp;D'!$D:$D,MATCH(MEDIÇÃO!R1346,'LEV R&amp;D'!$A:$A,0))-INDEX('PROJETO PERFURAÇÃO'!$AH:$AH,MATCH(MEDIÇÃO!R1346,'PROJETO PERFURAÇÃO'!$B:$B,0)),"")</f>
        <v/>
      </c>
      <c r="T1346" s="8" t="str">
        <f>IFERROR(INDEX('PROJETO PERFURAÇÃO'!$AN:$AN,MATCH(MEDIÇÃO!R1346,'PROJETO PERFURAÇÃO'!$B:$B,0)),"")</f>
        <v/>
      </c>
      <c r="U1346" s="3"/>
      <c r="V1346" s="3"/>
    </row>
    <row r="1347" spans="2:22" ht="45" customHeight="1" x14ac:dyDescent="0.25">
      <c r="B1347" s="3" t="str">
        <f>IFERROR(ROUND(INDEX('PROJETO PERFURAÇÃO'!$AB:$AB,MATCH(MEDIÇÃO!D1347,'PROJETO PERFURAÇÃO'!$B:$B,0)),1)&amp;"''","")</f>
        <v/>
      </c>
      <c r="C1347" s="3" t="str">
        <f>IFERROR(IF(INDEX('PROJETO PERFURAÇÃO'!$P:$P,MATCH(MEDIÇÃO!D1347,'PROJETO PERFURAÇÃO'!$B:$B,0))="Production","P",IF(INDEX('PROJETO PERFURAÇÃO'!$P:$P,MATCH(MEDIÇÃO!D1347,'PROJETO PERFURAÇÃO'!$B:$B,0))="Buffer","B",IF(INDEX('PROJETO PERFURAÇÃO'!$P:$P,MATCH(MEDIÇÃO!D1347,'PROJETO PERFURAÇÃO'!$B:$B,0))="Pre-Splitting","S"))),"")</f>
        <v/>
      </c>
      <c r="D1347" s="14">
        <f t="shared" si="129"/>
        <v>2977</v>
      </c>
      <c r="E1347" s="4" t="str">
        <f>IFERROR(INDEX('LEV R&amp;D'!$D:$D,MATCH(MEDIÇÃO!D1347,'LEV R&amp;D'!$A:$A,0))-INDEX('PROJETO PERFURAÇÃO'!$AH:$AH,MATCH(MEDIÇÃO!D1347,'PROJETO PERFURAÇÃO'!$B:$B,0)),"")</f>
        <v/>
      </c>
      <c r="F1347" s="8" t="str">
        <f>IFERROR(INDEX('PROJETO PERFURAÇÃO'!$AN:$AN,MATCH(MEDIÇÃO!D1347,'PROJETO PERFURAÇÃO'!$B:$B,0)),"")</f>
        <v/>
      </c>
      <c r="G1347" s="3"/>
      <c r="H1347" s="3"/>
      <c r="I1347" s="3" t="str">
        <f>IFERROR(ROUND(INDEX('PROJETO PERFURAÇÃO'!$AB:$AB,MATCH(MEDIÇÃO!K1347,'PROJETO PERFURAÇÃO'!$B:$B,0)),1)&amp;"''","")</f>
        <v/>
      </c>
      <c r="J1347" s="3" t="str">
        <f>IFERROR(IF(INDEX('PROJETO PERFURAÇÃO'!$P:$P,MATCH(MEDIÇÃO!K1347,'PROJETO PERFURAÇÃO'!$B:$B,0))="Production","P",IF(INDEX('PROJETO PERFURAÇÃO'!$P:$P,MATCH(MEDIÇÃO!K1347,'PROJETO PERFURAÇÃO'!$B:$B,0))="Buffer","B",IF(INDEX('PROJETO PERFURAÇÃO'!$P:$P,MATCH(MEDIÇÃO!K1347,'PROJETO PERFURAÇÃO'!$B:$B,0))="Pre-Splitting","S"))),"")</f>
        <v/>
      </c>
      <c r="K1347" s="14">
        <f t="shared" si="130"/>
        <v>3000</v>
      </c>
      <c r="L1347" s="4" t="str">
        <f>IFERROR(INDEX('LEV R&amp;D'!$D:$D,MATCH(MEDIÇÃO!K1347,'LEV R&amp;D'!$A:$A,0))-INDEX('PROJETO PERFURAÇÃO'!$AH:$AH,MATCH(MEDIÇÃO!K1347,'PROJETO PERFURAÇÃO'!$B:$B,0)),"")</f>
        <v/>
      </c>
      <c r="M1347" s="8" t="str">
        <f>IFERROR(INDEX('PROJETO PERFURAÇÃO'!$AN:$AN,MATCH(MEDIÇÃO!K1347,'PROJETO PERFURAÇÃO'!$B:$B,0)),"")</f>
        <v/>
      </c>
      <c r="N1347" s="3"/>
      <c r="O1347" s="3"/>
      <c r="P1347" s="3" t="str">
        <f>IFERROR(ROUND(INDEX('PROJETO PERFURAÇÃO'!$AB:$AB,MATCH(MEDIÇÃO!R1347,'PROJETO PERFURAÇÃO'!$B:$B,0)),1)&amp;"''","")</f>
        <v/>
      </c>
      <c r="Q1347" s="3" t="str">
        <f>IFERROR(IF(INDEX('PROJETO PERFURAÇÃO'!$P:$P,MATCH(MEDIÇÃO!R1347,'PROJETO PERFURAÇÃO'!$B:$B,0))="Production","P",IF(INDEX('PROJETO PERFURAÇÃO'!$P:$P,MATCH(MEDIÇÃO!R1347,'PROJETO PERFURAÇÃO'!$B:$B,0))="Buffer","B",IF(INDEX('PROJETO PERFURAÇÃO'!$P:$P,MATCH(MEDIÇÃO!R1347,'PROJETO PERFURAÇÃO'!$B:$B,0))="Pre-Splitting","S"))),"")</f>
        <v/>
      </c>
      <c r="R1347" s="14">
        <f t="shared" si="131"/>
        <v>3023</v>
      </c>
      <c r="S1347" s="4" t="str">
        <f>IFERROR(INDEX('LEV R&amp;D'!$D:$D,MATCH(MEDIÇÃO!R1347,'LEV R&amp;D'!$A:$A,0))-INDEX('PROJETO PERFURAÇÃO'!$AH:$AH,MATCH(MEDIÇÃO!R1347,'PROJETO PERFURAÇÃO'!$B:$B,0)),"")</f>
        <v/>
      </c>
      <c r="T1347" s="8" t="str">
        <f>IFERROR(INDEX('PROJETO PERFURAÇÃO'!$AN:$AN,MATCH(MEDIÇÃO!R1347,'PROJETO PERFURAÇÃO'!$B:$B,0)),"")</f>
        <v/>
      </c>
      <c r="U1347" s="3"/>
      <c r="V1347" s="3"/>
    </row>
    <row r="1348" spans="2:22" ht="45" customHeight="1" x14ac:dyDescent="0.25">
      <c r="B1348" s="3" t="str">
        <f>IFERROR(ROUND(INDEX('PROJETO PERFURAÇÃO'!$AB:$AB,MATCH(MEDIÇÃO!D1348,'PROJETO PERFURAÇÃO'!$B:$B,0)),1)&amp;"''","")</f>
        <v/>
      </c>
      <c r="C1348" s="3" t="str">
        <f>IFERROR(IF(INDEX('PROJETO PERFURAÇÃO'!$P:$P,MATCH(MEDIÇÃO!D1348,'PROJETO PERFURAÇÃO'!$B:$B,0))="Production","P",IF(INDEX('PROJETO PERFURAÇÃO'!$P:$P,MATCH(MEDIÇÃO!D1348,'PROJETO PERFURAÇÃO'!$B:$B,0))="Buffer","B",IF(INDEX('PROJETO PERFURAÇÃO'!$P:$P,MATCH(MEDIÇÃO!D1348,'PROJETO PERFURAÇÃO'!$B:$B,0))="Pre-Splitting","S"))),"")</f>
        <v/>
      </c>
      <c r="D1348" s="14">
        <f t="shared" si="129"/>
        <v>2978</v>
      </c>
      <c r="E1348" s="4" t="str">
        <f>IFERROR(INDEX('LEV R&amp;D'!$D:$D,MATCH(MEDIÇÃO!D1348,'LEV R&amp;D'!$A:$A,0))-INDEX('PROJETO PERFURAÇÃO'!$AH:$AH,MATCH(MEDIÇÃO!D1348,'PROJETO PERFURAÇÃO'!$B:$B,0)),"")</f>
        <v/>
      </c>
      <c r="F1348" s="8" t="str">
        <f>IFERROR(INDEX('PROJETO PERFURAÇÃO'!$AN:$AN,MATCH(MEDIÇÃO!D1348,'PROJETO PERFURAÇÃO'!$B:$B,0)),"")</f>
        <v/>
      </c>
      <c r="G1348" s="3"/>
      <c r="H1348" s="3"/>
      <c r="I1348" s="3" t="str">
        <f>IFERROR(ROUND(INDEX('PROJETO PERFURAÇÃO'!$AB:$AB,MATCH(MEDIÇÃO!K1348,'PROJETO PERFURAÇÃO'!$B:$B,0)),1)&amp;"''","")</f>
        <v/>
      </c>
      <c r="J1348" s="3" t="str">
        <f>IFERROR(IF(INDEX('PROJETO PERFURAÇÃO'!$P:$P,MATCH(MEDIÇÃO!K1348,'PROJETO PERFURAÇÃO'!$B:$B,0))="Production","P",IF(INDEX('PROJETO PERFURAÇÃO'!$P:$P,MATCH(MEDIÇÃO!K1348,'PROJETO PERFURAÇÃO'!$B:$B,0))="Buffer","B",IF(INDEX('PROJETO PERFURAÇÃO'!$P:$P,MATCH(MEDIÇÃO!K1348,'PROJETO PERFURAÇÃO'!$B:$B,0))="Pre-Splitting","S"))),"")</f>
        <v/>
      </c>
      <c r="K1348" s="14">
        <f t="shared" si="130"/>
        <v>3001</v>
      </c>
      <c r="L1348" s="4" t="str">
        <f>IFERROR(INDEX('LEV R&amp;D'!$D:$D,MATCH(MEDIÇÃO!K1348,'LEV R&amp;D'!$A:$A,0))-INDEX('PROJETO PERFURAÇÃO'!$AH:$AH,MATCH(MEDIÇÃO!K1348,'PROJETO PERFURAÇÃO'!$B:$B,0)),"")</f>
        <v/>
      </c>
      <c r="M1348" s="8" t="str">
        <f>IFERROR(INDEX('PROJETO PERFURAÇÃO'!$AN:$AN,MATCH(MEDIÇÃO!K1348,'PROJETO PERFURAÇÃO'!$B:$B,0)),"")</f>
        <v/>
      </c>
      <c r="N1348" s="3"/>
      <c r="O1348" s="3"/>
      <c r="P1348" s="3" t="str">
        <f>IFERROR(ROUND(INDEX('PROJETO PERFURAÇÃO'!$AB:$AB,MATCH(MEDIÇÃO!R1348,'PROJETO PERFURAÇÃO'!$B:$B,0)),1)&amp;"''","")</f>
        <v/>
      </c>
      <c r="Q1348" s="3" t="str">
        <f>IFERROR(IF(INDEX('PROJETO PERFURAÇÃO'!$P:$P,MATCH(MEDIÇÃO!R1348,'PROJETO PERFURAÇÃO'!$B:$B,0))="Production","P",IF(INDEX('PROJETO PERFURAÇÃO'!$P:$P,MATCH(MEDIÇÃO!R1348,'PROJETO PERFURAÇÃO'!$B:$B,0))="Buffer","B",IF(INDEX('PROJETO PERFURAÇÃO'!$P:$P,MATCH(MEDIÇÃO!R1348,'PROJETO PERFURAÇÃO'!$B:$B,0))="Pre-Splitting","S"))),"")</f>
        <v/>
      </c>
      <c r="R1348" s="14">
        <f t="shared" si="131"/>
        <v>3024</v>
      </c>
      <c r="S1348" s="4" t="str">
        <f>IFERROR(INDEX('LEV R&amp;D'!$D:$D,MATCH(MEDIÇÃO!R1348,'LEV R&amp;D'!$A:$A,0))-INDEX('PROJETO PERFURAÇÃO'!$AH:$AH,MATCH(MEDIÇÃO!R1348,'PROJETO PERFURAÇÃO'!$B:$B,0)),"")</f>
        <v/>
      </c>
      <c r="T1348" s="8" t="str">
        <f>IFERROR(INDEX('PROJETO PERFURAÇÃO'!$AN:$AN,MATCH(MEDIÇÃO!R1348,'PROJETO PERFURAÇÃO'!$B:$B,0)),"")</f>
        <v/>
      </c>
      <c r="U1348" s="3"/>
      <c r="V1348" s="3"/>
    </row>
    <row r="1349" spans="2:22" ht="45" customHeight="1" x14ac:dyDescent="0.25">
      <c r="B1349" s="3" t="str">
        <f>IFERROR(ROUND(INDEX('PROJETO PERFURAÇÃO'!$AB:$AB,MATCH(MEDIÇÃO!D1349,'PROJETO PERFURAÇÃO'!$B:$B,0)),1)&amp;"''","")</f>
        <v/>
      </c>
      <c r="C1349" s="3" t="str">
        <f>IFERROR(IF(INDEX('PROJETO PERFURAÇÃO'!$P:$P,MATCH(MEDIÇÃO!D1349,'PROJETO PERFURAÇÃO'!$B:$B,0))="Production","P",IF(INDEX('PROJETO PERFURAÇÃO'!$P:$P,MATCH(MEDIÇÃO!D1349,'PROJETO PERFURAÇÃO'!$B:$B,0))="Buffer","B",IF(INDEX('PROJETO PERFURAÇÃO'!$P:$P,MATCH(MEDIÇÃO!D1349,'PROJETO PERFURAÇÃO'!$B:$B,0))="Pre-Splitting","S"))),"")</f>
        <v/>
      </c>
      <c r="D1349" s="14">
        <f t="shared" si="129"/>
        <v>2979</v>
      </c>
      <c r="E1349" s="4" t="str">
        <f>IFERROR(INDEX('LEV R&amp;D'!$D:$D,MATCH(MEDIÇÃO!D1349,'LEV R&amp;D'!$A:$A,0))-INDEX('PROJETO PERFURAÇÃO'!$AH:$AH,MATCH(MEDIÇÃO!D1349,'PROJETO PERFURAÇÃO'!$B:$B,0)),"")</f>
        <v/>
      </c>
      <c r="F1349" s="8" t="str">
        <f>IFERROR(INDEX('PROJETO PERFURAÇÃO'!$AN:$AN,MATCH(MEDIÇÃO!D1349,'PROJETO PERFURAÇÃO'!$B:$B,0)),"")</f>
        <v/>
      </c>
      <c r="G1349" s="3"/>
      <c r="H1349" s="3"/>
      <c r="I1349" s="3" t="str">
        <f>IFERROR(ROUND(INDEX('PROJETO PERFURAÇÃO'!$AB:$AB,MATCH(MEDIÇÃO!K1349,'PROJETO PERFURAÇÃO'!$B:$B,0)),1)&amp;"''","")</f>
        <v/>
      </c>
      <c r="J1349" s="3" t="str">
        <f>IFERROR(IF(INDEX('PROJETO PERFURAÇÃO'!$P:$P,MATCH(MEDIÇÃO!K1349,'PROJETO PERFURAÇÃO'!$B:$B,0))="Production","P",IF(INDEX('PROJETO PERFURAÇÃO'!$P:$P,MATCH(MEDIÇÃO!K1349,'PROJETO PERFURAÇÃO'!$B:$B,0))="Buffer","B",IF(INDEX('PROJETO PERFURAÇÃO'!$P:$P,MATCH(MEDIÇÃO!K1349,'PROJETO PERFURAÇÃO'!$B:$B,0))="Pre-Splitting","S"))),"")</f>
        <v/>
      </c>
      <c r="K1349" s="14">
        <f t="shared" si="130"/>
        <v>3002</v>
      </c>
      <c r="L1349" s="4" t="str">
        <f>IFERROR(INDEX('LEV R&amp;D'!$D:$D,MATCH(MEDIÇÃO!K1349,'LEV R&amp;D'!$A:$A,0))-INDEX('PROJETO PERFURAÇÃO'!$AH:$AH,MATCH(MEDIÇÃO!K1349,'PROJETO PERFURAÇÃO'!$B:$B,0)),"")</f>
        <v/>
      </c>
      <c r="M1349" s="8" t="str">
        <f>IFERROR(INDEX('PROJETO PERFURAÇÃO'!$AN:$AN,MATCH(MEDIÇÃO!K1349,'PROJETO PERFURAÇÃO'!$B:$B,0)),"")</f>
        <v/>
      </c>
      <c r="N1349" s="3"/>
      <c r="O1349" s="3"/>
      <c r="P1349" s="3" t="str">
        <f>IFERROR(ROUND(INDEX('PROJETO PERFURAÇÃO'!$AB:$AB,MATCH(MEDIÇÃO!R1349,'PROJETO PERFURAÇÃO'!$B:$B,0)),1)&amp;"''","")</f>
        <v/>
      </c>
      <c r="Q1349" s="3" t="str">
        <f>IFERROR(IF(INDEX('PROJETO PERFURAÇÃO'!$P:$P,MATCH(MEDIÇÃO!R1349,'PROJETO PERFURAÇÃO'!$B:$B,0))="Production","P",IF(INDEX('PROJETO PERFURAÇÃO'!$P:$P,MATCH(MEDIÇÃO!R1349,'PROJETO PERFURAÇÃO'!$B:$B,0))="Buffer","B",IF(INDEX('PROJETO PERFURAÇÃO'!$P:$P,MATCH(MEDIÇÃO!R1349,'PROJETO PERFURAÇÃO'!$B:$B,0))="Pre-Splitting","S"))),"")</f>
        <v/>
      </c>
      <c r="R1349" s="14">
        <f t="shared" si="131"/>
        <v>3025</v>
      </c>
      <c r="S1349" s="4" t="str">
        <f>IFERROR(INDEX('LEV R&amp;D'!$D:$D,MATCH(MEDIÇÃO!R1349,'LEV R&amp;D'!$A:$A,0))-INDEX('PROJETO PERFURAÇÃO'!$AH:$AH,MATCH(MEDIÇÃO!R1349,'PROJETO PERFURAÇÃO'!$B:$B,0)),"")</f>
        <v/>
      </c>
      <c r="T1349" s="8" t="str">
        <f>IFERROR(INDEX('PROJETO PERFURAÇÃO'!$AN:$AN,MATCH(MEDIÇÃO!R1349,'PROJETO PERFURAÇÃO'!$B:$B,0)),"")</f>
        <v/>
      </c>
      <c r="U1349" s="3"/>
      <c r="V1349" s="3"/>
    </row>
    <row r="1350" spans="2:22" ht="45" customHeight="1" x14ac:dyDescent="0.25">
      <c r="B1350" s="3" t="str">
        <f>IFERROR(ROUND(INDEX('PROJETO PERFURAÇÃO'!$AB:$AB,MATCH(MEDIÇÃO!D1350,'PROJETO PERFURAÇÃO'!$B:$B,0)),1)&amp;"''","")</f>
        <v/>
      </c>
      <c r="C1350" s="3" t="str">
        <f>IFERROR(IF(INDEX('PROJETO PERFURAÇÃO'!$P:$P,MATCH(MEDIÇÃO!D1350,'PROJETO PERFURAÇÃO'!$B:$B,0))="Production","P",IF(INDEX('PROJETO PERFURAÇÃO'!$P:$P,MATCH(MEDIÇÃO!D1350,'PROJETO PERFURAÇÃO'!$B:$B,0))="Buffer","B",IF(INDEX('PROJETO PERFURAÇÃO'!$P:$P,MATCH(MEDIÇÃO!D1350,'PROJETO PERFURAÇÃO'!$B:$B,0))="Pre-Splitting","S"))),"")</f>
        <v/>
      </c>
      <c r="D1350" s="14">
        <f t="shared" si="129"/>
        <v>2980</v>
      </c>
      <c r="E1350" s="4" t="str">
        <f>IFERROR(INDEX('LEV R&amp;D'!$D:$D,MATCH(MEDIÇÃO!D1350,'LEV R&amp;D'!$A:$A,0))-INDEX('PROJETO PERFURAÇÃO'!$AH:$AH,MATCH(MEDIÇÃO!D1350,'PROJETO PERFURAÇÃO'!$B:$B,0)),"")</f>
        <v/>
      </c>
      <c r="F1350" s="8" t="str">
        <f>IFERROR(INDEX('PROJETO PERFURAÇÃO'!$AN:$AN,MATCH(MEDIÇÃO!D1350,'PROJETO PERFURAÇÃO'!$B:$B,0)),"")</f>
        <v/>
      </c>
      <c r="G1350" s="3"/>
      <c r="H1350" s="3"/>
      <c r="I1350" s="3" t="str">
        <f>IFERROR(ROUND(INDEX('PROJETO PERFURAÇÃO'!$AB:$AB,MATCH(MEDIÇÃO!K1350,'PROJETO PERFURAÇÃO'!$B:$B,0)),1)&amp;"''","")</f>
        <v/>
      </c>
      <c r="J1350" s="3" t="str">
        <f>IFERROR(IF(INDEX('PROJETO PERFURAÇÃO'!$P:$P,MATCH(MEDIÇÃO!K1350,'PROJETO PERFURAÇÃO'!$B:$B,0))="Production","P",IF(INDEX('PROJETO PERFURAÇÃO'!$P:$P,MATCH(MEDIÇÃO!K1350,'PROJETO PERFURAÇÃO'!$B:$B,0))="Buffer","B",IF(INDEX('PROJETO PERFURAÇÃO'!$P:$P,MATCH(MEDIÇÃO!K1350,'PROJETO PERFURAÇÃO'!$B:$B,0))="Pre-Splitting","S"))),"")</f>
        <v/>
      </c>
      <c r="K1350" s="14">
        <f t="shared" si="130"/>
        <v>3003</v>
      </c>
      <c r="L1350" s="4" t="str">
        <f>IFERROR(INDEX('LEV R&amp;D'!$D:$D,MATCH(MEDIÇÃO!K1350,'LEV R&amp;D'!$A:$A,0))-INDEX('PROJETO PERFURAÇÃO'!$AH:$AH,MATCH(MEDIÇÃO!K1350,'PROJETO PERFURAÇÃO'!$B:$B,0)),"")</f>
        <v/>
      </c>
      <c r="M1350" s="8" t="str">
        <f>IFERROR(INDEX('PROJETO PERFURAÇÃO'!$AN:$AN,MATCH(MEDIÇÃO!K1350,'PROJETO PERFURAÇÃO'!$B:$B,0)),"")</f>
        <v/>
      </c>
      <c r="N1350" s="3"/>
      <c r="O1350" s="3"/>
      <c r="P1350" s="3" t="str">
        <f>IFERROR(ROUND(INDEX('PROJETO PERFURAÇÃO'!$AB:$AB,MATCH(MEDIÇÃO!R1350,'PROJETO PERFURAÇÃO'!$B:$B,0)),1)&amp;"''","")</f>
        <v/>
      </c>
      <c r="Q1350" s="3" t="str">
        <f>IFERROR(IF(INDEX('PROJETO PERFURAÇÃO'!$P:$P,MATCH(MEDIÇÃO!R1350,'PROJETO PERFURAÇÃO'!$B:$B,0))="Production","P",IF(INDEX('PROJETO PERFURAÇÃO'!$P:$P,MATCH(MEDIÇÃO!R1350,'PROJETO PERFURAÇÃO'!$B:$B,0))="Buffer","B",IF(INDEX('PROJETO PERFURAÇÃO'!$P:$P,MATCH(MEDIÇÃO!R1350,'PROJETO PERFURAÇÃO'!$B:$B,0))="Pre-Splitting","S"))),"")</f>
        <v/>
      </c>
      <c r="R1350" s="14">
        <f t="shared" si="131"/>
        <v>3026</v>
      </c>
      <c r="S1350" s="4" t="str">
        <f>IFERROR(INDEX('LEV R&amp;D'!$D:$D,MATCH(MEDIÇÃO!R1350,'LEV R&amp;D'!$A:$A,0))-INDEX('PROJETO PERFURAÇÃO'!$AH:$AH,MATCH(MEDIÇÃO!R1350,'PROJETO PERFURAÇÃO'!$B:$B,0)),"")</f>
        <v/>
      </c>
      <c r="T1350" s="8" t="str">
        <f>IFERROR(INDEX('PROJETO PERFURAÇÃO'!$AN:$AN,MATCH(MEDIÇÃO!R1350,'PROJETO PERFURAÇÃO'!$B:$B,0)),"")</f>
        <v/>
      </c>
      <c r="U1350" s="3"/>
      <c r="V1350" s="3"/>
    </row>
    <row r="1351" spans="2:22" ht="45" customHeight="1" x14ac:dyDescent="0.25">
      <c r="B1351" s="3" t="str">
        <f>IFERROR(ROUND(INDEX('PROJETO PERFURAÇÃO'!$AB:$AB,MATCH(MEDIÇÃO!D1351,'PROJETO PERFURAÇÃO'!$B:$B,0)),1)&amp;"''","")</f>
        <v/>
      </c>
      <c r="C1351" s="3" t="str">
        <f>IFERROR(IF(INDEX('PROJETO PERFURAÇÃO'!$P:$P,MATCH(MEDIÇÃO!D1351,'PROJETO PERFURAÇÃO'!$B:$B,0))="Production","P",IF(INDEX('PROJETO PERFURAÇÃO'!$P:$P,MATCH(MEDIÇÃO!D1351,'PROJETO PERFURAÇÃO'!$B:$B,0))="Buffer","B",IF(INDEX('PROJETO PERFURAÇÃO'!$P:$P,MATCH(MEDIÇÃO!D1351,'PROJETO PERFURAÇÃO'!$B:$B,0))="Pre-Splitting","S"))),"")</f>
        <v/>
      </c>
      <c r="D1351" s="14">
        <f t="shared" si="129"/>
        <v>2981</v>
      </c>
      <c r="E1351" s="4" t="str">
        <f>IFERROR(INDEX('LEV R&amp;D'!$D:$D,MATCH(MEDIÇÃO!D1351,'LEV R&amp;D'!$A:$A,0))-INDEX('PROJETO PERFURAÇÃO'!$AH:$AH,MATCH(MEDIÇÃO!D1351,'PROJETO PERFURAÇÃO'!$B:$B,0)),"")</f>
        <v/>
      </c>
      <c r="F1351" s="8" t="str">
        <f>IFERROR(INDEX('PROJETO PERFURAÇÃO'!$AN:$AN,MATCH(MEDIÇÃO!D1351,'PROJETO PERFURAÇÃO'!$B:$B,0)),"")</f>
        <v/>
      </c>
      <c r="G1351" s="3"/>
      <c r="H1351" s="3"/>
      <c r="I1351" s="3" t="str">
        <f>IFERROR(ROUND(INDEX('PROJETO PERFURAÇÃO'!$AB:$AB,MATCH(MEDIÇÃO!K1351,'PROJETO PERFURAÇÃO'!$B:$B,0)),1)&amp;"''","")</f>
        <v/>
      </c>
      <c r="J1351" s="3" t="str">
        <f>IFERROR(IF(INDEX('PROJETO PERFURAÇÃO'!$P:$P,MATCH(MEDIÇÃO!K1351,'PROJETO PERFURAÇÃO'!$B:$B,0))="Production","P",IF(INDEX('PROJETO PERFURAÇÃO'!$P:$P,MATCH(MEDIÇÃO!K1351,'PROJETO PERFURAÇÃO'!$B:$B,0))="Buffer","B",IF(INDEX('PROJETO PERFURAÇÃO'!$P:$P,MATCH(MEDIÇÃO!K1351,'PROJETO PERFURAÇÃO'!$B:$B,0))="Pre-Splitting","S"))),"")</f>
        <v/>
      </c>
      <c r="K1351" s="14">
        <f t="shared" si="130"/>
        <v>3004</v>
      </c>
      <c r="L1351" s="4" t="str">
        <f>IFERROR(INDEX('LEV R&amp;D'!$D:$D,MATCH(MEDIÇÃO!K1351,'LEV R&amp;D'!$A:$A,0))-INDEX('PROJETO PERFURAÇÃO'!$AH:$AH,MATCH(MEDIÇÃO!K1351,'PROJETO PERFURAÇÃO'!$B:$B,0)),"")</f>
        <v/>
      </c>
      <c r="M1351" s="8" t="str">
        <f>IFERROR(INDEX('PROJETO PERFURAÇÃO'!$AN:$AN,MATCH(MEDIÇÃO!K1351,'PROJETO PERFURAÇÃO'!$B:$B,0)),"")</f>
        <v/>
      </c>
      <c r="N1351" s="3"/>
      <c r="O1351" s="3"/>
      <c r="P1351" s="3" t="str">
        <f>IFERROR(ROUND(INDEX('PROJETO PERFURAÇÃO'!$AB:$AB,MATCH(MEDIÇÃO!R1351,'PROJETO PERFURAÇÃO'!$B:$B,0)),1)&amp;"''","")</f>
        <v/>
      </c>
      <c r="Q1351" s="3" t="str">
        <f>IFERROR(IF(INDEX('PROJETO PERFURAÇÃO'!$P:$P,MATCH(MEDIÇÃO!R1351,'PROJETO PERFURAÇÃO'!$B:$B,0))="Production","P",IF(INDEX('PROJETO PERFURAÇÃO'!$P:$P,MATCH(MEDIÇÃO!R1351,'PROJETO PERFURAÇÃO'!$B:$B,0))="Buffer","B",IF(INDEX('PROJETO PERFURAÇÃO'!$P:$P,MATCH(MEDIÇÃO!R1351,'PROJETO PERFURAÇÃO'!$B:$B,0))="Pre-Splitting","S"))),"")</f>
        <v/>
      </c>
      <c r="R1351" s="14">
        <f t="shared" si="131"/>
        <v>3027</v>
      </c>
      <c r="S1351" s="4" t="str">
        <f>IFERROR(INDEX('LEV R&amp;D'!$D:$D,MATCH(MEDIÇÃO!R1351,'LEV R&amp;D'!$A:$A,0))-INDEX('PROJETO PERFURAÇÃO'!$AH:$AH,MATCH(MEDIÇÃO!R1351,'PROJETO PERFURAÇÃO'!$B:$B,0)),"")</f>
        <v/>
      </c>
      <c r="T1351" s="8" t="str">
        <f>IFERROR(INDEX('PROJETO PERFURAÇÃO'!$AN:$AN,MATCH(MEDIÇÃO!R1351,'PROJETO PERFURAÇÃO'!$B:$B,0)),"")</f>
        <v/>
      </c>
      <c r="U1351" s="3"/>
      <c r="V1351" s="3"/>
    </row>
    <row r="1352" spans="2:22" ht="45" customHeight="1" x14ac:dyDescent="0.25">
      <c r="B1352" s="3" t="str">
        <f>IFERROR(ROUND(INDEX('PROJETO PERFURAÇÃO'!$AB:$AB,MATCH(MEDIÇÃO!D1352,'PROJETO PERFURAÇÃO'!$B:$B,0)),1)&amp;"''","")</f>
        <v/>
      </c>
      <c r="C1352" s="3" t="str">
        <f>IFERROR(IF(INDEX('PROJETO PERFURAÇÃO'!$P:$P,MATCH(MEDIÇÃO!D1352,'PROJETO PERFURAÇÃO'!$B:$B,0))="Production","P",IF(INDEX('PROJETO PERFURAÇÃO'!$P:$P,MATCH(MEDIÇÃO!D1352,'PROJETO PERFURAÇÃO'!$B:$B,0))="Buffer","B",IF(INDEX('PROJETO PERFURAÇÃO'!$P:$P,MATCH(MEDIÇÃO!D1352,'PROJETO PERFURAÇÃO'!$B:$B,0))="Pre-Splitting","S"))),"")</f>
        <v/>
      </c>
      <c r="D1352" s="14">
        <f t="shared" si="129"/>
        <v>2982</v>
      </c>
      <c r="E1352" s="4" t="str">
        <f>IFERROR(INDEX('LEV R&amp;D'!$D:$D,MATCH(MEDIÇÃO!D1352,'LEV R&amp;D'!$A:$A,0))-INDEX('PROJETO PERFURAÇÃO'!$AH:$AH,MATCH(MEDIÇÃO!D1352,'PROJETO PERFURAÇÃO'!$B:$B,0)),"")</f>
        <v/>
      </c>
      <c r="F1352" s="8" t="str">
        <f>IFERROR(INDEX('PROJETO PERFURAÇÃO'!$AN:$AN,MATCH(MEDIÇÃO!D1352,'PROJETO PERFURAÇÃO'!$B:$B,0)),"")</f>
        <v/>
      </c>
      <c r="G1352" s="3"/>
      <c r="H1352" s="3"/>
      <c r="I1352" s="3" t="str">
        <f>IFERROR(ROUND(INDEX('PROJETO PERFURAÇÃO'!$AB:$AB,MATCH(MEDIÇÃO!K1352,'PROJETO PERFURAÇÃO'!$B:$B,0)),1)&amp;"''","")</f>
        <v/>
      </c>
      <c r="J1352" s="3" t="str">
        <f>IFERROR(IF(INDEX('PROJETO PERFURAÇÃO'!$P:$P,MATCH(MEDIÇÃO!K1352,'PROJETO PERFURAÇÃO'!$B:$B,0))="Production","P",IF(INDEX('PROJETO PERFURAÇÃO'!$P:$P,MATCH(MEDIÇÃO!K1352,'PROJETO PERFURAÇÃO'!$B:$B,0))="Buffer","B",IF(INDEX('PROJETO PERFURAÇÃO'!$P:$P,MATCH(MEDIÇÃO!K1352,'PROJETO PERFURAÇÃO'!$B:$B,0))="Pre-Splitting","S"))),"")</f>
        <v/>
      </c>
      <c r="K1352" s="14">
        <f t="shared" si="130"/>
        <v>3005</v>
      </c>
      <c r="L1352" s="4" t="str">
        <f>IFERROR(INDEX('LEV R&amp;D'!$D:$D,MATCH(MEDIÇÃO!K1352,'LEV R&amp;D'!$A:$A,0))-INDEX('PROJETO PERFURAÇÃO'!$AH:$AH,MATCH(MEDIÇÃO!K1352,'PROJETO PERFURAÇÃO'!$B:$B,0)),"")</f>
        <v/>
      </c>
      <c r="M1352" s="8" t="str">
        <f>IFERROR(INDEX('PROJETO PERFURAÇÃO'!$AN:$AN,MATCH(MEDIÇÃO!K1352,'PROJETO PERFURAÇÃO'!$B:$B,0)),"")</f>
        <v/>
      </c>
      <c r="N1352" s="3"/>
      <c r="O1352" s="3"/>
      <c r="P1352" s="3" t="str">
        <f>IFERROR(ROUND(INDEX('PROJETO PERFURAÇÃO'!$AB:$AB,MATCH(MEDIÇÃO!R1352,'PROJETO PERFURAÇÃO'!$B:$B,0)),1)&amp;"''","")</f>
        <v/>
      </c>
      <c r="Q1352" s="3" t="str">
        <f>IFERROR(IF(INDEX('PROJETO PERFURAÇÃO'!$P:$P,MATCH(MEDIÇÃO!R1352,'PROJETO PERFURAÇÃO'!$B:$B,0))="Production","P",IF(INDEX('PROJETO PERFURAÇÃO'!$P:$P,MATCH(MEDIÇÃO!R1352,'PROJETO PERFURAÇÃO'!$B:$B,0))="Buffer","B",IF(INDEX('PROJETO PERFURAÇÃO'!$P:$P,MATCH(MEDIÇÃO!R1352,'PROJETO PERFURAÇÃO'!$B:$B,0))="Pre-Splitting","S"))),"")</f>
        <v/>
      </c>
      <c r="R1352" s="14">
        <f t="shared" si="131"/>
        <v>3028</v>
      </c>
      <c r="S1352" s="4" t="str">
        <f>IFERROR(INDEX('LEV R&amp;D'!$D:$D,MATCH(MEDIÇÃO!R1352,'LEV R&amp;D'!$A:$A,0))-INDEX('PROJETO PERFURAÇÃO'!$AH:$AH,MATCH(MEDIÇÃO!R1352,'PROJETO PERFURAÇÃO'!$B:$B,0)),"")</f>
        <v/>
      </c>
      <c r="T1352" s="8" t="str">
        <f>IFERROR(INDEX('PROJETO PERFURAÇÃO'!$AN:$AN,MATCH(MEDIÇÃO!R1352,'PROJETO PERFURAÇÃO'!$B:$B,0)),"")</f>
        <v/>
      </c>
      <c r="U1352" s="3"/>
      <c r="V1352" s="3"/>
    </row>
    <row r="1353" spans="2:22" ht="45" customHeight="1" x14ac:dyDescent="0.25">
      <c r="B1353" s="3" t="str">
        <f>IFERROR(ROUND(INDEX('PROJETO PERFURAÇÃO'!$AB:$AB,MATCH(MEDIÇÃO!D1353,'PROJETO PERFURAÇÃO'!$B:$B,0)),1)&amp;"''","")</f>
        <v/>
      </c>
      <c r="C1353" s="3" t="str">
        <f>IFERROR(IF(INDEX('PROJETO PERFURAÇÃO'!$P:$P,MATCH(MEDIÇÃO!D1353,'PROJETO PERFURAÇÃO'!$B:$B,0))="Production","P",IF(INDEX('PROJETO PERFURAÇÃO'!$P:$P,MATCH(MEDIÇÃO!D1353,'PROJETO PERFURAÇÃO'!$B:$B,0))="Buffer","B",IF(INDEX('PROJETO PERFURAÇÃO'!$P:$P,MATCH(MEDIÇÃO!D1353,'PROJETO PERFURAÇÃO'!$B:$B,0))="Pre-Splitting","S"))),"")</f>
        <v/>
      </c>
      <c r="D1353" s="14">
        <f t="shared" si="129"/>
        <v>2983</v>
      </c>
      <c r="E1353" s="4" t="str">
        <f>IFERROR(INDEX('LEV R&amp;D'!$D:$D,MATCH(MEDIÇÃO!D1353,'LEV R&amp;D'!$A:$A,0))-INDEX('PROJETO PERFURAÇÃO'!$AH:$AH,MATCH(MEDIÇÃO!D1353,'PROJETO PERFURAÇÃO'!$B:$B,0)),"")</f>
        <v/>
      </c>
      <c r="F1353" s="8" t="str">
        <f>IFERROR(INDEX('PROJETO PERFURAÇÃO'!$AN:$AN,MATCH(MEDIÇÃO!D1353,'PROJETO PERFURAÇÃO'!$B:$B,0)),"")</f>
        <v/>
      </c>
      <c r="G1353" s="3"/>
      <c r="H1353" s="3"/>
      <c r="I1353" s="3" t="str">
        <f>IFERROR(ROUND(INDEX('PROJETO PERFURAÇÃO'!$AB:$AB,MATCH(MEDIÇÃO!K1353,'PROJETO PERFURAÇÃO'!$B:$B,0)),1)&amp;"''","")</f>
        <v/>
      </c>
      <c r="J1353" s="3" t="str">
        <f>IFERROR(IF(INDEX('PROJETO PERFURAÇÃO'!$P:$P,MATCH(MEDIÇÃO!K1353,'PROJETO PERFURAÇÃO'!$B:$B,0))="Production","P",IF(INDEX('PROJETO PERFURAÇÃO'!$P:$P,MATCH(MEDIÇÃO!K1353,'PROJETO PERFURAÇÃO'!$B:$B,0))="Buffer","B",IF(INDEX('PROJETO PERFURAÇÃO'!$P:$P,MATCH(MEDIÇÃO!K1353,'PROJETO PERFURAÇÃO'!$B:$B,0))="Pre-Splitting","S"))),"")</f>
        <v/>
      </c>
      <c r="K1353" s="14">
        <f t="shared" si="130"/>
        <v>3006</v>
      </c>
      <c r="L1353" s="4" t="str">
        <f>IFERROR(INDEX('LEV R&amp;D'!$D:$D,MATCH(MEDIÇÃO!K1353,'LEV R&amp;D'!$A:$A,0))-INDEX('PROJETO PERFURAÇÃO'!$AH:$AH,MATCH(MEDIÇÃO!K1353,'PROJETO PERFURAÇÃO'!$B:$B,0)),"")</f>
        <v/>
      </c>
      <c r="M1353" s="8" t="str">
        <f>IFERROR(INDEX('PROJETO PERFURAÇÃO'!$AN:$AN,MATCH(MEDIÇÃO!K1353,'PROJETO PERFURAÇÃO'!$B:$B,0)),"")</f>
        <v/>
      </c>
      <c r="N1353" s="3"/>
      <c r="O1353" s="3"/>
      <c r="P1353" s="3" t="str">
        <f>IFERROR(ROUND(INDEX('PROJETO PERFURAÇÃO'!$AB:$AB,MATCH(MEDIÇÃO!R1353,'PROJETO PERFURAÇÃO'!$B:$B,0)),1)&amp;"''","")</f>
        <v/>
      </c>
      <c r="Q1353" s="3" t="str">
        <f>IFERROR(IF(INDEX('PROJETO PERFURAÇÃO'!$P:$P,MATCH(MEDIÇÃO!R1353,'PROJETO PERFURAÇÃO'!$B:$B,0))="Production","P",IF(INDEX('PROJETO PERFURAÇÃO'!$P:$P,MATCH(MEDIÇÃO!R1353,'PROJETO PERFURAÇÃO'!$B:$B,0))="Buffer","B",IF(INDEX('PROJETO PERFURAÇÃO'!$P:$P,MATCH(MEDIÇÃO!R1353,'PROJETO PERFURAÇÃO'!$B:$B,0))="Pre-Splitting","S"))),"")</f>
        <v/>
      </c>
      <c r="R1353" s="14">
        <f t="shared" si="131"/>
        <v>3029</v>
      </c>
      <c r="S1353" s="4" t="str">
        <f>IFERROR(INDEX('LEV R&amp;D'!$D:$D,MATCH(MEDIÇÃO!R1353,'LEV R&amp;D'!$A:$A,0))-INDEX('PROJETO PERFURAÇÃO'!$AH:$AH,MATCH(MEDIÇÃO!R1353,'PROJETO PERFURAÇÃO'!$B:$B,0)),"")</f>
        <v/>
      </c>
      <c r="T1353" s="8" t="str">
        <f>IFERROR(INDEX('PROJETO PERFURAÇÃO'!$AN:$AN,MATCH(MEDIÇÃO!R1353,'PROJETO PERFURAÇÃO'!$B:$B,0)),"")</f>
        <v/>
      </c>
      <c r="U1353" s="3"/>
      <c r="V1353" s="3"/>
    </row>
    <row r="1354" spans="2:22" ht="45" customHeight="1" x14ac:dyDescent="0.25">
      <c r="B1354" s="3" t="str">
        <f>IFERROR(ROUND(INDEX('PROJETO PERFURAÇÃO'!$AB:$AB,MATCH(MEDIÇÃO!D1354,'PROJETO PERFURAÇÃO'!$B:$B,0)),1)&amp;"''","")</f>
        <v/>
      </c>
      <c r="C1354" s="3" t="str">
        <f>IFERROR(IF(INDEX('PROJETO PERFURAÇÃO'!$P:$P,MATCH(MEDIÇÃO!D1354,'PROJETO PERFURAÇÃO'!$B:$B,0))="Production","P",IF(INDEX('PROJETO PERFURAÇÃO'!$P:$P,MATCH(MEDIÇÃO!D1354,'PROJETO PERFURAÇÃO'!$B:$B,0))="Buffer","B",IF(INDEX('PROJETO PERFURAÇÃO'!$P:$P,MATCH(MEDIÇÃO!D1354,'PROJETO PERFURAÇÃO'!$B:$B,0))="Pre-Splitting","S"))),"")</f>
        <v/>
      </c>
      <c r="D1354" s="14">
        <f t="shared" si="129"/>
        <v>2984</v>
      </c>
      <c r="E1354" s="4" t="str">
        <f>IFERROR(INDEX('LEV R&amp;D'!$D:$D,MATCH(MEDIÇÃO!D1354,'LEV R&amp;D'!$A:$A,0))-INDEX('PROJETO PERFURAÇÃO'!$AH:$AH,MATCH(MEDIÇÃO!D1354,'PROJETO PERFURAÇÃO'!$B:$B,0)),"")</f>
        <v/>
      </c>
      <c r="F1354" s="8" t="str">
        <f>IFERROR(INDEX('PROJETO PERFURAÇÃO'!$AN:$AN,MATCH(MEDIÇÃO!D1354,'PROJETO PERFURAÇÃO'!$B:$B,0)),"")</f>
        <v/>
      </c>
      <c r="G1354" s="3"/>
      <c r="H1354" s="3"/>
      <c r="I1354" s="3" t="str">
        <f>IFERROR(ROUND(INDEX('PROJETO PERFURAÇÃO'!$AB:$AB,MATCH(MEDIÇÃO!K1354,'PROJETO PERFURAÇÃO'!$B:$B,0)),1)&amp;"''","")</f>
        <v/>
      </c>
      <c r="J1354" s="3" t="str">
        <f>IFERROR(IF(INDEX('PROJETO PERFURAÇÃO'!$P:$P,MATCH(MEDIÇÃO!K1354,'PROJETO PERFURAÇÃO'!$B:$B,0))="Production","P",IF(INDEX('PROJETO PERFURAÇÃO'!$P:$P,MATCH(MEDIÇÃO!K1354,'PROJETO PERFURAÇÃO'!$B:$B,0))="Buffer","B",IF(INDEX('PROJETO PERFURAÇÃO'!$P:$P,MATCH(MEDIÇÃO!K1354,'PROJETO PERFURAÇÃO'!$B:$B,0))="Pre-Splitting","S"))),"")</f>
        <v/>
      </c>
      <c r="K1354" s="14">
        <f t="shared" si="130"/>
        <v>3007</v>
      </c>
      <c r="L1354" s="4" t="str">
        <f>IFERROR(INDEX('LEV R&amp;D'!$D:$D,MATCH(MEDIÇÃO!K1354,'LEV R&amp;D'!$A:$A,0))-INDEX('PROJETO PERFURAÇÃO'!$AH:$AH,MATCH(MEDIÇÃO!K1354,'PROJETO PERFURAÇÃO'!$B:$B,0)),"")</f>
        <v/>
      </c>
      <c r="M1354" s="8" t="str">
        <f>IFERROR(INDEX('PROJETO PERFURAÇÃO'!$AN:$AN,MATCH(MEDIÇÃO!K1354,'PROJETO PERFURAÇÃO'!$B:$B,0)),"")</f>
        <v/>
      </c>
      <c r="N1354" s="3"/>
      <c r="O1354" s="3"/>
      <c r="P1354" s="3" t="str">
        <f>IFERROR(ROUND(INDEX('PROJETO PERFURAÇÃO'!$AB:$AB,MATCH(MEDIÇÃO!R1354,'PROJETO PERFURAÇÃO'!$B:$B,0)),1)&amp;"''","")</f>
        <v/>
      </c>
      <c r="Q1354" s="3" t="str">
        <f>IFERROR(IF(INDEX('PROJETO PERFURAÇÃO'!$P:$P,MATCH(MEDIÇÃO!R1354,'PROJETO PERFURAÇÃO'!$B:$B,0))="Production","P",IF(INDEX('PROJETO PERFURAÇÃO'!$P:$P,MATCH(MEDIÇÃO!R1354,'PROJETO PERFURAÇÃO'!$B:$B,0))="Buffer","B",IF(INDEX('PROJETO PERFURAÇÃO'!$P:$P,MATCH(MEDIÇÃO!R1354,'PROJETO PERFURAÇÃO'!$B:$B,0))="Pre-Splitting","S"))),"")</f>
        <v/>
      </c>
      <c r="R1354" s="14">
        <f t="shared" si="131"/>
        <v>3030</v>
      </c>
      <c r="S1354" s="4" t="str">
        <f>IFERROR(INDEX('LEV R&amp;D'!$D:$D,MATCH(MEDIÇÃO!R1354,'LEV R&amp;D'!$A:$A,0))-INDEX('PROJETO PERFURAÇÃO'!$AH:$AH,MATCH(MEDIÇÃO!R1354,'PROJETO PERFURAÇÃO'!$B:$B,0)),"")</f>
        <v/>
      </c>
      <c r="T1354" s="8" t="str">
        <f>IFERROR(INDEX('PROJETO PERFURAÇÃO'!$AN:$AN,MATCH(MEDIÇÃO!R1354,'PROJETO PERFURAÇÃO'!$B:$B,0)),"")</f>
        <v/>
      </c>
      <c r="U1354" s="3"/>
      <c r="V1354" s="3"/>
    </row>
    <row r="1355" spans="2:22" ht="45" customHeight="1" x14ac:dyDescent="0.25">
      <c r="B1355" s="3" t="str">
        <f>IFERROR(ROUND(INDEX('PROJETO PERFURAÇÃO'!$AB:$AB,MATCH(MEDIÇÃO!D1355,'PROJETO PERFURAÇÃO'!$B:$B,0)),1)&amp;"''","")</f>
        <v/>
      </c>
      <c r="C1355" s="3" t="str">
        <f>IFERROR(IF(INDEX('PROJETO PERFURAÇÃO'!$P:$P,MATCH(MEDIÇÃO!D1355,'PROJETO PERFURAÇÃO'!$B:$B,0))="Production","P",IF(INDEX('PROJETO PERFURAÇÃO'!$P:$P,MATCH(MEDIÇÃO!D1355,'PROJETO PERFURAÇÃO'!$B:$B,0))="Buffer","B",IF(INDEX('PROJETO PERFURAÇÃO'!$P:$P,MATCH(MEDIÇÃO!D1355,'PROJETO PERFURAÇÃO'!$B:$B,0))="Pre-Splitting","S"))),"")</f>
        <v/>
      </c>
      <c r="D1355" s="14">
        <f t="shared" si="129"/>
        <v>2985</v>
      </c>
      <c r="E1355" s="4" t="str">
        <f>IFERROR(INDEX('LEV R&amp;D'!$D:$D,MATCH(MEDIÇÃO!D1355,'LEV R&amp;D'!$A:$A,0))-INDEX('PROJETO PERFURAÇÃO'!$AH:$AH,MATCH(MEDIÇÃO!D1355,'PROJETO PERFURAÇÃO'!$B:$B,0)),"")</f>
        <v/>
      </c>
      <c r="F1355" s="8" t="str">
        <f>IFERROR(INDEX('PROJETO PERFURAÇÃO'!$AN:$AN,MATCH(MEDIÇÃO!D1355,'PROJETO PERFURAÇÃO'!$B:$B,0)),"")</f>
        <v/>
      </c>
      <c r="G1355" s="3"/>
      <c r="H1355" s="3"/>
      <c r="I1355" s="3" t="str">
        <f>IFERROR(ROUND(INDEX('PROJETO PERFURAÇÃO'!$AB:$AB,MATCH(MEDIÇÃO!K1355,'PROJETO PERFURAÇÃO'!$B:$B,0)),1)&amp;"''","")</f>
        <v/>
      </c>
      <c r="J1355" s="3" t="str">
        <f>IFERROR(IF(INDEX('PROJETO PERFURAÇÃO'!$P:$P,MATCH(MEDIÇÃO!K1355,'PROJETO PERFURAÇÃO'!$B:$B,0))="Production","P",IF(INDEX('PROJETO PERFURAÇÃO'!$P:$P,MATCH(MEDIÇÃO!K1355,'PROJETO PERFURAÇÃO'!$B:$B,0))="Buffer","B",IF(INDEX('PROJETO PERFURAÇÃO'!$P:$P,MATCH(MEDIÇÃO!K1355,'PROJETO PERFURAÇÃO'!$B:$B,0))="Pre-Splitting","S"))),"")</f>
        <v/>
      </c>
      <c r="K1355" s="14">
        <f t="shared" si="130"/>
        <v>3008</v>
      </c>
      <c r="L1355" s="4" t="str">
        <f>IFERROR(INDEX('LEV R&amp;D'!$D:$D,MATCH(MEDIÇÃO!K1355,'LEV R&amp;D'!$A:$A,0))-INDEX('PROJETO PERFURAÇÃO'!$AH:$AH,MATCH(MEDIÇÃO!K1355,'PROJETO PERFURAÇÃO'!$B:$B,0)),"")</f>
        <v/>
      </c>
      <c r="M1355" s="8" t="str">
        <f>IFERROR(INDEX('PROJETO PERFURAÇÃO'!$AN:$AN,MATCH(MEDIÇÃO!K1355,'PROJETO PERFURAÇÃO'!$B:$B,0)),"")</f>
        <v/>
      </c>
      <c r="N1355" s="3"/>
      <c r="O1355" s="3"/>
      <c r="P1355" s="3" t="str">
        <f>IFERROR(ROUND(INDEX('PROJETO PERFURAÇÃO'!$AB:$AB,MATCH(MEDIÇÃO!R1355,'PROJETO PERFURAÇÃO'!$B:$B,0)),1)&amp;"''","")</f>
        <v/>
      </c>
      <c r="Q1355" s="3" t="str">
        <f>IFERROR(IF(INDEX('PROJETO PERFURAÇÃO'!$P:$P,MATCH(MEDIÇÃO!R1355,'PROJETO PERFURAÇÃO'!$B:$B,0))="Production","P",IF(INDEX('PROJETO PERFURAÇÃO'!$P:$P,MATCH(MEDIÇÃO!R1355,'PROJETO PERFURAÇÃO'!$B:$B,0))="Buffer","B",IF(INDEX('PROJETO PERFURAÇÃO'!$P:$P,MATCH(MEDIÇÃO!R1355,'PROJETO PERFURAÇÃO'!$B:$B,0))="Pre-Splitting","S"))),"")</f>
        <v/>
      </c>
      <c r="R1355" s="14">
        <f t="shared" si="131"/>
        <v>3031</v>
      </c>
      <c r="S1355" s="4" t="str">
        <f>IFERROR(INDEX('LEV R&amp;D'!$D:$D,MATCH(MEDIÇÃO!R1355,'LEV R&amp;D'!$A:$A,0))-INDEX('PROJETO PERFURAÇÃO'!$AH:$AH,MATCH(MEDIÇÃO!R1355,'PROJETO PERFURAÇÃO'!$B:$B,0)),"")</f>
        <v/>
      </c>
      <c r="T1355" s="8" t="str">
        <f>IFERROR(INDEX('PROJETO PERFURAÇÃO'!$AN:$AN,MATCH(MEDIÇÃO!R1355,'PROJETO PERFURAÇÃO'!$B:$B,0)),"")</f>
        <v/>
      </c>
      <c r="U1355" s="3"/>
      <c r="V1355" s="3"/>
    </row>
    <row r="1356" spans="2:22" ht="45" customHeight="1" x14ac:dyDescent="0.25">
      <c r="B1356" s="3" t="str">
        <f>IFERROR(ROUND(INDEX('PROJETO PERFURAÇÃO'!$AB:$AB,MATCH(MEDIÇÃO!D1356,'PROJETO PERFURAÇÃO'!$B:$B,0)),1)&amp;"''","")</f>
        <v/>
      </c>
      <c r="C1356" s="3" t="str">
        <f>IFERROR(IF(INDEX('PROJETO PERFURAÇÃO'!$P:$P,MATCH(MEDIÇÃO!D1356,'PROJETO PERFURAÇÃO'!$B:$B,0))="Production","P",IF(INDEX('PROJETO PERFURAÇÃO'!$P:$P,MATCH(MEDIÇÃO!D1356,'PROJETO PERFURAÇÃO'!$B:$B,0))="Buffer","B",IF(INDEX('PROJETO PERFURAÇÃO'!$P:$P,MATCH(MEDIÇÃO!D1356,'PROJETO PERFURAÇÃO'!$B:$B,0))="Pre-Splitting","S"))),"")</f>
        <v/>
      </c>
      <c r="D1356" s="14">
        <f t="shared" si="129"/>
        <v>2986</v>
      </c>
      <c r="E1356" s="4" t="str">
        <f>IFERROR(INDEX('LEV R&amp;D'!$D:$D,MATCH(MEDIÇÃO!D1356,'LEV R&amp;D'!$A:$A,0))-INDEX('PROJETO PERFURAÇÃO'!$AH:$AH,MATCH(MEDIÇÃO!D1356,'PROJETO PERFURAÇÃO'!$B:$B,0)),"")</f>
        <v/>
      </c>
      <c r="F1356" s="8" t="str">
        <f>IFERROR(INDEX('PROJETO PERFURAÇÃO'!$AN:$AN,MATCH(MEDIÇÃO!D1356,'PROJETO PERFURAÇÃO'!$B:$B,0)),"")</f>
        <v/>
      </c>
      <c r="G1356" s="3"/>
      <c r="H1356" s="3"/>
      <c r="I1356" s="3" t="str">
        <f>IFERROR(ROUND(INDEX('PROJETO PERFURAÇÃO'!$AB:$AB,MATCH(MEDIÇÃO!K1356,'PROJETO PERFURAÇÃO'!$B:$B,0)),1)&amp;"''","")</f>
        <v/>
      </c>
      <c r="J1356" s="3" t="str">
        <f>IFERROR(IF(INDEX('PROJETO PERFURAÇÃO'!$P:$P,MATCH(MEDIÇÃO!K1356,'PROJETO PERFURAÇÃO'!$B:$B,0))="Production","P",IF(INDEX('PROJETO PERFURAÇÃO'!$P:$P,MATCH(MEDIÇÃO!K1356,'PROJETO PERFURAÇÃO'!$B:$B,0))="Buffer","B",IF(INDEX('PROJETO PERFURAÇÃO'!$P:$P,MATCH(MEDIÇÃO!K1356,'PROJETO PERFURAÇÃO'!$B:$B,0))="Pre-Splitting","S"))),"")</f>
        <v/>
      </c>
      <c r="K1356" s="14">
        <f t="shared" si="130"/>
        <v>3009</v>
      </c>
      <c r="L1356" s="4" t="str">
        <f>IFERROR(INDEX('LEV R&amp;D'!$D:$D,MATCH(MEDIÇÃO!K1356,'LEV R&amp;D'!$A:$A,0))-INDEX('PROJETO PERFURAÇÃO'!$AH:$AH,MATCH(MEDIÇÃO!K1356,'PROJETO PERFURAÇÃO'!$B:$B,0)),"")</f>
        <v/>
      </c>
      <c r="M1356" s="8" t="str">
        <f>IFERROR(INDEX('PROJETO PERFURAÇÃO'!$AN:$AN,MATCH(MEDIÇÃO!K1356,'PROJETO PERFURAÇÃO'!$B:$B,0)),"")</f>
        <v/>
      </c>
      <c r="N1356" s="3"/>
      <c r="O1356" s="3"/>
      <c r="P1356" s="3" t="str">
        <f>IFERROR(ROUND(INDEX('PROJETO PERFURAÇÃO'!$AB:$AB,MATCH(MEDIÇÃO!R1356,'PROJETO PERFURAÇÃO'!$B:$B,0)),1)&amp;"''","")</f>
        <v/>
      </c>
      <c r="Q1356" s="3" t="str">
        <f>IFERROR(IF(INDEX('PROJETO PERFURAÇÃO'!$P:$P,MATCH(MEDIÇÃO!R1356,'PROJETO PERFURAÇÃO'!$B:$B,0))="Production","P",IF(INDEX('PROJETO PERFURAÇÃO'!$P:$P,MATCH(MEDIÇÃO!R1356,'PROJETO PERFURAÇÃO'!$B:$B,0))="Buffer","B",IF(INDEX('PROJETO PERFURAÇÃO'!$P:$P,MATCH(MEDIÇÃO!R1356,'PROJETO PERFURAÇÃO'!$B:$B,0))="Pre-Splitting","S"))),"")</f>
        <v/>
      </c>
      <c r="R1356" s="14">
        <f t="shared" si="131"/>
        <v>3032</v>
      </c>
      <c r="S1356" s="4" t="str">
        <f>IFERROR(INDEX('LEV R&amp;D'!$D:$D,MATCH(MEDIÇÃO!R1356,'LEV R&amp;D'!$A:$A,0))-INDEX('PROJETO PERFURAÇÃO'!$AH:$AH,MATCH(MEDIÇÃO!R1356,'PROJETO PERFURAÇÃO'!$B:$B,0)),"")</f>
        <v/>
      </c>
      <c r="T1356" s="8" t="str">
        <f>IFERROR(INDEX('PROJETO PERFURAÇÃO'!$AN:$AN,MATCH(MEDIÇÃO!R1356,'PROJETO PERFURAÇÃO'!$B:$B,0)),"")</f>
        <v/>
      </c>
      <c r="U1356" s="3"/>
      <c r="V1356" s="3"/>
    </row>
    <row r="1357" spans="2:22" ht="45" customHeight="1" x14ac:dyDescent="0.25">
      <c r="B1357" s="3" t="str">
        <f>IFERROR(ROUND(INDEX('PROJETO PERFURAÇÃO'!$AB:$AB,MATCH(MEDIÇÃO!D1357,'PROJETO PERFURAÇÃO'!$B:$B,0)),1)&amp;"''","")</f>
        <v/>
      </c>
      <c r="C1357" s="3" t="str">
        <f>IFERROR(IF(INDEX('PROJETO PERFURAÇÃO'!$P:$P,MATCH(MEDIÇÃO!D1357,'PROJETO PERFURAÇÃO'!$B:$B,0))="Production","P",IF(INDEX('PROJETO PERFURAÇÃO'!$P:$P,MATCH(MEDIÇÃO!D1357,'PROJETO PERFURAÇÃO'!$B:$B,0))="Buffer","B",IF(INDEX('PROJETO PERFURAÇÃO'!$P:$P,MATCH(MEDIÇÃO!D1357,'PROJETO PERFURAÇÃO'!$B:$B,0))="Pre-Splitting","S"))),"")</f>
        <v/>
      </c>
      <c r="D1357" s="14">
        <f t="shared" si="129"/>
        <v>2987</v>
      </c>
      <c r="E1357" s="4" t="str">
        <f>IFERROR(INDEX('LEV R&amp;D'!$D:$D,MATCH(MEDIÇÃO!D1357,'LEV R&amp;D'!$A:$A,0))-INDEX('PROJETO PERFURAÇÃO'!$AH:$AH,MATCH(MEDIÇÃO!D1357,'PROJETO PERFURAÇÃO'!$B:$B,0)),"")</f>
        <v/>
      </c>
      <c r="F1357" s="8" t="str">
        <f>IFERROR(INDEX('PROJETO PERFURAÇÃO'!$AN:$AN,MATCH(MEDIÇÃO!D1357,'PROJETO PERFURAÇÃO'!$B:$B,0)),"")</f>
        <v/>
      </c>
      <c r="G1357" s="3"/>
      <c r="H1357" s="3"/>
      <c r="I1357" s="3" t="str">
        <f>IFERROR(ROUND(INDEX('PROJETO PERFURAÇÃO'!$AB:$AB,MATCH(MEDIÇÃO!K1357,'PROJETO PERFURAÇÃO'!$B:$B,0)),1)&amp;"''","")</f>
        <v/>
      </c>
      <c r="J1357" s="3" t="str">
        <f>IFERROR(IF(INDEX('PROJETO PERFURAÇÃO'!$P:$P,MATCH(MEDIÇÃO!K1357,'PROJETO PERFURAÇÃO'!$B:$B,0))="Production","P",IF(INDEX('PROJETO PERFURAÇÃO'!$P:$P,MATCH(MEDIÇÃO!K1357,'PROJETO PERFURAÇÃO'!$B:$B,0))="Buffer","B",IF(INDEX('PROJETO PERFURAÇÃO'!$P:$P,MATCH(MEDIÇÃO!K1357,'PROJETO PERFURAÇÃO'!$B:$B,0))="Pre-Splitting","S"))),"")</f>
        <v/>
      </c>
      <c r="K1357" s="14">
        <f t="shared" si="130"/>
        <v>3010</v>
      </c>
      <c r="L1357" s="4" t="str">
        <f>IFERROR(INDEX('LEV R&amp;D'!$D:$D,MATCH(MEDIÇÃO!K1357,'LEV R&amp;D'!$A:$A,0))-INDEX('PROJETO PERFURAÇÃO'!$AH:$AH,MATCH(MEDIÇÃO!K1357,'PROJETO PERFURAÇÃO'!$B:$B,0)),"")</f>
        <v/>
      </c>
      <c r="M1357" s="8" t="str">
        <f>IFERROR(INDEX('PROJETO PERFURAÇÃO'!$AN:$AN,MATCH(MEDIÇÃO!K1357,'PROJETO PERFURAÇÃO'!$B:$B,0)),"")</f>
        <v/>
      </c>
      <c r="N1357" s="3"/>
      <c r="O1357" s="3"/>
      <c r="P1357" s="3" t="str">
        <f>IFERROR(ROUND(INDEX('PROJETO PERFURAÇÃO'!$AB:$AB,MATCH(MEDIÇÃO!R1357,'PROJETO PERFURAÇÃO'!$B:$B,0)),1)&amp;"''","")</f>
        <v/>
      </c>
      <c r="Q1357" s="3" t="str">
        <f>IFERROR(IF(INDEX('PROJETO PERFURAÇÃO'!$P:$P,MATCH(MEDIÇÃO!R1357,'PROJETO PERFURAÇÃO'!$B:$B,0))="Production","P",IF(INDEX('PROJETO PERFURAÇÃO'!$P:$P,MATCH(MEDIÇÃO!R1357,'PROJETO PERFURAÇÃO'!$B:$B,0))="Buffer","B",IF(INDEX('PROJETO PERFURAÇÃO'!$P:$P,MATCH(MEDIÇÃO!R1357,'PROJETO PERFURAÇÃO'!$B:$B,0))="Pre-Splitting","S"))),"")</f>
        <v/>
      </c>
      <c r="R1357" s="14">
        <f t="shared" si="131"/>
        <v>3033</v>
      </c>
      <c r="S1357" s="4" t="str">
        <f>IFERROR(INDEX('LEV R&amp;D'!$D:$D,MATCH(MEDIÇÃO!R1357,'LEV R&amp;D'!$A:$A,0))-INDEX('PROJETO PERFURAÇÃO'!$AH:$AH,MATCH(MEDIÇÃO!R1357,'PROJETO PERFURAÇÃO'!$B:$B,0)),"")</f>
        <v/>
      </c>
      <c r="T1357" s="8" t="str">
        <f>IFERROR(INDEX('PROJETO PERFURAÇÃO'!$AN:$AN,MATCH(MEDIÇÃO!R1357,'PROJETO PERFURAÇÃO'!$B:$B,0)),"")</f>
        <v/>
      </c>
      <c r="U1357" s="3"/>
      <c r="V1357" s="3"/>
    </row>
    <row r="1358" spans="2:22" ht="45" customHeight="1" x14ac:dyDescent="0.25">
      <c r="B1358" s="3" t="str">
        <f>IFERROR(ROUND(INDEX('PROJETO PERFURAÇÃO'!$AB:$AB,MATCH(MEDIÇÃO!D1358,'PROJETO PERFURAÇÃO'!$B:$B,0)),1)&amp;"''","")</f>
        <v/>
      </c>
      <c r="C1358" s="3" t="str">
        <f>IFERROR(IF(INDEX('PROJETO PERFURAÇÃO'!$P:$P,MATCH(MEDIÇÃO!D1358,'PROJETO PERFURAÇÃO'!$B:$B,0))="Production","P",IF(INDEX('PROJETO PERFURAÇÃO'!$P:$P,MATCH(MEDIÇÃO!D1358,'PROJETO PERFURAÇÃO'!$B:$B,0))="Buffer","B",IF(INDEX('PROJETO PERFURAÇÃO'!$P:$P,MATCH(MEDIÇÃO!D1358,'PROJETO PERFURAÇÃO'!$B:$B,0))="Pre-Splitting","S"))),"")</f>
        <v/>
      </c>
      <c r="D1358" s="14">
        <f t="shared" si="129"/>
        <v>2988</v>
      </c>
      <c r="E1358" s="4" t="str">
        <f>IFERROR(INDEX('LEV R&amp;D'!$D:$D,MATCH(MEDIÇÃO!D1358,'LEV R&amp;D'!$A:$A,0))-INDEX('PROJETO PERFURAÇÃO'!$AH:$AH,MATCH(MEDIÇÃO!D1358,'PROJETO PERFURAÇÃO'!$B:$B,0)),"")</f>
        <v/>
      </c>
      <c r="F1358" s="8" t="str">
        <f>IFERROR(INDEX('PROJETO PERFURAÇÃO'!$AN:$AN,MATCH(MEDIÇÃO!D1358,'PROJETO PERFURAÇÃO'!$B:$B,0)),"")</f>
        <v/>
      </c>
      <c r="G1358" s="3"/>
      <c r="H1358" s="3"/>
      <c r="I1358" s="3" t="str">
        <f>IFERROR(ROUND(INDEX('PROJETO PERFURAÇÃO'!$AB:$AB,MATCH(MEDIÇÃO!K1358,'PROJETO PERFURAÇÃO'!$B:$B,0)),1)&amp;"''","")</f>
        <v/>
      </c>
      <c r="J1358" s="3" t="str">
        <f>IFERROR(IF(INDEX('PROJETO PERFURAÇÃO'!$P:$P,MATCH(MEDIÇÃO!K1358,'PROJETO PERFURAÇÃO'!$B:$B,0))="Production","P",IF(INDEX('PROJETO PERFURAÇÃO'!$P:$P,MATCH(MEDIÇÃO!K1358,'PROJETO PERFURAÇÃO'!$B:$B,0))="Buffer","B",IF(INDEX('PROJETO PERFURAÇÃO'!$P:$P,MATCH(MEDIÇÃO!K1358,'PROJETO PERFURAÇÃO'!$B:$B,0))="Pre-Splitting","S"))),"")</f>
        <v/>
      </c>
      <c r="K1358" s="14">
        <f t="shared" si="130"/>
        <v>3011</v>
      </c>
      <c r="L1358" s="4" t="str">
        <f>IFERROR(INDEX('LEV R&amp;D'!$D:$D,MATCH(MEDIÇÃO!K1358,'LEV R&amp;D'!$A:$A,0))-INDEX('PROJETO PERFURAÇÃO'!$AH:$AH,MATCH(MEDIÇÃO!K1358,'PROJETO PERFURAÇÃO'!$B:$B,0)),"")</f>
        <v/>
      </c>
      <c r="M1358" s="8" t="str">
        <f>IFERROR(INDEX('PROJETO PERFURAÇÃO'!$AN:$AN,MATCH(MEDIÇÃO!K1358,'PROJETO PERFURAÇÃO'!$B:$B,0)),"")</f>
        <v/>
      </c>
      <c r="N1358" s="3"/>
      <c r="O1358" s="3"/>
      <c r="P1358" s="3" t="str">
        <f>IFERROR(ROUND(INDEX('PROJETO PERFURAÇÃO'!$AB:$AB,MATCH(MEDIÇÃO!R1358,'PROJETO PERFURAÇÃO'!$B:$B,0)),1)&amp;"''","")</f>
        <v/>
      </c>
      <c r="Q1358" s="3" t="str">
        <f>IFERROR(IF(INDEX('PROJETO PERFURAÇÃO'!$P:$P,MATCH(MEDIÇÃO!R1358,'PROJETO PERFURAÇÃO'!$B:$B,0))="Production","P",IF(INDEX('PROJETO PERFURAÇÃO'!$P:$P,MATCH(MEDIÇÃO!R1358,'PROJETO PERFURAÇÃO'!$B:$B,0))="Buffer","B",IF(INDEX('PROJETO PERFURAÇÃO'!$P:$P,MATCH(MEDIÇÃO!R1358,'PROJETO PERFURAÇÃO'!$B:$B,0))="Pre-Splitting","S"))),"")</f>
        <v/>
      </c>
      <c r="R1358" s="14">
        <f t="shared" si="131"/>
        <v>3034</v>
      </c>
      <c r="S1358" s="4" t="str">
        <f>IFERROR(INDEX('LEV R&amp;D'!$D:$D,MATCH(MEDIÇÃO!R1358,'LEV R&amp;D'!$A:$A,0))-INDEX('PROJETO PERFURAÇÃO'!$AH:$AH,MATCH(MEDIÇÃO!R1358,'PROJETO PERFURAÇÃO'!$B:$B,0)),"")</f>
        <v/>
      </c>
      <c r="T1358" s="8" t="str">
        <f>IFERROR(INDEX('PROJETO PERFURAÇÃO'!$AN:$AN,MATCH(MEDIÇÃO!R1358,'PROJETO PERFURAÇÃO'!$B:$B,0)),"")</f>
        <v/>
      </c>
      <c r="U1358" s="3"/>
      <c r="V1358" s="3"/>
    </row>
    <row r="1359" spans="2:22" ht="45" customHeight="1" x14ac:dyDescent="0.25">
      <c r="B1359" s="3" t="str">
        <f>IFERROR(ROUND(INDEX('PROJETO PERFURAÇÃO'!$AB:$AB,MATCH(MEDIÇÃO!D1359,'PROJETO PERFURAÇÃO'!$B:$B,0)),1)&amp;"''","")</f>
        <v/>
      </c>
      <c r="C1359" s="3" t="str">
        <f>IFERROR(IF(INDEX('PROJETO PERFURAÇÃO'!$P:$P,MATCH(MEDIÇÃO!D1359,'PROJETO PERFURAÇÃO'!$B:$B,0))="Production","P",IF(INDEX('PROJETO PERFURAÇÃO'!$P:$P,MATCH(MEDIÇÃO!D1359,'PROJETO PERFURAÇÃO'!$B:$B,0))="Buffer","B",IF(INDEX('PROJETO PERFURAÇÃO'!$P:$P,MATCH(MEDIÇÃO!D1359,'PROJETO PERFURAÇÃO'!$B:$B,0))="Pre-Splitting","S"))),"")</f>
        <v/>
      </c>
      <c r="D1359" s="14">
        <f t="shared" si="129"/>
        <v>2989</v>
      </c>
      <c r="E1359" s="4" t="str">
        <f>IFERROR(INDEX('LEV R&amp;D'!$D:$D,MATCH(MEDIÇÃO!D1359,'LEV R&amp;D'!$A:$A,0))-INDEX('PROJETO PERFURAÇÃO'!$AH:$AH,MATCH(MEDIÇÃO!D1359,'PROJETO PERFURAÇÃO'!$B:$B,0)),"")</f>
        <v/>
      </c>
      <c r="F1359" s="8" t="str">
        <f>IFERROR(INDEX('PROJETO PERFURAÇÃO'!$AN:$AN,MATCH(MEDIÇÃO!D1359,'PROJETO PERFURAÇÃO'!$B:$B,0)),"")</f>
        <v/>
      </c>
      <c r="G1359" s="3"/>
      <c r="H1359" s="3"/>
      <c r="I1359" s="3" t="str">
        <f>IFERROR(ROUND(INDEX('PROJETO PERFURAÇÃO'!$AB:$AB,MATCH(MEDIÇÃO!K1359,'PROJETO PERFURAÇÃO'!$B:$B,0)),1)&amp;"''","")</f>
        <v/>
      </c>
      <c r="J1359" s="3" t="str">
        <f>IFERROR(IF(INDEX('PROJETO PERFURAÇÃO'!$P:$P,MATCH(MEDIÇÃO!K1359,'PROJETO PERFURAÇÃO'!$B:$B,0))="Production","P",IF(INDEX('PROJETO PERFURAÇÃO'!$P:$P,MATCH(MEDIÇÃO!K1359,'PROJETO PERFURAÇÃO'!$B:$B,0))="Buffer","B",IF(INDEX('PROJETO PERFURAÇÃO'!$P:$P,MATCH(MEDIÇÃO!K1359,'PROJETO PERFURAÇÃO'!$B:$B,0))="Pre-Splitting","S"))),"")</f>
        <v/>
      </c>
      <c r="K1359" s="14">
        <f t="shared" si="130"/>
        <v>3012</v>
      </c>
      <c r="L1359" s="4" t="str">
        <f>IFERROR(INDEX('LEV R&amp;D'!$D:$D,MATCH(MEDIÇÃO!K1359,'LEV R&amp;D'!$A:$A,0))-INDEX('PROJETO PERFURAÇÃO'!$AH:$AH,MATCH(MEDIÇÃO!K1359,'PROJETO PERFURAÇÃO'!$B:$B,0)),"")</f>
        <v/>
      </c>
      <c r="M1359" s="8" t="str">
        <f>IFERROR(INDEX('PROJETO PERFURAÇÃO'!$AN:$AN,MATCH(MEDIÇÃO!K1359,'PROJETO PERFURAÇÃO'!$B:$B,0)),"")</f>
        <v/>
      </c>
      <c r="N1359" s="3"/>
      <c r="O1359" s="3"/>
      <c r="P1359" s="3" t="str">
        <f>IFERROR(ROUND(INDEX('PROJETO PERFURAÇÃO'!$AB:$AB,MATCH(MEDIÇÃO!R1359,'PROJETO PERFURAÇÃO'!$B:$B,0)),1)&amp;"''","")</f>
        <v/>
      </c>
      <c r="Q1359" s="3" t="str">
        <f>IFERROR(IF(INDEX('PROJETO PERFURAÇÃO'!$P:$P,MATCH(MEDIÇÃO!R1359,'PROJETO PERFURAÇÃO'!$B:$B,0))="Production","P",IF(INDEX('PROJETO PERFURAÇÃO'!$P:$P,MATCH(MEDIÇÃO!R1359,'PROJETO PERFURAÇÃO'!$B:$B,0))="Buffer","B",IF(INDEX('PROJETO PERFURAÇÃO'!$P:$P,MATCH(MEDIÇÃO!R1359,'PROJETO PERFURAÇÃO'!$B:$B,0))="Pre-Splitting","S"))),"")</f>
        <v/>
      </c>
      <c r="R1359" s="14">
        <f t="shared" si="131"/>
        <v>3035</v>
      </c>
      <c r="S1359" s="4" t="str">
        <f>IFERROR(INDEX('LEV R&amp;D'!$D:$D,MATCH(MEDIÇÃO!R1359,'LEV R&amp;D'!$A:$A,0))-INDEX('PROJETO PERFURAÇÃO'!$AH:$AH,MATCH(MEDIÇÃO!R1359,'PROJETO PERFURAÇÃO'!$B:$B,0)),"")</f>
        <v/>
      </c>
      <c r="T1359" s="8" t="str">
        <f>IFERROR(INDEX('PROJETO PERFURAÇÃO'!$AN:$AN,MATCH(MEDIÇÃO!R1359,'PROJETO PERFURAÇÃO'!$B:$B,0)),"")</f>
        <v/>
      </c>
      <c r="U1359" s="3"/>
      <c r="V1359" s="3"/>
    </row>
    <row r="1360" spans="2:22" ht="45" customHeight="1" x14ac:dyDescent="0.25">
      <c r="B1360" s="3" t="str">
        <f>IFERROR(ROUND(INDEX('PROJETO PERFURAÇÃO'!$AB:$AB,MATCH(MEDIÇÃO!D1360,'PROJETO PERFURAÇÃO'!$B:$B,0)),1)&amp;"''","")</f>
        <v/>
      </c>
      <c r="C1360" s="3" t="str">
        <f>IFERROR(IF(INDEX('PROJETO PERFURAÇÃO'!$P:$P,MATCH(MEDIÇÃO!D1360,'PROJETO PERFURAÇÃO'!$B:$B,0))="Production","P",IF(INDEX('PROJETO PERFURAÇÃO'!$P:$P,MATCH(MEDIÇÃO!D1360,'PROJETO PERFURAÇÃO'!$B:$B,0))="Buffer","B",IF(INDEX('PROJETO PERFURAÇÃO'!$P:$P,MATCH(MEDIÇÃO!D1360,'PROJETO PERFURAÇÃO'!$B:$B,0))="Pre-Splitting","S"))),"")</f>
        <v/>
      </c>
      <c r="D1360" s="14">
        <f t="shared" si="129"/>
        <v>2990</v>
      </c>
      <c r="E1360" s="4" t="str">
        <f>IFERROR(INDEX('LEV R&amp;D'!$D:$D,MATCH(MEDIÇÃO!D1360,'LEV R&amp;D'!$A:$A,0))-INDEX('PROJETO PERFURAÇÃO'!$AH:$AH,MATCH(MEDIÇÃO!D1360,'PROJETO PERFURAÇÃO'!$B:$B,0)),"")</f>
        <v/>
      </c>
      <c r="F1360" s="8" t="str">
        <f>IFERROR(INDEX('PROJETO PERFURAÇÃO'!$AN:$AN,MATCH(MEDIÇÃO!D1360,'PROJETO PERFURAÇÃO'!$B:$B,0)),"")</f>
        <v/>
      </c>
      <c r="G1360" s="3"/>
      <c r="H1360" s="3"/>
      <c r="I1360" s="3" t="str">
        <f>IFERROR(ROUND(INDEX('PROJETO PERFURAÇÃO'!$AB:$AB,MATCH(MEDIÇÃO!K1360,'PROJETO PERFURAÇÃO'!$B:$B,0)),1)&amp;"''","")</f>
        <v/>
      </c>
      <c r="J1360" s="3" t="str">
        <f>IFERROR(IF(INDEX('PROJETO PERFURAÇÃO'!$P:$P,MATCH(MEDIÇÃO!K1360,'PROJETO PERFURAÇÃO'!$B:$B,0))="Production","P",IF(INDEX('PROJETO PERFURAÇÃO'!$P:$P,MATCH(MEDIÇÃO!K1360,'PROJETO PERFURAÇÃO'!$B:$B,0))="Buffer","B",IF(INDEX('PROJETO PERFURAÇÃO'!$P:$P,MATCH(MEDIÇÃO!K1360,'PROJETO PERFURAÇÃO'!$B:$B,0))="Pre-Splitting","S"))),"")</f>
        <v/>
      </c>
      <c r="K1360" s="14">
        <f>K1359+1</f>
        <v>3013</v>
      </c>
      <c r="L1360" s="4" t="str">
        <f>IFERROR(INDEX('LEV R&amp;D'!$D:$D,MATCH(MEDIÇÃO!K1360,'LEV R&amp;D'!$A:$A,0))-INDEX('PROJETO PERFURAÇÃO'!$AH:$AH,MATCH(MEDIÇÃO!K1360,'PROJETO PERFURAÇÃO'!$B:$B,0)),"")</f>
        <v/>
      </c>
      <c r="M1360" s="8" t="str">
        <f>IFERROR(INDEX('PROJETO PERFURAÇÃO'!$AN:$AN,MATCH(MEDIÇÃO!K1360,'PROJETO PERFURAÇÃO'!$B:$B,0)),"")</f>
        <v/>
      </c>
      <c r="N1360" s="3"/>
      <c r="O1360" s="3"/>
      <c r="P1360" s="3" t="str">
        <f>IFERROR(ROUND(INDEX('PROJETO PERFURAÇÃO'!$AB:$AB,MATCH(MEDIÇÃO!R1360,'PROJETO PERFURAÇÃO'!$B:$B,0)),1)&amp;"''","")</f>
        <v/>
      </c>
      <c r="Q1360" s="3" t="str">
        <f>IFERROR(IF(INDEX('PROJETO PERFURAÇÃO'!$P:$P,MATCH(MEDIÇÃO!R1360,'PROJETO PERFURAÇÃO'!$B:$B,0))="Production","P",IF(INDEX('PROJETO PERFURAÇÃO'!$P:$P,MATCH(MEDIÇÃO!R1360,'PROJETO PERFURAÇÃO'!$B:$B,0))="Buffer","B",IF(INDEX('PROJETO PERFURAÇÃO'!$P:$P,MATCH(MEDIÇÃO!R1360,'PROJETO PERFURAÇÃO'!$B:$B,0))="Pre-Splitting","S"))),"")</f>
        <v/>
      </c>
      <c r="R1360" s="14">
        <f>R1359+1</f>
        <v>3036</v>
      </c>
      <c r="S1360" s="4" t="str">
        <f>IFERROR(INDEX('LEV R&amp;D'!$D:$D,MATCH(MEDIÇÃO!R1360,'LEV R&amp;D'!$A:$A,0))-INDEX('PROJETO PERFURAÇÃO'!$AH:$AH,MATCH(MEDIÇÃO!R1360,'PROJETO PERFURAÇÃO'!$B:$B,0)),"")</f>
        <v/>
      </c>
      <c r="T1360" s="8" t="str">
        <f>IFERROR(INDEX('PROJETO PERFURAÇÃO'!$AN:$AN,MATCH(MEDIÇÃO!R1360,'PROJETO PERFURAÇÃO'!$B:$B,0)),"")</f>
        <v/>
      </c>
      <c r="U1360" s="3"/>
      <c r="V1360" s="3"/>
    </row>
    <row r="1361" spans="1:23" ht="30" customHeight="1" x14ac:dyDescent="0.25">
      <c r="B1361" s="1"/>
      <c r="C1361" s="1"/>
      <c r="D1361" s="15"/>
      <c r="E1361" s="2"/>
      <c r="F1361" s="16"/>
      <c r="G1361" s="1"/>
      <c r="H1361" s="1"/>
      <c r="I1361" s="1"/>
      <c r="J1361" s="1"/>
      <c r="K1361" s="15"/>
      <c r="L1361" s="2"/>
      <c r="M1361" s="16"/>
      <c r="N1361" s="1"/>
      <c r="O1361" s="1"/>
      <c r="P1361" s="1"/>
      <c r="Q1361" s="1"/>
      <c r="R1361" s="15"/>
      <c r="S1361" s="2"/>
      <c r="T1361" s="16"/>
      <c r="U1361" s="1"/>
      <c r="V1361" s="1"/>
    </row>
    <row r="1362" spans="1:23" ht="30" customHeight="1" x14ac:dyDescent="0.25">
      <c r="C1362" s="20"/>
      <c r="D1362" s="20"/>
      <c r="E1362" s="20"/>
      <c r="F1362" s="20"/>
      <c r="G1362" s="20"/>
      <c r="H1362" s="20"/>
      <c r="I1362" s="20"/>
      <c r="J1362" s="20"/>
      <c r="K1362" s="20"/>
      <c r="M1362" s="20"/>
      <c r="N1362" s="20"/>
      <c r="O1362" s="20"/>
      <c r="P1362" s="20"/>
      <c r="Q1362" s="20"/>
      <c r="R1362" s="20"/>
      <c r="S1362" s="20"/>
      <c r="T1362" s="20"/>
      <c r="U1362" s="20"/>
    </row>
    <row r="1363" spans="1:23" ht="30" customHeight="1" x14ac:dyDescent="0.25">
      <c r="C1363" s="21" t="s">
        <v>40</v>
      </c>
      <c r="D1363" s="21"/>
      <c r="E1363" s="21"/>
      <c r="F1363" s="21"/>
      <c r="G1363" s="21"/>
      <c r="H1363" s="21"/>
      <c r="I1363" s="21"/>
      <c r="J1363" s="21"/>
      <c r="K1363" s="21"/>
      <c r="L1363" s="9"/>
      <c r="M1363" s="21" t="s">
        <v>40</v>
      </c>
      <c r="N1363" s="21"/>
      <c r="O1363" s="21"/>
      <c r="P1363" s="21"/>
      <c r="Q1363" s="21"/>
      <c r="R1363" s="21"/>
      <c r="S1363" s="21"/>
      <c r="T1363" s="21"/>
      <c r="U1363" s="21"/>
      <c r="V1363" s="9"/>
    </row>
    <row r="1364" spans="1:23" ht="30" customHeight="1" x14ac:dyDescent="0.25">
      <c r="D1364" s="9"/>
      <c r="E1364" s="9"/>
      <c r="F1364" s="9"/>
      <c r="G1364" s="9"/>
      <c r="H1364" s="9"/>
      <c r="I1364" s="9"/>
      <c r="J1364" s="9"/>
      <c r="K1364" s="9"/>
      <c r="L1364" s="9"/>
      <c r="M1364" s="9"/>
      <c r="N1364" s="9"/>
      <c r="Q1364" s="9"/>
      <c r="R1364" s="9"/>
      <c r="S1364" s="9"/>
      <c r="T1364" s="9"/>
      <c r="U1364" s="9"/>
      <c r="V1364" s="9"/>
    </row>
    <row r="1365" spans="1:23" ht="30" customHeight="1" x14ac:dyDescent="0.25">
      <c r="B1365" s="19" t="str">
        <f>'PROJETO PERFURAÇÃO'!$C$2&amp;" - "&amp;'PROJETO PERFURAÇÃO'!$H$2</f>
        <v>LIB065 - PP0651026</v>
      </c>
      <c r="C1365" s="19"/>
      <c r="D1365" s="19"/>
      <c r="E1365" s="19"/>
      <c r="F1365" s="19"/>
      <c r="G1365" s="19"/>
      <c r="H1365" s="19"/>
      <c r="I1365" s="11" t="s">
        <v>34</v>
      </c>
      <c r="J1365" s="10" t="s">
        <v>37</v>
      </c>
    </row>
    <row r="1366" spans="1:23" ht="30" customHeight="1" x14ac:dyDescent="0.25">
      <c r="B1366" s="19"/>
      <c r="C1366" s="19"/>
      <c r="D1366" s="19"/>
      <c r="E1366" s="19"/>
      <c r="F1366" s="19"/>
      <c r="G1366" s="19"/>
      <c r="H1366" s="19"/>
      <c r="I1366" s="12" t="s">
        <v>35</v>
      </c>
      <c r="J1366" s="10" t="s">
        <v>38</v>
      </c>
      <c r="K1366" s="9"/>
      <c r="L1366" s="9"/>
      <c r="M1366" s="9"/>
      <c r="N1366" s="9"/>
      <c r="O1366" s="9"/>
      <c r="P1366" s="9"/>
      <c r="Q1366" s="9"/>
      <c r="R1366" s="9"/>
      <c r="S1366" s="9"/>
      <c r="T1366" s="9"/>
      <c r="U1366" s="9"/>
      <c r="V1366" s="9"/>
    </row>
    <row r="1367" spans="1:23" ht="30" customHeight="1" x14ac:dyDescent="0.25">
      <c r="B1367" s="19"/>
      <c r="C1367" s="19"/>
      <c r="D1367" s="19"/>
      <c r="E1367" s="19"/>
      <c r="F1367" s="19"/>
      <c r="G1367" s="19"/>
      <c r="H1367" s="19"/>
      <c r="I1367" s="13" t="s">
        <v>36</v>
      </c>
      <c r="J1367" s="10" t="s">
        <v>39</v>
      </c>
    </row>
    <row r="1368" spans="1:23" ht="30" customHeight="1" x14ac:dyDescent="0.25">
      <c r="A1368" s="1"/>
      <c r="B1368" s="6" t="s">
        <v>33</v>
      </c>
      <c r="C1368" s="6" t="s">
        <v>13</v>
      </c>
      <c r="D1368" s="7" t="s">
        <v>1</v>
      </c>
      <c r="E1368" s="7" t="s">
        <v>29</v>
      </c>
      <c r="F1368" s="7" t="s">
        <v>30</v>
      </c>
      <c r="G1368" s="7" t="s">
        <v>31</v>
      </c>
      <c r="H1368" s="7" t="s">
        <v>32</v>
      </c>
      <c r="I1368" s="6" t="s">
        <v>33</v>
      </c>
      <c r="J1368" s="6" t="s">
        <v>13</v>
      </c>
      <c r="K1368" s="7" t="s">
        <v>1</v>
      </c>
      <c r="L1368" s="7" t="s">
        <v>29</v>
      </c>
      <c r="M1368" s="7" t="s">
        <v>30</v>
      </c>
      <c r="N1368" s="7" t="s">
        <v>31</v>
      </c>
      <c r="O1368" s="7" t="s">
        <v>32</v>
      </c>
      <c r="P1368" s="6" t="s">
        <v>33</v>
      </c>
      <c r="Q1368" s="6" t="s">
        <v>13</v>
      </c>
      <c r="R1368" s="7" t="s">
        <v>1</v>
      </c>
      <c r="S1368" s="7" t="s">
        <v>29</v>
      </c>
      <c r="T1368" s="7" t="s">
        <v>30</v>
      </c>
      <c r="U1368" s="7" t="s">
        <v>31</v>
      </c>
      <c r="V1368" s="7" t="s">
        <v>32</v>
      </c>
      <c r="W1368" s="1"/>
    </row>
    <row r="1369" spans="1:23" ht="45" customHeight="1" x14ac:dyDescent="0.25">
      <c r="B1369" s="3" t="str">
        <f>IFERROR(ROUND(INDEX('PROJETO PERFURAÇÃO'!$AB:$AB,MATCH(MEDIÇÃO!D1369,'PROJETO PERFURAÇÃO'!$B:$B,0)),1)&amp;"''","")</f>
        <v/>
      </c>
      <c r="C1369" s="3" t="str">
        <f>IFERROR(IF(INDEX('PROJETO PERFURAÇÃO'!$P:$P,MATCH(MEDIÇÃO!D1369,'PROJETO PERFURAÇÃO'!$B:$B,0))="Production","P",IF(INDEX('PROJETO PERFURAÇÃO'!$P:$P,MATCH(MEDIÇÃO!D1369,'PROJETO PERFURAÇÃO'!$B:$B,0))="Buffer","B",IF(INDEX('PROJETO PERFURAÇÃO'!$P:$P,MATCH(MEDIÇÃO!D1369,'PROJETO PERFURAÇÃO'!$B:$B,0))="Pre-Splitting","S"))),"")</f>
        <v/>
      </c>
      <c r="D1369" s="14">
        <f>R1360+1</f>
        <v>3037</v>
      </c>
      <c r="E1369" s="4" t="str">
        <f>IFERROR(INDEX('LEV R&amp;D'!$D:$D,MATCH(MEDIÇÃO!D1369,'LEV R&amp;D'!$A:$A,0))-INDEX('PROJETO PERFURAÇÃO'!$AH:$AH,MATCH(MEDIÇÃO!D1369,'PROJETO PERFURAÇÃO'!$B:$B,0)),"")</f>
        <v/>
      </c>
      <c r="F1369" s="8" t="str">
        <f>IFERROR(INDEX('PROJETO PERFURAÇÃO'!$AN:$AN,MATCH(MEDIÇÃO!D1369,'PROJETO PERFURAÇÃO'!$B:$B,0)),"")</f>
        <v/>
      </c>
      <c r="G1369" s="3"/>
      <c r="H1369" s="3"/>
      <c r="I1369" s="3" t="str">
        <f>IFERROR(ROUND(INDEX('PROJETO PERFURAÇÃO'!$AB:$AB,MATCH(MEDIÇÃO!K1369,'PROJETO PERFURAÇÃO'!$B:$B,0)),1)&amp;"''","")</f>
        <v/>
      </c>
      <c r="J1369" s="3" t="str">
        <f>IFERROR(IF(INDEX('PROJETO PERFURAÇÃO'!$P:$P,MATCH(MEDIÇÃO!K1369,'PROJETO PERFURAÇÃO'!$B:$B,0))="Production","P",IF(INDEX('PROJETO PERFURAÇÃO'!$P:$P,MATCH(MEDIÇÃO!K1369,'PROJETO PERFURAÇÃO'!$B:$B,0))="Buffer","B",IF(INDEX('PROJETO PERFURAÇÃO'!$P:$P,MATCH(MEDIÇÃO!K1369,'PROJETO PERFURAÇÃO'!$B:$B,0))="Pre-Splitting","S"))),"")</f>
        <v/>
      </c>
      <c r="K1369" s="14">
        <f>D1391+1</f>
        <v>3060</v>
      </c>
      <c r="L1369" s="4" t="str">
        <f>IFERROR(INDEX('LEV R&amp;D'!$D:$D,MATCH(MEDIÇÃO!K1369,'LEV R&amp;D'!$A:$A,0))-INDEX('PROJETO PERFURAÇÃO'!$AH:$AH,MATCH(MEDIÇÃO!K1369,'PROJETO PERFURAÇÃO'!$B:$B,0)),"")</f>
        <v/>
      </c>
      <c r="M1369" s="8" t="str">
        <f>IFERROR(INDEX('PROJETO PERFURAÇÃO'!$AN:$AN,MATCH(MEDIÇÃO!K1369,'PROJETO PERFURAÇÃO'!$B:$B,0)),"")</f>
        <v/>
      </c>
      <c r="N1369" s="3"/>
      <c r="O1369" s="3"/>
      <c r="P1369" s="3" t="str">
        <f>IFERROR(ROUND(INDEX('PROJETO PERFURAÇÃO'!$AB:$AB,MATCH(MEDIÇÃO!R1369,'PROJETO PERFURAÇÃO'!$B:$B,0)),1)&amp;"''","")</f>
        <v/>
      </c>
      <c r="Q1369" s="3" t="str">
        <f>IFERROR(IF(INDEX('PROJETO PERFURAÇÃO'!$P:$P,MATCH(MEDIÇÃO!R1369,'PROJETO PERFURAÇÃO'!$B:$B,0))="Production","P",IF(INDEX('PROJETO PERFURAÇÃO'!$P:$P,MATCH(MEDIÇÃO!R1369,'PROJETO PERFURAÇÃO'!$B:$B,0))="Buffer","B",IF(INDEX('PROJETO PERFURAÇÃO'!$P:$P,MATCH(MEDIÇÃO!R1369,'PROJETO PERFURAÇÃO'!$B:$B,0))="Pre-Splitting","S"))),"")</f>
        <v/>
      </c>
      <c r="R1369" s="14">
        <f>K1391+1</f>
        <v>3083</v>
      </c>
      <c r="S1369" s="4" t="str">
        <f>IFERROR(INDEX('LEV R&amp;D'!$D:$D,MATCH(MEDIÇÃO!R1369,'LEV R&amp;D'!$A:$A,0))-INDEX('PROJETO PERFURAÇÃO'!$AH:$AH,MATCH(MEDIÇÃO!R1369,'PROJETO PERFURAÇÃO'!$B:$B,0)),"")</f>
        <v/>
      </c>
      <c r="T1369" s="8" t="str">
        <f>IFERROR(INDEX('PROJETO PERFURAÇÃO'!$AN:$AN,MATCH(MEDIÇÃO!R1369,'PROJETO PERFURAÇÃO'!$B:$B,0)),"")</f>
        <v/>
      </c>
      <c r="U1369" s="3"/>
      <c r="V1369" s="3"/>
    </row>
    <row r="1370" spans="1:23" ht="45" customHeight="1" x14ac:dyDescent="0.25">
      <c r="B1370" s="3" t="str">
        <f>IFERROR(ROUND(INDEX('PROJETO PERFURAÇÃO'!$AB:$AB,MATCH(MEDIÇÃO!D1370,'PROJETO PERFURAÇÃO'!$B:$B,0)),1)&amp;"''","")</f>
        <v/>
      </c>
      <c r="C1370" s="3" t="str">
        <f>IFERROR(IF(INDEX('PROJETO PERFURAÇÃO'!$P:$P,MATCH(MEDIÇÃO!D1370,'PROJETO PERFURAÇÃO'!$B:$B,0))="Production","P",IF(INDEX('PROJETO PERFURAÇÃO'!$P:$P,MATCH(MEDIÇÃO!D1370,'PROJETO PERFURAÇÃO'!$B:$B,0))="Buffer","B",IF(INDEX('PROJETO PERFURAÇÃO'!$P:$P,MATCH(MEDIÇÃO!D1370,'PROJETO PERFURAÇÃO'!$B:$B,0))="Pre-Splitting","S"))),"")</f>
        <v/>
      </c>
      <c r="D1370" s="14">
        <f>D1369+1</f>
        <v>3038</v>
      </c>
      <c r="E1370" s="4" t="str">
        <f>IFERROR(INDEX('LEV R&amp;D'!$D:$D,MATCH(MEDIÇÃO!D1370,'LEV R&amp;D'!$A:$A,0))-INDEX('PROJETO PERFURAÇÃO'!$AH:$AH,MATCH(MEDIÇÃO!D1370,'PROJETO PERFURAÇÃO'!$B:$B,0)),"")</f>
        <v/>
      </c>
      <c r="F1370" s="8" t="str">
        <f>IFERROR(INDEX('PROJETO PERFURAÇÃO'!$AN:$AN,MATCH(MEDIÇÃO!D1370,'PROJETO PERFURAÇÃO'!$B:$B,0)),"")</f>
        <v/>
      </c>
      <c r="G1370" s="3"/>
      <c r="H1370" s="3"/>
      <c r="I1370" s="3" t="str">
        <f>IFERROR(ROUND(INDEX('PROJETO PERFURAÇÃO'!$AB:$AB,MATCH(MEDIÇÃO!K1370,'PROJETO PERFURAÇÃO'!$B:$B,0)),1)&amp;"''","")</f>
        <v/>
      </c>
      <c r="J1370" s="3" t="str">
        <f>IFERROR(IF(INDEX('PROJETO PERFURAÇÃO'!$P:$P,MATCH(MEDIÇÃO!K1370,'PROJETO PERFURAÇÃO'!$B:$B,0))="Production","P",IF(INDEX('PROJETO PERFURAÇÃO'!$P:$P,MATCH(MEDIÇÃO!K1370,'PROJETO PERFURAÇÃO'!$B:$B,0))="Buffer","B",IF(INDEX('PROJETO PERFURAÇÃO'!$P:$P,MATCH(MEDIÇÃO!K1370,'PROJETO PERFURAÇÃO'!$B:$B,0))="Pre-Splitting","S"))),"")</f>
        <v/>
      </c>
      <c r="K1370" s="14">
        <f>K1369+1</f>
        <v>3061</v>
      </c>
      <c r="L1370" s="4" t="str">
        <f>IFERROR(INDEX('LEV R&amp;D'!$D:$D,MATCH(MEDIÇÃO!K1370,'LEV R&amp;D'!$A:$A,0))-INDEX('PROJETO PERFURAÇÃO'!$AH:$AH,MATCH(MEDIÇÃO!K1370,'PROJETO PERFURAÇÃO'!$B:$B,0)),"")</f>
        <v/>
      </c>
      <c r="M1370" s="8" t="str">
        <f>IFERROR(INDEX('PROJETO PERFURAÇÃO'!$AN:$AN,MATCH(MEDIÇÃO!K1370,'PROJETO PERFURAÇÃO'!$B:$B,0)),"")</f>
        <v/>
      </c>
      <c r="N1370" s="3"/>
      <c r="O1370" s="3"/>
      <c r="P1370" s="3" t="str">
        <f>IFERROR(ROUND(INDEX('PROJETO PERFURAÇÃO'!$AB:$AB,MATCH(MEDIÇÃO!R1370,'PROJETO PERFURAÇÃO'!$B:$B,0)),1)&amp;"''","")</f>
        <v/>
      </c>
      <c r="Q1370" s="3" t="str">
        <f>IFERROR(IF(INDEX('PROJETO PERFURAÇÃO'!$P:$P,MATCH(MEDIÇÃO!R1370,'PROJETO PERFURAÇÃO'!$B:$B,0))="Production","P",IF(INDEX('PROJETO PERFURAÇÃO'!$P:$P,MATCH(MEDIÇÃO!R1370,'PROJETO PERFURAÇÃO'!$B:$B,0))="Buffer","B",IF(INDEX('PROJETO PERFURAÇÃO'!$P:$P,MATCH(MEDIÇÃO!R1370,'PROJETO PERFURAÇÃO'!$B:$B,0))="Pre-Splitting","S"))),"")</f>
        <v/>
      </c>
      <c r="R1370" s="14">
        <f>R1369+1</f>
        <v>3084</v>
      </c>
      <c r="S1370" s="4" t="str">
        <f>IFERROR(INDEX('LEV R&amp;D'!$D:$D,MATCH(MEDIÇÃO!R1370,'LEV R&amp;D'!$A:$A,0))-INDEX('PROJETO PERFURAÇÃO'!$AH:$AH,MATCH(MEDIÇÃO!R1370,'PROJETO PERFURAÇÃO'!$B:$B,0)),"")</f>
        <v/>
      </c>
      <c r="T1370" s="8" t="str">
        <f>IFERROR(INDEX('PROJETO PERFURAÇÃO'!$AN:$AN,MATCH(MEDIÇÃO!R1370,'PROJETO PERFURAÇÃO'!$B:$B,0)),"")</f>
        <v/>
      </c>
      <c r="U1370" s="3"/>
      <c r="V1370" s="3"/>
    </row>
    <row r="1371" spans="1:23" ht="45" customHeight="1" x14ac:dyDescent="0.25">
      <c r="B1371" s="3" t="str">
        <f>IFERROR(ROUND(INDEX('PROJETO PERFURAÇÃO'!$AB:$AB,MATCH(MEDIÇÃO!D1371,'PROJETO PERFURAÇÃO'!$B:$B,0)),1)&amp;"''","")</f>
        <v/>
      </c>
      <c r="C1371" s="3" t="str">
        <f>IFERROR(IF(INDEX('PROJETO PERFURAÇÃO'!$P:$P,MATCH(MEDIÇÃO!D1371,'PROJETO PERFURAÇÃO'!$B:$B,0))="Production","P",IF(INDEX('PROJETO PERFURAÇÃO'!$P:$P,MATCH(MEDIÇÃO!D1371,'PROJETO PERFURAÇÃO'!$B:$B,0))="Buffer","B",IF(INDEX('PROJETO PERFURAÇÃO'!$P:$P,MATCH(MEDIÇÃO!D1371,'PROJETO PERFURAÇÃO'!$B:$B,0))="Pre-Splitting","S"))),"")</f>
        <v/>
      </c>
      <c r="D1371" s="14">
        <f t="shared" ref="D1371:D1391" si="132">D1370+1</f>
        <v>3039</v>
      </c>
      <c r="E1371" s="4" t="str">
        <f>IFERROR(INDEX('LEV R&amp;D'!$D:$D,MATCH(MEDIÇÃO!D1371,'LEV R&amp;D'!$A:$A,0))-INDEX('PROJETO PERFURAÇÃO'!$AH:$AH,MATCH(MEDIÇÃO!D1371,'PROJETO PERFURAÇÃO'!$B:$B,0)),"")</f>
        <v/>
      </c>
      <c r="F1371" s="8" t="str">
        <f>IFERROR(INDEX('PROJETO PERFURAÇÃO'!$AN:$AN,MATCH(MEDIÇÃO!D1371,'PROJETO PERFURAÇÃO'!$B:$B,0)),"")</f>
        <v/>
      </c>
      <c r="G1371" s="3"/>
      <c r="H1371" s="3"/>
      <c r="I1371" s="3" t="str">
        <f>IFERROR(ROUND(INDEX('PROJETO PERFURAÇÃO'!$AB:$AB,MATCH(MEDIÇÃO!K1371,'PROJETO PERFURAÇÃO'!$B:$B,0)),1)&amp;"''","")</f>
        <v/>
      </c>
      <c r="J1371" s="3" t="str">
        <f>IFERROR(IF(INDEX('PROJETO PERFURAÇÃO'!$P:$P,MATCH(MEDIÇÃO!K1371,'PROJETO PERFURAÇÃO'!$B:$B,0))="Production","P",IF(INDEX('PROJETO PERFURAÇÃO'!$P:$P,MATCH(MEDIÇÃO!K1371,'PROJETO PERFURAÇÃO'!$B:$B,0))="Buffer","B",IF(INDEX('PROJETO PERFURAÇÃO'!$P:$P,MATCH(MEDIÇÃO!K1371,'PROJETO PERFURAÇÃO'!$B:$B,0))="Pre-Splitting","S"))),"")</f>
        <v/>
      </c>
      <c r="K1371" s="14">
        <f t="shared" ref="K1371:K1390" si="133">K1370+1</f>
        <v>3062</v>
      </c>
      <c r="L1371" s="4" t="str">
        <f>IFERROR(INDEX('LEV R&amp;D'!$D:$D,MATCH(MEDIÇÃO!K1371,'LEV R&amp;D'!$A:$A,0))-INDEX('PROJETO PERFURAÇÃO'!$AH:$AH,MATCH(MEDIÇÃO!K1371,'PROJETO PERFURAÇÃO'!$B:$B,0)),"")</f>
        <v/>
      </c>
      <c r="M1371" s="8" t="str">
        <f>IFERROR(INDEX('PROJETO PERFURAÇÃO'!$AN:$AN,MATCH(MEDIÇÃO!K1371,'PROJETO PERFURAÇÃO'!$B:$B,0)),"")</f>
        <v/>
      </c>
      <c r="N1371" s="3"/>
      <c r="O1371" s="3"/>
      <c r="P1371" s="3" t="str">
        <f>IFERROR(ROUND(INDEX('PROJETO PERFURAÇÃO'!$AB:$AB,MATCH(MEDIÇÃO!R1371,'PROJETO PERFURAÇÃO'!$B:$B,0)),1)&amp;"''","")</f>
        <v/>
      </c>
      <c r="Q1371" s="3" t="str">
        <f>IFERROR(IF(INDEX('PROJETO PERFURAÇÃO'!$P:$P,MATCH(MEDIÇÃO!R1371,'PROJETO PERFURAÇÃO'!$B:$B,0))="Production","P",IF(INDEX('PROJETO PERFURAÇÃO'!$P:$P,MATCH(MEDIÇÃO!R1371,'PROJETO PERFURAÇÃO'!$B:$B,0))="Buffer","B",IF(INDEX('PROJETO PERFURAÇÃO'!$P:$P,MATCH(MEDIÇÃO!R1371,'PROJETO PERFURAÇÃO'!$B:$B,0))="Pre-Splitting","S"))),"")</f>
        <v/>
      </c>
      <c r="R1371" s="14">
        <f t="shared" ref="R1371:R1390" si="134">R1370+1</f>
        <v>3085</v>
      </c>
      <c r="S1371" s="4" t="str">
        <f>IFERROR(INDEX('LEV R&amp;D'!$D:$D,MATCH(MEDIÇÃO!R1371,'LEV R&amp;D'!$A:$A,0))-INDEX('PROJETO PERFURAÇÃO'!$AH:$AH,MATCH(MEDIÇÃO!R1371,'PROJETO PERFURAÇÃO'!$B:$B,0)),"")</f>
        <v/>
      </c>
      <c r="T1371" s="8" t="str">
        <f>IFERROR(INDEX('PROJETO PERFURAÇÃO'!$AN:$AN,MATCH(MEDIÇÃO!R1371,'PROJETO PERFURAÇÃO'!$B:$B,0)),"")</f>
        <v/>
      </c>
      <c r="U1371" s="3"/>
      <c r="V1371" s="3"/>
    </row>
    <row r="1372" spans="1:23" ht="45" customHeight="1" x14ac:dyDescent="0.25">
      <c r="B1372" s="3" t="str">
        <f>IFERROR(ROUND(INDEX('PROJETO PERFURAÇÃO'!$AB:$AB,MATCH(MEDIÇÃO!D1372,'PROJETO PERFURAÇÃO'!$B:$B,0)),1)&amp;"''","")</f>
        <v/>
      </c>
      <c r="C1372" s="3" t="str">
        <f>IFERROR(IF(INDEX('PROJETO PERFURAÇÃO'!$P:$P,MATCH(MEDIÇÃO!D1372,'PROJETO PERFURAÇÃO'!$B:$B,0))="Production","P",IF(INDEX('PROJETO PERFURAÇÃO'!$P:$P,MATCH(MEDIÇÃO!D1372,'PROJETO PERFURAÇÃO'!$B:$B,0))="Buffer","B",IF(INDEX('PROJETO PERFURAÇÃO'!$P:$P,MATCH(MEDIÇÃO!D1372,'PROJETO PERFURAÇÃO'!$B:$B,0))="Pre-Splitting","S"))),"")</f>
        <v/>
      </c>
      <c r="D1372" s="14">
        <f t="shared" si="132"/>
        <v>3040</v>
      </c>
      <c r="E1372" s="4" t="str">
        <f>IFERROR(INDEX('LEV R&amp;D'!$D:$D,MATCH(MEDIÇÃO!D1372,'LEV R&amp;D'!$A:$A,0))-INDEX('PROJETO PERFURAÇÃO'!$AH:$AH,MATCH(MEDIÇÃO!D1372,'PROJETO PERFURAÇÃO'!$B:$B,0)),"")</f>
        <v/>
      </c>
      <c r="F1372" s="8" t="str">
        <f>IFERROR(INDEX('PROJETO PERFURAÇÃO'!$AN:$AN,MATCH(MEDIÇÃO!D1372,'PROJETO PERFURAÇÃO'!$B:$B,0)),"")</f>
        <v/>
      </c>
      <c r="G1372" s="3"/>
      <c r="H1372" s="3"/>
      <c r="I1372" s="3" t="str">
        <f>IFERROR(ROUND(INDEX('PROJETO PERFURAÇÃO'!$AB:$AB,MATCH(MEDIÇÃO!K1372,'PROJETO PERFURAÇÃO'!$B:$B,0)),1)&amp;"''","")</f>
        <v/>
      </c>
      <c r="J1372" s="3" t="str">
        <f>IFERROR(IF(INDEX('PROJETO PERFURAÇÃO'!$P:$P,MATCH(MEDIÇÃO!K1372,'PROJETO PERFURAÇÃO'!$B:$B,0))="Production","P",IF(INDEX('PROJETO PERFURAÇÃO'!$P:$P,MATCH(MEDIÇÃO!K1372,'PROJETO PERFURAÇÃO'!$B:$B,0))="Buffer","B",IF(INDEX('PROJETO PERFURAÇÃO'!$P:$P,MATCH(MEDIÇÃO!K1372,'PROJETO PERFURAÇÃO'!$B:$B,0))="Pre-Splitting","S"))),"")</f>
        <v/>
      </c>
      <c r="K1372" s="14">
        <f t="shared" si="133"/>
        <v>3063</v>
      </c>
      <c r="L1372" s="4" t="str">
        <f>IFERROR(INDEX('LEV R&amp;D'!$D:$D,MATCH(MEDIÇÃO!K1372,'LEV R&amp;D'!$A:$A,0))-INDEX('PROJETO PERFURAÇÃO'!$AH:$AH,MATCH(MEDIÇÃO!K1372,'PROJETO PERFURAÇÃO'!$B:$B,0)),"")</f>
        <v/>
      </c>
      <c r="M1372" s="8" t="str">
        <f>IFERROR(INDEX('PROJETO PERFURAÇÃO'!$AN:$AN,MATCH(MEDIÇÃO!K1372,'PROJETO PERFURAÇÃO'!$B:$B,0)),"")</f>
        <v/>
      </c>
      <c r="N1372" s="3"/>
      <c r="O1372" s="3"/>
      <c r="P1372" s="3" t="str">
        <f>IFERROR(ROUND(INDEX('PROJETO PERFURAÇÃO'!$AB:$AB,MATCH(MEDIÇÃO!R1372,'PROJETO PERFURAÇÃO'!$B:$B,0)),1)&amp;"''","")</f>
        <v/>
      </c>
      <c r="Q1372" s="3" t="str">
        <f>IFERROR(IF(INDEX('PROJETO PERFURAÇÃO'!$P:$P,MATCH(MEDIÇÃO!R1372,'PROJETO PERFURAÇÃO'!$B:$B,0))="Production","P",IF(INDEX('PROJETO PERFURAÇÃO'!$P:$P,MATCH(MEDIÇÃO!R1372,'PROJETO PERFURAÇÃO'!$B:$B,0))="Buffer","B",IF(INDEX('PROJETO PERFURAÇÃO'!$P:$P,MATCH(MEDIÇÃO!R1372,'PROJETO PERFURAÇÃO'!$B:$B,0))="Pre-Splitting","S"))),"")</f>
        <v/>
      </c>
      <c r="R1372" s="14">
        <f t="shared" si="134"/>
        <v>3086</v>
      </c>
      <c r="S1372" s="4" t="str">
        <f>IFERROR(INDEX('LEV R&amp;D'!$D:$D,MATCH(MEDIÇÃO!R1372,'LEV R&amp;D'!$A:$A,0))-INDEX('PROJETO PERFURAÇÃO'!$AH:$AH,MATCH(MEDIÇÃO!R1372,'PROJETO PERFURAÇÃO'!$B:$B,0)),"")</f>
        <v/>
      </c>
      <c r="T1372" s="8" t="str">
        <f>IFERROR(INDEX('PROJETO PERFURAÇÃO'!$AN:$AN,MATCH(MEDIÇÃO!R1372,'PROJETO PERFURAÇÃO'!$B:$B,0)),"")</f>
        <v/>
      </c>
      <c r="U1372" s="3"/>
      <c r="V1372" s="3"/>
    </row>
    <row r="1373" spans="1:23" ht="45" customHeight="1" x14ac:dyDescent="0.25">
      <c r="B1373" s="3" t="str">
        <f>IFERROR(ROUND(INDEX('PROJETO PERFURAÇÃO'!$AB:$AB,MATCH(MEDIÇÃO!D1373,'PROJETO PERFURAÇÃO'!$B:$B,0)),1)&amp;"''","")</f>
        <v/>
      </c>
      <c r="C1373" s="3" t="str">
        <f>IFERROR(IF(INDEX('PROJETO PERFURAÇÃO'!$P:$P,MATCH(MEDIÇÃO!D1373,'PROJETO PERFURAÇÃO'!$B:$B,0))="Production","P",IF(INDEX('PROJETO PERFURAÇÃO'!$P:$P,MATCH(MEDIÇÃO!D1373,'PROJETO PERFURAÇÃO'!$B:$B,0))="Buffer","B",IF(INDEX('PROJETO PERFURAÇÃO'!$P:$P,MATCH(MEDIÇÃO!D1373,'PROJETO PERFURAÇÃO'!$B:$B,0))="Pre-Splitting","S"))),"")</f>
        <v/>
      </c>
      <c r="D1373" s="14">
        <f t="shared" si="132"/>
        <v>3041</v>
      </c>
      <c r="E1373" s="4" t="str">
        <f>IFERROR(INDEX('LEV R&amp;D'!$D:$D,MATCH(MEDIÇÃO!D1373,'LEV R&amp;D'!$A:$A,0))-INDEX('PROJETO PERFURAÇÃO'!$AH:$AH,MATCH(MEDIÇÃO!D1373,'PROJETO PERFURAÇÃO'!$B:$B,0)),"")</f>
        <v/>
      </c>
      <c r="F1373" s="8" t="str">
        <f>IFERROR(INDEX('PROJETO PERFURAÇÃO'!$AN:$AN,MATCH(MEDIÇÃO!D1373,'PROJETO PERFURAÇÃO'!$B:$B,0)),"")</f>
        <v/>
      </c>
      <c r="G1373" s="3"/>
      <c r="H1373" s="3"/>
      <c r="I1373" s="3" t="str">
        <f>IFERROR(ROUND(INDEX('PROJETO PERFURAÇÃO'!$AB:$AB,MATCH(MEDIÇÃO!K1373,'PROJETO PERFURAÇÃO'!$B:$B,0)),1)&amp;"''","")</f>
        <v/>
      </c>
      <c r="J1373" s="3" t="str">
        <f>IFERROR(IF(INDEX('PROJETO PERFURAÇÃO'!$P:$P,MATCH(MEDIÇÃO!K1373,'PROJETO PERFURAÇÃO'!$B:$B,0))="Production","P",IF(INDEX('PROJETO PERFURAÇÃO'!$P:$P,MATCH(MEDIÇÃO!K1373,'PROJETO PERFURAÇÃO'!$B:$B,0))="Buffer","B",IF(INDEX('PROJETO PERFURAÇÃO'!$P:$P,MATCH(MEDIÇÃO!K1373,'PROJETO PERFURAÇÃO'!$B:$B,0))="Pre-Splitting","S"))),"")</f>
        <v/>
      </c>
      <c r="K1373" s="14">
        <f t="shared" si="133"/>
        <v>3064</v>
      </c>
      <c r="L1373" s="4" t="str">
        <f>IFERROR(INDEX('LEV R&amp;D'!$D:$D,MATCH(MEDIÇÃO!K1373,'LEV R&amp;D'!$A:$A,0))-INDEX('PROJETO PERFURAÇÃO'!$AH:$AH,MATCH(MEDIÇÃO!K1373,'PROJETO PERFURAÇÃO'!$B:$B,0)),"")</f>
        <v/>
      </c>
      <c r="M1373" s="8" t="str">
        <f>IFERROR(INDEX('PROJETO PERFURAÇÃO'!$AN:$AN,MATCH(MEDIÇÃO!K1373,'PROJETO PERFURAÇÃO'!$B:$B,0)),"")</f>
        <v/>
      </c>
      <c r="N1373" s="3"/>
      <c r="O1373" s="3"/>
      <c r="P1373" s="3" t="str">
        <f>IFERROR(ROUND(INDEX('PROJETO PERFURAÇÃO'!$AB:$AB,MATCH(MEDIÇÃO!R1373,'PROJETO PERFURAÇÃO'!$B:$B,0)),1)&amp;"''","")</f>
        <v/>
      </c>
      <c r="Q1373" s="3" t="str">
        <f>IFERROR(IF(INDEX('PROJETO PERFURAÇÃO'!$P:$P,MATCH(MEDIÇÃO!R1373,'PROJETO PERFURAÇÃO'!$B:$B,0))="Production","P",IF(INDEX('PROJETO PERFURAÇÃO'!$P:$P,MATCH(MEDIÇÃO!R1373,'PROJETO PERFURAÇÃO'!$B:$B,0))="Buffer","B",IF(INDEX('PROJETO PERFURAÇÃO'!$P:$P,MATCH(MEDIÇÃO!R1373,'PROJETO PERFURAÇÃO'!$B:$B,0))="Pre-Splitting","S"))),"")</f>
        <v/>
      </c>
      <c r="R1373" s="14">
        <f t="shared" si="134"/>
        <v>3087</v>
      </c>
      <c r="S1373" s="4" t="str">
        <f>IFERROR(INDEX('LEV R&amp;D'!$D:$D,MATCH(MEDIÇÃO!R1373,'LEV R&amp;D'!$A:$A,0))-INDEX('PROJETO PERFURAÇÃO'!$AH:$AH,MATCH(MEDIÇÃO!R1373,'PROJETO PERFURAÇÃO'!$B:$B,0)),"")</f>
        <v/>
      </c>
      <c r="T1373" s="8" t="str">
        <f>IFERROR(INDEX('PROJETO PERFURAÇÃO'!$AN:$AN,MATCH(MEDIÇÃO!R1373,'PROJETO PERFURAÇÃO'!$B:$B,0)),"")</f>
        <v/>
      </c>
      <c r="U1373" s="3"/>
      <c r="V1373" s="3"/>
    </row>
    <row r="1374" spans="1:23" ht="45" customHeight="1" x14ac:dyDescent="0.25">
      <c r="B1374" s="3" t="str">
        <f>IFERROR(ROUND(INDEX('PROJETO PERFURAÇÃO'!$AB:$AB,MATCH(MEDIÇÃO!D1374,'PROJETO PERFURAÇÃO'!$B:$B,0)),1)&amp;"''","")</f>
        <v/>
      </c>
      <c r="C1374" s="3" t="str">
        <f>IFERROR(IF(INDEX('PROJETO PERFURAÇÃO'!$P:$P,MATCH(MEDIÇÃO!D1374,'PROJETO PERFURAÇÃO'!$B:$B,0))="Production","P",IF(INDEX('PROJETO PERFURAÇÃO'!$P:$P,MATCH(MEDIÇÃO!D1374,'PROJETO PERFURAÇÃO'!$B:$B,0))="Buffer","B",IF(INDEX('PROJETO PERFURAÇÃO'!$P:$P,MATCH(MEDIÇÃO!D1374,'PROJETO PERFURAÇÃO'!$B:$B,0))="Pre-Splitting","S"))),"")</f>
        <v/>
      </c>
      <c r="D1374" s="14">
        <f t="shared" si="132"/>
        <v>3042</v>
      </c>
      <c r="E1374" s="4" t="str">
        <f>IFERROR(INDEX('LEV R&amp;D'!$D:$D,MATCH(MEDIÇÃO!D1374,'LEV R&amp;D'!$A:$A,0))-INDEX('PROJETO PERFURAÇÃO'!$AH:$AH,MATCH(MEDIÇÃO!D1374,'PROJETO PERFURAÇÃO'!$B:$B,0)),"")</f>
        <v/>
      </c>
      <c r="F1374" s="8" t="str">
        <f>IFERROR(INDEX('PROJETO PERFURAÇÃO'!$AN:$AN,MATCH(MEDIÇÃO!D1374,'PROJETO PERFURAÇÃO'!$B:$B,0)),"")</f>
        <v/>
      </c>
      <c r="G1374" s="3"/>
      <c r="H1374" s="3"/>
      <c r="I1374" s="3" t="str">
        <f>IFERROR(ROUND(INDEX('PROJETO PERFURAÇÃO'!$AB:$AB,MATCH(MEDIÇÃO!K1374,'PROJETO PERFURAÇÃO'!$B:$B,0)),1)&amp;"''","")</f>
        <v/>
      </c>
      <c r="J1374" s="3" t="str">
        <f>IFERROR(IF(INDEX('PROJETO PERFURAÇÃO'!$P:$P,MATCH(MEDIÇÃO!K1374,'PROJETO PERFURAÇÃO'!$B:$B,0))="Production","P",IF(INDEX('PROJETO PERFURAÇÃO'!$P:$P,MATCH(MEDIÇÃO!K1374,'PROJETO PERFURAÇÃO'!$B:$B,0))="Buffer","B",IF(INDEX('PROJETO PERFURAÇÃO'!$P:$P,MATCH(MEDIÇÃO!K1374,'PROJETO PERFURAÇÃO'!$B:$B,0))="Pre-Splitting","S"))),"")</f>
        <v/>
      </c>
      <c r="K1374" s="14">
        <f t="shared" si="133"/>
        <v>3065</v>
      </c>
      <c r="L1374" s="4" t="str">
        <f>IFERROR(INDEX('LEV R&amp;D'!$D:$D,MATCH(MEDIÇÃO!K1374,'LEV R&amp;D'!$A:$A,0))-INDEX('PROJETO PERFURAÇÃO'!$AH:$AH,MATCH(MEDIÇÃO!K1374,'PROJETO PERFURAÇÃO'!$B:$B,0)),"")</f>
        <v/>
      </c>
      <c r="M1374" s="8" t="str">
        <f>IFERROR(INDEX('PROJETO PERFURAÇÃO'!$AN:$AN,MATCH(MEDIÇÃO!K1374,'PROJETO PERFURAÇÃO'!$B:$B,0)),"")</f>
        <v/>
      </c>
      <c r="N1374" s="3"/>
      <c r="O1374" s="3"/>
      <c r="P1374" s="3" t="str">
        <f>IFERROR(ROUND(INDEX('PROJETO PERFURAÇÃO'!$AB:$AB,MATCH(MEDIÇÃO!R1374,'PROJETO PERFURAÇÃO'!$B:$B,0)),1)&amp;"''","")</f>
        <v/>
      </c>
      <c r="Q1374" s="3" t="str">
        <f>IFERROR(IF(INDEX('PROJETO PERFURAÇÃO'!$P:$P,MATCH(MEDIÇÃO!R1374,'PROJETO PERFURAÇÃO'!$B:$B,0))="Production","P",IF(INDEX('PROJETO PERFURAÇÃO'!$P:$P,MATCH(MEDIÇÃO!R1374,'PROJETO PERFURAÇÃO'!$B:$B,0))="Buffer","B",IF(INDEX('PROJETO PERFURAÇÃO'!$P:$P,MATCH(MEDIÇÃO!R1374,'PROJETO PERFURAÇÃO'!$B:$B,0))="Pre-Splitting","S"))),"")</f>
        <v/>
      </c>
      <c r="R1374" s="14">
        <f t="shared" si="134"/>
        <v>3088</v>
      </c>
      <c r="S1374" s="4" t="str">
        <f>IFERROR(INDEX('LEV R&amp;D'!$D:$D,MATCH(MEDIÇÃO!R1374,'LEV R&amp;D'!$A:$A,0))-INDEX('PROJETO PERFURAÇÃO'!$AH:$AH,MATCH(MEDIÇÃO!R1374,'PROJETO PERFURAÇÃO'!$B:$B,0)),"")</f>
        <v/>
      </c>
      <c r="T1374" s="8" t="str">
        <f>IFERROR(INDEX('PROJETO PERFURAÇÃO'!$AN:$AN,MATCH(MEDIÇÃO!R1374,'PROJETO PERFURAÇÃO'!$B:$B,0)),"")</f>
        <v/>
      </c>
      <c r="U1374" s="3"/>
      <c r="V1374" s="3"/>
    </row>
    <row r="1375" spans="1:23" ht="45" customHeight="1" x14ac:dyDescent="0.25">
      <c r="B1375" s="3" t="str">
        <f>IFERROR(ROUND(INDEX('PROJETO PERFURAÇÃO'!$AB:$AB,MATCH(MEDIÇÃO!D1375,'PROJETO PERFURAÇÃO'!$B:$B,0)),1)&amp;"''","")</f>
        <v/>
      </c>
      <c r="C1375" s="3" t="str">
        <f>IFERROR(IF(INDEX('PROJETO PERFURAÇÃO'!$P:$P,MATCH(MEDIÇÃO!D1375,'PROJETO PERFURAÇÃO'!$B:$B,0))="Production","P",IF(INDEX('PROJETO PERFURAÇÃO'!$P:$P,MATCH(MEDIÇÃO!D1375,'PROJETO PERFURAÇÃO'!$B:$B,0))="Buffer","B",IF(INDEX('PROJETO PERFURAÇÃO'!$P:$P,MATCH(MEDIÇÃO!D1375,'PROJETO PERFURAÇÃO'!$B:$B,0))="Pre-Splitting","S"))),"")</f>
        <v/>
      </c>
      <c r="D1375" s="14">
        <f t="shared" si="132"/>
        <v>3043</v>
      </c>
      <c r="E1375" s="4" t="str">
        <f>IFERROR(INDEX('LEV R&amp;D'!$D:$D,MATCH(MEDIÇÃO!D1375,'LEV R&amp;D'!$A:$A,0))-INDEX('PROJETO PERFURAÇÃO'!$AH:$AH,MATCH(MEDIÇÃO!D1375,'PROJETO PERFURAÇÃO'!$B:$B,0)),"")</f>
        <v/>
      </c>
      <c r="F1375" s="8" t="str">
        <f>IFERROR(INDEX('PROJETO PERFURAÇÃO'!$AN:$AN,MATCH(MEDIÇÃO!D1375,'PROJETO PERFURAÇÃO'!$B:$B,0)),"")</f>
        <v/>
      </c>
      <c r="G1375" s="3"/>
      <c r="H1375" s="3"/>
      <c r="I1375" s="3" t="str">
        <f>IFERROR(ROUND(INDEX('PROJETO PERFURAÇÃO'!$AB:$AB,MATCH(MEDIÇÃO!K1375,'PROJETO PERFURAÇÃO'!$B:$B,0)),1)&amp;"''","")</f>
        <v/>
      </c>
      <c r="J1375" s="3" t="str">
        <f>IFERROR(IF(INDEX('PROJETO PERFURAÇÃO'!$P:$P,MATCH(MEDIÇÃO!K1375,'PROJETO PERFURAÇÃO'!$B:$B,0))="Production","P",IF(INDEX('PROJETO PERFURAÇÃO'!$P:$P,MATCH(MEDIÇÃO!K1375,'PROJETO PERFURAÇÃO'!$B:$B,0))="Buffer","B",IF(INDEX('PROJETO PERFURAÇÃO'!$P:$P,MATCH(MEDIÇÃO!K1375,'PROJETO PERFURAÇÃO'!$B:$B,0))="Pre-Splitting","S"))),"")</f>
        <v/>
      </c>
      <c r="K1375" s="14">
        <f t="shared" si="133"/>
        <v>3066</v>
      </c>
      <c r="L1375" s="4" t="str">
        <f>IFERROR(INDEX('LEV R&amp;D'!$D:$D,MATCH(MEDIÇÃO!K1375,'LEV R&amp;D'!$A:$A,0))-INDEX('PROJETO PERFURAÇÃO'!$AH:$AH,MATCH(MEDIÇÃO!K1375,'PROJETO PERFURAÇÃO'!$B:$B,0)),"")</f>
        <v/>
      </c>
      <c r="M1375" s="8" t="str">
        <f>IFERROR(INDEX('PROJETO PERFURAÇÃO'!$AN:$AN,MATCH(MEDIÇÃO!K1375,'PROJETO PERFURAÇÃO'!$B:$B,0)),"")</f>
        <v/>
      </c>
      <c r="N1375" s="3"/>
      <c r="O1375" s="3"/>
      <c r="P1375" s="3" t="str">
        <f>IFERROR(ROUND(INDEX('PROJETO PERFURAÇÃO'!$AB:$AB,MATCH(MEDIÇÃO!R1375,'PROJETO PERFURAÇÃO'!$B:$B,0)),1)&amp;"''","")</f>
        <v/>
      </c>
      <c r="Q1375" s="3" t="str">
        <f>IFERROR(IF(INDEX('PROJETO PERFURAÇÃO'!$P:$P,MATCH(MEDIÇÃO!R1375,'PROJETO PERFURAÇÃO'!$B:$B,0))="Production","P",IF(INDEX('PROJETO PERFURAÇÃO'!$P:$P,MATCH(MEDIÇÃO!R1375,'PROJETO PERFURAÇÃO'!$B:$B,0))="Buffer","B",IF(INDEX('PROJETO PERFURAÇÃO'!$P:$P,MATCH(MEDIÇÃO!R1375,'PROJETO PERFURAÇÃO'!$B:$B,0))="Pre-Splitting","S"))),"")</f>
        <v/>
      </c>
      <c r="R1375" s="14">
        <f t="shared" si="134"/>
        <v>3089</v>
      </c>
      <c r="S1375" s="4" t="str">
        <f>IFERROR(INDEX('LEV R&amp;D'!$D:$D,MATCH(MEDIÇÃO!R1375,'LEV R&amp;D'!$A:$A,0))-INDEX('PROJETO PERFURAÇÃO'!$AH:$AH,MATCH(MEDIÇÃO!R1375,'PROJETO PERFURAÇÃO'!$B:$B,0)),"")</f>
        <v/>
      </c>
      <c r="T1375" s="8" t="str">
        <f>IFERROR(INDEX('PROJETO PERFURAÇÃO'!$AN:$AN,MATCH(MEDIÇÃO!R1375,'PROJETO PERFURAÇÃO'!$B:$B,0)),"")</f>
        <v/>
      </c>
      <c r="U1375" s="3"/>
      <c r="V1375" s="3"/>
    </row>
    <row r="1376" spans="1:23" ht="45" customHeight="1" x14ac:dyDescent="0.25">
      <c r="B1376" s="3" t="str">
        <f>IFERROR(ROUND(INDEX('PROJETO PERFURAÇÃO'!$AB:$AB,MATCH(MEDIÇÃO!D1376,'PROJETO PERFURAÇÃO'!$B:$B,0)),1)&amp;"''","")</f>
        <v/>
      </c>
      <c r="C1376" s="3" t="str">
        <f>IFERROR(IF(INDEX('PROJETO PERFURAÇÃO'!$P:$P,MATCH(MEDIÇÃO!D1376,'PROJETO PERFURAÇÃO'!$B:$B,0))="Production","P",IF(INDEX('PROJETO PERFURAÇÃO'!$P:$P,MATCH(MEDIÇÃO!D1376,'PROJETO PERFURAÇÃO'!$B:$B,0))="Buffer","B",IF(INDEX('PROJETO PERFURAÇÃO'!$P:$P,MATCH(MEDIÇÃO!D1376,'PROJETO PERFURAÇÃO'!$B:$B,0))="Pre-Splitting","S"))),"")</f>
        <v/>
      </c>
      <c r="D1376" s="14">
        <f t="shared" si="132"/>
        <v>3044</v>
      </c>
      <c r="E1376" s="4" t="str">
        <f>IFERROR(INDEX('LEV R&amp;D'!$D:$D,MATCH(MEDIÇÃO!D1376,'LEV R&amp;D'!$A:$A,0))-INDEX('PROJETO PERFURAÇÃO'!$AH:$AH,MATCH(MEDIÇÃO!D1376,'PROJETO PERFURAÇÃO'!$B:$B,0)),"")</f>
        <v/>
      </c>
      <c r="F1376" s="8" t="str">
        <f>IFERROR(INDEX('PROJETO PERFURAÇÃO'!$AN:$AN,MATCH(MEDIÇÃO!D1376,'PROJETO PERFURAÇÃO'!$B:$B,0)),"")</f>
        <v/>
      </c>
      <c r="G1376" s="3"/>
      <c r="H1376" s="3"/>
      <c r="I1376" s="3" t="str">
        <f>IFERROR(ROUND(INDEX('PROJETO PERFURAÇÃO'!$AB:$AB,MATCH(MEDIÇÃO!K1376,'PROJETO PERFURAÇÃO'!$B:$B,0)),1)&amp;"''","")</f>
        <v/>
      </c>
      <c r="J1376" s="3" t="str">
        <f>IFERROR(IF(INDEX('PROJETO PERFURAÇÃO'!$P:$P,MATCH(MEDIÇÃO!K1376,'PROJETO PERFURAÇÃO'!$B:$B,0))="Production","P",IF(INDEX('PROJETO PERFURAÇÃO'!$P:$P,MATCH(MEDIÇÃO!K1376,'PROJETO PERFURAÇÃO'!$B:$B,0))="Buffer","B",IF(INDEX('PROJETO PERFURAÇÃO'!$P:$P,MATCH(MEDIÇÃO!K1376,'PROJETO PERFURAÇÃO'!$B:$B,0))="Pre-Splitting","S"))),"")</f>
        <v/>
      </c>
      <c r="K1376" s="14">
        <f t="shared" si="133"/>
        <v>3067</v>
      </c>
      <c r="L1376" s="4" t="str">
        <f>IFERROR(INDEX('LEV R&amp;D'!$D:$D,MATCH(MEDIÇÃO!K1376,'LEV R&amp;D'!$A:$A,0))-INDEX('PROJETO PERFURAÇÃO'!$AH:$AH,MATCH(MEDIÇÃO!K1376,'PROJETO PERFURAÇÃO'!$B:$B,0)),"")</f>
        <v/>
      </c>
      <c r="M1376" s="8" t="str">
        <f>IFERROR(INDEX('PROJETO PERFURAÇÃO'!$AN:$AN,MATCH(MEDIÇÃO!K1376,'PROJETO PERFURAÇÃO'!$B:$B,0)),"")</f>
        <v/>
      </c>
      <c r="N1376" s="3"/>
      <c r="O1376" s="3"/>
      <c r="P1376" s="3" t="str">
        <f>IFERROR(ROUND(INDEX('PROJETO PERFURAÇÃO'!$AB:$AB,MATCH(MEDIÇÃO!R1376,'PROJETO PERFURAÇÃO'!$B:$B,0)),1)&amp;"''","")</f>
        <v/>
      </c>
      <c r="Q1376" s="3" t="str">
        <f>IFERROR(IF(INDEX('PROJETO PERFURAÇÃO'!$P:$P,MATCH(MEDIÇÃO!R1376,'PROJETO PERFURAÇÃO'!$B:$B,0))="Production","P",IF(INDEX('PROJETO PERFURAÇÃO'!$P:$P,MATCH(MEDIÇÃO!R1376,'PROJETO PERFURAÇÃO'!$B:$B,0))="Buffer","B",IF(INDEX('PROJETO PERFURAÇÃO'!$P:$P,MATCH(MEDIÇÃO!R1376,'PROJETO PERFURAÇÃO'!$B:$B,0))="Pre-Splitting","S"))),"")</f>
        <v/>
      </c>
      <c r="R1376" s="14">
        <f t="shared" si="134"/>
        <v>3090</v>
      </c>
      <c r="S1376" s="4" t="str">
        <f>IFERROR(INDEX('LEV R&amp;D'!$D:$D,MATCH(MEDIÇÃO!R1376,'LEV R&amp;D'!$A:$A,0))-INDEX('PROJETO PERFURAÇÃO'!$AH:$AH,MATCH(MEDIÇÃO!R1376,'PROJETO PERFURAÇÃO'!$B:$B,0)),"")</f>
        <v/>
      </c>
      <c r="T1376" s="8" t="str">
        <f>IFERROR(INDEX('PROJETO PERFURAÇÃO'!$AN:$AN,MATCH(MEDIÇÃO!R1376,'PROJETO PERFURAÇÃO'!$B:$B,0)),"")</f>
        <v/>
      </c>
      <c r="U1376" s="3"/>
      <c r="V1376" s="3"/>
    </row>
    <row r="1377" spans="2:22" ht="45" customHeight="1" x14ac:dyDescent="0.25">
      <c r="B1377" s="3" t="str">
        <f>IFERROR(ROUND(INDEX('PROJETO PERFURAÇÃO'!$AB:$AB,MATCH(MEDIÇÃO!D1377,'PROJETO PERFURAÇÃO'!$B:$B,0)),1)&amp;"''","")</f>
        <v/>
      </c>
      <c r="C1377" s="3" t="str">
        <f>IFERROR(IF(INDEX('PROJETO PERFURAÇÃO'!$P:$P,MATCH(MEDIÇÃO!D1377,'PROJETO PERFURAÇÃO'!$B:$B,0))="Production","P",IF(INDEX('PROJETO PERFURAÇÃO'!$P:$P,MATCH(MEDIÇÃO!D1377,'PROJETO PERFURAÇÃO'!$B:$B,0))="Buffer","B",IF(INDEX('PROJETO PERFURAÇÃO'!$P:$P,MATCH(MEDIÇÃO!D1377,'PROJETO PERFURAÇÃO'!$B:$B,0))="Pre-Splitting","S"))),"")</f>
        <v/>
      </c>
      <c r="D1377" s="14">
        <f t="shared" si="132"/>
        <v>3045</v>
      </c>
      <c r="E1377" s="4" t="str">
        <f>IFERROR(INDEX('LEV R&amp;D'!$D:$D,MATCH(MEDIÇÃO!D1377,'LEV R&amp;D'!$A:$A,0))-INDEX('PROJETO PERFURAÇÃO'!$AH:$AH,MATCH(MEDIÇÃO!D1377,'PROJETO PERFURAÇÃO'!$B:$B,0)),"")</f>
        <v/>
      </c>
      <c r="F1377" s="8" t="str">
        <f>IFERROR(INDEX('PROJETO PERFURAÇÃO'!$AN:$AN,MATCH(MEDIÇÃO!D1377,'PROJETO PERFURAÇÃO'!$B:$B,0)),"")</f>
        <v/>
      </c>
      <c r="G1377" s="3"/>
      <c r="H1377" s="3"/>
      <c r="I1377" s="3" t="str">
        <f>IFERROR(ROUND(INDEX('PROJETO PERFURAÇÃO'!$AB:$AB,MATCH(MEDIÇÃO!K1377,'PROJETO PERFURAÇÃO'!$B:$B,0)),1)&amp;"''","")</f>
        <v/>
      </c>
      <c r="J1377" s="3" t="str">
        <f>IFERROR(IF(INDEX('PROJETO PERFURAÇÃO'!$P:$P,MATCH(MEDIÇÃO!K1377,'PROJETO PERFURAÇÃO'!$B:$B,0))="Production","P",IF(INDEX('PROJETO PERFURAÇÃO'!$P:$P,MATCH(MEDIÇÃO!K1377,'PROJETO PERFURAÇÃO'!$B:$B,0))="Buffer","B",IF(INDEX('PROJETO PERFURAÇÃO'!$P:$P,MATCH(MEDIÇÃO!K1377,'PROJETO PERFURAÇÃO'!$B:$B,0))="Pre-Splitting","S"))),"")</f>
        <v/>
      </c>
      <c r="K1377" s="14">
        <f t="shared" si="133"/>
        <v>3068</v>
      </c>
      <c r="L1377" s="4" t="str">
        <f>IFERROR(INDEX('LEV R&amp;D'!$D:$D,MATCH(MEDIÇÃO!K1377,'LEV R&amp;D'!$A:$A,0))-INDEX('PROJETO PERFURAÇÃO'!$AH:$AH,MATCH(MEDIÇÃO!K1377,'PROJETO PERFURAÇÃO'!$B:$B,0)),"")</f>
        <v/>
      </c>
      <c r="M1377" s="8" t="str">
        <f>IFERROR(INDEX('PROJETO PERFURAÇÃO'!$AN:$AN,MATCH(MEDIÇÃO!K1377,'PROJETO PERFURAÇÃO'!$B:$B,0)),"")</f>
        <v/>
      </c>
      <c r="N1377" s="3"/>
      <c r="O1377" s="3"/>
      <c r="P1377" s="3" t="str">
        <f>IFERROR(ROUND(INDEX('PROJETO PERFURAÇÃO'!$AB:$AB,MATCH(MEDIÇÃO!R1377,'PROJETO PERFURAÇÃO'!$B:$B,0)),1)&amp;"''","")</f>
        <v/>
      </c>
      <c r="Q1377" s="3" t="str">
        <f>IFERROR(IF(INDEX('PROJETO PERFURAÇÃO'!$P:$P,MATCH(MEDIÇÃO!R1377,'PROJETO PERFURAÇÃO'!$B:$B,0))="Production","P",IF(INDEX('PROJETO PERFURAÇÃO'!$P:$P,MATCH(MEDIÇÃO!R1377,'PROJETO PERFURAÇÃO'!$B:$B,0))="Buffer","B",IF(INDEX('PROJETO PERFURAÇÃO'!$P:$P,MATCH(MEDIÇÃO!R1377,'PROJETO PERFURAÇÃO'!$B:$B,0))="Pre-Splitting","S"))),"")</f>
        <v/>
      </c>
      <c r="R1377" s="14">
        <f t="shared" si="134"/>
        <v>3091</v>
      </c>
      <c r="S1377" s="4" t="str">
        <f>IFERROR(INDEX('LEV R&amp;D'!$D:$D,MATCH(MEDIÇÃO!R1377,'LEV R&amp;D'!$A:$A,0))-INDEX('PROJETO PERFURAÇÃO'!$AH:$AH,MATCH(MEDIÇÃO!R1377,'PROJETO PERFURAÇÃO'!$B:$B,0)),"")</f>
        <v/>
      </c>
      <c r="T1377" s="8" t="str">
        <f>IFERROR(INDEX('PROJETO PERFURAÇÃO'!$AN:$AN,MATCH(MEDIÇÃO!R1377,'PROJETO PERFURAÇÃO'!$B:$B,0)),"")</f>
        <v/>
      </c>
      <c r="U1377" s="3"/>
      <c r="V1377" s="3"/>
    </row>
    <row r="1378" spans="2:22" ht="45" customHeight="1" x14ac:dyDescent="0.25">
      <c r="B1378" s="3" t="str">
        <f>IFERROR(ROUND(INDEX('PROJETO PERFURAÇÃO'!$AB:$AB,MATCH(MEDIÇÃO!D1378,'PROJETO PERFURAÇÃO'!$B:$B,0)),1)&amp;"''","")</f>
        <v/>
      </c>
      <c r="C1378" s="3" t="str">
        <f>IFERROR(IF(INDEX('PROJETO PERFURAÇÃO'!$P:$P,MATCH(MEDIÇÃO!D1378,'PROJETO PERFURAÇÃO'!$B:$B,0))="Production","P",IF(INDEX('PROJETO PERFURAÇÃO'!$P:$P,MATCH(MEDIÇÃO!D1378,'PROJETO PERFURAÇÃO'!$B:$B,0))="Buffer","B",IF(INDEX('PROJETO PERFURAÇÃO'!$P:$P,MATCH(MEDIÇÃO!D1378,'PROJETO PERFURAÇÃO'!$B:$B,0))="Pre-Splitting","S"))),"")</f>
        <v/>
      </c>
      <c r="D1378" s="14">
        <f t="shared" si="132"/>
        <v>3046</v>
      </c>
      <c r="E1378" s="4" t="str">
        <f>IFERROR(INDEX('LEV R&amp;D'!$D:$D,MATCH(MEDIÇÃO!D1378,'LEV R&amp;D'!$A:$A,0))-INDEX('PROJETO PERFURAÇÃO'!$AH:$AH,MATCH(MEDIÇÃO!D1378,'PROJETO PERFURAÇÃO'!$B:$B,0)),"")</f>
        <v/>
      </c>
      <c r="F1378" s="8" t="str">
        <f>IFERROR(INDEX('PROJETO PERFURAÇÃO'!$AN:$AN,MATCH(MEDIÇÃO!D1378,'PROJETO PERFURAÇÃO'!$B:$B,0)),"")</f>
        <v/>
      </c>
      <c r="G1378" s="3"/>
      <c r="H1378" s="3"/>
      <c r="I1378" s="3" t="str">
        <f>IFERROR(ROUND(INDEX('PROJETO PERFURAÇÃO'!$AB:$AB,MATCH(MEDIÇÃO!K1378,'PROJETO PERFURAÇÃO'!$B:$B,0)),1)&amp;"''","")</f>
        <v/>
      </c>
      <c r="J1378" s="3" t="str">
        <f>IFERROR(IF(INDEX('PROJETO PERFURAÇÃO'!$P:$P,MATCH(MEDIÇÃO!K1378,'PROJETO PERFURAÇÃO'!$B:$B,0))="Production","P",IF(INDEX('PROJETO PERFURAÇÃO'!$P:$P,MATCH(MEDIÇÃO!K1378,'PROJETO PERFURAÇÃO'!$B:$B,0))="Buffer","B",IF(INDEX('PROJETO PERFURAÇÃO'!$P:$P,MATCH(MEDIÇÃO!K1378,'PROJETO PERFURAÇÃO'!$B:$B,0))="Pre-Splitting","S"))),"")</f>
        <v/>
      </c>
      <c r="K1378" s="14">
        <f t="shared" si="133"/>
        <v>3069</v>
      </c>
      <c r="L1378" s="4" t="str">
        <f>IFERROR(INDEX('LEV R&amp;D'!$D:$D,MATCH(MEDIÇÃO!K1378,'LEV R&amp;D'!$A:$A,0))-INDEX('PROJETO PERFURAÇÃO'!$AH:$AH,MATCH(MEDIÇÃO!K1378,'PROJETO PERFURAÇÃO'!$B:$B,0)),"")</f>
        <v/>
      </c>
      <c r="M1378" s="8" t="str">
        <f>IFERROR(INDEX('PROJETO PERFURAÇÃO'!$AN:$AN,MATCH(MEDIÇÃO!K1378,'PROJETO PERFURAÇÃO'!$B:$B,0)),"")</f>
        <v/>
      </c>
      <c r="N1378" s="3"/>
      <c r="O1378" s="3"/>
      <c r="P1378" s="3" t="str">
        <f>IFERROR(ROUND(INDEX('PROJETO PERFURAÇÃO'!$AB:$AB,MATCH(MEDIÇÃO!R1378,'PROJETO PERFURAÇÃO'!$B:$B,0)),1)&amp;"''","")</f>
        <v/>
      </c>
      <c r="Q1378" s="3" t="str">
        <f>IFERROR(IF(INDEX('PROJETO PERFURAÇÃO'!$P:$P,MATCH(MEDIÇÃO!R1378,'PROJETO PERFURAÇÃO'!$B:$B,0))="Production","P",IF(INDEX('PROJETO PERFURAÇÃO'!$P:$P,MATCH(MEDIÇÃO!R1378,'PROJETO PERFURAÇÃO'!$B:$B,0))="Buffer","B",IF(INDEX('PROJETO PERFURAÇÃO'!$P:$P,MATCH(MEDIÇÃO!R1378,'PROJETO PERFURAÇÃO'!$B:$B,0))="Pre-Splitting","S"))),"")</f>
        <v/>
      </c>
      <c r="R1378" s="14">
        <f t="shared" si="134"/>
        <v>3092</v>
      </c>
      <c r="S1378" s="4" t="str">
        <f>IFERROR(INDEX('LEV R&amp;D'!$D:$D,MATCH(MEDIÇÃO!R1378,'LEV R&amp;D'!$A:$A,0))-INDEX('PROJETO PERFURAÇÃO'!$AH:$AH,MATCH(MEDIÇÃO!R1378,'PROJETO PERFURAÇÃO'!$B:$B,0)),"")</f>
        <v/>
      </c>
      <c r="T1378" s="8" t="str">
        <f>IFERROR(INDEX('PROJETO PERFURAÇÃO'!$AN:$AN,MATCH(MEDIÇÃO!R1378,'PROJETO PERFURAÇÃO'!$B:$B,0)),"")</f>
        <v/>
      </c>
      <c r="U1378" s="3"/>
      <c r="V1378" s="3"/>
    </row>
    <row r="1379" spans="2:22" ht="45" customHeight="1" x14ac:dyDescent="0.25">
      <c r="B1379" s="3" t="str">
        <f>IFERROR(ROUND(INDEX('PROJETO PERFURAÇÃO'!$AB:$AB,MATCH(MEDIÇÃO!D1379,'PROJETO PERFURAÇÃO'!$B:$B,0)),1)&amp;"''","")</f>
        <v/>
      </c>
      <c r="C1379" s="3" t="str">
        <f>IFERROR(IF(INDEX('PROJETO PERFURAÇÃO'!$P:$P,MATCH(MEDIÇÃO!D1379,'PROJETO PERFURAÇÃO'!$B:$B,0))="Production","P",IF(INDEX('PROJETO PERFURAÇÃO'!$P:$P,MATCH(MEDIÇÃO!D1379,'PROJETO PERFURAÇÃO'!$B:$B,0))="Buffer","B",IF(INDEX('PROJETO PERFURAÇÃO'!$P:$P,MATCH(MEDIÇÃO!D1379,'PROJETO PERFURAÇÃO'!$B:$B,0))="Pre-Splitting","S"))),"")</f>
        <v/>
      </c>
      <c r="D1379" s="14">
        <f t="shared" si="132"/>
        <v>3047</v>
      </c>
      <c r="E1379" s="4" t="str">
        <f>IFERROR(INDEX('LEV R&amp;D'!$D:$D,MATCH(MEDIÇÃO!D1379,'LEV R&amp;D'!$A:$A,0))-INDEX('PROJETO PERFURAÇÃO'!$AH:$AH,MATCH(MEDIÇÃO!D1379,'PROJETO PERFURAÇÃO'!$B:$B,0)),"")</f>
        <v/>
      </c>
      <c r="F1379" s="8" t="str">
        <f>IFERROR(INDEX('PROJETO PERFURAÇÃO'!$AN:$AN,MATCH(MEDIÇÃO!D1379,'PROJETO PERFURAÇÃO'!$B:$B,0)),"")</f>
        <v/>
      </c>
      <c r="G1379" s="3"/>
      <c r="H1379" s="3"/>
      <c r="I1379" s="3" t="str">
        <f>IFERROR(ROUND(INDEX('PROJETO PERFURAÇÃO'!$AB:$AB,MATCH(MEDIÇÃO!K1379,'PROJETO PERFURAÇÃO'!$B:$B,0)),1)&amp;"''","")</f>
        <v/>
      </c>
      <c r="J1379" s="3" t="str">
        <f>IFERROR(IF(INDEX('PROJETO PERFURAÇÃO'!$P:$P,MATCH(MEDIÇÃO!K1379,'PROJETO PERFURAÇÃO'!$B:$B,0))="Production","P",IF(INDEX('PROJETO PERFURAÇÃO'!$P:$P,MATCH(MEDIÇÃO!K1379,'PROJETO PERFURAÇÃO'!$B:$B,0))="Buffer","B",IF(INDEX('PROJETO PERFURAÇÃO'!$P:$P,MATCH(MEDIÇÃO!K1379,'PROJETO PERFURAÇÃO'!$B:$B,0))="Pre-Splitting","S"))),"")</f>
        <v/>
      </c>
      <c r="K1379" s="14">
        <f t="shared" si="133"/>
        <v>3070</v>
      </c>
      <c r="L1379" s="4" t="str">
        <f>IFERROR(INDEX('LEV R&amp;D'!$D:$D,MATCH(MEDIÇÃO!K1379,'LEV R&amp;D'!$A:$A,0))-INDEX('PROJETO PERFURAÇÃO'!$AH:$AH,MATCH(MEDIÇÃO!K1379,'PROJETO PERFURAÇÃO'!$B:$B,0)),"")</f>
        <v/>
      </c>
      <c r="M1379" s="8" t="str">
        <f>IFERROR(INDEX('PROJETO PERFURAÇÃO'!$AN:$AN,MATCH(MEDIÇÃO!K1379,'PROJETO PERFURAÇÃO'!$B:$B,0)),"")</f>
        <v/>
      </c>
      <c r="N1379" s="3"/>
      <c r="O1379" s="3"/>
      <c r="P1379" s="3" t="str">
        <f>IFERROR(ROUND(INDEX('PROJETO PERFURAÇÃO'!$AB:$AB,MATCH(MEDIÇÃO!R1379,'PROJETO PERFURAÇÃO'!$B:$B,0)),1)&amp;"''","")</f>
        <v/>
      </c>
      <c r="Q1379" s="3" t="str">
        <f>IFERROR(IF(INDEX('PROJETO PERFURAÇÃO'!$P:$P,MATCH(MEDIÇÃO!R1379,'PROJETO PERFURAÇÃO'!$B:$B,0))="Production","P",IF(INDEX('PROJETO PERFURAÇÃO'!$P:$P,MATCH(MEDIÇÃO!R1379,'PROJETO PERFURAÇÃO'!$B:$B,0))="Buffer","B",IF(INDEX('PROJETO PERFURAÇÃO'!$P:$P,MATCH(MEDIÇÃO!R1379,'PROJETO PERFURAÇÃO'!$B:$B,0))="Pre-Splitting","S"))),"")</f>
        <v/>
      </c>
      <c r="R1379" s="14">
        <f t="shared" si="134"/>
        <v>3093</v>
      </c>
      <c r="S1379" s="4" t="str">
        <f>IFERROR(INDEX('LEV R&amp;D'!$D:$D,MATCH(MEDIÇÃO!R1379,'LEV R&amp;D'!$A:$A,0))-INDEX('PROJETO PERFURAÇÃO'!$AH:$AH,MATCH(MEDIÇÃO!R1379,'PROJETO PERFURAÇÃO'!$B:$B,0)),"")</f>
        <v/>
      </c>
      <c r="T1379" s="8" t="str">
        <f>IFERROR(INDEX('PROJETO PERFURAÇÃO'!$AN:$AN,MATCH(MEDIÇÃO!R1379,'PROJETO PERFURAÇÃO'!$B:$B,0)),"")</f>
        <v/>
      </c>
      <c r="U1379" s="3"/>
      <c r="V1379" s="3"/>
    </row>
    <row r="1380" spans="2:22" ht="45" customHeight="1" x14ac:dyDescent="0.25">
      <c r="B1380" s="3" t="str">
        <f>IFERROR(ROUND(INDEX('PROJETO PERFURAÇÃO'!$AB:$AB,MATCH(MEDIÇÃO!D1380,'PROJETO PERFURAÇÃO'!$B:$B,0)),1)&amp;"''","")</f>
        <v/>
      </c>
      <c r="C1380" s="3" t="str">
        <f>IFERROR(IF(INDEX('PROJETO PERFURAÇÃO'!$P:$P,MATCH(MEDIÇÃO!D1380,'PROJETO PERFURAÇÃO'!$B:$B,0))="Production","P",IF(INDEX('PROJETO PERFURAÇÃO'!$P:$P,MATCH(MEDIÇÃO!D1380,'PROJETO PERFURAÇÃO'!$B:$B,0))="Buffer","B",IF(INDEX('PROJETO PERFURAÇÃO'!$P:$P,MATCH(MEDIÇÃO!D1380,'PROJETO PERFURAÇÃO'!$B:$B,0))="Pre-Splitting","S"))),"")</f>
        <v/>
      </c>
      <c r="D1380" s="14">
        <f t="shared" si="132"/>
        <v>3048</v>
      </c>
      <c r="E1380" s="4" t="str">
        <f>IFERROR(INDEX('LEV R&amp;D'!$D:$D,MATCH(MEDIÇÃO!D1380,'LEV R&amp;D'!$A:$A,0))-INDEX('PROJETO PERFURAÇÃO'!$AH:$AH,MATCH(MEDIÇÃO!D1380,'PROJETO PERFURAÇÃO'!$B:$B,0)),"")</f>
        <v/>
      </c>
      <c r="F1380" s="8" t="str">
        <f>IFERROR(INDEX('PROJETO PERFURAÇÃO'!$AN:$AN,MATCH(MEDIÇÃO!D1380,'PROJETO PERFURAÇÃO'!$B:$B,0)),"")</f>
        <v/>
      </c>
      <c r="G1380" s="3"/>
      <c r="H1380" s="3"/>
      <c r="I1380" s="3" t="str">
        <f>IFERROR(ROUND(INDEX('PROJETO PERFURAÇÃO'!$AB:$AB,MATCH(MEDIÇÃO!K1380,'PROJETO PERFURAÇÃO'!$B:$B,0)),1)&amp;"''","")</f>
        <v/>
      </c>
      <c r="J1380" s="3" t="str">
        <f>IFERROR(IF(INDEX('PROJETO PERFURAÇÃO'!$P:$P,MATCH(MEDIÇÃO!K1380,'PROJETO PERFURAÇÃO'!$B:$B,0))="Production","P",IF(INDEX('PROJETO PERFURAÇÃO'!$P:$P,MATCH(MEDIÇÃO!K1380,'PROJETO PERFURAÇÃO'!$B:$B,0))="Buffer","B",IF(INDEX('PROJETO PERFURAÇÃO'!$P:$P,MATCH(MEDIÇÃO!K1380,'PROJETO PERFURAÇÃO'!$B:$B,0))="Pre-Splitting","S"))),"")</f>
        <v/>
      </c>
      <c r="K1380" s="14">
        <f t="shared" si="133"/>
        <v>3071</v>
      </c>
      <c r="L1380" s="4" t="str">
        <f>IFERROR(INDEX('LEV R&amp;D'!$D:$D,MATCH(MEDIÇÃO!K1380,'LEV R&amp;D'!$A:$A,0))-INDEX('PROJETO PERFURAÇÃO'!$AH:$AH,MATCH(MEDIÇÃO!K1380,'PROJETO PERFURAÇÃO'!$B:$B,0)),"")</f>
        <v/>
      </c>
      <c r="M1380" s="8" t="str">
        <f>IFERROR(INDEX('PROJETO PERFURAÇÃO'!$AN:$AN,MATCH(MEDIÇÃO!K1380,'PROJETO PERFURAÇÃO'!$B:$B,0)),"")</f>
        <v/>
      </c>
      <c r="N1380" s="3"/>
      <c r="O1380" s="3"/>
      <c r="P1380" s="3" t="str">
        <f>IFERROR(ROUND(INDEX('PROJETO PERFURAÇÃO'!$AB:$AB,MATCH(MEDIÇÃO!R1380,'PROJETO PERFURAÇÃO'!$B:$B,0)),1)&amp;"''","")</f>
        <v/>
      </c>
      <c r="Q1380" s="3" t="str">
        <f>IFERROR(IF(INDEX('PROJETO PERFURAÇÃO'!$P:$P,MATCH(MEDIÇÃO!R1380,'PROJETO PERFURAÇÃO'!$B:$B,0))="Production","P",IF(INDEX('PROJETO PERFURAÇÃO'!$P:$P,MATCH(MEDIÇÃO!R1380,'PROJETO PERFURAÇÃO'!$B:$B,0))="Buffer","B",IF(INDEX('PROJETO PERFURAÇÃO'!$P:$P,MATCH(MEDIÇÃO!R1380,'PROJETO PERFURAÇÃO'!$B:$B,0))="Pre-Splitting","S"))),"")</f>
        <v/>
      </c>
      <c r="R1380" s="14">
        <f t="shared" si="134"/>
        <v>3094</v>
      </c>
      <c r="S1380" s="4" t="str">
        <f>IFERROR(INDEX('LEV R&amp;D'!$D:$D,MATCH(MEDIÇÃO!R1380,'LEV R&amp;D'!$A:$A,0))-INDEX('PROJETO PERFURAÇÃO'!$AH:$AH,MATCH(MEDIÇÃO!R1380,'PROJETO PERFURAÇÃO'!$B:$B,0)),"")</f>
        <v/>
      </c>
      <c r="T1380" s="8" t="str">
        <f>IFERROR(INDEX('PROJETO PERFURAÇÃO'!$AN:$AN,MATCH(MEDIÇÃO!R1380,'PROJETO PERFURAÇÃO'!$B:$B,0)),"")</f>
        <v/>
      </c>
      <c r="U1380" s="3"/>
      <c r="V1380" s="3"/>
    </row>
    <row r="1381" spans="2:22" ht="45" customHeight="1" x14ac:dyDescent="0.25">
      <c r="B1381" s="3" t="str">
        <f>IFERROR(ROUND(INDEX('PROJETO PERFURAÇÃO'!$AB:$AB,MATCH(MEDIÇÃO!D1381,'PROJETO PERFURAÇÃO'!$B:$B,0)),1)&amp;"''","")</f>
        <v/>
      </c>
      <c r="C1381" s="3" t="str">
        <f>IFERROR(IF(INDEX('PROJETO PERFURAÇÃO'!$P:$P,MATCH(MEDIÇÃO!D1381,'PROJETO PERFURAÇÃO'!$B:$B,0))="Production","P",IF(INDEX('PROJETO PERFURAÇÃO'!$P:$P,MATCH(MEDIÇÃO!D1381,'PROJETO PERFURAÇÃO'!$B:$B,0))="Buffer","B",IF(INDEX('PROJETO PERFURAÇÃO'!$P:$P,MATCH(MEDIÇÃO!D1381,'PROJETO PERFURAÇÃO'!$B:$B,0))="Pre-Splitting","S"))),"")</f>
        <v/>
      </c>
      <c r="D1381" s="14">
        <f t="shared" si="132"/>
        <v>3049</v>
      </c>
      <c r="E1381" s="4" t="str">
        <f>IFERROR(INDEX('LEV R&amp;D'!$D:$D,MATCH(MEDIÇÃO!D1381,'LEV R&amp;D'!$A:$A,0))-INDEX('PROJETO PERFURAÇÃO'!$AH:$AH,MATCH(MEDIÇÃO!D1381,'PROJETO PERFURAÇÃO'!$B:$B,0)),"")</f>
        <v/>
      </c>
      <c r="F1381" s="8" t="str">
        <f>IFERROR(INDEX('PROJETO PERFURAÇÃO'!$AN:$AN,MATCH(MEDIÇÃO!D1381,'PROJETO PERFURAÇÃO'!$B:$B,0)),"")</f>
        <v/>
      </c>
      <c r="G1381" s="3"/>
      <c r="H1381" s="3"/>
      <c r="I1381" s="3" t="str">
        <f>IFERROR(ROUND(INDEX('PROJETO PERFURAÇÃO'!$AB:$AB,MATCH(MEDIÇÃO!K1381,'PROJETO PERFURAÇÃO'!$B:$B,0)),1)&amp;"''","")</f>
        <v/>
      </c>
      <c r="J1381" s="3" t="str">
        <f>IFERROR(IF(INDEX('PROJETO PERFURAÇÃO'!$P:$P,MATCH(MEDIÇÃO!K1381,'PROJETO PERFURAÇÃO'!$B:$B,0))="Production","P",IF(INDEX('PROJETO PERFURAÇÃO'!$P:$P,MATCH(MEDIÇÃO!K1381,'PROJETO PERFURAÇÃO'!$B:$B,0))="Buffer","B",IF(INDEX('PROJETO PERFURAÇÃO'!$P:$P,MATCH(MEDIÇÃO!K1381,'PROJETO PERFURAÇÃO'!$B:$B,0))="Pre-Splitting","S"))),"")</f>
        <v/>
      </c>
      <c r="K1381" s="14">
        <f t="shared" si="133"/>
        <v>3072</v>
      </c>
      <c r="L1381" s="4" t="str">
        <f>IFERROR(INDEX('LEV R&amp;D'!$D:$D,MATCH(MEDIÇÃO!K1381,'LEV R&amp;D'!$A:$A,0))-INDEX('PROJETO PERFURAÇÃO'!$AH:$AH,MATCH(MEDIÇÃO!K1381,'PROJETO PERFURAÇÃO'!$B:$B,0)),"")</f>
        <v/>
      </c>
      <c r="M1381" s="8" t="str">
        <f>IFERROR(INDEX('PROJETO PERFURAÇÃO'!$AN:$AN,MATCH(MEDIÇÃO!K1381,'PROJETO PERFURAÇÃO'!$B:$B,0)),"")</f>
        <v/>
      </c>
      <c r="N1381" s="3"/>
      <c r="O1381" s="3"/>
      <c r="P1381" s="3" t="str">
        <f>IFERROR(ROUND(INDEX('PROJETO PERFURAÇÃO'!$AB:$AB,MATCH(MEDIÇÃO!R1381,'PROJETO PERFURAÇÃO'!$B:$B,0)),1)&amp;"''","")</f>
        <v/>
      </c>
      <c r="Q1381" s="3" t="str">
        <f>IFERROR(IF(INDEX('PROJETO PERFURAÇÃO'!$P:$P,MATCH(MEDIÇÃO!R1381,'PROJETO PERFURAÇÃO'!$B:$B,0))="Production","P",IF(INDEX('PROJETO PERFURAÇÃO'!$P:$P,MATCH(MEDIÇÃO!R1381,'PROJETO PERFURAÇÃO'!$B:$B,0))="Buffer","B",IF(INDEX('PROJETO PERFURAÇÃO'!$P:$P,MATCH(MEDIÇÃO!R1381,'PROJETO PERFURAÇÃO'!$B:$B,0))="Pre-Splitting","S"))),"")</f>
        <v/>
      </c>
      <c r="R1381" s="14">
        <f t="shared" si="134"/>
        <v>3095</v>
      </c>
      <c r="S1381" s="4" t="str">
        <f>IFERROR(INDEX('LEV R&amp;D'!$D:$D,MATCH(MEDIÇÃO!R1381,'LEV R&amp;D'!$A:$A,0))-INDEX('PROJETO PERFURAÇÃO'!$AH:$AH,MATCH(MEDIÇÃO!R1381,'PROJETO PERFURAÇÃO'!$B:$B,0)),"")</f>
        <v/>
      </c>
      <c r="T1381" s="8" t="str">
        <f>IFERROR(INDEX('PROJETO PERFURAÇÃO'!$AN:$AN,MATCH(MEDIÇÃO!R1381,'PROJETO PERFURAÇÃO'!$B:$B,0)),"")</f>
        <v/>
      </c>
      <c r="U1381" s="3"/>
      <c r="V1381" s="3"/>
    </row>
    <row r="1382" spans="2:22" ht="45" customHeight="1" x14ac:dyDescent="0.25">
      <c r="B1382" s="3" t="str">
        <f>IFERROR(ROUND(INDEX('PROJETO PERFURAÇÃO'!$AB:$AB,MATCH(MEDIÇÃO!D1382,'PROJETO PERFURAÇÃO'!$B:$B,0)),1)&amp;"''","")</f>
        <v/>
      </c>
      <c r="C1382" s="3" t="str">
        <f>IFERROR(IF(INDEX('PROJETO PERFURAÇÃO'!$P:$P,MATCH(MEDIÇÃO!D1382,'PROJETO PERFURAÇÃO'!$B:$B,0))="Production","P",IF(INDEX('PROJETO PERFURAÇÃO'!$P:$P,MATCH(MEDIÇÃO!D1382,'PROJETO PERFURAÇÃO'!$B:$B,0))="Buffer","B",IF(INDEX('PROJETO PERFURAÇÃO'!$P:$P,MATCH(MEDIÇÃO!D1382,'PROJETO PERFURAÇÃO'!$B:$B,0))="Pre-Splitting","S"))),"")</f>
        <v/>
      </c>
      <c r="D1382" s="14">
        <f t="shared" si="132"/>
        <v>3050</v>
      </c>
      <c r="E1382" s="4" t="str">
        <f>IFERROR(INDEX('LEV R&amp;D'!$D:$D,MATCH(MEDIÇÃO!D1382,'LEV R&amp;D'!$A:$A,0))-INDEX('PROJETO PERFURAÇÃO'!$AH:$AH,MATCH(MEDIÇÃO!D1382,'PROJETO PERFURAÇÃO'!$B:$B,0)),"")</f>
        <v/>
      </c>
      <c r="F1382" s="8" t="str">
        <f>IFERROR(INDEX('PROJETO PERFURAÇÃO'!$AN:$AN,MATCH(MEDIÇÃO!D1382,'PROJETO PERFURAÇÃO'!$B:$B,0)),"")</f>
        <v/>
      </c>
      <c r="G1382" s="3"/>
      <c r="H1382" s="3"/>
      <c r="I1382" s="3" t="str">
        <f>IFERROR(ROUND(INDEX('PROJETO PERFURAÇÃO'!$AB:$AB,MATCH(MEDIÇÃO!K1382,'PROJETO PERFURAÇÃO'!$B:$B,0)),1)&amp;"''","")</f>
        <v/>
      </c>
      <c r="J1382" s="3" t="str">
        <f>IFERROR(IF(INDEX('PROJETO PERFURAÇÃO'!$P:$P,MATCH(MEDIÇÃO!K1382,'PROJETO PERFURAÇÃO'!$B:$B,0))="Production","P",IF(INDEX('PROJETO PERFURAÇÃO'!$P:$P,MATCH(MEDIÇÃO!K1382,'PROJETO PERFURAÇÃO'!$B:$B,0))="Buffer","B",IF(INDEX('PROJETO PERFURAÇÃO'!$P:$P,MATCH(MEDIÇÃO!K1382,'PROJETO PERFURAÇÃO'!$B:$B,0))="Pre-Splitting","S"))),"")</f>
        <v/>
      </c>
      <c r="K1382" s="14">
        <f t="shared" si="133"/>
        <v>3073</v>
      </c>
      <c r="L1382" s="4" t="str">
        <f>IFERROR(INDEX('LEV R&amp;D'!$D:$D,MATCH(MEDIÇÃO!K1382,'LEV R&amp;D'!$A:$A,0))-INDEX('PROJETO PERFURAÇÃO'!$AH:$AH,MATCH(MEDIÇÃO!K1382,'PROJETO PERFURAÇÃO'!$B:$B,0)),"")</f>
        <v/>
      </c>
      <c r="M1382" s="8" t="str">
        <f>IFERROR(INDEX('PROJETO PERFURAÇÃO'!$AN:$AN,MATCH(MEDIÇÃO!K1382,'PROJETO PERFURAÇÃO'!$B:$B,0)),"")</f>
        <v/>
      </c>
      <c r="N1382" s="3"/>
      <c r="O1382" s="3"/>
      <c r="P1382" s="3" t="str">
        <f>IFERROR(ROUND(INDEX('PROJETO PERFURAÇÃO'!$AB:$AB,MATCH(MEDIÇÃO!R1382,'PROJETO PERFURAÇÃO'!$B:$B,0)),1)&amp;"''","")</f>
        <v/>
      </c>
      <c r="Q1382" s="3" t="str">
        <f>IFERROR(IF(INDEX('PROJETO PERFURAÇÃO'!$P:$P,MATCH(MEDIÇÃO!R1382,'PROJETO PERFURAÇÃO'!$B:$B,0))="Production","P",IF(INDEX('PROJETO PERFURAÇÃO'!$P:$P,MATCH(MEDIÇÃO!R1382,'PROJETO PERFURAÇÃO'!$B:$B,0))="Buffer","B",IF(INDEX('PROJETO PERFURAÇÃO'!$P:$P,MATCH(MEDIÇÃO!R1382,'PROJETO PERFURAÇÃO'!$B:$B,0))="Pre-Splitting","S"))),"")</f>
        <v/>
      </c>
      <c r="R1382" s="14">
        <f t="shared" si="134"/>
        <v>3096</v>
      </c>
      <c r="S1382" s="4" t="str">
        <f>IFERROR(INDEX('LEV R&amp;D'!$D:$D,MATCH(MEDIÇÃO!R1382,'LEV R&amp;D'!$A:$A,0))-INDEX('PROJETO PERFURAÇÃO'!$AH:$AH,MATCH(MEDIÇÃO!R1382,'PROJETO PERFURAÇÃO'!$B:$B,0)),"")</f>
        <v/>
      </c>
      <c r="T1382" s="8" t="str">
        <f>IFERROR(INDEX('PROJETO PERFURAÇÃO'!$AN:$AN,MATCH(MEDIÇÃO!R1382,'PROJETO PERFURAÇÃO'!$B:$B,0)),"")</f>
        <v/>
      </c>
      <c r="U1382" s="3"/>
      <c r="V1382" s="3"/>
    </row>
    <row r="1383" spans="2:22" ht="45" customHeight="1" x14ac:dyDescent="0.25">
      <c r="B1383" s="3" t="str">
        <f>IFERROR(ROUND(INDEX('PROJETO PERFURAÇÃO'!$AB:$AB,MATCH(MEDIÇÃO!D1383,'PROJETO PERFURAÇÃO'!$B:$B,0)),1)&amp;"''","")</f>
        <v/>
      </c>
      <c r="C1383" s="3" t="str">
        <f>IFERROR(IF(INDEX('PROJETO PERFURAÇÃO'!$P:$P,MATCH(MEDIÇÃO!D1383,'PROJETO PERFURAÇÃO'!$B:$B,0))="Production","P",IF(INDEX('PROJETO PERFURAÇÃO'!$P:$P,MATCH(MEDIÇÃO!D1383,'PROJETO PERFURAÇÃO'!$B:$B,0))="Buffer","B",IF(INDEX('PROJETO PERFURAÇÃO'!$P:$P,MATCH(MEDIÇÃO!D1383,'PROJETO PERFURAÇÃO'!$B:$B,0))="Pre-Splitting","S"))),"")</f>
        <v/>
      </c>
      <c r="D1383" s="14">
        <f t="shared" si="132"/>
        <v>3051</v>
      </c>
      <c r="E1383" s="4" t="str">
        <f>IFERROR(INDEX('LEV R&amp;D'!$D:$D,MATCH(MEDIÇÃO!D1383,'LEV R&amp;D'!$A:$A,0))-INDEX('PROJETO PERFURAÇÃO'!$AH:$AH,MATCH(MEDIÇÃO!D1383,'PROJETO PERFURAÇÃO'!$B:$B,0)),"")</f>
        <v/>
      </c>
      <c r="F1383" s="8" t="str">
        <f>IFERROR(INDEX('PROJETO PERFURAÇÃO'!$AN:$AN,MATCH(MEDIÇÃO!D1383,'PROJETO PERFURAÇÃO'!$B:$B,0)),"")</f>
        <v/>
      </c>
      <c r="G1383" s="3"/>
      <c r="H1383" s="3"/>
      <c r="I1383" s="3" t="str">
        <f>IFERROR(ROUND(INDEX('PROJETO PERFURAÇÃO'!$AB:$AB,MATCH(MEDIÇÃO!K1383,'PROJETO PERFURAÇÃO'!$B:$B,0)),1)&amp;"''","")</f>
        <v/>
      </c>
      <c r="J1383" s="3" t="str">
        <f>IFERROR(IF(INDEX('PROJETO PERFURAÇÃO'!$P:$P,MATCH(MEDIÇÃO!K1383,'PROJETO PERFURAÇÃO'!$B:$B,0))="Production","P",IF(INDEX('PROJETO PERFURAÇÃO'!$P:$P,MATCH(MEDIÇÃO!K1383,'PROJETO PERFURAÇÃO'!$B:$B,0))="Buffer","B",IF(INDEX('PROJETO PERFURAÇÃO'!$P:$P,MATCH(MEDIÇÃO!K1383,'PROJETO PERFURAÇÃO'!$B:$B,0))="Pre-Splitting","S"))),"")</f>
        <v/>
      </c>
      <c r="K1383" s="14">
        <f t="shared" si="133"/>
        <v>3074</v>
      </c>
      <c r="L1383" s="4" t="str">
        <f>IFERROR(INDEX('LEV R&amp;D'!$D:$D,MATCH(MEDIÇÃO!K1383,'LEV R&amp;D'!$A:$A,0))-INDEX('PROJETO PERFURAÇÃO'!$AH:$AH,MATCH(MEDIÇÃO!K1383,'PROJETO PERFURAÇÃO'!$B:$B,0)),"")</f>
        <v/>
      </c>
      <c r="M1383" s="8" t="str">
        <f>IFERROR(INDEX('PROJETO PERFURAÇÃO'!$AN:$AN,MATCH(MEDIÇÃO!K1383,'PROJETO PERFURAÇÃO'!$B:$B,0)),"")</f>
        <v/>
      </c>
      <c r="N1383" s="3"/>
      <c r="O1383" s="3"/>
      <c r="P1383" s="3" t="str">
        <f>IFERROR(ROUND(INDEX('PROJETO PERFURAÇÃO'!$AB:$AB,MATCH(MEDIÇÃO!R1383,'PROJETO PERFURAÇÃO'!$B:$B,0)),1)&amp;"''","")</f>
        <v/>
      </c>
      <c r="Q1383" s="3" t="str">
        <f>IFERROR(IF(INDEX('PROJETO PERFURAÇÃO'!$P:$P,MATCH(MEDIÇÃO!R1383,'PROJETO PERFURAÇÃO'!$B:$B,0))="Production","P",IF(INDEX('PROJETO PERFURAÇÃO'!$P:$P,MATCH(MEDIÇÃO!R1383,'PROJETO PERFURAÇÃO'!$B:$B,0))="Buffer","B",IF(INDEX('PROJETO PERFURAÇÃO'!$P:$P,MATCH(MEDIÇÃO!R1383,'PROJETO PERFURAÇÃO'!$B:$B,0))="Pre-Splitting","S"))),"")</f>
        <v/>
      </c>
      <c r="R1383" s="14">
        <f t="shared" si="134"/>
        <v>3097</v>
      </c>
      <c r="S1383" s="4" t="str">
        <f>IFERROR(INDEX('LEV R&amp;D'!$D:$D,MATCH(MEDIÇÃO!R1383,'LEV R&amp;D'!$A:$A,0))-INDEX('PROJETO PERFURAÇÃO'!$AH:$AH,MATCH(MEDIÇÃO!R1383,'PROJETO PERFURAÇÃO'!$B:$B,0)),"")</f>
        <v/>
      </c>
      <c r="T1383" s="8" t="str">
        <f>IFERROR(INDEX('PROJETO PERFURAÇÃO'!$AN:$AN,MATCH(MEDIÇÃO!R1383,'PROJETO PERFURAÇÃO'!$B:$B,0)),"")</f>
        <v/>
      </c>
      <c r="U1383" s="3"/>
      <c r="V1383" s="3"/>
    </row>
    <row r="1384" spans="2:22" ht="45" customHeight="1" x14ac:dyDescent="0.25">
      <c r="B1384" s="3" t="str">
        <f>IFERROR(ROUND(INDEX('PROJETO PERFURAÇÃO'!$AB:$AB,MATCH(MEDIÇÃO!D1384,'PROJETO PERFURAÇÃO'!$B:$B,0)),1)&amp;"''","")</f>
        <v/>
      </c>
      <c r="C1384" s="3" t="str">
        <f>IFERROR(IF(INDEX('PROJETO PERFURAÇÃO'!$P:$P,MATCH(MEDIÇÃO!D1384,'PROJETO PERFURAÇÃO'!$B:$B,0))="Production","P",IF(INDEX('PROJETO PERFURAÇÃO'!$P:$P,MATCH(MEDIÇÃO!D1384,'PROJETO PERFURAÇÃO'!$B:$B,0))="Buffer","B",IF(INDEX('PROJETO PERFURAÇÃO'!$P:$P,MATCH(MEDIÇÃO!D1384,'PROJETO PERFURAÇÃO'!$B:$B,0))="Pre-Splitting","S"))),"")</f>
        <v/>
      </c>
      <c r="D1384" s="14">
        <f t="shared" si="132"/>
        <v>3052</v>
      </c>
      <c r="E1384" s="4" t="str">
        <f>IFERROR(INDEX('LEV R&amp;D'!$D:$D,MATCH(MEDIÇÃO!D1384,'LEV R&amp;D'!$A:$A,0))-INDEX('PROJETO PERFURAÇÃO'!$AH:$AH,MATCH(MEDIÇÃO!D1384,'PROJETO PERFURAÇÃO'!$B:$B,0)),"")</f>
        <v/>
      </c>
      <c r="F1384" s="8" t="str">
        <f>IFERROR(INDEX('PROJETO PERFURAÇÃO'!$AN:$AN,MATCH(MEDIÇÃO!D1384,'PROJETO PERFURAÇÃO'!$B:$B,0)),"")</f>
        <v/>
      </c>
      <c r="G1384" s="3"/>
      <c r="H1384" s="3"/>
      <c r="I1384" s="3" t="str">
        <f>IFERROR(ROUND(INDEX('PROJETO PERFURAÇÃO'!$AB:$AB,MATCH(MEDIÇÃO!K1384,'PROJETO PERFURAÇÃO'!$B:$B,0)),1)&amp;"''","")</f>
        <v/>
      </c>
      <c r="J1384" s="3" t="str">
        <f>IFERROR(IF(INDEX('PROJETO PERFURAÇÃO'!$P:$P,MATCH(MEDIÇÃO!K1384,'PROJETO PERFURAÇÃO'!$B:$B,0))="Production","P",IF(INDEX('PROJETO PERFURAÇÃO'!$P:$P,MATCH(MEDIÇÃO!K1384,'PROJETO PERFURAÇÃO'!$B:$B,0))="Buffer","B",IF(INDEX('PROJETO PERFURAÇÃO'!$P:$P,MATCH(MEDIÇÃO!K1384,'PROJETO PERFURAÇÃO'!$B:$B,0))="Pre-Splitting","S"))),"")</f>
        <v/>
      </c>
      <c r="K1384" s="14">
        <f t="shared" si="133"/>
        <v>3075</v>
      </c>
      <c r="L1384" s="4" t="str">
        <f>IFERROR(INDEX('LEV R&amp;D'!$D:$D,MATCH(MEDIÇÃO!K1384,'LEV R&amp;D'!$A:$A,0))-INDEX('PROJETO PERFURAÇÃO'!$AH:$AH,MATCH(MEDIÇÃO!K1384,'PROJETO PERFURAÇÃO'!$B:$B,0)),"")</f>
        <v/>
      </c>
      <c r="M1384" s="8" t="str">
        <f>IFERROR(INDEX('PROJETO PERFURAÇÃO'!$AN:$AN,MATCH(MEDIÇÃO!K1384,'PROJETO PERFURAÇÃO'!$B:$B,0)),"")</f>
        <v/>
      </c>
      <c r="N1384" s="3"/>
      <c r="O1384" s="3"/>
      <c r="P1384" s="3" t="str">
        <f>IFERROR(ROUND(INDEX('PROJETO PERFURAÇÃO'!$AB:$AB,MATCH(MEDIÇÃO!R1384,'PROJETO PERFURAÇÃO'!$B:$B,0)),1)&amp;"''","")</f>
        <v/>
      </c>
      <c r="Q1384" s="3" t="str">
        <f>IFERROR(IF(INDEX('PROJETO PERFURAÇÃO'!$P:$P,MATCH(MEDIÇÃO!R1384,'PROJETO PERFURAÇÃO'!$B:$B,0))="Production","P",IF(INDEX('PROJETO PERFURAÇÃO'!$P:$P,MATCH(MEDIÇÃO!R1384,'PROJETO PERFURAÇÃO'!$B:$B,0))="Buffer","B",IF(INDEX('PROJETO PERFURAÇÃO'!$P:$P,MATCH(MEDIÇÃO!R1384,'PROJETO PERFURAÇÃO'!$B:$B,0))="Pre-Splitting","S"))),"")</f>
        <v/>
      </c>
      <c r="R1384" s="14">
        <f t="shared" si="134"/>
        <v>3098</v>
      </c>
      <c r="S1384" s="4" t="str">
        <f>IFERROR(INDEX('LEV R&amp;D'!$D:$D,MATCH(MEDIÇÃO!R1384,'LEV R&amp;D'!$A:$A,0))-INDEX('PROJETO PERFURAÇÃO'!$AH:$AH,MATCH(MEDIÇÃO!R1384,'PROJETO PERFURAÇÃO'!$B:$B,0)),"")</f>
        <v/>
      </c>
      <c r="T1384" s="8" t="str">
        <f>IFERROR(INDEX('PROJETO PERFURAÇÃO'!$AN:$AN,MATCH(MEDIÇÃO!R1384,'PROJETO PERFURAÇÃO'!$B:$B,0)),"")</f>
        <v/>
      </c>
      <c r="U1384" s="3"/>
      <c r="V1384" s="3"/>
    </row>
    <row r="1385" spans="2:22" ht="45" customHeight="1" x14ac:dyDescent="0.25">
      <c r="B1385" s="3" t="str">
        <f>IFERROR(ROUND(INDEX('PROJETO PERFURAÇÃO'!$AB:$AB,MATCH(MEDIÇÃO!D1385,'PROJETO PERFURAÇÃO'!$B:$B,0)),1)&amp;"''","")</f>
        <v/>
      </c>
      <c r="C1385" s="3" t="str">
        <f>IFERROR(IF(INDEX('PROJETO PERFURAÇÃO'!$P:$P,MATCH(MEDIÇÃO!D1385,'PROJETO PERFURAÇÃO'!$B:$B,0))="Production","P",IF(INDEX('PROJETO PERFURAÇÃO'!$P:$P,MATCH(MEDIÇÃO!D1385,'PROJETO PERFURAÇÃO'!$B:$B,0))="Buffer","B",IF(INDEX('PROJETO PERFURAÇÃO'!$P:$P,MATCH(MEDIÇÃO!D1385,'PROJETO PERFURAÇÃO'!$B:$B,0))="Pre-Splitting","S"))),"")</f>
        <v/>
      </c>
      <c r="D1385" s="14">
        <f t="shared" si="132"/>
        <v>3053</v>
      </c>
      <c r="E1385" s="4" t="str">
        <f>IFERROR(INDEX('LEV R&amp;D'!$D:$D,MATCH(MEDIÇÃO!D1385,'LEV R&amp;D'!$A:$A,0))-INDEX('PROJETO PERFURAÇÃO'!$AH:$AH,MATCH(MEDIÇÃO!D1385,'PROJETO PERFURAÇÃO'!$B:$B,0)),"")</f>
        <v/>
      </c>
      <c r="F1385" s="8" t="str">
        <f>IFERROR(INDEX('PROJETO PERFURAÇÃO'!$AN:$AN,MATCH(MEDIÇÃO!D1385,'PROJETO PERFURAÇÃO'!$B:$B,0)),"")</f>
        <v/>
      </c>
      <c r="G1385" s="3"/>
      <c r="H1385" s="3"/>
      <c r="I1385" s="3" t="str">
        <f>IFERROR(ROUND(INDEX('PROJETO PERFURAÇÃO'!$AB:$AB,MATCH(MEDIÇÃO!K1385,'PROJETO PERFURAÇÃO'!$B:$B,0)),1)&amp;"''","")</f>
        <v/>
      </c>
      <c r="J1385" s="3" t="str">
        <f>IFERROR(IF(INDEX('PROJETO PERFURAÇÃO'!$P:$P,MATCH(MEDIÇÃO!K1385,'PROJETO PERFURAÇÃO'!$B:$B,0))="Production","P",IF(INDEX('PROJETO PERFURAÇÃO'!$P:$P,MATCH(MEDIÇÃO!K1385,'PROJETO PERFURAÇÃO'!$B:$B,0))="Buffer","B",IF(INDEX('PROJETO PERFURAÇÃO'!$P:$P,MATCH(MEDIÇÃO!K1385,'PROJETO PERFURAÇÃO'!$B:$B,0))="Pre-Splitting","S"))),"")</f>
        <v/>
      </c>
      <c r="K1385" s="14">
        <f t="shared" si="133"/>
        <v>3076</v>
      </c>
      <c r="L1385" s="4" t="str">
        <f>IFERROR(INDEX('LEV R&amp;D'!$D:$D,MATCH(MEDIÇÃO!K1385,'LEV R&amp;D'!$A:$A,0))-INDEX('PROJETO PERFURAÇÃO'!$AH:$AH,MATCH(MEDIÇÃO!K1385,'PROJETO PERFURAÇÃO'!$B:$B,0)),"")</f>
        <v/>
      </c>
      <c r="M1385" s="8" t="str">
        <f>IFERROR(INDEX('PROJETO PERFURAÇÃO'!$AN:$AN,MATCH(MEDIÇÃO!K1385,'PROJETO PERFURAÇÃO'!$B:$B,0)),"")</f>
        <v/>
      </c>
      <c r="N1385" s="3"/>
      <c r="O1385" s="3"/>
      <c r="P1385" s="3" t="str">
        <f>IFERROR(ROUND(INDEX('PROJETO PERFURAÇÃO'!$AB:$AB,MATCH(MEDIÇÃO!R1385,'PROJETO PERFURAÇÃO'!$B:$B,0)),1)&amp;"''","")</f>
        <v/>
      </c>
      <c r="Q1385" s="3" t="str">
        <f>IFERROR(IF(INDEX('PROJETO PERFURAÇÃO'!$P:$P,MATCH(MEDIÇÃO!R1385,'PROJETO PERFURAÇÃO'!$B:$B,0))="Production","P",IF(INDEX('PROJETO PERFURAÇÃO'!$P:$P,MATCH(MEDIÇÃO!R1385,'PROJETO PERFURAÇÃO'!$B:$B,0))="Buffer","B",IF(INDEX('PROJETO PERFURAÇÃO'!$P:$P,MATCH(MEDIÇÃO!R1385,'PROJETO PERFURAÇÃO'!$B:$B,0))="Pre-Splitting","S"))),"")</f>
        <v/>
      </c>
      <c r="R1385" s="14">
        <f t="shared" si="134"/>
        <v>3099</v>
      </c>
      <c r="S1385" s="4" t="str">
        <f>IFERROR(INDEX('LEV R&amp;D'!$D:$D,MATCH(MEDIÇÃO!R1385,'LEV R&amp;D'!$A:$A,0))-INDEX('PROJETO PERFURAÇÃO'!$AH:$AH,MATCH(MEDIÇÃO!R1385,'PROJETO PERFURAÇÃO'!$B:$B,0)),"")</f>
        <v/>
      </c>
      <c r="T1385" s="8" t="str">
        <f>IFERROR(INDEX('PROJETO PERFURAÇÃO'!$AN:$AN,MATCH(MEDIÇÃO!R1385,'PROJETO PERFURAÇÃO'!$B:$B,0)),"")</f>
        <v/>
      </c>
      <c r="U1385" s="3"/>
      <c r="V1385" s="3"/>
    </row>
    <row r="1386" spans="2:22" ht="45" customHeight="1" x14ac:dyDescent="0.25">
      <c r="B1386" s="3" t="str">
        <f>IFERROR(ROUND(INDEX('PROJETO PERFURAÇÃO'!$AB:$AB,MATCH(MEDIÇÃO!D1386,'PROJETO PERFURAÇÃO'!$B:$B,0)),1)&amp;"''","")</f>
        <v/>
      </c>
      <c r="C1386" s="3" t="str">
        <f>IFERROR(IF(INDEX('PROJETO PERFURAÇÃO'!$P:$P,MATCH(MEDIÇÃO!D1386,'PROJETO PERFURAÇÃO'!$B:$B,0))="Production","P",IF(INDEX('PROJETO PERFURAÇÃO'!$P:$P,MATCH(MEDIÇÃO!D1386,'PROJETO PERFURAÇÃO'!$B:$B,0))="Buffer","B",IF(INDEX('PROJETO PERFURAÇÃO'!$P:$P,MATCH(MEDIÇÃO!D1386,'PROJETO PERFURAÇÃO'!$B:$B,0))="Pre-Splitting","S"))),"")</f>
        <v/>
      </c>
      <c r="D1386" s="14">
        <f t="shared" si="132"/>
        <v>3054</v>
      </c>
      <c r="E1386" s="4" t="str">
        <f>IFERROR(INDEX('LEV R&amp;D'!$D:$D,MATCH(MEDIÇÃO!D1386,'LEV R&amp;D'!$A:$A,0))-INDEX('PROJETO PERFURAÇÃO'!$AH:$AH,MATCH(MEDIÇÃO!D1386,'PROJETO PERFURAÇÃO'!$B:$B,0)),"")</f>
        <v/>
      </c>
      <c r="F1386" s="8" t="str">
        <f>IFERROR(INDEX('PROJETO PERFURAÇÃO'!$AN:$AN,MATCH(MEDIÇÃO!D1386,'PROJETO PERFURAÇÃO'!$B:$B,0)),"")</f>
        <v/>
      </c>
      <c r="G1386" s="3"/>
      <c r="H1386" s="3"/>
      <c r="I1386" s="3" t="str">
        <f>IFERROR(ROUND(INDEX('PROJETO PERFURAÇÃO'!$AB:$AB,MATCH(MEDIÇÃO!K1386,'PROJETO PERFURAÇÃO'!$B:$B,0)),1)&amp;"''","")</f>
        <v/>
      </c>
      <c r="J1386" s="3" t="str">
        <f>IFERROR(IF(INDEX('PROJETO PERFURAÇÃO'!$P:$P,MATCH(MEDIÇÃO!K1386,'PROJETO PERFURAÇÃO'!$B:$B,0))="Production","P",IF(INDEX('PROJETO PERFURAÇÃO'!$P:$P,MATCH(MEDIÇÃO!K1386,'PROJETO PERFURAÇÃO'!$B:$B,0))="Buffer","B",IF(INDEX('PROJETO PERFURAÇÃO'!$P:$P,MATCH(MEDIÇÃO!K1386,'PROJETO PERFURAÇÃO'!$B:$B,0))="Pre-Splitting","S"))),"")</f>
        <v/>
      </c>
      <c r="K1386" s="14">
        <f t="shared" si="133"/>
        <v>3077</v>
      </c>
      <c r="L1386" s="4" t="str">
        <f>IFERROR(INDEX('LEV R&amp;D'!$D:$D,MATCH(MEDIÇÃO!K1386,'LEV R&amp;D'!$A:$A,0))-INDEX('PROJETO PERFURAÇÃO'!$AH:$AH,MATCH(MEDIÇÃO!K1386,'PROJETO PERFURAÇÃO'!$B:$B,0)),"")</f>
        <v/>
      </c>
      <c r="M1386" s="8" t="str">
        <f>IFERROR(INDEX('PROJETO PERFURAÇÃO'!$AN:$AN,MATCH(MEDIÇÃO!K1386,'PROJETO PERFURAÇÃO'!$B:$B,0)),"")</f>
        <v/>
      </c>
      <c r="N1386" s="3"/>
      <c r="O1386" s="3"/>
      <c r="P1386" s="3" t="str">
        <f>IFERROR(ROUND(INDEX('PROJETO PERFURAÇÃO'!$AB:$AB,MATCH(MEDIÇÃO!R1386,'PROJETO PERFURAÇÃO'!$B:$B,0)),1)&amp;"''","")</f>
        <v/>
      </c>
      <c r="Q1386" s="3" t="str">
        <f>IFERROR(IF(INDEX('PROJETO PERFURAÇÃO'!$P:$P,MATCH(MEDIÇÃO!R1386,'PROJETO PERFURAÇÃO'!$B:$B,0))="Production","P",IF(INDEX('PROJETO PERFURAÇÃO'!$P:$P,MATCH(MEDIÇÃO!R1386,'PROJETO PERFURAÇÃO'!$B:$B,0))="Buffer","B",IF(INDEX('PROJETO PERFURAÇÃO'!$P:$P,MATCH(MEDIÇÃO!R1386,'PROJETO PERFURAÇÃO'!$B:$B,0))="Pre-Splitting","S"))),"")</f>
        <v/>
      </c>
      <c r="R1386" s="14">
        <f t="shared" si="134"/>
        <v>3100</v>
      </c>
      <c r="S1386" s="4" t="str">
        <f>IFERROR(INDEX('LEV R&amp;D'!$D:$D,MATCH(MEDIÇÃO!R1386,'LEV R&amp;D'!$A:$A,0))-INDEX('PROJETO PERFURAÇÃO'!$AH:$AH,MATCH(MEDIÇÃO!R1386,'PROJETO PERFURAÇÃO'!$B:$B,0)),"")</f>
        <v/>
      </c>
      <c r="T1386" s="8" t="str">
        <f>IFERROR(INDEX('PROJETO PERFURAÇÃO'!$AN:$AN,MATCH(MEDIÇÃO!R1386,'PROJETO PERFURAÇÃO'!$B:$B,0)),"")</f>
        <v/>
      </c>
      <c r="U1386" s="3"/>
      <c r="V1386" s="3"/>
    </row>
    <row r="1387" spans="2:22" ht="45" customHeight="1" x14ac:dyDescent="0.25">
      <c r="B1387" s="3" t="str">
        <f>IFERROR(ROUND(INDEX('PROJETO PERFURAÇÃO'!$AB:$AB,MATCH(MEDIÇÃO!D1387,'PROJETO PERFURAÇÃO'!$B:$B,0)),1)&amp;"''","")</f>
        <v/>
      </c>
      <c r="C1387" s="3" t="str">
        <f>IFERROR(IF(INDEX('PROJETO PERFURAÇÃO'!$P:$P,MATCH(MEDIÇÃO!D1387,'PROJETO PERFURAÇÃO'!$B:$B,0))="Production","P",IF(INDEX('PROJETO PERFURAÇÃO'!$P:$P,MATCH(MEDIÇÃO!D1387,'PROJETO PERFURAÇÃO'!$B:$B,0))="Buffer","B",IF(INDEX('PROJETO PERFURAÇÃO'!$P:$P,MATCH(MEDIÇÃO!D1387,'PROJETO PERFURAÇÃO'!$B:$B,0))="Pre-Splitting","S"))),"")</f>
        <v/>
      </c>
      <c r="D1387" s="14">
        <f t="shared" si="132"/>
        <v>3055</v>
      </c>
      <c r="E1387" s="4" t="str">
        <f>IFERROR(INDEX('LEV R&amp;D'!$D:$D,MATCH(MEDIÇÃO!D1387,'LEV R&amp;D'!$A:$A,0))-INDEX('PROJETO PERFURAÇÃO'!$AH:$AH,MATCH(MEDIÇÃO!D1387,'PROJETO PERFURAÇÃO'!$B:$B,0)),"")</f>
        <v/>
      </c>
      <c r="F1387" s="8" t="str">
        <f>IFERROR(INDEX('PROJETO PERFURAÇÃO'!$AN:$AN,MATCH(MEDIÇÃO!D1387,'PROJETO PERFURAÇÃO'!$B:$B,0)),"")</f>
        <v/>
      </c>
      <c r="G1387" s="3"/>
      <c r="H1387" s="3"/>
      <c r="I1387" s="3" t="str">
        <f>IFERROR(ROUND(INDEX('PROJETO PERFURAÇÃO'!$AB:$AB,MATCH(MEDIÇÃO!K1387,'PROJETO PERFURAÇÃO'!$B:$B,0)),1)&amp;"''","")</f>
        <v/>
      </c>
      <c r="J1387" s="3" t="str">
        <f>IFERROR(IF(INDEX('PROJETO PERFURAÇÃO'!$P:$P,MATCH(MEDIÇÃO!K1387,'PROJETO PERFURAÇÃO'!$B:$B,0))="Production","P",IF(INDEX('PROJETO PERFURAÇÃO'!$P:$P,MATCH(MEDIÇÃO!K1387,'PROJETO PERFURAÇÃO'!$B:$B,0))="Buffer","B",IF(INDEX('PROJETO PERFURAÇÃO'!$P:$P,MATCH(MEDIÇÃO!K1387,'PROJETO PERFURAÇÃO'!$B:$B,0))="Pre-Splitting","S"))),"")</f>
        <v/>
      </c>
      <c r="K1387" s="14">
        <f t="shared" si="133"/>
        <v>3078</v>
      </c>
      <c r="L1387" s="4" t="str">
        <f>IFERROR(INDEX('LEV R&amp;D'!$D:$D,MATCH(MEDIÇÃO!K1387,'LEV R&amp;D'!$A:$A,0))-INDEX('PROJETO PERFURAÇÃO'!$AH:$AH,MATCH(MEDIÇÃO!K1387,'PROJETO PERFURAÇÃO'!$B:$B,0)),"")</f>
        <v/>
      </c>
      <c r="M1387" s="8" t="str">
        <f>IFERROR(INDEX('PROJETO PERFURAÇÃO'!$AN:$AN,MATCH(MEDIÇÃO!K1387,'PROJETO PERFURAÇÃO'!$B:$B,0)),"")</f>
        <v/>
      </c>
      <c r="N1387" s="3"/>
      <c r="O1387" s="3"/>
      <c r="P1387" s="3" t="str">
        <f>IFERROR(ROUND(INDEX('PROJETO PERFURAÇÃO'!$AB:$AB,MATCH(MEDIÇÃO!R1387,'PROJETO PERFURAÇÃO'!$B:$B,0)),1)&amp;"''","")</f>
        <v/>
      </c>
      <c r="Q1387" s="3" t="str">
        <f>IFERROR(IF(INDEX('PROJETO PERFURAÇÃO'!$P:$P,MATCH(MEDIÇÃO!R1387,'PROJETO PERFURAÇÃO'!$B:$B,0))="Production","P",IF(INDEX('PROJETO PERFURAÇÃO'!$P:$P,MATCH(MEDIÇÃO!R1387,'PROJETO PERFURAÇÃO'!$B:$B,0))="Buffer","B",IF(INDEX('PROJETO PERFURAÇÃO'!$P:$P,MATCH(MEDIÇÃO!R1387,'PROJETO PERFURAÇÃO'!$B:$B,0))="Pre-Splitting","S"))),"")</f>
        <v/>
      </c>
      <c r="R1387" s="14">
        <f t="shared" si="134"/>
        <v>3101</v>
      </c>
      <c r="S1387" s="4" t="str">
        <f>IFERROR(INDEX('LEV R&amp;D'!$D:$D,MATCH(MEDIÇÃO!R1387,'LEV R&amp;D'!$A:$A,0))-INDEX('PROJETO PERFURAÇÃO'!$AH:$AH,MATCH(MEDIÇÃO!R1387,'PROJETO PERFURAÇÃO'!$B:$B,0)),"")</f>
        <v/>
      </c>
      <c r="T1387" s="8" t="str">
        <f>IFERROR(INDEX('PROJETO PERFURAÇÃO'!$AN:$AN,MATCH(MEDIÇÃO!R1387,'PROJETO PERFURAÇÃO'!$B:$B,0)),"")</f>
        <v/>
      </c>
      <c r="U1387" s="3"/>
      <c r="V1387" s="3"/>
    </row>
    <row r="1388" spans="2:22" ht="45" customHeight="1" x14ac:dyDescent="0.25">
      <c r="B1388" s="3" t="str">
        <f>IFERROR(ROUND(INDEX('PROJETO PERFURAÇÃO'!$AB:$AB,MATCH(MEDIÇÃO!D1388,'PROJETO PERFURAÇÃO'!$B:$B,0)),1)&amp;"''","")</f>
        <v/>
      </c>
      <c r="C1388" s="3" t="str">
        <f>IFERROR(IF(INDEX('PROJETO PERFURAÇÃO'!$P:$P,MATCH(MEDIÇÃO!D1388,'PROJETO PERFURAÇÃO'!$B:$B,0))="Production","P",IF(INDEX('PROJETO PERFURAÇÃO'!$P:$P,MATCH(MEDIÇÃO!D1388,'PROJETO PERFURAÇÃO'!$B:$B,0))="Buffer","B",IF(INDEX('PROJETO PERFURAÇÃO'!$P:$P,MATCH(MEDIÇÃO!D1388,'PROJETO PERFURAÇÃO'!$B:$B,0))="Pre-Splitting","S"))),"")</f>
        <v/>
      </c>
      <c r="D1388" s="14">
        <f t="shared" si="132"/>
        <v>3056</v>
      </c>
      <c r="E1388" s="4" t="str">
        <f>IFERROR(INDEX('LEV R&amp;D'!$D:$D,MATCH(MEDIÇÃO!D1388,'LEV R&amp;D'!$A:$A,0))-INDEX('PROJETO PERFURAÇÃO'!$AH:$AH,MATCH(MEDIÇÃO!D1388,'PROJETO PERFURAÇÃO'!$B:$B,0)),"")</f>
        <v/>
      </c>
      <c r="F1388" s="8" t="str">
        <f>IFERROR(INDEX('PROJETO PERFURAÇÃO'!$AN:$AN,MATCH(MEDIÇÃO!D1388,'PROJETO PERFURAÇÃO'!$B:$B,0)),"")</f>
        <v/>
      </c>
      <c r="G1388" s="3"/>
      <c r="H1388" s="3"/>
      <c r="I1388" s="3" t="str">
        <f>IFERROR(ROUND(INDEX('PROJETO PERFURAÇÃO'!$AB:$AB,MATCH(MEDIÇÃO!K1388,'PROJETO PERFURAÇÃO'!$B:$B,0)),1)&amp;"''","")</f>
        <v/>
      </c>
      <c r="J1388" s="3" t="str">
        <f>IFERROR(IF(INDEX('PROJETO PERFURAÇÃO'!$P:$P,MATCH(MEDIÇÃO!K1388,'PROJETO PERFURAÇÃO'!$B:$B,0))="Production","P",IF(INDEX('PROJETO PERFURAÇÃO'!$P:$P,MATCH(MEDIÇÃO!K1388,'PROJETO PERFURAÇÃO'!$B:$B,0))="Buffer","B",IF(INDEX('PROJETO PERFURAÇÃO'!$P:$P,MATCH(MEDIÇÃO!K1388,'PROJETO PERFURAÇÃO'!$B:$B,0))="Pre-Splitting","S"))),"")</f>
        <v/>
      </c>
      <c r="K1388" s="14">
        <f t="shared" si="133"/>
        <v>3079</v>
      </c>
      <c r="L1388" s="4" t="str">
        <f>IFERROR(INDEX('LEV R&amp;D'!$D:$D,MATCH(MEDIÇÃO!K1388,'LEV R&amp;D'!$A:$A,0))-INDEX('PROJETO PERFURAÇÃO'!$AH:$AH,MATCH(MEDIÇÃO!K1388,'PROJETO PERFURAÇÃO'!$B:$B,0)),"")</f>
        <v/>
      </c>
      <c r="M1388" s="8" t="str">
        <f>IFERROR(INDEX('PROJETO PERFURAÇÃO'!$AN:$AN,MATCH(MEDIÇÃO!K1388,'PROJETO PERFURAÇÃO'!$B:$B,0)),"")</f>
        <v/>
      </c>
      <c r="N1388" s="3"/>
      <c r="O1388" s="3"/>
      <c r="P1388" s="3" t="str">
        <f>IFERROR(ROUND(INDEX('PROJETO PERFURAÇÃO'!$AB:$AB,MATCH(MEDIÇÃO!R1388,'PROJETO PERFURAÇÃO'!$B:$B,0)),1)&amp;"''","")</f>
        <v/>
      </c>
      <c r="Q1388" s="3" t="str">
        <f>IFERROR(IF(INDEX('PROJETO PERFURAÇÃO'!$P:$P,MATCH(MEDIÇÃO!R1388,'PROJETO PERFURAÇÃO'!$B:$B,0))="Production","P",IF(INDEX('PROJETO PERFURAÇÃO'!$P:$P,MATCH(MEDIÇÃO!R1388,'PROJETO PERFURAÇÃO'!$B:$B,0))="Buffer","B",IF(INDEX('PROJETO PERFURAÇÃO'!$P:$P,MATCH(MEDIÇÃO!R1388,'PROJETO PERFURAÇÃO'!$B:$B,0))="Pre-Splitting","S"))),"")</f>
        <v/>
      </c>
      <c r="R1388" s="14">
        <f t="shared" si="134"/>
        <v>3102</v>
      </c>
      <c r="S1388" s="4" t="str">
        <f>IFERROR(INDEX('LEV R&amp;D'!$D:$D,MATCH(MEDIÇÃO!R1388,'LEV R&amp;D'!$A:$A,0))-INDEX('PROJETO PERFURAÇÃO'!$AH:$AH,MATCH(MEDIÇÃO!R1388,'PROJETO PERFURAÇÃO'!$B:$B,0)),"")</f>
        <v/>
      </c>
      <c r="T1388" s="8" t="str">
        <f>IFERROR(INDEX('PROJETO PERFURAÇÃO'!$AN:$AN,MATCH(MEDIÇÃO!R1388,'PROJETO PERFURAÇÃO'!$B:$B,0)),"")</f>
        <v/>
      </c>
      <c r="U1388" s="3"/>
      <c r="V1388" s="3"/>
    </row>
    <row r="1389" spans="2:22" ht="45" customHeight="1" x14ac:dyDescent="0.25">
      <c r="B1389" s="3" t="str">
        <f>IFERROR(ROUND(INDEX('PROJETO PERFURAÇÃO'!$AB:$AB,MATCH(MEDIÇÃO!D1389,'PROJETO PERFURAÇÃO'!$B:$B,0)),1)&amp;"''","")</f>
        <v/>
      </c>
      <c r="C1389" s="3" t="str">
        <f>IFERROR(IF(INDEX('PROJETO PERFURAÇÃO'!$P:$P,MATCH(MEDIÇÃO!D1389,'PROJETO PERFURAÇÃO'!$B:$B,0))="Production","P",IF(INDEX('PROJETO PERFURAÇÃO'!$P:$P,MATCH(MEDIÇÃO!D1389,'PROJETO PERFURAÇÃO'!$B:$B,0))="Buffer","B",IF(INDEX('PROJETO PERFURAÇÃO'!$P:$P,MATCH(MEDIÇÃO!D1389,'PROJETO PERFURAÇÃO'!$B:$B,0))="Pre-Splitting","S"))),"")</f>
        <v/>
      </c>
      <c r="D1389" s="14">
        <f t="shared" si="132"/>
        <v>3057</v>
      </c>
      <c r="E1389" s="4" t="str">
        <f>IFERROR(INDEX('LEV R&amp;D'!$D:$D,MATCH(MEDIÇÃO!D1389,'LEV R&amp;D'!$A:$A,0))-INDEX('PROJETO PERFURAÇÃO'!$AH:$AH,MATCH(MEDIÇÃO!D1389,'PROJETO PERFURAÇÃO'!$B:$B,0)),"")</f>
        <v/>
      </c>
      <c r="F1389" s="8" t="str">
        <f>IFERROR(INDEX('PROJETO PERFURAÇÃO'!$AN:$AN,MATCH(MEDIÇÃO!D1389,'PROJETO PERFURAÇÃO'!$B:$B,0)),"")</f>
        <v/>
      </c>
      <c r="G1389" s="3"/>
      <c r="H1389" s="3"/>
      <c r="I1389" s="3" t="str">
        <f>IFERROR(ROUND(INDEX('PROJETO PERFURAÇÃO'!$AB:$AB,MATCH(MEDIÇÃO!K1389,'PROJETO PERFURAÇÃO'!$B:$B,0)),1)&amp;"''","")</f>
        <v/>
      </c>
      <c r="J1389" s="3" t="str">
        <f>IFERROR(IF(INDEX('PROJETO PERFURAÇÃO'!$P:$P,MATCH(MEDIÇÃO!K1389,'PROJETO PERFURAÇÃO'!$B:$B,0))="Production","P",IF(INDEX('PROJETO PERFURAÇÃO'!$P:$P,MATCH(MEDIÇÃO!K1389,'PROJETO PERFURAÇÃO'!$B:$B,0))="Buffer","B",IF(INDEX('PROJETO PERFURAÇÃO'!$P:$P,MATCH(MEDIÇÃO!K1389,'PROJETO PERFURAÇÃO'!$B:$B,0))="Pre-Splitting","S"))),"")</f>
        <v/>
      </c>
      <c r="K1389" s="14">
        <f t="shared" si="133"/>
        <v>3080</v>
      </c>
      <c r="L1389" s="4" t="str">
        <f>IFERROR(INDEX('LEV R&amp;D'!$D:$D,MATCH(MEDIÇÃO!K1389,'LEV R&amp;D'!$A:$A,0))-INDEX('PROJETO PERFURAÇÃO'!$AH:$AH,MATCH(MEDIÇÃO!K1389,'PROJETO PERFURAÇÃO'!$B:$B,0)),"")</f>
        <v/>
      </c>
      <c r="M1389" s="8" t="str">
        <f>IFERROR(INDEX('PROJETO PERFURAÇÃO'!$AN:$AN,MATCH(MEDIÇÃO!K1389,'PROJETO PERFURAÇÃO'!$B:$B,0)),"")</f>
        <v/>
      </c>
      <c r="N1389" s="3"/>
      <c r="O1389" s="3"/>
      <c r="P1389" s="3" t="str">
        <f>IFERROR(ROUND(INDEX('PROJETO PERFURAÇÃO'!$AB:$AB,MATCH(MEDIÇÃO!R1389,'PROJETO PERFURAÇÃO'!$B:$B,0)),1)&amp;"''","")</f>
        <v/>
      </c>
      <c r="Q1389" s="3" t="str">
        <f>IFERROR(IF(INDEX('PROJETO PERFURAÇÃO'!$P:$P,MATCH(MEDIÇÃO!R1389,'PROJETO PERFURAÇÃO'!$B:$B,0))="Production","P",IF(INDEX('PROJETO PERFURAÇÃO'!$P:$P,MATCH(MEDIÇÃO!R1389,'PROJETO PERFURAÇÃO'!$B:$B,0))="Buffer","B",IF(INDEX('PROJETO PERFURAÇÃO'!$P:$P,MATCH(MEDIÇÃO!R1389,'PROJETO PERFURAÇÃO'!$B:$B,0))="Pre-Splitting","S"))),"")</f>
        <v/>
      </c>
      <c r="R1389" s="14">
        <f t="shared" si="134"/>
        <v>3103</v>
      </c>
      <c r="S1389" s="4" t="str">
        <f>IFERROR(INDEX('LEV R&amp;D'!$D:$D,MATCH(MEDIÇÃO!R1389,'LEV R&amp;D'!$A:$A,0))-INDEX('PROJETO PERFURAÇÃO'!$AH:$AH,MATCH(MEDIÇÃO!R1389,'PROJETO PERFURAÇÃO'!$B:$B,0)),"")</f>
        <v/>
      </c>
      <c r="T1389" s="8" t="str">
        <f>IFERROR(INDEX('PROJETO PERFURAÇÃO'!$AN:$AN,MATCH(MEDIÇÃO!R1389,'PROJETO PERFURAÇÃO'!$B:$B,0)),"")</f>
        <v/>
      </c>
      <c r="U1389" s="3"/>
      <c r="V1389" s="3"/>
    </row>
    <row r="1390" spans="2:22" ht="45" customHeight="1" x14ac:dyDescent="0.25">
      <c r="B1390" s="3" t="str">
        <f>IFERROR(ROUND(INDEX('PROJETO PERFURAÇÃO'!$AB:$AB,MATCH(MEDIÇÃO!D1390,'PROJETO PERFURAÇÃO'!$B:$B,0)),1)&amp;"''","")</f>
        <v/>
      </c>
      <c r="C1390" s="3" t="str">
        <f>IFERROR(IF(INDEX('PROJETO PERFURAÇÃO'!$P:$P,MATCH(MEDIÇÃO!D1390,'PROJETO PERFURAÇÃO'!$B:$B,0))="Production","P",IF(INDEX('PROJETO PERFURAÇÃO'!$P:$P,MATCH(MEDIÇÃO!D1390,'PROJETO PERFURAÇÃO'!$B:$B,0))="Buffer","B",IF(INDEX('PROJETO PERFURAÇÃO'!$P:$P,MATCH(MEDIÇÃO!D1390,'PROJETO PERFURAÇÃO'!$B:$B,0))="Pre-Splitting","S"))),"")</f>
        <v/>
      </c>
      <c r="D1390" s="14">
        <f t="shared" si="132"/>
        <v>3058</v>
      </c>
      <c r="E1390" s="4" t="str">
        <f>IFERROR(INDEX('LEV R&amp;D'!$D:$D,MATCH(MEDIÇÃO!D1390,'LEV R&amp;D'!$A:$A,0))-INDEX('PROJETO PERFURAÇÃO'!$AH:$AH,MATCH(MEDIÇÃO!D1390,'PROJETO PERFURAÇÃO'!$B:$B,0)),"")</f>
        <v/>
      </c>
      <c r="F1390" s="8" t="str">
        <f>IFERROR(INDEX('PROJETO PERFURAÇÃO'!$AN:$AN,MATCH(MEDIÇÃO!D1390,'PROJETO PERFURAÇÃO'!$B:$B,0)),"")</f>
        <v/>
      </c>
      <c r="G1390" s="3"/>
      <c r="H1390" s="3"/>
      <c r="I1390" s="3" t="str">
        <f>IFERROR(ROUND(INDEX('PROJETO PERFURAÇÃO'!$AB:$AB,MATCH(MEDIÇÃO!K1390,'PROJETO PERFURAÇÃO'!$B:$B,0)),1)&amp;"''","")</f>
        <v/>
      </c>
      <c r="J1390" s="3" t="str">
        <f>IFERROR(IF(INDEX('PROJETO PERFURAÇÃO'!$P:$P,MATCH(MEDIÇÃO!K1390,'PROJETO PERFURAÇÃO'!$B:$B,0))="Production","P",IF(INDEX('PROJETO PERFURAÇÃO'!$P:$P,MATCH(MEDIÇÃO!K1390,'PROJETO PERFURAÇÃO'!$B:$B,0))="Buffer","B",IF(INDEX('PROJETO PERFURAÇÃO'!$P:$P,MATCH(MEDIÇÃO!K1390,'PROJETO PERFURAÇÃO'!$B:$B,0))="Pre-Splitting","S"))),"")</f>
        <v/>
      </c>
      <c r="K1390" s="14">
        <f t="shared" si="133"/>
        <v>3081</v>
      </c>
      <c r="L1390" s="4" t="str">
        <f>IFERROR(INDEX('LEV R&amp;D'!$D:$D,MATCH(MEDIÇÃO!K1390,'LEV R&amp;D'!$A:$A,0))-INDEX('PROJETO PERFURAÇÃO'!$AH:$AH,MATCH(MEDIÇÃO!K1390,'PROJETO PERFURAÇÃO'!$B:$B,0)),"")</f>
        <v/>
      </c>
      <c r="M1390" s="8" t="str">
        <f>IFERROR(INDEX('PROJETO PERFURAÇÃO'!$AN:$AN,MATCH(MEDIÇÃO!K1390,'PROJETO PERFURAÇÃO'!$B:$B,0)),"")</f>
        <v/>
      </c>
      <c r="N1390" s="3"/>
      <c r="O1390" s="3"/>
      <c r="P1390" s="3" t="str">
        <f>IFERROR(ROUND(INDEX('PROJETO PERFURAÇÃO'!$AB:$AB,MATCH(MEDIÇÃO!R1390,'PROJETO PERFURAÇÃO'!$B:$B,0)),1)&amp;"''","")</f>
        <v/>
      </c>
      <c r="Q1390" s="3" t="str">
        <f>IFERROR(IF(INDEX('PROJETO PERFURAÇÃO'!$P:$P,MATCH(MEDIÇÃO!R1390,'PROJETO PERFURAÇÃO'!$B:$B,0))="Production","P",IF(INDEX('PROJETO PERFURAÇÃO'!$P:$P,MATCH(MEDIÇÃO!R1390,'PROJETO PERFURAÇÃO'!$B:$B,0))="Buffer","B",IF(INDEX('PROJETO PERFURAÇÃO'!$P:$P,MATCH(MEDIÇÃO!R1390,'PROJETO PERFURAÇÃO'!$B:$B,0))="Pre-Splitting","S"))),"")</f>
        <v/>
      </c>
      <c r="R1390" s="14">
        <f t="shared" si="134"/>
        <v>3104</v>
      </c>
      <c r="S1390" s="4" t="str">
        <f>IFERROR(INDEX('LEV R&amp;D'!$D:$D,MATCH(MEDIÇÃO!R1390,'LEV R&amp;D'!$A:$A,0))-INDEX('PROJETO PERFURAÇÃO'!$AH:$AH,MATCH(MEDIÇÃO!R1390,'PROJETO PERFURAÇÃO'!$B:$B,0)),"")</f>
        <v/>
      </c>
      <c r="T1390" s="8" t="str">
        <f>IFERROR(INDEX('PROJETO PERFURAÇÃO'!$AN:$AN,MATCH(MEDIÇÃO!R1390,'PROJETO PERFURAÇÃO'!$B:$B,0)),"")</f>
        <v/>
      </c>
      <c r="U1390" s="3"/>
      <c r="V1390" s="3"/>
    </row>
    <row r="1391" spans="2:22" ht="45" customHeight="1" x14ac:dyDescent="0.25">
      <c r="B1391" s="3" t="str">
        <f>IFERROR(ROUND(INDEX('PROJETO PERFURAÇÃO'!$AB:$AB,MATCH(MEDIÇÃO!D1391,'PROJETO PERFURAÇÃO'!$B:$B,0)),1)&amp;"''","")</f>
        <v/>
      </c>
      <c r="C1391" s="3" t="str">
        <f>IFERROR(IF(INDEX('PROJETO PERFURAÇÃO'!$P:$P,MATCH(MEDIÇÃO!D1391,'PROJETO PERFURAÇÃO'!$B:$B,0))="Production","P",IF(INDEX('PROJETO PERFURAÇÃO'!$P:$P,MATCH(MEDIÇÃO!D1391,'PROJETO PERFURAÇÃO'!$B:$B,0))="Buffer","B",IF(INDEX('PROJETO PERFURAÇÃO'!$P:$P,MATCH(MEDIÇÃO!D1391,'PROJETO PERFURAÇÃO'!$B:$B,0))="Pre-Splitting","S"))),"")</f>
        <v/>
      </c>
      <c r="D1391" s="14">
        <f t="shared" si="132"/>
        <v>3059</v>
      </c>
      <c r="E1391" s="4" t="str">
        <f>IFERROR(INDEX('LEV R&amp;D'!$D:$D,MATCH(MEDIÇÃO!D1391,'LEV R&amp;D'!$A:$A,0))-INDEX('PROJETO PERFURAÇÃO'!$AH:$AH,MATCH(MEDIÇÃO!D1391,'PROJETO PERFURAÇÃO'!$B:$B,0)),"")</f>
        <v/>
      </c>
      <c r="F1391" s="8" t="str">
        <f>IFERROR(INDEX('PROJETO PERFURAÇÃO'!$AN:$AN,MATCH(MEDIÇÃO!D1391,'PROJETO PERFURAÇÃO'!$B:$B,0)),"")</f>
        <v/>
      </c>
      <c r="G1391" s="3"/>
      <c r="H1391" s="3"/>
      <c r="I1391" s="3" t="str">
        <f>IFERROR(ROUND(INDEX('PROJETO PERFURAÇÃO'!$AB:$AB,MATCH(MEDIÇÃO!K1391,'PROJETO PERFURAÇÃO'!$B:$B,0)),1)&amp;"''","")</f>
        <v/>
      </c>
      <c r="J1391" s="3" t="str">
        <f>IFERROR(IF(INDEX('PROJETO PERFURAÇÃO'!$P:$P,MATCH(MEDIÇÃO!K1391,'PROJETO PERFURAÇÃO'!$B:$B,0))="Production","P",IF(INDEX('PROJETO PERFURAÇÃO'!$P:$P,MATCH(MEDIÇÃO!K1391,'PROJETO PERFURAÇÃO'!$B:$B,0))="Buffer","B",IF(INDEX('PROJETO PERFURAÇÃO'!$P:$P,MATCH(MEDIÇÃO!K1391,'PROJETO PERFURAÇÃO'!$B:$B,0))="Pre-Splitting","S"))),"")</f>
        <v/>
      </c>
      <c r="K1391" s="14">
        <f>K1390+1</f>
        <v>3082</v>
      </c>
      <c r="L1391" s="4" t="str">
        <f>IFERROR(INDEX('LEV R&amp;D'!$D:$D,MATCH(MEDIÇÃO!K1391,'LEV R&amp;D'!$A:$A,0))-INDEX('PROJETO PERFURAÇÃO'!$AH:$AH,MATCH(MEDIÇÃO!K1391,'PROJETO PERFURAÇÃO'!$B:$B,0)),"")</f>
        <v/>
      </c>
      <c r="M1391" s="8" t="str">
        <f>IFERROR(INDEX('PROJETO PERFURAÇÃO'!$AN:$AN,MATCH(MEDIÇÃO!K1391,'PROJETO PERFURAÇÃO'!$B:$B,0)),"")</f>
        <v/>
      </c>
      <c r="N1391" s="3"/>
      <c r="O1391" s="3"/>
      <c r="P1391" s="3" t="str">
        <f>IFERROR(ROUND(INDEX('PROJETO PERFURAÇÃO'!$AB:$AB,MATCH(MEDIÇÃO!R1391,'PROJETO PERFURAÇÃO'!$B:$B,0)),1)&amp;"''","")</f>
        <v/>
      </c>
      <c r="Q1391" s="3" t="str">
        <f>IFERROR(IF(INDEX('PROJETO PERFURAÇÃO'!$P:$P,MATCH(MEDIÇÃO!R1391,'PROJETO PERFURAÇÃO'!$B:$B,0))="Production","P",IF(INDEX('PROJETO PERFURAÇÃO'!$P:$P,MATCH(MEDIÇÃO!R1391,'PROJETO PERFURAÇÃO'!$B:$B,0))="Buffer","B",IF(INDEX('PROJETO PERFURAÇÃO'!$P:$P,MATCH(MEDIÇÃO!R1391,'PROJETO PERFURAÇÃO'!$B:$B,0))="Pre-Splitting","S"))),"")</f>
        <v/>
      </c>
      <c r="R1391" s="14">
        <f>R1390+1</f>
        <v>3105</v>
      </c>
      <c r="S1391" s="4" t="str">
        <f>IFERROR(INDEX('LEV R&amp;D'!$D:$D,MATCH(MEDIÇÃO!R1391,'LEV R&amp;D'!$A:$A,0))-INDEX('PROJETO PERFURAÇÃO'!$AH:$AH,MATCH(MEDIÇÃO!R1391,'PROJETO PERFURAÇÃO'!$B:$B,0)),"")</f>
        <v/>
      </c>
      <c r="T1391" s="8" t="str">
        <f>IFERROR(INDEX('PROJETO PERFURAÇÃO'!$AN:$AN,MATCH(MEDIÇÃO!R1391,'PROJETO PERFURAÇÃO'!$B:$B,0)),"")</f>
        <v/>
      </c>
      <c r="U1391" s="3"/>
      <c r="V1391" s="3"/>
    </row>
    <row r="1392" spans="2:22" ht="30" customHeight="1" x14ac:dyDescent="0.25">
      <c r="B1392" s="1"/>
      <c r="C1392" s="1"/>
      <c r="D1392" s="15"/>
      <c r="E1392" s="2"/>
      <c r="F1392" s="16"/>
      <c r="G1392" s="1"/>
      <c r="H1392" s="1"/>
      <c r="I1392" s="1"/>
      <c r="J1392" s="1"/>
      <c r="K1392" s="15"/>
      <c r="L1392" s="2"/>
      <c r="M1392" s="16"/>
      <c r="N1392" s="1"/>
      <c r="O1392" s="1"/>
      <c r="P1392" s="1"/>
      <c r="Q1392" s="1"/>
      <c r="R1392" s="15"/>
      <c r="S1392" s="2"/>
      <c r="T1392" s="16"/>
      <c r="U1392" s="1"/>
      <c r="V1392" s="1"/>
    </row>
    <row r="1393" spans="3:22" ht="30" customHeight="1" x14ac:dyDescent="0.25">
      <c r="C1393" s="20"/>
      <c r="D1393" s="20"/>
      <c r="E1393" s="20"/>
      <c r="F1393" s="20"/>
      <c r="G1393" s="20"/>
      <c r="H1393" s="20"/>
      <c r="I1393" s="20"/>
      <c r="J1393" s="20"/>
      <c r="K1393" s="20"/>
      <c r="M1393" s="20"/>
      <c r="N1393" s="20"/>
      <c r="O1393" s="20"/>
      <c r="P1393" s="20"/>
      <c r="Q1393" s="20"/>
      <c r="R1393" s="20"/>
      <c r="S1393" s="20"/>
      <c r="T1393" s="20"/>
      <c r="U1393" s="20"/>
    </row>
    <row r="1394" spans="3:22" ht="30" customHeight="1" x14ac:dyDescent="0.25">
      <c r="C1394" s="21" t="s">
        <v>40</v>
      </c>
      <c r="D1394" s="21"/>
      <c r="E1394" s="21"/>
      <c r="F1394" s="21"/>
      <c r="G1394" s="21"/>
      <c r="H1394" s="21"/>
      <c r="I1394" s="21"/>
      <c r="J1394" s="21"/>
      <c r="K1394" s="21"/>
      <c r="L1394" s="9"/>
      <c r="M1394" s="21" t="s">
        <v>40</v>
      </c>
      <c r="N1394" s="21"/>
      <c r="O1394" s="21"/>
      <c r="P1394" s="21"/>
      <c r="Q1394" s="21"/>
      <c r="R1394" s="21"/>
      <c r="S1394" s="21"/>
      <c r="T1394" s="21"/>
      <c r="U1394" s="21"/>
      <c r="V1394" s="9"/>
    </row>
    <row r="1395" spans="3:22" ht="30" customHeight="1" x14ac:dyDescent="0.25">
      <c r="D1395" s="9"/>
      <c r="E1395" s="9"/>
      <c r="F1395" s="9"/>
      <c r="G1395" s="9"/>
      <c r="H1395" s="9"/>
      <c r="I1395" s="9"/>
      <c r="J1395" s="9"/>
      <c r="K1395" s="9"/>
      <c r="L1395" s="9"/>
      <c r="M1395" s="9"/>
      <c r="N1395" s="9"/>
      <c r="Q1395" s="9"/>
      <c r="R1395" s="9"/>
      <c r="S1395" s="9"/>
      <c r="T1395" s="9"/>
      <c r="U1395" s="9"/>
      <c r="V1395" s="9"/>
    </row>
  </sheetData>
  <mergeCells count="225">
    <mergeCell ref="B497:H499"/>
    <mergeCell ref="C525:K525"/>
    <mergeCell ref="M525:U525"/>
    <mergeCell ref="C526:K526"/>
    <mergeCell ref="M526:U526"/>
    <mergeCell ref="B528:H530"/>
    <mergeCell ref="B435:H437"/>
    <mergeCell ref="C463:K463"/>
    <mergeCell ref="M463:U463"/>
    <mergeCell ref="C464:K464"/>
    <mergeCell ref="M464:U464"/>
    <mergeCell ref="B466:H468"/>
    <mergeCell ref="C494:K494"/>
    <mergeCell ref="M494:U494"/>
    <mergeCell ref="C495:K495"/>
    <mergeCell ref="M495:U495"/>
    <mergeCell ref="B373:H375"/>
    <mergeCell ref="C401:K401"/>
    <mergeCell ref="M401:U401"/>
    <mergeCell ref="C402:K402"/>
    <mergeCell ref="M402:U402"/>
    <mergeCell ref="B404:H406"/>
    <mergeCell ref="C432:K432"/>
    <mergeCell ref="M432:U432"/>
    <mergeCell ref="C433:K433"/>
    <mergeCell ref="M433:U433"/>
    <mergeCell ref="B311:H313"/>
    <mergeCell ref="C339:K339"/>
    <mergeCell ref="M339:U339"/>
    <mergeCell ref="C340:K340"/>
    <mergeCell ref="M340:U340"/>
    <mergeCell ref="B342:H344"/>
    <mergeCell ref="C370:K370"/>
    <mergeCell ref="M370:U370"/>
    <mergeCell ref="C371:K371"/>
    <mergeCell ref="M371:U371"/>
    <mergeCell ref="B187:H189"/>
    <mergeCell ref="C215:K215"/>
    <mergeCell ref="C278:K278"/>
    <mergeCell ref="M278:U278"/>
    <mergeCell ref="B280:H282"/>
    <mergeCell ref="C308:K308"/>
    <mergeCell ref="M308:U308"/>
    <mergeCell ref="C309:K309"/>
    <mergeCell ref="M309:U309"/>
    <mergeCell ref="C247:K247"/>
    <mergeCell ref="M247:U247"/>
    <mergeCell ref="B249:H251"/>
    <mergeCell ref="C277:K277"/>
    <mergeCell ref="M277:U277"/>
    <mergeCell ref="M215:U215"/>
    <mergeCell ref="C216:K216"/>
    <mergeCell ref="M216:U216"/>
    <mergeCell ref="B218:H220"/>
    <mergeCell ref="C246:K246"/>
    <mergeCell ref="M246:U246"/>
    <mergeCell ref="C29:K29"/>
    <mergeCell ref="C30:K30"/>
    <mergeCell ref="M29:U29"/>
    <mergeCell ref="M30:U30"/>
    <mergeCell ref="C60:K60"/>
    <mergeCell ref="M60:U60"/>
    <mergeCell ref="B1:H3"/>
    <mergeCell ref="B32:H34"/>
    <mergeCell ref="B63:H65"/>
    <mergeCell ref="B94:H96"/>
    <mergeCell ref="C122:K122"/>
    <mergeCell ref="M122:U122"/>
    <mergeCell ref="C123:K123"/>
    <mergeCell ref="M123:U123"/>
    <mergeCell ref="C61:K61"/>
    <mergeCell ref="M61:U61"/>
    <mergeCell ref="C91:K91"/>
    <mergeCell ref="M91:U91"/>
    <mergeCell ref="C92:K92"/>
    <mergeCell ref="M92:U92"/>
    <mergeCell ref="B156:H158"/>
    <mergeCell ref="C184:K184"/>
    <mergeCell ref="M184:U184"/>
    <mergeCell ref="C185:K185"/>
    <mergeCell ref="M185:U185"/>
    <mergeCell ref="B125:H127"/>
    <mergeCell ref="C153:K153"/>
    <mergeCell ref="M153:U153"/>
    <mergeCell ref="C154:K154"/>
    <mergeCell ref="M154:U154"/>
    <mergeCell ref="C587:K587"/>
    <mergeCell ref="M587:U587"/>
    <mergeCell ref="C588:K588"/>
    <mergeCell ref="M588:U588"/>
    <mergeCell ref="B590:H592"/>
    <mergeCell ref="C556:K556"/>
    <mergeCell ref="M556:U556"/>
    <mergeCell ref="C557:K557"/>
    <mergeCell ref="M557:U557"/>
    <mergeCell ref="B559:H561"/>
    <mergeCell ref="C649:K649"/>
    <mergeCell ref="M649:U649"/>
    <mergeCell ref="C650:K650"/>
    <mergeCell ref="M650:U650"/>
    <mergeCell ref="B652:H654"/>
    <mergeCell ref="C618:K618"/>
    <mergeCell ref="M618:U618"/>
    <mergeCell ref="C619:K619"/>
    <mergeCell ref="M619:U619"/>
    <mergeCell ref="B621:H623"/>
    <mergeCell ref="C711:K711"/>
    <mergeCell ref="M711:U711"/>
    <mergeCell ref="C712:K712"/>
    <mergeCell ref="M712:U712"/>
    <mergeCell ref="B714:H716"/>
    <mergeCell ref="C680:K680"/>
    <mergeCell ref="M680:U680"/>
    <mergeCell ref="C681:K681"/>
    <mergeCell ref="M681:U681"/>
    <mergeCell ref="B683:H685"/>
    <mergeCell ref="C773:K773"/>
    <mergeCell ref="M773:U773"/>
    <mergeCell ref="C774:K774"/>
    <mergeCell ref="M774:U774"/>
    <mergeCell ref="B776:H778"/>
    <mergeCell ref="C742:K742"/>
    <mergeCell ref="M742:U742"/>
    <mergeCell ref="C743:K743"/>
    <mergeCell ref="M743:U743"/>
    <mergeCell ref="B745:H747"/>
    <mergeCell ref="C835:K835"/>
    <mergeCell ref="M835:U835"/>
    <mergeCell ref="C836:K836"/>
    <mergeCell ref="M836:U836"/>
    <mergeCell ref="C804:K804"/>
    <mergeCell ref="M804:U804"/>
    <mergeCell ref="C805:K805"/>
    <mergeCell ref="M805:U805"/>
    <mergeCell ref="B807:H809"/>
    <mergeCell ref="B838:H840"/>
    <mergeCell ref="C866:K866"/>
    <mergeCell ref="M866:U866"/>
    <mergeCell ref="C867:K867"/>
    <mergeCell ref="M867:U867"/>
    <mergeCell ref="B869:H871"/>
    <mergeCell ref="C897:K897"/>
    <mergeCell ref="M897:U897"/>
    <mergeCell ref="C898:K898"/>
    <mergeCell ref="M898:U898"/>
    <mergeCell ref="B900:H902"/>
    <mergeCell ref="C928:K928"/>
    <mergeCell ref="M928:U928"/>
    <mergeCell ref="C929:K929"/>
    <mergeCell ref="M929:U929"/>
    <mergeCell ref="B931:H933"/>
    <mergeCell ref="C959:K959"/>
    <mergeCell ref="M959:U959"/>
    <mergeCell ref="C960:K960"/>
    <mergeCell ref="M960:U960"/>
    <mergeCell ref="B962:H964"/>
    <mergeCell ref="C990:K990"/>
    <mergeCell ref="M990:U990"/>
    <mergeCell ref="C991:K991"/>
    <mergeCell ref="M991:U991"/>
    <mergeCell ref="B993:H995"/>
    <mergeCell ref="C1021:K1021"/>
    <mergeCell ref="M1021:U1021"/>
    <mergeCell ref="C1022:K1022"/>
    <mergeCell ref="M1022:U1022"/>
    <mergeCell ref="B1024:H1026"/>
    <mergeCell ref="C1052:K1052"/>
    <mergeCell ref="M1052:U1052"/>
    <mergeCell ref="C1053:K1053"/>
    <mergeCell ref="M1053:U1053"/>
    <mergeCell ref="B1055:H1057"/>
    <mergeCell ref="C1083:K1083"/>
    <mergeCell ref="M1083:U1083"/>
    <mergeCell ref="C1084:K1084"/>
    <mergeCell ref="M1084:U1084"/>
    <mergeCell ref="B1086:H1088"/>
    <mergeCell ref="C1114:K1114"/>
    <mergeCell ref="M1114:U1114"/>
    <mergeCell ref="C1115:K1115"/>
    <mergeCell ref="M1115:U1115"/>
    <mergeCell ref="B1117:H1119"/>
    <mergeCell ref="C1145:K1145"/>
    <mergeCell ref="M1145:U1145"/>
    <mergeCell ref="C1146:K1146"/>
    <mergeCell ref="M1146:U1146"/>
    <mergeCell ref="B1148:H1150"/>
    <mergeCell ref="C1176:K1176"/>
    <mergeCell ref="M1176:U1176"/>
    <mergeCell ref="C1177:K1177"/>
    <mergeCell ref="M1177:U1177"/>
    <mergeCell ref="B1179:H1181"/>
    <mergeCell ref="C1207:K1207"/>
    <mergeCell ref="M1207:U1207"/>
    <mergeCell ref="C1208:K1208"/>
    <mergeCell ref="M1208:U1208"/>
    <mergeCell ref="B1210:H1212"/>
    <mergeCell ref="C1238:K1238"/>
    <mergeCell ref="M1238:U1238"/>
    <mergeCell ref="C1239:K1239"/>
    <mergeCell ref="M1239:U1239"/>
    <mergeCell ref="B1241:H1243"/>
    <mergeCell ref="C1269:K1269"/>
    <mergeCell ref="M1269:U1269"/>
    <mergeCell ref="C1270:K1270"/>
    <mergeCell ref="M1270:U1270"/>
    <mergeCell ref="B1272:H1274"/>
    <mergeCell ref="C1300:K1300"/>
    <mergeCell ref="M1300:U1300"/>
    <mergeCell ref="C1301:K1301"/>
    <mergeCell ref="M1301:U1301"/>
    <mergeCell ref="B1303:H1305"/>
    <mergeCell ref="C1331:K1331"/>
    <mergeCell ref="M1331:U1331"/>
    <mergeCell ref="C1332:K1332"/>
    <mergeCell ref="M1332:U1332"/>
    <mergeCell ref="B1334:H1336"/>
    <mergeCell ref="C1362:K1362"/>
    <mergeCell ref="M1362:U1362"/>
    <mergeCell ref="C1363:K1363"/>
    <mergeCell ref="M1363:U1363"/>
    <mergeCell ref="B1365:H1367"/>
    <mergeCell ref="C1393:K1393"/>
    <mergeCell ref="M1393:U1393"/>
    <mergeCell ref="C1394:K1394"/>
    <mergeCell ref="M1394:U1394"/>
  </mergeCells>
  <conditionalFormatting sqref="D5:D27 K5:K27 R5:R27 D36:D58 K36:K58 R36:R58 D67:D89 K67:K89 R67:R89 D98:D120 K98:K120 R98:R120 D129:D151 K129:K151 R129:R151 D160:D182 K160:K182 R160:R182 D191:D213 K191:K213 R191:R213 D222:D244 K222:K244 R222:R244 D253:D275 K253:K275 R253:R275 D284:D306 K284:K306 R284:R306 D315:D337 K315:K337 R315:R337 D346:D368 K346:K368 R346:R368 D377:D399 K377:K399 R377:R399 D408:D429 K408:K429 R408:R429 D439:D460 K439:K460 R439:R460 D470:D491 K470:K491 R470:R491 D501:D522 K501:K522 R501:R522 K532:K553 R532:R553 D532:D554 K563:K584 R563:R584 D563:D585 K594:K615 R594:R615 D594:D616 K625:K646 R625:R646 D625:D647 K656:K677 R656:R677 D656:D678 K687:K708 R687:R708 D687:D709 K718:K739 R718:R739 D718:D740 K749:K770 R749:R770 D749:D771 K780:K801 R780:R801 D780:D802 K811:K832 R811:R832 D811:D833">
    <cfRule type="expression" dxfId="116" priority="351">
      <formula>C5:C27="P"</formula>
    </cfRule>
    <cfRule type="expression" dxfId="115" priority="350">
      <formula>C5:C27="B"</formula>
    </cfRule>
    <cfRule type="expression" dxfId="114" priority="349">
      <formula>C5:C27="S"</formula>
    </cfRule>
  </conditionalFormatting>
  <conditionalFormatting sqref="D28 K28 R28 D59 K59 R59 D90 K90 R90 D121 K121 R121 D152 K152 R152 D183 K183 R183 D245 K245 R245 D276 K276 R276 D307 K307 R307 D338 K338 R338 D369 K369 R369 D400 K400 R400 D430:D431 K430:K431 R430:R431 D461:D462 K461:K462 R461:R462 D492:D493 K492:K493 R492:R493 D523:D524 K523:K524 R523:R524 K554:K555 R554:R555 D555 K585:K586 R585:R586 D586 K616:K617 R616:R617 D617 K647:K648 R647:R648 D648 K678:K679 R678:R679 D679 K709:K710 R709:R710 D710 K740:K741 R740:R741 D741 K771:K772 R771:R772 D772 K802:K803 R802:R803 D803 K833:K834 R833:R834 D834">
    <cfRule type="expression" dxfId="113" priority="344">
      <formula>C28:C52="B"</formula>
    </cfRule>
    <cfRule type="expression" dxfId="112" priority="345">
      <formula>C28:C52="P"</formula>
    </cfRule>
    <cfRule type="expression" dxfId="111" priority="343">
      <formula>C28:C52="S"</formula>
    </cfRule>
  </conditionalFormatting>
  <conditionalFormatting sqref="D214 K214 R214">
    <cfRule type="expression" dxfId="110" priority="353">
      <formula>C214:C237="B"</formula>
    </cfRule>
    <cfRule type="expression" dxfId="109" priority="352">
      <formula>C214:C237="S"</formula>
    </cfRule>
    <cfRule type="expression" dxfId="108" priority="354">
      <formula>C214:C237="P"</formula>
    </cfRule>
  </conditionalFormatting>
  <conditionalFormatting sqref="K842:K863 R842:R863 D842:D864">
    <cfRule type="expression" dxfId="107" priority="108">
      <formula>C842:C864="P"</formula>
    </cfRule>
    <cfRule type="expression" dxfId="106" priority="107">
      <formula>C842:C864="B"</formula>
    </cfRule>
    <cfRule type="expression" dxfId="105" priority="106">
      <formula>C842:C864="S"</formula>
    </cfRule>
  </conditionalFormatting>
  <conditionalFormatting sqref="K864:K865 R864:R865 D865">
    <cfRule type="expression" dxfId="104" priority="103">
      <formula>C864:C888="S"</formula>
    </cfRule>
    <cfRule type="expression" dxfId="103" priority="105">
      <formula>C864:C888="P"</formula>
    </cfRule>
    <cfRule type="expression" dxfId="102" priority="104">
      <formula>C864:C888="B"</formula>
    </cfRule>
  </conditionalFormatting>
  <conditionalFormatting sqref="K873:K894 R873:R894 D873:D895">
    <cfRule type="expression" dxfId="101" priority="102">
      <formula>C873:C895="P"</formula>
    </cfRule>
    <cfRule type="expression" dxfId="100" priority="101">
      <formula>C873:C895="B"</formula>
    </cfRule>
    <cfRule type="expression" dxfId="99" priority="100">
      <formula>C873:C895="S"</formula>
    </cfRule>
  </conditionalFormatting>
  <conditionalFormatting sqref="K895:K896 R895:R896 D896">
    <cfRule type="expression" dxfId="98" priority="99">
      <formula>C895:C919="P"</formula>
    </cfRule>
    <cfRule type="expression" dxfId="97" priority="98">
      <formula>C895:C919="B"</formula>
    </cfRule>
    <cfRule type="expression" dxfId="96" priority="97">
      <formula>C895:C919="S"</formula>
    </cfRule>
  </conditionalFormatting>
  <conditionalFormatting sqref="K904:K925 R904:R925 D904:D926">
    <cfRule type="expression" dxfId="95" priority="96">
      <formula>C904:C926="P"</formula>
    </cfRule>
    <cfRule type="expression" dxfId="94" priority="95">
      <formula>C904:C926="B"</formula>
    </cfRule>
    <cfRule type="expression" dxfId="93" priority="94">
      <formula>C904:C926="S"</formula>
    </cfRule>
  </conditionalFormatting>
  <conditionalFormatting sqref="K926:K927 R926:R927 D927">
    <cfRule type="expression" dxfId="92" priority="93">
      <formula>C926:C950="P"</formula>
    </cfRule>
    <cfRule type="expression" dxfId="91" priority="92">
      <formula>C926:C950="B"</formula>
    </cfRule>
    <cfRule type="expression" dxfId="90" priority="91">
      <formula>C926:C950="S"</formula>
    </cfRule>
  </conditionalFormatting>
  <conditionalFormatting sqref="K935:K956 R935:R956 D935:D957">
    <cfRule type="expression" dxfId="89" priority="89">
      <formula>C935:C957="B"</formula>
    </cfRule>
    <cfRule type="expression" dxfId="88" priority="90">
      <formula>C935:C957="P"</formula>
    </cfRule>
    <cfRule type="expression" dxfId="87" priority="88">
      <formula>C935:C957="S"</formula>
    </cfRule>
  </conditionalFormatting>
  <conditionalFormatting sqref="K957:K958 R957:R958 D958">
    <cfRule type="expression" dxfId="86" priority="87">
      <formula>C957:C981="P"</formula>
    </cfRule>
    <cfRule type="expression" dxfId="85" priority="86">
      <formula>C957:C981="B"</formula>
    </cfRule>
    <cfRule type="expression" dxfId="84" priority="85">
      <formula>C957:C981="S"</formula>
    </cfRule>
  </conditionalFormatting>
  <conditionalFormatting sqref="K966:K987 R966:R987 D966:D988">
    <cfRule type="expression" dxfId="83" priority="84">
      <formula>C966:C988="P"</formula>
    </cfRule>
    <cfRule type="expression" dxfId="82" priority="83">
      <formula>C966:C988="B"</formula>
    </cfRule>
    <cfRule type="expression" dxfId="81" priority="82">
      <formula>C966:C988="S"</formula>
    </cfRule>
  </conditionalFormatting>
  <conditionalFormatting sqref="K988:K989 R988:R989 D989">
    <cfRule type="expression" dxfId="80" priority="81">
      <formula>C988:C1012="P"</formula>
    </cfRule>
    <cfRule type="expression" dxfId="79" priority="80">
      <formula>C988:C1012="B"</formula>
    </cfRule>
    <cfRule type="expression" dxfId="78" priority="79">
      <formula>C988:C1012="S"</formula>
    </cfRule>
  </conditionalFormatting>
  <conditionalFormatting sqref="K997:K1018 R997:R1018 D997:D1019">
    <cfRule type="expression" dxfId="77" priority="78">
      <formula>C997:C1019="P"</formula>
    </cfRule>
    <cfRule type="expression" dxfId="76" priority="77">
      <formula>C997:C1019="B"</formula>
    </cfRule>
    <cfRule type="expression" dxfId="75" priority="76">
      <formula>C997:C1019="S"</formula>
    </cfRule>
  </conditionalFormatting>
  <conditionalFormatting sqref="K1019:K1020 R1019:R1020 D1020">
    <cfRule type="expression" dxfId="74" priority="75">
      <formula>C1019:C1043="P"</formula>
    </cfRule>
    <cfRule type="expression" dxfId="73" priority="74">
      <formula>C1019:C1043="B"</formula>
    </cfRule>
    <cfRule type="expression" dxfId="72" priority="73">
      <formula>C1019:C1043="S"</formula>
    </cfRule>
  </conditionalFormatting>
  <conditionalFormatting sqref="K1028:K1049 R1028:R1049 D1028:D1050">
    <cfRule type="expression" dxfId="71" priority="72">
      <formula>C1028:C1050="P"</formula>
    </cfRule>
    <cfRule type="expression" dxfId="70" priority="71">
      <formula>C1028:C1050="B"</formula>
    </cfRule>
    <cfRule type="expression" dxfId="69" priority="70">
      <formula>C1028:C1050="S"</formula>
    </cfRule>
  </conditionalFormatting>
  <conditionalFormatting sqref="K1050:K1051 R1050:R1051 D1051">
    <cfRule type="expression" dxfId="68" priority="69">
      <formula>C1050:C1074="P"</formula>
    </cfRule>
    <cfRule type="expression" dxfId="67" priority="68">
      <formula>C1050:C1074="B"</formula>
    </cfRule>
    <cfRule type="expression" dxfId="66" priority="67">
      <formula>C1050:C1074="S"</formula>
    </cfRule>
  </conditionalFormatting>
  <conditionalFormatting sqref="K1059:K1080 R1059:R1080 D1059:D1081">
    <cfRule type="expression" dxfId="65" priority="66">
      <formula>C1059:C1081="P"</formula>
    </cfRule>
    <cfRule type="expression" dxfId="64" priority="65">
      <formula>C1059:C1081="B"</formula>
    </cfRule>
    <cfRule type="expression" dxfId="63" priority="64">
      <formula>C1059:C1081="S"</formula>
    </cfRule>
  </conditionalFormatting>
  <conditionalFormatting sqref="K1081:K1082 R1081:R1082 D1082">
    <cfRule type="expression" dxfId="62" priority="63">
      <formula>C1081:C1105="P"</formula>
    </cfRule>
    <cfRule type="expression" dxfId="61" priority="62">
      <formula>C1081:C1105="B"</formula>
    </cfRule>
    <cfRule type="expression" dxfId="60" priority="61">
      <formula>C1081:C1105="S"</formula>
    </cfRule>
  </conditionalFormatting>
  <conditionalFormatting sqref="K1090:K1111 R1090:R1111 D1090:D1112">
    <cfRule type="expression" dxfId="59" priority="58">
      <formula>C1090:C1112="S"</formula>
    </cfRule>
    <cfRule type="expression" dxfId="58" priority="59">
      <formula>C1090:C1112="B"</formula>
    </cfRule>
    <cfRule type="expression" dxfId="57" priority="60">
      <formula>C1090:C1112="P"</formula>
    </cfRule>
  </conditionalFormatting>
  <conditionalFormatting sqref="K1112:K1113 R1112:R1113 D1113">
    <cfRule type="expression" dxfId="56" priority="57">
      <formula>C1112:C1136="P"</formula>
    </cfRule>
    <cfRule type="expression" dxfId="55" priority="56">
      <formula>C1112:C1136="B"</formula>
    </cfRule>
    <cfRule type="expression" dxfId="54" priority="55">
      <formula>C1112:C1136="S"</formula>
    </cfRule>
  </conditionalFormatting>
  <conditionalFormatting sqref="K1121:K1142 R1121:R1142 D1121:D1143">
    <cfRule type="expression" dxfId="53" priority="54">
      <formula>C1121:C1143="P"</formula>
    </cfRule>
    <cfRule type="expression" dxfId="52" priority="53">
      <formula>C1121:C1143="B"</formula>
    </cfRule>
    <cfRule type="expression" dxfId="51" priority="52">
      <formula>C1121:C1143="S"</formula>
    </cfRule>
  </conditionalFormatting>
  <conditionalFormatting sqref="K1143:K1144 R1143:R1144 D1144">
    <cfRule type="expression" dxfId="50" priority="51">
      <formula>C1143:C1167="P"</formula>
    </cfRule>
    <cfRule type="expression" dxfId="49" priority="50">
      <formula>C1143:C1167="B"</formula>
    </cfRule>
    <cfRule type="expression" dxfId="48" priority="49">
      <formula>C1143:C1167="S"</formula>
    </cfRule>
  </conditionalFormatting>
  <conditionalFormatting sqref="K1152:K1173 R1152:R1173 D1152:D1174">
    <cfRule type="expression" dxfId="47" priority="48">
      <formula>C1152:C1174="P"</formula>
    </cfRule>
    <cfRule type="expression" dxfId="46" priority="47">
      <formula>C1152:C1174="B"</formula>
    </cfRule>
    <cfRule type="expression" dxfId="45" priority="46">
      <formula>C1152:C1174="S"</formula>
    </cfRule>
  </conditionalFormatting>
  <conditionalFormatting sqref="K1174:K1175 R1174:R1175 D1175">
    <cfRule type="expression" dxfId="44" priority="45">
      <formula>C1174:C1198="P"</formula>
    </cfRule>
    <cfRule type="expression" dxfId="43" priority="44">
      <formula>C1174:C1198="B"</formula>
    </cfRule>
    <cfRule type="expression" dxfId="42" priority="43">
      <formula>C1174:C1198="S"</formula>
    </cfRule>
  </conditionalFormatting>
  <conditionalFormatting sqref="K1183:K1204 R1183:R1204 D1183:D1205">
    <cfRule type="expression" dxfId="41" priority="42">
      <formula>C1183:C1205="P"</formula>
    </cfRule>
    <cfRule type="expression" dxfId="40" priority="41">
      <formula>C1183:C1205="B"</formula>
    </cfRule>
    <cfRule type="expression" dxfId="39" priority="40">
      <formula>C1183:C1205="S"</formula>
    </cfRule>
  </conditionalFormatting>
  <conditionalFormatting sqref="K1205:K1206 R1205:R1206 D1206">
    <cfRule type="expression" dxfId="38" priority="39">
      <formula>C1205:C1229="P"</formula>
    </cfRule>
    <cfRule type="expression" dxfId="37" priority="38">
      <formula>C1205:C1229="B"</formula>
    </cfRule>
    <cfRule type="expression" dxfId="36" priority="37">
      <formula>C1205:C1229="S"</formula>
    </cfRule>
  </conditionalFormatting>
  <conditionalFormatting sqref="K1214:K1235 R1214:R1235 D1214:D1236">
    <cfRule type="expression" dxfId="35" priority="36">
      <formula>C1214:C1236="P"</formula>
    </cfRule>
    <cfRule type="expression" dxfId="34" priority="35">
      <formula>C1214:C1236="B"</formula>
    </cfRule>
    <cfRule type="expression" dxfId="33" priority="34">
      <formula>C1214:C1236="S"</formula>
    </cfRule>
  </conditionalFormatting>
  <conditionalFormatting sqref="K1236:K1237 R1236:R1237 D1237">
    <cfRule type="expression" dxfId="32" priority="33">
      <formula>C1236:C1260="P"</formula>
    </cfRule>
    <cfRule type="expression" dxfId="31" priority="32">
      <formula>C1236:C1260="B"</formula>
    </cfRule>
    <cfRule type="expression" dxfId="30" priority="31">
      <formula>C1236:C1260="S"</formula>
    </cfRule>
  </conditionalFormatting>
  <conditionalFormatting sqref="K1245:K1266 R1245:R1266 D1245:D1267">
    <cfRule type="expression" dxfId="29" priority="30">
      <formula>C1245:C1267="P"</formula>
    </cfRule>
    <cfRule type="expression" dxfId="28" priority="28">
      <formula>C1245:C1267="S"</formula>
    </cfRule>
    <cfRule type="expression" dxfId="27" priority="29">
      <formula>C1245:C1267="B"</formula>
    </cfRule>
  </conditionalFormatting>
  <conditionalFormatting sqref="K1267:K1268 R1267:R1268 D1268">
    <cfRule type="expression" dxfId="26" priority="27">
      <formula>C1267:C1291="P"</formula>
    </cfRule>
    <cfRule type="expression" dxfId="25" priority="26">
      <formula>C1267:C1291="B"</formula>
    </cfRule>
    <cfRule type="expression" dxfId="24" priority="25">
      <formula>C1267:C1291="S"</formula>
    </cfRule>
  </conditionalFormatting>
  <conditionalFormatting sqref="K1276:K1297 R1276:R1297 D1276:D1298">
    <cfRule type="expression" dxfId="23" priority="24">
      <formula>C1276:C1298="P"</formula>
    </cfRule>
    <cfRule type="expression" dxfId="22" priority="23">
      <formula>C1276:C1298="B"</formula>
    </cfRule>
    <cfRule type="expression" dxfId="21" priority="22">
      <formula>C1276:C1298="S"</formula>
    </cfRule>
  </conditionalFormatting>
  <conditionalFormatting sqref="K1298:K1299 R1298:R1299 D1299">
    <cfRule type="expression" dxfId="20" priority="21">
      <formula>C1298:C1322="P"</formula>
    </cfRule>
    <cfRule type="expression" dxfId="19" priority="20">
      <formula>C1298:C1322="B"</formula>
    </cfRule>
    <cfRule type="expression" dxfId="18" priority="19">
      <formula>C1298:C1322="S"</formula>
    </cfRule>
  </conditionalFormatting>
  <conditionalFormatting sqref="K1307:K1328 R1307:R1328 D1307:D1329">
    <cfRule type="expression" dxfId="17" priority="18">
      <formula>C1307:C1329="P"</formula>
    </cfRule>
    <cfRule type="expression" dxfId="16" priority="17">
      <formula>C1307:C1329="B"</formula>
    </cfRule>
    <cfRule type="expression" dxfId="15" priority="16">
      <formula>C1307:C1329="S"</formula>
    </cfRule>
  </conditionalFormatting>
  <conditionalFormatting sqref="K1329:K1330 R1329:R1330 D1330">
    <cfRule type="expression" dxfId="14" priority="14">
      <formula>C1329:C1353="B"</formula>
    </cfRule>
    <cfRule type="expression" dxfId="13" priority="13">
      <formula>C1329:C1353="S"</formula>
    </cfRule>
    <cfRule type="expression" dxfId="12" priority="15">
      <formula>C1329:C1353="P"</formula>
    </cfRule>
  </conditionalFormatting>
  <conditionalFormatting sqref="K1338:K1359 R1338:R1359 D1338:D1360">
    <cfRule type="expression" dxfId="11" priority="12">
      <formula>C1338:C1360="P"</formula>
    </cfRule>
    <cfRule type="expression" dxfId="10" priority="11">
      <formula>C1338:C1360="B"</formula>
    </cfRule>
    <cfRule type="expression" dxfId="9" priority="10">
      <formula>C1338:C1360="S"</formula>
    </cfRule>
  </conditionalFormatting>
  <conditionalFormatting sqref="K1360:K1361 R1360:R1361 D1361">
    <cfRule type="expression" dxfId="8" priority="9">
      <formula>C1360:C1384="P"</formula>
    </cfRule>
    <cfRule type="expression" dxfId="7" priority="7">
      <formula>C1360:C1384="S"</formula>
    </cfRule>
    <cfRule type="expression" dxfId="6" priority="8">
      <formula>C1360:C1384="B"</formula>
    </cfRule>
  </conditionalFormatting>
  <conditionalFormatting sqref="K1369:K1390 R1369:R1390 D1369:D1391">
    <cfRule type="expression" dxfId="5" priority="6">
      <formula>C1369:C1391="P"</formula>
    </cfRule>
    <cfRule type="expression" dxfId="4" priority="5">
      <formula>C1369:C1391="B"</formula>
    </cfRule>
    <cfRule type="expression" dxfId="3" priority="4">
      <formula>C1369:C1391="S"</formula>
    </cfRule>
  </conditionalFormatting>
  <conditionalFormatting sqref="K1391:K1392 R1391:R1392 D1392">
    <cfRule type="expression" dxfId="2" priority="1">
      <formula>C1391:C1415="S"</formula>
    </cfRule>
    <cfRule type="expression" dxfId="1" priority="3">
      <formula>C1391:C1415="P"</formula>
    </cfRule>
    <cfRule type="expression" dxfId="0" priority="2">
      <formula>C1391:C1415="B"</formula>
    </cfRule>
  </conditionalFormatting>
  <printOptions horizontalCentered="1" verticalCentered="1"/>
  <pageMargins left="0" right="0" top="0" bottom="0" header="0.31496062992125984" footer="0.31496062992125984"/>
  <pageSetup paperSize="9" scale="57" fitToHeight="0" orientation="portrait" r:id="rId1"/>
  <rowBreaks count="44" manualBreakCount="44">
    <brk id="31" max="22" man="1"/>
    <brk id="62" max="22" man="1"/>
    <brk id="93" max="22" man="1"/>
    <brk id="124" max="22" man="1"/>
    <brk id="155" max="22" man="1"/>
    <brk id="186" max="22" man="1"/>
    <brk id="217" max="22" man="1"/>
    <brk id="248" max="22" man="1"/>
    <brk id="279" max="22" man="1"/>
    <brk id="310" max="22" man="1"/>
    <brk id="341" max="22" man="1"/>
    <brk id="372" max="22" man="1"/>
    <brk id="403" max="22" man="1"/>
    <brk id="434" max="22" man="1"/>
    <brk id="465" max="22" man="1"/>
    <brk id="496" max="22" man="1"/>
    <brk id="527" max="22" man="1"/>
    <brk id="558" max="22" man="1"/>
    <brk id="589" max="22" man="1"/>
    <brk id="620" max="22" man="1"/>
    <brk id="651" max="22" man="1"/>
    <brk id="682" max="22" man="1"/>
    <brk id="713" max="22" man="1"/>
    <brk id="744" max="22" man="1"/>
    <brk id="775" max="22" man="1"/>
    <brk id="806" max="22" man="1"/>
    <brk id="837" max="22" man="1"/>
    <brk id="868" max="22" man="1"/>
    <brk id="899" max="22" man="1"/>
    <brk id="930" max="22" man="1"/>
    <brk id="961" max="22" man="1"/>
    <brk id="992" max="22" man="1"/>
    <brk id="1023" max="22" man="1"/>
    <brk id="1054" max="22" man="1"/>
    <brk id="1085" max="22" man="1"/>
    <brk id="1116" max="22" man="1"/>
    <brk id="1147" max="22" man="1"/>
    <brk id="1178" max="22" man="1"/>
    <brk id="1209" max="22" man="1"/>
    <brk id="1240" max="22" man="1"/>
    <brk id="1271" max="22" man="1"/>
    <brk id="1302" max="22" man="1"/>
    <brk id="1333" max="22" man="1"/>
    <brk id="1364" max="2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PROJETO PERFURAÇÃO</vt:lpstr>
      <vt:lpstr>LEV R&amp;D</vt:lpstr>
      <vt:lpstr>MEDIÇÃO</vt:lpstr>
      <vt:lpstr>MEDIÇÃO!Area_de_impressao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Dantas</dc:creator>
  <cp:lastModifiedBy>Francisco Felipe da Silva Dantas</cp:lastModifiedBy>
  <cp:lastPrinted>2026-10-08T11:54:10Z</cp:lastPrinted>
  <dcterms:created xsi:type="dcterms:W3CDTF">2025-12-06T18:10:46Z</dcterms:created>
  <dcterms:modified xsi:type="dcterms:W3CDTF">2026-10-09T22:50:41Z</dcterms:modified>
</cp:coreProperties>
</file>